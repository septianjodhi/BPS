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-03\Desktop\"/>
    </mc:Choice>
  </mc:AlternateContent>
  <bookViews>
    <workbookView xWindow="240" yWindow="105" windowWidth="20730" windowHeight="9975" activeTab="3"/>
  </bookViews>
  <sheets>
    <sheet name="SUMMARY" sheetId="22" r:id="rId1"/>
    <sheet name="JUL 2020" sheetId="8" r:id="rId2"/>
    <sheet name="SUSU AGUST 20" sheetId="25" r:id="rId3"/>
    <sheet name="SUSU SEPT 20" sheetId="26" r:id="rId4"/>
    <sheet name="082020" sheetId="24" r:id="rId5"/>
    <sheet name="082020 (2)" sheetId="27" r:id="rId6"/>
    <sheet name="JUL 2020 (2)" sheetId="23" r:id="rId7"/>
    <sheet name="Agust 20" sheetId="9" r:id="rId8"/>
    <sheet name="MP" sheetId="3" r:id="rId9"/>
    <sheet name="mp susu januari 2019" sheetId="2" r:id="rId10"/>
  </sheets>
  <externalReferences>
    <externalReference r:id="rId11"/>
  </externalReferences>
  <definedNames>
    <definedName name="_xlnm.Print_Area" localSheetId="4">'082020'!$C$37:$L$69</definedName>
    <definedName name="_xlnm.Print_Area" localSheetId="5">'082020 (2)'!$C$37:$L$69</definedName>
    <definedName name="_xlnm.Print_Area" localSheetId="7">'Agust 20'!$A$1:$K$46</definedName>
    <definedName name="_xlnm.Print_Area" localSheetId="1">'JUL 2020'!#REF!</definedName>
    <definedName name="_xlnm.Print_Area" localSheetId="6">'JUL 2020 (2)'!$A$1:$V$32</definedName>
    <definedName name="_xlnm.Print_Area" localSheetId="0">SUMMARY!$A$2:$L$21</definedName>
    <definedName name="_xlnm.Print_Area" localSheetId="2">'SUSU AGUST 20'!#REF!</definedName>
    <definedName name="_xlnm.Print_Area" localSheetId="3">'SUSU SEPT 20'!$A$1:$K$47</definedName>
  </definedNames>
  <calcPr calcId="162913"/>
</workbook>
</file>

<file path=xl/calcChain.xml><?xml version="1.0" encoding="utf-8"?>
<calcChain xmlns="http://schemas.openxmlformats.org/spreadsheetml/2006/main">
  <c r="F47" i="26" l="1"/>
  <c r="I47" i="26"/>
  <c r="L28" i="25"/>
  <c r="G23" i="25"/>
  <c r="F26" i="25"/>
  <c r="F25" i="25"/>
  <c r="F24" i="25"/>
  <c r="F23" i="25"/>
  <c r="D22" i="22" l="1"/>
  <c r="D18" i="22"/>
  <c r="K44" i="26"/>
  <c r="J44" i="26"/>
  <c r="J45" i="26"/>
  <c r="J46" i="26"/>
  <c r="H9" i="26"/>
  <c r="P58" i="27"/>
  <c r="K48" i="27"/>
  <c r="I49" i="27"/>
  <c r="I48" i="27"/>
  <c r="G40" i="27"/>
  <c r="H69" i="27"/>
  <c r="C71" i="27" s="1"/>
  <c r="G69" i="27"/>
  <c r="K66" i="27"/>
  <c r="K65" i="27"/>
  <c r="K64" i="27"/>
  <c r="K63" i="27"/>
  <c r="K62" i="27"/>
  <c r="K61" i="27"/>
  <c r="K60" i="27"/>
  <c r="K59" i="27"/>
  <c r="K58" i="27"/>
  <c r="K57" i="27"/>
  <c r="K56" i="27"/>
  <c r="K55" i="27"/>
  <c r="K54" i="27"/>
  <c r="K53" i="27"/>
  <c r="K52" i="27"/>
  <c r="K51" i="27"/>
  <c r="K50" i="27"/>
  <c r="K49" i="27"/>
  <c r="K26" i="27"/>
  <c r="K25" i="27"/>
  <c r="K24" i="27"/>
  <c r="O23" i="27"/>
  <c r="K23" i="27"/>
  <c r="O22" i="27"/>
  <c r="H22" i="27"/>
  <c r="K22" i="27" s="1"/>
  <c r="K21" i="27"/>
  <c r="K20" i="27"/>
  <c r="K19" i="27"/>
  <c r="K18" i="27"/>
  <c r="L18" i="27" s="1"/>
  <c r="K17" i="27"/>
  <c r="L17" i="27" s="1"/>
  <c r="K16" i="27"/>
  <c r="L16" i="27" s="1"/>
  <c r="K15" i="27"/>
  <c r="L15" i="27" s="1"/>
  <c r="K14" i="27"/>
  <c r="L14" i="27" s="1"/>
  <c r="K13" i="27"/>
  <c r="L13" i="27" s="1"/>
  <c r="K12" i="27"/>
  <c r="K11" i="27"/>
  <c r="L10" i="27"/>
  <c r="K10" i="27"/>
  <c r="I10" i="27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40" i="27" s="1"/>
  <c r="I41" i="27" s="1"/>
  <c r="I42" i="27" s="1"/>
  <c r="I43" i="27" s="1"/>
  <c r="I44" i="27" s="1"/>
  <c r="I45" i="27" s="1"/>
  <c r="J9" i="25"/>
  <c r="G9" i="25"/>
  <c r="F10" i="25"/>
  <c r="F9" i="25"/>
  <c r="L23" i="27" l="1"/>
  <c r="J69" i="27"/>
  <c r="L21" i="27"/>
  <c r="L22" i="27"/>
  <c r="L20" i="27"/>
  <c r="J37" i="26"/>
  <c r="J38" i="26"/>
  <c r="J39" i="26"/>
  <c r="J40" i="26"/>
  <c r="J41" i="26"/>
  <c r="J42" i="26"/>
  <c r="J43" i="26"/>
  <c r="J31" i="26"/>
  <c r="J32" i="26"/>
  <c r="J33" i="26"/>
  <c r="J34" i="26"/>
  <c r="J35" i="26"/>
  <c r="J36" i="26"/>
  <c r="J23" i="26"/>
  <c r="J24" i="26"/>
  <c r="J25" i="26"/>
  <c r="J26" i="26"/>
  <c r="J27" i="26"/>
  <c r="J28" i="26"/>
  <c r="J29" i="26"/>
  <c r="J30" i="26"/>
  <c r="J17" i="26"/>
  <c r="J18" i="26"/>
  <c r="J19" i="26"/>
  <c r="J20" i="26"/>
  <c r="J21" i="26"/>
  <c r="J22" i="26"/>
  <c r="J16" i="26"/>
  <c r="M30" i="26"/>
  <c r="M27" i="26"/>
  <c r="G47" i="26"/>
  <c r="J15" i="26"/>
  <c r="J14" i="26"/>
  <c r="J13" i="26"/>
  <c r="J12" i="26"/>
  <c r="J11" i="26"/>
  <c r="J10" i="26"/>
  <c r="J9" i="26"/>
  <c r="L27" i="25"/>
  <c r="I10" i="25"/>
  <c r="I11" i="25"/>
  <c r="I12" i="25"/>
  <c r="I13" i="25"/>
  <c r="I14" i="25"/>
  <c r="I15" i="25"/>
  <c r="I9" i="25"/>
  <c r="I22" i="25"/>
  <c r="I29" i="25"/>
  <c r="I30" i="25"/>
  <c r="I31" i="25"/>
  <c r="I32" i="25"/>
  <c r="I33" i="25"/>
  <c r="I34" i="25"/>
  <c r="I35" i="25"/>
  <c r="I36" i="25"/>
  <c r="I24" i="25"/>
  <c r="I25" i="25"/>
  <c r="I26" i="25"/>
  <c r="I27" i="25"/>
  <c r="I28" i="25"/>
  <c r="I23" i="25"/>
  <c r="F21" i="25"/>
  <c r="I21" i="25" s="1"/>
  <c r="F20" i="25"/>
  <c r="I20" i="25" s="1"/>
  <c r="F19" i="25"/>
  <c r="I19" i="25" s="1"/>
  <c r="F18" i="25"/>
  <c r="I18" i="25" s="1"/>
  <c r="F17" i="25"/>
  <c r="I17" i="25" s="1"/>
  <c r="F16" i="25"/>
  <c r="I16" i="25" s="1"/>
  <c r="G30" i="25"/>
  <c r="K23" i="26" l="1"/>
  <c r="K16" i="26"/>
  <c r="K37" i="26"/>
  <c r="K30" i="26"/>
  <c r="K9" i="26"/>
  <c r="J30" i="25"/>
  <c r="G16" i="25"/>
  <c r="F37" i="25" s="1"/>
  <c r="J16" i="25"/>
  <c r="J23" i="25"/>
  <c r="H37" i="25" l="1"/>
  <c r="G40" i="24" l="1"/>
  <c r="G69" i="24"/>
  <c r="K63" i="24"/>
  <c r="K64" i="24"/>
  <c r="K65" i="24"/>
  <c r="K66" i="24"/>
  <c r="K62" i="24"/>
  <c r="K54" i="24"/>
  <c r="K55" i="24"/>
  <c r="K56" i="24"/>
  <c r="K57" i="24"/>
  <c r="K58" i="24"/>
  <c r="K59" i="24"/>
  <c r="K60" i="24"/>
  <c r="K61" i="24"/>
  <c r="K49" i="24"/>
  <c r="K50" i="24"/>
  <c r="K51" i="24"/>
  <c r="K52" i="24"/>
  <c r="K53" i="24"/>
  <c r="K48" i="24"/>
  <c r="H69" i="24"/>
  <c r="J69" i="24" l="1"/>
  <c r="O23" i="24"/>
  <c r="H22" i="24"/>
  <c r="I13" i="24"/>
  <c r="I14" i="24" s="1"/>
  <c r="I15" i="24" s="1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I33" i="24" s="1"/>
  <c r="I34" i="24" s="1"/>
  <c r="I40" i="24" s="1"/>
  <c r="I41" i="24" s="1"/>
  <c r="I42" i="24" s="1"/>
  <c r="I43" i="24" s="1"/>
  <c r="I10" i="24"/>
  <c r="O22" i="24"/>
  <c r="L10" i="24" l="1"/>
  <c r="C71" i="24"/>
  <c r="K26" i="24"/>
  <c r="K25" i="24"/>
  <c r="K24" i="24"/>
  <c r="K23" i="24"/>
  <c r="K22" i="24"/>
  <c r="K21" i="24"/>
  <c r="K20" i="24"/>
  <c r="K19" i="24"/>
  <c r="K18" i="24"/>
  <c r="K17" i="24"/>
  <c r="K16" i="24"/>
  <c r="K15" i="24"/>
  <c r="K14" i="24"/>
  <c r="K13" i="24"/>
  <c r="K12" i="24"/>
  <c r="K11" i="24"/>
  <c r="K10" i="24"/>
  <c r="L23" i="24" l="1"/>
  <c r="L13" i="24"/>
  <c r="L20" i="24"/>
  <c r="L14" i="24"/>
  <c r="L18" i="24"/>
  <c r="L21" i="24"/>
  <c r="L16" i="24"/>
  <c r="L22" i="24"/>
  <c r="L15" i="24"/>
  <c r="L17" i="24"/>
  <c r="T30" i="23"/>
  <c r="Q30" i="23" l="1"/>
  <c r="S9" i="23"/>
  <c r="S16" i="23"/>
  <c r="S23" i="23"/>
  <c r="U29" i="23"/>
  <c r="I29" i="23"/>
  <c r="U28" i="23"/>
  <c r="I28" i="23"/>
  <c r="U27" i="23"/>
  <c r="I27" i="23"/>
  <c r="U26" i="23"/>
  <c r="I26" i="23"/>
  <c r="U25" i="23"/>
  <c r="I25" i="23"/>
  <c r="U24" i="23"/>
  <c r="I24" i="23"/>
  <c r="U23" i="23"/>
  <c r="I23" i="23"/>
  <c r="J23" i="23" s="1"/>
  <c r="G23" i="23"/>
  <c r="U22" i="23"/>
  <c r="I22" i="23"/>
  <c r="U21" i="23"/>
  <c r="I21" i="23"/>
  <c r="U20" i="23"/>
  <c r="I20" i="23"/>
  <c r="U19" i="23"/>
  <c r="I19" i="23"/>
  <c r="U18" i="23"/>
  <c r="I18" i="23"/>
  <c r="U17" i="23"/>
  <c r="I17" i="23"/>
  <c r="U16" i="23"/>
  <c r="I16" i="23"/>
  <c r="G16" i="23"/>
  <c r="U15" i="23"/>
  <c r="I15" i="23"/>
  <c r="U14" i="23"/>
  <c r="I14" i="23"/>
  <c r="U13" i="23"/>
  <c r="I13" i="23"/>
  <c r="U12" i="23"/>
  <c r="I12" i="23"/>
  <c r="U11" i="23"/>
  <c r="I11" i="23"/>
  <c r="U10" i="23"/>
  <c r="I10" i="23"/>
  <c r="U9" i="23"/>
  <c r="I9" i="23"/>
  <c r="G9" i="23"/>
  <c r="F30" i="23" s="1"/>
  <c r="J16" i="23" l="1"/>
  <c r="J9" i="23"/>
  <c r="H30" i="23" s="1"/>
  <c r="V16" i="23"/>
  <c r="V9" i="23"/>
  <c r="V23" i="23"/>
  <c r="I18" i="22"/>
  <c r="H18" i="22"/>
  <c r="C18" i="22"/>
  <c r="L17" i="22"/>
  <c r="K17" i="22"/>
  <c r="G17" i="22"/>
  <c r="F17" i="22"/>
  <c r="L16" i="22"/>
  <c r="K16" i="22"/>
  <c r="G16" i="22"/>
  <c r="F16" i="22"/>
  <c r="L15" i="22"/>
  <c r="K15" i="22"/>
  <c r="G15" i="22"/>
  <c r="F15" i="22"/>
  <c r="L14" i="22"/>
  <c r="K14" i="22"/>
  <c r="G14" i="22"/>
  <c r="F14" i="22"/>
  <c r="L13" i="22"/>
  <c r="K13" i="22"/>
  <c r="K18" i="22" s="1"/>
  <c r="G13" i="22"/>
  <c r="F13" i="22"/>
  <c r="F18" i="22" s="1"/>
  <c r="L12" i="22"/>
  <c r="G12" i="22"/>
  <c r="L11" i="22"/>
  <c r="G11" i="22"/>
  <c r="L10" i="22"/>
  <c r="G10" i="22"/>
  <c r="L9" i="22"/>
  <c r="G9" i="22"/>
  <c r="L8" i="22"/>
  <c r="G8" i="22"/>
  <c r="G20" i="22" s="1"/>
  <c r="L7" i="22"/>
  <c r="G7" i="22"/>
  <c r="L6" i="22"/>
  <c r="L20" i="22" s="1"/>
  <c r="G6" i="22"/>
  <c r="I36" i="8" l="1"/>
  <c r="I37" i="8"/>
  <c r="I38" i="8"/>
  <c r="I39" i="8"/>
  <c r="I40" i="8"/>
  <c r="I41" i="8"/>
  <c r="I42" i="8"/>
  <c r="I29" i="8"/>
  <c r="I30" i="8"/>
  <c r="I31" i="8"/>
  <c r="I32" i="8"/>
  <c r="I33" i="8"/>
  <c r="I34" i="8"/>
  <c r="I35" i="8"/>
  <c r="G36" i="8"/>
  <c r="G29" i="8"/>
  <c r="J29" i="8" l="1"/>
  <c r="J36" i="8"/>
  <c r="B46" i="9"/>
  <c r="I43" i="9"/>
  <c r="I42" i="9"/>
  <c r="I41" i="9"/>
  <c r="I40" i="9"/>
  <c r="I39" i="9"/>
  <c r="I38" i="9"/>
  <c r="I37" i="9"/>
  <c r="G37" i="9"/>
  <c r="I36" i="9"/>
  <c r="I35" i="9"/>
  <c r="I34" i="9"/>
  <c r="I33" i="9"/>
  <c r="I32" i="9"/>
  <c r="I31" i="9"/>
  <c r="I30" i="9"/>
  <c r="G30" i="9"/>
  <c r="I29" i="9"/>
  <c r="I28" i="9"/>
  <c r="I27" i="9"/>
  <c r="I26" i="9"/>
  <c r="I25" i="9"/>
  <c r="I24" i="9"/>
  <c r="I23" i="9"/>
  <c r="G23" i="9"/>
  <c r="I22" i="9"/>
  <c r="I21" i="9"/>
  <c r="I20" i="9"/>
  <c r="I19" i="9"/>
  <c r="I18" i="9"/>
  <c r="I17" i="9"/>
  <c r="I16" i="9"/>
  <c r="G16" i="9"/>
  <c r="I15" i="9"/>
  <c r="I14" i="9"/>
  <c r="I13" i="9"/>
  <c r="I12" i="9"/>
  <c r="I11" i="9"/>
  <c r="I10" i="9"/>
  <c r="I9" i="9"/>
  <c r="G9" i="9"/>
  <c r="J23" i="9" l="1"/>
  <c r="F44" i="9"/>
  <c r="J37" i="9"/>
  <c r="J30" i="9"/>
  <c r="J16" i="9"/>
  <c r="J9" i="9"/>
  <c r="I28" i="8"/>
  <c r="I27" i="8"/>
  <c r="I22" i="8"/>
  <c r="I20" i="8"/>
  <c r="I19" i="8"/>
  <c r="I18" i="8"/>
  <c r="I17" i="8"/>
  <c r="G17" i="8"/>
  <c r="I15" i="8"/>
  <c r="I14" i="8"/>
  <c r="I13" i="8"/>
  <c r="I12" i="8"/>
  <c r="I11" i="8"/>
  <c r="I10" i="8"/>
  <c r="I9" i="8"/>
  <c r="G9" i="8"/>
  <c r="J9" i="8" l="1"/>
  <c r="H44" i="9"/>
  <c r="F43" i="8"/>
  <c r="J17" i="8"/>
  <c r="H43" i="8" l="1"/>
  <c r="E10" i="3" l="1"/>
  <c r="F378" i="2"/>
  <c r="E378" i="2"/>
  <c r="F377" i="2"/>
  <c r="E377" i="2"/>
  <c r="F376" i="2"/>
  <c r="E376" i="2"/>
  <c r="F375" i="2"/>
  <c r="E375" i="2"/>
  <c r="F374" i="2"/>
  <c r="E374" i="2"/>
  <c r="F373" i="2"/>
  <c r="E373" i="2"/>
  <c r="F372" i="2"/>
  <c r="E372" i="2"/>
  <c r="F371" i="2"/>
  <c r="E371" i="2"/>
  <c r="F370" i="2"/>
  <c r="E370" i="2"/>
  <c r="F369" i="2"/>
  <c r="E369" i="2"/>
  <c r="F368" i="2"/>
  <c r="E368" i="2"/>
  <c r="F367" i="2"/>
  <c r="E367" i="2"/>
  <c r="F366" i="2"/>
  <c r="E366" i="2"/>
  <c r="F365" i="2"/>
  <c r="E365" i="2"/>
  <c r="F364" i="2"/>
  <c r="E364" i="2"/>
  <c r="F363" i="2"/>
  <c r="E363" i="2"/>
  <c r="F362" i="2"/>
  <c r="E362" i="2"/>
  <c r="F361" i="2"/>
  <c r="E361" i="2"/>
  <c r="F360" i="2"/>
  <c r="E360" i="2"/>
  <c r="F359" i="2"/>
  <c r="E359" i="2"/>
  <c r="F358" i="2"/>
  <c r="E358" i="2"/>
  <c r="F357" i="2"/>
  <c r="E357" i="2"/>
  <c r="F356" i="2"/>
  <c r="E356" i="2"/>
  <c r="F355" i="2"/>
  <c r="E355" i="2"/>
  <c r="F354" i="2"/>
  <c r="E354" i="2"/>
  <c r="F353" i="2"/>
  <c r="E353" i="2"/>
  <c r="F352" i="2"/>
  <c r="E352" i="2"/>
  <c r="F351" i="2"/>
  <c r="E351" i="2"/>
  <c r="F350" i="2"/>
  <c r="E350" i="2"/>
  <c r="F349" i="2"/>
  <c r="E349" i="2"/>
  <c r="F348" i="2"/>
  <c r="E348" i="2"/>
  <c r="F347" i="2"/>
  <c r="E347" i="2"/>
  <c r="F346" i="2"/>
  <c r="E346" i="2"/>
  <c r="F345" i="2"/>
  <c r="E345" i="2"/>
  <c r="F344" i="2"/>
  <c r="E344" i="2"/>
  <c r="F343" i="2"/>
  <c r="E343" i="2"/>
  <c r="F342" i="2"/>
  <c r="E342" i="2"/>
  <c r="F341" i="2"/>
  <c r="E341" i="2"/>
  <c r="F340" i="2"/>
  <c r="E340" i="2"/>
  <c r="F339" i="2"/>
  <c r="E339" i="2"/>
  <c r="F338" i="2"/>
  <c r="E338" i="2"/>
  <c r="F337" i="2"/>
  <c r="E337" i="2"/>
  <c r="F336" i="2"/>
  <c r="E336" i="2"/>
  <c r="F335" i="2"/>
  <c r="E335" i="2"/>
  <c r="F334" i="2"/>
  <c r="E334" i="2"/>
  <c r="F333" i="2"/>
  <c r="E333" i="2"/>
  <c r="F332" i="2"/>
  <c r="E332" i="2"/>
  <c r="F331" i="2"/>
  <c r="E331" i="2"/>
  <c r="F330" i="2"/>
  <c r="E330" i="2"/>
  <c r="F329" i="2"/>
  <c r="E329" i="2"/>
  <c r="F328" i="2"/>
  <c r="E328" i="2"/>
  <c r="F327" i="2"/>
  <c r="E327" i="2"/>
  <c r="F326" i="2"/>
  <c r="E326" i="2"/>
  <c r="F325" i="2"/>
  <c r="E325" i="2"/>
  <c r="F324" i="2"/>
  <c r="E324" i="2"/>
  <c r="F323" i="2"/>
  <c r="E323" i="2"/>
  <c r="F322" i="2"/>
  <c r="E322" i="2"/>
  <c r="F321" i="2"/>
  <c r="E321" i="2"/>
  <c r="F320" i="2"/>
  <c r="E320" i="2"/>
  <c r="F319" i="2"/>
  <c r="E319" i="2"/>
  <c r="F318" i="2"/>
  <c r="E318" i="2"/>
  <c r="F317" i="2"/>
  <c r="E317" i="2"/>
  <c r="F316" i="2"/>
  <c r="E316" i="2"/>
  <c r="F315" i="2"/>
  <c r="E315" i="2"/>
  <c r="F314" i="2"/>
  <c r="E314" i="2"/>
  <c r="F313" i="2"/>
  <c r="E313" i="2"/>
  <c r="F312" i="2"/>
  <c r="E312" i="2"/>
  <c r="F311" i="2"/>
  <c r="E311" i="2"/>
  <c r="F310" i="2"/>
  <c r="E310" i="2"/>
  <c r="F309" i="2"/>
  <c r="E309" i="2"/>
  <c r="F308" i="2"/>
  <c r="E308" i="2"/>
  <c r="F307" i="2"/>
  <c r="E307" i="2"/>
  <c r="F306" i="2"/>
  <c r="E306" i="2"/>
  <c r="F305" i="2"/>
  <c r="E305" i="2"/>
  <c r="F304" i="2"/>
  <c r="E304" i="2"/>
  <c r="F303" i="2"/>
  <c r="E303" i="2"/>
  <c r="F302" i="2"/>
  <c r="E302" i="2"/>
  <c r="F301" i="2"/>
  <c r="E301" i="2"/>
  <c r="F300" i="2"/>
  <c r="E300" i="2"/>
  <c r="F299" i="2"/>
  <c r="E299" i="2"/>
  <c r="F298" i="2"/>
  <c r="E298" i="2"/>
  <c r="F297" i="2"/>
  <c r="E297" i="2"/>
  <c r="F296" i="2"/>
  <c r="E296" i="2"/>
  <c r="F295" i="2"/>
  <c r="E295" i="2"/>
  <c r="F294" i="2"/>
  <c r="E294" i="2"/>
  <c r="F293" i="2"/>
  <c r="E293" i="2"/>
  <c r="F292" i="2"/>
  <c r="E292" i="2"/>
  <c r="F291" i="2"/>
  <c r="E291" i="2"/>
  <c r="F290" i="2"/>
  <c r="E290" i="2"/>
  <c r="F289" i="2"/>
  <c r="E289" i="2"/>
  <c r="F288" i="2"/>
  <c r="E288" i="2"/>
  <c r="F287" i="2"/>
  <c r="E287" i="2"/>
  <c r="F286" i="2"/>
  <c r="E286" i="2"/>
  <c r="F285" i="2"/>
  <c r="E285" i="2"/>
  <c r="F284" i="2"/>
  <c r="E284" i="2"/>
  <c r="F283" i="2"/>
  <c r="E283" i="2"/>
  <c r="F282" i="2"/>
  <c r="E282" i="2"/>
  <c r="F281" i="2"/>
  <c r="E281" i="2"/>
  <c r="F280" i="2"/>
  <c r="E280" i="2"/>
  <c r="F279" i="2"/>
  <c r="E279" i="2"/>
  <c r="F278" i="2"/>
  <c r="E278" i="2"/>
  <c r="F277" i="2"/>
  <c r="E277" i="2"/>
  <c r="F276" i="2"/>
  <c r="E276" i="2"/>
  <c r="F275" i="2"/>
  <c r="E275" i="2"/>
  <c r="F274" i="2"/>
  <c r="E274" i="2"/>
  <c r="F273" i="2"/>
  <c r="E273" i="2"/>
  <c r="F272" i="2"/>
  <c r="E272" i="2"/>
  <c r="F271" i="2"/>
  <c r="E271" i="2"/>
  <c r="F270" i="2"/>
  <c r="E270" i="2"/>
  <c r="F269" i="2"/>
  <c r="E269" i="2"/>
  <c r="F268" i="2"/>
  <c r="E268" i="2"/>
  <c r="F267" i="2"/>
  <c r="E267" i="2"/>
  <c r="F266" i="2"/>
  <c r="E266" i="2"/>
  <c r="F265" i="2"/>
  <c r="E265" i="2"/>
  <c r="F264" i="2"/>
  <c r="E264" i="2"/>
  <c r="F263" i="2"/>
  <c r="E263" i="2"/>
  <c r="F262" i="2"/>
  <c r="E262" i="2"/>
  <c r="F261" i="2"/>
  <c r="E261" i="2"/>
  <c r="F260" i="2"/>
  <c r="E260" i="2"/>
  <c r="F259" i="2"/>
  <c r="E259" i="2"/>
  <c r="F258" i="2"/>
  <c r="E258" i="2"/>
  <c r="F257" i="2"/>
  <c r="E257" i="2"/>
  <c r="F256" i="2"/>
  <c r="E256" i="2"/>
  <c r="F255" i="2"/>
  <c r="E255" i="2"/>
  <c r="F254" i="2"/>
  <c r="E254" i="2"/>
  <c r="F253" i="2"/>
  <c r="E253" i="2"/>
  <c r="F252" i="2"/>
  <c r="E252" i="2"/>
  <c r="F251" i="2"/>
  <c r="E251" i="2"/>
  <c r="F250" i="2"/>
  <c r="E250" i="2"/>
  <c r="F249" i="2"/>
  <c r="E249" i="2"/>
  <c r="F248" i="2"/>
  <c r="E248" i="2"/>
  <c r="F247" i="2"/>
  <c r="E247" i="2"/>
  <c r="F246" i="2"/>
  <c r="E246" i="2"/>
  <c r="F245" i="2"/>
  <c r="E245" i="2"/>
  <c r="F244" i="2"/>
  <c r="E244" i="2"/>
  <c r="F243" i="2"/>
  <c r="E243" i="2"/>
  <c r="F242" i="2"/>
  <c r="E242" i="2"/>
  <c r="F241" i="2"/>
  <c r="E241" i="2"/>
  <c r="F240" i="2"/>
  <c r="E240" i="2"/>
  <c r="F239" i="2"/>
  <c r="E239" i="2"/>
  <c r="F238" i="2"/>
  <c r="E238" i="2"/>
  <c r="F237" i="2"/>
  <c r="E237" i="2"/>
  <c r="F236" i="2"/>
  <c r="E236" i="2"/>
  <c r="F235" i="2"/>
  <c r="E235" i="2"/>
  <c r="F234" i="2"/>
  <c r="E234" i="2"/>
  <c r="F233" i="2"/>
  <c r="E233" i="2"/>
  <c r="F232" i="2"/>
  <c r="E232" i="2"/>
  <c r="F231" i="2"/>
  <c r="E231" i="2"/>
  <c r="F230" i="2"/>
  <c r="E230" i="2"/>
  <c r="F229" i="2"/>
  <c r="E229" i="2"/>
  <c r="F228" i="2"/>
  <c r="E228" i="2"/>
  <c r="F227" i="2"/>
  <c r="E227" i="2"/>
  <c r="F226" i="2"/>
  <c r="E226" i="2"/>
  <c r="F225" i="2"/>
  <c r="E225" i="2"/>
  <c r="F224" i="2"/>
  <c r="E224" i="2"/>
  <c r="F223" i="2"/>
  <c r="E223" i="2"/>
  <c r="F222" i="2"/>
  <c r="E222" i="2"/>
  <c r="F221" i="2"/>
  <c r="E221" i="2"/>
  <c r="F220" i="2"/>
  <c r="E220" i="2"/>
  <c r="F219" i="2"/>
  <c r="E219" i="2"/>
  <c r="F218" i="2"/>
  <c r="E218" i="2"/>
  <c r="F217" i="2"/>
  <c r="E217" i="2"/>
  <c r="F216" i="2"/>
  <c r="E216" i="2"/>
  <c r="F215" i="2"/>
  <c r="E215" i="2"/>
  <c r="F214" i="2"/>
  <c r="E214" i="2"/>
  <c r="F213" i="2"/>
  <c r="E213" i="2"/>
  <c r="F212" i="2"/>
  <c r="E212" i="2"/>
  <c r="F211" i="2"/>
  <c r="E211" i="2"/>
  <c r="F210" i="2"/>
  <c r="E210" i="2"/>
  <c r="F209" i="2"/>
  <c r="E209" i="2"/>
  <c r="F208" i="2"/>
  <c r="E208" i="2"/>
  <c r="F207" i="2"/>
  <c r="E207" i="2"/>
  <c r="F206" i="2"/>
  <c r="E206" i="2"/>
  <c r="F205" i="2"/>
  <c r="E205" i="2"/>
  <c r="F204" i="2"/>
  <c r="E204" i="2"/>
  <c r="F203" i="2"/>
  <c r="E203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comments1.xml><?xml version="1.0" encoding="utf-8"?>
<comments xmlns="http://schemas.openxmlformats.org/spreadsheetml/2006/main">
  <authors>
    <author>Author</author>
  </authors>
  <commentList>
    <comment ref="A6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DIRAWAT SEAJK 4/6
MEMO = 7/6</t>
        </r>
      </text>
    </comment>
    <comment ref="A9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OPNAME PER 12 JUNI</t>
        </r>
      </text>
    </comment>
    <comment ref="A30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SAMI JF PERBAN</t>
        </r>
      </text>
    </comment>
    <comment ref="C35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MUTASI BBF-TF PER TGL 28 MEI 2017
</t>
        </r>
      </text>
    </comment>
  </commentList>
</comments>
</file>

<file path=xl/sharedStrings.xml><?xml version="1.0" encoding="utf-8"?>
<sst xmlns="http://schemas.openxmlformats.org/spreadsheetml/2006/main" count="47262" uniqueCount="5831">
  <si>
    <t>TANGGAL</t>
  </si>
  <si>
    <t>HARI</t>
  </si>
  <si>
    <t>Senin</t>
  </si>
  <si>
    <t>Selasa</t>
  </si>
  <si>
    <t>Rabu</t>
  </si>
  <si>
    <t>Kamis</t>
  </si>
  <si>
    <t>Jum'at</t>
  </si>
  <si>
    <t>Sabtu</t>
  </si>
  <si>
    <t>Minggu</t>
  </si>
  <si>
    <t>Harga /pcs</t>
  </si>
  <si>
    <t>Jumlah</t>
  </si>
  <si>
    <t>BIAYA</t>
  </si>
  <si>
    <t>Qty (pcs)</t>
  </si>
  <si>
    <t>NOMOR INVOICE</t>
  </si>
  <si>
    <t>PERIODE</t>
  </si>
  <si>
    <t>TOTAL BIAYA INVOICE</t>
  </si>
  <si>
    <t>JML Qty</t>
  </si>
  <si>
    <t>TOTAL</t>
  </si>
  <si>
    <t>PT. SEMARANG AUTOCOMP MANUFACTURING INDONESIA</t>
  </si>
  <si>
    <t>YAKULT</t>
  </si>
  <si>
    <t>PGA/GA-GS</t>
  </si>
  <si>
    <t>SUSU</t>
  </si>
  <si>
    <t>KOPERASI PT. SAMI (Bank Mandiri Syariah 7061685159 a/n Taufik Widhianto QQ Koperasi PT.SAMI)</t>
  </si>
  <si>
    <t>NO</t>
  </si>
  <si>
    <t>NIK</t>
  </si>
  <si>
    <t>NAMA</t>
  </si>
  <si>
    <t>AREA</t>
  </si>
  <si>
    <t>JOB</t>
  </si>
  <si>
    <t>NIK PENGGANTI</t>
  </si>
  <si>
    <t>NAMA PENGGANTI</t>
  </si>
  <si>
    <t>ALASAN</t>
  </si>
  <si>
    <t>STATUS</t>
  </si>
  <si>
    <t>TGL UPDATE</t>
  </si>
  <si>
    <t>B02497</t>
  </si>
  <si>
    <t>ENI MARLINA</t>
  </si>
  <si>
    <t>-</t>
  </si>
  <si>
    <t>B3</t>
  </si>
  <si>
    <t>Approve</t>
  </si>
  <si>
    <t>B02422</t>
  </si>
  <si>
    <t>PORWANTO</t>
  </si>
  <si>
    <t>OPERATOR LD</t>
  </si>
  <si>
    <t>B01705</t>
  </si>
  <si>
    <t>JURIYAH</t>
  </si>
  <si>
    <t>RYC</t>
  </si>
  <si>
    <t>B01436</t>
  </si>
  <si>
    <t>MUNDAKIR</t>
  </si>
  <si>
    <t>B01057</t>
  </si>
  <si>
    <t>ANGGUN PUSPITA DEWI</t>
  </si>
  <si>
    <t>BUMIL SAMPAI 9 JUNI 2019</t>
  </si>
  <si>
    <t>B00999</t>
  </si>
  <si>
    <t>EVA NOVIANTI</t>
  </si>
  <si>
    <t>B00764</t>
  </si>
  <si>
    <t>ENI NURHIKMAH</t>
  </si>
  <si>
    <t>BUMIL</t>
  </si>
  <si>
    <t>B00720</t>
  </si>
  <si>
    <t>EMA AYUNINGTIAS</t>
  </si>
  <si>
    <t>B00684</t>
  </si>
  <si>
    <t>MILA AYU KORITA PUTRI</t>
  </si>
  <si>
    <t>B00591</t>
  </si>
  <si>
    <t>MURTI ARUM MAWARNI</t>
  </si>
  <si>
    <t>OPERATOR DRYER</t>
  </si>
  <si>
    <t>B00577</t>
  </si>
  <si>
    <t>GHOFAR ABDUL GANI</t>
  </si>
  <si>
    <t>B3 WASH BENSIN</t>
  </si>
  <si>
    <t>B00558</t>
  </si>
  <si>
    <t>YULFAN TAUFIK</t>
  </si>
  <si>
    <t>OPERATOR FORKLIFT</t>
  </si>
  <si>
    <t>B00329</t>
  </si>
  <si>
    <t>PUJI LESTARI</t>
  </si>
  <si>
    <t>OPERATOR DRYER &amp; RYCHEM</t>
  </si>
  <si>
    <t>B00284</t>
  </si>
  <si>
    <t>ESTER SARI SETYANINGRUM</t>
  </si>
  <si>
    <t>BUMIL SAMPAI 16 FEB 2019</t>
  </si>
  <si>
    <t>B00228</t>
  </si>
  <si>
    <t>SAFRINA ANGGRAINI</t>
  </si>
  <si>
    <t>BUMIL SAMPAI 30 MEI 2019</t>
  </si>
  <si>
    <t>B00213</t>
  </si>
  <si>
    <t>MUSRIYAH</t>
  </si>
  <si>
    <t>B00164</t>
  </si>
  <si>
    <t>SARASWATI RATNA NINGSIH</t>
  </si>
  <si>
    <t>CROSS SECTION</t>
  </si>
  <si>
    <t>B00101</t>
  </si>
  <si>
    <t>YUNI UTAMI</t>
  </si>
  <si>
    <t>WAHYU SETYANING TYAS</t>
  </si>
  <si>
    <t>BUMIL SAMPAI 7 MEI 2019</t>
  </si>
  <si>
    <t>RISTI IKA SARI</t>
  </si>
  <si>
    <t>ISMAWATI</t>
  </si>
  <si>
    <t>BERHUBUNGAN DENGAN B3</t>
  </si>
  <si>
    <t>MURINA MUKTI SIAMI</t>
  </si>
  <si>
    <t>BUMIL SAMPAI 16 MEI 2019</t>
  </si>
  <si>
    <t>DEWI LESTARI BIASTUTI</t>
  </si>
  <si>
    <t>BUMIL SAMPAI 6 MEI 2019</t>
  </si>
  <si>
    <t>ASIYAH</t>
  </si>
  <si>
    <t>BUMIL SAMPAI 12 APRIL 2019</t>
  </si>
  <si>
    <t>MUJIONO</t>
  </si>
  <si>
    <t>DHITA ARI WIDYASTUTI</t>
  </si>
  <si>
    <t>FITRIANA</t>
  </si>
  <si>
    <t>ACHMAD SAEFUDIN ZUHRI</t>
  </si>
  <si>
    <t>ANIK ANA NURJANAH</t>
  </si>
  <si>
    <t>NURHAYATI</t>
  </si>
  <si>
    <t>IRMA ARISTINA</t>
  </si>
  <si>
    <t>WINDARYATI ZURIYANTI</t>
  </si>
  <si>
    <t>SRI SULASIH</t>
  </si>
  <si>
    <t>IKA FITRIYANI</t>
  </si>
  <si>
    <t>FARIDA HIKMAWATI</t>
  </si>
  <si>
    <t>RISTANTI</t>
  </si>
  <si>
    <t>WIWIK SUDIARTI</t>
  </si>
  <si>
    <t>NURTIA SUHARYANTI</t>
  </si>
  <si>
    <t>DEWI APRILIYANI</t>
  </si>
  <si>
    <t>EKA FITRIANI</t>
  </si>
  <si>
    <t>REVI WIDYAWATI</t>
  </si>
  <si>
    <t>OPERATOR BONDER</t>
  </si>
  <si>
    <t>IKVI KHOERA ULIT T.</t>
  </si>
  <si>
    <t>SRI AYU MANDANI</t>
  </si>
  <si>
    <t>AVIANI SHOBIKAH</t>
  </si>
  <si>
    <t>BUMIL SAMPAI 17 MEI 2019</t>
  </si>
  <si>
    <t>SITI ROKHANA</t>
  </si>
  <si>
    <t>SITI SUWARNI</t>
  </si>
  <si>
    <t>LULUK ATUL FATKHIYYAH</t>
  </si>
  <si>
    <t>HAMIL SAMPAI 4 JULI 2019</t>
  </si>
  <si>
    <t>EKA RATNAWATI</t>
  </si>
  <si>
    <t>HAMIL SAMPAI  1 JULI 2019</t>
  </si>
  <si>
    <t>ERNA WAHYUNI</t>
  </si>
  <si>
    <t>HAMIL SAMPAI 29 JUNI 2019</t>
  </si>
  <si>
    <t>AMININGSIH</t>
  </si>
  <si>
    <t>AFNI ROCHAYATI</t>
  </si>
  <si>
    <t>SITI ROMDHONAH</t>
  </si>
  <si>
    <t>SITI KOMARIYAH</t>
  </si>
  <si>
    <t>BUMIL SAMPAI 8 JUN 2019</t>
  </si>
  <si>
    <t>SRI HASNANI</t>
  </si>
  <si>
    <t>SONY WAHYU ERLANTO</t>
  </si>
  <si>
    <t>MASRIAH</t>
  </si>
  <si>
    <t>HENDAR NOVIYANTO</t>
  </si>
  <si>
    <t>SUPRIONO</t>
  </si>
  <si>
    <t>PURWANTO</t>
  </si>
  <si>
    <t>TEKNISI MENGGUNAKAN B3 19/10/17</t>
  </si>
  <si>
    <t>JUHADI</t>
  </si>
  <si>
    <t>SISWOYO</t>
  </si>
  <si>
    <t>PAIMIN</t>
  </si>
  <si>
    <t>KAREP AMAD SUBAGIYO</t>
  </si>
  <si>
    <t>FAJARINI DWI WAHYUNI</t>
  </si>
  <si>
    <t>BUMIL SAMPAI 26 APRIL 2019</t>
  </si>
  <si>
    <t>DIAH WAHYUNINGSIH</t>
  </si>
  <si>
    <t>ISTIHANAH</t>
  </si>
  <si>
    <t>EKO SUSANTO</t>
  </si>
  <si>
    <t>BERHUBUNGAN DENGAN B3 TOLUEN</t>
  </si>
  <si>
    <t>SUYONO</t>
  </si>
  <si>
    <t>EKO PUJIYANTO</t>
  </si>
  <si>
    <t>EKO HARYANTO</t>
  </si>
  <si>
    <t>BUDI SULISTIYO</t>
  </si>
  <si>
    <t>BERHUBUNGAN DENGAN FORKLIFT &amp; B3</t>
  </si>
  <si>
    <t>NURUL LATIFAH</t>
  </si>
  <si>
    <t>MASBIKHIN</t>
  </si>
  <si>
    <t>ARIFIN</t>
  </si>
  <si>
    <t>EKO DANIATI</t>
  </si>
  <si>
    <t>SUPRIYONO</t>
  </si>
  <si>
    <t>SHOLEKHAH</t>
  </si>
  <si>
    <t>NUR FATONI</t>
  </si>
  <si>
    <t>DWI RETNOWATI</t>
  </si>
  <si>
    <t>BUMIL SAMPAI 23 JUNI 2019</t>
  </si>
  <si>
    <t>AGUS VRIYANTO</t>
  </si>
  <si>
    <t>WAHYU DIONO</t>
  </si>
  <si>
    <t>DADANG ARDIANSYAH</t>
  </si>
  <si>
    <t>YANUAR LISA MIKIYANTI</t>
  </si>
  <si>
    <t>ROSIDAH</t>
  </si>
  <si>
    <t>HERU SETIAWAN</t>
  </si>
  <si>
    <t>DEWI JAMIAH</t>
  </si>
  <si>
    <t>ABDUL GHONI</t>
  </si>
  <si>
    <t>RIANA PUSPITAWATI</t>
  </si>
  <si>
    <t>BUMIL SAMPAI 14 JUN 2019</t>
  </si>
  <si>
    <t>ABIL HUDA</t>
  </si>
  <si>
    <t>SUTIYONO</t>
  </si>
  <si>
    <t>SUSANTI</t>
  </si>
  <si>
    <t>BUMIL SAMPAI 27 MEI 2019</t>
  </si>
  <si>
    <t>SUMIYATI</t>
  </si>
  <si>
    <t>MASUDAH</t>
  </si>
  <si>
    <t>INNAYATUS SHOLIKHAH</t>
  </si>
  <si>
    <t>GIYATNO</t>
  </si>
  <si>
    <t>ENDANG PURWANINGSIH</t>
  </si>
  <si>
    <t>BUDI PURNOMO</t>
  </si>
  <si>
    <t>SULIS HARIYANTO</t>
  </si>
  <si>
    <t>MATIYAS NURUL FAJAR</t>
  </si>
  <si>
    <t>DEDDY YUDHA KUSUMA</t>
  </si>
  <si>
    <t>ARIF PRAMONO</t>
  </si>
  <si>
    <t>SRI WINARNI</t>
  </si>
  <si>
    <t>AGUS SANTOSO</t>
  </si>
  <si>
    <t>WIWIK FIKANIATI</t>
  </si>
  <si>
    <t>BUMIL SAMPAI 28 MEI 2019</t>
  </si>
  <si>
    <t>SUBKI</t>
  </si>
  <si>
    <t>AMANTO FERI PURNOMO</t>
  </si>
  <si>
    <t>SUPRIYANTO</t>
  </si>
  <si>
    <t>SITI MONDOLIFAH</t>
  </si>
  <si>
    <t>NUR JANAH</t>
  </si>
  <si>
    <t>DWI INDARWATI</t>
  </si>
  <si>
    <t>SUS MULYANI</t>
  </si>
  <si>
    <t>DINA MARYANI</t>
  </si>
  <si>
    <t>MUGO SIHONO</t>
  </si>
  <si>
    <t>PURWANTORO</t>
  </si>
  <si>
    <t>SUYOKO</t>
  </si>
  <si>
    <t>SUKADI</t>
  </si>
  <si>
    <t>ROH MURNI HANDAYANI</t>
  </si>
  <si>
    <t>JULIANTO SETYO N</t>
  </si>
  <si>
    <t>DEDEK KUSMANA</t>
  </si>
  <si>
    <t>MASRIKHAH</t>
  </si>
  <si>
    <t>YUDHISTIRA SETYABUDI</t>
  </si>
  <si>
    <t>SRI RETNO ISTIYANI</t>
  </si>
  <si>
    <t>IDA ASTUTIK</t>
  </si>
  <si>
    <t>BUMIL SAMPAI 19-1-2019</t>
  </si>
  <si>
    <t>RISTIANI</t>
  </si>
  <si>
    <t>ISTIQOMAH</t>
  </si>
  <si>
    <t>BUMIL SAMPAI 14 mei  2019</t>
  </si>
  <si>
    <t>EFI RETNOWATI</t>
  </si>
  <si>
    <t>NADILA APRILIA</t>
  </si>
  <si>
    <t>SILIKON</t>
  </si>
  <si>
    <t>ILHAM MAARUF</t>
  </si>
  <si>
    <t>ANGGIE DEWIE MURNIE</t>
  </si>
  <si>
    <t>WD, WASH BENZINE</t>
  </si>
  <si>
    <t>EVA YULLI ROCHMAWATI</t>
  </si>
  <si>
    <t>AINAYA FATEKHAH</t>
  </si>
  <si>
    <t>B3 PELICOT MB 11</t>
  </si>
  <si>
    <t>NUR AZMI</t>
  </si>
  <si>
    <t>LAELIYATUL MUNAWAROH</t>
  </si>
  <si>
    <t>EVITA SETIANA DEWI</t>
  </si>
  <si>
    <t>OPERATOR RYCHEM</t>
  </si>
  <si>
    <t>YULI FAJAR WATI</t>
  </si>
  <si>
    <t>RISKI MUSTOFA</t>
  </si>
  <si>
    <t>REZA DWI NURRAHMAN</t>
  </si>
  <si>
    <t>WD,CO</t>
  </si>
  <si>
    <t>SUSIYANI MITA ANGGREINI</t>
  </si>
  <si>
    <t>Tunggu</t>
  </si>
  <si>
    <t>MULYANI</t>
  </si>
  <si>
    <t>ALVIAN DIKKY SETYAJI</t>
  </si>
  <si>
    <t>MENGELAS DAN MENGGUNAKAN CO DAN WD</t>
  </si>
  <si>
    <t>FIA PARWATI</t>
  </si>
  <si>
    <t>RICKY SETIAWAN</t>
  </si>
  <si>
    <t>ITE, PREVENTIF KOMPUTER</t>
  </si>
  <si>
    <t>AMELIA MAYANG PUTRI</t>
  </si>
  <si>
    <t>DENI AGUNG WICAKSONO</t>
  </si>
  <si>
    <t>FABRIKASI 12122018</t>
  </si>
  <si>
    <t>FATHU NURUL FADHILAH</t>
  </si>
  <si>
    <t>BUMIL SAMPAI 10 mei  2019</t>
  </si>
  <si>
    <t>M SOBIRIN</t>
  </si>
  <si>
    <t>CO, WD UNTUK FABRIKASI &amp; SERBUK TRIPLEK</t>
  </si>
  <si>
    <t>SITI MAESAROH</t>
  </si>
  <si>
    <t>ANISAH</t>
  </si>
  <si>
    <t>ARIS SETIABUDI</t>
  </si>
  <si>
    <t>WD,CO &amp; GREASE JUGA SERBUK TRIPLEK</t>
  </si>
  <si>
    <t>MAFULA</t>
  </si>
  <si>
    <t>ALFAN RAHMADHANY</t>
  </si>
  <si>
    <t>MASRUR HADIYANTO</t>
  </si>
  <si>
    <t>MENGGUNAKAN CO UNTUK PREVENTIF</t>
  </si>
  <si>
    <t>KHISNU SHOLIHAH</t>
  </si>
  <si>
    <t>FATIKHATUL K</t>
  </si>
  <si>
    <t>B3 SILICON</t>
  </si>
  <si>
    <t>IKRIMA WULANDARI</t>
  </si>
  <si>
    <t>MINYAK  SEAL</t>
  </si>
  <si>
    <t>AYU NUR FADILAH</t>
  </si>
  <si>
    <t>MUHAMMAD SAEFUDIN</t>
  </si>
  <si>
    <t>AKHMAD LABIB</t>
  </si>
  <si>
    <t>WIDYA ROMADHANI</t>
  </si>
  <si>
    <t>B3 15/3/2018</t>
  </si>
  <si>
    <t>NURUL DWI SETIORINI</t>
  </si>
  <si>
    <t>IKKE FRIDA SAFIA</t>
  </si>
  <si>
    <t>IRFAN EGO PRASTIKO</t>
  </si>
  <si>
    <t>M. ATOURRAHMAN</t>
  </si>
  <si>
    <t>SRI WAHYUNI</t>
  </si>
  <si>
    <t>TRI DIAN NOFIYANTI</t>
  </si>
  <si>
    <t>SITI ROCHANAH</t>
  </si>
  <si>
    <t>BOY ISA ISKHANDAR</t>
  </si>
  <si>
    <t>BC</t>
  </si>
  <si>
    <t>ADITYA NILAWATI</t>
  </si>
  <si>
    <t>JUHUDI</t>
  </si>
  <si>
    <t>SYUKRON SIDIQ</t>
  </si>
  <si>
    <t>opt supply cpa tube + pyronoc + plug</t>
  </si>
  <si>
    <t>MUHAMMAD NURUL IKSAN</t>
  </si>
  <si>
    <t>opt supply cpa tube + pyronoc + plug+ wire</t>
  </si>
  <si>
    <t>HUDALLOHAUNI</t>
  </si>
  <si>
    <t>AHMAD ABDUL KOHAR</t>
  </si>
  <si>
    <t>LIATUL KHIKMAH</t>
  </si>
  <si>
    <t>IKHFAR AL AVIST</t>
  </si>
  <si>
    <t>SAJIK PRIYAMBADA</t>
  </si>
  <si>
    <t>MUHAMMAD SAIFUDIN</t>
  </si>
  <si>
    <t>ADIP SARWONO</t>
  </si>
  <si>
    <t>B3 13/3/2018</t>
  </si>
  <si>
    <t>SRI LESTARI</t>
  </si>
  <si>
    <t>NUR HIKMAHTUL FAIZAH</t>
  </si>
  <si>
    <t>YULI SETIYAWATI</t>
  </si>
  <si>
    <t>SITI NUR AFIFAH</t>
  </si>
  <si>
    <t>EKA RIWAYANTI</t>
  </si>
  <si>
    <t>ILFA MINATIKA</t>
  </si>
  <si>
    <t>ANIS PRISTIKA</t>
  </si>
  <si>
    <t>SITI NURUL MAESAROH</t>
  </si>
  <si>
    <t>SANDY MAULANA</t>
  </si>
  <si>
    <t>ENDANG SETIANI</t>
  </si>
  <si>
    <t>CITRA ARUM SARI</t>
  </si>
  <si>
    <t>YULI</t>
  </si>
  <si>
    <t>FAISAL ROMIAWAN</t>
  </si>
  <si>
    <t>SUPPLY GROMMET, PYRONOC DAN SEAL</t>
  </si>
  <si>
    <t>NURUL ARRIZKI</t>
  </si>
  <si>
    <t>RUDI HARIANTO</t>
  </si>
  <si>
    <t>FAJAR MOHAMAD RAFI</t>
  </si>
  <si>
    <t>TEKNISI MENGGUNAKAN B3, 44/10/17</t>
  </si>
  <si>
    <t>AGUS RHOKHAMTO</t>
  </si>
  <si>
    <t>SINDI VIRGIANA</t>
  </si>
  <si>
    <t>BUMIL SAMPAI 5 mei  2019</t>
  </si>
  <si>
    <t>NOVI ARIYANTI</t>
  </si>
  <si>
    <t>DUROTUN NASEKHAH</t>
  </si>
  <si>
    <t>DIANA AGUSTIN</t>
  </si>
  <si>
    <t>MUZAROAH</t>
  </si>
  <si>
    <t>SITI HESTI KHAROMAH</t>
  </si>
  <si>
    <t>WINDY PARAMITA SUSILOWATI</t>
  </si>
  <si>
    <t>RIA EVA KARMILA</t>
  </si>
  <si>
    <t>HAMIL SAMPAI 12 JULI 2019</t>
  </si>
  <si>
    <t>YUNI ROHMANTIKASARI</t>
  </si>
  <si>
    <t>ULLUL NUR HIDAYAH</t>
  </si>
  <si>
    <t>BUMIL SAMPAI 23 MEI 2019</t>
  </si>
  <si>
    <t>BUMIL SAMPAI 10 JUN 2019</t>
  </si>
  <si>
    <t>SITI INAYATI</t>
  </si>
  <si>
    <t>MINAKHUS TSANIA</t>
  </si>
  <si>
    <t>LIVIA MARADITTA</t>
  </si>
  <si>
    <t>HIMMATUL ULVA</t>
  </si>
  <si>
    <t>ELMA MEILANY</t>
  </si>
  <si>
    <t>DARUS KURNIAWAN FERNANDA</t>
  </si>
  <si>
    <t>HARYONO SUBROTO</t>
  </si>
  <si>
    <t>EDY ISMANTO</t>
  </si>
  <si>
    <t>MOCH YUSUF IMMANUDIN</t>
  </si>
  <si>
    <t>SILIKON HV</t>
  </si>
  <si>
    <t>MUKHAMAD ALI</t>
  </si>
  <si>
    <t>SIGIT SAWIJI</t>
  </si>
  <si>
    <t>IMAM BUKORI</t>
  </si>
  <si>
    <t>HADI PRAYITNO</t>
  </si>
  <si>
    <t>M. SALAFUDIN</t>
  </si>
  <si>
    <t>DHARIS ABDUL FEBRIYAN</t>
  </si>
  <si>
    <t>BAYU TIRTA MAHARDIKA</t>
  </si>
  <si>
    <t>MUHAMMAD AZIS</t>
  </si>
  <si>
    <t>IIN NURUL AFIDAH</t>
  </si>
  <si>
    <t>BUMIL SAMPAI 7 APRIL 2019</t>
  </si>
  <si>
    <t>ENI RAHMAWATI</t>
  </si>
  <si>
    <t>MUHAMMAD AINUR ROFIQ</t>
  </si>
  <si>
    <t>TEGUH YULIYANTO</t>
  </si>
  <si>
    <t>LIZA ADITYA</t>
  </si>
  <si>
    <t>ALVIN DONI KURNIAWAN</t>
  </si>
  <si>
    <t>MAULIDINA AHSAN</t>
  </si>
  <si>
    <t>FITRIANA RISKYANI</t>
  </si>
  <si>
    <t>BUMIL SAMPAI 5 JUN 2019</t>
  </si>
  <si>
    <t>ARI YULIYANTO</t>
  </si>
  <si>
    <t>AVIATUN MUFIDAH</t>
  </si>
  <si>
    <t>BUMIL SAMPAI 3 MARET 2019</t>
  </si>
  <si>
    <t>MUSMAN</t>
  </si>
  <si>
    <t>LUHITA KUSUMA WARDANI</t>
  </si>
  <si>
    <t>ARI SUGIYANTO</t>
  </si>
  <si>
    <t>TEKNISI MENGGUNAKAN B3</t>
  </si>
  <si>
    <t>AHMAD NIZAR ZULMI</t>
  </si>
  <si>
    <t>ACHMAD SHODIQ</t>
  </si>
  <si>
    <t>MUHAMAD NURIYANTO</t>
  </si>
  <si>
    <t>IMAM BAROWI</t>
  </si>
  <si>
    <t>RIZAL FAUZI</t>
  </si>
  <si>
    <t>LINDA NOVITA SARI</t>
  </si>
  <si>
    <t>BUMIL SAMPAI 27 APRIL 2019</t>
  </si>
  <si>
    <t>NINA SULISTYA</t>
  </si>
  <si>
    <t>ARI ANGGI YUDIANTORO</t>
  </si>
  <si>
    <t>ARIYANTO</t>
  </si>
  <si>
    <t>TRI ADI MULYONO</t>
  </si>
  <si>
    <t>TOMI RONIAWAN</t>
  </si>
  <si>
    <t>AGUS SUMANTRI</t>
  </si>
  <si>
    <t>EKA NOPIYA NINGSIH</t>
  </si>
  <si>
    <t>VENI KORNIAWAN</t>
  </si>
  <si>
    <t>MUHAMMAD SAHAL JUNAIDI</t>
  </si>
  <si>
    <t>MUCHAMAT ICHSAN</t>
  </si>
  <si>
    <t>MARGARA IMANURA</t>
  </si>
  <si>
    <t>HENDRAWAN ADI BACHTIAR</t>
  </si>
  <si>
    <t>DWI AGUS ARIYANTO</t>
  </si>
  <si>
    <t>ABDUL AZIS</t>
  </si>
  <si>
    <t>MUKHAMMAD FAUZI</t>
  </si>
  <si>
    <t>MUHAMAD EDY KRISTIONO</t>
  </si>
  <si>
    <t>ELGI HARMONO DWI SAPUTRA</t>
  </si>
  <si>
    <t>IWAN ARYANTA</t>
  </si>
  <si>
    <t>ACHMAD BUKORI</t>
  </si>
  <si>
    <t>IFNU ANGGRAITO</t>
  </si>
  <si>
    <t>TAUFIK RAMA FARADISA</t>
  </si>
  <si>
    <t>ANDI EKO VIRGO S.</t>
  </si>
  <si>
    <t>WIDI PURBOYO</t>
  </si>
  <si>
    <t>YAHYA PRAYITNO</t>
  </si>
  <si>
    <t>RANDY MARDITYO</t>
  </si>
  <si>
    <t>MOCH. MUSTOFA</t>
  </si>
  <si>
    <t>EKA WAHYUDI</t>
  </si>
  <si>
    <t>BUDHY PRASETIYO</t>
  </si>
  <si>
    <t>ACHMAD NOOR RIYADI</t>
  </si>
  <si>
    <t>ENI PUJI LESTARI</t>
  </si>
  <si>
    <t>TEGUH MULYANTO</t>
  </si>
  <si>
    <t>WIRATNO</t>
  </si>
  <si>
    <t>SUROKO</t>
  </si>
  <si>
    <t>RIZKI RIYADI PUTRANTO</t>
  </si>
  <si>
    <t>NANANG SETIAWAN</t>
  </si>
  <si>
    <t>LUCKY APRIYANTO</t>
  </si>
  <si>
    <t>BAMBANG LADIYO</t>
  </si>
  <si>
    <t>ARIF DWI SETYAWAN</t>
  </si>
  <si>
    <t>MUCHAMAD ROSYID</t>
  </si>
  <si>
    <t>SITI KHOIRIYAH</t>
  </si>
  <si>
    <t>EDWIN NUR FAEZAR</t>
  </si>
  <si>
    <t>MUSAROFAH</t>
  </si>
  <si>
    <t>CHOLISATUN NIMAH</t>
  </si>
  <si>
    <t>SITI MARFUAH</t>
  </si>
  <si>
    <t>BUMIL SAMPAI 15 APRIL 2019</t>
  </si>
  <si>
    <t>DEWI MARYAM</t>
  </si>
  <si>
    <t>NUR ANIS ISTIQOMAH</t>
  </si>
  <si>
    <t>WINARNI</t>
  </si>
  <si>
    <t>VITRIANI SETYOWATI</t>
  </si>
  <si>
    <t>HAMIL SAMPAI 11 JULI 2019</t>
  </si>
  <si>
    <t>NURAENI</t>
  </si>
  <si>
    <t>BUMIL SAMPAI 24 JUNI  2019</t>
  </si>
  <si>
    <t>NOVIANI ANISA PUTRI</t>
  </si>
  <si>
    <t>LAYLI NURHAYATI</t>
  </si>
  <si>
    <t>FRANCISCA SULISTYOWATI</t>
  </si>
  <si>
    <t>UMUL BADRIYAH</t>
  </si>
  <si>
    <t>FATIKHATUL AINI</t>
  </si>
  <si>
    <t>NADIATUS SOLIKHAH</t>
  </si>
  <si>
    <t>DIAH PONCORINI</t>
  </si>
  <si>
    <t>CHOLIT MAWARDI</t>
  </si>
  <si>
    <t>RIFÁTUL LAILI HIDAYATI</t>
  </si>
  <si>
    <t>OKTY WIDYASTUTI</t>
  </si>
  <si>
    <t>ROUDLOTUN NIMAH</t>
  </si>
  <si>
    <t>JEMMY HARTONO</t>
  </si>
  <si>
    <t>JEHEZKIEL KURNIAWAN</t>
  </si>
  <si>
    <t>EKO RIYANTO</t>
  </si>
  <si>
    <t>DYAH SUSILOWATI</t>
  </si>
  <si>
    <t>ARIN RISMA SARI</t>
  </si>
  <si>
    <t>NEILIS SAADATUSSANIYAH</t>
  </si>
  <si>
    <t>BUMIL SAMPAI 21 APRIL 2019</t>
  </si>
  <si>
    <t>USWATUN KHASANAH</t>
  </si>
  <si>
    <t>UMI LAELIYAH</t>
  </si>
  <si>
    <t>SITI MUKAROMAH</t>
  </si>
  <si>
    <t>BUMIL SAMPAI 22 APRIL 2019</t>
  </si>
  <si>
    <t>LIYA SETIYANINGSIH</t>
  </si>
  <si>
    <t>YULIANA ULFAH HIDAYAH</t>
  </si>
  <si>
    <t>BUMIL SAMPAI 14 JUNI  2019</t>
  </si>
  <si>
    <t>TRI APRILIANI</t>
  </si>
  <si>
    <t>MUSTHOFIAH</t>
  </si>
  <si>
    <t>LAELATUL AROFAH</t>
  </si>
  <si>
    <t>IRA AMBARWATI</t>
  </si>
  <si>
    <t>ARIYA AFIYANTI</t>
  </si>
  <si>
    <t>ANIS KHOIDAH</t>
  </si>
  <si>
    <t>HAMIL</t>
  </si>
  <si>
    <t>SAKRONI</t>
  </si>
  <si>
    <t>EVIKURNIASARI</t>
  </si>
  <si>
    <t>SITI MAISAROH</t>
  </si>
  <si>
    <t>JANATUN</t>
  </si>
  <si>
    <t>DWI LESTARI</t>
  </si>
  <si>
    <t>BUMIL SAMPAI 20 mei  2019</t>
  </si>
  <si>
    <t>DIAN SAPUTRI</t>
  </si>
  <si>
    <t>MASTIK</t>
  </si>
  <si>
    <t>ISTI HANDAYANI</t>
  </si>
  <si>
    <t>ENI LUKMAWATI</t>
  </si>
  <si>
    <t>TRI LESTARI</t>
  </si>
  <si>
    <t>HAMIL SAMPAI 16 JUNI 2019</t>
  </si>
  <si>
    <t>WIDODO</t>
  </si>
  <si>
    <t>NUR MUJIYANTO</t>
  </si>
  <si>
    <t>NIKEN KRISTANTI</t>
  </si>
  <si>
    <t>BUMIL SAMPAI 3 JUN 2019</t>
  </si>
  <si>
    <t>NISA UMAROH</t>
  </si>
  <si>
    <t>IKE DIAH AGUSTIN</t>
  </si>
  <si>
    <t>MUDJI TRININGSIH</t>
  </si>
  <si>
    <t>INTAN PUSPITA</t>
  </si>
  <si>
    <t>RINI KURNIASIH</t>
  </si>
  <si>
    <t>PUDJI NOVIYANTI</t>
  </si>
  <si>
    <t>LISA RAHMAWATI</t>
  </si>
  <si>
    <t>BUMIL SAMPAI 4 JUNI 2019</t>
  </si>
  <si>
    <t>ULYATI</t>
  </si>
  <si>
    <t>TUTUT BINTARI</t>
  </si>
  <si>
    <t>BUMIL SAMPAI 12 JUNI 2019</t>
  </si>
  <si>
    <t>SEPTI MULYANI</t>
  </si>
  <si>
    <t>MUAZAMAH</t>
  </si>
  <si>
    <t>ANWAR MASHARI</t>
  </si>
  <si>
    <t>AIDHA AYU RACHANDINI PUTRI</t>
  </si>
  <si>
    <t>BUMIL SAMPAI 27 MAR 2019</t>
  </si>
  <si>
    <t>DWI PUJI LESTARI</t>
  </si>
  <si>
    <t>HAMIL SAMPAI 28 JUNI 2019</t>
  </si>
  <si>
    <t>AYU KURNIAWATI</t>
  </si>
  <si>
    <t>KUKOH SUKADEWI</t>
  </si>
  <si>
    <t>CHRISIA GITA LINDANINGTYAS</t>
  </si>
  <si>
    <t>SOFA FATMAWATI</t>
  </si>
  <si>
    <t>NAJIKHATUL MUALIFAH</t>
  </si>
  <si>
    <t>NINUK MULIYAWATI</t>
  </si>
  <si>
    <t>LILIS SURYANTI</t>
  </si>
  <si>
    <t>SITI FARIDAH</t>
  </si>
  <si>
    <t>HAMIL SAMPAI 3 APRIL 2019</t>
  </si>
  <si>
    <t>SITI SUBAEDAH</t>
  </si>
  <si>
    <t>NUR PADILAH</t>
  </si>
  <si>
    <t>NINGTYAS ARYASTUTI</t>
  </si>
  <si>
    <t>IRNA DIAN ISTININGRUM</t>
  </si>
  <si>
    <t>ERMAYANTI</t>
  </si>
  <si>
    <t>BUMIL SAMPAI 24 APRIL 2019</t>
  </si>
  <si>
    <t>LASIMIN</t>
  </si>
  <si>
    <t>EDY KOESMANTO</t>
  </si>
  <si>
    <t>ADI SUCIPTO</t>
  </si>
  <si>
    <t>ZAENAL ARIFIN</t>
  </si>
  <si>
    <t>TURNINGSIH</t>
  </si>
  <si>
    <t>TRI WAHYU PUDJI RAHAYU</t>
  </si>
  <si>
    <t>MUH. ABDUL M.</t>
  </si>
  <si>
    <t>VALIDASI CHECKER 29092017</t>
  </si>
  <si>
    <t>SITI MUADHIMAH</t>
  </si>
  <si>
    <t>BUMIL SAMPAI 28 JUNI 2019</t>
  </si>
  <si>
    <t>NOVILIA ARUM SARI</t>
  </si>
  <si>
    <t>BUMIL SAMPAI 30 APRIL 2019</t>
  </si>
  <si>
    <t>MENIK JAYANTI</t>
  </si>
  <si>
    <t>HENNI SULISTYOWATI</t>
  </si>
  <si>
    <t>HAMIL SAMPAI 2 MEI 2019</t>
  </si>
  <si>
    <t>ISTIKOMSATUN</t>
  </si>
  <si>
    <t>EKO WIDYANINGSIH</t>
  </si>
  <si>
    <t>LOKASI</t>
  </si>
  <si>
    <t>BATCH</t>
  </si>
  <si>
    <t>TGL MASUK</t>
  </si>
  <si>
    <t>AWAL PKWT</t>
  </si>
  <si>
    <t>AKHIR PKWT</t>
  </si>
  <si>
    <t>DEPT</t>
  </si>
  <si>
    <t>SECT</t>
  </si>
  <si>
    <t>CAR LINE</t>
  </si>
  <si>
    <t>FAMILY</t>
  </si>
  <si>
    <t>PASI JOB NAME</t>
  </si>
  <si>
    <t>SHIFT</t>
  </si>
  <si>
    <t>HIROSHI YAMASHITA</t>
  </si>
  <si>
    <t>SAMI</t>
  </si>
  <si>
    <t>SPV UP</t>
  </si>
  <si>
    <t>PGA</t>
  </si>
  <si>
    <t>MANAGEMENT</t>
  </si>
  <si>
    <t>ALL</t>
  </si>
  <si>
    <t>PRESDIR</t>
  </si>
  <si>
    <t>P.DIR</t>
  </si>
  <si>
    <t>A (NS)</t>
  </si>
  <si>
    <t>TAKASHI SEZAKI</t>
  </si>
  <si>
    <t>LOG</t>
  </si>
  <si>
    <t>SENIOR MANAGER LOG</t>
  </si>
  <si>
    <t>MGR FPS</t>
  </si>
  <si>
    <t>SHINJI MASUDA</t>
  </si>
  <si>
    <t>QA</t>
  </si>
  <si>
    <t>SENIOR MANAGER PD &amp; QA</t>
  </si>
  <si>
    <t>HISAYOSHI HAMAGAWA</t>
  </si>
  <si>
    <t>PP</t>
  </si>
  <si>
    <t>SENIOR MANAGER PP</t>
  </si>
  <si>
    <t>TAKASHI NAGAMORI</t>
  </si>
  <si>
    <t>PE</t>
  </si>
  <si>
    <t>SENIOR MANAGER PE</t>
  </si>
  <si>
    <t>TAKAFUMI HARANO</t>
  </si>
  <si>
    <t>MTC</t>
  </si>
  <si>
    <t>SENIOR MANAGER MTC</t>
  </si>
  <si>
    <t>TATSUYA MATSUSHITA</t>
  </si>
  <si>
    <t>FACTORY MANAGER</t>
  </si>
  <si>
    <t>FM</t>
  </si>
  <si>
    <t>AKIRA KOBAYASHI</t>
  </si>
  <si>
    <t>NYS</t>
  </si>
  <si>
    <t>SENIOR MANAGER NYS</t>
  </si>
  <si>
    <t>MANSUR ISNAENI</t>
  </si>
  <si>
    <t>DEPUTY FACT. MANAGER</t>
  </si>
  <si>
    <t>DFM</t>
  </si>
  <si>
    <t>ARI WIJAYANTI</t>
  </si>
  <si>
    <t>MANAGER PGA</t>
  </si>
  <si>
    <t>MGR IDL</t>
  </si>
  <si>
    <t>YOEN YOEDONO SOEBROTO</t>
  </si>
  <si>
    <t>MANAGER LOG</t>
  </si>
  <si>
    <t>AHMAD MUBARAK</t>
  </si>
  <si>
    <t>PRD</t>
  </si>
  <si>
    <t>MANAGER PRD</t>
  </si>
  <si>
    <t>MGR FPI</t>
  </si>
  <si>
    <t>AGUS NUGROHO</t>
  </si>
  <si>
    <t>ASS. MANAGER QA</t>
  </si>
  <si>
    <t>BAMBANG RIANTO</t>
  </si>
  <si>
    <t>FA</t>
  </si>
  <si>
    <t>MANAGER FA</t>
  </si>
  <si>
    <t>MEI RUBIRITANTI</t>
  </si>
  <si>
    <t>SUPERVISOR</t>
  </si>
  <si>
    <t>IDL SPV</t>
  </si>
  <si>
    <t>YULI SUPRIYATININGSIH</t>
  </si>
  <si>
    <t>ADM-7</t>
  </si>
  <si>
    <t>LEADER</t>
  </si>
  <si>
    <t>IDL LL</t>
  </si>
  <si>
    <t>AFRILIATI</t>
  </si>
  <si>
    <t>OPT-140</t>
  </si>
  <si>
    <t>MAULVI BAHRUL MUHITH</t>
  </si>
  <si>
    <t xml:space="preserve"> COORD. SUPERVISOR</t>
  </si>
  <si>
    <t>ROFI'UL MU'AYATI</t>
  </si>
  <si>
    <t>AMALIA PUJI RAHAYUNINGSIH</t>
  </si>
  <si>
    <t>PRASETYO WIBOWO</t>
  </si>
  <si>
    <t>MT</t>
  </si>
  <si>
    <t>INTA CAHYA DIANI</t>
  </si>
  <si>
    <t>ES-75</t>
  </si>
  <si>
    <t>FARIS YATIMAH HANDAYANI</t>
  </si>
  <si>
    <t>GA</t>
  </si>
  <si>
    <t>GA SUPERVISOR</t>
  </si>
  <si>
    <t>DIAN BERLIAN PERDANA S.</t>
  </si>
  <si>
    <t>OPT-15</t>
  </si>
  <si>
    <t>B</t>
  </si>
  <si>
    <t>OPT-139</t>
  </si>
  <si>
    <t>BUILDING MAINTENANCE</t>
  </si>
  <si>
    <t>BDM</t>
  </si>
  <si>
    <t>A</t>
  </si>
  <si>
    <t>MUHAMMAD FATKUL</t>
  </si>
  <si>
    <t>BUDI PRIYANTO</t>
  </si>
  <si>
    <t>STAFF GA</t>
  </si>
  <si>
    <t>RIYANTI</t>
  </si>
  <si>
    <t>ADM-33</t>
  </si>
  <si>
    <t>RENNY RAFIKA HAPSARI</t>
  </si>
  <si>
    <t>OPT-248</t>
  </si>
  <si>
    <t>OPT-276</t>
  </si>
  <si>
    <t>SLAMET TIMBUL</t>
  </si>
  <si>
    <t>LEGAL SPV</t>
  </si>
  <si>
    <t>DEBORA KRISTIANA SETIYANINGRUM</t>
  </si>
  <si>
    <t>ADM-2</t>
  </si>
  <si>
    <t>HR</t>
  </si>
  <si>
    <t>PEOPLE DEVELOPMENT</t>
  </si>
  <si>
    <t>NUNING DIAN PERTIWI</t>
  </si>
  <si>
    <t>SUPERVISOR PED</t>
  </si>
  <si>
    <t>NORMA NILA HAPSARI</t>
  </si>
  <si>
    <t>ADM-5</t>
  </si>
  <si>
    <t>Employee Benefit, Recruitment</t>
  </si>
  <si>
    <t>DIAN PUSPITASARI</t>
  </si>
  <si>
    <t>ADM-8</t>
  </si>
  <si>
    <t>FAJAR ADIDEWA</t>
  </si>
  <si>
    <t>SUPERVISOR HR</t>
  </si>
  <si>
    <t>RIZKI KURNIADI</t>
  </si>
  <si>
    <t>OPT-364</t>
  </si>
  <si>
    <t>Payroll, Manpower Data</t>
  </si>
  <si>
    <t>PAYROLL</t>
  </si>
  <si>
    <t>NYUWANTI</t>
  </si>
  <si>
    <t>OPT-468</t>
  </si>
  <si>
    <t>IT</t>
  </si>
  <si>
    <t>STAFF IT</t>
  </si>
  <si>
    <t>AGUS FREDDY KURNIAWAN</t>
  </si>
  <si>
    <t>SUPERVISOR IT HARDWARE</t>
  </si>
  <si>
    <t>ABDUL KARIS</t>
  </si>
  <si>
    <t>SUPERVISOR IT SOFTWARE</t>
  </si>
  <si>
    <t>LABBAIKA ALIFUL AUFA</t>
  </si>
  <si>
    <t>OPT-547</t>
  </si>
  <si>
    <t>TKN-33</t>
  </si>
  <si>
    <t>SHE</t>
  </si>
  <si>
    <t>TKN-80</t>
  </si>
  <si>
    <t>JOKO ADI WALUYO</t>
  </si>
  <si>
    <t>SUPERVISOR SHE</t>
  </si>
  <si>
    <t>TKN-37</t>
  </si>
  <si>
    <t>TKN-63</t>
  </si>
  <si>
    <t>OPT-365</t>
  </si>
  <si>
    <t>SETYO WATININGSIH</t>
  </si>
  <si>
    <t>ES-53</t>
  </si>
  <si>
    <t>TKN-60</t>
  </si>
  <si>
    <t>ASRI NOVIYANTI HERMINAH</t>
  </si>
  <si>
    <t>OPT-7</t>
  </si>
  <si>
    <t>TRN &amp; MOTO</t>
  </si>
  <si>
    <t>TRN</t>
  </si>
  <si>
    <t>5S &amp; 4M</t>
  </si>
  <si>
    <t>FPS LL</t>
  </si>
  <si>
    <t>HENY YULIASTUTI</t>
  </si>
  <si>
    <t>ADM-30</t>
  </si>
  <si>
    <t>ADM</t>
  </si>
  <si>
    <t>NOFIA LESTARI</t>
  </si>
  <si>
    <t>OPT-205</t>
  </si>
  <si>
    <t>LESTARI NINGSIH</t>
  </si>
  <si>
    <t>TRAINER</t>
  </si>
  <si>
    <t>DENNY ANDRIATNO PRIBADI</t>
  </si>
  <si>
    <t>DESTY TRI NURHAYATI</t>
  </si>
  <si>
    <t>OPT-216</t>
  </si>
  <si>
    <t>OTHERS</t>
  </si>
  <si>
    <t>AT HOME</t>
  </si>
  <si>
    <t>CUTI HAMIL</t>
  </si>
  <si>
    <t>DEWI INDAH LESTARI</t>
  </si>
  <si>
    <t>OPT-539</t>
  </si>
  <si>
    <t>CHOIRUN NIKMAH</t>
  </si>
  <si>
    <t>OPT-314</t>
  </si>
  <si>
    <t>B00078</t>
  </si>
  <si>
    <t>SITI REFATIN</t>
  </si>
  <si>
    <t>BBF-001</t>
  </si>
  <si>
    <t>YUVITA ICA WARDHANY</t>
  </si>
  <si>
    <t>OPT-285</t>
  </si>
  <si>
    <t>NANIK SETIYAWATI</t>
  </si>
  <si>
    <t xml:space="preserve">RITA SULISTIYAWATI </t>
  </si>
  <si>
    <t>OPT-505</t>
  </si>
  <si>
    <t>ANITA KAROLINA</t>
  </si>
  <si>
    <t>OPT-308</t>
  </si>
  <si>
    <t>NURKHAYATI</t>
  </si>
  <si>
    <t>OPT-222</t>
  </si>
  <si>
    <t>SUROWATI</t>
  </si>
  <si>
    <t>OPT-6</t>
  </si>
  <si>
    <t>ISTI NUR FITRIANA</t>
  </si>
  <si>
    <t>OPT-261</t>
  </si>
  <si>
    <t>WAHYU OKTAVIANA</t>
  </si>
  <si>
    <t>QODARYANI</t>
  </si>
  <si>
    <t>B00599</t>
  </si>
  <si>
    <t>SITI SUNDARI</t>
  </si>
  <si>
    <t>BBF-009</t>
  </si>
  <si>
    <t>IFTA ASMANIAH</t>
  </si>
  <si>
    <t>OPT-322</t>
  </si>
  <si>
    <t>ANA TRISNANINGSIH</t>
  </si>
  <si>
    <t>OPT-336</t>
  </si>
  <si>
    <t>KHOIRIL UMAMAH</t>
  </si>
  <si>
    <t>OPT-190</t>
  </si>
  <si>
    <t>DEWI ERNAWATI</t>
  </si>
  <si>
    <t>OPT-556</t>
  </si>
  <si>
    <t>SUSILOWATI</t>
  </si>
  <si>
    <t>MIR'ATUL HIDAYAH</t>
  </si>
  <si>
    <t>ADM-36</t>
  </si>
  <si>
    <t>SRI PUJI MK</t>
  </si>
  <si>
    <t>OPT-311</t>
  </si>
  <si>
    <t>ZULISTIYANI</t>
  </si>
  <si>
    <t>OPT-310</t>
  </si>
  <si>
    <t>DARYANI</t>
  </si>
  <si>
    <t>OPT-10</t>
  </si>
  <si>
    <t>MURNIASIH</t>
  </si>
  <si>
    <t>OPT-9</t>
  </si>
  <si>
    <t>WAIS AL QURNIE</t>
  </si>
  <si>
    <t>OPT-404</t>
  </si>
  <si>
    <t>PUDJI UTAMI</t>
  </si>
  <si>
    <t>OPT-25</t>
  </si>
  <si>
    <t>ARI WIDIYANI</t>
  </si>
  <si>
    <t>OPT-306</t>
  </si>
  <si>
    <t>PURINAWATI</t>
  </si>
  <si>
    <t>OPT-137</t>
  </si>
  <si>
    <t>ANJAR SETIYANI</t>
  </si>
  <si>
    <t>OPT-201</t>
  </si>
  <si>
    <t>PIPIT FITRIATI</t>
  </si>
  <si>
    <t>OPT-323</t>
  </si>
  <si>
    <t>BUDI FATNASARI</t>
  </si>
  <si>
    <t>SARI NURHAYATI</t>
  </si>
  <si>
    <t>SYAADATUL ABADIYAH</t>
  </si>
  <si>
    <t>SITI ALIYAH</t>
  </si>
  <si>
    <t>OPT-318</t>
  </si>
  <si>
    <t>ROIKHATUL ABHARIYAH</t>
  </si>
  <si>
    <t>OPT-317</t>
  </si>
  <si>
    <t>WAHYU NINGSIH</t>
  </si>
  <si>
    <t>NUR NASEHAH</t>
  </si>
  <si>
    <t>OPT-334</t>
  </si>
  <si>
    <t>SAINUR HAKIM</t>
  </si>
  <si>
    <t>WIHAYA PURMANA SARI</t>
  </si>
  <si>
    <t>OPT-281</t>
  </si>
  <si>
    <t>ERFI ANGGRELIA</t>
  </si>
  <si>
    <t>OPT-541</t>
  </si>
  <si>
    <t>LAILIA NUR ARISTA</t>
  </si>
  <si>
    <t>OPT-21</t>
  </si>
  <si>
    <t>ENDANG NURDIATI</t>
  </si>
  <si>
    <t>OPT-259</t>
  </si>
  <si>
    <t>RAHAYU SAPTONINGSIH</t>
  </si>
  <si>
    <t>OPT-273</t>
  </si>
  <si>
    <t>ASHAR IMADUDIN ROIS</t>
  </si>
  <si>
    <t>OPT-544</t>
  </si>
  <si>
    <t>BUFFER MP</t>
  </si>
  <si>
    <t>BUFFER MP SAMI</t>
  </si>
  <si>
    <t>OTHERS IDL</t>
  </si>
  <si>
    <t>ISMIATI</t>
  </si>
  <si>
    <t>OPT-561</t>
  </si>
  <si>
    <t>SRI MUNIROH</t>
  </si>
  <si>
    <t>OPT-194</t>
  </si>
  <si>
    <t>RIKHA SEPTIANI</t>
  </si>
  <si>
    <t>YULIYANTI</t>
  </si>
  <si>
    <t>OPT-315</t>
  </si>
  <si>
    <t>SAFITRI DEWI KHOERIYAH</t>
  </si>
  <si>
    <t>OPT-268</t>
  </si>
  <si>
    <t>ARI DWI PURWANTO</t>
  </si>
  <si>
    <t>OPT-23</t>
  </si>
  <si>
    <t>YENY FADILAH</t>
  </si>
  <si>
    <t>OPT-120</t>
  </si>
  <si>
    <t>NOVA AULIYATUL FAIZAH</t>
  </si>
  <si>
    <t>OPT-549</t>
  </si>
  <si>
    <t>AGUS WIDODO</t>
  </si>
  <si>
    <t>OPT-128</t>
  </si>
  <si>
    <t xml:space="preserve">MARIA VERONIKA </t>
  </si>
  <si>
    <t>OPT-247</t>
  </si>
  <si>
    <t>SELFA KRESTIANANINGSIH</t>
  </si>
  <si>
    <t>MAWAR RISTIANI</t>
  </si>
  <si>
    <t>SITI FITRIYANTI</t>
  </si>
  <si>
    <t>OPT-515</t>
  </si>
  <si>
    <t>YULIKHAH</t>
  </si>
  <si>
    <t>NAILI NIKHLA SEPTIYANI</t>
  </si>
  <si>
    <t>OPT-548</t>
  </si>
  <si>
    <t>ERVINA RINDHI A</t>
  </si>
  <si>
    <t>OPT-564</t>
  </si>
  <si>
    <t>ELLY NURMAWATI</t>
  </si>
  <si>
    <t>OPT-560</t>
  </si>
  <si>
    <t>DAMAR JATI</t>
  </si>
  <si>
    <t>OPT-567</t>
  </si>
  <si>
    <t>B00273</t>
  </si>
  <si>
    <t>DEWI KHOLIFAH</t>
  </si>
  <si>
    <t>BBF-005</t>
  </si>
  <si>
    <t>STEVANUS GENTA NOVENDRA PRAYOGA</t>
  </si>
  <si>
    <t>OPT-524</t>
  </si>
  <si>
    <t>OPT-300</t>
  </si>
  <si>
    <t>OPT-192</t>
  </si>
  <si>
    <t>OPT-16</t>
  </si>
  <si>
    <t>CHOLISATUN NI'MAH</t>
  </si>
  <si>
    <t>OPT-324</t>
  </si>
  <si>
    <t>OPT-509</t>
  </si>
  <si>
    <t>OPT-253</t>
  </si>
  <si>
    <t>BBF-004</t>
  </si>
  <si>
    <t>OPT-230</t>
  </si>
  <si>
    <t>OPT-134</t>
  </si>
  <si>
    <t>OPT-438</t>
  </si>
  <si>
    <t>OPT-129</t>
  </si>
  <si>
    <t>OPT-295</t>
  </si>
  <si>
    <t>OPT-135</t>
  </si>
  <si>
    <t>OPT-283</t>
  </si>
  <si>
    <t xml:space="preserve">IIN NURUL AFIDAH </t>
  </si>
  <si>
    <t>OPT-475</t>
  </si>
  <si>
    <t>OPT-198</t>
  </si>
  <si>
    <t>OPT-309</t>
  </si>
  <si>
    <t>OPT-423</t>
  </si>
  <si>
    <t>OPT-374</t>
  </si>
  <si>
    <t>OPT-240</t>
  </si>
  <si>
    <t>OPT-246</t>
  </si>
  <si>
    <t>OPT-17</t>
  </si>
  <si>
    <t>OPT-558</t>
  </si>
  <si>
    <t>OPT-392</t>
  </si>
  <si>
    <t>OPT-510</t>
  </si>
  <si>
    <t>OPT-284</t>
  </si>
  <si>
    <t>BBF-028</t>
  </si>
  <si>
    <t>OPT-217</t>
  </si>
  <si>
    <t>OPT-297</t>
  </si>
  <si>
    <t>OPT-8</t>
  </si>
  <si>
    <t>OPT-195</t>
  </si>
  <si>
    <t xml:space="preserve">RIA EVA KARMILA </t>
  </si>
  <si>
    <t>OPT-506</t>
  </si>
  <si>
    <t>WINDAH MARIYAH BAKTIANA</t>
  </si>
  <si>
    <t>OPT-316</t>
  </si>
  <si>
    <t>YULLY DWITIANTI</t>
  </si>
  <si>
    <t>OPT-333</t>
  </si>
  <si>
    <t>HENY RAHMAWATI</t>
  </si>
  <si>
    <t>RITA YULIYANTI</t>
  </si>
  <si>
    <t>AFTER CUTI HAMIL</t>
  </si>
  <si>
    <t>YASTIKA YUAN RIFANA</t>
  </si>
  <si>
    <t>ROZALIYAH</t>
  </si>
  <si>
    <t>OPT-265</t>
  </si>
  <si>
    <t>PUDJI RAHAYU</t>
  </si>
  <si>
    <t>OPT-24</t>
  </si>
  <si>
    <t>OPT-294</t>
  </si>
  <si>
    <t>RENITA</t>
  </si>
  <si>
    <t>RAKHMA ROSITA INDAH</t>
  </si>
  <si>
    <t>OPT-32</t>
  </si>
  <si>
    <t>SETIYONO EKO NUGROHO</t>
  </si>
  <si>
    <t>ES-50</t>
  </si>
  <si>
    <t>TRN @ OVERSEAS</t>
  </si>
  <si>
    <t>TRN @ OVERSEAS - TCS 5</t>
  </si>
  <si>
    <t>SAULINA RUDIYANTI</t>
  </si>
  <si>
    <t>ARIES UMI KUSMIAH</t>
  </si>
  <si>
    <t>OPT-282</t>
  </si>
  <si>
    <t>SILFIYA ANI YULIANA</t>
  </si>
  <si>
    <t>ERI DEVIA PRIHATININGRUM</t>
  </si>
  <si>
    <t>OPT-307</t>
  </si>
  <si>
    <t>NOVIA PRIHATININGSIH</t>
  </si>
  <si>
    <t>NURSITA AYU FATMANINGTYAS</t>
  </si>
  <si>
    <t>JUNI AROFATUL M</t>
  </si>
  <si>
    <t>PUJI HARJANTI</t>
  </si>
  <si>
    <t>AHMAD YAENURI</t>
  </si>
  <si>
    <t>OPT-279</t>
  </si>
  <si>
    <t>AHMAD MAHFUD ELA MAULANA</t>
  </si>
  <si>
    <t>TKN-82</t>
  </si>
  <si>
    <t>TRN @ OVERSEAS - TCS 6</t>
  </si>
  <si>
    <t>VIPIT WULANINGSIH</t>
  </si>
  <si>
    <t>ULFA SRI PANGESTU</t>
  </si>
  <si>
    <t>OPT-445</t>
  </si>
  <si>
    <t>NISA US'SHOLIKHA</t>
  </si>
  <si>
    <t>OPT-470</t>
  </si>
  <si>
    <t>EKO PRASETYO</t>
  </si>
  <si>
    <t>AMBARWATI</t>
  </si>
  <si>
    <t>OPT-319</t>
  </si>
  <si>
    <t>TRN @ OVERSEAS - DAITO 9</t>
  </si>
  <si>
    <t>DHATI ASTITI</t>
  </si>
  <si>
    <t>NUR AFRIDATUL KONA'AH</t>
  </si>
  <si>
    <t>OPT-379</t>
  </si>
  <si>
    <t>TIWI NOVIANA</t>
  </si>
  <si>
    <t>OPT-270</t>
  </si>
  <si>
    <t>NURUL CHASANAH</t>
  </si>
  <si>
    <t>NOVITASARI</t>
  </si>
  <si>
    <t>LISTIYANI MANISA</t>
  </si>
  <si>
    <t>OPT-204</t>
  </si>
  <si>
    <t>WIDA WIJAYANTI</t>
  </si>
  <si>
    <t>OPT-375</t>
  </si>
  <si>
    <t>B00869</t>
  </si>
  <si>
    <t>AMALIA UMI IMAWATI</t>
  </si>
  <si>
    <t>BBF-018</t>
  </si>
  <si>
    <t>ABDUL SIAMIN</t>
  </si>
  <si>
    <t>OPT-572</t>
  </si>
  <si>
    <t>NEOP</t>
  </si>
  <si>
    <t>TRAINING EMPLOYEE IN CLASS</t>
  </si>
  <si>
    <t>HENRY RADITIYA</t>
  </si>
  <si>
    <t>IGNATIUS BAYU DEWANTARA</t>
  </si>
  <si>
    <t>TRI RAHAYUNINGTYAS</t>
  </si>
  <si>
    <t>NUR ROFIQOH</t>
  </si>
  <si>
    <t>OPT-575</t>
  </si>
  <si>
    <t>AHMAD NIKO PRADANA</t>
  </si>
  <si>
    <t>OPT-577</t>
  </si>
  <si>
    <t>AVINO SATYA TIRTA BAHARI</t>
  </si>
  <si>
    <t>JEVON ATTARIQ</t>
  </si>
  <si>
    <t>MUALIMIN</t>
  </si>
  <si>
    <t>MUH AGUS RAHAYU</t>
  </si>
  <si>
    <t>WAHYU AJI KRIS DARYANTO</t>
  </si>
  <si>
    <t>M23620</t>
  </si>
  <si>
    <t>FANI IRSAD MUBAROK</t>
  </si>
  <si>
    <t>OPT-578</t>
  </si>
  <si>
    <t>M23636</t>
  </si>
  <si>
    <t>SIGIT ANDRE ANANTA</t>
  </si>
  <si>
    <t>M23640</t>
  </si>
  <si>
    <t>SRI MURTINI</t>
  </si>
  <si>
    <t>M23645</t>
  </si>
  <si>
    <t>AKTOVIANY ARNANDA MIRANTO</t>
  </si>
  <si>
    <t>OPT-579</t>
  </si>
  <si>
    <t>M23646</t>
  </si>
  <si>
    <t>ANIS HANDAYANI</t>
  </si>
  <si>
    <t>M23647</t>
  </si>
  <si>
    <t>ANIS SETYANINGSIH</t>
  </si>
  <si>
    <t>M23648</t>
  </si>
  <si>
    <t>AFWAJA MAULANI</t>
  </si>
  <si>
    <t>M23649</t>
  </si>
  <si>
    <t>DIAH FITRI FEBRIANA</t>
  </si>
  <si>
    <t>M23650</t>
  </si>
  <si>
    <t>DIAN PRASTIKA</t>
  </si>
  <si>
    <t>M23651</t>
  </si>
  <si>
    <t>DIAN WIDIYASARI</t>
  </si>
  <si>
    <t>M23652</t>
  </si>
  <si>
    <t>ISNANI</t>
  </si>
  <si>
    <t>M23653</t>
  </si>
  <si>
    <t>KHOIRUL UMAM</t>
  </si>
  <si>
    <t>M23654</t>
  </si>
  <si>
    <t>KHOLIFATUSA'ADAH</t>
  </si>
  <si>
    <t>M23655</t>
  </si>
  <si>
    <t>KHUROTUL ZUFAIRI</t>
  </si>
  <si>
    <t>M23656</t>
  </si>
  <si>
    <t>KURNIATI</t>
  </si>
  <si>
    <t>M23657</t>
  </si>
  <si>
    <t>LILIS TRI INDIANA</t>
  </si>
  <si>
    <t>M23658</t>
  </si>
  <si>
    <t>MARLINA WANDA SABELA</t>
  </si>
  <si>
    <t>M23659</t>
  </si>
  <si>
    <t>MEGA SAFITRI</t>
  </si>
  <si>
    <t>M23660</t>
  </si>
  <si>
    <t>MILLA HUMEIDAH</t>
  </si>
  <si>
    <t>M23661</t>
  </si>
  <si>
    <t>MUKAROMAH</t>
  </si>
  <si>
    <t>M23662</t>
  </si>
  <si>
    <t>NUR ATIKASARI</t>
  </si>
  <si>
    <t>M23663</t>
  </si>
  <si>
    <t>NUR FAJRIYAH ANGGRAINI RISYANA</t>
  </si>
  <si>
    <t>M23664</t>
  </si>
  <si>
    <t>PARAMITA OKTAVIANA WULANSARI</t>
  </si>
  <si>
    <t>M23665</t>
  </si>
  <si>
    <t>PUJI ASTUTI</t>
  </si>
  <si>
    <t>M23666</t>
  </si>
  <si>
    <t>PUJI MULYANI</t>
  </si>
  <si>
    <t>M23667</t>
  </si>
  <si>
    <t>PUTRIANA KARTIKAWATI</t>
  </si>
  <si>
    <t>M23668</t>
  </si>
  <si>
    <t>ROSITA IKA YULIANA</t>
  </si>
  <si>
    <t>M23669</t>
  </si>
  <si>
    <t>SITI SAROH</t>
  </si>
  <si>
    <t>M23670</t>
  </si>
  <si>
    <t>TRI REZA AFIDA</t>
  </si>
  <si>
    <t>M23671</t>
  </si>
  <si>
    <t>ULUL AFIDAH</t>
  </si>
  <si>
    <t>M23672</t>
  </si>
  <si>
    <t>UMI ARIFAH</t>
  </si>
  <si>
    <t>M23673</t>
  </si>
  <si>
    <t>VITA SARI</t>
  </si>
  <si>
    <t>M23674</t>
  </si>
  <si>
    <t>YASINTA</t>
  </si>
  <si>
    <t>M23675</t>
  </si>
  <si>
    <t>YULIA CAHYA WULANDARI</t>
  </si>
  <si>
    <t>M23676</t>
  </si>
  <si>
    <t>TUWI JANAH</t>
  </si>
  <si>
    <t>OPT-580</t>
  </si>
  <si>
    <t>M23677</t>
  </si>
  <si>
    <t>AULIYA RAHMAWATI</t>
  </si>
  <si>
    <t>M23678</t>
  </si>
  <si>
    <t>DAMAS SYAIVA YULI ATMA</t>
  </si>
  <si>
    <t>M23679</t>
  </si>
  <si>
    <t xml:space="preserve">DEBY DWI PRASASTI </t>
  </si>
  <si>
    <t>M23680</t>
  </si>
  <si>
    <t>DESI UTAMININGSIH</t>
  </si>
  <si>
    <t>M23681</t>
  </si>
  <si>
    <t>DWI INDAH PRIHATIN</t>
  </si>
  <si>
    <t>M23682</t>
  </si>
  <si>
    <t>DWI LISTYANI</t>
  </si>
  <si>
    <t>M23683</t>
  </si>
  <si>
    <t>ERVITA INDAH WULANDARI</t>
  </si>
  <si>
    <t>M23684</t>
  </si>
  <si>
    <t>FARIKHATUL AZIZAH</t>
  </si>
  <si>
    <t>M23685</t>
  </si>
  <si>
    <t>FITJAR JAYATI</t>
  </si>
  <si>
    <t>M23686</t>
  </si>
  <si>
    <t>GETAR SUKMA LEONITA</t>
  </si>
  <si>
    <t>M23687</t>
  </si>
  <si>
    <t>HESTI CAHYA PRASTIKA</t>
  </si>
  <si>
    <t>M23688</t>
  </si>
  <si>
    <t>HESTI RAHMAWATI</t>
  </si>
  <si>
    <t>M23689</t>
  </si>
  <si>
    <t>IDA NURSANTI</t>
  </si>
  <si>
    <t>M23691</t>
  </si>
  <si>
    <t>IKA NURMALA</t>
  </si>
  <si>
    <t>M23692</t>
  </si>
  <si>
    <t>IMRO'ATUS SA'ADAH</t>
  </si>
  <si>
    <t>M23693</t>
  </si>
  <si>
    <t>INDIANA RIZQIKA</t>
  </si>
  <si>
    <t>M23694</t>
  </si>
  <si>
    <t>INNA RETNOSARI</t>
  </si>
  <si>
    <t>M23695</t>
  </si>
  <si>
    <t>JAMILATUN</t>
  </si>
  <si>
    <t>M23696</t>
  </si>
  <si>
    <t>WAHYU ENJANG DWI SHAPUTRI</t>
  </si>
  <si>
    <t>M23697</t>
  </si>
  <si>
    <t>LILIS BUDI LESTARI</t>
  </si>
  <si>
    <t>M23698</t>
  </si>
  <si>
    <t>LISTY ALAWIYAH</t>
  </si>
  <si>
    <t>M23699</t>
  </si>
  <si>
    <t xml:space="preserve">MARINA KAMILATUL WITRI </t>
  </si>
  <si>
    <t>M23700</t>
  </si>
  <si>
    <t>MIFTAKHUL CHASANAH</t>
  </si>
  <si>
    <t>M23701</t>
  </si>
  <si>
    <t>MILATUL HIDAYAH</t>
  </si>
  <si>
    <t>M23702</t>
  </si>
  <si>
    <t>NINING LESTARI</t>
  </si>
  <si>
    <t>M23703</t>
  </si>
  <si>
    <t>PUTRI INDAH SARI</t>
  </si>
  <si>
    <t>M23704</t>
  </si>
  <si>
    <t>RANNY NUR HIDAYAH</t>
  </si>
  <si>
    <t>M23705</t>
  </si>
  <si>
    <t>RINI ERMA SETIANI</t>
  </si>
  <si>
    <t>M23706</t>
  </si>
  <si>
    <t>WAHYU SRI DHEFVI</t>
  </si>
  <si>
    <t>M23707</t>
  </si>
  <si>
    <t>SEVIKA KURDIYANTI</t>
  </si>
  <si>
    <t>M23708</t>
  </si>
  <si>
    <t>SITI KHORIDATUL UMMAH</t>
  </si>
  <si>
    <t>M23709</t>
  </si>
  <si>
    <t>SITI LAILATUL FITRI</t>
  </si>
  <si>
    <t>M23710</t>
  </si>
  <si>
    <t>SITI MAULIDAH</t>
  </si>
  <si>
    <t>FERRY ADI SAPUTRO</t>
  </si>
  <si>
    <t>ADM-45</t>
  </si>
  <si>
    <t>EXIM</t>
  </si>
  <si>
    <t>ARIYAWATI</t>
  </si>
  <si>
    <t>OPT-5</t>
  </si>
  <si>
    <t>LEADER EXIM</t>
  </si>
  <si>
    <t>EKA NUR RAHMAWATI</t>
  </si>
  <si>
    <t>FITRIA ENDAH PRATIWI</t>
  </si>
  <si>
    <t>FPS SPV</t>
  </si>
  <si>
    <t>BEKTI UTAMI</t>
  </si>
  <si>
    <t>NADHIFATUN</t>
  </si>
  <si>
    <t>OPT-173</t>
  </si>
  <si>
    <t>MARGARETHA PANTOW</t>
  </si>
  <si>
    <t>ES-72</t>
  </si>
  <si>
    <t>OPT-13</t>
  </si>
  <si>
    <t>L. DOCK</t>
  </si>
  <si>
    <t>GL</t>
  </si>
  <si>
    <t>LD</t>
  </si>
  <si>
    <t>OPT</t>
  </si>
  <si>
    <t>OPT-377</t>
  </si>
  <si>
    <t>OPT-476</t>
  </si>
  <si>
    <t>FADILLAH MARIZA ACHMAD</t>
  </si>
  <si>
    <t>OPT-516</t>
  </si>
  <si>
    <t>AHMAD FAUZI</t>
  </si>
  <si>
    <t>OPT-537</t>
  </si>
  <si>
    <t>BBF-008</t>
  </si>
  <si>
    <t>KHOMSU RIZAL ABDILLAH</t>
  </si>
  <si>
    <t>OPT-517</t>
  </si>
  <si>
    <t>TRI NOVI PUJIYANTI</t>
  </si>
  <si>
    <t>ADM-3</t>
  </si>
  <si>
    <t>TOYI'IN</t>
  </si>
  <si>
    <t>FAJAR ALFARIS</t>
  </si>
  <si>
    <t>OPT-543</t>
  </si>
  <si>
    <t>SUGIYATI</t>
  </si>
  <si>
    <t>OPT-14</t>
  </si>
  <si>
    <t>OPT-130</t>
  </si>
  <si>
    <t>OPT-141</t>
  </si>
  <si>
    <t>AZHARI JUNIAR W</t>
  </si>
  <si>
    <t>OPT-519</t>
  </si>
  <si>
    <t>ARIN DWI NUGROHO</t>
  </si>
  <si>
    <t>BBF-105</t>
  </si>
  <si>
    <t>WIGONDO SUWANDITO</t>
  </si>
  <si>
    <t>OPT-554</t>
  </si>
  <si>
    <t>AHMAD NUROJI</t>
  </si>
  <si>
    <t>OPT-557</t>
  </si>
  <si>
    <t>ACHMAD SOEBIRIN</t>
  </si>
  <si>
    <t>MUHAMAD IQBAL FUAD</t>
  </si>
  <si>
    <t>FAKHRI ANDRIAWAN</t>
  </si>
  <si>
    <t>FADILAH</t>
  </si>
  <si>
    <t>NANDRA ADITIA ANDRIAN</t>
  </si>
  <si>
    <t>ADM-57</t>
  </si>
  <si>
    <t>LIS</t>
  </si>
  <si>
    <t>LOG. INVENTORY SYSTEM</t>
  </si>
  <si>
    <t>ASYAIFU HENDRO MULYONO</t>
  </si>
  <si>
    <t>NURHIDAYAT</t>
  </si>
  <si>
    <t>AGUNG WIRANTO</t>
  </si>
  <si>
    <t>ES-34</t>
  </si>
  <si>
    <t>MPC</t>
  </si>
  <si>
    <t>LEADER (SAMI)</t>
  </si>
  <si>
    <t>SITI NUR KUMALASARI</t>
  </si>
  <si>
    <t>ADVIN WIDILISTYANINGSIH</t>
  </si>
  <si>
    <t>ADM-28</t>
  </si>
  <si>
    <t>DATA ORDERING</t>
  </si>
  <si>
    <t>AMALIA ULFA</t>
  </si>
  <si>
    <t>ADM-29</t>
  </si>
  <si>
    <t>IC</t>
  </si>
  <si>
    <t>NUNIK MANDARWATI</t>
  </si>
  <si>
    <t>LINA HANAFIYAH</t>
  </si>
  <si>
    <t>ADM-31</t>
  </si>
  <si>
    <t>FACHRURODZI</t>
  </si>
  <si>
    <t>GL MPC</t>
  </si>
  <si>
    <t>SITI SOFIATUN</t>
  </si>
  <si>
    <t>WIWIK UTAMI</t>
  </si>
  <si>
    <t>ITEM MASTER</t>
  </si>
  <si>
    <t>KIKI TRI NUR CAHYO L.</t>
  </si>
  <si>
    <t>FAJAR PANCA SULISTIANI</t>
  </si>
  <si>
    <t>SRI SURAMI</t>
  </si>
  <si>
    <t>OPT-3</t>
  </si>
  <si>
    <t>PPC</t>
  </si>
  <si>
    <t>ARI KRISTANTO</t>
  </si>
  <si>
    <t>WAHYUDI</t>
  </si>
  <si>
    <t>COORD. SUPERVISOR</t>
  </si>
  <si>
    <t>SUTIYANI</t>
  </si>
  <si>
    <t>M. FATIH AL ICHSAN</t>
  </si>
  <si>
    <t>ADM-47</t>
  </si>
  <si>
    <t>AHMAD MAHBUB</t>
  </si>
  <si>
    <t>OPT-325</t>
  </si>
  <si>
    <t>ANDRIANA WIDYASTUTI</t>
  </si>
  <si>
    <t>ES-32</t>
  </si>
  <si>
    <t>AHMAD MAULANA NUR H.</t>
  </si>
  <si>
    <t>TKN-64</t>
  </si>
  <si>
    <t>TAUFIQ ZEIN AMRULLAH</t>
  </si>
  <si>
    <t>GITA SAVITRI</t>
  </si>
  <si>
    <t>ES-68</t>
  </si>
  <si>
    <t>B01882</t>
  </si>
  <si>
    <t>M. NUR FATKHAN</t>
  </si>
  <si>
    <t>BBF-070</t>
  </si>
  <si>
    <t>GL PPC</t>
  </si>
  <si>
    <t>WHS</t>
  </si>
  <si>
    <t>UNLOADING</t>
  </si>
  <si>
    <t>WHS SUPPLY</t>
  </si>
  <si>
    <t>OPT-125</t>
  </si>
  <si>
    <t>WHS IN</t>
  </si>
  <si>
    <t>MOCHAMAT SOBIRIN</t>
  </si>
  <si>
    <t>LEADER (AI)</t>
  </si>
  <si>
    <t>ADM C/M AS SAMI</t>
  </si>
  <si>
    <t>GL WHS</t>
  </si>
  <si>
    <t>OPT-483</t>
  </si>
  <si>
    <t>SUWANDI</t>
  </si>
  <si>
    <t>NUR KOSIM</t>
  </si>
  <si>
    <t>OPT-26</t>
  </si>
  <si>
    <t>ANGKI FITRA ADITYA</t>
  </si>
  <si>
    <t>ADM-54</t>
  </si>
  <si>
    <t>OPT-386</t>
  </si>
  <si>
    <t>SAEFUDIN ZUHRI</t>
  </si>
  <si>
    <t>ADE BUDI KURNIAWAN</t>
  </si>
  <si>
    <t>ES-52</t>
  </si>
  <si>
    <t>ROBI MAULANA</t>
  </si>
  <si>
    <t>OPT-495</t>
  </si>
  <si>
    <t xml:space="preserve">M SYAMSUL MA'ARIF </t>
  </si>
  <si>
    <t>OPT-511</t>
  </si>
  <si>
    <t>AZIANDA NURIL MUSLIMUN</t>
  </si>
  <si>
    <t>OPT-512</t>
  </si>
  <si>
    <t>GALUH MOHAMAD RIYADI</t>
  </si>
  <si>
    <t>WILLYAN EKO SAPUTRO</t>
  </si>
  <si>
    <t>OPT-518</t>
  </si>
  <si>
    <t>WINTON PRASTYO</t>
  </si>
  <si>
    <t>WAHYU ISKIYANTO</t>
  </si>
  <si>
    <t>OPT-528</t>
  </si>
  <si>
    <t>ANA SYAVIRA</t>
  </si>
  <si>
    <t>ANIS WULANTIKA APRILIYANI</t>
  </si>
  <si>
    <t>ATHOILLAH</t>
  </si>
  <si>
    <t>DULKIFLI</t>
  </si>
  <si>
    <t>DWI SETYOWATI</t>
  </si>
  <si>
    <t>EDY PURWANTO</t>
  </si>
  <si>
    <t>FERI WICAKSONO</t>
  </si>
  <si>
    <t>HUDALLOH'AUNI</t>
  </si>
  <si>
    <t>KHOLID FAJAR YULIONO</t>
  </si>
  <si>
    <t>M. NASTA'IN</t>
  </si>
  <si>
    <t>MUHAMMAD BAYU RIZKY AKBAR</t>
  </si>
  <si>
    <t>OPT-538</t>
  </si>
  <si>
    <t>UBAIDILLAH</t>
  </si>
  <si>
    <t>OPT-546</t>
  </si>
  <si>
    <t>ANDREAN YOGA PRATAMA</t>
  </si>
  <si>
    <t>MUHAMAD ALI SAJIDIN</t>
  </si>
  <si>
    <t>SIGIT UTOMO</t>
  </si>
  <si>
    <t>SODIQUR ROSIDIN</t>
  </si>
  <si>
    <t>WAHYU SUDRAJAT</t>
  </si>
  <si>
    <t>ANDUNG SETYO</t>
  </si>
  <si>
    <t>C/M AI</t>
  </si>
  <si>
    <t>EKO PUJIANTO</t>
  </si>
  <si>
    <t>SRI WARDOYO</t>
  </si>
  <si>
    <t>OPT-148</t>
  </si>
  <si>
    <t>OPT-481</t>
  </si>
  <si>
    <t xml:space="preserve">FAISAL ROMIAWAN </t>
  </si>
  <si>
    <t>OPT-513</t>
  </si>
  <si>
    <t>B01848</t>
  </si>
  <si>
    <t>ARIF AFANDI</t>
  </si>
  <si>
    <t>BBF-069</t>
  </si>
  <si>
    <t>AJI ANJASMORO</t>
  </si>
  <si>
    <t>OPT-552</t>
  </si>
  <si>
    <t>MOCHAMAD MUSTAKIM</t>
  </si>
  <si>
    <t>OPT-555</t>
  </si>
  <si>
    <t>MUH ABDUL MUNIF</t>
  </si>
  <si>
    <t>WAHYU ADI SURYANTO</t>
  </si>
  <si>
    <t>M AZIZUL KHAKIM</t>
  </si>
  <si>
    <t>OPT-563</t>
  </si>
  <si>
    <t>HARIYANTO</t>
  </si>
  <si>
    <t>RIFKA APRILIA</t>
  </si>
  <si>
    <t>PENI HANDAYANI</t>
  </si>
  <si>
    <t>OPT-562</t>
  </si>
  <si>
    <t>PEBRI WAHYU LESTARI</t>
  </si>
  <si>
    <t>OPT-550</t>
  </si>
  <si>
    <t>TKN-2</t>
  </si>
  <si>
    <t>CT</t>
  </si>
  <si>
    <t>LEADER PREPARATION CT</t>
  </si>
  <si>
    <t>TKN-5</t>
  </si>
  <si>
    <t>CS &amp; BS + IPS</t>
  </si>
  <si>
    <t>CRIMP STD</t>
  </si>
  <si>
    <t>TKN-27</t>
  </si>
  <si>
    <t>PREPARATION CT &amp; MODIF APPL</t>
  </si>
  <si>
    <t>CROSS SECT.</t>
  </si>
  <si>
    <t>CS &amp; BS + IPS &amp; ORDERING</t>
  </si>
  <si>
    <t>TKN-3</t>
  </si>
  <si>
    <t>PREPARATION, OVER HOUL, IMPROVEMENT</t>
  </si>
  <si>
    <t>CBP</t>
  </si>
  <si>
    <t>TKN-21</t>
  </si>
  <si>
    <t>BREAKDOWN</t>
  </si>
  <si>
    <t>TKN-42</t>
  </si>
  <si>
    <t>TKN-43</t>
  </si>
  <si>
    <t>TKN-44</t>
  </si>
  <si>
    <t>TKN-68</t>
  </si>
  <si>
    <t>LEADER PREPARATION &amp; IMPROVEMENT</t>
  </si>
  <si>
    <t>LEADER MTC BREAKDOWN</t>
  </si>
  <si>
    <t>FPI LL</t>
  </si>
  <si>
    <t>BONIR ARIO TUBAGUS</t>
  </si>
  <si>
    <t>LEADER ANALISIS DOWNTIME</t>
  </si>
  <si>
    <t>GEDE WIJI SANTOSO</t>
  </si>
  <si>
    <t>LEADER MACHINE LOADING</t>
  </si>
  <si>
    <t>ADM-32</t>
  </si>
  <si>
    <t>LEADER CONTROL PREVENTIV PC</t>
  </si>
  <si>
    <t>ADMINISTRASI &amp; ANALISIS CONTROL DOWNTIME, CONTROL ASET</t>
  </si>
  <si>
    <t>DATA &amp; ORDERING</t>
  </si>
  <si>
    <t>OPT-220</t>
  </si>
  <si>
    <t>TKN-52</t>
  </si>
  <si>
    <t>ANDRI TRIANGGORO</t>
  </si>
  <si>
    <t>ES-28</t>
  </si>
  <si>
    <t>LL IMPROVEMENT AND KIZUKAI</t>
  </si>
  <si>
    <t>TKN-54</t>
  </si>
  <si>
    <t>SITI SOLECHAH</t>
  </si>
  <si>
    <t xml:space="preserve">ANALISA DATA </t>
  </si>
  <si>
    <t>TKN-69</t>
  </si>
  <si>
    <t>TKN-83</t>
  </si>
  <si>
    <t>TKN-4</t>
  </si>
  <si>
    <t>TKN-35</t>
  </si>
  <si>
    <t>TKN-40</t>
  </si>
  <si>
    <t>TKN-56</t>
  </si>
  <si>
    <t>DIAN INDRIANA</t>
  </si>
  <si>
    <t>OPT-28</t>
  </si>
  <si>
    <t>PRD IMP</t>
  </si>
  <si>
    <t>KAIZEN</t>
  </si>
  <si>
    <t>TKN-75</t>
  </si>
  <si>
    <t>WKS</t>
  </si>
  <si>
    <t>TKN-101</t>
  </si>
  <si>
    <t xml:space="preserve">EQUIPMENT FABRICATION </t>
  </si>
  <si>
    <t>WORKSHOP</t>
  </si>
  <si>
    <t>KUNCORO FIRDAUS</t>
  </si>
  <si>
    <t>SPV PI</t>
  </si>
  <si>
    <t>PEBRIYANTO</t>
  </si>
  <si>
    <t>TKN-7</t>
  </si>
  <si>
    <t>PRD SYSTEM</t>
  </si>
  <si>
    <t>DESIGN LAYOUT</t>
  </si>
  <si>
    <t>ABDUL MANAN</t>
  </si>
  <si>
    <t>ID STANDARDIZATION AND GOBAN NOME</t>
  </si>
  <si>
    <t>PROCESS ENG</t>
  </si>
  <si>
    <t>TKN-65</t>
  </si>
  <si>
    <t>AGUS TRIYONO</t>
  </si>
  <si>
    <t>TKN-25</t>
  </si>
  <si>
    <t>KANBAN &amp; STANDARD</t>
  </si>
  <si>
    <t>KANBAN CONTROL</t>
  </si>
  <si>
    <t>ZUSTINA</t>
  </si>
  <si>
    <t>AHMAD ISNAPUN</t>
  </si>
  <si>
    <t>ARI SUSILO</t>
  </si>
  <si>
    <t>SITI RONDIYAH</t>
  </si>
  <si>
    <t>NUNIK WAHYUNI</t>
  </si>
  <si>
    <t xml:space="preserve">ADAM SATRIA PUTRA DINATA </t>
  </si>
  <si>
    <t>ADM-66</t>
  </si>
  <si>
    <t>AZIS LUSIANA</t>
  </si>
  <si>
    <t>SITI KHUMAISIYAH</t>
  </si>
  <si>
    <t>REZYKA IKHSAN AL ROSYID</t>
  </si>
  <si>
    <t>OPT-566</t>
  </si>
  <si>
    <t>PUPUT ANDRIYANTO</t>
  </si>
  <si>
    <t>SPV Pr.E</t>
  </si>
  <si>
    <t>YUSUF DWI SUSILO</t>
  </si>
  <si>
    <t>SPV PS</t>
  </si>
  <si>
    <t>ANDRY SUSANTO</t>
  </si>
  <si>
    <t>TRI ANDRIYANI</t>
  </si>
  <si>
    <t>RINY CUSYANINGSIH</t>
  </si>
  <si>
    <t>PD</t>
  </si>
  <si>
    <t>PD GM</t>
  </si>
  <si>
    <t>DE</t>
  </si>
  <si>
    <t>ANGGA TIYAS ARYANTO</t>
  </si>
  <si>
    <t>EDITOR</t>
  </si>
  <si>
    <t>HARJAH ARIF</t>
  </si>
  <si>
    <t>PD IMPROVEMENT</t>
  </si>
  <si>
    <t>SPV IMPROVEMENT</t>
  </si>
  <si>
    <t>MARDIYANTI WIDY ASTUTI</t>
  </si>
  <si>
    <t>PD JPN &amp; DOM</t>
  </si>
  <si>
    <t>TRI HARYANTI</t>
  </si>
  <si>
    <t>SRIYATI</t>
  </si>
  <si>
    <t>HARI SASONGKO</t>
  </si>
  <si>
    <t>SPV PD JAPAN</t>
  </si>
  <si>
    <t>ISTINI</t>
  </si>
  <si>
    <t>MOCH. SARIFUDIN</t>
  </si>
  <si>
    <t>MUH. SYARIFUDIN</t>
  </si>
  <si>
    <t>YULIA WULAN SARI</t>
  </si>
  <si>
    <t>TKN-66</t>
  </si>
  <si>
    <t>J/C BP</t>
  </si>
  <si>
    <t>PROGRAMER CHECKER BOARD</t>
  </si>
  <si>
    <t>CHECKER BOARD FABRICATION</t>
  </si>
  <si>
    <t>TKN-108</t>
  </si>
  <si>
    <t>ITE</t>
  </si>
  <si>
    <t>LL (MAGANG)</t>
  </si>
  <si>
    <t>TKN-221</t>
  </si>
  <si>
    <t>CHECKER BOARD VALIDATION</t>
  </si>
  <si>
    <t>DYAH PUTRI PUSPITASARI</t>
  </si>
  <si>
    <t>ES-69</t>
  </si>
  <si>
    <t>LL NAVIGASI &amp; CHECKER</t>
  </si>
  <si>
    <t>SUPRAYOGI</t>
  </si>
  <si>
    <t>TKN-51</t>
  </si>
  <si>
    <t>ARIS SETIA BUDI</t>
  </si>
  <si>
    <t>TKN-116</t>
  </si>
  <si>
    <t>JBP</t>
  </si>
  <si>
    <t>VALIDASI JIG BOARD</t>
  </si>
  <si>
    <t>AHMAT SLAMET RIYADI</t>
  </si>
  <si>
    <t>DRAFTER JIG BOARD</t>
  </si>
  <si>
    <t>OPT-389</t>
  </si>
  <si>
    <t>JIG BOARD FABRICATION</t>
  </si>
  <si>
    <t>INDRA DWI MAULANA</t>
  </si>
  <si>
    <t>INPUT DOWNTIME</t>
  </si>
  <si>
    <t>MUHAMMAD ATOURRAHMAN</t>
  </si>
  <si>
    <t>TKN-110</t>
  </si>
  <si>
    <t>WIDYA ROMADHANNI</t>
  </si>
  <si>
    <t>TKN-112</t>
  </si>
  <si>
    <t>TKN-39</t>
  </si>
  <si>
    <t>ALFIAN NURI CAHYO</t>
  </si>
  <si>
    <t>OPT-390</t>
  </si>
  <si>
    <t>TKN-31</t>
  </si>
  <si>
    <t>JCN</t>
  </si>
  <si>
    <t>BREAKDOWN FA</t>
  </si>
  <si>
    <t>JIG BOARD PREVENTIF</t>
  </si>
  <si>
    <t>TKN-106</t>
  </si>
  <si>
    <t>CNC &amp; MILLING</t>
  </si>
  <si>
    <t>ARIE CAHYADI</t>
  </si>
  <si>
    <t>LL JIG CHECKER NAVIGASI</t>
  </si>
  <si>
    <t>CNC &amp; MILLING MATTING PART DESIGN &amp; FABRICATION</t>
  </si>
  <si>
    <t>BREAKDOWN &amp; PREVENTIVE CONVEYOR</t>
  </si>
  <si>
    <t>TKN-119</t>
  </si>
  <si>
    <t>TKN-114</t>
  </si>
  <si>
    <t>MUHAMMAD SHOBIRIN</t>
  </si>
  <si>
    <t>TKN-117</t>
  </si>
  <si>
    <t>TEGUH NUR HIDAYAH</t>
  </si>
  <si>
    <t>OPT-11</t>
  </si>
  <si>
    <t>JCP</t>
  </si>
  <si>
    <t xml:space="preserve">PREPARE ORDERING PART AND CONTROL STOCK MATERIAL JIG BOARD </t>
  </si>
  <si>
    <t>EKO ARIF SUSIANTO</t>
  </si>
  <si>
    <t>FATHARANI PUTRI QANITA</t>
  </si>
  <si>
    <t>ES-30</t>
  </si>
  <si>
    <t>INTERPRETER</t>
  </si>
  <si>
    <t>HARIS NURIDHO</t>
  </si>
  <si>
    <t>NIP</t>
  </si>
  <si>
    <t>Inspection Board (Fabr,Programer,Prev,Breakdown)</t>
  </si>
  <si>
    <t>OKI DIDI GUNAWAN</t>
  </si>
  <si>
    <t>TKN-57</t>
  </si>
  <si>
    <t>PROGRAMER NAVIGATION SYSTEM</t>
  </si>
  <si>
    <t>NAVIGATION SYSTEM FABRICATION</t>
  </si>
  <si>
    <t>TKN-91</t>
  </si>
  <si>
    <t>TKN-72</t>
  </si>
  <si>
    <t>MUHAMMAD ARIFIN</t>
  </si>
  <si>
    <t>LL CHECKER BOARD PREPARATION</t>
  </si>
  <si>
    <t>MARIO</t>
  </si>
  <si>
    <t>MOHAMMAD ARFIN RIFQI</t>
  </si>
  <si>
    <t>ES-65</t>
  </si>
  <si>
    <t>LL</t>
  </si>
  <si>
    <t>TKN-111</t>
  </si>
  <si>
    <t>DEDI WIDODO</t>
  </si>
  <si>
    <t>TKN-118</t>
  </si>
  <si>
    <t>TKN-1</t>
  </si>
  <si>
    <t>MTP</t>
  </si>
  <si>
    <t>WEAR &amp; TEAR STOCK CONTROL</t>
  </si>
  <si>
    <t>NURUL ZUNI ASIYAM</t>
  </si>
  <si>
    <t>ULFA ADHIM</t>
  </si>
  <si>
    <t>BEA CUKAI ADMINISTRATION</t>
  </si>
  <si>
    <t>FARCHA NOR DINA</t>
  </si>
  <si>
    <t>IMPORT PURCHASING</t>
  </si>
  <si>
    <t>MUKHAMMAD AFIFUDDIN</t>
  </si>
  <si>
    <t>ADMINISTRASI</t>
  </si>
  <si>
    <t>KURNIA MARDIYANI</t>
  </si>
  <si>
    <t>ES-67</t>
  </si>
  <si>
    <t>MANUFACTURING PURCHASING &amp; BEA CUKAI</t>
  </si>
  <si>
    <t>DENDI CAHYONO</t>
  </si>
  <si>
    <t>LL STOCK CONTROL</t>
  </si>
  <si>
    <t>OPT-326</t>
  </si>
  <si>
    <t>ALFI MUSMAWATI</t>
  </si>
  <si>
    <t>Production Request ( PPW )</t>
  </si>
  <si>
    <t>TKN-53</t>
  </si>
  <si>
    <t>Equipment New Project Final Assy</t>
  </si>
  <si>
    <t>ADITYA FAHRIZAL</t>
  </si>
  <si>
    <t>TKN-71</t>
  </si>
  <si>
    <t>Improvent Workshop</t>
  </si>
  <si>
    <t>TKN-76</t>
  </si>
  <si>
    <t>TKN-77</t>
  </si>
  <si>
    <t>EQUIPMENT NEW PROJECT CUTTING PRE ASSY</t>
  </si>
  <si>
    <t>TKN-78</t>
  </si>
  <si>
    <t>EQUIPMENT NEW PROJECT FINAL ASSY</t>
  </si>
  <si>
    <t>TKN-220</t>
  </si>
  <si>
    <t>Tool and Part Control</t>
  </si>
  <si>
    <t>TKN-58</t>
  </si>
  <si>
    <t>RIFKY RINALDY</t>
  </si>
  <si>
    <t>ACHMAD AFFANDI</t>
  </si>
  <si>
    <t>GIYARNA</t>
  </si>
  <si>
    <t>ISMIATININGSIH</t>
  </si>
  <si>
    <t>OPT-27</t>
  </si>
  <si>
    <t>PP-1</t>
  </si>
  <si>
    <t>ANALISYS</t>
  </si>
  <si>
    <t>RETNOWATI NAWANGSIH</t>
  </si>
  <si>
    <t>HABIBUL MUHTAR</t>
  </si>
  <si>
    <t>VIVI NURFAJRIYATI</t>
  </si>
  <si>
    <t>OPT-482</t>
  </si>
  <si>
    <t>PP-2</t>
  </si>
  <si>
    <t>YULIYAH TRI HASTUTI</t>
  </si>
  <si>
    <t>OPT-289</t>
  </si>
  <si>
    <t>PP-3</t>
  </si>
  <si>
    <t>DEWANTRI FITRI</t>
  </si>
  <si>
    <t>OPT-290</t>
  </si>
  <si>
    <t>ROUDLOTUN NI'MAH</t>
  </si>
  <si>
    <t>BEKTI RAHAYU</t>
  </si>
  <si>
    <t>PROTOTYPE-1</t>
  </si>
  <si>
    <t>GL ASSEMBLY</t>
  </si>
  <si>
    <t>PROTO</t>
  </si>
  <si>
    <t>KHOLILAH</t>
  </si>
  <si>
    <t>OPT-22</t>
  </si>
  <si>
    <t>PROTOTYPE-2</t>
  </si>
  <si>
    <t>ALI SANTOSO</t>
  </si>
  <si>
    <t>RATNA FURI WIDYANINGRUM</t>
  </si>
  <si>
    <t>ASSEMBLY</t>
  </si>
  <si>
    <t>INSPECTION</t>
  </si>
  <si>
    <t>PROTOTYPE-3</t>
  </si>
  <si>
    <t>NUR FITRIANI</t>
  </si>
  <si>
    <t>JOKO SANTOSO</t>
  </si>
  <si>
    <t>TKN-62</t>
  </si>
  <si>
    <t>EQUIPMENT</t>
  </si>
  <si>
    <t>SRI REJEKI</t>
  </si>
  <si>
    <t>OS &amp; IMPR</t>
  </si>
  <si>
    <t>ALL OS</t>
  </si>
  <si>
    <t>RANNY PRI AGUSTIANI</t>
  </si>
  <si>
    <t>NAILIL FARH</t>
  </si>
  <si>
    <t>OPT-486</t>
  </si>
  <si>
    <t>LINA MARGIYANTI</t>
  </si>
  <si>
    <t>AGUS NANANG SETYAWAN</t>
  </si>
  <si>
    <t>ROZIKIN</t>
  </si>
  <si>
    <t>ERNI ERIYANTI</t>
  </si>
  <si>
    <t>GL PREP.</t>
  </si>
  <si>
    <t>MIFTAKHATUN NIKMAH</t>
  </si>
  <si>
    <t>INT</t>
  </si>
  <si>
    <t>NADIA WINDA MARGA AYU</t>
  </si>
  <si>
    <t>ES-54</t>
  </si>
  <si>
    <t>WIWIN OKTAVIARY</t>
  </si>
  <si>
    <t>WIWIN INDRIYANI</t>
  </si>
  <si>
    <t>OPT-31</t>
  </si>
  <si>
    <t>WAHYU NUR DIYANINGSIH</t>
  </si>
  <si>
    <t>ANIK MAWARTI</t>
  </si>
  <si>
    <t>GL INSP.</t>
  </si>
  <si>
    <t>WISNU WARDANI</t>
  </si>
  <si>
    <t>AGUSTINA RASDIYANI</t>
  </si>
  <si>
    <t>OPT-490</t>
  </si>
  <si>
    <t>YUS SANTI</t>
  </si>
  <si>
    <t>ENDANG MARGIYATI</t>
  </si>
  <si>
    <t>EXI MULYATI</t>
  </si>
  <si>
    <t>OPT-29</t>
  </si>
  <si>
    <t>KUS HERYYONO</t>
  </si>
  <si>
    <t>TITIK WAHYUNI</t>
  </si>
  <si>
    <t>M.HUSNUL MUBAROK</t>
  </si>
  <si>
    <t>OPT-161</t>
  </si>
  <si>
    <t>RINA RUKMI RAHMAWATI</t>
  </si>
  <si>
    <t>BUDI HARTONO</t>
  </si>
  <si>
    <t>OPT-115</t>
  </si>
  <si>
    <t>FATIKHATUL AFIDAH</t>
  </si>
  <si>
    <t>SEPTIAN ANDRIANTO</t>
  </si>
  <si>
    <t>ABDUL AZIS AL HUDHA</t>
  </si>
  <si>
    <t>UMI SOLICHATUN</t>
  </si>
  <si>
    <t>NUR LATIFAH</t>
  </si>
  <si>
    <t>TRI UTARI</t>
  </si>
  <si>
    <t>TITIN CATUR MEIWATI</t>
  </si>
  <si>
    <t>TITIK ZULIATI</t>
  </si>
  <si>
    <t>RETNANINGTYAS CANDRA K.</t>
  </si>
  <si>
    <t>OPT-331</t>
  </si>
  <si>
    <t>SURYANI</t>
  </si>
  <si>
    <t>OPT-30</t>
  </si>
  <si>
    <t>SWCT</t>
  </si>
  <si>
    <t>GL ANALISYS</t>
  </si>
  <si>
    <t>FITRI AMALIA</t>
  </si>
  <si>
    <t>PATROLI</t>
  </si>
  <si>
    <t>LILIS SULASIH</t>
  </si>
  <si>
    <t>OPT-189</t>
  </si>
  <si>
    <t>DOKUMEN</t>
  </si>
  <si>
    <t>LINDA MUSTIKA SARI</t>
  </si>
  <si>
    <t>ADM, DOKUMEN</t>
  </si>
  <si>
    <t>OPT-267</t>
  </si>
  <si>
    <t>DEWI YULIANTI</t>
  </si>
  <si>
    <t>OPT-301</t>
  </si>
  <si>
    <t>DEASI ARIYANI</t>
  </si>
  <si>
    <t>NIKEN RAHAYU</t>
  </si>
  <si>
    <t>MEGA SETIYANINGSIH</t>
  </si>
  <si>
    <t>AFIT RIYANI</t>
  </si>
  <si>
    <t>OPT-344</t>
  </si>
  <si>
    <t>KIRNA PUJI UTAMI</t>
  </si>
  <si>
    <t>FURSIAM</t>
  </si>
  <si>
    <t>KHUTMAWATI</t>
  </si>
  <si>
    <t>DYNA</t>
  </si>
  <si>
    <t>AIRBAG DYNA PA</t>
  </si>
  <si>
    <t>MC1-AB-01</t>
  </si>
  <si>
    <t>WFAP 2.1</t>
  </si>
  <si>
    <t>FITRI FATIKAH</t>
  </si>
  <si>
    <t>INSP CUTTING</t>
  </si>
  <si>
    <t>P/A INSPECTOR</t>
  </si>
  <si>
    <t>SITI NURHIDAYATI EVY ANISA</t>
  </si>
  <si>
    <t>OPT-287</t>
  </si>
  <si>
    <t>AC90-AB-01</t>
  </si>
  <si>
    <t>CUTTING WIRE</t>
  </si>
  <si>
    <t>MIFTACHUL ANWAR</t>
  </si>
  <si>
    <t>HELPER CUTTING</t>
  </si>
  <si>
    <t>F/A CONTROLLER</t>
  </si>
  <si>
    <t>DIAH AINUROHMAH</t>
  </si>
  <si>
    <t>OPT-570</t>
  </si>
  <si>
    <t>TWS-AB-04</t>
  </si>
  <si>
    <t>WFAP 2.2</t>
  </si>
  <si>
    <t>MAGHFIROTUN KHASANAH</t>
  </si>
  <si>
    <t>OPT-574</t>
  </si>
  <si>
    <t>DWI FAJAR RINI</t>
  </si>
  <si>
    <t>TWS-AB-01, 02</t>
  </si>
  <si>
    <t>AMALIYAH RIZQI</t>
  </si>
  <si>
    <t>MC1-AB-02</t>
  </si>
  <si>
    <t>SOFIYAH</t>
  </si>
  <si>
    <t>OPT-305</t>
  </si>
  <si>
    <t>INSP PRE ASSY</t>
  </si>
  <si>
    <t>EKA DESYANA</t>
  </si>
  <si>
    <t>OPT-327</t>
  </si>
  <si>
    <t>AC90-AB-03</t>
  </si>
  <si>
    <t>ANITA WAHYUNINGRUM</t>
  </si>
  <si>
    <t>TWS-AB-01</t>
  </si>
  <si>
    <t>SLAMET SUBKHI</t>
  </si>
  <si>
    <t>P/A CONTROLLER</t>
  </si>
  <si>
    <t>TRI OKTAVIYANA</t>
  </si>
  <si>
    <t>WT</t>
  </si>
  <si>
    <t>RIRIN ARIYANTI</t>
  </si>
  <si>
    <t>BATTERY CABLE</t>
  </si>
  <si>
    <t>BATTERY CABLE NEW</t>
  </si>
  <si>
    <t>TAUFIK PAMUJI R.</t>
  </si>
  <si>
    <t>KDR-BC-03</t>
  </si>
  <si>
    <t>JAYANTO</t>
  </si>
  <si>
    <t>SUB LINE CHO</t>
  </si>
  <si>
    <t>VIVIN KUSTANTIAH</t>
  </si>
  <si>
    <t>ARI WAHYUDI</t>
  </si>
  <si>
    <t>MEC-BC-01</t>
  </si>
  <si>
    <t xml:space="preserve">MUHAMAD TOHA </t>
  </si>
  <si>
    <t>OPT-421</t>
  </si>
  <si>
    <t xml:space="preserve"> MS-BC-01</t>
  </si>
  <si>
    <t>NUR WAHYUDI</t>
  </si>
  <si>
    <t>OPT-431</t>
  </si>
  <si>
    <t>MC3-BC-01,02</t>
  </si>
  <si>
    <t>OPT-437</t>
  </si>
  <si>
    <t>P-BC-03</t>
  </si>
  <si>
    <t>OPT-473</t>
  </si>
  <si>
    <t>P-BC-02</t>
  </si>
  <si>
    <t>P-BC-01</t>
  </si>
  <si>
    <t>ICHA THARYIKYAH HIKMAH</t>
  </si>
  <si>
    <t>ASM</t>
  </si>
  <si>
    <t xml:space="preserve">SITI INAYATI </t>
  </si>
  <si>
    <t>RYC-BC-01, DRY-BC-01</t>
  </si>
  <si>
    <t>RISKIA YULIAWANTI</t>
  </si>
  <si>
    <t>JC-BC-01, MC3-BC-03</t>
  </si>
  <si>
    <t>SYAHRUL HASAN BISRI</t>
  </si>
  <si>
    <t>KDR-BC-02</t>
  </si>
  <si>
    <t>OPT-545</t>
  </si>
  <si>
    <t>AI-01, DRY-BC-01</t>
  </si>
  <si>
    <t>P-BC-04</t>
  </si>
  <si>
    <t>SITI INDAH LESTARI</t>
  </si>
  <si>
    <t>OPT-559</t>
  </si>
  <si>
    <t>MIFTAH HIDAYAT</t>
  </si>
  <si>
    <t>KDR-BC-01</t>
  </si>
  <si>
    <t>MUHAMMAD RAIS AMINUDIN</t>
  </si>
  <si>
    <t>KUSUMA WARDANI</t>
  </si>
  <si>
    <t>OPT-573</t>
  </si>
  <si>
    <t>JS-BC-02</t>
  </si>
  <si>
    <t xml:space="preserve">ISNAINI ARISANTI </t>
  </si>
  <si>
    <t>OJT JC-BC-01,MC3-BC-03</t>
  </si>
  <si>
    <t>INTERNAL TRIAL</t>
  </si>
  <si>
    <t xml:space="preserve">HANITA AYU AJRINA </t>
  </si>
  <si>
    <t>OPT-576</t>
  </si>
  <si>
    <t>OJT DRY</t>
  </si>
  <si>
    <t>HANYVAHTISNA YOLAIKA</t>
  </si>
  <si>
    <t>OJT ASM 1</t>
  </si>
  <si>
    <t>WILLY SUSENO</t>
  </si>
  <si>
    <t>OJT</t>
  </si>
  <si>
    <t>SEPTYA NINGRUM</t>
  </si>
  <si>
    <t>OPT-530</t>
  </si>
  <si>
    <t>AI (Y0C)</t>
  </si>
  <si>
    <t>ACHMAD HANAFI</t>
  </si>
  <si>
    <t>OPT-218</t>
  </si>
  <si>
    <t>AKHMAD BISRI</t>
  </si>
  <si>
    <t>ASM-BC-01</t>
  </si>
  <si>
    <t>SOFIAN ARIES</t>
  </si>
  <si>
    <t>MS-BC-01</t>
  </si>
  <si>
    <t>OPT-536</t>
  </si>
  <si>
    <t>SUSI LISMAWATI</t>
  </si>
  <si>
    <t>AI-BC-01</t>
  </si>
  <si>
    <t>JC3-BC-01</t>
  </si>
  <si>
    <t>MUSTAQIM</t>
  </si>
  <si>
    <t>MECALL</t>
  </si>
  <si>
    <t>OPT-540</t>
  </si>
  <si>
    <t>MC3-BC-03</t>
  </si>
  <si>
    <t>ASA KUNTI ROSYDA</t>
  </si>
  <si>
    <t>SULISTYO URIPIN</t>
  </si>
  <si>
    <t>SITI WAHYU UTAMI</t>
  </si>
  <si>
    <t>MUHAMMAD IQSAN NOOR</t>
  </si>
  <si>
    <t>OPT-565</t>
  </si>
  <si>
    <t xml:space="preserve">RISKI MUSTOFA </t>
  </si>
  <si>
    <t>DWI ADE PRAYOGA</t>
  </si>
  <si>
    <t>ILHAM MA'RUF</t>
  </si>
  <si>
    <t>KEVIN ARIANSYAH</t>
  </si>
  <si>
    <t>LEILANI EKA LARISA</t>
  </si>
  <si>
    <t>JS-BC-01</t>
  </si>
  <si>
    <t>LINA NUR IMAMA</t>
  </si>
  <si>
    <t>DRY-BC-01</t>
  </si>
  <si>
    <t>B00630</t>
  </si>
  <si>
    <t>NOVINA TRISNA SAPUTRI</t>
  </si>
  <si>
    <t>BBF-010</t>
  </si>
  <si>
    <t>IKA PREHATENNIGSIH</t>
  </si>
  <si>
    <t>OJT ASM</t>
  </si>
  <si>
    <t>REJEKI HANDAYANI</t>
  </si>
  <si>
    <t>CUTTING HINO DYNA</t>
  </si>
  <si>
    <t>ABAL MUGHOFAR</t>
  </si>
  <si>
    <t>SARIYATI</t>
  </si>
  <si>
    <t>AC90-HIN-03</t>
  </si>
  <si>
    <t>JUWARMI</t>
  </si>
  <si>
    <t>AC90-HIN-02</t>
  </si>
  <si>
    <t>WATI NURJANAH</t>
  </si>
  <si>
    <t>ANIK EKA HARYANTI</t>
  </si>
  <si>
    <t>AC90-HIN-01</t>
  </si>
  <si>
    <t>OPT-304</t>
  </si>
  <si>
    <t>AC 8-HIN-1</t>
  </si>
  <si>
    <t>INNAYATUL ROHMANIYAH</t>
  </si>
  <si>
    <t>AC81-HIN-01</t>
  </si>
  <si>
    <t>ELIS YULIANTI</t>
  </si>
  <si>
    <t>OPT-504</t>
  </si>
  <si>
    <t>AC90-HIN-04</t>
  </si>
  <si>
    <t>EMY APRIYANTI</t>
  </si>
  <si>
    <t>SEVI DIAH MAYASARI</t>
  </si>
  <si>
    <t>SITI TRISNAWATI</t>
  </si>
  <si>
    <t>RINA KURNIASARI</t>
  </si>
  <si>
    <t>NURJANAH</t>
  </si>
  <si>
    <t>SITI MUSTAQFIROH</t>
  </si>
  <si>
    <t>NOVITA</t>
  </si>
  <si>
    <t>SUSILO DWI SUWARNI</t>
  </si>
  <si>
    <t>HONDA BBP</t>
  </si>
  <si>
    <t>HONDA 36 CELL</t>
  </si>
  <si>
    <t>CUTTING HONDA 36 CELL</t>
  </si>
  <si>
    <t>AC90-H-02, MC2-H-04, 05</t>
  </si>
  <si>
    <t>FITRIA HANDAHAYANI</t>
  </si>
  <si>
    <t>AC90-H-01</t>
  </si>
  <si>
    <t>NUR QOMARIYAH</t>
  </si>
  <si>
    <t>OPT-12</t>
  </si>
  <si>
    <t>HONDA CRV</t>
  </si>
  <si>
    <t>CUTTING HONDA CRV</t>
  </si>
  <si>
    <t>DARYATI</t>
  </si>
  <si>
    <t>AC90-CRV-03</t>
  </si>
  <si>
    <t>RAGA TRI RAHAYU</t>
  </si>
  <si>
    <t>NUR ANGGRAINI</t>
  </si>
  <si>
    <t>AC90-CRV-01</t>
  </si>
  <si>
    <t>ANDYNI NILAM SARI</t>
  </si>
  <si>
    <t>AC81-CRV-01</t>
  </si>
  <si>
    <t>ANI ROHMANIYAH</t>
  </si>
  <si>
    <t>OPT-275</t>
  </si>
  <si>
    <t>AC90-CRV-02</t>
  </si>
  <si>
    <t>AC90-CRV-04</t>
  </si>
  <si>
    <t>DIAN NOVITA NILA MINA</t>
  </si>
  <si>
    <t>OPT-522</t>
  </si>
  <si>
    <t>TRI OFTAFIANI</t>
  </si>
  <si>
    <t>DEDE ANDRI IRAWAN</t>
  </si>
  <si>
    <t>DWI DESYIANAWATI</t>
  </si>
  <si>
    <t>PURWANTI</t>
  </si>
  <si>
    <t>INAYAH</t>
  </si>
  <si>
    <t>NINDI IRCHAMNI</t>
  </si>
  <si>
    <t>KHOIROTUL MUNIROH</t>
  </si>
  <si>
    <t>OPT-508</t>
  </si>
  <si>
    <t>LULUK FAUZIYAH</t>
  </si>
  <si>
    <t>OPT-521</t>
  </si>
  <si>
    <t>ILHAM HADI WIJAYA</t>
  </si>
  <si>
    <t>SITI MARYAM</t>
  </si>
  <si>
    <t>NUR HIDAYATI</t>
  </si>
  <si>
    <t>TRI MUHAMAD ADIB</t>
  </si>
  <si>
    <t>MILDA LAILATUS SYARIFAH</t>
  </si>
  <si>
    <t>OJT INS CUTTING</t>
  </si>
  <si>
    <t>NURHUDA</t>
  </si>
  <si>
    <t>HONDA EXPORT</t>
  </si>
  <si>
    <t>CUTTING HONDA EXPORT 1</t>
  </si>
  <si>
    <t>DWI FAJAR RIYANTI</t>
  </si>
  <si>
    <t>ARI PRAMUDYA WARDANI</t>
  </si>
  <si>
    <t>ANA YULIYANA</t>
  </si>
  <si>
    <t>RISA PUJIANTI</t>
  </si>
  <si>
    <t>YUTIKA TRI LISTIYA</t>
  </si>
  <si>
    <t>ITA LISTIYANA</t>
  </si>
  <si>
    <t>YULI MULYANI</t>
  </si>
  <si>
    <t>NURITA</t>
  </si>
  <si>
    <t>B01763</t>
  </si>
  <si>
    <t>AISAH NUR UMIYATI</t>
  </si>
  <si>
    <t>BBF-066</t>
  </si>
  <si>
    <t>ISNAINI</t>
  </si>
  <si>
    <t>RINI ROHKAYATI</t>
  </si>
  <si>
    <t>WIJI LESTARI</t>
  </si>
  <si>
    <t>DWI ARYANTI</t>
  </si>
  <si>
    <t>WIWIK HIDAYATI</t>
  </si>
  <si>
    <t>NITA PURNAMA SARI</t>
  </si>
  <si>
    <t>NURUL HIDAYATI</t>
  </si>
  <si>
    <t>MUFLIKHATUL FAUZIYAH</t>
  </si>
  <si>
    <t>NOOR LAELY</t>
  </si>
  <si>
    <t>FITRI LESTARI</t>
  </si>
  <si>
    <t>SEFI DWI JAYANTI</t>
  </si>
  <si>
    <t>FEBRIANA FINA LORESTA</t>
  </si>
  <si>
    <t>B00282</t>
  </si>
  <si>
    <t>EMI APRIANTI</t>
  </si>
  <si>
    <t>INDAH MAWADDAH</t>
  </si>
  <si>
    <t>OPT-111</t>
  </si>
  <si>
    <t>CUTTING HONDA EXPORT 2</t>
  </si>
  <si>
    <t>AC90-HDA-18</t>
  </si>
  <si>
    <t>SEPTI HANDAYANI</t>
  </si>
  <si>
    <t>AC90-HDA-14</t>
  </si>
  <si>
    <t>INDRI SETIYOWATI</t>
  </si>
  <si>
    <t>AC90-HDA-19</t>
  </si>
  <si>
    <t>ENDANG SAYUTI</t>
  </si>
  <si>
    <t>AC81-HDA-03</t>
  </si>
  <si>
    <t>SITI AISYAH</t>
  </si>
  <si>
    <t>AC90-HDA-03</t>
  </si>
  <si>
    <t>SUKOWATI</t>
  </si>
  <si>
    <t>ENDANG KUSFIATI</t>
  </si>
  <si>
    <t>SOLEKHAH TUNGGAL D.</t>
  </si>
  <si>
    <t>OPT-223</t>
  </si>
  <si>
    <t>ANA RAHAYU</t>
  </si>
  <si>
    <t>MUJIBUROKHMAN</t>
  </si>
  <si>
    <t>OPT-320</t>
  </si>
  <si>
    <t>KODERA</t>
  </si>
  <si>
    <t>SITI KHADARIYAH</t>
  </si>
  <si>
    <t>SOLEKAH</t>
  </si>
  <si>
    <t>AC90-HDA-16</t>
  </si>
  <si>
    <t>SRI MULYANI</t>
  </si>
  <si>
    <t>CUTTING HONDA EXPORT 3</t>
  </si>
  <si>
    <t>AC90-HDA-06</t>
  </si>
  <si>
    <t>GADISTI NUR INDRASARI</t>
  </si>
  <si>
    <t>OPT-244</t>
  </si>
  <si>
    <t>AC90-HDA-11</t>
  </si>
  <si>
    <t>SITI HIDAYATI</t>
  </si>
  <si>
    <t>AC90-HDA-10</t>
  </si>
  <si>
    <t>MARTA MEILANI</t>
  </si>
  <si>
    <t>AC90-HDA-01</t>
  </si>
  <si>
    <t>NIHAYATUL CHASANAH</t>
  </si>
  <si>
    <t>AC90-HAD-13</t>
  </si>
  <si>
    <t>AC90-HDA-04</t>
  </si>
  <si>
    <t>MUHAMMAD NUJUM</t>
  </si>
  <si>
    <t>AHMAD MAULANA ARINAL HAQ</t>
  </si>
  <si>
    <t>NABEL MAKAREM</t>
  </si>
  <si>
    <t>OPT-535</t>
  </si>
  <si>
    <t>YOGA ANANDA</t>
  </si>
  <si>
    <t>ALDI PUTRA SETYAWAN</t>
  </si>
  <si>
    <t>ENI DWI PURYANTI</t>
  </si>
  <si>
    <t>EKA SEFIANI</t>
  </si>
  <si>
    <t>SITI YULI ANI</t>
  </si>
  <si>
    <t>NOAH NUR KHASANAH</t>
  </si>
  <si>
    <t>SRI KUSTIYAH</t>
  </si>
  <si>
    <t>OPT-251</t>
  </si>
  <si>
    <t>NUR FATIMAH</t>
  </si>
  <si>
    <t>OPT-288</t>
  </si>
  <si>
    <t>AC90-HDA-13</t>
  </si>
  <si>
    <t>SITI NURAINI</t>
  </si>
  <si>
    <t>OPT-18</t>
  </si>
  <si>
    <t>CUTTING HONDA EXPORT 4</t>
  </si>
  <si>
    <t>AC90-HDA-31</t>
  </si>
  <si>
    <t>SULIYANINGSIH</t>
  </si>
  <si>
    <t>AC90-HDA-21</t>
  </si>
  <si>
    <t>TUTIK</t>
  </si>
  <si>
    <t>AC90-HDA-30</t>
  </si>
  <si>
    <t>SULISTIYANI</t>
  </si>
  <si>
    <t>AC90-HDA-23</t>
  </si>
  <si>
    <t>AAM KHALAMAH</t>
  </si>
  <si>
    <t>AC90-HDA-25</t>
  </si>
  <si>
    <t>TYAS AYU CHOLISNASARI</t>
  </si>
  <si>
    <t>AC90-HDA-27</t>
  </si>
  <si>
    <t>DWI SRI RAHAYU</t>
  </si>
  <si>
    <t>IDA NASRIA</t>
  </si>
  <si>
    <t>SIGIT WIJANARKO</t>
  </si>
  <si>
    <t>YULI ASTUTI</t>
  </si>
  <si>
    <t>AULIYA RAHMAN</t>
  </si>
  <si>
    <t>ANNA FAIZAH</t>
  </si>
  <si>
    <t>OPT-286</t>
  </si>
  <si>
    <t>MUHAMAD NAJIKHUN</t>
  </si>
  <si>
    <t>NIZAR KHAFIDHOL MURIYADI</t>
  </si>
  <si>
    <t>MAMIK NOVITA SARI</t>
  </si>
  <si>
    <t>OPT-551</t>
  </si>
  <si>
    <t>TRI WIBOWO</t>
  </si>
  <si>
    <t>NUR BAETI</t>
  </si>
  <si>
    <t>OPT-36</t>
  </si>
  <si>
    <t>HV HONDA 5JLA BBP</t>
  </si>
  <si>
    <t>CUTTING HONDA HV</t>
  </si>
  <si>
    <t xml:space="preserve">AC81-H-02, MC2-H-01 </t>
  </si>
  <si>
    <t>NIHAYATUL ULIYA</t>
  </si>
  <si>
    <t>OPT-534</t>
  </si>
  <si>
    <t>AC81-H-01</t>
  </si>
  <si>
    <t>MAHLIA SARI</t>
  </si>
  <si>
    <t>AC81-H-03, MC2-H-02</t>
  </si>
  <si>
    <t>NOVI KRISTIANA</t>
  </si>
  <si>
    <t>AC81-H-01, AC81-H-03</t>
  </si>
  <si>
    <t>AC81-H-02, MC2-H-01, 02</t>
  </si>
  <si>
    <t xml:space="preserve">ZULFA </t>
  </si>
  <si>
    <t>TRI YUNIARTI</t>
  </si>
  <si>
    <t>HONDA SOLENOID</t>
  </si>
  <si>
    <t>CUTTING HONDA SOLENOID</t>
  </si>
  <si>
    <t>AC90-HDS-01</t>
  </si>
  <si>
    <t>NOVITA SARI</t>
  </si>
  <si>
    <t>SITI PUJI LESTARI</t>
  </si>
  <si>
    <t>ERY SULISTIYANI</t>
  </si>
  <si>
    <t>AC90-HDS-02</t>
  </si>
  <si>
    <t>ENY KUMAESAROCH</t>
  </si>
  <si>
    <t>FITA RATNAWATI</t>
  </si>
  <si>
    <t>SYAKIROTUN NISA</t>
  </si>
  <si>
    <t>OJT AC90-HDS-01</t>
  </si>
  <si>
    <t>AJI RAHMAT HUSEIN</t>
  </si>
  <si>
    <t>MAZDA ATENZA</t>
  </si>
  <si>
    <t>CUTTING MAZDA ATENZA</t>
  </si>
  <si>
    <t>AC90-MZD-08</t>
  </si>
  <si>
    <t>APRILIA SULISTIYOWATI</t>
  </si>
  <si>
    <t>OPT-37</t>
  </si>
  <si>
    <t>AC81-MZD-01</t>
  </si>
  <si>
    <t>EDY PURWITO</t>
  </si>
  <si>
    <t>AC90-MZD-02</t>
  </si>
  <si>
    <t>NUR TIAS MAHARDIKA</t>
  </si>
  <si>
    <t>AC81-MZD-04</t>
  </si>
  <si>
    <t>YUDA ROHMAULLAH</t>
  </si>
  <si>
    <t>DINA SAPTAINA</t>
  </si>
  <si>
    <t>AC90-MZD-07</t>
  </si>
  <si>
    <t xml:space="preserve">FITRI PURNIATUN </t>
  </si>
  <si>
    <t>AC90-MZD-05</t>
  </si>
  <si>
    <t>DIAH DWIDAYANTI</t>
  </si>
  <si>
    <t>DA'I BAKTIAR</t>
  </si>
  <si>
    <t>SRI MAHMUDAH</t>
  </si>
  <si>
    <t>NOER MAHFUDDIN</t>
  </si>
  <si>
    <t>B00142</t>
  </si>
  <si>
    <t>KALIMATU SA'ADAH</t>
  </si>
  <si>
    <t>BBF-003</t>
  </si>
  <si>
    <t>AC81-MZD-03</t>
  </si>
  <si>
    <t>B00153</t>
  </si>
  <si>
    <t>NUR HIDAYAH</t>
  </si>
  <si>
    <t>AC90-MZD-04</t>
  </si>
  <si>
    <t>B00672</t>
  </si>
  <si>
    <t>HEQMATUL KASANAH</t>
  </si>
  <si>
    <t>BBF-011</t>
  </si>
  <si>
    <t>AC90-MZD-03</t>
  </si>
  <si>
    <t>B00932</t>
  </si>
  <si>
    <t>BBF-020</t>
  </si>
  <si>
    <t>B00962</t>
  </si>
  <si>
    <t>LISA DEWI AMINATI</t>
  </si>
  <si>
    <t>BBF-023</t>
  </si>
  <si>
    <t>B01276</t>
  </si>
  <si>
    <t>SUNARTI</t>
  </si>
  <si>
    <t>BBF-036</t>
  </si>
  <si>
    <t>AC81-MZD-02</t>
  </si>
  <si>
    <t>B01433</t>
  </si>
  <si>
    <t>UMI ATIKA</t>
  </si>
  <si>
    <t>BBF-047</t>
  </si>
  <si>
    <t>AC90-MZD-06</t>
  </si>
  <si>
    <t>ALFIYAH</t>
  </si>
  <si>
    <t>HARI WIDIANTORO</t>
  </si>
  <si>
    <t>OPT-542</t>
  </si>
  <si>
    <t>IRMA MULIAFANI</t>
  </si>
  <si>
    <t>OPT-569</t>
  </si>
  <si>
    <t>AC90-MZD-01</t>
  </si>
  <si>
    <t>RINI FAJARSARI</t>
  </si>
  <si>
    <t>ENDANG SAYEKTI</t>
  </si>
  <si>
    <t>NUGRAHA</t>
  </si>
  <si>
    <t>MAHMUDAH</t>
  </si>
  <si>
    <t>YETTI APRILLIANINGSIH</t>
  </si>
  <si>
    <t>NEILIS SA'ADATUSSANIYAH</t>
  </si>
  <si>
    <t xml:space="preserve">WAHYU AJI J.R </t>
  </si>
  <si>
    <t>ANAWAQIDATUN ANNISA</t>
  </si>
  <si>
    <t>ARDELIA AMANDA</t>
  </si>
  <si>
    <t>AC8-MZD-03</t>
  </si>
  <si>
    <t>SIGIT ISKANDAR</t>
  </si>
  <si>
    <t>DANI KURNIAWAN</t>
  </si>
  <si>
    <t>OJT HELPER CUTTING</t>
  </si>
  <si>
    <t>B00677</t>
  </si>
  <si>
    <t>INAYATUN NURHIKMAWATI</t>
  </si>
  <si>
    <t>B00741</t>
  </si>
  <si>
    <t>BBF-012</t>
  </si>
  <si>
    <t>B00759</t>
  </si>
  <si>
    <t>ALFIATU ROCHMANIA</t>
  </si>
  <si>
    <t>BBF-013</t>
  </si>
  <si>
    <t>KHODIJAH</t>
  </si>
  <si>
    <t>CUTTING MAZDA ATENZA CX-5</t>
  </si>
  <si>
    <t>KHUSWATUN KHASANAH</t>
  </si>
  <si>
    <t>SUTARTI</t>
  </si>
  <si>
    <t>MUALIFAH</t>
  </si>
  <si>
    <t>JONI PRASTYO</t>
  </si>
  <si>
    <t>NURUL AINI</t>
  </si>
  <si>
    <t>SUZUKI WAGON R</t>
  </si>
  <si>
    <t>SUZUKI YW0</t>
  </si>
  <si>
    <t>CUTTING SUZUKI YW0</t>
  </si>
  <si>
    <t>MUNASIYAH</t>
  </si>
  <si>
    <t>OPT-196</t>
  </si>
  <si>
    <t>AC90-SZK-03</t>
  </si>
  <si>
    <t>ISTIANI AGUSTINA</t>
  </si>
  <si>
    <t>OPT-203</t>
  </si>
  <si>
    <t>KMX-SZK-01,MC3-SZK-03</t>
  </si>
  <si>
    <t>KHONITA FAUZIYAH</t>
  </si>
  <si>
    <t>AC90-SZK-05</t>
  </si>
  <si>
    <t>BETI WIDIYASTUTI</t>
  </si>
  <si>
    <t>AC90-SZK-01</t>
  </si>
  <si>
    <t>AGUSTIN PUSPITASARI</t>
  </si>
  <si>
    <t>AC90-SZK-02</t>
  </si>
  <si>
    <t>VITASARI</t>
  </si>
  <si>
    <t>AC90-SZK-07</t>
  </si>
  <si>
    <t>DITA LAYYINATUL HASANAH</t>
  </si>
  <si>
    <t>MUHAMMAD ABDUL MUNIB</t>
  </si>
  <si>
    <t>RINI RETNOWATI</t>
  </si>
  <si>
    <t>NUR KHADHIROH</t>
  </si>
  <si>
    <t>KMX-SZK-01</t>
  </si>
  <si>
    <t>NANING HASANAH</t>
  </si>
  <si>
    <t>FENTI WULANDARI</t>
  </si>
  <si>
    <t>AYU CAHYANI</t>
  </si>
  <si>
    <t>NUR ZULAEKAH</t>
  </si>
  <si>
    <t>ANA KHIKMATUL MAULA</t>
  </si>
  <si>
    <t>ALIFUDIN MAULANA</t>
  </si>
  <si>
    <t>HIMAWAN BAYU PRASETIYO AJI</t>
  </si>
  <si>
    <t>HV TOYOTA</t>
  </si>
  <si>
    <t>CUTTING TOYOTA HV</t>
  </si>
  <si>
    <t>NOFI MUAFIYAH</t>
  </si>
  <si>
    <t>AC90-T-02</t>
  </si>
  <si>
    <t>MUASSAMAH</t>
  </si>
  <si>
    <t>AC90-T-03</t>
  </si>
  <si>
    <t>DWI ARIYANTI</t>
  </si>
  <si>
    <t>MOCHAMMAD ARIS MUNANDAR</t>
  </si>
  <si>
    <t>TRIANI AGUSTINA</t>
  </si>
  <si>
    <t>AC90-T-04</t>
  </si>
  <si>
    <t>NUR ISNAINI AWALIYAH</t>
  </si>
  <si>
    <t>INDAH NUR LAELY</t>
  </si>
  <si>
    <t>AC90-T-01</t>
  </si>
  <si>
    <t>NUR KHOTIMAH</t>
  </si>
  <si>
    <t>DWI APRILANI</t>
  </si>
  <si>
    <t>AC90-T-01, 02</t>
  </si>
  <si>
    <t>ALFI MAYASARI</t>
  </si>
  <si>
    <t>AC90-T-03, MC1-T-03</t>
  </si>
  <si>
    <t>SITI AF'IDAH</t>
  </si>
  <si>
    <t>OPT-335</t>
  </si>
  <si>
    <t>DIANA FARIDA FATCHA</t>
  </si>
  <si>
    <t>DEVI RATNANING TYAS</t>
  </si>
  <si>
    <t>AC90-T-04, US-T-02</t>
  </si>
  <si>
    <t>ALYA IQLIMA MIFTAKHURROHMAH</t>
  </si>
  <si>
    <t>RAGIL BAGUS SAPUTRO</t>
  </si>
  <si>
    <t>TRI SUNARTI</t>
  </si>
  <si>
    <t>CUTTING TOYOTA PRIUS</t>
  </si>
  <si>
    <t>AC81-T-01</t>
  </si>
  <si>
    <t>MAHFIROH</t>
  </si>
  <si>
    <t>OPT-356</t>
  </si>
  <si>
    <t>MUHAMMAD FAIZ DHULFIKAR</t>
  </si>
  <si>
    <t>IZAFATIN AZIFAH</t>
  </si>
  <si>
    <t>OPT-568</t>
  </si>
  <si>
    <t>AC90-T-06</t>
  </si>
  <si>
    <t>MUHAMMAD LATIF HIDAYAT</t>
  </si>
  <si>
    <t>AC90-T-05</t>
  </si>
  <si>
    <t>NASEHAH</t>
  </si>
  <si>
    <t>OKTAVIANA LAELI MAJID</t>
  </si>
  <si>
    <t>AC8-T-01</t>
  </si>
  <si>
    <t>NUR FAIZIN</t>
  </si>
  <si>
    <t>SITI QOTIJAH</t>
  </si>
  <si>
    <t>OPT-202</t>
  </si>
  <si>
    <t>CUTTING TUBE</t>
  </si>
  <si>
    <t>IDA YATI</t>
  </si>
  <si>
    <t>KDA-01,FAC-02</t>
  </si>
  <si>
    <t xml:space="preserve">FEBRY HARJANTO </t>
  </si>
  <si>
    <t>HANDLING TUBE</t>
  </si>
  <si>
    <t>MUHAMMAD RIZQI SAPUTRA</t>
  </si>
  <si>
    <t>OTHERS ( NIMBANG WIRE ) ( DIFABLE )</t>
  </si>
  <si>
    <t>ANDREYANI</t>
  </si>
  <si>
    <t>FAC-05,GC-01,FAC-07</t>
  </si>
  <si>
    <t>MOH FERRY ARDIYANTO</t>
  </si>
  <si>
    <t>NIDAUS SIDQIYAH</t>
  </si>
  <si>
    <t>CATUR SUSILO ZAMRONI</t>
  </si>
  <si>
    <t>HANIS MELLY DAYANTI</t>
  </si>
  <si>
    <t>FAC-03,COTO</t>
  </si>
  <si>
    <t>CHOIRUL ANAM</t>
  </si>
  <si>
    <t>ANISA NUR AMALIA</t>
  </si>
  <si>
    <t>FAC-01, KDA-03</t>
  </si>
  <si>
    <t>AZIS PUJIANTO</t>
  </si>
  <si>
    <t>M LABIB DWIKA S</t>
  </si>
  <si>
    <t>DIAN ADE NOVITA</t>
  </si>
  <si>
    <t>FAC-04</t>
  </si>
  <si>
    <t>JUHARTI</t>
  </si>
  <si>
    <t>OJT KDA</t>
  </si>
  <si>
    <t>CHOLIFAH INTAN RAHMASARI</t>
  </si>
  <si>
    <t>GC-02,KDA-02</t>
  </si>
  <si>
    <t>AHMAD RIZQIN</t>
  </si>
  <si>
    <t>OJT HTU</t>
  </si>
  <si>
    <t>PRATOMO HADINATA</t>
  </si>
  <si>
    <t>IMAM SYAFI'I</t>
  </si>
  <si>
    <t>INDRIANI</t>
  </si>
  <si>
    <t>GALIH SETIAWAN</t>
  </si>
  <si>
    <t>AGUNG FITRIYAH</t>
  </si>
  <si>
    <t>PUTRI DWI LESTARI</t>
  </si>
  <si>
    <t>GC-01, 02</t>
  </si>
  <si>
    <t>USA CHOLIVIANA</t>
  </si>
  <si>
    <t>INSP CUTTING TUBE</t>
  </si>
  <si>
    <t>ERIC NUR SETIAWAN</t>
  </si>
  <si>
    <t>AGUNG SACTA PERMANA</t>
  </si>
  <si>
    <t>YANIS KARTIKA SARI</t>
  </si>
  <si>
    <t>FAC-05</t>
  </si>
  <si>
    <t>BAHRUL ULUM</t>
  </si>
  <si>
    <t>GUGUT PRATOMO</t>
  </si>
  <si>
    <t>DESI NUZULIA ROSYIDAH</t>
  </si>
  <si>
    <t>RIBUT SLAMET RAHARJO</t>
  </si>
  <si>
    <t>MELIKA</t>
  </si>
  <si>
    <t>MUHAMMAD FAJAR HIDAYATULLAH</t>
  </si>
  <si>
    <t>M23641</t>
  </si>
  <si>
    <t xml:space="preserve">TIO SAPUTRA PRADANA </t>
  </si>
  <si>
    <t>HANY RAHAYU</t>
  </si>
  <si>
    <t>CV 1</t>
  </si>
  <si>
    <t>EMDEP</t>
  </si>
  <si>
    <t>ELECTRICAL INSPECTION</t>
  </si>
  <si>
    <t>DIAN PURWANTARI</t>
  </si>
  <si>
    <t>LQC</t>
  </si>
  <si>
    <t>RELIEF</t>
  </si>
  <si>
    <t>MARIANAH</t>
  </si>
  <si>
    <t>S/T 2.2</t>
  </si>
  <si>
    <t>RETNO WULANDARI</t>
  </si>
  <si>
    <t>VISUAL</t>
  </si>
  <si>
    <t>VISUAL INSPECTION</t>
  </si>
  <si>
    <t>NUNIK SURYATI</t>
  </si>
  <si>
    <t>CHECKER ARUS + INSERT FUSE</t>
  </si>
  <si>
    <t>IMA ZULFA</t>
  </si>
  <si>
    <t>T/P 5.1</t>
  </si>
  <si>
    <t>AMBAR RIANAWATI</t>
  </si>
  <si>
    <t>OPT-293</t>
  </si>
  <si>
    <t>CHECKER CLIP + INSERT RELAY</t>
  </si>
  <si>
    <t>DESI APRIYANI</t>
  </si>
  <si>
    <t>S/A 6</t>
  </si>
  <si>
    <t>SUB ASSY</t>
  </si>
  <si>
    <t>SULIFAH</t>
  </si>
  <si>
    <t>S/A 7</t>
  </si>
  <si>
    <t>YUNITA FITRIANI</t>
  </si>
  <si>
    <t>CITRA SUSILOWATI</t>
  </si>
  <si>
    <t>EKA AGUSTINA</t>
  </si>
  <si>
    <t>OPT-449</t>
  </si>
  <si>
    <t>T/P 3.1</t>
  </si>
  <si>
    <t>AYU WULANDARI</t>
  </si>
  <si>
    <t>T/P 6</t>
  </si>
  <si>
    <t>KURNIA DEWI LESTARI</t>
  </si>
  <si>
    <t>S/A 4</t>
  </si>
  <si>
    <t>LENI PUTRIYANI</t>
  </si>
  <si>
    <t>OPT-493</t>
  </si>
  <si>
    <t>T/P 4.1</t>
  </si>
  <si>
    <t>NORMA YURITA S</t>
  </si>
  <si>
    <t>S/A 2</t>
  </si>
  <si>
    <t>NURUL FAJJRIYATUS SOLIHAH</t>
  </si>
  <si>
    <t>S/T 4.3</t>
  </si>
  <si>
    <t>OKTAVIANI PUSPITA SARI</t>
  </si>
  <si>
    <t>S/A 1</t>
  </si>
  <si>
    <t>USWATUN NUR KHASANAH</t>
  </si>
  <si>
    <t>S/A 8</t>
  </si>
  <si>
    <t>RIZKI ULFA QOMARIYAH</t>
  </si>
  <si>
    <t>S/A 3</t>
  </si>
  <si>
    <t>AFIDATUL MUSTAQIMAH</t>
  </si>
  <si>
    <t>IIN AGUSTIN</t>
  </si>
  <si>
    <t>T/P 4.2</t>
  </si>
  <si>
    <t>MIKE SARI</t>
  </si>
  <si>
    <t>S/T 4.2</t>
  </si>
  <si>
    <t>PUTRI SUCI SETIYOWATI</t>
  </si>
  <si>
    <t>T/P 1.1</t>
  </si>
  <si>
    <t>PUTRI INDAH SWARI W P</t>
  </si>
  <si>
    <t>T/P 2.1</t>
  </si>
  <si>
    <t>EKA NUR FITRIANI</t>
  </si>
  <si>
    <t>SITI MUTOHAROH</t>
  </si>
  <si>
    <t>MATERIAL SUPPLY</t>
  </si>
  <si>
    <t>WAHYU MIN SHOLIKAH</t>
  </si>
  <si>
    <t>CIRCUIT SUPPLIER</t>
  </si>
  <si>
    <t>CIRCUIT SUPPLY</t>
  </si>
  <si>
    <t>DEWI KURNIA SAFITRI</t>
  </si>
  <si>
    <t>S/T 2.1</t>
  </si>
  <si>
    <t>DWI SETIANINGRUM</t>
  </si>
  <si>
    <t>T/P 1.2</t>
  </si>
  <si>
    <t>S/T 1.1</t>
  </si>
  <si>
    <t>PINGKI FACHRIYANI</t>
  </si>
  <si>
    <t>S/T 3.1</t>
  </si>
  <si>
    <t>HILMI ICHWANUDDIN</t>
  </si>
  <si>
    <t>EXPANDER GROMMET</t>
  </si>
  <si>
    <t>FINISHING &amp; GROMMET INJECTION</t>
  </si>
  <si>
    <t>YUNITA IRANI</t>
  </si>
  <si>
    <t>S/A 5</t>
  </si>
  <si>
    <t>SHOLEKHATUL FARIKAH</t>
  </si>
  <si>
    <t>T/P 3.2</t>
  </si>
  <si>
    <t>ARINDA AMBAR IRIYANTI</t>
  </si>
  <si>
    <t>S/T 3.2</t>
  </si>
  <si>
    <t>DINDA RISMA SUCITRA</t>
  </si>
  <si>
    <t>CIRCUIT SUPPIER 02</t>
  </si>
  <si>
    <t>INTAN GAYATRI</t>
  </si>
  <si>
    <t>TPO</t>
  </si>
  <si>
    <t>INDRIYANI</t>
  </si>
  <si>
    <t>T/ P 2.2</t>
  </si>
  <si>
    <t>MIMI NURFAMI</t>
  </si>
  <si>
    <t>S/T 4.1</t>
  </si>
  <si>
    <t>SUPARTININGSIH</t>
  </si>
  <si>
    <t>T/P 5.2</t>
  </si>
  <si>
    <t>IKA MAYDA ARIYANI</t>
  </si>
  <si>
    <t>S/A 9</t>
  </si>
  <si>
    <t>AULIA RIZKI AMALIAH</t>
  </si>
  <si>
    <t>SHIAGE</t>
  </si>
  <si>
    <t>PUTRINITA SEKAR YANTI</t>
  </si>
  <si>
    <t>OJT T/P 2.1</t>
  </si>
  <si>
    <t>DYAH PUTRI LESTARI</t>
  </si>
  <si>
    <t>CHECKER ARUS X1</t>
  </si>
  <si>
    <t>LYDIA NATALIA</t>
  </si>
  <si>
    <t>OJT CHECKER ARUS 2</t>
  </si>
  <si>
    <t>RISMA ARDIANA</t>
  </si>
  <si>
    <t>INSERTION GROUP</t>
  </si>
  <si>
    <t>SRI RONDASIH</t>
  </si>
  <si>
    <t>S/T 1.2</t>
  </si>
  <si>
    <t>NIA RAHAYUNINGSIH</t>
  </si>
  <si>
    <t>CHECKER CLIP</t>
  </si>
  <si>
    <t>AKHYA MUNNA</t>
  </si>
  <si>
    <t xml:space="preserve">OJT S/A 1 </t>
  </si>
  <si>
    <t>SEPTYA LARASATI</t>
  </si>
  <si>
    <t>OJT CIRCUIT SUPPLIER 01</t>
  </si>
  <si>
    <t>WAHYU BUDI ASTUTI</t>
  </si>
  <si>
    <t>OJT S/A 2</t>
  </si>
  <si>
    <t>FITRI NUR AISYAH</t>
  </si>
  <si>
    <t>SUZUKI HUSTLER</t>
  </si>
  <si>
    <t>SUZUKI Y0C</t>
  </si>
  <si>
    <t>INDAH YULIANTI</t>
  </si>
  <si>
    <t>OJT S/T 4.3</t>
  </si>
  <si>
    <t>ISOBAH FATICHA AL'ARIEF</t>
  </si>
  <si>
    <t>OJT S/A 8</t>
  </si>
  <si>
    <t>SRI SULASMI</t>
  </si>
  <si>
    <t>EFA YUNI SETIANI</t>
  </si>
  <si>
    <t>DARMINI</t>
  </si>
  <si>
    <t>WIWIN ERMIDAH</t>
  </si>
  <si>
    <t>TIKA MAHARANI</t>
  </si>
  <si>
    <t>VISUAL 1</t>
  </si>
  <si>
    <t>YUNITA APRIYANI</t>
  </si>
  <si>
    <t>OKTAVIA IKA SUDARWATI</t>
  </si>
  <si>
    <t>SUSIANA</t>
  </si>
  <si>
    <t>ERMA SULISTIANINGSIH</t>
  </si>
  <si>
    <t>NUR FAIZAH</t>
  </si>
  <si>
    <t>FAIKHATUN NIKMAH</t>
  </si>
  <si>
    <t>OPT-492</t>
  </si>
  <si>
    <t>ALIFIKA MUSRIANA</t>
  </si>
  <si>
    <t>RUJIATI</t>
  </si>
  <si>
    <t>RIYA YULIANI</t>
  </si>
  <si>
    <t xml:space="preserve">SINTA RAHMAWATI </t>
  </si>
  <si>
    <t>AFRIA PRAMESWARI KINASIH</t>
  </si>
  <si>
    <t>RIZQIYATUL WAHIDAH</t>
  </si>
  <si>
    <t>SOLIKHAH FITRIYANI</t>
  </si>
  <si>
    <t>ANI SUSANTI</t>
  </si>
  <si>
    <t>CHECKER ARUS 1</t>
  </si>
  <si>
    <t>USNUL KHOTIMAH</t>
  </si>
  <si>
    <t>EVA NURYANI</t>
  </si>
  <si>
    <t>ESTY WIDYAWATI</t>
  </si>
  <si>
    <t>SILMA FITRIANA</t>
  </si>
  <si>
    <t>OPT-531</t>
  </si>
  <si>
    <t>CIRCUIT SUPPLIER 2</t>
  </si>
  <si>
    <t>SRI MAWADAH</t>
  </si>
  <si>
    <t>AYU SAFIRA</t>
  </si>
  <si>
    <t>OPT-533</t>
  </si>
  <si>
    <t>OJT S/T 1.2</t>
  </si>
  <si>
    <t>SOFIYANI</t>
  </si>
  <si>
    <t>AMELIA ZUMARNIS</t>
  </si>
  <si>
    <t>HILMA DIANA</t>
  </si>
  <si>
    <t>CHECKER CLIP 2</t>
  </si>
  <si>
    <t>DEWI SYUKUR ROHMAH</t>
  </si>
  <si>
    <t>RITA PUSPITANINGTYAS</t>
  </si>
  <si>
    <t>CHECKER ARUS 3</t>
  </si>
  <si>
    <t>NINNA LISTYANA</t>
  </si>
  <si>
    <t>EVA SARI KURNIAWATI</t>
  </si>
  <si>
    <t>MOHAMAD ILHAM</t>
  </si>
  <si>
    <t>GITA NURCAHYANI</t>
  </si>
  <si>
    <t>KUNI HABIBAH</t>
  </si>
  <si>
    <t>NURUL VIDYA NINGRUM</t>
  </si>
  <si>
    <t>CIRCUIT SUPPLIER 1</t>
  </si>
  <si>
    <t>UMI KHAFIDHOH</t>
  </si>
  <si>
    <t>T/P 2.2</t>
  </si>
  <si>
    <t>YULI USLINA</t>
  </si>
  <si>
    <t>WAHYU PRATIWI</t>
  </si>
  <si>
    <t>AGENG LESTARI</t>
  </si>
  <si>
    <t>CHECKER CLIP 1</t>
  </si>
  <si>
    <t>RIRIN YULIANA</t>
  </si>
  <si>
    <t>OJT S/A 1</t>
  </si>
  <si>
    <t>INDAH DWI DAYATI</t>
  </si>
  <si>
    <t>RIRIN DWI WIJAYANTI</t>
  </si>
  <si>
    <t>VISUAL 3</t>
  </si>
  <si>
    <t>NURUL LAILIYAH</t>
  </si>
  <si>
    <t>S/T</t>
  </si>
  <si>
    <t>EVA MUSTIYAN</t>
  </si>
  <si>
    <t>ANIS AMMA LUTFI</t>
  </si>
  <si>
    <t>VISUAL 2</t>
  </si>
  <si>
    <t>ROSIYANA DEWI</t>
  </si>
  <si>
    <t>CHECKER ARUS 2</t>
  </si>
  <si>
    <t>HENI WIDYANINGRUM</t>
  </si>
  <si>
    <t>DESIH HIDAYAH</t>
  </si>
  <si>
    <t>HENY SULISTIYANINGSIH</t>
  </si>
  <si>
    <t>RITA OKTAVIA</t>
  </si>
  <si>
    <t>TAMBENG LESTARI</t>
  </si>
  <si>
    <t>TINFAROTUL FATINA</t>
  </si>
  <si>
    <t>OJT S/A</t>
  </si>
  <si>
    <t>SITI KHOLIFAH</t>
  </si>
  <si>
    <t>HONDA MOTORBIKE</t>
  </si>
  <si>
    <t>HONDA HARNESS WIRE</t>
  </si>
  <si>
    <t>CV 10</t>
  </si>
  <si>
    <t>IDA SOPIANA</t>
  </si>
  <si>
    <t>MUKHLIKHAH AL MAZDKUROH</t>
  </si>
  <si>
    <t>NUR AWALIYAH</t>
  </si>
  <si>
    <t>BIATUN</t>
  </si>
  <si>
    <t>T/P 5</t>
  </si>
  <si>
    <t>KUSUMIARTI</t>
  </si>
  <si>
    <t>SITI MUCHASANAH</t>
  </si>
  <si>
    <t>PITA NURCHOERIYAH</t>
  </si>
  <si>
    <t>SUSI ANGGRAINI</t>
  </si>
  <si>
    <t>S/T 3.3</t>
  </si>
  <si>
    <t>ANNA OCTAVIANI NUR HALIMAH</t>
  </si>
  <si>
    <t>CHECKER</t>
  </si>
  <si>
    <t>ELI DWI ERSANTI</t>
  </si>
  <si>
    <t>ARGO WINARSIH PRATIWI</t>
  </si>
  <si>
    <t>LUTFIANA</t>
  </si>
  <si>
    <t>OPT-478</t>
  </si>
  <si>
    <t>T/P 2</t>
  </si>
  <si>
    <t>PURNOMO BUDI UTOMO</t>
  </si>
  <si>
    <t>OPT-480</t>
  </si>
  <si>
    <t>T/P 6.2</t>
  </si>
  <si>
    <t>NUR DWI LESTARI</t>
  </si>
  <si>
    <t>ULFA MUAFIYAH</t>
  </si>
  <si>
    <t>ROKHMANIAH</t>
  </si>
  <si>
    <t>SITI ZULAEKOH</t>
  </si>
  <si>
    <t>ARRANGING</t>
  </si>
  <si>
    <t>ERISA OKTAFIANINGRUM</t>
  </si>
  <si>
    <t>JI'RONAH</t>
  </si>
  <si>
    <t>T/P 4</t>
  </si>
  <si>
    <t>RINA ISMAYA</t>
  </si>
  <si>
    <t>LANAH TA'DIA ROSADA</t>
  </si>
  <si>
    <t>T/P 6.1</t>
  </si>
  <si>
    <t>NADYA KARISMA DEWI</t>
  </si>
  <si>
    <t>VANIA SAFVITRI</t>
  </si>
  <si>
    <t>CAMERA FUSE</t>
  </si>
  <si>
    <t>SUKRISTIYANI</t>
  </si>
  <si>
    <t>ANI AFIATUL KHOFIDHO</t>
  </si>
  <si>
    <t>NAFIS SYAIFA ZUHRITA</t>
  </si>
  <si>
    <t>RIZQIKA ANUNG ANINDHITA</t>
  </si>
  <si>
    <t>MATAERIAL SUPLLY VO</t>
  </si>
  <si>
    <t>DHINDA DHAMAYANTI</t>
  </si>
  <si>
    <t>LILIK VERINA</t>
  </si>
  <si>
    <t xml:space="preserve">OKTAVIANI </t>
  </si>
  <si>
    <t>ISNA AF'IDATUN NISA'</t>
  </si>
  <si>
    <t xml:space="preserve">OJT CHECKER </t>
  </si>
  <si>
    <t>B00166</t>
  </si>
  <si>
    <t>SETIYANINGSIH</t>
  </si>
  <si>
    <t>B01085</t>
  </si>
  <si>
    <t>NURKHAMILIA FITRIYANI</t>
  </si>
  <si>
    <t>B01165</t>
  </si>
  <si>
    <t>SITI NUR RIANA</t>
  </si>
  <si>
    <t>BBF-030</t>
  </si>
  <si>
    <t>B02978</t>
  </si>
  <si>
    <t>DIAH AYU PANGESTIKA</t>
  </si>
  <si>
    <t>BBF-139</t>
  </si>
  <si>
    <t>ISTIKOMAH</t>
  </si>
  <si>
    <t>M23628</t>
  </si>
  <si>
    <t>PIPIT BUDIARTI</t>
  </si>
  <si>
    <t>S/T 1</t>
  </si>
  <si>
    <t>BOMI SUMARAH</t>
  </si>
  <si>
    <t>HONDA N-WAGON</t>
  </si>
  <si>
    <t>HONDA SMALL CAR W/H DOOR</t>
  </si>
  <si>
    <t>CV 12</t>
  </si>
  <si>
    <t>ANITA WIJI WINATA</t>
  </si>
  <si>
    <t>NURUL ARIFAH APRILIYANI</t>
  </si>
  <si>
    <t>ETY NUOR RICHA</t>
  </si>
  <si>
    <t>SULIS TYONINGSIH</t>
  </si>
  <si>
    <t>RETNO KUMALASARI</t>
  </si>
  <si>
    <t xml:space="preserve">NIA ERFIANA </t>
  </si>
  <si>
    <t>MEISYA SYAMSIAH</t>
  </si>
  <si>
    <t>T/P 1</t>
  </si>
  <si>
    <t>ASTUTIK</t>
  </si>
  <si>
    <t xml:space="preserve">DEWI SEKAR WANGEN </t>
  </si>
  <si>
    <t>OPT-532</t>
  </si>
  <si>
    <t>SITI IFAH NUR SAFITRI</t>
  </si>
  <si>
    <t>SITI YULIANTI</t>
  </si>
  <si>
    <t>FANI HANDAYANI LESTARI</t>
  </si>
  <si>
    <t>OPT-553</t>
  </si>
  <si>
    <t>DARIANA KUSWANDARI</t>
  </si>
  <si>
    <t>SITI NURHASANAH</t>
  </si>
  <si>
    <t>NUR FAIDAH</t>
  </si>
  <si>
    <t>FATIN MUFIDAH</t>
  </si>
  <si>
    <t>KHARISSATUSSOGHIROH</t>
  </si>
  <si>
    <t>T/P 3</t>
  </si>
  <si>
    <t>KHOLIDAH</t>
  </si>
  <si>
    <t>ISTI BAROKAH</t>
  </si>
  <si>
    <t>OJT T/P 1</t>
  </si>
  <si>
    <t>B02823</t>
  </si>
  <si>
    <t>AHMAD GHOZALI ZULKARNAEN</t>
  </si>
  <si>
    <t>BBF-133</t>
  </si>
  <si>
    <t>KHAMIDATUL MUBAROKAH</t>
  </si>
  <si>
    <t>BELLA OKTANITAMI</t>
  </si>
  <si>
    <t xml:space="preserve">CV 12 </t>
  </si>
  <si>
    <t>ARI SETIOWATI</t>
  </si>
  <si>
    <t>HONDA FIT</t>
  </si>
  <si>
    <t>HONDA FIT W/H L CABIN</t>
  </si>
  <si>
    <t>CV 13</t>
  </si>
  <si>
    <t>WAHYU ANGGRAINI S.</t>
  </si>
  <si>
    <t>S/A AB</t>
  </si>
  <si>
    <t>HENI TRI HAYATI</t>
  </si>
  <si>
    <t>BATERAY CABLE</t>
  </si>
  <si>
    <t>SITI MAHMUDAH</t>
  </si>
  <si>
    <t>OPT-232</t>
  </si>
  <si>
    <t>FIRA FIRMANILA</t>
  </si>
  <si>
    <t>LATHOIFUL LATHIFAH</t>
  </si>
  <si>
    <t>MALINDA</t>
  </si>
  <si>
    <t>SOLICHAH</t>
  </si>
  <si>
    <t>OPT-313</t>
  </si>
  <si>
    <t>KURNIAWATI</t>
  </si>
  <si>
    <t>IKA PRASETIYOWATI</t>
  </si>
  <si>
    <t>TRI NOVIA DANIK</t>
  </si>
  <si>
    <t>NURUL HIKMAH</t>
  </si>
  <si>
    <t>OKTAVIANO CAHYA NATALIA</t>
  </si>
  <si>
    <t>MUTIARA ANGGRAENI</t>
  </si>
  <si>
    <t>CIRCUIT SUPPLIER 02</t>
  </si>
  <si>
    <t>SITI ZUMROTUN</t>
  </si>
  <si>
    <t>LILA SANIA</t>
  </si>
  <si>
    <t>EKA DIAN PURWANINGSIH</t>
  </si>
  <si>
    <t>CIRCUIT SUPPLIER 01</t>
  </si>
  <si>
    <t>SRI WAHYUNINGSIH</t>
  </si>
  <si>
    <t>AIK RISMA SUSFARANI</t>
  </si>
  <si>
    <t>CHECKER 2</t>
  </si>
  <si>
    <t>MIFTAHUL HASANAH</t>
  </si>
  <si>
    <t>S/A 3.2</t>
  </si>
  <si>
    <t>MOHAMMAD ALI RIFKI</t>
  </si>
  <si>
    <t>NOVI WULANDARI</t>
  </si>
  <si>
    <t>RETNO LIA SAFITRI</t>
  </si>
  <si>
    <t>CIPTO FATKHUROHMAN</t>
  </si>
  <si>
    <t>PROTECTOR 1</t>
  </si>
  <si>
    <t>NURUL HIDAYAH</t>
  </si>
  <si>
    <t>RAHAYU DWI KARTIKA</t>
  </si>
  <si>
    <t>RIKE NUR SAFITRI</t>
  </si>
  <si>
    <t>S/A 3.1</t>
  </si>
  <si>
    <t>FATQIYATUL JANAH</t>
  </si>
  <si>
    <t>FAJAR ADI PURNOMO</t>
  </si>
  <si>
    <t>PROTECTOR 02</t>
  </si>
  <si>
    <t>ROFAETIN</t>
  </si>
  <si>
    <t>DIAN NINGRUM</t>
  </si>
  <si>
    <t>ANIF QURNIA</t>
  </si>
  <si>
    <t>BHEKTI DWI PRATIWI</t>
  </si>
  <si>
    <t>MATERIAL SUPPLY 01</t>
  </si>
  <si>
    <t>NUR DIANAH AENUN HASANAH</t>
  </si>
  <si>
    <t>CHECKER 3</t>
  </si>
  <si>
    <t>PARAMITA ISTIQOMAH</t>
  </si>
  <si>
    <t>S/T 4</t>
  </si>
  <si>
    <t>IIN ANGGRAINI</t>
  </si>
  <si>
    <t>WAMUAFATIM</t>
  </si>
  <si>
    <t>MATERIAL SUPPLY 02</t>
  </si>
  <si>
    <t>ANISYA NARIS WARI</t>
  </si>
  <si>
    <t>OJT T/P 2.2</t>
  </si>
  <si>
    <t>SITI MU'ASYIROH</t>
  </si>
  <si>
    <t>OJT S/T 2.2</t>
  </si>
  <si>
    <t>B00202</t>
  </si>
  <si>
    <t>JUMIATUN</t>
  </si>
  <si>
    <t>B00872</t>
  </si>
  <si>
    <t>DESI ISTIQOMAH LESTARI H.</t>
  </si>
  <si>
    <t>CHECKER 1</t>
  </si>
  <si>
    <t>KHUMAEDATUL KURROH</t>
  </si>
  <si>
    <t>SITI ROKHIMAH</t>
  </si>
  <si>
    <t>HONDA FIT SHUTTLE WH L CABIN</t>
  </si>
  <si>
    <t>CV 13B</t>
  </si>
  <si>
    <t>TUTUK APRIYANTI</t>
  </si>
  <si>
    <t>M.LUKMAN HAKIM</t>
  </si>
  <si>
    <t>KHARISMAWATI</t>
  </si>
  <si>
    <t>RINA MARYANA</t>
  </si>
  <si>
    <t>ELEN NATANIA MANALU</t>
  </si>
  <si>
    <t>SURYO BUDI UTAMI</t>
  </si>
  <si>
    <t>FITRI AWALIYAH</t>
  </si>
  <si>
    <t>ELSA DIAH AYU PERTIWI</t>
  </si>
  <si>
    <t>ANIS WULAN NINGSIH</t>
  </si>
  <si>
    <t>JUMALIYAH</t>
  </si>
  <si>
    <t>ENDANG ERNAWATI</t>
  </si>
  <si>
    <t>ROKHIYATI</t>
  </si>
  <si>
    <t>FAHRI KHUSAENI</t>
  </si>
  <si>
    <t>OPT-491</t>
  </si>
  <si>
    <t>MUHAMMAD AHLUN NAHZAR</t>
  </si>
  <si>
    <t>ARI EGASAPUTRA</t>
  </si>
  <si>
    <t>DYAH EKA YUDIANINGSIH</t>
  </si>
  <si>
    <t xml:space="preserve">DEWI ALIATUL MUALIFAH </t>
  </si>
  <si>
    <t>IKA RAHMAWATI</t>
  </si>
  <si>
    <t>DESY PUSPITA DEWI</t>
  </si>
  <si>
    <t>SITI SUKAEDAH</t>
  </si>
  <si>
    <t>SITI ZUHROTUL ISTIQOMAH</t>
  </si>
  <si>
    <t>SITI SARTIKA</t>
  </si>
  <si>
    <t>ITA USAKINAH</t>
  </si>
  <si>
    <t>LINDA NOVITA DEWI</t>
  </si>
  <si>
    <t>ERMI NUR HIDAYANI</t>
  </si>
  <si>
    <t>EFIK NURFIANI</t>
  </si>
  <si>
    <t>IKKE FRIDA SOFIA</t>
  </si>
  <si>
    <t>FIKA UUN ZUNAIROH</t>
  </si>
  <si>
    <t>KHOIRUS SANAH</t>
  </si>
  <si>
    <t>ARIF MUNANDAR</t>
  </si>
  <si>
    <t>COROBIKI</t>
  </si>
  <si>
    <t>ASFARINA AIRIN</t>
  </si>
  <si>
    <t>VANESA MUTIARA PUTRI</t>
  </si>
  <si>
    <t>JATNO PRASTIYO</t>
  </si>
  <si>
    <t>PROTECTOR 2</t>
  </si>
  <si>
    <t>SUCIYANI</t>
  </si>
  <si>
    <t>AQIDAH DINUL QOYYIMAH</t>
  </si>
  <si>
    <t>T/P 2,1</t>
  </si>
  <si>
    <t>FATHIMATUZ ZAHRO</t>
  </si>
  <si>
    <t>UMI NUR KHABIBAH</t>
  </si>
  <si>
    <t>WIDIA ASTUTI</t>
  </si>
  <si>
    <t>FEBIOLA SUNARDI PUTRI</t>
  </si>
  <si>
    <t>FEGY AZELA</t>
  </si>
  <si>
    <t>NAIMATUL KHOIRIYAH</t>
  </si>
  <si>
    <t>OJT S/A 5</t>
  </si>
  <si>
    <t>NURUL AL HUDAH</t>
  </si>
  <si>
    <t>S/A T2.2</t>
  </si>
  <si>
    <t>SUSIANINGSIH</t>
  </si>
  <si>
    <t>ADELYA DWI APRILIYANI</t>
  </si>
  <si>
    <t>SITI MELYANA</t>
  </si>
  <si>
    <t>M23623</t>
  </si>
  <si>
    <t>KHOLIDA CHOIRUNISA</t>
  </si>
  <si>
    <t>CV 14</t>
  </si>
  <si>
    <t>FITRIA PURNAMASARI</t>
  </si>
  <si>
    <t>OPT-278</t>
  </si>
  <si>
    <t>T/P 9</t>
  </si>
  <si>
    <t>ISWATUN HASANAH</t>
  </si>
  <si>
    <t>OPT-312</t>
  </si>
  <si>
    <t>IDA BANGUN</t>
  </si>
  <si>
    <t>RETNO BUDIARSIH</t>
  </si>
  <si>
    <t>LUPIANA</t>
  </si>
  <si>
    <t>KHARIZAL HUDA</t>
  </si>
  <si>
    <t>ARISTA WIDIASARI</t>
  </si>
  <si>
    <t>NUR ANISAH</t>
  </si>
  <si>
    <t>SINTIA WIDIASARI</t>
  </si>
  <si>
    <t>ROCHANAH</t>
  </si>
  <si>
    <t>NOFIANINGSIH</t>
  </si>
  <si>
    <t>NOVITA DAMAYANTI</t>
  </si>
  <si>
    <t>YULIANA AYUNING TYAS</t>
  </si>
  <si>
    <t>ANA SAFITRI</t>
  </si>
  <si>
    <t>DEWI SARAH</t>
  </si>
  <si>
    <t>PUJIANTI</t>
  </si>
  <si>
    <t>T/P 8</t>
  </si>
  <si>
    <t>NURUL KHANIFAH</t>
  </si>
  <si>
    <t>RATNA SELVIANA</t>
  </si>
  <si>
    <t>SONIA BUDI UTAMI</t>
  </si>
  <si>
    <t>AYU KARLINA</t>
  </si>
  <si>
    <t>NOOR AGNI OCTAFIANI</t>
  </si>
  <si>
    <t>T/P 7</t>
  </si>
  <si>
    <t>RIFA ASTRI</t>
  </si>
  <si>
    <t>ANUM TITIK RAHAYUNINGSIH</t>
  </si>
  <si>
    <t>DIAN PUTRIYANTI</t>
  </si>
  <si>
    <t>S/A 1.2</t>
  </si>
  <si>
    <t>FITROH KHOLIFAH</t>
  </si>
  <si>
    <t>KHORI NUR ANISA</t>
  </si>
  <si>
    <t>LUSIA PUTRI ANGREANI</t>
  </si>
  <si>
    <t>AL VIANA</t>
  </si>
  <si>
    <t>DIKA ARIASIH</t>
  </si>
  <si>
    <t>WULAN NITASARI</t>
  </si>
  <si>
    <t>ALIPAH</t>
  </si>
  <si>
    <t>MATERIAL SUPPLIER</t>
  </si>
  <si>
    <t>AMELIA SAFITRI</t>
  </si>
  <si>
    <t>SITI MUAROPAH</t>
  </si>
  <si>
    <t>PROTOTYPE</t>
  </si>
  <si>
    <t>IIN KONIYAH FAO</t>
  </si>
  <si>
    <t>RUMI ALISTARI</t>
  </si>
  <si>
    <t>S/A A/B</t>
  </si>
  <si>
    <t>A(NS)</t>
  </si>
  <si>
    <t>AFNI ROCHAYANI</t>
  </si>
  <si>
    <t>ANIK SULISTYOWATI</t>
  </si>
  <si>
    <t>VANIA RINDA MEYDITA</t>
  </si>
  <si>
    <t>YULIANA SURYA DEWI</t>
  </si>
  <si>
    <t>SEPTIAN ADHITYA DWI S.</t>
  </si>
  <si>
    <t>DESI MURNIYATI</t>
  </si>
  <si>
    <t>HANDINING TIARA AZKARAHMA</t>
  </si>
  <si>
    <t xml:space="preserve">LISA </t>
  </si>
  <si>
    <t>NIDA ANISAH</t>
  </si>
  <si>
    <t>MUHAMMAD RIYANTO</t>
  </si>
  <si>
    <t>OPT-523</t>
  </si>
  <si>
    <t>RIRIN WIYANTI</t>
  </si>
  <si>
    <t>SITI IKA NOFYANTI</t>
  </si>
  <si>
    <t>FITA RISTIANA</t>
  </si>
  <si>
    <t>ANGGI RISKIYANI</t>
  </si>
  <si>
    <t xml:space="preserve">NURROTUL AWALIYAH HADI </t>
  </si>
  <si>
    <t>WAHYU TITIS RAHMADANI</t>
  </si>
  <si>
    <t>AGUS WULAN SARI</t>
  </si>
  <si>
    <t>ERIKA PURNAMASARI</t>
  </si>
  <si>
    <t>NADILA PUTRI</t>
  </si>
  <si>
    <t>RINDIANI</t>
  </si>
  <si>
    <t>AYU ARIYANTI AULIA</t>
  </si>
  <si>
    <t>ASIH FITRIANAH</t>
  </si>
  <si>
    <t>INAYATI</t>
  </si>
  <si>
    <t>WAHYU ASTUTI</t>
  </si>
  <si>
    <t>EMI NITASARI</t>
  </si>
  <si>
    <t>MATERIAL SUPPLY 2</t>
  </si>
  <si>
    <t>INDAH FEBRIYANTI</t>
  </si>
  <si>
    <t>S/A 1.1</t>
  </si>
  <si>
    <t>DINA ELA ESTI</t>
  </si>
  <si>
    <t>ENDRI EKO CAHYONO</t>
  </si>
  <si>
    <t>INTAN SUBEKTHI</t>
  </si>
  <si>
    <t>OJT T/P</t>
  </si>
  <si>
    <t>TRI WIWIK MUNAWA NINGSIH</t>
  </si>
  <si>
    <t>AYUK YUNIYANTI</t>
  </si>
  <si>
    <t>BELIA MUTIARA JANAH</t>
  </si>
  <si>
    <t>MATERIAL SUPPLY 1</t>
  </si>
  <si>
    <t>AMIRATUS SOLIKHAH</t>
  </si>
  <si>
    <t>FITA RUPIANA</t>
  </si>
  <si>
    <t>MILA VINDASARI</t>
  </si>
  <si>
    <t>VIANA NUR AINI</t>
  </si>
  <si>
    <t>AJENG NURFITRI</t>
  </si>
  <si>
    <t>LATIFA RAHMAWATI</t>
  </si>
  <si>
    <t>TUTIK PURWANTI</t>
  </si>
  <si>
    <t>CV 16</t>
  </si>
  <si>
    <t>NURUL AIN</t>
  </si>
  <si>
    <t>INDAH MARGININGSIH</t>
  </si>
  <si>
    <t>SUKAMTI</t>
  </si>
  <si>
    <t>TRI MEI WULANDARI</t>
  </si>
  <si>
    <t>MOHAMAD ISTAQORI</t>
  </si>
  <si>
    <t>WARSITI</t>
  </si>
  <si>
    <t>NUR CHASANAH</t>
  </si>
  <si>
    <t>FINISHING</t>
  </si>
  <si>
    <t>KHARISATUN NIKMAH</t>
  </si>
  <si>
    <t>ASIH MUGIATI</t>
  </si>
  <si>
    <t>SARAS NURAENI</t>
  </si>
  <si>
    <t>ULFA ANI SATU ROHMAH</t>
  </si>
  <si>
    <t>OPT-263</t>
  </si>
  <si>
    <t>RESA REGAL LESTA</t>
  </si>
  <si>
    <t>SITI INAYAHWATI</t>
  </si>
  <si>
    <t>RAHAYU WILUJENG SETYO RINI</t>
  </si>
  <si>
    <t>FAJAR SUSILOWATI</t>
  </si>
  <si>
    <t>ROMYAN SILNUR</t>
  </si>
  <si>
    <t>WAHYU NURIYANTO</t>
  </si>
  <si>
    <t>OPT-394</t>
  </si>
  <si>
    <t>DINA ANGGUN FUJI RAHAYU</t>
  </si>
  <si>
    <t>OPT-443</t>
  </si>
  <si>
    <t>NOVIA EKA PUTRI</t>
  </si>
  <si>
    <t>ERFIN EMMA ASYARI</t>
  </si>
  <si>
    <t xml:space="preserve">IKE PRATIWI </t>
  </si>
  <si>
    <t>S/A DOCKING</t>
  </si>
  <si>
    <t>PRAMESTI CAHYANI</t>
  </si>
  <si>
    <t>ARIF KURNIA ROCHMAN</t>
  </si>
  <si>
    <t>MURAH PUJI MARIFATUN</t>
  </si>
  <si>
    <t>KHARISMA ROSADA</t>
  </si>
  <si>
    <t>OPT-514</t>
  </si>
  <si>
    <t>S/T 2</t>
  </si>
  <si>
    <t>LIS FAIYAH</t>
  </si>
  <si>
    <t>ERNI ROSDIANAH</t>
  </si>
  <si>
    <t>NAILIS JULIANA</t>
  </si>
  <si>
    <t>DINI DWI SETYAFANI</t>
  </si>
  <si>
    <t>FITRIYAH</t>
  </si>
  <si>
    <t>S/A SP 1.1</t>
  </si>
  <si>
    <t>RIA FITRIYANI</t>
  </si>
  <si>
    <t>DWI MAYA YUNIA FRANSISKA</t>
  </si>
  <si>
    <t>PRISTIANI</t>
  </si>
  <si>
    <t>S/A 2.1</t>
  </si>
  <si>
    <t>SITI NUR ANISAH</t>
  </si>
  <si>
    <t>DYAH AYU PRATAMASARI</t>
  </si>
  <si>
    <t>NURHAYAH HABIB SALSABILA</t>
  </si>
  <si>
    <t>MEGA LESTARI</t>
  </si>
  <si>
    <t>PUTRI AYU ALIFAH</t>
  </si>
  <si>
    <t>MEGA APRILIA SAPUTRI</t>
  </si>
  <si>
    <t>S/A SP 1.2</t>
  </si>
  <si>
    <t>SUCIATI</t>
  </si>
  <si>
    <t>NOVA SETYANINGSIH</t>
  </si>
  <si>
    <t>NOVITA INTAN SARI</t>
  </si>
  <si>
    <t>WAHYU ARDIYA RATNA  CANDRA DEWI</t>
  </si>
  <si>
    <t>ANIS FEBRIANTI</t>
  </si>
  <si>
    <t>LAILATUL MAGHFIROH</t>
  </si>
  <si>
    <t>LENI NOVITASARI</t>
  </si>
  <si>
    <t>S/A 6.2</t>
  </si>
  <si>
    <t>ARIFIANA MAULINDA</t>
  </si>
  <si>
    <t>S/A SP 2</t>
  </si>
  <si>
    <t>YANUAR ARDHIANTO</t>
  </si>
  <si>
    <t>SITI NURMAWATI</t>
  </si>
  <si>
    <t>WAHYUNINGATI AL JAMILAH</t>
  </si>
  <si>
    <t>OJT T/P 3.2</t>
  </si>
  <si>
    <t>KAROLINA RERE</t>
  </si>
  <si>
    <t>OJT MATERIAL SUPPLY</t>
  </si>
  <si>
    <t>KHOFSOTUL ULYA</t>
  </si>
  <si>
    <t>OJT S/A DOCKING</t>
  </si>
  <si>
    <t>B03542</t>
  </si>
  <si>
    <t>SRI UNARI</t>
  </si>
  <si>
    <t>BBF-160</t>
  </si>
  <si>
    <t>B00865</t>
  </si>
  <si>
    <t>NUGROHO ADI SAPUTRO</t>
  </si>
  <si>
    <t>BBF-017</t>
  </si>
  <si>
    <t>AKHADIYATI TRI HANDAYANI</t>
  </si>
  <si>
    <t>WIDYA ASTUTI</t>
  </si>
  <si>
    <t>ASIH SETIYA WATI</t>
  </si>
  <si>
    <t>SITI ANNISA</t>
  </si>
  <si>
    <t>MAULIDATUL CHASANAH</t>
  </si>
  <si>
    <t>S/T 3</t>
  </si>
  <si>
    <t>MARTANTI KUSUMANINGTYAS</t>
  </si>
  <si>
    <t>IDA MARDIYANA</t>
  </si>
  <si>
    <t>LESTARI PUTRI K.</t>
  </si>
  <si>
    <t>TAHFIDHUL NI'MAH</t>
  </si>
  <si>
    <t>NUR WAHYUNI</t>
  </si>
  <si>
    <t>FITRI NURHIDAYAH</t>
  </si>
  <si>
    <t>TITIK NOVIANTI</t>
  </si>
  <si>
    <t>INDRIANI WIDYASTUTI</t>
  </si>
  <si>
    <t>SAYIDA NURUL CHIKMAH</t>
  </si>
  <si>
    <t>NA'IM MUNAWAROH</t>
  </si>
  <si>
    <t>MUHIBAH DWI WULANSARI</t>
  </si>
  <si>
    <t>SALMA KHOIRUNNISA ANDARISTA</t>
  </si>
  <si>
    <t>WAHYU INDAH SETYAWATI</t>
  </si>
  <si>
    <t>WAHYU NOVIKA</t>
  </si>
  <si>
    <t xml:space="preserve">UMI KHOLIFAH </t>
  </si>
  <si>
    <t>LINDA LISTIYANA</t>
  </si>
  <si>
    <t xml:space="preserve">DINI ERIYANTI </t>
  </si>
  <si>
    <t>RIKA AMALIA</t>
  </si>
  <si>
    <t>RAHMATUN KHASANAH</t>
  </si>
  <si>
    <t>DEWI ZULAIQOH</t>
  </si>
  <si>
    <t>EKO YULIANTI</t>
  </si>
  <si>
    <t>JOKO WAHYUDI</t>
  </si>
  <si>
    <t>SITI ROZANAH</t>
  </si>
  <si>
    <t>SASKIA ROSA QUINTANIA</t>
  </si>
  <si>
    <t>UMUL KHAKIMAH</t>
  </si>
  <si>
    <t>S/A SP</t>
  </si>
  <si>
    <t xml:space="preserve">NATASYA KUSUMA HARDINI </t>
  </si>
  <si>
    <t>SHELLA ANGELIA</t>
  </si>
  <si>
    <t>SITI MUTHOHAROH</t>
  </si>
  <si>
    <t>RIZQI SHEFTIANA PUTRI</t>
  </si>
  <si>
    <t>AULIA DWI HARYANI</t>
  </si>
  <si>
    <t>YOFI FIBRIYANA</t>
  </si>
  <si>
    <t>RINA SETYANI</t>
  </si>
  <si>
    <t>CIRCUIT SUPPLIER 03</t>
  </si>
  <si>
    <t>UMI LABIBAH</t>
  </si>
  <si>
    <t>DINI FEBRIANI</t>
  </si>
  <si>
    <t xml:space="preserve">MELLY PUTRI APRILIANI </t>
  </si>
  <si>
    <t>NUR ROHMAH</t>
  </si>
  <si>
    <t>DEVIANA PUPUT SAPUTRI</t>
  </si>
  <si>
    <t>LUDFIYATUL MAZALAH</t>
  </si>
  <si>
    <t>AROFAH</t>
  </si>
  <si>
    <t>AVY RUMAENUR</t>
  </si>
  <si>
    <t>CERLINA ANIS MAWARNI</t>
  </si>
  <si>
    <t>DUROTUN MILATINA</t>
  </si>
  <si>
    <t>OJT CHECKER</t>
  </si>
  <si>
    <t>LAILA QHOIRAH WAHIDA</t>
  </si>
  <si>
    <t xml:space="preserve">OJT SA </t>
  </si>
  <si>
    <t>SUGIYANTI</t>
  </si>
  <si>
    <t>WAHYU PUSPA PRATIWI</t>
  </si>
  <si>
    <t>OJT CIRCUIT SUPPLIER</t>
  </si>
  <si>
    <t>LIFIA ALFADHELIA</t>
  </si>
  <si>
    <t>NIDYAH ARI TRIANINGRUM</t>
  </si>
  <si>
    <t>HONDA GRACE</t>
  </si>
  <si>
    <t>HONDA CITY W/H L CABIN</t>
  </si>
  <si>
    <t>CV 17</t>
  </si>
  <si>
    <t>CHUSNUL CHOTIMAH</t>
  </si>
  <si>
    <t>NIA HARYANTI</t>
  </si>
  <si>
    <t>ISNA FITRIYATUR ROHMANIYAH</t>
  </si>
  <si>
    <t>SOLIKHATI</t>
  </si>
  <si>
    <t>SITI NUR JANAH</t>
  </si>
  <si>
    <t>AMBAR WATI</t>
  </si>
  <si>
    <t>YUMROTUN</t>
  </si>
  <si>
    <t>SULISTYORINI</t>
  </si>
  <si>
    <t>OPT-292</t>
  </si>
  <si>
    <t>T/P 2.3</t>
  </si>
  <si>
    <t>WAHYU DWI IRNAWATI</t>
  </si>
  <si>
    <t>WARTINAH</t>
  </si>
  <si>
    <t>MOHAMAD MUSLIH</t>
  </si>
  <si>
    <t>FITRI NUR INDASARI</t>
  </si>
  <si>
    <t>MINDARTASIH</t>
  </si>
  <si>
    <t xml:space="preserve">DEWI PURWANI </t>
  </si>
  <si>
    <t>WIDYA ANGGRAINI</t>
  </si>
  <si>
    <t>HELTY INDRIANI N.</t>
  </si>
  <si>
    <t xml:space="preserve">DESI SUMANTI </t>
  </si>
  <si>
    <t>ELAVIA FRADILA RAHAYU</t>
  </si>
  <si>
    <t>MARIANA</t>
  </si>
  <si>
    <t>OPT-525</t>
  </si>
  <si>
    <t>RINA AGUSTIN</t>
  </si>
  <si>
    <t>NURUL FAJAR JAMILAH</t>
  </si>
  <si>
    <t>DIAH AYU CAHYANINGSIH</t>
  </si>
  <si>
    <t>S/A 4.2</t>
  </si>
  <si>
    <t>ANISATU NISAK</t>
  </si>
  <si>
    <t>TRISNI</t>
  </si>
  <si>
    <t>AYU NIASARI</t>
  </si>
  <si>
    <t>MUKHAMAD ZAHRUDDIN</t>
  </si>
  <si>
    <t>SITI USWATUN KHASANAH</t>
  </si>
  <si>
    <t>OJT S/T 1.1</t>
  </si>
  <si>
    <t xml:space="preserve">RIKA LUSIANA </t>
  </si>
  <si>
    <t>OJT S/T 2.3</t>
  </si>
  <si>
    <t>SEPTIAN LINNAS CHANDRATAMA</t>
  </si>
  <si>
    <t>RAHAYU NINGSIH</t>
  </si>
  <si>
    <t>IASHA FATICHA SARI. N</t>
  </si>
  <si>
    <t>NASITOTUL AYIYAH</t>
  </si>
  <si>
    <t>S/T 2.3</t>
  </si>
  <si>
    <t>SELVIA PANGESTU</t>
  </si>
  <si>
    <t>S/A 4.1</t>
  </si>
  <si>
    <t>SUKMAWATI</t>
  </si>
  <si>
    <t>ERNA STYAWATI</t>
  </si>
  <si>
    <t>MALPINA</t>
  </si>
  <si>
    <t>SELVI AMALIA</t>
  </si>
  <si>
    <t>S/T 1A</t>
  </si>
  <si>
    <t>EKA DEWI SEPTIANA</t>
  </si>
  <si>
    <t>YANI SRI WILUJENG</t>
  </si>
  <si>
    <t>ISMAYANTI DEWI ANGGRAENI</t>
  </si>
  <si>
    <t>M. MUAMAR</t>
  </si>
  <si>
    <t>RESTI WIJAYANTI</t>
  </si>
  <si>
    <t>OJT S/A 6</t>
  </si>
  <si>
    <t>RESTU AJIWIDA KURNIAWAN</t>
  </si>
  <si>
    <t>SINTO PRIHASNOLO</t>
  </si>
  <si>
    <t xml:space="preserve">KOKO SARAH SIHOMBING </t>
  </si>
  <si>
    <t>OJT S/T 2.1</t>
  </si>
  <si>
    <t>B03532</t>
  </si>
  <si>
    <t>LAILATUL HANIYAH</t>
  </si>
  <si>
    <t>M23629</t>
  </si>
  <si>
    <t>RISMA AYU RIANI</t>
  </si>
  <si>
    <t>OJT S/T 1..1</t>
  </si>
  <si>
    <t>M23637</t>
  </si>
  <si>
    <t>SISKA NOVA MARGARETA</t>
  </si>
  <si>
    <t>NOVI WIDARYANTI</t>
  </si>
  <si>
    <t>OPT-19</t>
  </si>
  <si>
    <t>LILIK SETYOWATI</t>
  </si>
  <si>
    <t>ANA SULISTIYANI</t>
  </si>
  <si>
    <t>DINA PUSPASARI</t>
  </si>
  <si>
    <t>NUGRAHENI LARASTIWI</t>
  </si>
  <si>
    <t>SURAIDA YULIASAPUTRI</t>
  </si>
  <si>
    <t>SUWANTI</t>
  </si>
  <si>
    <t>ANGGUN RETNO WATI</t>
  </si>
  <si>
    <t>NUR FITRIANA WIDYANINGRUM</t>
  </si>
  <si>
    <t>IKA SARI</t>
  </si>
  <si>
    <t>INTANSARI</t>
  </si>
  <si>
    <t>SITI KHOINUNINGSIH</t>
  </si>
  <si>
    <t>TRI INDAH SARI</t>
  </si>
  <si>
    <t>FARICHAH</t>
  </si>
  <si>
    <t>NUR ALI MUCHLISIN</t>
  </si>
  <si>
    <t>NUR AENI</t>
  </si>
  <si>
    <t>OPT-332</t>
  </si>
  <si>
    <t>RIYADZUL JANNAH</t>
  </si>
  <si>
    <t>OPT-346</t>
  </si>
  <si>
    <t>LUSI FITRIANA</t>
  </si>
  <si>
    <t>PRIHATIN</t>
  </si>
  <si>
    <t>RIZKI AMALIA</t>
  </si>
  <si>
    <t>HIDAYATUL MUSTAFIDAH</t>
  </si>
  <si>
    <t>NUR KONDRAN</t>
  </si>
  <si>
    <t>ROUDHOTUL JANNAH</t>
  </si>
  <si>
    <t>SITI RUKMANA</t>
  </si>
  <si>
    <t>ERISA KISWARDANI</t>
  </si>
  <si>
    <t>SITI AZIROH</t>
  </si>
  <si>
    <t>IFTIANA</t>
  </si>
  <si>
    <t>SITI LAILATUZZUHROH</t>
  </si>
  <si>
    <t>MIRA YUGISTA SARI</t>
  </si>
  <si>
    <t xml:space="preserve">RINA NURHIDAYATI </t>
  </si>
  <si>
    <t>LILIS SHOLEHA</t>
  </si>
  <si>
    <t>VIKI ANGGRIANA</t>
  </si>
  <si>
    <t>DIAN LATIFAH</t>
  </si>
  <si>
    <t>DWI ETIKA SEPTIANI</t>
  </si>
  <si>
    <t>KHOLIFATUS SAKDIYAH</t>
  </si>
  <si>
    <t>MARISA</t>
  </si>
  <si>
    <t>MELI ADITAMA</t>
  </si>
  <si>
    <t>MUHAMMAD NURUL HUDDIN</t>
  </si>
  <si>
    <t>WISNU ARDIAN SYAH</t>
  </si>
  <si>
    <t>ANGGUN TIKA HANDAYANI</t>
  </si>
  <si>
    <t>ILA NAILI ROHMATIKA</t>
  </si>
  <si>
    <t>ISMI KHOLIFAH</t>
  </si>
  <si>
    <t>ISNAINATUN ANISA</t>
  </si>
  <si>
    <t>YOGA ARIF PRASETYA</t>
  </si>
  <si>
    <t>OJT EXPANDER GROMET</t>
  </si>
  <si>
    <t>MAR'ATUN ANNISA</t>
  </si>
  <si>
    <t>LISNAWATI KHOLIDA</t>
  </si>
  <si>
    <t>M23622</t>
  </si>
  <si>
    <t>IDA MUSTAGHFIROH</t>
  </si>
  <si>
    <t>MUGI RAHAYU</t>
  </si>
  <si>
    <t>HONDA SMALL CAR W/H FLOOR</t>
  </si>
  <si>
    <t>CV 19</t>
  </si>
  <si>
    <t>WAHYU AGUS TYANINGRUM</t>
  </si>
  <si>
    <t>OPT-193</t>
  </si>
  <si>
    <t>YUNITA</t>
  </si>
  <si>
    <t>YULIANA INDAH FEBRI L.</t>
  </si>
  <si>
    <t>FITRI RAHAYU</t>
  </si>
  <si>
    <t>CHECKER A/B</t>
  </si>
  <si>
    <t>LINA LASMITA</t>
  </si>
  <si>
    <t>RUSMIYATI</t>
  </si>
  <si>
    <t>SANDRA TRI NOFITASARI</t>
  </si>
  <si>
    <t>LAILLITA NOVITRI</t>
  </si>
  <si>
    <t xml:space="preserve">PRIHATI DWI SAFITRI </t>
  </si>
  <si>
    <t>USWATUN CHASANAH</t>
  </si>
  <si>
    <t>EMI KHUBAIBAH</t>
  </si>
  <si>
    <t>INA SEPTIANI</t>
  </si>
  <si>
    <t>MAIMUNAH</t>
  </si>
  <si>
    <t>LATIVA</t>
  </si>
  <si>
    <t>SRI WAHYUNI FEBRIYANTI</t>
  </si>
  <si>
    <t>DEWI OKTAFIANI</t>
  </si>
  <si>
    <t>WILASARI</t>
  </si>
  <si>
    <t>NASRIYATUL MUKAROMAH</t>
  </si>
  <si>
    <t>ITA  YUNIAWATI</t>
  </si>
  <si>
    <t>KHOIRUL HIDAYAH</t>
  </si>
  <si>
    <t>MASKON</t>
  </si>
  <si>
    <t>PROTEKTOR</t>
  </si>
  <si>
    <t>KHORIDHATUS SANIAH</t>
  </si>
  <si>
    <t>ASTRID SEPTARIA PUTRI</t>
  </si>
  <si>
    <t>ALFIYATURROHMANIYAH</t>
  </si>
  <si>
    <t>RENY ASTREANI</t>
  </si>
  <si>
    <t>MASSROFI RIZKA AMALIA</t>
  </si>
  <si>
    <t>OJT T/P 4</t>
  </si>
  <si>
    <t>B00752</t>
  </si>
  <si>
    <t>SRI SUGIWATI</t>
  </si>
  <si>
    <t>IFA WAHYUNINGSIH</t>
  </si>
  <si>
    <t>LUTFIYATUL HI'MAH</t>
  </si>
  <si>
    <t>TITI KURNIAWATI</t>
  </si>
  <si>
    <t>UMI ZULIASTUTIK</t>
  </si>
  <si>
    <t>ARI SETIAWATI</t>
  </si>
  <si>
    <t>RIRIN AGUSTINA</t>
  </si>
  <si>
    <t>DWI WAHYUNINGSIH</t>
  </si>
  <si>
    <t>NAWAROTUL ARDHIYAH</t>
  </si>
  <si>
    <t>OPT-388</t>
  </si>
  <si>
    <t>LULUK AFIFATUL LAFIFAH</t>
  </si>
  <si>
    <t>OPT-400</t>
  </si>
  <si>
    <t>RANI MULIA AGUSTA</t>
  </si>
  <si>
    <t>NUR KARTIKA</t>
  </si>
  <si>
    <t>ULFA RIZQI SEPTIANA</t>
  </si>
  <si>
    <t>ELA INDRIANI</t>
  </si>
  <si>
    <t>RAGIL PAMUJI</t>
  </si>
  <si>
    <t>PROTECTOR</t>
  </si>
  <si>
    <t>UMI NASIROH</t>
  </si>
  <si>
    <t>MEI AVIA ULFAH</t>
  </si>
  <si>
    <t>CIRCUIT SUPLIER</t>
  </si>
  <si>
    <t>RIZKI MITA SARI</t>
  </si>
  <si>
    <t>T/P 3.3</t>
  </si>
  <si>
    <t>NUR LIYANTI</t>
  </si>
  <si>
    <t>LESTARI AYUNING TYAS</t>
  </si>
  <si>
    <t>ZAENUDIN</t>
  </si>
  <si>
    <t>IKA VIDAYANTI</t>
  </si>
  <si>
    <t>MOH ILHAM</t>
  </si>
  <si>
    <t>SITI ROIMAH</t>
  </si>
  <si>
    <t>SUSIATI</t>
  </si>
  <si>
    <t>EKA ADI PURWANTO</t>
  </si>
  <si>
    <t>SITI FAJAR MAESHAROH</t>
  </si>
  <si>
    <t>EMY RAGIL SAFITRI</t>
  </si>
  <si>
    <t>T/P 1.3</t>
  </si>
  <si>
    <t>KIKI FILSAFA FITRA</t>
  </si>
  <si>
    <t>ALFINA WINDYASTUTI</t>
  </si>
  <si>
    <t>AMALIA AINUN ZALFA</t>
  </si>
  <si>
    <t>MONETA PRIHATINNINGRUM</t>
  </si>
  <si>
    <t>OJT MATERIAL SUPPLY 1</t>
  </si>
  <si>
    <t>CV 24A</t>
  </si>
  <si>
    <t>NUR HIDAYANTI</t>
  </si>
  <si>
    <t>FARIDOTUS SOLIKHAH</t>
  </si>
  <si>
    <t>MAULINA</t>
  </si>
  <si>
    <t>DEWI SUNARTI</t>
  </si>
  <si>
    <t>S/A</t>
  </si>
  <si>
    <t>RIZKY FADILAH</t>
  </si>
  <si>
    <t>SISCA APRILLIA</t>
  </si>
  <si>
    <t>AYU ELA SRI LESTARI</t>
  </si>
  <si>
    <t>LUSI ROSANTY</t>
  </si>
  <si>
    <t>LILIK HARTATIK</t>
  </si>
  <si>
    <t>SANTI ERMAWATI</t>
  </si>
  <si>
    <t>IFQI ULI TAUFIQOH</t>
  </si>
  <si>
    <t>LULU AMALIA</t>
  </si>
  <si>
    <t>OJT S/T</t>
  </si>
  <si>
    <t>MIFTHAKUL KHASANAH</t>
  </si>
  <si>
    <t>AMELIA HANDAYANI</t>
  </si>
  <si>
    <t>LENNY FITRIYANI</t>
  </si>
  <si>
    <t>MIFROKHATUL KHAMIYAH</t>
  </si>
  <si>
    <t>NANIK APBSA</t>
  </si>
  <si>
    <t>CV 24B</t>
  </si>
  <si>
    <t>SITI TACHAERUL ANISA</t>
  </si>
  <si>
    <t>LINA NUR SANTI</t>
  </si>
  <si>
    <t>LUTFIYATUROHMANIA</t>
  </si>
  <si>
    <t>ELLA OCTAVIANA</t>
  </si>
  <si>
    <t>NAYLI AYYU ZUHAIROH</t>
  </si>
  <si>
    <t>WARSIATMI</t>
  </si>
  <si>
    <t>AFI SYAIROTUL ALIYAH</t>
  </si>
  <si>
    <t>NAZILATUR ROHMAH</t>
  </si>
  <si>
    <t>TIWIK TRIA RESMALINTHA</t>
  </si>
  <si>
    <t>LIDIYAWATI</t>
  </si>
  <si>
    <t>SITI NURHIDAYAH</t>
  </si>
  <si>
    <t>CV 24C</t>
  </si>
  <si>
    <t>ENDAH SUGIHARTI</t>
  </si>
  <si>
    <t>KIKIS NASIDAH</t>
  </si>
  <si>
    <t>DANIA ANGGI RAHMAWATI</t>
  </si>
  <si>
    <t>PUTRI FITRIANI</t>
  </si>
  <si>
    <t>MELIYANAH</t>
  </si>
  <si>
    <t>OJT C/S</t>
  </si>
  <si>
    <t>FERA INDRIYANI</t>
  </si>
  <si>
    <t>FITRI NUR FARDHANY</t>
  </si>
  <si>
    <t>ANIK WINASIH</t>
  </si>
  <si>
    <t xml:space="preserve">S/A </t>
  </si>
  <si>
    <t>RIKA NUR AINI</t>
  </si>
  <si>
    <t>HONDA FIT W/H DOOR (RR L DOOR)</t>
  </si>
  <si>
    <t>CV 29A</t>
  </si>
  <si>
    <t>SITI NUR KHAYATI</t>
  </si>
  <si>
    <t>SITI LUTFIYAH</t>
  </si>
  <si>
    <t>VERA YUNITA</t>
  </si>
  <si>
    <t>ANISA'UL ISTIQOMAH</t>
  </si>
  <si>
    <t xml:space="preserve">S/T </t>
  </si>
  <si>
    <t>MUNIFATUL MUSTOFIAH</t>
  </si>
  <si>
    <t>RICA ANGGIE APRILIANY</t>
  </si>
  <si>
    <t>T/P JS</t>
  </si>
  <si>
    <t>HANI USWATUN KHASANAH</t>
  </si>
  <si>
    <t>T/P</t>
  </si>
  <si>
    <t>GIGIH WIJI NUR ADKHA</t>
  </si>
  <si>
    <t>SETYOWATI</t>
  </si>
  <si>
    <t>RANY MILLENIA</t>
  </si>
  <si>
    <t>PURWATININGSIH</t>
  </si>
  <si>
    <t>FINA NUR HIDANAH</t>
  </si>
  <si>
    <t>FERA APRILLIA</t>
  </si>
  <si>
    <t>IKA SAFITRI</t>
  </si>
  <si>
    <t>KHOTIMAH MEYLIA</t>
  </si>
  <si>
    <t>RETNO SURYANINGSIH</t>
  </si>
  <si>
    <t>SETYANI MIFTAKHUL JANNAH</t>
  </si>
  <si>
    <t>RUBIATUN</t>
  </si>
  <si>
    <t>NUR ALFI HIDAYAH</t>
  </si>
  <si>
    <t>DEWI ANDRIYANI</t>
  </si>
  <si>
    <t>KARINA INDRIANI ARIFIN</t>
  </si>
  <si>
    <t>NISA FAIRUZ ZUHRIA</t>
  </si>
  <si>
    <t>NITA DWI HAPSARI</t>
  </si>
  <si>
    <t>SELA AGUSTIA PURNAMASARI</t>
  </si>
  <si>
    <t>NELA OKTA ASPILANI</t>
  </si>
  <si>
    <t>LUTFIYATUL KHAMILAH</t>
  </si>
  <si>
    <t>NORMA YUNITA KUSTIANI</t>
  </si>
  <si>
    <t>J/S</t>
  </si>
  <si>
    <t>SUNYANI</t>
  </si>
  <si>
    <t>AMALIA ARINDA</t>
  </si>
  <si>
    <t>ISTIKOMA</t>
  </si>
  <si>
    <t>JENIA MAUDINA</t>
  </si>
  <si>
    <t>ASEH OCTOFIYANI</t>
  </si>
  <si>
    <t>NUR FADHILAH MAELANSARI</t>
  </si>
  <si>
    <t>INA MURDJIYATI</t>
  </si>
  <si>
    <t>MARITA INDRIYAN</t>
  </si>
  <si>
    <t>MIFTAHUL RIZQIANA</t>
  </si>
  <si>
    <t>SRI PURWANTI</t>
  </si>
  <si>
    <t>HONDA VEZEL</t>
  </si>
  <si>
    <t>HONDA S-CUV W/H RR RL DOOR</t>
  </si>
  <si>
    <t>CV 29B</t>
  </si>
  <si>
    <t>ROFI'AH</t>
  </si>
  <si>
    <t>RUDIYAH SANTI</t>
  </si>
  <si>
    <t xml:space="preserve">LUTFATUL KHASANAH </t>
  </si>
  <si>
    <t>NISA MUTIARA ELMA</t>
  </si>
  <si>
    <t>NUR KHASANAH</t>
  </si>
  <si>
    <t>NOVI PRIHATININGSIH</t>
  </si>
  <si>
    <t>KOLIFAH LISTYANINGRUM</t>
  </si>
  <si>
    <t>SANTIKA AYU ANGGRAENI</t>
  </si>
  <si>
    <t>RISKA FAUZI</t>
  </si>
  <si>
    <t>SITI SULASIH</t>
  </si>
  <si>
    <t>ATIK KHODARIYAH</t>
  </si>
  <si>
    <t>EPI PUJIHARTI</t>
  </si>
  <si>
    <t>ELLY KARTIKA</t>
  </si>
  <si>
    <t>MILA MINATUL AFIFAH</t>
  </si>
  <si>
    <t>OJT J/S</t>
  </si>
  <si>
    <t>MUJAWAROH</t>
  </si>
  <si>
    <t>NUROTUL AZIZAH</t>
  </si>
  <si>
    <t>TITIK IKAWATI</t>
  </si>
  <si>
    <t>HONDA ACCURA</t>
  </si>
  <si>
    <t>HONDA 5WBA HARN A.T/MISS</t>
  </si>
  <si>
    <t>CV 30</t>
  </si>
  <si>
    <t>NOVI ANASARI</t>
  </si>
  <si>
    <t>ACHMAD ANDY MURSALIM</t>
  </si>
  <si>
    <t>OPT-321</t>
  </si>
  <si>
    <t>RAGIL SURYANI</t>
  </si>
  <si>
    <t>OPT-339</t>
  </si>
  <si>
    <t>DESI RISKIYANI</t>
  </si>
  <si>
    <t>DWI WIDYANINGRUM</t>
  </si>
  <si>
    <t>WIDYANNITA NYLAM CAHAYA</t>
  </si>
  <si>
    <t>SEPTIANA</t>
  </si>
  <si>
    <t>YOGI SAPUTRA</t>
  </si>
  <si>
    <t>EGA NUR ZULAEKHA</t>
  </si>
  <si>
    <t>SELVI OKTAVIANI</t>
  </si>
  <si>
    <t>VITA MAULINA</t>
  </si>
  <si>
    <t>DEWI SETYONINGSIH</t>
  </si>
  <si>
    <t>ANIQ DJIHAN FURAIDA</t>
  </si>
  <si>
    <t>MARINA</t>
  </si>
  <si>
    <t>HONDA FREED</t>
  </si>
  <si>
    <t>HONDA FREED W/H FLOOR</t>
  </si>
  <si>
    <t>CV 4</t>
  </si>
  <si>
    <t>BEKTI LARASATI</t>
  </si>
  <si>
    <t>RINI ASTUTI</t>
  </si>
  <si>
    <t>DURORUL ALIYAH</t>
  </si>
  <si>
    <t>RANY SORAYA</t>
  </si>
  <si>
    <t>SULISTIOWATI</t>
  </si>
  <si>
    <t>T/P 4.3</t>
  </si>
  <si>
    <t>SARINI</t>
  </si>
  <si>
    <t>OPT-298</t>
  </si>
  <si>
    <t>SISKA WIJAYANTI</t>
  </si>
  <si>
    <t>OPT-302</t>
  </si>
  <si>
    <t>ISTIGHFAROTUN</t>
  </si>
  <si>
    <t>KUSPUATI</t>
  </si>
  <si>
    <t>CHECKER AB</t>
  </si>
  <si>
    <t>ANA WAHYUNINGRUM</t>
  </si>
  <si>
    <t>MERLIN SANJAYA</t>
  </si>
  <si>
    <t>UMI NIHLAH</t>
  </si>
  <si>
    <t>SITI MUSTOIFAH</t>
  </si>
  <si>
    <t>ANIS BERKAH WIJAYANTI</t>
  </si>
  <si>
    <t>OPT-441</t>
  </si>
  <si>
    <t>RISMA KARTIKA LESTARI</t>
  </si>
  <si>
    <t>OPT-500</t>
  </si>
  <si>
    <t>T/P 5.3</t>
  </si>
  <si>
    <t>DEWI RETNOSARI</t>
  </si>
  <si>
    <t>INDAH FADMAWATI</t>
  </si>
  <si>
    <t xml:space="preserve">EKA PARDIA NINGRUM </t>
  </si>
  <si>
    <t xml:space="preserve">SETIANI RATNA MUTIA </t>
  </si>
  <si>
    <t xml:space="preserve">ITA MUNAYATI </t>
  </si>
  <si>
    <t>KHOLIFATULISA</t>
  </si>
  <si>
    <t>PROTECTOR 5</t>
  </si>
  <si>
    <t>ISTIROFAH</t>
  </si>
  <si>
    <t xml:space="preserve">SRI AYU LESTARI </t>
  </si>
  <si>
    <t>DEWI NUR AISYAH P</t>
  </si>
  <si>
    <t>PUTRI DEWI ARIMBI</t>
  </si>
  <si>
    <t>KURNIASARI</t>
  </si>
  <si>
    <t>TRIMA LESTARI</t>
  </si>
  <si>
    <t>VINA NURLIAWATI</t>
  </si>
  <si>
    <t>MUSTAGHFIROH</t>
  </si>
  <si>
    <t>RIYAN MAULIA UTAMI</t>
  </si>
  <si>
    <t>OJT S/T 4.2</t>
  </si>
  <si>
    <t>ELVA UTAMI</t>
  </si>
  <si>
    <t>MONIKA YULIYANTI</t>
  </si>
  <si>
    <t>NUR LAELA</t>
  </si>
  <si>
    <t>SITI ULFIYATI</t>
  </si>
  <si>
    <t>AISAH RAFIKA ZIKRINA</t>
  </si>
  <si>
    <t>EVI LESTARI</t>
  </si>
  <si>
    <t xml:space="preserve">DEVI RIZKIANA </t>
  </si>
  <si>
    <t>DEWI ISMAWATI</t>
  </si>
  <si>
    <t>S/A 6.1</t>
  </si>
  <si>
    <t>WAHYU SOLEHATUN</t>
  </si>
  <si>
    <t>SITI MUKSODAH</t>
  </si>
  <si>
    <t>ANITA DWI ASTUTI</t>
  </si>
  <si>
    <t>DIAH RAHAYUNINGSIH</t>
  </si>
  <si>
    <t>HENI SULISTIYOWATI</t>
  </si>
  <si>
    <t>T/P 6.3</t>
  </si>
  <si>
    <t>SURANI DEWIJAYANTI</t>
  </si>
  <si>
    <t>VISUAL 4</t>
  </si>
  <si>
    <t>ANA MAULIDATUL KHUSNA</t>
  </si>
  <si>
    <t>INTAN NURJANAH</t>
  </si>
  <si>
    <t>PROTECTOR 4</t>
  </si>
  <si>
    <t>NUR FAIQOTUL ROHMAH</t>
  </si>
  <si>
    <t>PROTECTOR 6</t>
  </si>
  <si>
    <t>PUTRI NUR HAKIKI</t>
  </si>
  <si>
    <t>MATERIAL SUPPLY 3</t>
  </si>
  <si>
    <t>REZA IKHFANUDIN</t>
  </si>
  <si>
    <t>CHECKER 4</t>
  </si>
  <si>
    <t>VENIATI AZIZAH</t>
  </si>
  <si>
    <t>T/P 2.4</t>
  </si>
  <si>
    <t>CHAERUL ANNAS</t>
  </si>
  <si>
    <t>ENDANG LESTARI</t>
  </si>
  <si>
    <t>RISKA OCHAVIYANI</t>
  </si>
  <si>
    <t>DIYAH AYUNINGTIAS</t>
  </si>
  <si>
    <t>NOR MALINDA</t>
  </si>
  <si>
    <t>OJT T/P 6.1</t>
  </si>
  <si>
    <t>RETNO SETYOWATI</t>
  </si>
  <si>
    <t xml:space="preserve"> OJT T/P 4.2</t>
  </si>
  <si>
    <t>NITA MAHISA</t>
  </si>
  <si>
    <t>SITI NURYANTI</t>
  </si>
  <si>
    <t>OJT PROTEKTOR 3</t>
  </si>
  <si>
    <t>NOVITA YULIANI SETYANINGSIH</t>
  </si>
  <si>
    <t>OJT S/A 6.2</t>
  </si>
  <si>
    <t>B00338</t>
  </si>
  <si>
    <t>SITI AMINAH</t>
  </si>
  <si>
    <t>ERMA DAYANTI</t>
  </si>
  <si>
    <t>RENI CATUR WATI</t>
  </si>
  <si>
    <t>DEBY DITA HAPSARI</t>
  </si>
  <si>
    <t>SITI JAMILATUL ARISAH</t>
  </si>
  <si>
    <t>ASTRI MAWAR SIWI</t>
  </si>
  <si>
    <t>ASTARI DWIYANTI</t>
  </si>
  <si>
    <t>APRILIA WULANDARI P.</t>
  </si>
  <si>
    <t>VARIDA KUSTIYANI</t>
  </si>
  <si>
    <t>NUR AINI DWITA SARI</t>
  </si>
  <si>
    <t>ANNA TRIWININGSIH</t>
  </si>
  <si>
    <t>MAYA CAHYA NINGSIH</t>
  </si>
  <si>
    <t>DESI RATNASARI</t>
  </si>
  <si>
    <t>AFIDAH</t>
  </si>
  <si>
    <t>OPT-367</t>
  </si>
  <si>
    <t>OJT CHECKER AB</t>
  </si>
  <si>
    <t>PUJI LESTARI NINGSIH</t>
  </si>
  <si>
    <t>OPT-503</t>
  </si>
  <si>
    <t>DWI OKTAFIYANI</t>
  </si>
  <si>
    <t>MUNAROH</t>
  </si>
  <si>
    <t xml:space="preserve">SAFMADINI MAYNA </t>
  </si>
  <si>
    <t xml:space="preserve">FUJI FAJARIANI </t>
  </si>
  <si>
    <t xml:space="preserve">ROSIANA ULFA </t>
  </si>
  <si>
    <t xml:space="preserve">ULFI RIZQI PRASETYANINGTIAS </t>
  </si>
  <si>
    <t>VIA ANITA SAFITRI</t>
  </si>
  <si>
    <t>IDA FARIKHAH</t>
  </si>
  <si>
    <t>NAVIKA ARDIYANI</t>
  </si>
  <si>
    <t>TUMISRI</t>
  </si>
  <si>
    <t>SITI MURSIDA</t>
  </si>
  <si>
    <t>INNY IKHWATI</t>
  </si>
  <si>
    <t>SITI MUAROFAH</t>
  </si>
  <si>
    <t>MUHAMMAD IKHROM FAUZI</t>
  </si>
  <si>
    <t>IKA MUFIDATUNNI'MAH</t>
  </si>
  <si>
    <t>SITI NUR MARWIYAH</t>
  </si>
  <si>
    <t>YULI PRIHATINI</t>
  </si>
  <si>
    <t>IKA NOVIA WIDIASTUTI</t>
  </si>
  <si>
    <t>WAHYU WINDASARI</t>
  </si>
  <si>
    <t>WRI WINASIH</t>
  </si>
  <si>
    <t>DEWI AGUSTIN</t>
  </si>
  <si>
    <t>ELI FATUN</t>
  </si>
  <si>
    <t>DEA NABILAH AZARIA</t>
  </si>
  <si>
    <t>DWI INDAH FAJARWATI</t>
  </si>
  <si>
    <t>LINANDA ALVIONITA</t>
  </si>
  <si>
    <t>NUR AZHIZHAH</t>
  </si>
  <si>
    <t>DIAN AYU SUNANDAR</t>
  </si>
  <si>
    <t>GALIH PAGESANG</t>
  </si>
  <si>
    <t>DYAH RAHMAWATI</t>
  </si>
  <si>
    <t>ARIS WIDJIATI</t>
  </si>
  <si>
    <t>ETI INDRIANI</t>
  </si>
  <si>
    <t>RIKA NUR LAILIYA</t>
  </si>
  <si>
    <t>OJT S/A 3</t>
  </si>
  <si>
    <t>DEWI LESTARI</t>
  </si>
  <si>
    <t>WIDYA ARIYANTI</t>
  </si>
  <si>
    <t>LULU WALIDAINI</t>
  </si>
  <si>
    <t>RIZQI SAFITRI</t>
  </si>
  <si>
    <t>WAENINGSIH</t>
  </si>
  <si>
    <t>DUANDA WIWIN DESITAWATI</t>
  </si>
  <si>
    <t>ENI PRIHATIN</t>
  </si>
  <si>
    <t>HESTI YUSTIANA</t>
  </si>
  <si>
    <t>IDA UMROTUN</t>
  </si>
  <si>
    <t>PROTECTOR 3</t>
  </si>
  <si>
    <t>LAIYA NIFSI SHENAZAH</t>
  </si>
  <si>
    <t>FATMA ROSSA SAFIRA</t>
  </si>
  <si>
    <t>T/P 2B</t>
  </si>
  <si>
    <t>HIKMATUL AKROFIAH</t>
  </si>
  <si>
    <t>CHECKER 02</t>
  </si>
  <si>
    <t>AFRIDA NIKMATUL HIDAYAH</t>
  </si>
  <si>
    <t>WINDA SUCIATI</t>
  </si>
  <si>
    <t>PROTEKTOR 5</t>
  </si>
  <si>
    <t>FAIRUZ YUSUF AMIWARDANI</t>
  </si>
  <si>
    <t>SITI NURKAINI</t>
  </si>
  <si>
    <t>TUTIK HARYANTI</t>
  </si>
  <si>
    <t>NINUK APRILIA</t>
  </si>
  <si>
    <t>B00127</t>
  </si>
  <si>
    <t>EMMI OKTAVIANI</t>
  </si>
  <si>
    <t>NADIA AMALIYA</t>
  </si>
  <si>
    <t>TEMU RAHAYU</t>
  </si>
  <si>
    <t>CV A03</t>
  </si>
  <si>
    <t>BATERAY CABLE + BFT</t>
  </si>
  <si>
    <t>KARTIKA SARI</t>
  </si>
  <si>
    <t>CHECKER + MS</t>
  </si>
  <si>
    <t>RISKA SATRIANI</t>
  </si>
  <si>
    <t>INDAH WIDYASTUTI</t>
  </si>
  <si>
    <t>OPT-489</t>
  </si>
  <si>
    <t xml:space="preserve">WAHYUNI PUJI ASTUTI </t>
  </si>
  <si>
    <t>ISTRIA</t>
  </si>
  <si>
    <t>ALVINA ANISA FITRI</t>
  </si>
  <si>
    <t>ANISA</t>
  </si>
  <si>
    <t>AYU ARI UTAMI</t>
  </si>
  <si>
    <t>DESI ROMANDHONA</t>
  </si>
  <si>
    <t>PRIHATIN SETYORINI</t>
  </si>
  <si>
    <t>WEGA PRATIWI</t>
  </si>
  <si>
    <t>NUR FITRIYATIL LAELI</t>
  </si>
  <si>
    <t>HANIK FITROTUL ILAHIYAH</t>
  </si>
  <si>
    <t>WAHYU SETYO OVIATI</t>
  </si>
  <si>
    <t>OJT INSTAL BC</t>
  </si>
  <si>
    <t>FITRI SOFIYANTI</t>
  </si>
  <si>
    <t>KARISMA MEYLIKA SETYABUDI</t>
  </si>
  <si>
    <t>NUR WAHYUDAH</t>
  </si>
  <si>
    <t>ELMYRA ETHALIA SENDHIKA PUTRI</t>
  </si>
  <si>
    <t>B00441</t>
  </si>
  <si>
    <t>FERDY ANSYAH</t>
  </si>
  <si>
    <t>BBF-007</t>
  </si>
  <si>
    <t>B03209</t>
  </si>
  <si>
    <t>RATIH APRILIA</t>
  </si>
  <si>
    <t>BBF-148</t>
  </si>
  <si>
    <t>NINOK WAHYU NINGRUM</t>
  </si>
  <si>
    <t>SULASMI</t>
  </si>
  <si>
    <t>MAZDA J72A</t>
  </si>
  <si>
    <t>CV A04</t>
  </si>
  <si>
    <t>SHIAGE 01</t>
  </si>
  <si>
    <t>RINA WAHYU WIJAYANTI</t>
  </si>
  <si>
    <t>MUSYRIFAH</t>
  </si>
  <si>
    <t>ANI MAGHFIROH</t>
  </si>
  <si>
    <t>OJT T/P SP</t>
  </si>
  <si>
    <t>YUNANDARI SABAHTI P.</t>
  </si>
  <si>
    <t>RAGIL ISTIANA</t>
  </si>
  <si>
    <t>DANI ASIH</t>
  </si>
  <si>
    <t>BFT</t>
  </si>
  <si>
    <t>OJT CAMERA FUSE</t>
  </si>
  <si>
    <t>ARIS SETIAWAN</t>
  </si>
  <si>
    <t>OPT-338</t>
  </si>
  <si>
    <t>ENDAH FITRIYANTI</t>
  </si>
  <si>
    <t>IIS TRIANA</t>
  </si>
  <si>
    <t>AINUR ROFI'AH</t>
  </si>
  <si>
    <t>OFFLINE 04</t>
  </si>
  <si>
    <t>ALI CHAFIDIN</t>
  </si>
  <si>
    <t xml:space="preserve">NOFI ANDRIYANI </t>
  </si>
  <si>
    <t>OFFLINE 01</t>
  </si>
  <si>
    <t>ARINA KHAQ</t>
  </si>
  <si>
    <t xml:space="preserve">RUKANAH </t>
  </si>
  <si>
    <t>SHELI KRISMARINI</t>
  </si>
  <si>
    <t xml:space="preserve">SITI ROHMATUL UMA </t>
  </si>
  <si>
    <t xml:space="preserve">MASITOH </t>
  </si>
  <si>
    <t>SITI AISAH</t>
  </si>
  <si>
    <t>MALIA MARHIASARI</t>
  </si>
  <si>
    <t>PRO + CK T2</t>
  </si>
  <si>
    <t>NILA ALIFFATUN KHASANAH</t>
  </si>
  <si>
    <t>VISUAL 01</t>
  </si>
  <si>
    <t>EVA FAZIRA</t>
  </si>
  <si>
    <t>INSERT RELAY</t>
  </si>
  <si>
    <t>KHOLISNA INAYATI</t>
  </si>
  <si>
    <t>VISUAL 02</t>
  </si>
  <si>
    <t>NIA WIDYASTUTI</t>
  </si>
  <si>
    <t>S/A 10</t>
  </si>
  <si>
    <t xml:space="preserve">SARNITA YULIARTI </t>
  </si>
  <si>
    <t>CHECKER 03</t>
  </si>
  <si>
    <t>ANIK PURWATI</t>
  </si>
  <si>
    <t>OFFLINE 02</t>
  </si>
  <si>
    <t>EVANA SAFITRI</t>
  </si>
  <si>
    <t>SITI JUMALIA</t>
  </si>
  <si>
    <t>VISUAL 03</t>
  </si>
  <si>
    <t>TRI IRAWATI</t>
  </si>
  <si>
    <t>NIKMATU SAADAH</t>
  </si>
  <si>
    <t>PUTRI YUSTIKA HIDAYAT</t>
  </si>
  <si>
    <t>WAHYU WIDA SAPUTRA</t>
  </si>
  <si>
    <t>SHIAGE 02</t>
  </si>
  <si>
    <t>DANTI JUNI ANDARI</t>
  </si>
  <si>
    <t>DEWI RINDIYANA SARI</t>
  </si>
  <si>
    <t>FATMA FIRMANDANI</t>
  </si>
  <si>
    <t>DIYAH WULANDARI</t>
  </si>
  <si>
    <t>IRMA SYAFITRI</t>
  </si>
  <si>
    <t>TITIN DYAH WARDANI</t>
  </si>
  <si>
    <t>OJT T/P 1.2</t>
  </si>
  <si>
    <t>AYU APRI UTAMI</t>
  </si>
  <si>
    <t>TRISNAWATI</t>
  </si>
  <si>
    <t>OJT OFFLINE 2</t>
  </si>
  <si>
    <t>MIRA WIJAYANTI</t>
  </si>
  <si>
    <t>OJT S/A  10</t>
  </si>
  <si>
    <t>NUNG NUR HAYATI</t>
  </si>
  <si>
    <t>OJT OFFLINE 4</t>
  </si>
  <si>
    <t>ULFIANI MAULIDA</t>
  </si>
  <si>
    <t>LAILY NUR SAFITRI</t>
  </si>
  <si>
    <t>RIZKY MAULANI</t>
  </si>
  <si>
    <t>SETTING</t>
  </si>
  <si>
    <t>RIZKY MUKAROMAH</t>
  </si>
  <si>
    <t>ELFA NUR KHATIJA</t>
  </si>
  <si>
    <t>OJT S/T 4</t>
  </si>
  <si>
    <t>IKA NUR RAHAYU</t>
  </si>
  <si>
    <t>OJT S/A 4</t>
  </si>
  <si>
    <t>IRA RAHMAWATI</t>
  </si>
  <si>
    <t>OJT T/P 3</t>
  </si>
  <si>
    <t xml:space="preserve">MERRY MURTI WIJAYA </t>
  </si>
  <si>
    <t>B00229</t>
  </si>
  <si>
    <t>SANTI PUJI RAHAYU</t>
  </si>
  <si>
    <t>B00483</t>
  </si>
  <si>
    <t>SITI ROKHAYATI</t>
  </si>
  <si>
    <t>B00487</t>
  </si>
  <si>
    <t>TOPAN SAPUTRO</t>
  </si>
  <si>
    <t>GUNAWAN ADI SAPUTRO</t>
  </si>
  <si>
    <t>OJT EXPANDER GROMMET</t>
  </si>
  <si>
    <t>NOR SIYAM NIKMAH</t>
  </si>
  <si>
    <t>NUNUNG HANDAYANI</t>
  </si>
  <si>
    <t>OPT-4</t>
  </si>
  <si>
    <t>NUNUNG MARDIANI</t>
  </si>
  <si>
    <t>PUJI MASRURROH</t>
  </si>
  <si>
    <t>YANUR LISA MIKIYANTI</t>
  </si>
  <si>
    <t>MEKAR WIJAYANTI</t>
  </si>
  <si>
    <t>INDAH UMI SAKINAH</t>
  </si>
  <si>
    <t>RIKNA IDA SRI WAHYUNINGSIH</t>
  </si>
  <si>
    <t>FIKA DEWI OKTIARINI</t>
  </si>
  <si>
    <t>ERNI YULIANTI</t>
  </si>
  <si>
    <t>SARIR MUTTAQIN</t>
  </si>
  <si>
    <t>OPT-427</t>
  </si>
  <si>
    <t>DIAN PRATIWI</t>
  </si>
  <si>
    <t>DIAH AYU SUKMAWATI</t>
  </si>
  <si>
    <t>SINTYA FEBRIANI PRABAWATI</t>
  </si>
  <si>
    <t>SITI ASLAMIAH</t>
  </si>
  <si>
    <t>NAHLA DIYA KHASANAH</t>
  </si>
  <si>
    <t xml:space="preserve">FELLA SYAFAATUN AZIZAH </t>
  </si>
  <si>
    <t>HANIF RINALDY</t>
  </si>
  <si>
    <t>ANJANI PUTIH</t>
  </si>
  <si>
    <t>SRIYANA</t>
  </si>
  <si>
    <t>LULUK DIYAH KHUMAYROH</t>
  </si>
  <si>
    <t>AHMAD FAHRUR ROZI</t>
  </si>
  <si>
    <t>OFFLINE 3</t>
  </si>
  <si>
    <t>NUR RAHMAT</t>
  </si>
  <si>
    <t>HESTI WIDYAWATI</t>
  </si>
  <si>
    <t>INSPECT RELAY</t>
  </si>
  <si>
    <t>DEVI ALFIYATUL MUKARROMAH</t>
  </si>
  <si>
    <t xml:space="preserve">S/A SP </t>
  </si>
  <si>
    <t xml:space="preserve">DIAN PRATIWI </t>
  </si>
  <si>
    <t>INTAN DARMA PALUPI</t>
  </si>
  <si>
    <t>TIRTA SATRIAWAN MAULANA</t>
  </si>
  <si>
    <t>SHIAGE 1</t>
  </si>
  <si>
    <t>ANISA NAJEMA</t>
  </si>
  <si>
    <t>DANAR RIWAYATI</t>
  </si>
  <si>
    <t>SITI NURHALIMAH</t>
  </si>
  <si>
    <t>SOFATUL INSIYYAH</t>
  </si>
  <si>
    <t>LIA WITAHYATI</t>
  </si>
  <si>
    <t>RISTADILA APRILIANA KHOIRUNNISA</t>
  </si>
  <si>
    <t>MELA MIRTASARI</t>
  </si>
  <si>
    <t>SITI KAROMAH</t>
  </si>
  <si>
    <t>ILAN FAIQOH</t>
  </si>
  <si>
    <t>OFFLINE 2</t>
  </si>
  <si>
    <t>MALIKHATUN KHASANAH</t>
  </si>
  <si>
    <t>MISBAHUL ANAN</t>
  </si>
  <si>
    <t>SHIAGE 2</t>
  </si>
  <si>
    <t>SRI CAHYONINGSIH</t>
  </si>
  <si>
    <t>DILA PUSPITA</t>
  </si>
  <si>
    <t>OFFLINE 4</t>
  </si>
  <si>
    <t>HELI NURLINA</t>
  </si>
  <si>
    <t>T/P SP</t>
  </si>
  <si>
    <t>HESTI NUR KUSUMAWATI</t>
  </si>
  <si>
    <t>HURULLIN KHOEROTUN NISA'</t>
  </si>
  <si>
    <t>REVADDI GLENN VAERO</t>
  </si>
  <si>
    <t>OFFLINE 1</t>
  </si>
  <si>
    <t>SAYIDATU NURUL NIKMATUL ULIYA</t>
  </si>
  <si>
    <t>AININ ASYIFA UNISA</t>
  </si>
  <si>
    <t>NUR AINI</t>
  </si>
  <si>
    <t>NUR ROFIKOH</t>
  </si>
  <si>
    <t>OKTAVIA INDRIYANI</t>
  </si>
  <si>
    <t>B03009</t>
  </si>
  <si>
    <t>ANDI PRASETYO</t>
  </si>
  <si>
    <t>BBF-140</t>
  </si>
  <si>
    <t>B03541</t>
  </si>
  <si>
    <t>SERLY NAVISATUN KHOERIAH</t>
  </si>
  <si>
    <t>MAZDA J71E IPM3</t>
  </si>
  <si>
    <t>CV A06</t>
  </si>
  <si>
    <t>PURYANTI</t>
  </si>
  <si>
    <t>MERY ZUNIANINGSIH</t>
  </si>
  <si>
    <t>SITI MULYATI</t>
  </si>
  <si>
    <t>ENDRIYANI</t>
  </si>
  <si>
    <t>SITI LATIFAH</t>
  </si>
  <si>
    <t>YANI SUSILOWATI</t>
  </si>
  <si>
    <t>DIAH AYU WARDANI</t>
  </si>
  <si>
    <t>INDAH WAHYUNINGSIH</t>
  </si>
  <si>
    <t>OPT-520</t>
  </si>
  <si>
    <t>T/P SP 2</t>
  </si>
  <si>
    <t>S/T 5</t>
  </si>
  <si>
    <t>LAILATUL QODRIYAH</t>
  </si>
  <si>
    <t>NIA OKTARIANI</t>
  </si>
  <si>
    <t>SITI FADIYAH</t>
  </si>
  <si>
    <t>UMI KHOLISHNA</t>
  </si>
  <si>
    <t>ADELLA TRISIA</t>
  </si>
  <si>
    <t>OTAVIA DWI RAHAYU</t>
  </si>
  <si>
    <t>SULUH PURBOWATI</t>
  </si>
  <si>
    <t>RINA DWI AGUSTIN</t>
  </si>
  <si>
    <t>WITMA SETIANI</t>
  </si>
  <si>
    <t>ARTI ULPIYAH</t>
  </si>
  <si>
    <t>DEWI MURNIYATI</t>
  </si>
  <si>
    <t>S/A 5.2</t>
  </si>
  <si>
    <t>EVIYANAH</t>
  </si>
  <si>
    <t>INDAH FITRIANA</t>
  </si>
  <si>
    <t>LILIK LUTFIYATUL HIKMAH</t>
  </si>
  <si>
    <t>NICHLATUN NUROINI</t>
  </si>
  <si>
    <t>NOVITA ASTRIANA</t>
  </si>
  <si>
    <t>RINI SRI UTAMI</t>
  </si>
  <si>
    <t>S/T SP</t>
  </si>
  <si>
    <t>SITI NUR KHOLIJAH</t>
  </si>
  <si>
    <t>UMUL BAROROH</t>
  </si>
  <si>
    <t>YULIA YUSUF</t>
  </si>
  <si>
    <t>NUR LAILATUL MA'RIFAH</t>
  </si>
  <si>
    <t>TUFA KHOERIYAH</t>
  </si>
  <si>
    <t>T/P SP 1</t>
  </si>
  <si>
    <t>APRILIA FATMAWATI</t>
  </si>
  <si>
    <t>S/A 5.1</t>
  </si>
  <si>
    <t>ISTIROHAH</t>
  </si>
  <si>
    <t>ELLY FITRIANI</t>
  </si>
  <si>
    <t>FAJAR NUR SAID</t>
  </si>
  <si>
    <t>NURUL YUCHA ILAIYA</t>
  </si>
  <si>
    <t>OJT OFFLINE 1</t>
  </si>
  <si>
    <t>RIZKIA YUNIARTIKA</t>
  </si>
  <si>
    <t>NURUL ALFIATURRAHMANIAH</t>
  </si>
  <si>
    <t>RINDA AYU WULANDARI</t>
  </si>
  <si>
    <t xml:space="preserve"> T/P 4.2</t>
  </si>
  <si>
    <t>RIRIS TRIANA</t>
  </si>
  <si>
    <t>EVA YULIANA</t>
  </si>
  <si>
    <t>LAILY MUNIROTUL MUTMAINNAH</t>
  </si>
  <si>
    <t>OJT MATERIAL SUPPLIER</t>
  </si>
  <si>
    <t>LUTFIANI</t>
  </si>
  <si>
    <t>FLOREN SYAH EKAPUTRI</t>
  </si>
  <si>
    <t>OJT S/T SP</t>
  </si>
  <si>
    <t>ETIKA NUR VIANI</t>
  </si>
  <si>
    <t xml:space="preserve">SAFITRI </t>
  </si>
  <si>
    <t>OJT T/P 3.1</t>
  </si>
  <si>
    <t>B00024</t>
  </si>
  <si>
    <t>ERNA ROSITA DEWI</t>
  </si>
  <si>
    <t>B02262</t>
  </si>
  <si>
    <t>ANDI NUR EFENDI</t>
  </si>
  <si>
    <t>BBF-095</t>
  </si>
  <si>
    <t>ANJAR ANI WIDIATI</t>
  </si>
  <si>
    <t>M23624</t>
  </si>
  <si>
    <t>KRISNI YULIYANTI</t>
  </si>
  <si>
    <t>SUTRISNO</t>
  </si>
  <si>
    <t>SULISTYOWATI</t>
  </si>
  <si>
    <t>FRANSISCA ANDRIYANI</t>
  </si>
  <si>
    <t>WAHYU MEITASARI</t>
  </si>
  <si>
    <t>OPT-299</t>
  </si>
  <si>
    <t>TUTIK HARIYANTI</t>
  </si>
  <si>
    <t>FITRI IRAWATI</t>
  </si>
  <si>
    <t>OPT-337</t>
  </si>
  <si>
    <t>SRI SUNARSIH</t>
  </si>
  <si>
    <t>OPT-376</t>
  </si>
  <si>
    <t>OPT-444</t>
  </si>
  <si>
    <t>SRI WIDIYANTI</t>
  </si>
  <si>
    <t>OPT-450</t>
  </si>
  <si>
    <t>NDARNI</t>
  </si>
  <si>
    <t>OPT-479</t>
  </si>
  <si>
    <t>LULUK ULFIYANTI</t>
  </si>
  <si>
    <t>OPT-487</t>
  </si>
  <si>
    <t>ENI KHOIRIYAH</t>
  </si>
  <si>
    <t>ERLINA PURSITA DEWI</t>
  </si>
  <si>
    <t>IDA SOLICATUN NUR ROCHMAH</t>
  </si>
  <si>
    <t>NURUL MAULA FITRIANA</t>
  </si>
  <si>
    <t>LISTIYORINI</t>
  </si>
  <si>
    <t>EKA PUTRI JUNIARTI</t>
  </si>
  <si>
    <t>YUNI RAHMAWATI</t>
  </si>
  <si>
    <t>LAILA MU'AFAH</t>
  </si>
  <si>
    <t>LIVIATUL MUAMMAROH</t>
  </si>
  <si>
    <t>MARHATUN SOLEHA</t>
  </si>
  <si>
    <t>CHECKER 1B</t>
  </si>
  <si>
    <t>WULAN SUSTIYANINGSIH</t>
  </si>
  <si>
    <t>NOVIA YUNITA</t>
  </si>
  <si>
    <t>S/A 1.1A</t>
  </si>
  <si>
    <t>RODHOTUL NUR AMALIA</t>
  </si>
  <si>
    <t>RISKA SAFITRI</t>
  </si>
  <si>
    <t>FAMEILIA MURTHYAS SARI</t>
  </si>
  <si>
    <t>FIFI NANDA SARI</t>
  </si>
  <si>
    <t>PIPIT SHOLEKHAH</t>
  </si>
  <si>
    <t>SINTA IRIANI</t>
  </si>
  <si>
    <t>APRILIA WAHYUNINGSIH</t>
  </si>
  <si>
    <t>ENI FEBRIANA</t>
  </si>
  <si>
    <t>ERNA MURYATI</t>
  </si>
  <si>
    <t>EVANA KURNIA SARI</t>
  </si>
  <si>
    <t>NUR AFIDA</t>
  </si>
  <si>
    <t>NURUL FAJARIYAH</t>
  </si>
  <si>
    <t>CHECKER 1A</t>
  </si>
  <si>
    <t>RITNA PRATI DEWI</t>
  </si>
  <si>
    <t>RIYADHOTUL IKA NUFITA</t>
  </si>
  <si>
    <t>KHUSNUL KHOTIMAH</t>
  </si>
  <si>
    <t>ULFATUS SOLEKHAH</t>
  </si>
  <si>
    <t>SHOLEKAH</t>
  </si>
  <si>
    <t>B00203</t>
  </si>
  <si>
    <t>KOYIMAH</t>
  </si>
  <si>
    <t>B01144</t>
  </si>
  <si>
    <t>JAROH DWI HANDAYANI</t>
  </si>
  <si>
    <t>B01614</t>
  </si>
  <si>
    <t>DEFI AYU WIDYAWATI</t>
  </si>
  <si>
    <t>BBF-058</t>
  </si>
  <si>
    <t xml:space="preserve">RENATA NOOR JULYANA </t>
  </si>
  <si>
    <t>M23616</t>
  </si>
  <si>
    <t xml:space="preserve">DWI PURWANTI </t>
  </si>
  <si>
    <t>M23627</t>
  </si>
  <si>
    <t>MEGA OKTA SIFA'ATI</t>
  </si>
  <si>
    <t>FERAWATI</t>
  </si>
  <si>
    <t>CV A07</t>
  </si>
  <si>
    <t>YULIA WIDYA NINGSIH</t>
  </si>
  <si>
    <t>OJT OFFLINE 01</t>
  </si>
  <si>
    <t>M23626</t>
  </si>
  <si>
    <t>LUPITA SARI</t>
  </si>
  <si>
    <t>OJT TPO</t>
  </si>
  <si>
    <t>M23639</t>
  </si>
  <si>
    <t>SITI WAHIDAH</t>
  </si>
  <si>
    <t>SURYA HINDRIYANI</t>
  </si>
  <si>
    <t>LIA EKOWATI</t>
  </si>
  <si>
    <t>ANIS NUR HIDAYATI</t>
  </si>
  <si>
    <t>SIFA'UL MUYASSAROH</t>
  </si>
  <si>
    <t>ROHAYATI SAKDANAH</t>
  </si>
  <si>
    <t>NUR CHOLIDAH</t>
  </si>
  <si>
    <t>TRIYANTI</t>
  </si>
  <si>
    <t>RETNO WULAN SETYANINGRUM</t>
  </si>
  <si>
    <t>HANI ANUNG MURTINI</t>
  </si>
  <si>
    <t>TRI NOVITA SARI</t>
  </si>
  <si>
    <t>MIFTAKUL KHOIR</t>
  </si>
  <si>
    <t>KHIKMATUS SHOLIKHAH</t>
  </si>
  <si>
    <t>FEBRI HANDAYANI</t>
  </si>
  <si>
    <t>FIQI INAYATUS SA'ADAH</t>
  </si>
  <si>
    <t xml:space="preserve">SARTINI </t>
  </si>
  <si>
    <t>ANILA SUSANTI</t>
  </si>
  <si>
    <t xml:space="preserve">ULAN SARI </t>
  </si>
  <si>
    <t>ALMA DEWI AMBARWATI</t>
  </si>
  <si>
    <t xml:space="preserve">DESI PERMATASARI </t>
  </si>
  <si>
    <t>RADZIATUL FITRIANI</t>
  </si>
  <si>
    <t>FACHRUNNISA</t>
  </si>
  <si>
    <t>LINDA NURLITA SARI</t>
  </si>
  <si>
    <t>FIRDANIA SAFITRI</t>
  </si>
  <si>
    <t>ANISSATUL MUNAWAROH</t>
  </si>
  <si>
    <t>RIWAYATI INDRIYANI</t>
  </si>
  <si>
    <t>YOSHINTA NOYA DEVI</t>
  </si>
  <si>
    <t>MUHAMAD SYAIFUL AMAR</t>
  </si>
  <si>
    <t>SINDI MILENIA</t>
  </si>
  <si>
    <t>LILIS ROKHAYATI</t>
  </si>
  <si>
    <t>HANIFA</t>
  </si>
  <si>
    <t>NUNUK SEPTIANAH</t>
  </si>
  <si>
    <t>IDA PRATIWI</t>
  </si>
  <si>
    <t>ANIK UMI SA'ADAH AINUL ROCHMAH</t>
  </si>
  <si>
    <t>RAFIKA HIDAYAH</t>
  </si>
  <si>
    <t>CHECKER 01</t>
  </si>
  <si>
    <t>RAFIKA NISFATUL HIDAYAH</t>
  </si>
  <si>
    <t>RINI FATMAWATI</t>
  </si>
  <si>
    <t>RETNO PALUPI</t>
  </si>
  <si>
    <t>RIA IRMAWATI</t>
  </si>
  <si>
    <t>BAYU INDAH WIDYOWATI</t>
  </si>
  <si>
    <t>NAYLI ROCHMAH</t>
  </si>
  <si>
    <t>SITI ANIATI FAJRI</t>
  </si>
  <si>
    <t>SITI MIS AFIFAH</t>
  </si>
  <si>
    <t>OJT CIRCUIT SUPPLIER 02</t>
  </si>
  <si>
    <t>B00092</t>
  </si>
  <si>
    <t>TRI WIDIYASTUTI</t>
  </si>
  <si>
    <t>B00362</t>
  </si>
  <si>
    <t>ETIK SURYANI</t>
  </si>
  <si>
    <t>BBF-006</t>
  </si>
  <si>
    <t>SETIANI</t>
  </si>
  <si>
    <t>HONDA CRV CORD TAIL GATE</t>
  </si>
  <si>
    <t>CV A08</t>
  </si>
  <si>
    <t>VISUAL 1.1B</t>
  </si>
  <si>
    <t>TRI MULYANI</t>
  </si>
  <si>
    <t>T/P 6A</t>
  </si>
  <si>
    <t>TATIK APRIYANTI</t>
  </si>
  <si>
    <t>ELZA FREDIANTAMA NURTIAS</t>
  </si>
  <si>
    <t>LISTIYA FAJAR ISNAINI</t>
  </si>
  <si>
    <t>T/P 7.2B</t>
  </si>
  <si>
    <t>NOVI INDRIANI</t>
  </si>
  <si>
    <t>S/T 1.2A</t>
  </si>
  <si>
    <t>LANNY ANGGITA SARI</t>
  </si>
  <si>
    <t>VISUAL 1.1A</t>
  </si>
  <si>
    <t>LARAS NOVITASARI</t>
  </si>
  <si>
    <t>T/P 5A</t>
  </si>
  <si>
    <t>ULFI AULIA</t>
  </si>
  <si>
    <t>T/P 4A</t>
  </si>
  <si>
    <t xml:space="preserve">WIDIYA ROSELA </t>
  </si>
  <si>
    <t>VISUAL 1.2A</t>
  </si>
  <si>
    <t>BAYU SURYO ANGGONO</t>
  </si>
  <si>
    <t>CHECKER 1.1A</t>
  </si>
  <si>
    <t>DESI LIANA WATI</t>
  </si>
  <si>
    <t>T/P 1.2B</t>
  </si>
  <si>
    <t xml:space="preserve">LAELATUL FADHILA </t>
  </si>
  <si>
    <t xml:space="preserve">MAUDY KURNIAWATI </t>
  </si>
  <si>
    <t>S/A 2.1A</t>
  </si>
  <si>
    <t>ASIH LESTARI</t>
  </si>
  <si>
    <t>T/P 3A</t>
  </si>
  <si>
    <t xml:space="preserve">ENY SURYANTI </t>
  </si>
  <si>
    <t>S/T 1.1A</t>
  </si>
  <si>
    <t xml:space="preserve">ERMA WAHYUNINGSIH </t>
  </si>
  <si>
    <t>S/T 1.1B</t>
  </si>
  <si>
    <t>IMAS HANIFAH</t>
  </si>
  <si>
    <t>T/P 1.1B</t>
  </si>
  <si>
    <t>LABIBATUL MA' RIFAH</t>
  </si>
  <si>
    <t>MATERIAL SUPPLY 1B</t>
  </si>
  <si>
    <t>NURLAILI MARATUL  HUSNA</t>
  </si>
  <si>
    <t>T/P 2.1A</t>
  </si>
  <si>
    <t>RAHMANITA KHOIRUNNISA</t>
  </si>
  <si>
    <t>T/P 6B</t>
  </si>
  <si>
    <t>INDAH DEWI LESTARI</t>
  </si>
  <si>
    <t>S/A 1.2B</t>
  </si>
  <si>
    <t>NI'MATUL KHIKMAH</t>
  </si>
  <si>
    <t>S/A 1.1B</t>
  </si>
  <si>
    <t>NURLAELATUS SANIYAH</t>
  </si>
  <si>
    <t>S/A 2.2A</t>
  </si>
  <si>
    <t>RIZQI NUR WIJAYANTI</t>
  </si>
  <si>
    <t>S/A 2.1B</t>
  </si>
  <si>
    <t>WAHYU SYILVI RIWAYATI</t>
  </si>
  <si>
    <t>S/A 1.2A</t>
  </si>
  <si>
    <t>NILA MAYASARI</t>
  </si>
  <si>
    <t>VISUAL 1.2B</t>
  </si>
  <si>
    <t>ACHMAD FURQON</t>
  </si>
  <si>
    <t>T/P 7.2A</t>
  </si>
  <si>
    <t>VELLA SIFATUN NISA</t>
  </si>
  <si>
    <t>SARAH FARADIFA</t>
  </si>
  <si>
    <t>T/P 2.2B</t>
  </si>
  <si>
    <t>SITI NUR RODIYAH</t>
  </si>
  <si>
    <t>SITI YULIASIH</t>
  </si>
  <si>
    <t>T/P 4B</t>
  </si>
  <si>
    <t>ITA RAHMAWATI</t>
  </si>
  <si>
    <t>MATERIAL SUPPLY 1A</t>
  </si>
  <si>
    <t>INTAN LUTFIYANTI</t>
  </si>
  <si>
    <t>T/P 2.2A</t>
  </si>
  <si>
    <t>VIKA MASRUROH</t>
  </si>
  <si>
    <t>T/P 1.2A</t>
  </si>
  <si>
    <t>ARDIA MUFIDHATUL ULYA</t>
  </si>
  <si>
    <t>S/A 3.2A</t>
  </si>
  <si>
    <t>BAGUS MAULANA</t>
  </si>
  <si>
    <t>DHIAH NOVITASARI</t>
  </si>
  <si>
    <t>OJT VISUAL 1.2A</t>
  </si>
  <si>
    <t>SITI AROFAH</t>
  </si>
  <si>
    <t>S/A 3.1B</t>
  </si>
  <si>
    <t>SITI NUR KHOLISAH</t>
  </si>
  <si>
    <t>S/T 1.2B</t>
  </si>
  <si>
    <t xml:space="preserve">PUSPA LARASATI </t>
  </si>
  <si>
    <t>S/A 2.2B</t>
  </si>
  <si>
    <t>RISMA GINTARI</t>
  </si>
  <si>
    <t>T/P 5B</t>
  </si>
  <si>
    <t>S/A 3.2B</t>
  </si>
  <si>
    <t>MEI SAROH</t>
  </si>
  <si>
    <t>CHECKER 1.2A</t>
  </si>
  <si>
    <t>LAELATUL KHUSNA</t>
  </si>
  <si>
    <t>T/P 3B</t>
  </si>
  <si>
    <t>RISKA LESTARI</t>
  </si>
  <si>
    <t>CHECKER 1.1B</t>
  </si>
  <si>
    <t>MONICA INDAH NURHAYATI</t>
  </si>
  <si>
    <t>T/P 2.1B</t>
  </si>
  <si>
    <t>YENI DINDA PRATIWI</t>
  </si>
  <si>
    <t>S/A 3.1A</t>
  </si>
  <si>
    <t>YULISSA ALI PUTRI</t>
  </si>
  <si>
    <t>CHECKER 1.2B</t>
  </si>
  <si>
    <t>SITI NAFIAH</t>
  </si>
  <si>
    <t>OJT T/P 5A</t>
  </si>
  <si>
    <t>SAHILATUN</t>
  </si>
  <si>
    <t>OJT T/P 4A</t>
  </si>
  <si>
    <t>M23621</t>
  </si>
  <si>
    <t>GHONIMATUL MAGHFIROH</t>
  </si>
  <si>
    <t>T/P 1.1A</t>
  </si>
  <si>
    <t>ANIK SAFAATI</t>
  </si>
  <si>
    <t>INA MUFLICHAH</t>
  </si>
  <si>
    <t>SRI HIDAYATI</t>
  </si>
  <si>
    <t>VISUAL 2.2A</t>
  </si>
  <si>
    <t>ADHE ERMA S.</t>
  </si>
  <si>
    <t>SUPRIADI</t>
  </si>
  <si>
    <t>T/P 7A</t>
  </si>
  <si>
    <t>SITI ROBANDIYAH</t>
  </si>
  <si>
    <t>VISUAL 2.1A</t>
  </si>
  <si>
    <t>FAJAR OCTAVIANI</t>
  </si>
  <si>
    <t>T/P 7B</t>
  </si>
  <si>
    <t>ISMATUL MAULA</t>
  </si>
  <si>
    <t>OPT-448</t>
  </si>
  <si>
    <t>DESI NUR PRIHATIN</t>
  </si>
  <si>
    <t>IKA IRINDA APRILIA</t>
  </si>
  <si>
    <t>LAILATUL RISAYANAH</t>
  </si>
  <si>
    <t>WIWIK YULIANITAMI</t>
  </si>
  <si>
    <t>SITI NUROFA .F</t>
  </si>
  <si>
    <t xml:space="preserve">DITA MARNIS KUNTARI </t>
  </si>
  <si>
    <t>ANA MEILIA SARI</t>
  </si>
  <si>
    <t>ENDAH LARASATI</t>
  </si>
  <si>
    <t>MAYLIA PUTRI ARDIYANTI</t>
  </si>
  <si>
    <t xml:space="preserve">NIKEN WAHYUNI </t>
  </si>
  <si>
    <t>RUFI NUR AISAH</t>
  </si>
  <si>
    <t xml:space="preserve">WINULAT SUSILOWATI </t>
  </si>
  <si>
    <t>MASRUROH</t>
  </si>
  <si>
    <t>SITI NUR HIDAYAH</t>
  </si>
  <si>
    <t>SAIBATUL KHUSNAH</t>
  </si>
  <si>
    <t>CHECKER 2.2A</t>
  </si>
  <si>
    <t>RITA KUSUMADANI</t>
  </si>
  <si>
    <t>UMI LATIFAH</t>
  </si>
  <si>
    <t>SITI NURJANAH</t>
  </si>
  <si>
    <t>CHECKER 2.1A</t>
  </si>
  <si>
    <t>ALFI HIDAYATUSSYARIFAH</t>
  </si>
  <si>
    <t>DIANA INDRIANA</t>
  </si>
  <si>
    <t>MAULIDATI ROBIAH</t>
  </si>
  <si>
    <t>NUR MUAMALIYA KHORIYANTI</t>
  </si>
  <si>
    <t>SITI SETIASIH</t>
  </si>
  <si>
    <t>HARYANTI</t>
  </si>
  <si>
    <t>KRESA DIAH PRATIWI</t>
  </si>
  <si>
    <t>KARTIKA DARA WIDAYANI</t>
  </si>
  <si>
    <t>ALFI YUNITA ASTARI</t>
  </si>
  <si>
    <t>PUPUT SEPTIYANINGRUM</t>
  </si>
  <si>
    <t>KHOLIFATUL JANNAH</t>
  </si>
  <si>
    <t>DINA KURNIAWATI</t>
  </si>
  <si>
    <t>RIZKI PUJIRAHAYU</t>
  </si>
  <si>
    <t>CIRCUIT SUPPLIER B</t>
  </si>
  <si>
    <t>LENI PUSPITA ASIH</t>
  </si>
  <si>
    <t>EVA ARDILA NOVITA SARI</t>
  </si>
  <si>
    <t>ROSSI ANGGY PURBOWATI</t>
  </si>
  <si>
    <t>CIRCUIT SUPPLIER A</t>
  </si>
  <si>
    <t>LAILI FITRIANI</t>
  </si>
  <si>
    <t>NARIYAH</t>
  </si>
  <si>
    <t>ROFIKA DWI RAHAYU</t>
  </si>
  <si>
    <t>SRI WAHYUNI HANDAYANI</t>
  </si>
  <si>
    <t>SITI NUR KHOLIPAH</t>
  </si>
  <si>
    <t>B00220</t>
  </si>
  <si>
    <t>RAFI TIA WATI</t>
  </si>
  <si>
    <t>RIZKA AFIVASARI</t>
  </si>
  <si>
    <t>M23625</t>
  </si>
  <si>
    <t xml:space="preserve">LIA AGUSTINA </t>
  </si>
  <si>
    <t>DEWI WURYAN</t>
  </si>
  <si>
    <t>HONDA CRV CORD R TAIL GATE SUB</t>
  </si>
  <si>
    <t>CV A09</t>
  </si>
  <si>
    <t>TUTIK AMBARWATI</t>
  </si>
  <si>
    <t>ARIK DWI LESTYOWATI</t>
  </si>
  <si>
    <t>IRA APRILYANA</t>
  </si>
  <si>
    <t>UMI WAKHIDAH</t>
  </si>
  <si>
    <t>SUWARNI SUSILOWATI</t>
  </si>
  <si>
    <t>SITI MASRUROH</t>
  </si>
  <si>
    <t>NUR AFIFAH</t>
  </si>
  <si>
    <t>AYU DWI LESTARI</t>
  </si>
  <si>
    <t>SEPTI LIANA SARI</t>
  </si>
  <si>
    <t>HONDA CRV  CORD R TAIL GATE SUB</t>
  </si>
  <si>
    <t>NISWATIN FAUZIAH</t>
  </si>
  <si>
    <t>ENDRA APRIYANI</t>
  </si>
  <si>
    <t>NUR LAELI</t>
  </si>
  <si>
    <t>LARAS APRILIYATI</t>
  </si>
  <si>
    <t>SITI MUSYAFA'AH</t>
  </si>
  <si>
    <t>NUR MIFTAKUL HIKMAH</t>
  </si>
  <si>
    <t>RINTA HANDAYANI</t>
  </si>
  <si>
    <t>SITI MUSDALIFAH</t>
  </si>
  <si>
    <t>NUR AZIZAH</t>
  </si>
  <si>
    <t>MS+S/T</t>
  </si>
  <si>
    <t xml:space="preserve">AMALLIYA </t>
  </si>
  <si>
    <t>ARY FRIDAYANI</t>
  </si>
  <si>
    <t>ALFIANA NURUL HIDAYAH</t>
  </si>
  <si>
    <t>ENI KUSRINI</t>
  </si>
  <si>
    <t>HONDA CRV CORD TAIL L GATE SUB</t>
  </si>
  <si>
    <t>CV A10</t>
  </si>
  <si>
    <t>NILNAL MINAH</t>
  </si>
  <si>
    <t>ITA AYUNINGRUM</t>
  </si>
  <si>
    <t>RIZKI ASIH</t>
  </si>
  <si>
    <t>OKTAVIANI</t>
  </si>
  <si>
    <t>SITI NUR HIDAYATUL KARIMAH</t>
  </si>
  <si>
    <t>S/T 1B</t>
  </si>
  <si>
    <t xml:space="preserve">INGGIT CONISA </t>
  </si>
  <si>
    <t>NANDA AYU RAHMAWATI</t>
  </si>
  <si>
    <t>T/P 1B</t>
  </si>
  <si>
    <t>KHIKMATUL IFADAH</t>
  </si>
  <si>
    <t xml:space="preserve">FIFI AFRELIYANI </t>
  </si>
  <si>
    <t>JULYUS AGUNG KRIS PRIYANTO</t>
  </si>
  <si>
    <t>QUNNATUS SA'DIYYAH</t>
  </si>
  <si>
    <t>T/P 1A</t>
  </si>
  <si>
    <t>ZAHROTUL AWALIYAH</t>
  </si>
  <si>
    <t>DESI SUGIARTI</t>
  </si>
  <si>
    <t>DEVI PURWANTI</t>
  </si>
  <si>
    <t>TRI AGUSTINA</t>
  </si>
  <si>
    <t>SITI NUR WAQIAH</t>
  </si>
  <si>
    <t>T/P 2A</t>
  </si>
  <si>
    <t>SRI ROKHANI</t>
  </si>
  <si>
    <t xml:space="preserve">MATERIAL SUPPLY B </t>
  </si>
  <si>
    <t>SIPTIYANI PUTRI ROHMAWATI</t>
  </si>
  <si>
    <t>FINA WIDIYANTI</t>
  </si>
  <si>
    <t xml:space="preserve">MATERIAL SUPPLY A </t>
  </si>
  <si>
    <t>AHMAD ZAENURROFIK</t>
  </si>
  <si>
    <t>NUR KHOLIFAH</t>
  </si>
  <si>
    <t>DESI ANISATUS SOLEKHAH</t>
  </si>
  <si>
    <t>SERLITA YULIANTI</t>
  </si>
  <si>
    <t>OJT MATERIAL SUPPLY A</t>
  </si>
  <si>
    <t>M23643</t>
  </si>
  <si>
    <t>VONY SYAH</t>
  </si>
  <si>
    <t>OJT MATERIAL SUPPLY B</t>
  </si>
  <si>
    <t>MARIA NINGSIH</t>
  </si>
  <si>
    <t>OPT-1</t>
  </si>
  <si>
    <t>SEVIANA DWI SETYANINGSIH</t>
  </si>
  <si>
    <t>DEWI SURYANI</t>
  </si>
  <si>
    <t>NIKEN PRADITA</t>
  </si>
  <si>
    <t>RIKA LESTARI</t>
  </si>
  <si>
    <t>ARIYANA MAGA HASTAWI</t>
  </si>
  <si>
    <t>FITRI DWI ASTUTI</t>
  </si>
  <si>
    <t>YENNY SETYAWATI</t>
  </si>
  <si>
    <t>MATERIAL SUPPLY B</t>
  </si>
  <si>
    <t>EVA MAULIANA</t>
  </si>
  <si>
    <t>SITI MUZTAKIMAH</t>
  </si>
  <si>
    <t>TRI YULIANI</t>
  </si>
  <si>
    <t>VIKRI NUR FATEKHAH</t>
  </si>
  <si>
    <t>RINA ARISTIANI</t>
  </si>
  <si>
    <t>SITI NUR HALIMAH</t>
  </si>
  <si>
    <t>WAHYU NURAENI</t>
  </si>
  <si>
    <t>TRI PRIHARTININGRUM</t>
  </si>
  <si>
    <t>KURNIA FAJARWATI</t>
  </si>
  <si>
    <t>SITI LIYASARI</t>
  </si>
  <si>
    <t>BAGAS PINGKI SUWARNO</t>
  </si>
  <si>
    <t>ANA MAFIROH</t>
  </si>
  <si>
    <t>AISAH</t>
  </si>
  <si>
    <t>MATERIAL SUPPLY A</t>
  </si>
  <si>
    <t>B00126</t>
  </si>
  <si>
    <t>ELLA SOFFIATI</t>
  </si>
  <si>
    <t>UMI SYA'ADAH</t>
  </si>
  <si>
    <t>SHARI IRIANI</t>
  </si>
  <si>
    <t>HONDA CRV CABLE REAR SUB</t>
  </si>
  <si>
    <t>CV A11</t>
  </si>
  <si>
    <t>ULUL AMRIYAH</t>
  </si>
  <si>
    <t>OJT LQC</t>
  </si>
  <si>
    <t>SEPTI AMALIAH DEWI</t>
  </si>
  <si>
    <t>MUFRIKHATUL FAIQOH</t>
  </si>
  <si>
    <t>TRI BAKTI ANGGAR NOFIANA</t>
  </si>
  <si>
    <t>FASIHATUL IFROH</t>
  </si>
  <si>
    <t>NUR ALIYA</t>
  </si>
  <si>
    <t>ENDANG SRIYANTI</t>
  </si>
  <si>
    <t>S/A A</t>
  </si>
  <si>
    <t>MUSLIKHA</t>
  </si>
  <si>
    <t>RIZA NUR 'AMILAH</t>
  </si>
  <si>
    <t>SUKMAINAH</t>
  </si>
  <si>
    <t>HERLINA NOVIYANTI</t>
  </si>
  <si>
    <t xml:space="preserve">DEWI SETYOWATI </t>
  </si>
  <si>
    <t>S/A B</t>
  </si>
  <si>
    <t>NUR YUNIARTI</t>
  </si>
  <si>
    <t>DEVI KUSUMANINGRUM</t>
  </si>
  <si>
    <t>SYIFA AULIA</t>
  </si>
  <si>
    <t>OJT INSERTION GROUP</t>
  </si>
  <si>
    <t>MILA ARDIYA RAMADHANI</t>
  </si>
  <si>
    <t>PONCO YUNIA SISTANTI</t>
  </si>
  <si>
    <t>SUSI AMBARWATI</t>
  </si>
  <si>
    <t>OJT PJK</t>
  </si>
  <si>
    <t>NURUL INAYATUL AZIMAH</t>
  </si>
  <si>
    <t>ZIDA FARIHATUL ULFAH</t>
  </si>
  <si>
    <t>EKA SAFITRI</t>
  </si>
  <si>
    <t>ASTI DEBBY MAHARANI</t>
  </si>
  <si>
    <t>INSERTION GROUP A</t>
  </si>
  <si>
    <t>REZEKI ASRI ANI</t>
  </si>
  <si>
    <t>INSERTION GROUP B</t>
  </si>
  <si>
    <t>INTAN SAFIRA</t>
  </si>
  <si>
    <t>DEVY NOVITA SARI</t>
  </si>
  <si>
    <t>CHECKER B</t>
  </si>
  <si>
    <t>FRIDA YANTI MEYLANI</t>
  </si>
  <si>
    <t>CHECKER A</t>
  </si>
  <si>
    <t>ULFIYANA LATIFAH</t>
  </si>
  <si>
    <t>NUR ARIFAH KURNIYAWATI</t>
  </si>
  <si>
    <t>NUR'AINI RIA AGUSTIN</t>
  </si>
  <si>
    <t>NOVA DYAH FRANSISCA</t>
  </si>
  <si>
    <t>OJT T/P 1B</t>
  </si>
  <si>
    <t>SETYANINGRUM</t>
  </si>
  <si>
    <t>HONDA CRV CORD HM STOP LT SUB</t>
  </si>
  <si>
    <t>CV A12</t>
  </si>
  <si>
    <t>SAFAROTUL MU'AZIZAH</t>
  </si>
  <si>
    <t>ASM 2</t>
  </si>
  <si>
    <t>SITI MAU'IDHOTUL MUKAROMAH</t>
  </si>
  <si>
    <t>ASM 3</t>
  </si>
  <si>
    <t>NURUL IFADA</t>
  </si>
  <si>
    <t>ASM 4</t>
  </si>
  <si>
    <t>DEVI NOVI SETYOYUNI ASTUTI</t>
  </si>
  <si>
    <t>DWIK NOVITA ANGGREINI</t>
  </si>
  <si>
    <t>MUSDZALIFAH</t>
  </si>
  <si>
    <t>LIA INDRAYUNINGSIH</t>
  </si>
  <si>
    <t>SULASTRININGSIH</t>
  </si>
  <si>
    <t>NURUL KODARIYAH</t>
  </si>
  <si>
    <t>ASM 5</t>
  </si>
  <si>
    <t>INTAN KUNI ARIFAH</t>
  </si>
  <si>
    <t>NURUL WAKHIDAH</t>
  </si>
  <si>
    <t>ANA SUSILOWATI</t>
  </si>
  <si>
    <t>ASM 01</t>
  </si>
  <si>
    <t>EVIN MEI SETA</t>
  </si>
  <si>
    <t>HONDA N-VAN</t>
  </si>
  <si>
    <t>HONDA ENGINE ROOM L/R CABIN</t>
  </si>
  <si>
    <t>CV B01</t>
  </si>
  <si>
    <t>ANITA VIDYANWATI</t>
  </si>
  <si>
    <t>NAIMATUS SALAFIYAH</t>
  </si>
  <si>
    <t>AHMAD NUR WAHID</t>
  </si>
  <si>
    <t>LULUK NUR WIGAYATI</t>
  </si>
  <si>
    <t xml:space="preserve">NURUL AINUL FITRI </t>
  </si>
  <si>
    <t xml:space="preserve">NURUL AISAH </t>
  </si>
  <si>
    <t>YARSISKA OCTAVIANI</t>
  </si>
  <si>
    <t>AVIA SETIANINGSIH</t>
  </si>
  <si>
    <t>HIDAYATUR ROHMANIYAH</t>
  </si>
  <si>
    <t>RISKA ANGGRAINI</t>
  </si>
  <si>
    <t>ANAWATI</t>
  </si>
  <si>
    <t>NI'MATUL HIDAYAH</t>
  </si>
  <si>
    <t>NURUL NIKMAH</t>
  </si>
  <si>
    <t>TRI HARIYANTI</t>
  </si>
  <si>
    <t>SITI DEWI NOVIASARI</t>
  </si>
  <si>
    <t>GALUH PUSPA RIYANTI</t>
  </si>
  <si>
    <t>ERNA KHUSNIASARI</t>
  </si>
  <si>
    <t>ANIS KURNI LATIFA</t>
  </si>
  <si>
    <t>ITA LISTARI</t>
  </si>
  <si>
    <t>AYU WERDININGTYAS</t>
  </si>
  <si>
    <t>PUTRI PUJI WINARTI</t>
  </si>
  <si>
    <t>MUHAMMAD IRFAN ALI</t>
  </si>
  <si>
    <t>CHECK FUSE</t>
  </si>
  <si>
    <t>SILVESTER EKO KRISTIANTORO</t>
  </si>
  <si>
    <t>EVI ROKHAYATI</t>
  </si>
  <si>
    <t>LILI DANI</t>
  </si>
  <si>
    <t>VITA MELATI</t>
  </si>
  <si>
    <t>ASM 1</t>
  </si>
  <si>
    <t>MEGA ZANI RAHMA</t>
  </si>
  <si>
    <t>MAYA ROSIDATUN NIKMAH</t>
  </si>
  <si>
    <t>MUHAMMAD ZAENAL MUSTAIN</t>
  </si>
  <si>
    <t>MUAHAMMAD FAHMI FARIZ</t>
  </si>
  <si>
    <t>SHIAGE 3</t>
  </si>
  <si>
    <t>SAKINAH</t>
  </si>
  <si>
    <t xml:space="preserve">DEWI APRILIANI </t>
  </si>
  <si>
    <t>USWATUN WIDYA KASANAH</t>
  </si>
  <si>
    <t>DIAH AYU RISNAWATI</t>
  </si>
  <si>
    <t>ANAFSI TOYIBATUL NADIA</t>
  </si>
  <si>
    <t>DUWI LESTARI</t>
  </si>
  <si>
    <t>LAELA MASRUROTI</t>
  </si>
  <si>
    <t>LENI RESTI WIDIANI</t>
  </si>
  <si>
    <t>B00495</t>
  </si>
  <si>
    <t>YOHAN SETIAWAN</t>
  </si>
  <si>
    <t xml:space="preserve">APRILIA TRI UTAMI </t>
  </si>
  <si>
    <t>SUNARTO</t>
  </si>
  <si>
    <t>BIYANTI</t>
  </si>
  <si>
    <t>SITI ROKHIMATUL MAULA</t>
  </si>
  <si>
    <t>AHMAD ABDUL GHOFUR</t>
  </si>
  <si>
    <t>JARIYAH</t>
  </si>
  <si>
    <t>BAYUMI GUSTI AINUL AZIZAH</t>
  </si>
  <si>
    <t xml:space="preserve">AHMAD SALAFUDIN </t>
  </si>
  <si>
    <t>MUHAMMAD ZAELANI</t>
  </si>
  <si>
    <t>RIZKY NURALITA</t>
  </si>
  <si>
    <t>DITA RISKI YUNIA</t>
  </si>
  <si>
    <t xml:space="preserve">NENENG SETIANINGSIH </t>
  </si>
  <si>
    <t>EKKA NUR DIAN NINGSIH</t>
  </si>
  <si>
    <t>RESTU PAMELA EFANSYAH</t>
  </si>
  <si>
    <t>ANJAYANI TARAKANI</t>
  </si>
  <si>
    <t>NOFITA SARI</t>
  </si>
  <si>
    <t>FIKI AULIYYAH</t>
  </si>
  <si>
    <t>TRI AMILA</t>
  </si>
  <si>
    <t>FINA MASLAHATI</t>
  </si>
  <si>
    <t>DEWI RAHMAWATI</t>
  </si>
  <si>
    <t>RANI OKTAVIANI</t>
  </si>
  <si>
    <t>ALIF VATUL LATIFAH</t>
  </si>
  <si>
    <t>SITI MUKHADAH</t>
  </si>
  <si>
    <t>FATHUR HIDAYAT</t>
  </si>
  <si>
    <t>LUSI MIRA NURJANAH</t>
  </si>
  <si>
    <t>EKA SERLY ANJANI</t>
  </si>
  <si>
    <t>DWI ZAIDAH</t>
  </si>
  <si>
    <t>S/A IG + AB</t>
  </si>
  <si>
    <t>EGI FEBRIANI</t>
  </si>
  <si>
    <t>MUHAMMAD IQBAL FAHMI GHOZALI</t>
  </si>
  <si>
    <t>MITA SISMIATI</t>
  </si>
  <si>
    <t>NILTA OKTAFIANI</t>
  </si>
  <si>
    <t>DIAH TRI LESTARI</t>
  </si>
  <si>
    <t>DIANA ISLAMIYATI</t>
  </si>
  <si>
    <t>MUKHAMMAD AJRI KARIM</t>
  </si>
  <si>
    <t>OJT SHIAGE</t>
  </si>
  <si>
    <t>MUNADHIRIN</t>
  </si>
  <si>
    <t xml:space="preserve"> OJT EXPENDER GROMMET</t>
  </si>
  <si>
    <t>IFFAH NAILUS SA'ADAH</t>
  </si>
  <si>
    <t>SHIFANY NAZILAH</t>
  </si>
  <si>
    <t>SITI JAZIROH</t>
  </si>
  <si>
    <t>M23634</t>
  </si>
  <si>
    <t xml:space="preserve">ROSITIANA </t>
  </si>
  <si>
    <t>M23642</t>
  </si>
  <si>
    <t>VIVIN WAHYU WULANDARI</t>
  </si>
  <si>
    <t>CV B09</t>
  </si>
  <si>
    <t>SRI HARYANTI</t>
  </si>
  <si>
    <t>OPT-199</t>
  </si>
  <si>
    <t>AKHMAD YAZIDUL HUDA</t>
  </si>
  <si>
    <t>SRI SULASTRI</t>
  </si>
  <si>
    <t>DESTY ARIYANI</t>
  </si>
  <si>
    <t>AYU ROSO WULAN</t>
  </si>
  <si>
    <t>OPT-280</t>
  </si>
  <si>
    <t>SOFIANA QOLBA</t>
  </si>
  <si>
    <t>SITI ROHMATUN</t>
  </si>
  <si>
    <t>PRISANTI DWI A.</t>
  </si>
  <si>
    <t>SUCI AJI MARYASA</t>
  </si>
  <si>
    <t>EKO TRIYONO</t>
  </si>
  <si>
    <t>NIKMATUL HIDAYAH</t>
  </si>
  <si>
    <t>HERU RETNO WIDYASTUTI</t>
  </si>
  <si>
    <t>OPT-469</t>
  </si>
  <si>
    <t>ATIK NURJANAH</t>
  </si>
  <si>
    <t>MEGA BINTANG MAHALLIA</t>
  </si>
  <si>
    <t>LENI NUR FAOZIYAH</t>
  </si>
  <si>
    <t>RIZKA ASROKA</t>
  </si>
  <si>
    <t xml:space="preserve">YUNITA FURIYANTI </t>
  </si>
  <si>
    <t xml:space="preserve">E. LINDA KRISTIANI </t>
  </si>
  <si>
    <t>FERA ANDRIANI</t>
  </si>
  <si>
    <t>RIDAKRISSIA</t>
  </si>
  <si>
    <t>HERY FITRIYANTO</t>
  </si>
  <si>
    <t>BAITUL ROHMANIYAH</t>
  </si>
  <si>
    <t>AHMAT TAUFIK JUWARNO</t>
  </si>
  <si>
    <t>DONI SETIWAN</t>
  </si>
  <si>
    <t>VIVI SEPTIYANI</t>
  </si>
  <si>
    <t xml:space="preserve">DINDA MAULITA </t>
  </si>
  <si>
    <t>OPT-527</t>
  </si>
  <si>
    <t>AYU NOFITASARI</t>
  </si>
  <si>
    <t>ISTRI NUR CHASANAH</t>
  </si>
  <si>
    <t>NURUL IFROKHAH</t>
  </si>
  <si>
    <t>VINDA MARDIANA</t>
  </si>
  <si>
    <t>CHOLIFATUL HIDAYAH</t>
  </si>
  <si>
    <t>NINO ELIVIASARI</t>
  </si>
  <si>
    <t>NOVI FITRIA RIZKI A</t>
  </si>
  <si>
    <t>ADE RIDHO KURNIAWAN</t>
  </si>
  <si>
    <t>FEBRIANA</t>
  </si>
  <si>
    <t>MILLATI AZKA</t>
  </si>
  <si>
    <t>SITI ROZIANA</t>
  </si>
  <si>
    <t>INA ROHMITHA SARI</t>
  </si>
  <si>
    <t>FADHILATUL KARIMAH</t>
  </si>
  <si>
    <t>MEMELIA ADE MELINDA</t>
  </si>
  <si>
    <t>SHEALLY MALIANISA</t>
  </si>
  <si>
    <t>OJT T/P 5</t>
  </si>
  <si>
    <t>AFIKA TRI ANDA RESTA</t>
  </si>
  <si>
    <t>PUTRI MILANISTI</t>
  </si>
  <si>
    <t>FERA FEBRIANTI</t>
  </si>
  <si>
    <t>ELMA SAFITRI</t>
  </si>
  <si>
    <t>DIYAH PUDJI LISTARI</t>
  </si>
  <si>
    <t>DANA BAGUS PURNAWIRAWAN</t>
  </si>
  <si>
    <t>SITI IQMATUL SOLEKHAH</t>
  </si>
  <si>
    <t>B00910</t>
  </si>
  <si>
    <t>DIANA NOVITASARI</t>
  </si>
  <si>
    <t>UMMU KHANIK</t>
  </si>
  <si>
    <t>M23633</t>
  </si>
  <si>
    <t>ROSITA MADANI</t>
  </si>
  <si>
    <t>OJT T/P 1.1</t>
  </si>
  <si>
    <t>MISROFAH</t>
  </si>
  <si>
    <t>TOYOTA PRIUS</t>
  </si>
  <si>
    <t>HV TOYOTA 680A BBM</t>
  </si>
  <si>
    <t>CV HV 02</t>
  </si>
  <si>
    <t>EMA FITRIANI</t>
  </si>
  <si>
    <t>IRA HARYUNI</t>
  </si>
  <si>
    <t>S/A X1- 2</t>
  </si>
  <si>
    <t>RIFATI RIZQIYAH</t>
  </si>
  <si>
    <t>SAUDI ALIYAH SADAMI</t>
  </si>
  <si>
    <t>ASM U2,W2</t>
  </si>
  <si>
    <t>DWI LIS SUPRIANA</t>
  </si>
  <si>
    <t>ASM X1.1</t>
  </si>
  <si>
    <t>MUSLIKHATUL HANAYANTI</t>
  </si>
  <si>
    <t>S/A X1-3</t>
  </si>
  <si>
    <t>PRASETYONING DIYAH</t>
  </si>
  <si>
    <t>S/A X1-1</t>
  </si>
  <si>
    <t xml:space="preserve">SITI TARWIYAH </t>
  </si>
  <si>
    <t>VIS X1,X3,TPO X3</t>
  </si>
  <si>
    <t>NILA FEBRIANI .U</t>
  </si>
  <si>
    <t>S/A T/P CK X2</t>
  </si>
  <si>
    <t>RUFI'ATUN</t>
  </si>
  <si>
    <t>S/A THERMISTOR</t>
  </si>
  <si>
    <t>ANJARWATI</t>
  </si>
  <si>
    <t>S/A U2-1</t>
  </si>
  <si>
    <t>ULFANIAH</t>
  </si>
  <si>
    <t>VIS X1, X3, TPO X3</t>
  </si>
  <si>
    <t>ALVIZA KHOIRURIYAH</t>
  </si>
  <si>
    <t>S/A T2</t>
  </si>
  <si>
    <t xml:space="preserve">YUNI SOFIA NURMAULIDA </t>
  </si>
  <si>
    <t>S/A V2-1</t>
  </si>
  <si>
    <t>NURUL MAWADDAH</t>
  </si>
  <si>
    <t>ASM T2,V2</t>
  </si>
  <si>
    <t>PUTERI NUR AFIFAH</t>
  </si>
  <si>
    <t>S/A W2.1</t>
  </si>
  <si>
    <t>DIAH AYU ERLITASARI</t>
  </si>
  <si>
    <t>VIS T2, V2, X2</t>
  </si>
  <si>
    <t>NUR AZIZAH AMALIA</t>
  </si>
  <si>
    <t>CK, VIS U2,W2</t>
  </si>
  <si>
    <t>LIDYA SELVIANA</t>
  </si>
  <si>
    <t>ASM X2</t>
  </si>
  <si>
    <t>KHAERUL MUSTOFA A</t>
  </si>
  <si>
    <t>CHECKER, SHIAGE</t>
  </si>
  <si>
    <t>LINDAH LESTARI</t>
  </si>
  <si>
    <t>S/A X2-1</t>
  </si>
  <si>
    <t>SITI NUR AISYAH</t>
  </si>
  <si>
    <t>ASM X1,2</t>
  </si>
  <si>
    <t>SITI NUR FAIZAH</t>
  </si>
  <si>
    <t>CK T2,V2,X2</t>
  </si>
  <si>
    <t>SOVIA AYUNDA</t>
  </si>
  <si>
    <t>SYUAIBATUL ASLAMIYAH</t>
  </si>
  <si>
    <t>SA X1.1</t>
  </si>
  <si>
    <t>DARNI</t>
  </si>
  <si>
    <t>S/A, ASM X2</t>
  </si>
  <si>
    <t>PONCO HANDAYANI</t>
  </si>
  <si>
    <t>CHECKER + VISUAL U2, W2</t>
  </si>
  <si>
    <t>DWI SUSIATI</t>
  </si>
  <si>
    <t>S/A + CK X3</t>
  </si>
  <si>
    <t>MAKHMUDAH</t>
  </si>
  <si>
    <t>ENTIYATI</t>
  </si>
  <si>
    <t xml:space="preserve">S/A W2 </t>
  </si>
  <si>
    <t>LINDA KURNIAWATI</t>
  </si>
  <si>
    <t>VISUAL X1, X3, TPO X3</t>
  </si>
  <si>
    <t>UMMI MUALIFAH</t>
  </si>
  <si>
    <t>S/A X1.3</t>
  </si>
  <si>
    <t>AGUSTINA WIDIYANINGSIH</t>
  </si>
  <si>
    <t>ASM T2, V2</t>
  </si>
  <si>
    <t>YASIR EFENDI</t>
  </si>
  <si>
    <t>MITRA LUSIANA</t>
  </si>
  <si>
    <t>S/A X1.2</t>
  </si>
  <si>
    <t>TRI HARTANTI</t>
  </si>
  <si>
    <t>EKA RATNASARI</t>
  </si>
  <si>
    <t xml:space="preserve">S/A THERMISTOR </t>
  </si>
  <si>
    <t>MUSTAFIDATUL ISLAMIYAH</t>
  </si>
  <si>
    <t>ASM X1.2</t>
  </si>
  <si>
    <t>INAWATI AMIR</t>
  </si>
  <si>
    <t>S/A X1.1</t>
  </si>
  <si>
    <t>DIASHMA GHINA KURNIASTI</t>
  </si>
  <si>
    <t>VISUAL T2, V2, X2</t>
  </si>
  <si>
    <t>MISSLAHUS NIKMAH</t>
  </si>
  <si>
    <t>SA U2.1</t>
  </si>
  <si>
    <t>NANIK LARASSATI</t>
  </si>
  <si>
    <t>S/A T2.1</t>
  </si>
  <si>
    <t>VIVI NOVIYANI</t>
  </si>
  <si>
    <t>S/A V2.1</t>
  </si>
  <si>
    <t>NADIA MARYAM SAFITRI</t>
  </si>
  <si>
    <t>SITI NUR FAIZATI INAYAH</t>
  </si>
  <si>
    <t>SITI ZAKIYAH</t>
  </si>
  <si>
    <t>SISCA PUSPITANINGRUM</t>
  </si>
  <si>
    <t>ASM W2.U2</t>
  </si>
  <si>
    <t>MEIDA PRISCHA</t>
  </si>
  <si>
    <t>CHECKER T2,V2,X2</t>
  </si>
  <si>
    <t>NUR HICHMAWATI</t>
  </si>
  <si>
    <t>SITI WAKHIDATUN NADILA</t>
  </si>
  <si>
    <t>TIYA ROHMAH AYU ARIYANI</t>
  </si>
  <si>
    <t>RUWAIDAH</t>
  </si>
  <si>
    <t>HV TOYOTA 14PL</t>
  </si>
  <si>
    <t>CV HV 03</t>
  </si>
  <si>
    <t>A'ISYAH NITARIANANDANI</t>
  </si>
  <si>
    <t>KHOTIMATUL KHUSNA</t>
  </si>
  <si>
    <t xml:space="preserve">TRI FITRIANA </t>
  </si>
  <si>
    <t>ALIGHMENT, MOULDING, INTERMEDIATE</t>
  </si>
  <si>
    <t>ENY RAHMAWATI</t>
  </si>
  <si>
    <t>B01148</t>
  </si>
  <si>
    <t>LIANA INDRI ASTUTI</t>
  </si>
  <si>
    <t>ASM T2, SA THERMISTOR T2</t>
  </si>
  <si>
    <t>B03539</t>
  </si>
  <si>
    <t>PUTRI GALIH PAMBAJENG</t>
  </si>
  <si>
    <t>TRI LAELATUN NIKMAH</t>
  </si>
  <si>
    <t>RUDI YANTI</t>
  </si>
  <si>
    <t>ATIK ROMADANI</t>
  </si>
  <si>
    <t>AYU MAALIYAH</t>
  </si>
  <si>
    <t>ALIGHMENT, MOULDING, INTERMEDIATE X1, ASM X1.1</t>
  </si>
  <si>
    <t>SITI NUR ASIYAH</t>
  </si>
  <si>
    <t>VIS X1, X2</t>
  </si>
  <si>
    <t>NOVI YANA PUTRI</t>
  </si>
  <si>
    <t>ASM X1.2, ASM X1.1</t>
  </si>
  <si>
    <t>LIZA BAITUL IZAH</t>
  </si>
  <si>
    <t>ASM X2.1</t>
  </si>
  <si>
    <t>SRI RAHAYU</t>
  </si>
  <si>
    <t>S/A X1, S/A CONTINUITY X1</t>
  </si>
  <si>
    <t>ARINA MAULIDA</t>
  </si>
  <si>
    <t>LINDA LESTARI</t>
  </si>
  <si>
    <t>OJT ALIGMENT MOULDING</t>
  </si>
  <si>
    <t xml:space="preserve">MONICA DIANISA </t>
  </si>
  <si>
    <t>ALIF FATUL MAKFIROH</t>
  </si>
  <si>
    <t xml:space="preserve">CV HV 03 </t>
  </si>
  <si>
    <t>ARUM DWI SETIYANTI</t>
  </si>
  <si>
    <t>ANY ISNAWATI</t>
  </si>
  <si>
    <t>CV HV 04</t>
  </si>
  <si>
    <t>SUKENI</t>
  </si>
  <si>
    <t>CHECKER + VISUAL 173</t>
  </si>
  <si>
    <t>ENDANG SRI REJEKI</t>
  </si>
  <si>
    <t>AFIA HAFIDZ</t>
  </si>
  <si>
    <t>S/A 173-3</t>
  </si>
  <si>
    <t>RATNA SARI</t>
  </si>
  <si>
    <t>S/A 132-1</t>
  </si>
  <si>
    <t>MAGHFIROH</t>
  </si>
  <si>
    <t>S/A 131-1</t>
  </si>
  <si>
    <t>FADHILA ISHNA FAHMI</t>
  </si>
  <si>
    <t>S/A 172-2</t>
  </si>
  <si>
    <t>ISNAH YATUL IMAH</t>
  </si>
  <si>
    <t>S/A 173-1</t>
  </si>
  <si>
    <t>ANDINI FITRIA FAJARWATI</t>
  </si>
  <si>
    <t>S/A 172.3</t>
  </si>
  <si>
    <t>DEVI SAFITRI</t>
  </si>
  <si>
    <t>CHECKER + VISUAL 131</t>
  </si>
  <si>
    <t>RADISTA PUTRI APRILIA</t>
  </si>
  <si>
    <t>CHECKER + VISUAL 132</t>
  </si>
  <si>
    <t>SHINTA SETIANI</t>
  </si>
  <si>
    <t>S/A 172.4</t>
  </si>
  <si>
    <t>SULISTIYOWATI</t>
  </si>
  <si>
    <t>FIKI YULIYANTI</t>
  </si>
  <si>
    <t>S/A 173.2</t>
  </si>
  <si>
    <t>M23630</t>
  </si>
  <si>
    <t>RITA PORWANINGSIH</t>
  </si>
  <si>
    <t>NOVITA FAJAR SAPUTRI</t>
  </si>
  <si>
    <t>CHECKER + VISUAL</t>
  </si>
  <si>
    <t>S/A 172-1</t>
  </si>
  <si>
    <t>RINA SETYOWATI</t>
  </si>
  <si>
    <t>MUSTAAROH</t>
  </si>
  <si>
    <t>RIZKY SASI PASHA ERISTININGSIH</t>
  </si>
  <si>
    <t xml:space="preserve">SRI WAHYUNI </t>
  </si>
  <si>
    <t xml:space="preserve">RIKA DIANA </t>
  </si>
  <si>
    <t>NURUL QOMARIYAH</t>
  </si>
  <si>
    <t>MIFROKHUL KHOLIFAH</t>
  </si>
  <si>
    <t>CATUR ERIANI</t>
  </si>
  <si>
    <t>IRMAWATI</t>
  </si>
  <si>
    <t>NUR LAILI KAMALIN</t>
  </si>
  <si>
    <t>S/A 172-3</t>
  </si>
  <si>
    <t>TITIK CHRISTIANINGSIH</t>
  </si>
  <si>
    <t xml:space="preserve">UMI WAHYUNI </t>
  </si>
  <si>
    <t>S/A 173-2</t>
  </si>
  <si>
    <t>JULIE REGIANA</t>
  </si>
  <si>
    <t>TITI KHAEFIA</t>
  </si>
  <si>
    <t>APRILLIA PUTERI PRADANA</t>
  </si>
  <si>
    <t>UMI HANIK</t>
  </si>
  <si>
    <t>HV NISSAN</t>
  </si>
  <si>
    <t>CV HV 05</t>
  </si>
  <si>
    <t>HS 03, CM66</t>
  </si>
  <si>
    <t>HVT 01</t>
  </si>
  <si>
    <t>V. TEST</t>
  </si>
  <si>
    <t>S1-N-01, INSP S1</t>
  </si>
  <si>
    <t>DINA PITHALOKA</t>
  </si>
  <si>
    <t>ASM, CK 03</t>
  </si>
  <si>
    <t>EKAWATI</t>
  </si>
  <si>
    <t>BCM-01, IAM</t>
  </si>
  <si>
    <t>S/A 2, TP GEN</t>
  </si>
  <si>
    <t>AP3-N-02, HS-N-01</t>
  </si>
  <si>
    <t>DIAH NUNUNG PRATIWI</t>
  </si>
  <si>
    <t>ACHMAD YULIYANTO</t>
  </si>
  <si>
    <t>MSN, MS</t>
  </si>
  <si>
    <t>YULIANTI</t>
  </si>
  <si>
    <t>BCM N-02</t>
  </si>
  <si>
    <t>NURUL QOMARIAH</t>
  </si>
  <si>
    <t>ST MAC-N-01</t>
  </si>
  <si>
    <t>SITI NUR AISAH</t>
  </si>
  <si>
    <t>GAB AMIZEN, STMAC N-02</t>
  </si>
  <si>
    <t>HS-N-02, N-03</t>
  </si>
  <si>
    <t>NUR LAILI</t>
  </si>
  <si>
    <t>S/A 01, AP3-N-01</t>
  </si>
  <si>
    <t>WORO DWI HARIYANTI</t>
  </si>
  <si>
    <t>ASM , CK 01</t>
  </si>
  <si>
    <t>UMI YASSAROH</t>
  </si>
  <si>
    <t>ASM CK 02</t>
  </si>
  <si>
    <t>SUSWANTI</t>
  </si>
  <si>
    <t>HVT 02</t>
  </si>
  <si>
    <t xml:space="preserve">RIFKI IKBAL MAULANA </t>
  </si>
  <si>
    <t>PEMBERSIH MIXER NOZZLE</t>
  </si>
  <si>
    <t>AP30-02, HS-01</t>
  </si>
  <si>
    <t>CM66</t>
  </si>
  <si>
    <t>SAFRIDA AISYA M.</t>
  </si>
  <si>
    <t>SILICON</t>
  </si>
  <si>
    <t>KARTIKA PUTRI MAYANGSARI</t>
  </si>
  <si>
    <t>STMAC-01, AP30-01</t>
  </si>
  <si>
    <t>ASM, CK 01</t>
  </si>
  <si>
    <t>WIWIK AMBARWATI</t>
  </si>
  <si>
    <t>GABUNGAN AMIZEN, STMAC-02</t>
  </si>
  <si>
    <t>LAELATUL SYAFIROH</t>
  </si>
  <si>
    <t>S/A 02, T/P GENERATOR</t>
  </si>
  <si>
    <t>ZULIANAH</t>
  </si>
  <si>
    <t>ASM, CK 02</t>
  </si>
  <si>
    <t>UMI RIZQIAVIANA</t>
  </si>
  <si>
    <t>BCM , IAM</t>
  </si>
  <si>
    <t>SITI MUSDALIPAH</t>
  </si>
  <si>
    <t>SITI ALFIAH</t>
  </si>
  <si>
    <t>BCM-02</t>
  </si>
  <si>
    <t>NUR WULAN FEBRIAN</t>
  </si>
  <si>
    <t>HS-02, HS-03</t>
  </si>
  <si>
    <t>NURINTAN</t>
  </si>
  <si>
    <t>AP3-N-01, S/A 01</t>
  </si>
  <si>
    <t>DIAH KUSUMANINGRUM</t>
  </si>
  <si>
    <t>VERNIA RIZKY WULANDARI</t>
  </si>
  <si>
    <t>T/P, CK 03</t>
  </si>
  <si>
    <t>TUTI FITRIANA</t>
  </si>
  <si>
    <t>AFIDATUN NISYAK</t>
  </si>
  <si>
    <t xml:space="preserve">CV HV 05 </t>
  </si>
  <si>
    <t>IIS DWI HINDAYANI</t>
  </si>
  <si>
    <t>HV TOYOTA LITIUM</t>
  </si>
  <si>
    <t>CV HV 06</t>
  </si>
  <si>
    <t>VISUAL U2</t>
  </si>
  <si>
    <t>SITI MUNAYAH</t>
  </si>
  <si>
    <t xml:space="preserve"> LQC</t>
  </si>
  <si>
    <t>PUTRI MAMAN FATIKAH</t>
  </si>
  <si>
    <t>PUTRI MAULIDAH</t>
  </si>
  <si>
    <t>S/A THERMISTOR U2</t>
  </si>
  <si>
    <t>KONIK FAUZIAH</t>
  </si>
  <si>
    <t>ASM THERMISTOR U2</t>
  </si>
  <si>
    <t>INDAH NURALIYAH</t>
  </si>
  <si>
    <t>S/A U2.1</t>
  </si>
  <si>
    <t>RIA ADITYA YUNI</t>
  </si>
  <si>
    <t>VISUAL T2</t>
  </si>
  <si>
    <t>LULUK AFIATUN NIMAH</t>
  </si>
  <si>
    <t>ASM THERMISTOR T2</t>
  </si>
  <si>
    <t>LARAS WULANDARI</t>
  </si>
  <si>
    <t>S/A U2.2</t>
  </si>
  <si>
    <t>SISKA KRISTIANA</t>
  </si>
  <si>
    <t>ASM U2</t>
  </si>
  <si>
    <t>TASYQIA QALBU AZZAHRA</t>
  </si>
  <si>
    <t>S/A THERMISTOR T2</t>
  </si>
  <si>
    <t>DIAH WAHYU NOVIANI</t>
  </si>
  <si>
    <t>ASM T2</t>
  </si>
  <si>
    <t>ZAENITA TRI YATIKHAH</t>
  </si>
  <si>
    <t>PRO + CK U2</t>
  </si>
  <si>
    <t>WAHYUNI</t>
  </si>
  <si>
    <t>WIDIA ERLIN KUSDIANA</t>
  </si>
  <si>
    <t>ANI MAHA RANI</t>
  </si>
  <si>
    <t>ANIS SAFITRI</t>
  </si>
  <si>
    <t>YUNI ISWANTI</t>
  </si>
  <si>
    <t>SA THERMISTOR</t>
  </si>
  <si>
    <t>SA BBM</t>
  </si>
  <si>
    <t>ELLA WAHYU RAHMAWATI</t>
  </si>
  <si>
    <t>SITI NUR KHASANAH</t>
  </si>
  <si>
    <t>YUNI FATIKASARI</t>
  </si>
  <si>
    <t>PRO+CK</t>
  </si>
  <si>
    <t>SARI ASTRIYANI</t>
  </si>
  <si>
    <t>NUR KHALIMAH</t>
  </si>
  <si>
    <t>RIZQI AZIZAH</t>
  </si>
  <si>
    <t>PRO U2 + CK</t>
  </si>
  <si>
    <t>DWI ALIN YANI</t>
  </si>
  <si>
    <t>HV TOYOTA NIKEL</t>
  </si>
  <si>
    <t>CV HV 07A</t>
  </si>
  <si>
    <t>MAR'ATUS SHOLIKAH</t>
  </si>
  <si>
    <t>BAYU DWI LAKSONO</t>
  </si>
  <si>
    <t>MC3-T-03</t>
  </si>
  <si>
    <t>ULIL ALBAB SAPUTRA</t>
  </si>
  <si>
    <t>ST MAC, MC3-01, 02</t>
  </si>
  <si>
    <t>MEILANI YULIANTI</t>
  </si>
  <si>
    <t>IDA FITRIYAH</t>
  </si>
  <si>
    <t>ASM CONTINUITY</t>
  </si>
  <si>
    <t>NOVIA TRIANA PUTRI</t>
  </si>
  <si>
    <t>INSERT SP</t>
  </si>
  <si>
    <t>RISDIYANTI</t>
  </si>
  <si>
    <t>NURUL KHIKMAH</t>
  </si>
  <si>
    <t>ASM SP</t>
  </si>
  <si>
    <t>ARINI RACHMAWATI</t>
  </si>
  <si>
    <t>FBBI, ASM BBM, IMTERMEDIATE</t>
  </si>
  <si>
    <t>ROIDAH</t>
  </si>
  <si>
    <t>FBBO-03</t>
  </si>
  <si>
    <t>QUSNUL KHOTIMAH</t>
  </si>
  <si>
    <t>FBBO-04</t>
  </si>
  <si>
    <t>NADYA BERLIANA RAMADHANISYA</t>
  </si>
  <si>
    <t>LULUK INTAN KOMAIROH</t>
  </si>
  <si>
    <t>STMAC</t>
  </si>
  <si>
    <t>WIDYA AWWALIYANA</t>
  </si>
  <si>
    <t>FBB1, ASM BBM INTERMEDIATE</t>
  </si>
  <si>
    <t>IKA LISTIANA</t>
  </si>
  <si>
    <t>EKA SULISTIYANI</t>
  </si>
  <si>
    <t>ANJELIZA INTAN PERMATASARI</t>
  </si>
  <si>
    <t>SITI DEVI RAHAYUNINGTIAS</t>
  </si>
  <si>
    <t>OPT-501</t>
  </si>
  <si>
    <t>FBBI0-02, INTERMEDIATE, ASM BBM</t>
  </si>
  <si>
    <t>HANDAYANI</t>
  </si>
  <si>
    <t>FBB0-01, INTERMEDIATE, ASM, BBM</t>
  </si>
  <si>
    <t>SETYANI NUR AFIFAH</t>
  </si>
  <si>
    <t>DIAN A'MILA</t>
  </si>
  <si>
    <t>FBBO-04, INTERMEDIATE</t>
  </si>
  <si>
    <t>LULUT PRAWITI</t>
  </si>
  <si>
    <t>FBBO-03, INTERMEDIATE</t>
  </si>
  <si>
    <t>MUJIDAH</t>
  </si>
  <si>
    <t>ASM SP 01</t>
  </si>
  <si>
    <t>RIZAL JOKO HARIYADI</t>
  </si>
  <si>
    <t>MC3-03</t>
  </si>
  <si>
    <t>ANA MANURUL HIDAYAH</t>
  </si>
  <si>
    <t>STMAC, MC3-01, 02</t>
  </si>
  <si>
    <t>ANA RIFAUL JANAH</t>
  </si>
  <si>
    <t>DEWI NILASARI PUTRI</t>
  </si>
  <si>
    <t>TRI INDAH LESTARI</t>
  </si>
  <si>
    <t>ASM SP 02</t>
  </si>
  <si>
    <t>YEKTI SUMARAH</t>
  </si>
  <si>
    <t>ASM CONTINUITY 02</t>
  </si>
  <si>
    <t>YUNITA WIDI SUMEKAR</t>
  </si>
  <si>
    <t>APRILIS FAUZIYAH</t>
  </si>
  <si>
    <t>MONALIZA</t>
  </si>
  <si>
    <t>HV HONDA</t>
  </si>
  <si>
    <t>HV HONDA 5JL SP</t>
  </si>
  <si>
    <t>CV HV 08</t>
  </si>
  <si>
    <t>ICM-H-01, STMAC-H-01, MC3-H-01, 02, 03</t>
  </si>
  <si>
    <t>FENI WULANDARI</t>
  </si>
  <si>
    <t>ASM 2WD-01</t>
  </si>
  <si>
    <t>RINTI SANTIA NINGSIH</t>
  </si>
  <si>
    <t>ASM 2WD-01,4WD</t>
  </si>
  <si>
    <t>ZAROTUN AZIZAH</t>
  </si>
  <si>
    <t>INTERMEDIATE,DRY</t>
  </si>
  <si>
    <t>NUR WAHID</t>
  </si>
  <si>
    <t>HV TOYOTA UNDERFLOOR</t>
  </si>
  <si>
    <t>CV HV 09</t>
  </si>
  <si>
    <t>HELPER</t>
  </si>
  <si>
    <t>UMI CHOLIFAH</t>
  </si>
  <si>
    <t>NOVI KARTIKA SETYANINGRUM</t>
  </si>
  <si>
    <t>RIF'ATUL LAILI HIDAYATI</t>
  </si>
  <si>
    <t>RYAN PEBYANSYAH</t>
  </si>
  <si>
    <t>LA 20</t>
  </si>
  <si>
    <t>INSANI ISTIFARI PUTRI</t>
  </si>
  <si>
    <t>MC3, ST MAC,WEBO</t>
  </si>
  <si>
    <t>VANIA NAZILA</t>
  </si>
  <si>
    <t>AGUS SETIYONO</t>
  </si>
  <si>
    <t>BLT 01</t>
  </si>
  <si>
    <t>VIVI EDYNANSYAH</t>
  </si>
  <si>
    <t>ASM 03</t>
  </si>
  <si>
    <t>MITARTI</t>
  </si>
  <si>
    <t>RISA APRIYANI</t>
  </si>
  <si>
    <t>WEBO</t>
  </si>
  <si>
    <t>SITI NURAENI</t>
  </si>
  <si>
    <t>WIDYA SOLEKHATI</t>
  </si>
  <si>
    <t>FIKA NI'AM</t>
  </si>
  <si>
    <t>HD 150, PW 30</t>
  </si>
  <si>
    <t>PIPIT PUSPITA SARI</t>
  </si>
  <si>
    <t>ASM 02</t>
  </si>
  <si>
    <t>SOFIANAH</t>
  </si>
  <si>
    <t xml:space="preserve">S/A 01 </t>
  </si>
  <si>
    <t>FARIDATUL WASIMAH</t>
  </si>
  <si>
    <t>HV TESTER</t>
  </si>
  <si>
    <t>ISTI UMAEROH</t>
  </si>
  <si>
    <t>B02217</t>
  </si>
  <si>
    <t>MUHAMMAD MUZAENI</t>
  </si>
  <si>
    <t>BBF-092</t>
  </si>
  <si>
    <t>MUHAMMAD SHOLEH</t>
  </si>
  <si>
    <t>KHOERINA</t>
  </si>
  <si>
    <t>PW30, WEBO, HD 150</t>
  </si>
  <si>
    <t>NURYATUN</t>
  </si>
  <si>
    <t xml:space="preserve">MEILISTIA SARI </t>
  </si>
  <si>
    <t>AHMADUN DWI RAHARJO</t>
  </si>
  <si>
    <t>LA 20, GROMET, PW 30</t>
  </si>
  <si>
    <t>NOVA DWI JAYANTI</t>
  </si>
  <si>
    <t>ASM 01. BLT 02</t>
  </si>
  <si>
    <t>EMILINA FAJARIA</t>
  </si>
  <si>
    <t xml:space="preserve">SITI KHASANAH </t>
  </si>
  <si>
    <t>MC3, STMAC, WEBO</t>
  </si>
  <si>
    <t>KHAIRUL NUR FAIDAH</t>
  </si>
  <si>
    <t>BAGAS FERNANDA PARIPURNA</t>
  </si>
  <si>
    <t>PW 30, HDS 150</t>
  </si>
  <si>
    <t>IZKY RAHMAWATI</t>
  </si>
  <si>
    <t>WINDI LUSIANA DEVI</t>
  </si>
  <si>
    <t>AZIMATUN NAFÏAH</t>
  </si>
  <si>
    <t>HV TESTER, ASM 05</t>
  </si>
  <si>
    <t>MARYANTO</t>
  </si>
  <si>
    <t>KRISTI WINARNI</t>
  </si>
  <si>
    <t>TRI SETYOWATI</t>
  </si>
  <si>
    <t>MINU MAY SABANA</t>
  </si>
  <si>
    <t>YATI PRATIWI</t>
  </si>
  <si>
    <t>CHANDRA WIDYA WIJAYA</t>
  </si>
  <si>
    <t>B00436</t>
  </si>
  <si>
    <t>EKO HARTANTO</t>
  </si>
  <si>
    <t>BLT-01</t>
  </si>
  <si>
    <t>ARI INAROTUN NAFIAH</t>
  </si>
  <si>
    <t>TRI RETNO SARI</t>
  </si>
  <si>
    <t xml:space="preserve">HV TOYOTA AC </t>
  </si>
  <si>
    <t>CV HV 10A</t>
  </si>
  <si>
    <t>DEVI RATNA PUTRI</t>
  </si>
  <si>
    <t>RATNA WULANDARI</t>
  </si>
  <si>
    <t>S/T,T/P,C/K-01</t>
  </si>
  <si>
    <t>A'AMILATUSHOLIKHAH</t>
  </si>
  <si>
    <t>ICM-TA-01,02, CSM-TA-01, 02,  PB 10-TA-01, CM 66-TA-01</t>
  </si>
  <si>
    <t xml:space="preserve">ANITA ROHMAYANI </t>
  </si>
  <si>
    <t>S/T,T/P,CK</t>
  </si>
  <si>
    <t>YULI INAYATI</t>
  </si>
  <si>
    <t>HV TESTER&amp;VISUAL-1</t>
  </si>
  <si>
    <t>IKHBAL ARDILAYA</t>
  </si>
  <si>
    <t>PB10-TA-02, CM66-TA-02, CSM-TA-03, CM63-TA-01</t>
  </si>
  <si>
    <t>ELMA YUDHITA SARASWATI</t>
  </si>
  <si>
    <t>CM66-TA-03, MC2-TA-01,02, SSM-TA-01,02</t>
  </si>
  <si>
    <t>LAILATUL QODARIYAH</t>
  </si>
  <si>
    <t>S/T, T/P, C/K 05</t>
  </si>
  <si>
    <t>EMY SULISTYOWATI</t>
  </si>
  <si>
    <t>MC2-TA-03,SSM-TA-03</t>
  </si>
  <si>
    <t xml:space="preserve">SITI NUR AZIZAH DESWITA </t>
  </si>
  <si>
    <t>TOYIB MUTOIB</t>
  </si>
  <si>
    <t>REZA WIDYA</t>
  </si>
  <si>
    <t>B00469</t>
  </si>
  <si>
    <t>RATNA PUJI TRI U.</t>
  </si>
  <si>
    <t>RIA NUR SAVITRI</t>
  </si>
  <si>
    <t>MC2-TA-03, SSM-TA-03, INSERT TERMINAL</t>
  </si>
  <si>
    <t>ATIN MARDIYANTI</t>
  </si>
  <si>
    <t>FINA AKHADIYAH</t>
  </si>
  <si>
    <t>SITI ALIMAH</t>
  </si>
  <si>
    <t>S/T, T/P, C/K-02</t>
  </si>
  <si>
    <t>EKA PUJI LESTARI</t>
  </si>
  <si>
    <t>ULIF TRIYANTI</t>
  </si>
  <si>
    <t>S/T, T/P, C/K-01</t>
  </si>
  <si>
    <t>PETRA EVI SURYANI</t>
  </si>
  <si>
    <t>S/T, T/P, C/K-05</t>
  </si>
  <si>
    <t>MAEKE ELA SETYO PUTRI</t>
  </si>
  <si>
    <t>HV TEST &amp; VISUAL 01</t>
  </si>
  <si>
    <t>ICM-TA-01,02, CSM-TA-01,02, PB 10-TA-01,CM-66-TA-01</t>
  </si>
  <si>
    <t>ITA KURNIASARI</t>
  </si>
  <si>
    <t>LAILIA PUJI AGUSTIN</t>
  </si>
  <si>
    <t>S/T, T/P, CK-03</t>
  </si>
  <si>
    <t>DWI ARIYANI</t>
  </si>
  <si>
    <t>REZA TRI WIDYANINGSIH</t>
  </si>
  <si>
    <t>MATERIAL SUPPLY FA</t>
  </si>
  <si>
    <t>MUHAMMAD SYARIFUDIN</t>
  </si>
  <si>
    <t>MATERIAL SUPPLY CPA</t>
  </si>
  <si>
    <t>MIRNA AMBARWATI</t>
  </si>
  <si>
    <t>CV HV 10B</t>
  </si>
  <si>
    <t>HENI INDRA SARI</t>
  </si>
  <si>
    <t>NOVIA SARI</t>
  </si>
  <si>
    <t>AWALIA RAHMAWATI</t>
  </si>
  <si>
    <t>S/T, T/P, C/K 01</t>
  </si>
  <si>
    <t>DEWI AYU SEPTIANINGRUM</t>
  </si>
  <si>
    <t>S/T,T/P,C/K-04</t>
  </si>
  <si>
    <t>HV TESTER + VISUAL 01</t>
  </si>
  <si>
    <t xml:space="preserve">RUUL MULIANA FITRI </t>
  </si>
  <si>
    <t>MEIDA IRIANTI</t>
  </si>
  <si>
    <t>MELA OKTAFIANI</t>
  </si>
  <si>
    <t>DEWI PUJI RATNASARI</t>
  </si>
  <si>
    <t>ASRIYAH</t>
  </si>
  <si>
    <t>CM66-TA-03, MC2-TA-01, MC2-TA-02</t>
  </si>
  <si>
    <t>ARINA NUR DIANA</t>
  </si>
  <si>
    <t>M23613</t>
  </si>
  <si>
    <t>IDA FATQUL ROCHMAH</t>
  </si>
  <si>
    <t>YOSSI MAULITA GIAS</t>
  </si>
  <si>
    <t>SEPTIAN NOVIA ANGGRAINI</t>
  </si>
  <si>
    <t>NOVI DYAH NINGRUM</t>
  </si>
  <si>
    <t>S/T, T/P, C/K</t>
  </si>
  <si>
    <t xml:space="preserve">TRI IVANINGSIH </t>
  </si>
  <si>
    <t>ASTRI OKTAFIYANI</t>
  </si>
  <si>
    <t>RETNO NURUL FATMAWATI</t>
  </si>
  <si>
    <t>NURUL OKVIANI</t>
  </si>
  <si>
    <t>SOFIA AULIA MIFTAKHUL SALAMUN</t>
  </si>
  <si>
    <t>CM66-TA-01,03, CSM-TA-03, MC2-TA-01,02,03, SSM-TA-01,02,03</t>
  </si>
  <si>
    <t>SANTIKA DEWI</t>
  </si>
  <si>
    <t>SANTIKA SANDRA</t>
  </si>
  <si>
    <t>IKA LUTFITA</t>
  </si>
  <si>
    <t>ATIKA WALUYANI</t>
  </si>
  <si>
    <t>SUDARMAJI</t>
  </si>
  <si>
    <t>ULYA LATIFAH</t>
  </si>
  <si>
    <t>CATUR SUHARTANTI</t>
  </si>
  <si>
    <t>CV HV 11</t>
  </si>
  <si>
    <t>S/A 130.1</t>
  </si>
  <si>
    <t>LISTIANI NURHAYATI</t>
  </si>
  <si>
    <t>LASMINI</t>
  </si>
  <si>
    <t>FRANSISKA MEISA</t>
  </si>
  <si>
    <t>S/A 131.1</t>
  </si>
  <si>
    <t>EKA FITRIA NINGSIH</t>
  </si>
  <si>
    <t>S/A 130.2</t>
  </si>
  <si>
    <t>SEPTI DWI LESTARI</t>
  </si>
  <si>
    <t>CK+VISUAL</t>
  </si>
  <si>
    <t>ANISSATUN NUR AFIFAH</t>
  </si>
  <si>
    <t>FATKHIATIR RIZQILLAH</t>
  </si>
  <si>
    <t>TRI MURNIASIH</t>
  </si>
  <si>
    <t>SURIATI</t>
  </si>
  <si>
    <t>HV TOYOTA AC 14 PL</t>
  </si>
  <si>
    <t>CV HV 12</t>
  </si>
  <si>
    <t>TRI ADI GILANG PERMANA</t>
  </si>
  <si>
    <t>DWI WIDYA ASTUTI</t>
  </si>
  <si>
    <t>CST35-01, MC2-01, PB10-01, CM63-01</t>
  </si>
  <si>
    <t>MAULA LINATUL MUNA</t>
  </si>
  <si>
    <t>SHINDIANA MAHMUDIANI</t>
  </si>
  <si>
    <t>FIKI JAZILAH</t>
  </si>
  <si>
    <t>US 2600, MC2-02, US 2600, MC2-03</t>
  </si>
  <si>
    <t>B00814</t>
  </si>
  <si>
    <t>DWI SETYANINGSIH</t>
  </si>
  <si>
    <t>BBF-014</t>
  </si>
  <si>
    <t>MELINDA KURNIASARI</t>
  </si>
  <si>
    <t>HV TOYOTA 690A Li</t>
  </si>
  <si>
    <t>CV HV 13A</t>
  </si>
  <si>
    <t>RIZKI YULIANTI PUTRI</t>
  </si>
  <si>
    <t>PROTECTOR , CK U2</t>
  </si>
  <si>
    <t>ASKONAH</t>
  </si>
  <si>
    <t>VIS U2</t>
  </si>
  <si>
    <t>IIS ROSALIA</t>
  </si>
  <si>
    <t>S/A T2-2</t>
  </si>
  <si>
    <t>DIANI WIJAYANTI</t>
  </si>
  <si>
    <t>PROTECTOR &amp; CK T2</t>
  </si>
  <si>
    <t>EKA TINI ANJARWATI</t>
  </si>
  <si>
    <t>ASM THERMISTOR &amp; ASM TWIST U2</t>
  </si>
  <si>
    <t>WIDOWATI</t>
  </si>
  <si>
    <t>ASM T2-1</t>
  </si>
  <si>
    <t>DESTI HERNAWATI</t>
  </si>
  <si>
    <t>S/A U2-2</t>
  </si>
  <si>
    <t>KHASANAH</t>
  </si>
  <si>
    <t>VIS T2</t>
  </si>
  <si>
    <t>RIENANDITA SYAHRA KIRANA</t>
  </si>
  <si>
    <t>SUSILA WATI</t>
  </si>
  <si>
    <t>SA THERMISTOR &amp; TWIST U2</t>
  </si>
  <si>
    <t>KUNTI FATIMATUZ ZAHRO</t>
  </si>
  <si>
    <t>S/A THERMISTOR &amp; ASM THERMISTOR T2</t>
  </si>
  <si>
    <t>RISTIAWATI</t>
  </si>
  <si>
    <t>ASM U2-1</t>
  </si>
  <si>
    <t>SHINTA FEBRI SULISETIYOWATI</t>
  </si>
  <si>
    <t>ASM U2-2</t>
  </si>
  <si>
    <t>THALIA CITRA PUSPITA</t>
  </si>
  <si>
    <t>ASM T2-2</t>
  </si>
  <si>
    <t>FAJAR NISWATUL KHASANAH</t>
  </si>
  <si>
    <t>S/A T2-1</t>
  </si>
  <si>
    <t>SEPTIANI AWALIYAH</t>
  </si>
  <si>
    <t>ULFATUN NASIKHAH</t>
  </si>
  <si>
    <t>NUR AMALIAH SOLECHAH</t>
  </si>
  <si>
    <t>NUR DAHLIA</t>
  </si>
  <si>
    <t>RETNO ATMININGSIH</t>
  </si>
  <si>
    <t>WAHYU EKAWATI</t>
  </si>
  <si>
    <t>INSERT TERMINAL VS T2</t>
  </si>
  <si>
    <t>RATNA AMBARWATI</t>
  </si>
  <si>
    <t>RISKA BILLAH NOVIYANTI</t>
  </si>
  <si>
    <t>PROTECTOR  + CK U2</t>
  </si>
  <si>
    <t>INSERT THERMISTOR, ASM THERMISTOR T2</t>
  </si>
  <si>
    <t>SITI MUNFAATUN</t>
  </si>
  <si>
    <t>ASM 01 U2</t>
  </si>
  <si>
    <t>FITRI YANI DIAH ASTUTI</t>
  </si>
  <si>
    <t>INSERT THERMISTOR, TWIST U2</t>
  </si>
  <si>
    <t>RISA AMITA</t>
  </si>
  <si>
    <t>ERMY WIJAYANTI</t>
  </si>
  <si>
    <t>ASM 02 T2</t>
  </si>
  <si>
    <t>AINI SARIFAH</t>
  </si>
  <si>
    <t>DIANA MAHARANI S.</t>
  </si>
  <si>
    <t>SETIA BEKTI</t>
  </si>
  <si>
    <t>OPT-329</t>
  </si>
  <si>
    <t>ASM 01 T2</t>
  </si>
  <si>
    <t>LISA CLAODIA RAHAYU</t>
  </si>
  <si>
    <t>OPT-447</t>
  </si>
  <si>
    <t>INSERT TERMINAL VS U2</t>
  </si>
  <si>
    <t>AYU TRIYANI</t>
  </si>
  <si>
    <t>ASM 02 U2</t>
  </si>
  <si>
    <t>PIPIN DESY PRIYANTI</t>
  </si>
  <si>
    <t>PROTECTOR, CK U2</t>
  </si>
  <si>
    <t>SITI NUR ASOMAH</t>
  </si>
  <si>
    <t>SINTA ANDARI</t>
  </si>
  <si>
    <t>SITI NURIYAH</t>
  </si>
  <si>
    <t>OJT CS</t>
  </si>
  <si>
    <t>B00318</t>
  </si>
  <si>
    <t>SINTA DIANA PUTRI</t>
  </si>
  <si>
    <t>CV HV 13B</t>
  </si>
  <si>
    <t>INSERT TERMINAL VS</t>
  </si>
  <si>
    <t>EKA FITRIYANI</t>
  </si>
  <si>
    <t>OKTAVIANA AMBARSARI</t>
  </si>
  <si>
    <t>DIAH ISNANI FAUZIYAH</t>
  </si>
  <si>
    <t>LIA NURIDA</t>
  </si>
  <si>
    <t>ANITA WAHYU Y</t>
  </si>
  <si>
    <t>SA &amp; ASM THERMISTOR T2</t>
  </si>
  <si>
    <t>AL KHOIRIYAH</t>
  </si>
  <si>
    <t>LULUK KUSMAWATI</t>
  </si>
  <si>
    <t>UMI KHULSUM</t>
  </si>
  <si>
    <t>DEVI NOVIAWATI</t>
  </si>
  <si>
    <t>PROTECTOR , CK T2</t>
  </si>
  <si>
    <t>ASM THERMISTOR</t>
  </si>
  <si>
    <t>ROSYIDATUN FAJARWATI</t>
  </si>
  <si>
    <t>RAGIL LILIK SANDJANI</t>
  </si>
  <si>
    <t>OPT-396</t>
  </si>
  <si>
    <t>SERLI FARDELINA</t>
  </si>
  <si>
    <t>OPT-439</t>
  </si>
  <si>
    <t>PROTECTOR T2, CHECKER</t>
  </si>
  <si>
    <t>AUFA ZERLINDA</t>
  </si>
  <si>
    <t>VINA MARDIANA</t>
  </si>
  <si>
    <t>NURUL SHOBAH</t>
  </si>
  <si>
    <t>RIZKA AWALIA</t>
  </si>
  <si>
    <t>ADHE IRMAWATI</t>
  </si>
  <si>
    <t>ENI ISTIKOMAH</t>
  </si>
  <si>
    <t>ICM-TA-01, 02, CSM-TA-01,02, PB10-TA-01</t>
  </si>
  <si>
    <t>SEPTIANI DWI AMIRA</t>
  </si>
  <si>
    <t>MUTIATUL KHASANAH</t>
  </si>
  <si>
    <t>WIDIYANTI</t>
  </si>
  <si>
    <t>SRI WAHYUNINGTIAS</t>
  </si>
  <si>
    <t>ERIKA PUTRI AULIA</t>
  </si>
  <si>
    <t>S/A, ASM THERMISTOR T2</t>
  </si>
  <si>
    <t>BUDI LISTIYOWATI</t>
  </si>
  <si>
    <t>ASM PROTECTOR, CK T2</t>
  </si>
  <si>
    <t>ABELLYA NUR RAHMA</t>
  </si>
  <si>
    <t>ARI MUNARIS</t>
  </si>
  <si>
    <t>RADEN RORO ADITIYA ARUM SASMITA</t>
  </si>
  <si>
    <t>SITI MUSTAGHFIROH</t>
  </si>
  <si>
    <t>PRO, CK</t>
  </si>
  <si>
    <t>SANIYAH</t>
  </si>
  <si>
    <t>ASM TWIST, ASM THERMISTOR U2</t>
  </si>
  <si>
    <t>TRIA WULANDARI</t>
  </si>
  <si>
    <t>SA TWIST, SA THERMISTOR U2</t>
  </si>
  <si>
    <t>HUSNA KHAIRANI</t>
  </si>
  <si>
    <t>SELFI ARDIYANTI</t>
  </si>
  <si>
    <t>B01765</t>
  </si>
  <si>
    <t>ANISA FITRIANI</t>
  </si>
  <si>
    <t>B02122</t>
  </si>
  <si>
    <t>BBF-085</t>
  </si>
  <si>
    <t>DEWI NUR KHASANAH</t>
  </si>
  <si>
    <t>HSPO CPA</t>
  </si>
  <si>
    <t>CUTTING</t>
  </si>
  <si>
    <t>LASTRI</t>
  </si>
  <si>
    <t>MC-01</t>
  </si>
  <si>
    <t>DEWI MAYASARI</t>
  </si>
  <si>
    <t>TWIST, RYCHAM</t>
  </si>
  <si>
    <t>IVA SUSANTI</t>
  </si>
  <si>
    <t>GL PRODUKSI</t>
  </si>
  <si>
    <t>BONDER , DRYER</t>
  </si>
  <si>
    <t>BONDER</t>
  </si>
  <si>
    <t>SITI NURROHMAH</t>
  </si>
  <si>
    <t>MC1-TRN</t>
  </si>
  <si>
    <t>PUJI SRI RAHAYU</t>
  </si>
  <si>
    <t>MC-02</t>
  </si>
  <si>
    <t>SRI LISTIANI</t>
  </si>
  <si>
    <t>HSPO FA</t>
  </si>
  <si>
    <t>FINAL INSPECTION</t>
  </si>
  <si>
    <t>QA APPROVE</t>
  </si>
  <si>
    <t>MALIKAH</t>
  </si>
  <si>
    <t>SITI NUR AINI</t>
  </si>
  <si>
    <t>DIYAH FITRIYANI</t>
  </si>
  <si>
    <t>LISTIANA</t>
  </si>
  <si>
    <t>INDAH SULISTIANI</t>
  </si>
  <si>
    <t>RETNO LISTIYONINGRUM</t>
  </si>
  <si>
    <t>INDAH CAHYANINGRUM</t>
  </si>
  <si>
    <t>TRI NANI</t>
  </si>
  <si>
    <t>SITI RATNASARI</t>
  </si>
  <si>
    <t>VINANDRA TIKA APRILIANI</t>
  </si>
  <si>
    <t>RINO ADI CAHYA PRATAMA PUTRA</t>
  </si>
  <si>
    <t>INDAH DHUWI ANDAYANI</t>
  </si>
  <si>
    <t>MULIKHATUL KHASANAH</t>
  </si>
  <si>
    <t>LANA MILATUL KUSNA</t>
  </si>
  <si>
    <t>SISKA VIVI ARYANI</t>
  </si>
  <si>
    <t>IKA SETIYOWATI</t>
  </si>
  <si>
    <t>LISTA FASISKA</t>
  </si>
  <si>
    <t>PUTRI ERLITA WARDANI</t>
  </si>
  <si>
    <t>THOIFATUL MUNAWAROH</t>
  </si>
  <si>
    <t>INAYATUSH SHOLIKHAH</t>
  </si>
  <si>
    <t>AIDA NUR AZIZAH</t>
  </si>
  <si>
    <t>B00964</t>
  </si>
  <si>
    <t>ROFIQO SA'ADAH</t>
  </si>
  <si>
    <t>M23644</t>
  </si>
  <si>
    <t>YUSRIL ANDHI PANGESTU</t>
  </si>
  <si>
    <t>OTHERS ( CUTTING PROJECT )</t>
  </si>
  <si>
    <t>PENIMBANG WIRE</t>
  </si>
  <si>
    <t>MISWATI</t>
  </si>
  <si>
    <t>CUTTING IMPROVEMENT &amp; ANALISA WIRE LOSS</t>
  </si>
  <si>
    <t>SUMARTONO</t>
  </si>
  <si>
    <t>YULIANI</t>
  </si>
  <si>
    <t>WACHED ENGGAR ANDRIANTO</t>
  </si>
  <si>
    <t>HENDRIDWI NUR IKSAN</t>
  </si>
  <si>
    <t>EGGES RAHMAWAN</t>
  </si>
  <si>
    <t>KASIROH</t>
  </si>
  <si>
    <t>OTHERS ( KM )</t>
  </si>
  <si>
    <t>OTHERS ( KM P-PET )</t>
  </si>
  <si>
    <t>APRIANA RIZKI HAPY SAPUTRI</t>
  </si>
  <si>
    <t>OTHERS ( KM 10PL )</t>
  </si>
  <si>
    <t>NURUL AMALIA</t>
  </si>
  <si>
    <t>MIFTAKHUL JANAH</t>
  </si>
  <si>
    <t>ANI MARIANI</t>
  </si>
  <si>
    <t>ANIK RHOMAWATI</t>
  </si>
  <si>
    <t>OTHERS ( PRODUCTION IMPROVMENT )</t>
  </si>
  <si>
    <t>SOOP</t>
  </si>
  <si>
    <t>SITI ANIFAH</t>
  </si>
  <si>
    <t>KONTROL TS OJT NEOP</t>
  </si>
  <si>
    <t>YENI</t>
  </si>
  <si>
    <t>KONTROL MP IN OUT PRD</t>
  </si>
  <si>
    <t>HANI WIDYA ASTUTIK</t>
  </si>
  <si>
    <t>PATROLI SOOP &amp; 5 WHY ANALISIS</t>
  </si>
  <si>
    <t>CETRA RAHMAWATI</t>
  </si>
  <si>
    <t>SITI ROHMAH</t>
  </si>
  <si>
    <t>OTHERS ( PROJECT )</t>
  </si>
  <si>
    <t xml:space="preserve">OTHERS </t>
  </si>
  <si>
    <t>DWI ARIAWAN</t>
  </si>
  <si>
    <t>OTHERS ( SCH )</t>
  </si>
  <si>
    <t>AMYCUT, MC2-CRV-01</t>
  </si>
  <si>
    <t>FARIKIN</t>
  </si>
  <si>
    <t>SCH-02</t>
  </si>
  <si>
    <t>MOHAMAT MUTTAQIM</t>
  </si>
  <si>
    <t>SCH-03</t>
  </si>
  <si>
    <t>B01434</t>
  </si>
  <si>
    <t>NURCAHYO RUSBIANTORO</t>
  </si>
  <si>
    <t>SCH-01</t>
  </si>
  <si>
    <t>ENDANG SARWITRI</t>
  </si>
  <si>
    <t>AMICUT</t>
  </si>
  <si>
    <t>AHMAD MAHFUDLON</t>
  </si>
  <si>
    <t>BAMBANG DILTA YULIANTO</t>
  </si>
  <si>
    <t>TKN-55</t>
  </si>
  <si>
    <t>HERY MUSTAQFIRIN</t>
  </si>
  <si>
    <t>FILIA</t>
  </si>
  <si>
    <t>OTHERS ( TRAINER )</t>
  </si>
  <si>
    <t>SURYAWATI</t>
  </si>
  <si>
    <t>SRIANAH</t>
  </si>
  <si>
    <t>ANI LUSIANA</t>
  </si>
  <si>
    <t>PUSPANDARI</t>
  </si>
  <si>
    <t>NUR FATMAWATI</t>
  </si>
  <si>
    <t>RATNA MARGARAHAYU</t>
  </si>
  <si>
    <t>WITRI SUMIYATI</t>
  </si>
  <si>
    <t>OPT-98</t>
  </si>
  <si>
    <t>SEPTIYANING RAHAYU</t>
  </si>
  <si>
    <t>OPT-104</t>
  </si>
  <si>
    <t>DIYAH KUMOROWATI</t>
  </si>
  <si>
    <t>IKA SULISTYOWATI</t>
  </si>
  <si>
    <t>MOH.FAHRUL IMAM</t>
  </si>
  <si>
    <t>YANWAR NURJIYANTO</t>
  </si>
  <si>
    <t>TRI RUMIYATI</t>
  </si>
  <si>
    <t>MARIYATUN</t>
  </si>
  <si>
    <t>DYNA SEPTIANI</t>
  </si>
  <si>
    <t>SITI KHAIZAH</t>
  </si>
  <si>
    <t>SRIYANTI</t>
  </si>
  <si>
    <t>VERA ANGGRAINI</t>
  </si>
  <si>
    <t>WORO HARINI</t>
  </si>
  <si>
    <t>MUKHASANAH</t>
  </si>
  <si>
    <t>TATIS DEVI M.</t>
  </si>
  <si>
    <t>WULANDARI</t>
  </si>
  <si>
    <t>SUWASTI</t>
  </si>
  <si>
    <t>ANDRI YONO</t>
  </si>
  <si>
    <t>HERU PONCO NUGROHO</t>
  </si>
  <si>
    <t>TRI DEWI LESTARI</t>
  </si>
  <si>
    <t>EKO WULAN SAFITRI</t>
  </si>
  <si>
    <t>SITI NURYATI</t>
  </si>
  <si>
    <t>RIKA NUR INDAH SARI</t>
  </si>
  <si>
    <t>FITRIYANTI</t>
  </si>
  <si>
    <t>VANI SETYANINGRUM</t>
  </si>
  <si>
    <t>SITI ANJARWATI</t>
  </si>
  <si>
    <t>RINAWATI</t>
  </si>
  <si>
    <t>ANIFATUZAHROKH</t>
  </si>
  <si>
    <t>RIZKY RAHMA SARI</t>
  </si>
  <si>
    <t>ARIYANI DWI NURZA'IM</t>
  </si>
  <si>
    <t>ERVINA LISTIYOWATI</t>
  </si>
  <si>
    <t>KHOLIS FATKHIYATUR ROHMANIYAH</t>
  </si>
  <si>
    <t>SITI ROHANIYAH</t>
  </si>
  <si>
    <t>AIMATUS SHOLEKHAH</t>
  </si>
  <si>
    <t>RUMIYATI</t>
  </si>
  <si>
    <t>ROMDONI</t>
  </si>
  <si>
    <t>ZAINAL KAFIDZIN</t>
  </si>
  <si>
    <t>MARGARETA PUJI RAHAYU</t>
  </si>
  <si>
    <t>SITI ROHMAWATI</t>
  </si>
  <si>
    <t>SITI NELI ROHMAH</t>
  </si>
  <si>
    <t>B00854</t>
  </si>
  <si>
    <t>EKO TRI ROHMANTO</t>
  </si>
  <si>
    <t>BBF-016</t>
  </si>
  <si>
    <t>B01176</t>
  </si>
  <si>
    <t>YULI EKAWATI</t>
  </si>
  <si>
    <t>PRE ASSY HINO DYNA</t>
  </si>
  <si>
    <t>MC1-HIN-03</t>
  </si>
  <si>
    <t>ARI WIDIYANTI</t>
  </si>
  <si>
    <t>FITRIA</t>
  </si>
  <si>
    <t>BM1-HIN-01</t>
  </si>
  <si>
    <t>MINTARSIH</t>
  </si>
  <si>
    <t>MC2-HIN-01,MC1-HIN-05</t>
  </si>
  <si>
    <t>MUH TOIF</t>
  </si>
  <si>
    <t>KANBAN (DIFABLE)</t>
  </si>
  <si>
    <t>VINA AKHADIYATUN</t>
  </si>
  <si>
    <t>MC1-HIN-04</t>
  </si>
  <si>
    <t>ANI DWI SETYANINGSIH</t>
  </si>
  <si>
    <t xml:space="preserve">MC1-HIN-01 </t>
  </si>
  <si>
    <t>EKA APRILIA</t>
  </si>
  <si>
    <t>TWS-HIN-01</t>
  </si>
  <si>
    <t>TRIANA APRILIA PUTRI</t>
  </si>
  <si>
    <t>MC1-HIN-02</t>
  </si>
  <si>
    <t>AFIFATUS SOLICHAH</t>
  </si>
  <si>
    <t>OJT TWIST</t>
  </si>
  <si>
    <t>AYU MULYANA</t>
  </si>
  <si>
    <t>INDAH PURWANINGSIH</t>
  </si>
  <si>
    <t>MC-HIN-01</t>
  </si>
  <si>
    <t>M23614</t>
  </si>
  <si>
    <t>CANDRA PUTRI LESTARI</t>
  </si>
  <si>
    <t>OJT MC</t>
  </si>
  <si>
    <t>DWI YULIYATI</t>
  </si>
  <si>
    <t>YOHANA</t>
  </si>
  <si>
    <t>MC1-HIN-05,MC2-HIN-01</t>
  </si>
  <si>
    <t>MASHADIAH</t>
  </si>
  <si>
    <t>OPT-164</t>
  </si>
  <si>
    <t>SHONIA FITRIYANA</t>
  </si>
  <si>
    <t>MC2-HIN-01</t>
  </si>
  <si>
    <t>ANGGI RAHMAWATI</t>
  </si>
  <si>
    <t>AYU RETNOWATI</t>
  </si>
  <si>
    <t xml:space="preserve">MURNI CAHNIA </t>
  </si>
  <si>
    <t>SHAFIRA RIZMA YANJALINA</t>
  </si>
  <si>
    <t>IIS NURCAHAYATI</t>
  </si>
  <si>
    <t>ANIS FITRIAH</t>
  </si>
  <si>
    <t>PRE ASSY HONDA 36 CELL</t>
  </si>
  <si>
    <t>RYC-H-03,MC2-H-03,WT</t>
  </si>
  <si>
    <t>VIRGI DEVANI MAHARANI</t>
  </si>
  <si>
    <t>RIKA HANDAYANI</t>
  </si>
  <si>
    <t>PRE ASSY HONDA CRV</t>
  </si>
  <si>
    <t>MC1-CRV-04, US-CRV-03</t>
  </si>
  <si>
    <t>MC1-CRV-06</t>
  </si>
  <si>
    <t xml:space="preserve">RUSMIATI </t>
  </si>
  <si>
    <t>MC1-CRV-03, US-CRV-02, US-CRV-04</t>
  </si>
  <si>
    <t>PAMUNGKAS TRI PRASTYONO</t>
  </si>
  <si>
    <t>OPT-529</t>
  </si>
  <si>
    <t>JT-CRV-02 (DIFABLE)</t>
  </si>
  <si>
    <t>DRY-CRV-01</t>
  </si>
  <si>
    <t>DRY-CRV-02</t>
  </si>
  <si>
    <t>FIRAS HAITSAM</t>
  </si>
  <si>
    <t>JT-CRV-01 (DIFABLE)</t>
  </si>
  <si>
    <t>EKA PURWANINGSIH</t>
  </si>
  <si>
    <t>MT-CRV-01, 02</t>
  </si>
  <si>
    <t>MC1-CRV-08</t>
  </si>
  <si>
    <t>NUR HAYATI</t>
  </si>
  <si>
    <t>JM2-CRV-01,02</t>
  </si>
  <si>
    <t>SHOKHIFATUL WAHDAH</t>
  </si>
  <si>
    <t>MSU-CRV-01</t>
  </si>
  <si>
    <t>FEBRIANI RATIH PANGESTIKA</t>
  </si>
  <si>
    <t>MC1-CRV-07</t>
  </si>
  <si>
    <t>IRNA SETIAWATI</t>
  </si>
  <si>
    <t>JM3-CRV-02</t>
  </si>
  <si>
    <t>DIAN FEBRIYANTI</t>
  </si>
  <si>
    <t>KANBAN</t>
  </si>
  <si>
    <t>DIAN MARETA SARI</t>
  </si>
  <si>
    <t>JM3-CRV-01, JM2-CRV-03, MSY-CRV-01</t>
  </si>
  <si>
    <t>SHERLY ROSALINA</t>
  </si>
  <si>
    <t>WT-CRV-01</t>
  </si>
  <si>
    <t>FIFIN NOVITA PUTRI RAHAYU</t>
  </si>
  <si>
    <t>US-CRV-05</t>
  </si>
  <si>
    <t>RIZKA NOVITA DWIYANTI</t>
  </si>
  <si>
    <t>MC1-CRV-01, 02</t>
  </si>
  <si>
    <t>PRABANDARI AMY</t>
  </si>
  <si>
    <t>MC1-CRV-05</t>
  </si>
  <si>
    <t>FERNANDA NURNOVIANI</t>
  </si>
  <si>
    <t>OJT DRY-CRV-02</t>
  </si>
  <si>
    <t xml:space="preserve">RESTU PUJIANTO </t>
  </si>
  <si>
    <t>OJT JT-CRV-01</t>
  </si>
  <si>
    <t>MUNTAPIAH</t>
  </si>
  <si>
    <t>DWI YANTINI</t>
  </si>
  <si>
    <t>MC1-CRV-02</t>
  </si>
  <si>
    <t>KRISWANTI</t>
  </si>
  <si>
    <t>HIMMATUL AZIZAH</t>
  </si>
  <si>
    <t>MC1-CRV-04</t>
  </si>
  <si>
    <t>ISROWIYAH</t>
  </si>
  <si>
    <t>US-CRV-02</t>
  </si>
  <si>
    <t>RIZQIYAH AULAWIYAH</t>
  </si>
  <si>
    <t>FARIS SETIADI</t>
  </si>
  <si>
    <t>JT-CRV-01</t>
  </si>
  <si>
    <t>INDRI HAPSARI</t>
  </si>
  <si>
    <t>BIMA SATYA MAHARDIKA</t>
  </si>
  <si>
    <t>WIWIT SETYONINGSIH</t>
  </si>
  <si>
    <t>IKA PRASTIKA SARI</t>
  </si>
  <si>
    <t>SURYATI</t>
  </si>
  <si>
    <t>JM2-CRV-01</t>
  </si>
  <si>
    <t>AGNES DEWI ANGGARA</t>
  </si>
  <si>
    <t>EVA DWI HARIYANI</t>
  </si>
  <si>
    <t>RAHAYU RISANTI</t>
  </si>
  <si>
    <t>OJT AC90-CRV-01</t>
  </si>
  <si>
    <t xml:space="preserve">FITRI WAHYU NINGSIH </t>
  </si>
  <si>
    <t xml:space="preserve">SITI INDRIYANI </t>
  </si>
  <si>
    <t>JM3-CRV-01</t>
  </si>
  <si>
    <t>UMI NUR FADLILAH</t>
  </si>
  <si>
    <t>MUJI LESTARI</t>
  </si>
  <si>
    <t>UMI KHOTIJAH FATIYAH</t>
  </si>
  <si>
    <t>OJT WT</t>
  </si>
  <si>
    <t>M23618</t>
  </si>
  <si>
    <t>ERVA LESTARI</t>
  </si>
  <si>
    <t>AYU RESMI NOVISARI</t>
  </si>
  <si>
    <t>PRE ASSY HONDA EXPORT</t>
  </si>
  <si>
    <t>DINA MUSLIMATUN K</t>
  </si>
  <si>
    <t>WK 13</t>
  </si>
  <si>
    <t>M23617</t>
  </si>
  <si>
    <t>ERNIASARI</t>
  </si>
  <si>
    <t>FATIKHATUL KHASANAH</t>
  </si>
  <si>
    <t>WK-13</t>
  </si>
  <si>
    <t>IKA SUCI MANDASARI</t>
  </si>
  <si>
    <t>PRE ASSY HONDA EXPORT 1</t>
  </si>
  <si>
    <t>MSU-HDA-01, 02</t>
  </si>
  <si>
    <t>FANY LISTRI ANY</t>
  </si>
  <si>
    <t>JM3-HDA-01, 02</t>
  </si>
  <si>
    <t>ELNURANI MARTANINGRUM</t>
  </si>
  <si>
    <t>AGUSTINA</t>
  </si>
  <si>
    <t xml:space="preserve">SISKA TRI HAPSARI </t>
  </si>
  <si>
    <t>TWS-HDA-03</t>
  </si>
  <si>
    <t>LENY RUSNAWATI</t>
  </si>
  <si>
    <t>LU'LU'ATUL MARDLIYAH</t>
  </si>
  <si>
    <t>TWS-HDA-08</t>
  </si>
  <si>
    <t>DIAN AYU KARLINA</t>
  </si>
  <si>
    <t>JM2-HDA-08</t>
  </si>
  <si>
    <t>EFI LISTIYANA</t>
  </si>
  <si>
    <t>JM2-HDA-04, 07</t>
  </si>
  <si>
    <t>ANGGA HARY SETIAWAN</t>
  </si>
  <si>
    <t>AYU WARDINI</t>
  </si>
  <si>
    <t>WARDA FADIYA</t>
  </si>
  <si>
    <t xml:space="preserve">WT </t>
  </si>
  <si>
    <t>ISTI LANAILIL KUSNA</t>
  </si>
  <si>
    <t>SITI FATONAH</t>
  </si>
  <si>
    <t>JM2-HAD-06</t>
  </si>
  <si>
    <t>SITI LISTARI</t>
  </si>
  <si>
    <t>TWS-HAD-09</t>
  </si>
  <si>
    <t>EFA KAROLLINA PUTRI</t>
  </si>
  <si>
    <t>JT-HAD-03</t>
  </si>
  <si>
    <t>NAFIS UBAIDAH</t>
  </si>
  <si>
    <t>MSY-HAD-01</t>
  </si>
  <si>
    <t>YULIA FITRIAWATI</t>
  </si>
  <si>
    <t>MSU-HAD-01</t>
  </si>
  <si>
    <t>LUTFIYATUL CHASANAH</t>
  </si>
  <si>
    <t>NADILA APRILIA PURWANINGSIH</t>
  </si>
  <si>
    <t>OJT WK -13</t>
  </si>
  <si>
    <t>B00091</t>
  </si>
  <si>
    <t>TRI UTAMI</t>
  </si>
  <si>
    <t>TWS-HDA-11</t>
  </si>
  <si>
    <t>DANU RISTIONO</t>
  </si>
  <si>
    <t>MT-HDA-01  (DIFABLE)</t>
  </si>
  <si>
    <t>MELISA AGUSTIN</t>
  </si>
  <si>
    <t>NAHROYA</t>
  </si>
  <si>
    <t>JM3-HAD-02</t>
  </si>
  <si>
    <t>AKHMAD SAEFUL</t>
  </si>
  <si>
    <t>TV-10</t>
  </si>
  <si>
    <t>TRISKA ALDAFIYAH</t>
  </si>
  <si>
    <t xml:space="preserve">ULFA NUR AMALIA </t>
  </si>
  <si>
    <t>UMUL FARIKHAH</t>
  </si>
  <si>
    <t>B00859</t>
  </si>
  <si>
    <t>ABDUL MAJID</t>
  </si>
  <si>
    <t>JT-HDA-01</t>
  </si>
  <si>
    <t>SETYO RAHAYUNINGSIH</t>
  </si>
  <si>
    <t>JM2-HDA-05,06</t>
  </si>
  <si>
    <t>ENDANG DEWI MURNI</t>
  </si>
  <si>
    <t>DYAH TRI KINASIH</t>
  </si>
  <si>
    <t>SITI YULI QOIFAH</t>
  </si>
  <si>
    <t>WAHYUNINGSIH</t>
  </si>
  <si>
    <t>JM3-HAD-01,02</t>
  </si>
  <si>
    <t>MUHAMMAD IMAM PRAYOGO</t>
  </si>
  <si>
    <t>OPT-502</t>
  </si>
  <si>
    <t>NOVI KURNIASARI</t>
  </si>
  <si>
    <t>SITI ZUMAROTUN NAFISAH</t>
  </si>
  <si>
    <t>TWS-HDA-06,07</t>
  </si>
  <si>
    <t xml:space="preserve">AFIANA NAZULA </t>
  </si>
  <si>
    <t>ALFIYATUR ROHMANIAH</t>
  </si>
  <si>
    <t>INSP SILIKON INJECTION</t>
  </si>
  <si>
    <t>DEFI SAFITA</t>
  </si>
  <si>
    <t>JM2-HAD-08</t>
  </si>
  <si>
    <t>DEWI VERA SASKIYA</t>
  </si>
  <si>
    <t>NABELA DWI PRATIWI</t>
  </si>
  <si>
    <t>DHURFITUL MUFIDAH</t>
  </si>
  <si>
    <t>TWS-HDA-11,10</t>
  </si>
  <si>
    <t>NURUL SOBAH</t>
  </si>
  <si>
    <t>NURUL MA'RIFAH</t>
  </si>
  <si>
    <t>MSU-HAD-03</t>
  </si>
  <si>
    <t>ARUM SUSANTI</t>
  </si>
  <si>
    <t>MSU-HDA-01</t>
  </si>
  <si>
    <t>AYU LILIS SUYANI</t>
  </si>
  <si>
    <t>TWS-HDA-08,09</t>
  </si>
  <si>
    <t>CANTIA YULIATIN</t>
  </si>
  <si>
    <t>JM2-HDA-03,04,07</t>
  </si>
  <si>
    <t>MIFTAHUL JANAH</t>
  </si>
  <si>
    <t>MSY-HAD-01,02</t>
  </si>
  <si>
    <t>ANIF AFIATUL IZZATI</t>
  </si>
  <si>
    <t>DINDA FADHILA</t>
  </si>
  <si>
    <t>OJT JM2-HAD-08</t>
  </si>
  <si>
    <t>RIZA MAILIN NIKMAH</t>
  </si>
  <si>
    <t>OJT TWS-HAD-06</t>
  </si>
  <si>
    <t>DINA ANNISSAUL HABIBAH</t>
  </si>
  <si>
    <t>KHOMSATUN</t>
  </si>
  <si>
    <t>PRE ASSY HONDA EXPORT 2</t>
  </si>
  <si>
    <t>MC1-HDA-26, 01, 09</t>
  </si>
  <si>
    <t xml:space="preserve">AFIDHATUL FITRIA </t>
  </si>
  <si>
    <t>MC1-HDA-04, 05</t>
  </si>
  <si>
    <t xml:space="preserve">INDAH FITRIYANI </t>
  </si>
  <si>
    <t>MC1-HDA-16, 17</t>
  </si>
  <si>
    <t>DIDIK ARIYANDI</t>
  </si>
  <si>
    <t>MC3-HDA-03, 04, 05</t>
  </si>
  <si>
    <t>GUNAWAN</t>
  </si>
  <si>
    <t>ALFIANA AISYA</t>
  </si>
  <si>
    <t>MC1-HDA-15, 32</t>
  </si>
  <si>
    <t>AGUSTA BAYU ANDIKA</t>
  </si>
  <si>
    <t>MC2-HAD-01</t>
  </si>
  <si>
    <t>SETIOWATI</t>
  </si>
  <si>
    <t>MC1-HAD-22,23,24</t>
  </si>
  <si>
    <t>FITRI FATMAWATI</t>
  </si>
  <si>
    <t>MC2-HAD-09,19,20</t>
  </si>
  <si>
    <t>ZULAICHA NIFA ANNISA</t>
  </si>
  <si>
    <t>MC1-HDA-04,05</t>
  </si>
  <si>
    <t>SITI ANA KHOFIFAH</t>
  </si>
  <si>
    <t>MC1-HAD-01</t>
  </si>
  <si>
    <t>MC1-HAD-39, 55</t>
  </si>
  <si>
    <t>KRISRIYANA AFIFAH</t>
  </si>
  <si>
    <t>MC1-HDA-33, 34</t>
  </si>
  <si>
    <t>AKHMAD RIFAI</t>
  </si>
  <si>
    <t>MC3-HAD-06</t>
  </si>
  <si>
    <t>LINA RAHMAWATI</t>
  </si>
  <si>
    <t>MC1-HAD-33</t>
  </si>
  <si>
    <t>UPIK SITI ROCHANA</t>
  </si>
  <si>
    <t>MC2-HDA-09, 19, 20</t>
  </si>
  <si>
    <t>MC1-HDA-09</t>
  </si>
  <si>
    <t>AGUSTINA WIJIATI</t>
  </si>
  <si>
    <t>MC3-HDA-06, 01, MC1-HDA-09</t>
  </si>
  <si>
    <t>DIAH DWI JAYATI</t>
  </si>
  <si>
    <t>OPT-442</t>
  </si>
  <si>
    <t xml:space="preserve">FAHRUL UMAR </t>
  </si>
  <si>
    <t>MC3-HDA-02, 03, 04</t>
  </si>
  <si>
    <t>M SHOKHIBUL MIGHFAR</t>
  </si>
  <si>
    <t>MC3-HDA-05, 06, MC2-HDA-01</t>
  </si>
  <si>
    <t>AYU ASTRIYANI</t>
  </si>
  <si>
    <t>MC1-HDA-22,23,24</t>
  </si>
  <si>
    <t>B00816</t>
  </si>
  <si>
    <t>ESTI PURWANINGSIH</t>
  </si>
  <si>
    <t>MC1-HDA16, 17</t>
  </si>
  <si>
    <t>RIYANA PUJI LESTARI</t>
  </si>
  <si>
    <t>PRE ASSY HONDA EXPORT 3</t>
  </si>
  <si>
    <t>FAILUL HIDAYAH</t>
  </si>
  <si>
    <t>MC1-HDA-10, 11</t>
  </si>
  <si>
    <t>NUNUK SALAMAH</t>
  </si>
  <si>
    <t>MC2-HDA-05, 06</t>
  </si>
  <si>
    <t>FAFA ADCHA YANA</t>
  </si>
  <si>
    <t>MC1-HDA-13, 21</t>
  </si>
  <si>
    <t>DWI NOVIANTI</t>
  </si>
  <si>
    <t>MC1-HDA-15</t>
  </si>
  <si>
    <t>IMROATUL AZIZAH</t>
  </si>
  <si>
    <t>MC1-HAD-12</t>
  </si>
  <si>
    <t>B00643</t>
  </si>
  <si>
    <t>SOLIKAH</t>
  </si>
  <si>
    <t>MC1-HDA-14</t>
  </si>
  <si>
    <t>MC2-HDA-05,06</t>
  </si>
  <si>
    <t>VIVIANA DEWI</t>
  </si>
  <si>
    <t>FERA KURNIAWATI</t>
  </si>
  <si>
    <t>MC1-HAD-13</t>
  </si>
  <si>
    <t>LILIS HANDAYANI</t>
  </si>
  <si>
    <t>MC1-HAD-29</t>
  </si>
  <si>
    <t>VIKA MAFTUAH</t>
  </si>
  <si>
    <t>DRY-HAD-01</t>
  </si>
  <si>
    <t>NUR HASANAH</t>
  </si>
  <si>
    <t>MC1-HDA-21, 13</t>
  </si>
  <si>
    <t>MC2-HDA-14, MC1-HDA-29</t>
  </si>
  <si>
    <t>YULIA MULYA NISSA</t>
  </si>
  <si>
    <t>MC2-HDA-12</t>
  </si>
  <si>
    <t>RIZKIANA KHOMSAH</t>
  </si>
  <si>
    <t>SARA YUNITA</t>
  </si>
  <si>
    <t>YULIANA RIZKY AMALIA</t>
  </si>
  <si>
    <t>YULI SETYONINGSIH</t>
  </si>
  <si>
    <t>PRE ASSY HONDA EXPORT 4</t>
  </si>
  <si>
    <t>MC1-HDA-51, 54</t>
  </si>
  <si>
    <t>MUSHTAFIDAH</t>
  </si>
  <si>
    <t>MC1-HDA-45, 46</t>
  </si>
  <si>
    <t>SUMIATUN</t>
  </si>
  <si>
    <t>DRY-HDA-01</t>
  </si>
  <si>
    <t>MC1-HDA-39, 40</t>
  </si>
  <si>
    <t>NOVITA DIAN SAFITRI</t>
  </si>
  <si>
    <t>MC1-HDA-36, MC2-HDA-17</t>
  </si>
  <si>
    <t>YULISTIYA YUNITA UTAMI</t>
  </si>
  <si>
    <t>MC1-HDA-44</t>
  </si>
  <si>
    <t>WAHYU LESTARI</t>
  </si>
  <si>
    <t>MC1-HAD-52,53</t>
  </si>
  <si>
    <t>FETI ROHAYA</t>
  </si>
  <si>
    <t>MC1-HAD-43</t>
  </si>
  <si>
    <t>RIANA NOVIYANTI</t>
  </si>
  <si>
    <t>MC1-HAD-55</t>
  </si>
  <si>
    <t>KONATUN</t>
  </si>
  <si>
    <t xml:space="preserve">MC1-HAD-39 </t>
  </si>
  <si>
    <t>SAPARLINA RATNAWATI</t>
  </si>
  <si>
    <t>SITI NADHIYAH</t>
  </si>
  <si>
    <t>MC1-HDA-40</t>
  </si>
  <si>
    <t>AYU LESTARI</t>
  </si>
  <si>
    <t>MC1-HDA-52, 53</t>
  </si>
  <si>
    <t>NUR FITRIYA NINGSIH</t>
  </si>
  <si>
    <t>OPT-385</t>
  </si>
  <si>
    <t>MC1-HDA-45,46</t>
  </si>
  <si>
    <t>VINA HANDAYANI</t>
  </si>
  <si>
    <t>MC1-HDA-54,55</t>
  </si>
  <si>
    <t>PUTRI WINARTI</t>
  </si>
  <si>
    <t>NUR FAIZATI</t>
  </si>
  <si>
    <t>YUSUF</t>
  </si>
  <si>
    <t>MC1-HDA-44,43</t>
  </si>
  <si>
    <t>MELIA FITRIANI</t>
  </si>
  <si>
    <t>MC1-HAD-51</t>
  </si>
  <si>
    <t>PRE ASSY HONDA HV</t>
  </si>
  <si>
    <t>AFIDATUL UMAROH</t>
  </si>
  <si>
    <t>INTERMEDIATE 1</t>
  </si>
  <si>
    <t>INTERMEDIATE 01</t>
  </si>
  <si>
    <t>NIRWAN SAPUTRA</t>
  </si>
  <si>
    <t>WT, KANBAN</t>
  </si>
  <si>
    <t>VIVI MUKHAVIDHO</t>
  </si>
  <si>
    <t>JM2-H-01, RYC-H-01</t>
  </si>
  <si>
    <t>INTERMEDIATE 02</t>
  </si>
  <si>
    <t>FUAD NUR ZAMAN</t>
  </si>
  <si>
    <t>JM2-H-01,RYC-H-02,KBN</t>
  </si>
  <si>
    <t>MC2-H-01,MC2-H-02,WT</t>
  </si>
  <si>
    <t>IRAWATI</t>
  </si>
  <si>
    <t>WIDYA PRATIWI</t>
  </si>
  <si>
    <t>PRE ASSY HONDA SOLENOID</t>
  </si>
  <si>
    <t>MC2-HDS-02</t>
  </si>
  <si>
    <t>DIANAJI TRIAS HUDAYA</t>
  </si>
  <si>
    <t>MC2-HDS-01,03</t>
  </si>
  <si>
    <t>EVA YUNANI</t>
  </si>
  <si>
    <t>OJT MC2-HDS-01, 03</t>
  </si>
  <si>
    <t>SITI RODHIYAH</t>
  </si>
  <si>
    <t>HENI KURNIASIH</t>
  </si>
  <si>
    <t>SETYO RINI</t>
  </si>
  <si>
    <t>PRE ASSY MAZDA ATENZA</t>
  </si>
  <si>
    <t>TRI ROCHANIYATI</t>
  </si>
  <si>
    <t>OPT-20</t>
  </si>
  <si>
    <t>OPT-35</t>
  </si>
  <si>
    <t>BM4-MZD-01</t>
  </si>
  <si>
    <t>RYC-MZD-02</t>
  </si>
  <si>
    <t>DIAN ANGGRAENI</t>
  </si>
  <si>
    <t>TWS-MZD-07</t>
  </si>
  <si>
    <t>SEFTI PURWANTI</t>
  </si>
  <si>
    <t>OPT-224</t>
  </si>
  <si>
    <t>DWI MEI NINGRUM</t>
  </si>
  <si>
    <t>TWS-MZD-04</t>
  </si>
  <si>
    <t>BM1-MZD-01</t>
  </si>
  <si>
    <t>ANA MAFTUKHAH</t>
  </si>
  <si>
    <t>FARAH HANUN SARY</t>
  </si>
  <si>
    <t>JM2-MZD-01</t>
  </si>
  <si>
    <t>DEWI GUSTIANINGSIH</t>
  </si>
  <si>
    <t>MC1-MZD-06, 07</t>
  </si>
  <si>
    <t>NUR FAIKA MAYYASARI</t>
  </si>
  <si>
    <t>MC2-MZD-03</t>
  </si>
  <si>
    <t>VINA ULFI SAFITRI ROHMAH</t>
  </si>
  <si>
    <t>TWS-MZD-02</t>
  </si>
  <si>
    <t>LILIS DITA PRATIWI</t>
  </si>
  <si>
    <t>MC1-MZD-04</t>
  </si>
  <si>
    <t>NOVA DWIYANI</t>
  </si>
  <si>
    <t>MC1-MZD-01</t>
  </si>
  <si>
    <t>BM4-MZD-03</t>
  </si>
  <si>
    <t>ADINDA PUTRI FAOZIZAH</t>
  </si>
  <si>
    <t>IDA NUR FITRIA</t>
  </si>
  <si>
    <t>MARIYANTI</t>
  </si>
  <si>
    <t>MC3-MZD-02</t>
  </si>
  <si>
    <t>MC1-MZD-05</t>
  </si>
  <si>
    <t>DRY-MZD-01</t>
  </si>
  <si>
    <t>DIAN NOFIANA</t>
  </si>
  <si>
    <t>TWS-MZD-05</t>
  </si>
  <si>
    <t xml:space="preserve">KITANA PUTRI </t>
  </si>
  <si>
    <t>JM2-MZD-02</t>
  </si>
  <si>
    <t>RIYA DHOTUL CHASANAH</t>
  </si>
  <si>
    <t>WT-MZD-01</t>
  </si>
  <si>
    <t>SANTI RIZKIANI ADIBA</t>
  </si>
  <si>
    <t>WT-MZD-03</t>
  </si>
  <si>
    <t>SITI KHOLIPAH</t>
  </si>
  <si>
    <t>MC1-MZD-02</t>
  </si>
  <si>
    <t>SELI WIDIASTUTI ANDRIANI</t>
  </si>
  <si>
    <t>MC1-MZD-03</t>
  </si>
  <si>
    <t>LILIK NURCHOLIDA</t>
  </si>
  <si>
    <t>MC3-MZD-03</t>
  </si>
  <si>
    <t>MEI NOVITA SARI</t>
  </si>
  <si>
    <t>SITI SOLEKHA</t>
  </si>
  <si>
    <t>BM4-MZD-04</t>
  </si>
  <si>
    <t>M23632</t>
  </si>
  <si>
    <t>ROBI UTOMO</t>
  </si>
  <si>
    <t>MC-MZD-01</t>
  </si>
  <si>
    <t>M23635</t>
  </si>
  <si>
    <t>SEPTI NURPRATIWI</t>
  </si>
  <si>
    <t>RYCM</t>
  </si>
  <si>
    <t>M23690</t>
  </si>
  <si>
    <t>IIN WIDYAWATI SAPITRI</t>
  </si>
  <si>
    <t>TWIST-MZD</t>
  </si>
  <si>
    <t>AINUN ATIKA</t>
  </si>
  <si>
    <t>ANIS KHOIRIAH</t>
  </si>
  <si>
    <t>WT-MZD-02</t>
  </si>
  <si>
    <t>DEVI PUJI ASTARI</t>
  </si>
  <si>
    <t>JM2-MZD-03, JM3-MZD-01</t>
  </si>
  <si>
    <t>KHIKMATUN ILMI</t>
  </si>
  <si>
    <t>MT-MZD-01, MC1-MZD-02</t>
  </si>
  <si>
    <t>YAYU TUNANIYAH</t>
  </si>
  <si>
    <t>TWS-MZD-06</t>
  </si>
  <si>
    <t>PURI FARTIKANING LISDIYANTI</t>
  </si>
  <si>
    <t>NADHIMATUL FIKRIYAH</t>
  </si>
  <si>
    <t>BM2-MZD-01</t>
  </si>
  <si>
    <t>DWI WIDYANINGSIH</t>
  </si>
  <si>
    <t>OJT JM-MZD-01</t>
  </si>
  <si>
    <t>FAIZATUL KHASANAH</t>
  </si>
  <si>
    <t>OJT TWS-MZD-01</t>
  </si>
  <si>
    <t>SARI RAHAYU</t>
  </si>
  <si>
    <t>JM2-MZD-01, 02</t>
  </si>
  <si>
    <t>WIWIN RAHAYU</t>
  </si>
  <si>
    <t>MC1-MZD-01, 02</t>
  </si>
  <si>
    <t>YESI NURWIANENGRUM</t>
  </si>
  <si>
    <t>RIQOTUL FUADAH</t>
  </si>
  <si>
    <t>TWS-MZD-01</t>
  </si>
  <si>
    <t>WULAN ZAGITA NINGRUM</t>
  </si>
  <si>
    <t>IDAYANA</t>
  </si>
  <si>
    <t>INDRI WULANDARI</t>
  </si>
  <si>
    <t>INTAN RAHAYU WIDYASWATI</t>
  </si>
  <si>
    <t>TWS-MZD-03</t>
  </si>
  <si>
    <t>SITI MASTUROH</t>
  </si>
  <si>
    <t>SITI NURCAHYANI</t>
  </si>
  <si>
    <t>SITI MUNAWAROH</t>
  </si>
  <si>
    <t>TWS</t>
  </si>
  <si>
    <t>MEILINA NURSANTI</t>
  </si>
  <si>
    <t>RYCEM</t>
  </si>
  <si>
    <t>WENI ISNAENI</t>
  </si>
  <si>
    <t>B01962</t>
  </si>
  <si>
    <t>DWI ANAFI</t>
  </si>
  <si>
    <t>BBF-075</t>
  </si>
  <si>
    <t>M23615</t>
  </si>
  <si>
    <t>DIAN PUTRI SEPTIANI</t>
  </si>
  <si>
    <t>M23638</t>
  </si>
  <si>
    <t>SITI JUWAEROH</t>
  </si>
  <si>
    <t>OJT TWIST-MZD</t>
  </si>
  <si>
    <t>ENI PUJI ASTUTI</t>
  </si>
  <si>
    <t>PRE ASSY MAZDA ATENZA CX-5</t>
  </si>
  <si>
    <t>WANTI LESTARI</t>
  </si>
  <si>
    <t>NAJIKHATUL MU'ALIFAH</t>
  </si>
  <si>
    <t>BM4-MZD-02</t>
  </si>
  <si>
    <t>NOVIANA ISFRIYANTI</t>
  </si>
  <si>
    <t>MC1-MZD-06</t>
  </si>
  <si>
    <t>SITI KHALIMATUS SADIYAH</t>
  </si>
  <si>
    <t>LENY SETYOWATI</t>
  </si>
  <si>
    <t>MC1-MZD-07</t>
  </si>
  <si>
    <t>RYC-MZD-01</t>
  </si>
  <si>
    <t>ADINDA PUTRI MAHARANI</t>
  </si>
  <si>
    <t>RISYA DEWI RAHMAWATI</t>
  </si>
  <si>
    <t>ANITA IDA LESTARI</t>
  </si>
  <si>
    <t>ZAHROTHUN NISA'</t>
  </si>
  <si>
    <t>WINARTI</t>
  </si>
  <si>
    <t>PRE ASSY SUZUKI Y0C</t>
  </si>
  <si>
    <t>TRI WADIAH</t>
  </si>
  <si>
    <t>TWS-SZK-01</t>
  </si>
  <si>
    <t>BM2-SZK-01</t>
  </si>
  <si>
    <t>NURUL OKTAVIANA</t>
  </si>
  <si>
    <t>MC2-SZK-01,02</t>
  </si>
  <si>
    <t>FITRI ARIANTI</t>
  </si>
  <si>
    <t>MANUAL CRIMPING</t>
  </si>
  <si>
    <t>TRIANI MELINAWATI</t>
  </si>
  <si>
    <t>MC-SZK-01</t>
  </si>
  <si>
    <t>ZULIKAH</t>
  </si>
  <si>
    <t>PRE ASSY SUZUKI YW0</t>
  </si>
  <si>
    <t>SETYARINI</t>
  </si>
  <si>
    <t>MC1-SZK-01, 02</t>
  </si>
  <si>
    <t xml:space="preserve">ENI RAHMAWATI </t>
  </si>
  <si>
    <t>ARR-01,02</t>
  </si>
  <si>
    <t>LILIS APRIYANTI</t>
  </si>
  <si>
    <t>OPT-507</t>
  </si>
  <si>
    <t>TWS-SZK-02</t>
  </si>
  <si>
    <t>RYC-SZK-01,02</t>
  </si>
  <si>
    <t>VENINA AGUSTINA</t>
  </si>
  <si>
    <t>MT, JT-SZK-01</t>
  </si>
  <si>
    <t>SISKA EMILIA</t>
  </si>
  <si>
    <t>TW-SZK-02</t>
  </si>
  <si>
    <t>MSU-SZK-01, MSY-SZK-01, SS70, DRY-SZK-01</t>
  </si>
  <si>
    <t>NAILI SYARIFAH</t>
  </si>
  <si>
    <t>JM2-SZK-01, 02, 03, 05, JM3-SZK-01</t>
  </si>
  <si>
    <t>RIZKI MAFTUKHA</t>
  </si>
  <si>
    <t>ICHA LAILATUL FITRIYANI</t>
  </si>
  <si>
    <t>MC2-SZK-04,05</t>
  </si>
  <si>
    <t>DEVI MARTIKA</t>
  </si>
  <si>
    <t>DEVY MEILANA LESTARI</t>
  </si>
  <si>
    <t>OJT JT + MT</t>
  </si>
  <si>
    <t>YUNITA TAZA SUCI RAHAYU</t>
  </si>
  <si>
    <t>OJT KANBAN</t>
  </si>
  <si>
    <t>BBF-113</t>
  </si>
  <si>
    <t>BM3-SZK-01,02</t>
  </si>
  <si>
    <t>M23631</t>
  </si>
  <si>
    <t>RIZKIYA LADHIFAH</t>
  </si>
  <si>
    <t xml:space="preserve">ZIYADATUL AMANAH </t>
  </si>
  <si>
    <t>KAMINI</t>
  </si>
  <si>
    <t>ENDAH AYU ANJARWATI</t>
  </si>
  <si>
    <t>JC2-SZK-01,02,03,05, JM3-SZK-01</t>
  </si>
  <si>
    <t>ELI RAHMAWATI</t>
  </si>
  <si>
    <t>ST22-SZK-01, US-SZK-01, 04</t>
  </si>
  <si>
    <t xml:space="preserve">RIZQI SUPRIHATIN </t>
  </si>
  <si>
    <t>MC2-SZK-01, 02</t>
  </si>
  <si>
    <t>NUR KHAYATI</t>
  </si>
  <si>
    <t>MT-SZK-01, JT-SZK-01 ( DIFABLE )</t>
  </si>
  <si>
    <t>MSU,MSY,SS70-SZK-01</t>
  </si>
  <si>
    <t>LUTFI YULIANI</t>
  </si>
  <si>
    <t>TWS-SZK-01, 02</t>
  </si>
  <si>
    <t>SARITA ADHAINI</t>
  </si>
  <si>
    <t>ARR-SZK-01</t>
  </si>
  <si>
    <t>TRI MUSTAFIYANI</t>
  </si>
  <si>
    <t>YUNI OKTAVIANI</t>
  </si>
  <si>
    <t>DIAH WAHYU FEBRIANTY</t>
  </si>
  <si>
    <t xml:space="preserve"> INSP PRE ASSY</t>
  </si>
  <si>
    <t>MAULIDA NUR SAFITRI</t>
  </si>
  <si>
    <t>MC3-SZK-01, MC2-SZK-03</t>
  </si>
  <si>
    <t>DEWI FATMAWATI</t>
  </si>
  <si>
    <t>ARI PURWANTI FARISKITIYANI</t>
  </si>
  <si>
    <t>BUNIYATI EKA SUCI</t>
  </si>
  <si>
    <t>OJT JM</t>
  </si>
  <si>
    <t>DITA AGUSTIN</t>
  </si>
  <si>
    <t>OJT MSU , DRY</t>
  </si>
  <si>
    <t>ZULIFAH</t>
  </si>
  <si>
    <t>DEWI SETYANINGSIH</t>
  </si>
  <si>
    <t>PRE ASSY TOYOTA HV</t>
  </si>
  <si>
    <t>BM3-T-01, US-T-01, ARR-T-01</t>
  </si>
  <si>
    <t>AFNA ARIFATUL SONIA</t>
  </si>
  <si>
    <t>SCH-T-01</t>
  </si>
  <si>
    <t>ROKATUN</t>
  </si>
  <si>
    <t>MC1-T-05</t>
  </si>
  <si>
    <t>SEKAR DEWI</t>
  </si>
  <si>
    <t>WULAN HIDAYASARI</t>
  </si>
  <si>
    <t xml:space="preserve">DINA YULIANA </t>
  </si>
  <si>
    <t>MC1-T-01,04,MC3-T-04</t>
  </si>
  <si>
    <t>BBF-061</t>
  </si>
  <si>
    <t>DRY-T-01, 02</t>
  </si>
  <si>
    <t>M23619</t>
  </si>
  <si>
    <t>EVA MAULINASARI</t>
  </si>
  <si>
    <t>ZULITA</t>
  </si>
  <si>
    <t>BM3-T-01, ARR-T-01, TWS-T-01</t>
  </si>
  <si>
    <t>LILIK FATULIYAH</t>
  </si>
  <si>
    <t>MC1-T-04, 05</t>
  </si>
  <si>
    <t>YESSI MAY SHELLA</t>
  </si>
  <si>
    <t>MC1-T-02, 01, 03</t>
  </si>
  <si>
    <t>RYC-TAC-01</t>
  </si>
  <si>
    <t>MELLY ISTIANI</t>
  </si>
  <si>
    <t>ANADIA AYU NURUL HIDAYAH</t>
  </si>
  <si>
    <t>SABILLA SITI MASULLA</t>
  </si>
  <si>
    <t>ASCH-T-01, DRY-T-01,02</t>
  </si>
  <si>
    <t>HAWANING TYAS</t>
  </si>
  <si>
    <t>ERNA TRI PRAHASTI</t>
  </si>
  <si>
    <t>PEMOTONG AMIZEN, RYC-T-01</t>
  </si>
  <si>
    <t>AINULLIVIA SEPTIANI</t>
  </si>
  <si>
    <t>PRE ASSY TOYOTA PRIUS</t>
  </si>
  <si>
    <t>TWS-T-01</t>
  </si>
  <si>
    <t>MONICA ADELIANI</t>
  </si>
  <si>
    <t xml:space="preserve">MC2-T-01 </t>
  </si>
  <si>
    <t>ZIDNI ILMA SAFITRI</t>
  </si>
  <si>
    <t>MC1-T-06</t>
  </si>
  <si>
    <t>AMINATUL LAILIYAH</t>
  </si>
  <si>
    <t xml:space="preserve"> KANBAN</t>
  </si>
  <si>
    <t xml:space="preserve"> WT</t>
  </si>
  <si>
    <t>ULFI LAELI MUFLIKHAH</t>
  </si>
  <si>
    <t>TRI HARYATI</t>
  </si>
  <si>
    <t>DANA KUMALA PRAMIS SHELLA</t>
  </si>
  <si>
    <t>MC2-T-01, US-T-03</t>
  </si>
  <si>
    <t>MEI SAPUTRI DIANA</t>
  </si>
  <si>
    <t>WT , KANBAN</t>
  </si>
  <si>
    <t>UMMI HANI IDDA MURNIASIH</t>
  </si>
  <si>
    <t>WT,KANBAN</t>
  </si>
  <si>
    <t>VERA MABRUROH</t>
  </si>
  <si>
    <t>VIVI NOVIA</t>
  </si>
  <si>
    <t>UST-03</t>
  </si>
  <si>
    <t>YUNI DIAH ASTUTI</t>
  </si>
  <si>
    <t>WINDARWATI ZURIYANTI</t>
  </si>
  <si>
    <t>PREGNANT LINE</t>
  </si>
  <si>
    <t>INSERT PLUG</t>
  </si>
  <si>
    <t>RIA LESTARINA</t>
  </si>
  <si>
    <t>WIRE SAMPLE</t>
  </si>
  <si>
    <t>ULIN NIKMAH</t>
  </si>
  <si>
    <t>PRD ADM</t>
  </si>
  <si>
    <t>ADMINISTRATION</t>
  </si>
  <si>
    <t>KUMIK ATI</t>
  </si>
  <si>
    <t>ADM-49</t>
  </si>
  <si>
    <t>PUTRI MEI ERAWATI</t>
  </si>
  <si>
    <t>OPT-399</t>
  </si>
  <si>
    <t>ERWIN DWI PAMUNGKAS</t>
  </si>
  <si>
    <t>ADMINISTRATION (INTREPETER)</t>
  </si>
  <si>
    <t>ASROFAH</t>
  </si>
  <si>
    <t>ETIK AMIYATI</t>
  </si>
  <si>
    <t>PRD LL</t>
  </si>
  <si>
    <t>BATERAY CABLE &amp; CV 30</t>
  </si>
  <si>
    <t>PRD LINE CHO ( REMAGANG )</t>
  </si>
  <si>
    <t>PRD LINE CHO</t>
  </si>
  <si>
    <t>MOCH. AGUS WIBOWO</t>
  </si>
  <si>
    <t>CPA CRV</t>
  </si>
  <si>
    <t>MEI DWI ASTUTI</t>
  </si>
  <si>
    <t>CPA DYNA &amp; C.TUBE</t>
  </si>
  <si>
    <t>RETNO PURWANTI</t>
  </si>
  <si>
    <t>ARIYANI</t>
  </si>
  <si>
    <t>CPA HONDA EXPORT</t>
  </si>
  <si>
    <t>WITJAYANTI</t>
  </si>
  <si>
    <t>PRD LINE CHO ( MAGANG )</t>
  </si>
  <si>
    <t>TRI PALUPI HANDAYANI</t>
  </si>
  <si>
    <t>YULIUS DIO GARUDA NUSANTARA</t>
  </si>
  <si>
    <t>CPA HV</t>
  </si>
  <si>
    <t>NAHDLOH</t>
  </si>
  <si>
    <t>SUNARNI</t>
  </si>
  <si>
    <t>CPA MAZDA</t>
  </si>
  <si>
    <t>DWI WIDIYANA</t>
  </si>
  <si>
    <t>OPT-2</t>
  </si>
  <si>
    <t>SARI SOESANTI</t>
  </si>
  <si>
    <t>CPA SUZUKI</t>
  </si>
  <si>
    <t>RIRIN HARINI</t>
  </si>
  <si>
    <t>WARTI</t>
  </si>
  <si>
    <t>ARIF ROHIM</t>
  </si>
  <si>
    <t>CV 10 &amp; CV 10B</t>
  </si>
  <si>
    <t>SITI BIYARTI</t>
  </si>
  <si>
    <t>CV 12 &amp; CV 19</t>
  </si>
  <si>
    <t>NUR KHOLIS</t>
  </si>
  <si>
    <t>KALISTIYAH</t>
  </si>
  <si>
    <t>HADIYANTI</t>
  </si>
  <si>
    <t>CHATARINA RETNO SUMARTI</t>
  </si>
  <si>
    <t>NINA RIA YUNITA</t>
  </si>
  <si>
    <t>YULI RISTIANI</t>
  </si>
  <si>
    <t>HENDAH HASTATI</t>
  </si>
  <si>
    <t>NIELA NURUL KHIKMAH</t>
  </si>
  <si>
    <t>WULAN INTANNIA R.</t>
  </si>
  <si>
    <t>ICHNAWATI</t>
  </si>
  <si>
    <t>CV 24, CV 29A, CV 29B</t>
  </si>
  <si>
    <t>ANITA WIDAYANTI</t>
  </si>
  <si>
    <t>ARUM MULIASARI</t>
  </si>
  <si>
    <t>ADITYA KURNIAWAN</t>
  </si>
  <si>
    <t>ES-56</t>
  </si>
  <si>
    <t>JULIATI</t>
  </si>
  <si>
    <t>RITA ERTA ARI WINARNI</t>
  </si>
  <si>
    <t>IIN YUNANI</t>
  </si>
  <si>
    <t>UJI UTAMI</t>
  </si>
  <si>
    <t>ARIL KHOMAH</t>
  </si>
  <si>
    <t>ARI TRI YANTO</t>
  </si>
  <si>
    <t>CV A08 &amp; CV A11</t>
  </si>
  <si>
    <t>JAMINAH</t>
  </si>
  <si>
    <t>CV A09, CV A10 &amp; CV A12</t>
  </si>
  <si>
    <t>SITI MASRIAH</t>
  </si>
  <si>
    <t>FEPTI CATUR WULANDARI</t>
  </si>
  <si>
    <t>LUSIA TRI WULANDARI</t>
  </si>
  <si>
    <t>RENY LESTARI</t>
  </si>
  <si>
    <t>WANTI</t>
  </si>
  <si>
    <t>VITA NURUL COMA</t>
  </si>
  <si>
    <t>CV HV 02 &amp; CV HV 13</t>
  </si>
  <si>
    <t>RENI OFARA</t>
  </si>
  <si>
    <t>ETIK APRIYANTI</t>
  </si>
  <si>
    <t>CV HV 03 &amp; CV HV 6</t>
  </si>
  <si>
    <t>DEWI MURWANTI</t>
  </si>
  <si>
    <t>SUPRIYATI</t>
  </si>
  <si>
    <t>CV HV 04, CV HV 12, CV HV 08 &amp; CV HV 11</t>
  </si>
  <si>
    <t>RIMA NOVIYATI</t>
  </si>
  <si>
    <t>MIRNA NINGSIH</t>
  </si>
  <si>
    <t>CV HV 05 &amp; CV HV 10</t>
  </si>
  <si>
    <t>ALPRI ZULINTIAS</t>
  </si>
  <si>
    <t>CV HV 07 &amp; CV HV 09</t>
  </si>
  <si>
    <t>SRI SUPARTINI</t>
  </si>
  <si>
    <t>HSPO &amp; PL</t>
  </si>
  <si>
    <t>YUNI LESTARI</t>
  </si>
  <si>
    <t>KONTROL MP MAGANG</t>
  </si>
  <si>
    <t>SITI LESTARI</t>
  </si>
  <si>
    <t>MAN POWER, OT, ADM</t>
  </si>
  <si>
    <t>BUDI PRASETYO</t>
  </si>
  <si>
    <t>PRD SPV</t>
  </si>
  <si>
    <t>COORD. SPV PRODUKSI</t>
  </si>
  <si>
    <t>FPI SPV</t>
  </si>
  <si>
    <t>NANANG YUDI PRASETYO</t>
  </si>
  <si>
    <t>JOKO PURWANTO</t>
  </si>
  <si>
    <t>WIHARYANTI</t>
  </si>
  <si>
    <t>CPA HONDA, HONDA SOLENOID DAN BC</t>
  </si>
  <si>
    <t>TAUFIK WIDHIANTO</t>
  </si>
  <si>
    <t>ALL HV, DYNA, CUTTING TUBE</t>
  </si>
  <si>
    <t>ARDI RISDIANTO</t>
  </si>
  <si>
    <t>MAZDA</t>
  </si>
  <si>
    <t>HONDA FIT, CITY, MTR BIKE, SMALLCAR, FREEDFIT, ACC</t>
  </si>
  <si>
    <t>PUDJI IDAYANI</t>
  </si>
  <si>
    <t>SUZUKI YW0, HONDA N-VAN</t>
  </si>
  <si>
    <t>PADMI LESTARI</t>
  </si>
  <si>
    <t>ADMIN, CUTTING PROJECT, HSPO &amp; PL</t>
  </si>
  <si>
    <t>NUR FARID</t>
  </si>
  <si>
    <t>ADMIN &amp; TRAINER</t>
  </si>
  <si>
    <t>HERLAMBANG DIAN INDRA PRAJA</t>
  </si>
  <si>
    <t>HINO DYNA, CUTTING TUBE</t>
  </si>
  <si>
    <t>PUDJI SRI SAPUTRI</t>
  </si>
  <si>
    <t>RAHMAT SAMUEL</t>
  </si>
  <si>
    <t>WIDODO PRASETIO</t>
  </si>
  <si>
    <t>ERYC SEPTIAN PRASETYA</t>
  </si>
  <si>
    <t>INSP</t>
  </si>
  <si>
    <t>GL PJK INSPECTION</t>
  </si>
  <si>
    <t>DWI SULISTYOWATI</t>
  </si>
  <si>
    <t>PJK INSP</t>
  </si>
  <si>
    <t>NANIK</t>
  </si>
  <si>
    <t>AGUS SAPUTRA</t>
  </si>
  <si>
    <t>SETIANINGSIH</t>
  </si>
  <si>
    <t>PITA JUNIANI</t>
  </si>
  <si>
    <t>ERNAWATI</t>
  </si>
  <si>
    <t>DEWI SUNDARI</t>
  </si>
  <si>
    <t>TRI WAHYUNI PUDJI RAHAYU</t>
  </si>
  <si>
    <t>RIYADUL KHASANAH</t>
  </si>
  <si>
    <t>RICHA LAILIA</t>
  </si>
  <si>
    <t>ROHMAT</t>
  </si>
  <si>
    <t>IKA YULIANI</t>
  </si>
  <si>
    <t>NAILATUL MAHMUDAH</t>
  </si>
  <si>
    <t>RISKI SAPUTRA</t>
  </si>
  <si>
    <t>HANA KUSUMAWARDANI</t>
  </si>
  <si>
    <t>SUNDARI</t>
  </si>
  <si>
    <t>NADHIFATUL MAULA</t>
  </si>
  <si>
    <t>LIPUR HIDAYAH</t>
  </si>
  <si>
    <t>PUJIATI</t>
  </si>
  <si>
    <t>YANI WIDIASTUTI</t>
  </si>
  <si>
    <t>DC</t>
  </si>
  <si>
    <t>B00927</t>
  </si>
  <si>
    <t>NURUL ISMILATUN ANISAH</t>
  </si>
  <si>
    <t>WIDYA NURMALITASARI</t>
  </si>
  <si>
    <t>ANISAH NURUL Q.</t>
  </si>
  <si>
    <t>ANIK SETYOWATI</t>
  </si>
  <si>
    <t>MUKHAYATI</t>
  </si>
  <si>
    <t>SUZUKI WAGON R, SUZUKI HUTSLER, HONDA CR-V</t>
  </si>
  <si>
    <t>SUZUKI</t>
  </si>
  <si>
    <t>CV 1, A03, A08, A10, A12</t>
  </si>
  <si>
    <t>GL INSPECTION</t>
  </si>
  <si>
    <t>MAS ENDI</t>
  </si>
  <si>
    <t>INAYATUL CHASANAH</t>
  </si>
  <si>
    <t>NIKMATUL MAGHFIROH</t>
  </si>
  <si>
    <t>LUVI OKVIANTI</t>
  </si>
  <si>
    <t>OPT-387</t>
  </si>
  <si>
    <t>NURUL KHASANAH</t>
  </si>
  <si>
    <t>HONDA MOTORBIKE, HONDA FIT, HONDA GRACE</t>
  </si>
  <si>
    <t>HONDA</t>
  </si>
  <si>
    <t>CV 10, 13, 17, B09</t>
  </si>
  <si>
    <t>B00428</t>
  </si>
  <si>
    <t>DWI ANGGAR SULISTYO</t>
  </si>
  <si>
    <t>NURUL KHOIRIYAH</t>
  </si>
  <si>
    <t>HONDA N-WAGON, HONDA FREED, HONDA CR-V</t>
  </si>
  <si>
    <t>CV 12, 19, 4, A11, A09</t>
  </si>
  <si>
    <t>B00085</t>
  </si>
  <si>
    <t>SUHESTI</t>
  </si>
  <si>
    <t>HONDA FIT WIRE HARN L CABIN</t>
  </si>
  <si>
    <t>SCANNER</t>
  </si>
  <si>
    <t>ANISAH TRI MURTININGSIH</t>
  </si>
  <si>
    <t>NURUL SEPTIYANI</t>
  </si>
  <si>
    <t>GL REWORK</t>
  </si>
  <si>
    <t>REWORK</t>
  </si>
  <si>
    <t>TRI RAHAYU</t>
  </si>
  <si>
    <t>INDARI FUJI HARYATI</t>
  </si>
  <si>
    <t>AFIK MUFARIDHO</t>
  </si>
  <si>
    <t>DYNA, MAZDA ATENZA</t>
  </si>
  <si>
    <t>CV 14, 16, A06, A07, A04</t>
  </si>
  <si>
    <t>NURWACHIDAH</t>
  </si>
  <si>
    <t>NUNUNG SETIARINI</t>
  </si>
  <si>
    <t>TITIK ROKHMAYANTI</t>
  </si>
  <si>
    <t>SUTIYAH</t>
  </si>
  <si>
    <t>MUFARIKHAH</t>
  </si>
  <si>
    <t>DWI OCTA L.</t>
  </si>
  <si>
    <t>ACHMAD BAEHAQI</t>
  </si>
  <si>
    <t>DC (TRANSFER)</t>
  </si>
  <si>
    <t>FARIDA NUR KHASANAH</t>
  </si>
  <si>
    <t>DYAH ARYANI</t>
  </si>
  <si>
    <t>ARDANANG PRATAMA</t>
  </si>
  <si>
    <t>ANI DWI SETYONINGSIH</t>
  </si>
  <si>
    <t>HONDA N WAGON</t>
  </si>
  <si>
    <t>TUTI ISNAWATI</t>
  </si>
  <si>
    <t>SITI ANISAH</t>
  </si>
  <si>
    <t>DWI RETNONINGSIH</t>
  </si>
  <si>
    <t>IQBAL NOVA RIZALDI</t>
  </si>
  <si>
    <t>LATIF NUR CAHYO</t>
  </si>
  <si>
    <t>WINASIH</t>
  </si>
  <si>
    <t>HONDA SOLENOID, HONDA FIT, HONDA VEZEL, HONDA ACCURA, HONDA N-VAN, BC</t>
  </si>
  <si>
    <t>CV 24, 29A, 29B, 30, B01, BC</t>
  </si>
  <si>
    <t>SITI JUWARYATI</t>
  </si>
  <si>
    <t>NUR LAILY FARIKHA</t>
  </si>
  <si>
    <t>NUR ALIMATUS SA'ADAH</t>
  </si>
  <si>
    <t>VERAWATI</t>
  </si>
  <si>
    <t>MUAYANAH</t>
  </si>
  <si>
    <t>SILMA MULIANA</t>
  </si>
  <si>
    <t>ERNA YUNIANTI</t>
  </si>
  <si>
    <t>OPT-378</t>
  </si>
  <si>
    <t>SITI CHOMSATUN</t>
  </si>
  <si>
    <t>LINDA WULANDARI</t>
  </si>
  <si>
    <t>AIDATUL FAIZAH</t>
  </si>
  <si>
    <t>ANA ULUL AZMI</t>
  </si>
  <si>
    <t>UTAMI</t>
  </si>
  <si>
    <t>BODORIYAH</t>
  </si>
  <si>
    <t>SITI NUR CHOLIFAH</t>
  </si>
  <si>
    <t>PANDU DWI SATRIO</t>
  </si>
  <si>
    <t>INDAH LUKIYATI</t>
  </si>
  <si>
    <t xml:space="preserve">DEASY PUPUT HANDAYANI </t>
  </si>
  <si>
    <t>EKA SINTYA DEWI</t>
  </si>
  <si>
    <t>RISSA MAULANA</t>
  </si>
  <si>
    <t>MUHAMMAD MUGHNI LABIB</t>
  </si>
  <si>
    <t>SUTINI</t>
  </si>
  <si>
    <t>ZAKIYATUL FITRIA</t>
  </si>
  <si>
    <t>MEI DAYANTI</t>
  </si>
  <si>
    <t>ERIKA PUTRI WULANSARI</t>
  </si>
  <si>
    <t>B00966</t>
  </si>
  <si>
    <t>SANTI TRI HASTUTI</t>
  </si>
  <si>
    <t>EKA SURYANI</t>
  </si>
  <si>
    <t>DWI NUR AFNI RATNA SUSILOWATI</t>
  </si>
  <si>
    <t xml:space="preserve">SRI WULANDARI </t>
  </si>
  <si>
    <t>OPT-496</t>
  </si>
  <si>
    <t>SEFIRA AULIA KHASHANA</t>
  </si>
  <si>
    <t>LAILI PUJI ANAFI</t>
  </si>
  <si>
    <t>DWI INDARYANI</t>
  </si>
  <si>
    <t>YULI SETIAWATI</t>
  </si>
  <si>
    <t>SUDARWATI</t>
  </si>
  <si>
    <t>MAZDA J72</t>
  </si>
  <si>
    <t>UMI RAHAYU</t>
  </si>
  <si>
    <t>SRI ARNI ENTI</t>
  </si>
  <si>
    <t>NIAS ALMA PUTRI UTARI</t>
  </si>
  <si>
    <t>KURNIA DEWI NOPIYANI HASIBUAN</t>
  </si>
  <si>
    <t>HARTINI</t>
  </si>
  <si>
    <t>NURUL SYAMSIYAH HANDAYANI</t>
  </si>
  <si>
    <t>SELVIANA DEWI</t>
  </si>
  <si>
    <t>VIKRIANA</t>
  </si>
  <si>
    <t>DWI ASTUTI</t>
  </si>
  <si>
    <t>TRI RATIH SETIYAWATI</t>
  </si>
  <si>
    <t>VIVA FITRIYAH</t>
  </si>
  <si>
    <t>SRI SUDARYANI</t>
  </si>
  <si>
    <t>NURUL FATONAH</t>
  </si>
  <si>
    <t>SOFIATUN</t>
  </si>
  <si>
    <t>SEKAR ASIH AMBARSARI</t>
  </si>
  <si>
    <t>DWI ASIHANTI</t>
  </si>
  <si>
    <t>ESTHI SEPTIARINI</t>
  </si>
  <si>
    <t>PUJI TRISNIATI</t>
  </si>
  <si>
    <t>RAHANI</t>
  </si>
  <si>
    <t>FIFIANA ELFA N</t>
  </si>
  <si>
    <t>NOVI ANIKMATUL ADZIMAH</t>
  </si>
  <si>
    <t>ARYO BAGUS WIBOWO</t>
  </si>
  <si>
    <t>MUJI ASIH</t>
  </si>
  <si>
    <t>NURUL KHAFIDAH</t>
  </si>
  <si>
    <t>ANIK MARYANI</t>
  </si>
  <si>
    <t>HELLIN DEWI RIZQIYAH</t>
  </si>
  <si>
    <t>LATIPAH</t>
  </si>
  <si>
    <t>DINA JUMIATUN</t>
  </si>
  <si>
    <t>DEA MASFILDA</t>
  </si>
  <si>
    <t>TRI APRILIANINGRUM</t>
  </si>
  <si>
    <t>SITI ITASARI</t>
  </si>
  <si>
    <t>DWI SETIYANI</t>
  </si>
  <si>
    <t>ARIFIANA IMROATUL HAQUE</t>
  </si>
  <si>
    <t>SOFIYANTI</t>
  </si>
  <si>
    <t>DEWI AYANI</t>
  </si>
  <si>
    <t>ISATUN</t>
  </si>
  <si>
    <t>PUTRI ESTIANA</t>
  </si>
  <si>
    <t>FARIDATUL RAHMAWATI</t>
  </si>
  <si>
    <t>NOBELA ISA OSELA</t>
  </si>
  <si>
    <t>ALVI HERIYANTI</t>
  </si>
  <si>
    <t>OPT-108</t>
  </si>
  <si>
    <t>WILIS MARISANING WULAN</t>
  </si>
  <si>
    <t>MUSYAHADHATI ISTIGHOTSAH</t>
  </si>
  <si>
    <t>FINA PRATIWI</t>
  </si>
  <si>
    <t>HONDA FIT SHUTTLE</t>
  </si>
  <si>
    <t>LILIA SETYOASIH</t>
  </si>
  <si>
    <t>SELLI WULAN LARASWATI</t>
  </si>
  <si>
    <t xml:space="preserve">ADRIYA NITAMI </t>
  </si>
  <si>
    <t>SITI MAFTUKHAH ZULFAH</t>
  </si>
  <si>
    <t>NISAUL CHOIRIYAH</t>
  </si>
  <si>
    <t>KARINA FITRA CAHAYA</t>
  </si>
  <si>
    <t>FINAL T2, V2, X2</t>
  </si>
  <si>
    <t>FINAL W2, U2</t>
  </si>
  <si>
    <t>SITI ULIYAH</t>
  </si>
  <si>
    <t>FINAL X1, X3</t>
  </si>
  <si>
    <t>BAGUS KRISTANTO</t>
  </si>
  <si>
    <t>SITI ISTIQOMAH</t>
  </si>
  <si>
    <t>ANA ISNAINI R</t>
  </si>
  <si>
    <t>DIAN WIDIANTO</t>
  </si>
  <si>
    <t>B01913</t>
  </si>
  <si>
    <t>SISKA RAHMAWATI</t>
  </si>
  <si>
    <t>BBF-071</t>
  </si>
  <si>
    <t>B00314</t>
  </si>
  <si>
    <t>MEIRATARI MARACHITA</t>
  </si>
  <si>
    <t>FINAL T2</t>
  </si>
  <si>
    <t>FINAL X2</t>
  </si>
  <si>
    <t xml:space="preserve">NILA KURNIAWATI </t>
  </si>
  <si>
    <t>FINAL X1</t>
  </si>
  <si>
    <t>SARI MUNAWATI</t>
  </si>
  <si>
    <t>AGUSTYA IKA SARI</t>
  </si>
  <si>
    <t>NENSI WIDYAWATI</t>
  </si>
  <si>
    <t>ARIYATUN</t>
  </si>
  <si>
    <t>FIFI HANDAYANTI</t>
  </si>
  <si>
    <t>EVI KURNIASARI</t>
  </si>
  <si>
    <t>WARSINI</t>
  </si>
  <si>
    <t>MUHAMMAD FAUZI</t>
  </si>
  <si>
    <t>NURAINI FITRI</t>
  </si>
  <si>
    <t>MOH.LIZA WIDIANTO</t>
  </si>
  <si>
    <t>ROBIATUN</t>
  </si>
  <si>
    <t>OPT-330</t>
  </si>
  <si>
    <t>AGUSTINA DEWI WIJAYANTI</t>
  </si>
  <si>
    <t>WARLIN FITRIYANI</t>
  </si>
  <si>
    <t>FINAL T0</t>
  </si>
  <si>
    <t>NADYA KURNIA LARAS MITHA</t>
  </si>
  <si>
    <t>OPT-440</t>
  </si>
  <si>
    <t>CV HV 07B</t>
  </si>
  <si>
    <t>EKA PRATIWI</t>
  </si>
  <si>
    <t>SARI KARYANI</t>
  </si>
  <si>
    <t>CHECKER + VISUAL + FINAL</t>
  </si>
  <si>
    <t>MUNADHIROH</t>
  </si>
  <si>
    <t>OPT-340</t>
  </si>
  <si>
    <t>ARINA FAOZIAH</t>
  </si>
  <si>
    <t>LAMIK NADHIFAH</t>
  </si>
  <si>
    <t>LAILATUN NASRIYAH</t>
  </si>
  <si>
    <t>RISKA LAILIYAH</t>
  </si>
  <si>
    <t>RATNA ROSANTI</t>
  </si>
  <si>
    <t>HV TOYOTA AC</t>
  </si>
  <si>
    <t>KHIKMAH</t>
  </si>
  <si>
    <t>PENI LUSIANA</t>
  </si>
  <si>
    <t>KHOTIBUL UMAM</t>
  </si>
  <si>
    <t>KHOERUN NISA</t>
  </si>
  <si>
    <t>YENI YUNIAWATI</t>
  </si>
  <si>
    <t>JUMIATI</t>
  </si>
  <si>
    <t>NINA BUDIYATI</t>
  </si>
  <si>
    <t>FARIDAH</t>
  </si>
  <si>
    <t>DESI ARIYANI</t>
  </si>
  <si>
    <t>SITI WAHYUNI</t>
  </si>
  <si>
    <t>HV TOYOTA AC 14PL</t>
  </si>
  <si>
    <t>HV TESTER , VIS &amp; PACKING</t>
  </si>
  <si>
    <t>FITRI DIAN PERTIWI</t>
  </si>
  <si>
    <t>SRI WINDARI</t>
  </si>
  <si>
    <t>FINAL U2</t>
  </si>
  <si>
    <t>MEI SETYANINGSIH</t>
  </si>
  <si>
    <t>FARIDATUL AULIYAH</t>
  </si>
  <si>
    <t>UMI AZIZAH</t>
  </si>
  <si>
    <t>MUHAMMAD SYAMSUL MU'ARIF</t>
  </si>
  <si>
    <t>OPT-571</t>
  </si>
  <si>
    <t>B01016</t>
  </si>
  <si>
    <t>ERNA RISTIOWATI</t>
  </si>
  <si>
    <t>OPT-345</t>
  </si>
  <si>
    <t>DEVI RINJANI</t>
  </si>
  <si>
    <t>ANDRI SUPRAPTI</t>
  </si>
  <si>
    <t>RITA UTAMI</t>
  </si>
  <si>
    <t>CV HV02, HV03, HV06, HV07, HV13</t>
  </si>
  <si>
    <t>CATUR KUMALA DEWI</t>
  </si>
  <si>
    <t>IRMA TRI WAHYUNINGRUM</t>
  </si>
  <si>
    <t>HV HONDA, HV NISSAN</t>
  </si>
  <si>
    <t>CV HV04, HV05, HV08, HV09, HV10, HV11, HV12</t>
  </si>
  <si>
    <t>UMI KHOLIFAH</t>
  </si>
  <si>
    <t>MUTIAH</t>
  </si>
  <si>
    <t>SITI RUSLIANA DEWI</t>
  </si>
  <si>
    <t>INSP TENSILE</t>
  </si>
  <si>
    <t>TENSILE TEST</t>
  </si>
  <si>
    <t>B00956</t>
  </si>
  <si>
    <t>AYU SILFIANI</t>
  </si>
  <si>
    <t>SITI NUR FITRIYAH</t>
  </si>
  <si>
    <t>ULFA ARBA'ATUL HIDAYAH</t>
  </si>
  <si>
    <t>NUR ASIYAH</t>
  </si>
  <si>
    <t>JAZIROH</t>
  </si>
  <si>
    <t>RANTI ARISTIYANI</t>
  </si>
  <si>
    <t>BBF-026</t>
  </si>
  <si>
    <t>AMBAR LIR TIMAS</t>
  </si>
  <si>
    <t>TENSILE</t>
  </si>
  <si>
    <t>ROSA SOFIYARANI</t>
  </si>
  <si>
    <t>ELIS SUWARTINI</t>
  </si>
  <si>
    <t>PPAP</t>
  </si>
  <si>
    <t>HDR - ES TEST</t>
  </si>
  <si>
    <t>RINI LISTIANINGSIH</t>
  </si>
  <si>
    <t>MITA RATNANINGSIH</t>
  </si>
  <si>
    <t>MUGI HAYUNINGATY</t>
  </si>
  <si>
    <t>SITI ASROFAH</t>
  </si>
  <si>
    <t>GL PPAP</t>
  </si>
  <si>
    <t>NILA MUNANA</t>
  </si>
  <si>
    <t>NURUL FITRIANI</t>
  </si>
  <si>
    <t>MARIYANI</t>
  </si>
  <si>
    <t>ENDAH NURLITA SARI</t>
  </si>
  <si>
    <t>IKA FATMAWATI</t>
  </si>
  <si>
    <t>FATIHAH</t>
  </si>
  <si>
    <t>QA ADM</t>
  </si>
  <si>
    <t>ERMA LATIFAH</t>
  </si>
  <si>
    <t>ATIK KRISTIYANTI</t>
  </si>
  <si>
    <t>QA LL</t>
  </si>
  <si>
    <t>KHOLIS HARIADI</t>
  </si>
  <si>
    <t>ES-57</t>
  </si>
  <si>
    <t>SUSANTO</t>
  </si>
  <si>
    <t>MUNHAMIR</t>
  </si>
  <si>
    <t>TUTUS ANA SUSANTI</t>
  </si>
  <si>
    <t>MAGANG LL</t>
  </si>
  <si>
    <t>IRAWAN RAHARDIANTO</t>
  </si>
  <si>
    <t>ES-44</t>
  </si>
  <si>
    <t>EKO SETYO PUTRO</t>
  </si>
  <si>
    <t>QA SPV</t>
  </si>
  <si>
    <t>QA COORD SPV</t>
  </si>
  <si>
    <t>COORD SPV QA</t>
  </si>
  <si>
    <t>ARY SUSANTO</t>
  </si>
  <si>
    <t>SPV SUZUKI WAGON R, SUZUKI HUTSLER, HONDA CR-V, HONDA FREED, HONDA N-WAGON</t>
  </si>
  <si>
    <t>DARMUJI</t>
  </si>
  <si>
    <t>SPV QS, DYNA, MAZDA</t>
  </si>
  <si>
    <t>HENDRIA AYUNITA SAPUTRA</t>
  </si>
  <si>
    <t>SPV HONDA FIT, VEZEL, GRACE, ACCURA, SOLENOID, BC</t>
  </si>
  <si>
    <t>AGIL ZHEGA PRASETYA</t>
  </si>
  <si>
    <t>SPV RCV, ALL HV</t>
  </si>
  <si>
    <t>QS</t>
  </si>
  <si>
    <t>TKN-67</t>
  </si>
  <si>
    <t>VINA SETIYANINGSIH</t>
  </si>
  <si>
    <t>ES-73</t>
  </si>
  <si>
    <t>RETNONINGSIH</t>
  </si>
  <si>
    <t>RCV</t>
  </si>
  <si>
    <t>RCV - CANDI</t>
  </si>
  <si>
    <t>SAMPLING &amp; CHECK 100%</t>
  </si>
  <si>
    <t>HINDUN MEILANI</t>
  </si>
  <si>
    <t>JOKO PAMUNGKAS S.N</t>
  </si>
  <si>
    <t>SUWARNO</t>
  </si>
  <si>
    <t>GL RECEIVING</t>
  </si>
  <si>
    <t>DESTIYA WERDI HASTARI</t>
  </si>
  <si>
    <t>ZHAWIN NIKMAH</t>
  </si>
  <si>
    <t>PUTRI TRAPSILO</t>
  </si>
  <si>
    <t>PRIMA ARDITYA FITRIANA PUTRI</t>
  </si>
  <si>
    <t>KHUSNIYAH</t>
  </si>
  <si>
    <t>AYU FATMALA</t>
  </si>
  <si>
    <t>AYU ASRIYATUN</t>
  </si>
  <si>
    <t>DESTIANA MIRTHASARI</t>
  </si>
  <si>
    <t>AGUS SHIDIQ PRAWOTO</t>
  </si>
  <si>
    <t>DARYANTI</t>
  </si>
  <si>
    <t>SUSI SOFIYANTI</t>
  </si>
  <si>
    <t>INDAH LISTARI</t>
  </si>
  <si>
    <t>OJT TWS</t>
  </si>
  <si>
    <t>PUPUT NOVITASARI</t>
  </si>
  <si>
    <t>RISKA AYU MARSELA</t>
  </si>
  <si>
    <t>OJT ST</t>
  </si>
  <si>
    <t>SITI SOLEKHAH</t>
  </si>
  <si>
    <t>Invoice ditagihakan di bulan Juli 2019</t>
  </si>
  <si>
    <r>
      <t xml:space="preserve">DATA </t>
    </r>
    <r>
      <rPr>
        <b/>
        <sz val="26"/>
        <rFont val="Algerian"/>
        <family val="5"/>
      </rPr>
      <t>YAKULT</t>
    </r>
    <r>
      <rPr>
        <b/>
        <sz val="20"/>
        <rFont val="Calibri"/>
        <family val="2"/>
        <scheme val="minor"/>
      </rPr>
      <t xml:space="preserve"> PEMAKAIAN BULAN JULI 2019</t>
    </r>
  </si>
  <si>
    <t>01 - 07 JULI 2019</t>
  </si>
  <si>
    <t>08 - 14 JULI 2019</t>
  </si>
  <si>
    <t>15 - 21 JULI 2019</t>
  </si>
  <si>
    <t>22 - 28 JULI 2019</t>
  </si>
  <si>
    <t>29 JULI - 4 AGUSTUS 2019</t>
  </si>
  <si>
    <r>
      <rPr>
        <b/>
        <sz val="9"/>
        <color theme="0" tint="-0.499984740745262"/>
        <rFont val="Calibri"/>
        <family val="2"/>
        <scheme val="minor"/>
      </rPr>
      <t>KOPSAMI-KW/201908/VIII-080</t>
    </r>
    <r>
      <rPr>
        <b/>
        <sz val="9"/>
        <rFont val="Calibri"/>
        <family val="2"/>
        <scheme val="minor"/>
      </rPr>
      <t xml:space="preserve">
KOPSAMI-KW/201909/IX-106</t>
    </r>
  </si>
  <si>
    <r>
      <rPr>
        <b/>
        <sz val="9"/>
        <color theme="0" tint="-0.499984740745262"/>
        <rFont val="Calibri"/>
        <family val="2"/>
        <scheme val="minor"/>
      </rPr>
      <t>KOPSAMI-KW/201908/VIII-082</t>
    </r>
    <r>
      <rPr>
        <b/>
        <sz val="9"/>
        <rFont val="Calibri"/>
        <family val="2"/>
        <scheme val="minor"/>
      </rPr>
      <t xml:space="preserve">
KOPSAMI-KW/201909/IX-107</t>
    </r>
  </si>
  <si>
    <r>
      <rPr>
        <b/>
        <sz val="9"/>
        <color theme="0" tint="-0.499984740745262"/>
        <rFont val="Calibri"/>
        <family val="2"/>
        <scheme val="minor"/>
      </rPr>
      <t>KOPSAMI-KW/201908/VIII-087</t>
    </r>
    <r>
      <rPr>
        <b/>
        <sz val="9"/>
        <rFont val="Calibri"/>
        <family val="2"/>
        <scheme val="minor"/>
      </rPr>
      <t xml:space="preserve">
KOPSAMI-KW/201909/IX-108</t>
    </r>
  </si>
  <si>
    <r>
      <rPr>
        <b/>
        <sz val="9"/>
        <color theme="0" tint="-0.499984740745262"/>
        <rFont val="Calibri"/>
        <family val="2"/>
        <scheme val="minor"/>
      </rPr>
      <t>KOPSAMI-KW/201907/VII-090</t>
    </r>
    <r>
      <rPr>
        <b/>
        <sz val="9"/>
        <rFont val="Calibri"/>
        <family val="2"/>
        <scheme val="minor"/>
      </rPr>
      <t xml:space="preserve">
KOPSAMI-KW/2019/IX-109</t>
    </r>
  </si>
  <si>
    <t>QTY</t>
  </si>
  <si>
    <r>
      <t xml:space="preserve">DATA </t>
    </r>
    <r>
      <rPr>
        <b/>
        <sz val="26"/>
        <rFont val="Algerian"/>
        <family val="5"/>
      </rPr>
      <t xml:space="preserve">SUSU </t>
    </r>
    <r>
      <rPr>
        <b/>
        <sz val="20"/>
        <rFont val="Calibri"/>
        <family val="2"/>
        <scheme val="minor"/>
      </rPr>
      <t>PEMAKAIAN BULAN JULI 2020</t>
    </r>
  </si>
  <si>
    <t>29 Jun- 5 Jul 2020</t>
  </si>
  <si>
    <t>6 Jul- 12 Jul 2020</t>
  </si>
  <si>
    <t>13 Jul-19 Jul 2020</t>
  </si>
  <si>
    <t>20-26 Jul 2020</t>
  </si>
  <si>
    <t xml:space="preserve">TOTAL </t>
  </si>
  <si>
    <r>
      <t xml:space="preserve">DATA </t>
    </r>
    <r>
      <rPr>
        <b/>
        <sz val="26"/>
        <rFont val="Algerian"/>
        <family val="5"/>
      </rPr>
      <t xml:space="preserve">SUSU </t>
    </r>
    <r>
      <rPr>
        <b/>
        <sz val="20"/>
        <rFont val="Calibri"/>
        <family val="2"/>
        <scheme val="minor"/>
      </rPr>
      <t xml:space="preserve">PEMAKAIAN BULAN AGUSTUS </t>
    </r>
  </si>
  <si>
    <t>SUMMARY PEMBELIAN SUSU DAN YAKULT TERM 79</t>
  </si>
  <si>
    <t>BULAN</t>
  </si>
  <si>
    <t>JML HARI</t>
  </si>
  <si>
    <t xml:space="preserve">AVERAGE PER HARI </t>
  </si>
  <si>
    <t xml:space="preserve">HARGA </t>
  </si>
  <si>
    <t>JML</t>
  </si>
  <si>
    <t>JULI</t>
  </si>
  <si>
    <t>AGST</t>
  </si>
  <si>
    <t>SEPT</t>
  </si>
  <si>
    <t>OKT</t>
  </si>
  <si>
    <t>NOV</t>
  </si>
  <si>
    <t>DES</t>
  </si>
  <si>
    <t>JAN</t>
  </si>
  <si>
    <t>FEB</t>
  </si>
  <si>
    <t>MAR</t>
  </si>
  <si>
    <t>APRIL</t>
  </si>
  <si>
    <t xml:space="preserve">MEI </t>
  </si>
  <si>
    <t xml:space="preserve">JUN </t>
  </si>
  <si>
    <t>AVERAGE PER HARI</t>
  </si>
  <si>
    <t>Qty (order)</t>
  </si>
  <si>
    <t>Qty (Actual )</t>
  </si>
  <si>
    <t xml:space="preserve">PT. YAKULT INDONESIA PERSADA </t>
  </si>
  <si>
    <t>Invoice ditagihakan di bulan Juli 2020</t>
  </si>
  <si>
    <r>
      <t xml:space="preserve">DATA </t>
    </r>
    <r>
      <rPr>
        <b/>
        <sz val="26"/>
        <rFont val="Algerian"/>
        <family val="5"/>
      </rPr>
      <t>YAKULT</t>
    </r>
    <r>
      <rPr>
        <b/>
        <sz val="20"/>
        <rFont val="Calibri"/>
        <family val="2"/>
        <scheme val="minor"/>
      </rPr>
      <t xml:space="preserve"> PEMAKAIAN BULAN JULI 2020</t>
    </r>
  </si>
  <si>
    <t>KOPSAMI-KW/202007/VII-247</t>
  </si>
  <si>
    <t xml:space="preserve">STOK DARI YAKULT </t>
  </si>
  <si>
    <t>NOMOR PO</t>
  </si>
  <si>
    <t>Sisa Qty</t>
  </si>
  <si>
    <t>Pembagian</t>
  </si>
  <si>
    <t>Order</t>
  </si>
  <si>
    <t>Plan Pembagian</t>
  </si>
  <si>
    <t>4-9 Agus 2020</t>
  </si>
  <si>
    <t>Sisa Stok</t>
  </si>
  <si>
    <r>
      <t xml:space="preserve">DATA </t>
    </r>
    <r>
      <rPr>
        <b/>
        <sz val="26"/>
        <rFont val="Algerian"/>
        <family val="5"/>
      </rPr>
      <t>YAKULT</t>
    </r>
    <r>
      <rPr>
        <b/>
        <sz val="20"/>
        <rFont val="Calibri"/>
        <family val="2"/>
        <scheme val="minor"/>
      </rPr>
      <t xml:space="preserve"> PEMAKAIAN BULAN AGUSTUS 2020</t>
    </r>
  </si>
  <si>
    <t>10-15 Agust 2020</t>
  </si>
  <si>
    <t>24-28 Agust 2020</t>
  </si>
  <si>
    <t>Invoice ditagihakan di bulan Agustus 2020</t>
  </si>
  <si>
    <t>Invoice ditagihakan di bulan Agust 2020</t>
  </si>
  <si>
    <r>
      <t xml:space="preserve">DATA </t>
    </r>
    <r>
      <rPr>
        <b/>
        <sz val="26"/>
        <rFont val="Algerian"/>
        <family val="5"/>
      </rPr>
      <t xml:space="preserve">SUSU </t>
    </r>
    <r>
      <rPr>
        <b/>
        <sz val="20"/>
        <rFont val="Calibri"/>
        <family val="2"/>
        <scheme val="minor"/>
      </rPr>
      <t>PEMAKAIAN BULAN AGUST 2020</t>
    </r>
  </si>
  <si>
    <t>3 Agust- 9 Agust 20</t>
  </si>
  <si>
    <t>10-16 Agust 20</t>
  </si>
  <si>
    <t>27 Jul-2 Agust 20</t>
  </si>
  <si>
    <t>STOK KOPERASI 8/12/2020</t>
  </si>
  <si>
    <t>17-23 Agust 20</t>
  </si>
  <si>
    <t>24-30 Agust 20</t>
  </si>
  <si>
    <t>31 Agust-6 Sept 20</t>
  </si>
  <si>
    <t>7-13 Sept 20</t>
  </si>
  <si>
    <t>14-20 Sept 2020</t>
  </si>
  <si>
    <t>21-27 Sept 2020</t>
  </si>
  <si>
    <t>YIP-2008-</t>
  </si>
  <si>
    <t>28-30 Sept 20</t>
  </si>
  <si>
    <t>Invoice ditagihkan di bulan September 2020</t>
  </si>
  <si>
    <r>
      <t xml:space="preserve">DATA </t>
    </r>
    <r>
      <rPr>
        <b/>
        <sz val="26"/>
        <rFont val="Algerian"/>
        <family val="5"/>
      </rPr>
      <t xml:space="preserve">SUSU </t>
    </r>
    <r>
      <rPr>
        <b/>
        <sz val="20"/>
        <rFont val="Calibri"/>
        <family val="2"/>
        <scheme val="minor"/>
      </rPr>
      <t>PEMAKAIAN BULAN SEPT 2020</t>
    </r>
  </si>
  <si>
    <t>Pembagian Qty 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</si>
</sst>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_-* #,##0_-;\-* #,##0_-;_-* &quot;-&quot;_-;_-@_-"/>
    <numFmt numFmtId="165" formatCode="[$-409]d\-mmm;@"/>
    <numFmt numFmtId="166" formatCode="_-[$Rp-421]* #,##0_ ;_-[$Rp-421]* \-#,##0\ ;_-[$Rp-421]* &quot;-&quot;_ ;_-@_ "/>
    <numFmt numFmtId="167" formatCode="0000"/>
    <numFmt numFmtId="168" formatCode="[$-409]dd\-mmm\-yy;@"/>
    <numFmt numFmtId="169" formatCode="dd/mm/yyyy;@"/>
    <numFmt numFmtId="170" formatCode="_(* #,##0_);_(* \(#,##0\);_(* &quot;-&quot;??_);_(@_)"/>
    <numFmt numFmtId="171" formatCode="_-[$Rp-421]* #,##0_-;\-[$Rp-421]* #,##0_-;_-[$Rp-421]* &quot;-&quot;_-;_-@_-"/>
    <numFmt numFmtId="172" formatCode="_-[$Rp-421]* #,##0.00_ ;_-[$Rp-421]* \-#,##0.00\ ;_-[$Rp-421]* &quot;-&quot;_ ;_-@_ "/>
  </numFmts>
  <fonts count="32">
    <font>
      <sz val="11"/>
      <color theme="1"/>
      <name val="Calibri"/>
      <family val="2"/>
      <charset val="128"/>
      <scheme val="minor"/>
    </font>
    <font>
      <sz val="10"/>
      <color theme="9" tint="-0.499984740745262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i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28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name val="Arial Unicode MS"/>
      <family val="2"/>
    </font>
    <font>
      <b/>
      <sz val="10"/>
      <name val="Calibri"/>
      <family val="2"/>
      <scheme val="minor"/>
    </font>
    <font>
      <i/>
      <sz val="9"/>
      <name val="Arial Unicode MS"/>
      <family val="2"/>
    </font>
    <font>
      <b/>
      <sz val="26"/>
      <name val="Algerian"/>
      <family val="5"/>
    </font>
    <font>
      <i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name val="Berlin Sans FB Demi"/>
      <family val="2"/>
    </font>
    <font>
      <b/>
      <sz val="25"/>
      <name val="Berlin Sans FB Demi"/>
      <family val="2"/>
    </font>
    <font>
      <b/>
      <sz val="9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5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AFDD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DashDot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5" fillId="0" borderId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94">
    <xf numFmtId="0" fontId="0" fillId="0" borderId="0" xfId="0"/>
    <xf numFmtId="165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/>
    <xf numFmtId="0" fontId="3" fillId="0" borderId="1" xfId="1" applyBorder="1" applyAlignment="1">
      <alignment horizontal="left"/>
    </xf>
    <xf numFmtId="0" fontId="3" fillId="0" borderId="0" xfId="1"/>
    <xf numFmtId="0" fontId="3" fillId="0" borderId="0" xfId="1" applyAlignment="1">
      <alignment horizontal="center" vertical="center"/>
    </xf>
    <xf numFmtId="0" fontId="3" fillId="0" borderId="0" xfId="1" applyAlignment="1">
      <alignment horizontal="left"/>
    </xf>
    <xf numFmtId="14" fontId="3" fillId="0" borderId="0" xfId="1" applyNumberFormat="1"/>
    <xf numFmtId="167" fontId="6" fillId="5" borderId="1" xfId="1" applyNumberFormat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168" fontId="6" fillId="5" borderId="1" xfId="1" applyNumberFormat="1" applyFont="1" applyFill="1" applyBorder="1" applyAlignment="1">
      <alignment horizontal="center" vertical="center"/>
    </xf>
    <xf numFmtId="167" fontId="4" fillId="7" borderId="1" xfId="1" applyNumberFormat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left" vertical="center"/>
    </xf>
    <xf numFmtId="0" fontId="4" fillId="7" borderId="1" xfId="1" applyFont="1" applyFill="1" applyBorder="1" applyAlignment="1">
      <alignment horizontal="center" vertical="center"/>
    </xf>
    <xf numFmtId="168" fontId="4" fillId="7" borderId="1" xfId="1" applyNumberFormat="1" applyFont="1" applyFill="1" applyBorder="1" applyAlignment="1">
      <alignment horizontal="center" vertical="center"/>
    </xf>
    <xf numFmtId="167" fontId="4" fillId="8" borderId="1" xfId="1" applyNumberFormat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left" vertical="center"/>
    </xf>
    <xf numFmtId="0" fontId="4" fillId="8" borderId="1" xfId="1" applyFont="1" applyFill="1" applyBorder="1" applyAlignment="1">
      <alignment horizontal="center" vertical="center"/>
    </xf>
    <xf numFmtId="168" fontId="4" fillId="8" borderId="1" xfId="1" applyNumberFormat="1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/>
    </xf>
    <xf numFmtId="168" fontId="4" fillId="0" borderId="1" xfId="1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vertical="center"/>
    </xf>
    <xf numFmtId="9" fontId="4" fillId="0" borderId="1" xfId="1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9" fontId="4" fillId="0" borderId="1" xfId="1" applyNumberFormat="1" applyFont="1" applyFill="1" applyBorder="1" applyAlignment="1">
      <alignment horizontal="left" vertical="center"/>
    </xf>
    <xf numFmtId="168" fontId="8" fillId="0" borderId="1" xfId="1" applyNumberFormat="1" applyFont="1" applyFill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center" vertical="center"/>
    </xf>
    <xf numFmtId="168" fontId="4" fillId="2" borderId="1" xfId="1" applyNumberFormat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167" fontId="4" fillId="10" borderId="1" xfId="1" applyNumberFormat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168" fontId="4" fillId="10" borderId="1" xfId="1" applyNumberFormat="1" applyFont="1" applyFill="1" applyBorder="1" applyAlignment="1">
      <alignment horizontal="center" vertical="center"/>
    </xf>
    <xf numFmtId="9" fontId="4" fillId="10" borderId="1" xfId="1" applyNumberFormat="1" applyFont="1" applyFill="1" applyBorder="1" applyAlignment="1">
      <alignment horizontal="center" vertical="center"/>
    </xf>
    <xf numFmtId="167" fontId="4" fillId="11" borderId="1" xfId="1" applyNumberFormat="1" applyFont="1" applyFill="1" applyBorder="1" applyAlignment="1">
      <alignment horizontal="center" vertical="center"/>
    </xf>
    <xf numFmtId="0" fontId="4" fillId="11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center" vertical="center"/>
    </xf>
    <xf numFmtId="168" fontId="4" fillId="11" borderId="1" xfId="1" applyNumberFormat="1" applyFont="1" applyFill="1" applyBorder="1" applyAlignment="1">
      <alignment horizontal="center" vertical="center"/>
    </xf>
    <xf numFmtId="9" fontId="4" fillId="11" borderId="1" xfId="1" applyNumberFormat="1" applyFont="1" applyFill="1" applyBorder="1" applyAlignment="1">
      <alignment horizontal="center" vertical="center"/>
    </xf>
    <xf numFmtId="167" fontId="4" fillId="12" borderId="1" xfId="1" applyNumberFormat="1" applyFont="1" applyFill="1" applyBorder="1" applyAlignment="1">
      <alignment horizontal="center" vertical="center"/>
    </xf>
    <xf numFmtId="0" fontId="4" fillId="12" borderId="1" xfId="1" applyFont="1" applyFill="1" applyBorder="1" applyAlignment="1">
      <alignment horizontal="left" vertical="center"/>
    </xf>
    <xf numFmtId="0" fontId="4" fillId="12" borderId="1" xfId="1" applyFont="1" applyFill="1" applyBorder="1" applyAlignment="1">
      <alignment horizontal="center" vertical="center"/>
    </xf>
    <xf numFmtId="168" fontId="4" fillId="12" borderId="1" xfId="1" applyNumberFormat="1" applyFont="1" applyFill="1" applyBorder="1" applyAlignment="1">
      <alignment horizontal="center" vertical="center"/>
    </xf>
    <xf numFmtId="167" fontId="4" fillId="13" borderId="1" xfId="1" applyNumberFormat="1" applyFont="1" applyFill="1" applyBorder="1" applyAlignment="1">
      <alignment horizontal="center" vertical="center"/>
    </xf>
    <xf numFmtId="0" fontId="4" fillId="13" borderId="1" xfId="1" applyFont="1" applyFill="1" applyBorder="1" applyAlignment="1">
      <alignment vertical="center"/>
    </xf>
    <xf numFmtId="0" fontId="4" fillId="13" borderId="1" xfId="1" applyFont="1" applyFill="1" applyBorder="1" applyAlignment="1">
      <alignment horizontal="center" vertical="center"/>
    </xf>
    <xf numFmtId="168" fontId="4" fillId="13" borderId="1" xfId="1" applyNumberFormat="1" applyFont="1" applyFill="1" applyBorder="1" applyAlignment="1">
      <alignment horizontal="center" vertical="center"/>
    </xf>
    <xf numFmtId="9" fontId="4" fillId="13" borderId="1" xfId="1" applyNumberFormat="1" applyFont="1" applyFill="1" applyBorder="1" applyAlignment="1">
      <alignment horizontal="center" vertical="center"/>
    </xf>
    <xf numFmtId="14" fontId="4" fillId="13" borderId="1" xfId="1" applyNumberFormat="1" applyFont="1" applyFill="1" applyBorder="1" applyAlignment="1">
      <alignment horizontal="center" vertical="center"/>
    </xf>
    <xf numFmtId="167" fontId="4" fillId="14" borderId="1" xfId="1" applyNumberFormat="1" applyFont="1" applyFill="1" applyBorder="1" applyAlignment="1">
      <alignment horizontal="center" vertical="center"/>
    </xf>
    <xf numFmtId="0" fontId="4" fillId="14" borderId="1" xfId="1" applyFont="1" applyFill="1" applyBorder="1" applyAlignment="1">
      <alignment vertical="center"/>
    </xf>
    <xf numFmtId="0" fontId="4" fillId="14" borderId="1" xfId="1" applyFont="1" applyFill="1" applyBorder="1" applyAlignment="1">
      <alignment horizontal="center" vertical="center"/>
    </xf>
    <xf numFmtId="168" fontId="4" fillId="14" borderId="1" xfId="1" applyNumberFormat="1" applyFont="1" applyFill="1" applyBorder="1" applyAlignment="1">
      <alignment horizontal="center" vertical="center"/>
    </xf>
    <xf numFmtId="9" fontId="4" fillId="14" borderId="1" xfId="1" applyNumberFormat="1" applyFont="1" applyFill="1" applyBorder="1" applyAlignment="1">
      <alignment horizontal="center" vertical="center"/>
    </xf>
    <xf numFmtId="14" fontId="4" fillId="14" borderId="1" xfId="1" applyNumberFormat="1" applyFont="1" applyFill="1" applyBorder="1" applyAlignment="1">
      <alignment horizontal="center" vertical="center"/>
    </xf>
    <xf numFmtId="167" fontId="4" fillId="15" borderId="1" xfId="1" applyNumberFormat="1" applyFont="1" applyFill="1" applyBorder="1" applyAlignment="1">
      <alignment horizontal="center" vertical="center"/>
    </xf>
    <xf numFmtId="9" fontId="4" fillId="15" borderId="1" xfId="1" applyNumberFormat="1" applyFont="1" applyFill="1" applyBorder="1" applyAlignment="1">
      <alignment horizontal="left" vertical="center"/>
    </xf>
    <xf numFmtId="9" fontId="4" fillId="15" borderId="1" xfId="1" applyNumberFormat="1" applyFont="1" applyFill="1" applyBorder="1" applyAlignment="1">
      <alignment horizontal="center" vertical="center"/>
    </xf>
    <xf numFmtId="168" fontId="4" fillId="15" borderId="1" xfId="1" applyNumberFormat="1" applyFont="1" applyFill="1" applyBorder="1" applyAlignment="1">
      <alignment horizontal="center" vertical="center"/>
    </xf>
    <xf numFmtId="14" fontId="4" fillId="15" borderId="1" xfId="1" applyNumberFormat="1" applyFont="1" applyFill="1" applyBorder="1" applyAlignment="1">
      <alignment horizontal="center" vertical="center"/>
    </xf>
    <xf numFmtId="167" fontId="4" fillId="16" borderId="1" xfId="1" applyNumberFormat="1" applyFont="1" applyFill="1" applyBorder="1" applyAlignment="1">
      <alignment horizontal="center" vertical="center"/>
    </xf>
    <xf numFmtId="9" fontId="4" fillId="16" borderId="1" xfId="1" applyNumberFormat="1" applyFont="1" applyFill="1" applyBorder="1" applyAlignment="1">
      <alignment horizontal="left" vertical="center"/>
    </xf>
    <xf numFmtId="9" fontId="4" fillId="16" borderId="1" xfId="1" applyNumberFormat="1" applyFont="1" applyFill="1" applyBorder="1" applyAlignment="1">
      <alignment horizontal="center" vertical="center"/>
    </xf>
    <xf numFmtId="168" fontId="4" fillId="16" borderId="1" xfId="1" applyNumberFormat="1" applyFont="1" applyFill="1" applyBorder="1" applyAlignment="1">
      <alignment horizontal="center" vertical="center"/>
    </xf>
    <xf numFmtId="0" fontId="4" fillId="16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1" fontId="4" fillId="0" borderId="1" xfId="2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4" fillId="0" borderId="1" xfId="3" applyFont="1" applyFill="1" applyBorder="1" applyAlignment="1">
      <alignment horizontal="center" vertical="center"/>
    </xf>
    <xf numFmtId="168" fontId="4" fillId="0" borderId="1" xfId="4" applyNumberFormat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67" fontId="4" fillId="0" borderId="1" xfId="1" applyNumberFormat="1" applyFont="1" applyFill="1" applyBorder="1" applyAlignment="1">
      <alignment horizontal="left" vertical="center"/>
    </xf>
    <xf numFmtId="0" fontId="4" fillId="0" borderId="1" xfId="5" applyFont="1" applyFill="1" applyBorder="1" applyAlignment="1">
      <alignment horizontal="left" vertical="center"/>
    </xf>
    <xf numFmtId="0" fontId="4" fillId="0" borderId="1" xfId="5" applyFont="1" applyFill="1" applyBorder="1" applyAlignment="1">
      <alignment horizontal="center" vertical="center"/>
    </xf>
    <xf numFmtId="169" fontId="4" fillId="0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66" fontId="13" fillId="2" borderId="1" xfId="0" applyNumberFormat="1" applyFont="1" applyFill="1" applyBorder="1" applyAlignment="1">
      <alignment horizontal="center" vertical="center"/>
    </xf>
    <xf numFmtId="166" fontId="13" fillId="4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4" xfId="0" applyFont="1" applyBorder="1" applyAlignment="1">
      <alignment horizontal="left" vertical="center"/>
    </xf>
    <xf numFmtId="164" fontId="15" fillId="0" borderId="0" xfId="6" applyFont="1" applyAlignment="1">
      <alignment horizontal="left" vertical="center"/>
    </xf>
    <xf numFmtId="165" fontId="12" fillId="0" borderId="0" xfId="0" applyNumberFormat="1" applyFont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165" fontId="12" fillId="0" borderId="0" xfId="0" applyNumberFormat="1" applyFont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0" fontId="0" fillId="0" borderId="0" xfId="7" applyNumberFormat="1" applyFont="1" applyAlignment="1">
      <alignment horizontal="center"/>
    </xf>
    <xf numFmtId="171" fontId="0" fillId="0" borderId="0" xfId="0" applyNumberFormat="1"/>
    <xf numFmtId="1" fontId="0" fillId="0" borderId="0" xfId="0" applyNumberFormat="1" applyAlignment="1">
      <alignment horizontal="center"/>
    </xf>
    <xf numFmtId="170" fontId="0" fillId="0" borderId="0" xfId="7" applyNumberFormat="1" applyFont="1"/>
    <xf numFmtId="171" fontId="0" fillId="0" borderId="0" xfId="7" applyNumberFormat="1" applyFont="1"/>
    <xf numFmtId="1" fontId="0" fillId="0" borderId="7" xfId="0" applyNumberFormat="1" applyBorder="1" applyAlignment="1">
      <alignment horizontal="center"/>
    </xf>
    <xf numFmtId="170" fontId="0" fillId="0" borderId="7" xfId="7" applyNumberFormat="1" applyFont="1" applyBorder="1" applyAlignment="1">
      <alignment horizontal="center"/>
    </xf>
    <xf numFmtId="171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71" fontId="0" fillId="0" borderId="9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/>
    <xf numFmtId="170" fontId="0" fillId="0" borderId="5" xfId="7" applyNumberFormat="1" applyFont="1" applyBorder="1" applyAlignment="1">
      <alignment horizontal="center"/>
    </xf>
    <xf numFmtId="171" fontId="0" fillId="0" borderId="5" xfId="0" applyNumberFormat="1" applyBorder="1"/>
    <xf numFmtId="171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70" fontId="0" fillId="0" borderId="5" xfId="7" applyNumberFormat="1" applyFont="1" applyBorder="1"/>
    <xf numFmtId="170" fontId="0" fillId="0" borderId="14" xfId="7" applyNumberFormat="1" applyFont="1" applyBorder="1"/>
    <xf numFmtId="171" fontId="0" fillId="0" borderId="14" xfId="7" applyNumberFormat="1" applyFont="1" applyBorder="1"/>
    <xf numFmtId="1" fontId="0" fillId="0" borderId="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170" fontId="0" fillId="0" borderId="1" xfId="7" applyNumberFormat="1" applyFont="1" applyBorder="1" applyAlignment="1">
      <alignment horizontal="center"/>
    </xf>
    <xf numFmtId="171" fontId="0" fillId="0" borderId="1" xfId="0" applyNumberFormat="1" applyBorder="1"/>
    <xf numFmtId="1" fontId="0" fillId="0" borderId="1" xfId="0" applyNumberFormat="1" applyBorder="1" applyAlignment="1">
      <alignment horizontal="center"/>
    </xf>
    <xf numFmtId="170" fontId="0" fillId="0" borderId="1" xfId="7" applyNumberFormat="1" applyFont="1" applyBorder="1"/>
    <xf numFmtId="170" fontId="0" fillId="0" borderId="6" xfId="7" applyNumberFormat="1" applyFont="1" applyBorder="1"/>
    <xf numFmtId="171" fontId="0" fillId="0" borderId="6" xfId="7" applyNumberFormat="1" applyFont="1" applyBorder="1"/>
    <xf numFmtId="0" fontId="0" fillId="0" borderId="16" xfId="0" applyBorder="1" applyAlignment="1">
      <alignment horizontal="center"/>
    </xf>
    <xf numFmtId="0" fontId="0" fillId="0" borderId="2" xfId="0" applyBorder="1"/>
    <xf numFmtId="170" fontId="0" fillId="0" borderId="2" xfId="7" applyNumberFormat="1" applyFont="1" applyBorder="1" applyAlignment="1">
      <alignment horizontal="center"/>
    </xf>
    <xf numFmtId="171" fontId="0" fillId="0" borderId="2" xfId="0" applyNumberFormat="1" applyBorder="1"/>
    <xf numFmtId="1" fontId="0" fillId="0" borderId="2" xfId="0" applyNumberFormat="1" applyBorder="1" applyAlignment="1">
      <alignment horizontal="center"/>
    </xf>
    <xf numFmtId="170" fontId="0" fillId="0" borderId="2" xfId="7" applyNumberFormat="1" applyFont="1" applyBorder="1"/>
    <xf numFmtId="170" fontId="0" fillId="0" borderId="17" xfId="7" applyNumberFormat="1" applyFont="1" applyBorder="1"/>
    <xf numFmtId="171" fontId="0" fillId="0" borderId="17" xfId="7" applyNumberFormat="1" applyFont="1" applyBorder="1"/>
    <xf numFmtId="0" fontId="25" fillId="0" borderId="20" xfId="0" applyFont="1" applyBorder="1" applyAlignment="1">
      <alignment horizontal="center"/>
    </xf>
    <xf numFmtId="170" fontId="25" fillId="0" borderId="20" xfId="7" applyNumberFormat="1" applyFont="1" applyBorder="1" applyAlignment="1">
      <alignment horizontal="center"/>
    </xf>
    <xf numFmtId="171" fontId="25" fillId="0" borderId="20" xfId="0" applyNumberFormat="1" applyFont="1" applyBorder="1"/>
    <xf numFmtId="1" fontId="25" fillId="0" borderId="20" xfId="0" applyNumberFormat="1" applyFont="1" applyBorder="1" applyAlignment="1">
      <alignment horizontal="center"/>
    </xf>
    <xf numFmtId="171" fontId="25" fillId="0" borderId="21" xfId="7" applyNumberFormat="1" applyFont="1" applyBorder="1"/>
    <xf numFmtId="43" fontId="0" fillId="0" borderId="0" xfId="7" applyNumberFormat="1" applyFont="1"/>
    <xf numFmtId="43" fontId="0" fillId="0" borderId="0" xfId="7" applyFont="1" applyAlignment="1">
      <alignment horizontal="center"/>
    </xf>
    <xf numFmtId="166" fontId="13" fillId="0" borderId="1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/>
    </xf>
    <xf numFmtId="166" fontId="13" fillId="0" borderId="1" xfId="0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172" fontId="2" fillId="0" borderId="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1" fontId="2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vertical="center" wrapText="1"/>
    </xf>
    <xf numFmtId="0" fontId="2" fillId="0" borderId="3" xfId="0" quotePrefix="1" applyFont="1" applyBorder="1" applyAlignment="1">
      <alignment vertical="center" wrapText="1"/>
    </xf>
    <xf numFmtId="0" fontId="2" fillId="0" borderId="5" xfId="0" quotePrefix="1" applyFont="1" applyBorder="1" applyAlignment="1">
      <alignment vertical="center" wrapText="1"/>
    </xf>
    <xf numFmtId="165" fontId="13" fillId="4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23" fillId="4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7" fillId="0" borderId="1" xfId="0" applyNumberFormat="1" applyFont="1" applyBorder="1" applyAlignment="1">
      <alignment horizontal="left" vertical="center"/>
    </xf>
    <xf numFmtId="165" fontId="29" fillId="0" borderId="1" xfId="0" applyNumberFormat="1" applyFont="1" applyBorder="1" applyAlignment="1">
      <alignment horizontal="left" vertical="center"/>
    </xf>
    <xf numFmtId="165" fontId="29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  <xf numFmtId="1" fontId="23" fillId="3" borderId="1" xfId="0" applyNumberFormat="1" applyFont="1" applyFill="1" applyBorder="1" applyAlignment="1">
      <alignment horizontal="center" vertical="center"/>
    </xf>
    <xf numFmtId="1" fontId="23" fillId="4" borderId="1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65" fontId="30" fillId="0" borderId="1" xfId="0" applyNumberFormat="1" applyFont="1" applyBorder="1" applyAlignment="1">
      <alignment horizontal="left" vertical="center"/>
    </xf>
    <xf numFmtId="165" fontId="30" fillId="0" borderId="1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left" vertical="center"/>
    </xf>
    <xf numFmtId="0" fontId="20" fillId="0" borderId="0" xfId="0" applyFont="1" applyFill="1" applyAlignment="1">
      <alignment horizontal="center" vertical="center"/>
    </xf>
    <xf numFmtId="1" fontId="19" fillId="0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31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left" vertical="center"/>
    </xf>
    <xf numFmtId="0" fontId="0" fillId="0" borderId="1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25" fillId="0" borderId="18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23" fillId="3" borderId="1" xfId="0" applyFont="1" applyFill="1" applyBorder="1" applyAlignment="1">
      <alignment horizontal="center" vertical="center"/>
    </xf>
    <xf numFmtId="1" fontId="23" fillId="3" borderId="1" xfId="0" applyNumberFormat="1" applyFont="1" applyFill="1" applyBorder="1" applyAlignment="1">
      <alignment horizontal="center" vertical="center"/>
    </xf>
    <xf numFmtId="0" fontId="23" fillId="3" borderId="1" xfId="0" applyNumberFormat="1" applyFont="1" applyFill="1" applyBorder="1" applyAlignment="1">
      <alignment horizontal="center" vertical="center"/>
    </xf>
    <xf numFmtId="166" fontId="23" fillId="3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5" xfId="0" quotePrefix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/>
    </xf>
    <xf numFmtId="166" fontId="13" fillId="0" borderId="3" xfId="0" applyNumberFormat="1" applyFont="1" applyBorder="1" applyAlignment="1">
      <alignment horizontal="center" vertical="center"/>
    </xf>
    <xf numFmtId="166" fontId="13" fillId="0" borderId="5" xfId="0" applyNumberFormat="1" applyFont="1" applyBorder="1" applyAlignment="1">
      <alignment horizontal="center" vertical="center"/>
    </xf>
    <xf numFmtId="165" fontId="12" fillId="0" borderId="0" xfId="0" applyNumberFormat="1" applyFont="1" applyBorder="1" applyAlignment="1">
      <alignment horizontal="center" vertical="center"/>
    </xf>
    <xf numFmtId="165" fontId="18" fillId="0" borderId="0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65" fontId="13" fillId="2" borderId="1" xfId="0" applyNumberFormat="1" applyFont="1" applyFill="1" applyBorder="1" applyAlignment="1">
      <alignment horizontal="center" vertical="center"/>
    </xf>
    <xf numFmtId="1" fontId="19" fillId="2" borderId="1" xfId="0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1" fontId="15" fillId="0" borderId="5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1" fontId="19" fillId="0" borderId="2" xfId="0" applyNumberFormat="1" applyFont="1" applyFill="1" applyBorder="1" applyAlignment="1">
      <alignment horizontal="center" vertical="center"/>
    </xf>
    <xf numFmtId="1" fontId="19" fillId="0" borderId="3" xfId="0" applyNumberFormat="1" applyFont="1" applyFill="1" applyBorder="1" applyAlignment="1">
      <alignment horizontal="center" vertical="center"/>
    </xf>
    <xf numFmtId="1" fontId="19" fillId="0" borderId="5" xfId="0" applyNumberFormat="1" applyFont="1" applyFill="1" applyBorder="1" applyAlignment="1">
      <alignment horizontal="center" vertical="center"/>
    </xf>
    <xf numFmtId="166" fontId="13" fillId="0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/>
    </xf>
    <xf numFmtId="165" fontId="13" fillId="2" borderId="5" xfId="0" applyNumberFormat="1" applyFont="1" applyFill="1" applyBorder="1" applyAlignment="1">
      <alignment horizontal="center" vertical="center"/>
    </xf>
    <xf numFmtId="1" fontId="19" fillId="4" borderId="6" xfId="0" applyNumberFormat="1" applyFont="1" applyFill="1" applyBorder="1" applyAlignment="1">
      <alignment horizontal="center" vertical="center"/>
    </xf>
    <xf numFmtId="1" fontId="19" fillId="4" borderId="23" xfId="0" applyNumberFormat="1" applyFont="1" applyFill="1" applyBorder="1" applyAlignment="1">
      <alignment horizontal="center" vertical="center"/>
    </xf>
    <xf numFmtId="1" fontId="19" fillId="4" borderId="22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165" fontId="13" fillId="4" borderId="1" xfId="0" applyNumberFormat="1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1" fontId="23" fillId="4" borderId="1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>
      <alignment horizontal="center" vertical="center"/>
    </xf>
    <xf numFmtId="166" fontId="23" fillId="4" borderId="1" xfId="0" applyNumberFormat="1" applyFont="1" applyFill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" fontId="19" fillId="2" borderId="1" xfId="0" applyNumberFormat="1" applyFont="1" applyFill="1" applyBorder="1" applyAlignment="1">
      <alignment horizontal="center" vertical="center" wrapText="1"/>
    </xf>
  </cellXfs>
  <cellStyles count="8">
    <cellStyle name="Comma" xfId="7" builtinId="3"/>
    <cellStyle name="Comma [0]" xfId="6" builtinId="6"/>
    <cellStyle name="Normal" xfId="0" builtinId="0"/>
    <cellStyle name="Normal 2" xfId="1"/>
    <cellStyle name="Normal 2 13" xfId="2"/>
    <cellStyle name="Normal 2 14" xfId="3"/>
    <cellStyle name="Normal 2 15" xfId="4"/>
    <cellStyle name="Normal_NEOP TGL 27 DES  2010" xfId="5"/>
  </cellStyles>
  <dxfs count="4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-05/AppData/Local/Microsoft/Windows/Temporary%20Internet%20Files/Content.Outlook/FBMQ0Y5N/MP%20SUSU%20P%20JANUARI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 susu januari 2019"/>
      <sheetName val="MP"/>
      <sheetName val="Sheet1"/>
      <sheetName val="MP (2)"/>
    </sheetNames>
    <sheetDataSet>
      <sheetData sheetId="0"/>
      <sheetData sheetId="1">
        <row r="1">
          <cell r="A1" t="str">
            <v>NIK</v>
          </cell>
          <cell r="B1" t="str">
            <v>NAMA</v>
          </cell>
          <cell r="C1" t="str">
            <v>LOKASI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PASI JOB NAME</v>
          </cell>
          <cell r="O1" t="str">
            <v>SHIFT</v>
          </cell>
        </row>
        <row r="2">
          <cell r="A2">
            <v>21273</v>
          </cell>
          <cell r="B2" t="str">
            <v>HIROSHI YAMASHITA</v>
          </cell>
          <cell r="C2" t="str">
            <v>SAMI</v>
          </cell>
          <cell r="D2" t="str">
            <v>SPV UP</v>
          </cell>
          <cell r="E2">
            <v>43007</v>
          </cell>
          <cell r="F2" t="str">
            <v>-</v>
          </cell>
          <cell r="G2" t="str">
            <v>-</v>
          </cell>
          <cell r="H2" t="str">
            <v>PGA</v>
          </cell>
          <cell r="I2" t="str">
            <v>MANAGEMENT</v>
          </cell>
          <cell r="J2" t="str">
            <v>ALL</v>
          </cell>
          <cell r="K2" t="str">
            <v>ALL</v>
          </cell>
          <cell r="L2" t="str">
            <v>MANAGEMENT</v>
          </cell>
          <cell r="M2" t="str">
            <v>PRESDIR</v>
          </cell>
          <cell r="N2" t="str">
            <v>P.DIR</v>
          </cell>
          <cell r="O2" t="str">
            <v>A (NS)</v>
          </cell>
        </row>
        <row r="3">
          <cell r="A3">
            <v>16955</v>
          </cell>
          <cell r="B3" t="str">
            <v>TAKASHI SEZAKI</v>
          </cell>
          <cell r="C3" t="str">
            <v>SAMI</v>
          </cell>
          <cell r="D3" t="str">
            <v>SPV UP</v>
          </cell>
          <cell r="E3">
            <v>41736</v>
          </cell>
          <cell r="F3" t="str">
            <v>-</v>
          </cell>
          <cell r="G3" t="str">
            <v>-</v>
          </cell>
          <cell r="H3" t="str">
            <v>LOG</v>
          </cell>
          <cell r="I3" t="str">
            <v>MANAGEMENT</v>
          </cell>
          <cell r="J3" t="str">
            <v>ALL</v>
          </cell>
          <cell r="K3" t="str">
            <v>ALL</v>
          </cell>
          <cell r="L3" t="str">
            <v>MANAGEMENT</v>
          </cell>
          <cell r="M3" t="str">
            <v>SENIOR MANAGER LOG</v>
          </cell>
          <cell r="N3" t="str">
            <v>MGR FPS</v>
          </cell>
          <cell r="O3" t="str">
            <v>A (NS)</v>
          </cell>
        </row>
        <row r="4">
          <cell r="A4">
            <v>17684</v>
          </cell>
          <cell r="B4" t="str">
            <v>SHINJI MASUDA</v>
          </cell>
          <cell r="C4" t="str">
            <v>SAMI</v>
          </cell>
          <cell r="D4" t="str">
            <v>SPV UP</v>
          </cell>
          <cell r="E4">
            <v>41795</v>
          </cell>
          <cell r="F4" t="str">
            <v>-</v>
          </cell>
          <cell r="G4" t="str">
            <v>-</v>
          </cell>
          <cell r="H4" t="str">
            <v>QA</v>
          </cell>
          <cell r="I4" t="str">
            <v>MANAGEMENT</v>
          </cell>
          <cell r="J4" t="str">
            <v>ALL</v>
          </cell>
          <cell r="K4" t="str">
            <v>ALL</v>
          </cell>
          <cell r="L4" t="str">
            <v>MANAGEMENT</v>
          </cell>
          <cell r="M4" t="str">
            <v>SENIOR MANAGER PD &amp; QA</v>
          </cell>
          <cell r="N4" t="str">
            <v>MGR FPS</v>
          </cell>
          <cell r="O4" t="str">
            <v>A (NS)</v>
          </cell>
        </row>
        <row r="5">
          <cell r="A5">
            <v>19463</v>
          </cell>
          <cell r="B5" t="str">
            <v>HISAYOSHI HAMAGAWA</v>
          </cell>
          <cell r="C5" t="str">
            <v>SAMI</v>
          </cell>
          <cell r="D5" t="str">
            <v>SPV UP</v>
          </cell>
          <cell r="E5">
            <v>42431</v>
          </cell>
          <cell r="F5" t="str">
            <v>-</v>
          </cell>
          <cell r="G5" t="str">
            <v>-</v>
          </cell>
          <cell r="H5" t="str">
            <v>PP</v>
          </cell>
          <cell r="I5" t="str">
            <v>MANAGEMENT</v>
          </cell>
          <cell r="J5" t="str">
            <v>ALL</v>
          </cell>
          <cell r="K5" t="str">
            <v>ALL</v>
          </cell>
          <cell r="L5" t="str">
            <v>MANAGEMENT</v>
          </cell>
          <cell r="M5" t="str">
            <v>SENIOR MANAGER PP</v>
          </cell>
          <cell r="N5" t="str">
            <v>MGR FPS</v>
          </cell>
          <cell r="O5" t="str">
            <v>A (NS)</v>
          </cell>
        </row>
        <row r="6">
          <cell r="A6">
            <v>19717</v>
          </cell>
          <cell r="B6" t="str">
            <v>TAKASHI NAGAMORI</v>
          </cell>
          <cell r="C6" t="str">
            <v>SAMI</v>
          </cell>
          <cell r="D6" t="str">
            <v>SPV UP</v>
          </cell>
          <cell r="E6">
            <v>42492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ALL</v>
          </cell>
          <cell r="L6" t="str">
            <v>MANAGEMENT</v>
          </cell>
          <cell r="M6" t="str">
            <v>SENIOR MANAGER PE</v>
          </cell>
          <cell r="N6" t="str">
            <v>MGR FPS</v>
          </cell>
          <cell r="O6" t="str">
            <v>A (NS)</v>
          </cell>
        </row>
        <row r="7">
          <cell r="A7">
            <v>20387</v>
          </cell>
          <cell r="B7" t="str">
            <v>TAKAFUMI HARANO</v>
          </cell>
          <cell r="C7" t="str">
            <v>SAMI</v>
          </cell>
          <cell r="D7" t="str">
            <v>SPV UP</v>
          </cell>
          <cell r="E7">
            <v>42618</v>
          </cell>
          <cell r="F7" t="str">
            <v>-</v>
          </cell>
          <cell r="G7" t="str">
            <v>-</v>
          </cell>
          <cell r="H7" t="str">
            <v>MTC</v>
          </cell>
          <cell r="I7" t="str">
            <v>MANAGEMENT</v>
          </cell>
          <cell r="J7" t="str">
            <v>ALL</v>
          </cell>
          <cell r="K7" t="str">
            <v>ALL</v>
          </cell>
          <cell r="L7" t="str">
            <v>MANAGEMENT</v>
          </cell>
          <cell r="M7" t="str">
            <v>SENIOR MANAGER MTC</v>
          </cell>
          <cell r="N7" t="str">
            <v>MGR FPS</v>
          </cell>
          <cell r="O7" t="str">
            <v>A (NS)</v>
          </cell>
        </row>
        <row r="8">
          <cell r="A8">
            <v>21035</v>
          </cell>
          <cell r="B8" t="str">
            <v>TATSUYA MATSUSHITA</v>
          </cell>
          <cell r="C8" t="str">
            <v>SAMI</v>
          </cell>
          <cell r="D8" t="str">
            <v>SPV UP</v>
          </cell>
          <cell r="E8">
            <v>42829</v>
          </cell>
          <cell r="F8" t="str">
            <v>-</v>
          </cell>
          <cell r="G8" t="str">
            <v>-</v>
          </cell>
          <cell r="H8" t="str">
            <v>PGA</v>
          </cell>
          <cell r="I8" t="str">
            <v>MANAGEMENT</v>
          </cell>
          <cell r="J8" t="str">
            <v>ALL</v>
          </cell>
          <cell r="K8" t="str">
            <v>ALL</v>
          </cell>
          <cell r="L8" t="str">
            <v>MANAGEMENT</v>
          </cell>
          <cell r="M8" t="str">
            <v>FACTORY MANAGER</v>
          </cell>
          <cell r="N8" t="str">
            <v>FM</v>
          </cell>
          <cell r="O8" t="str">
            <v>A (NS)</v>
          </cell>
        </row>
        <row r="9">
          <cell r="A9">
            <v>21809</v>
          </cell>
          <cell r="B9" t="str">
            <v>AKIRA KOBAYASHI</v>
          </cell>
          <cell r="C9" t="str">
            <v>SAMI</v>
          </cell>
          <cell r="D9" t="str">
            <v>SPV UP</v>
          </cell>
          <cell r="E9">
            <v>43090</v>
          </cell>
          <cell r="F9" t="str">
            <v>-</v>
          </cell>
          <cell r="G9" t="str">
            <v>-</v>
          </cell>
          <cell r="H9" t="str">
            <v>NYS</v>
          </cell>
          <cell r="I9" t="str">
            <v>MANAGEMENT</v>
          </cell>
          <cell r="J9" t="str">
            <v>ALL</v>
          </cell>
          <cell r="K9" t="str">
            <v>ALL</v>
          </cell>
          <cell r="L9" t="str">
            <v>MANAGEMENT</v>
          </cell>
          <cell r="M9" t="str">
            <v>SENIOR MANAGER NYS</v>
          </cell>
          <cell r="N9" t="str">
            <v>MGR FPS</v>
          </cell>
          <cell r="O9" t="str">
            <v>A (NS)</v>
          </cell>
        </row>
        <row r="10">
          <cell r="A10">
            <v>10</v>
          </cell>
          <cell r="B10" t="str">
            <v>MANSUR ISNAENI</v>
          </cell>
          <cell r="C10" t="str">
            <v>SAMI</v>
          </cell>
          <cell r="D10" t="str">
            <v>SPV UP</v>
          </cell>
          <cell r="E10">
            <v>0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MANAGEMENT</v>
          </cell>
          <cell r="J10" t="str">
            <v>ALL</v>
          </cell>
          <cell r="K10" t="str">
            <v>ALL</v>
          </cell>
          <cell r="L10" t="str">
            <v>MANAGEMENT</v>
          </cell>
          <cell r="M10" t="str">
            <v>DEPUTY FACT. MANAGER</v>
          </cell>
          <cell r="N10" t="str">
            <v>DFM</v>
          </cell>
          <cell r="O10" t="str">
            <v>A (NS)</v>
          </cell>
        </row>
        <row r="11">
          <cell r="A11">
            <v>12</v>
          </cell>
          <cell r="B11" t="str">
            <v>ARI WIJAYANTI</v>
          </cell>
          <cell r="C11" t="str">
            <v>SAMI</v>
          </cell>
          <cell r="D11" t="str">
            <v>SPV UP</v>
          </cell>
          <cell r="E11">
            <v>37411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MANAGEMENT</v>
          </cell>
          <cell r="J11" t="str">
            <v>ALL</v>
          </cell>
          <cell r="K11" t="str">
            <v>ALL</v>
          </cell>
          <cell r="L11" t="str">
            <v>MANAGEMENT</v>
          </cell>
          <cell r="M11" t="str">
            <v>MANAGER PGA</v>
          </cell>
          <cell r="N11" t="str">
            <v>MGR IDL</v>
          </cell>
          <cell r="O11" t="str">
            <v>A (NS)</v>
          </cell>
        </row>
        <row r="12">
          <cell r="A12">
            <v>796</v>
          </cell>
          <cell r="B12" t="str">
            <v>YOEN YOEDONO SOEBROTO</v>
          </cell>
          <cell r="C12" t="str">
            <v>SAMI</v>
          </cell>
          <cell r="D12" t="str">
            <v>SPV UP</v>
          </cell>
          <cell r="E12">
            <v>37837</v>
          </cell>
          <cell r="F12" t="str">
            <v>-</v>
          </cell>
          <cell r="G12" t="str">
            <v>-</v>
          </cell>
          <cell r="H12" t="str">
            <v>LOG</v>
          </cell>
          <cell r="I12" t="str">
            <v>MANAGEMENT</v>
          </cell>
          <cell r="J12" t="str">
            <v>ALL</v>
          </cell>
          <cell r="K12" t="str">
            <v>ALL</v>
          </cell>
          <cell r="L12" t="str">
            <v>MANAGEMENT</v>
          </cell>
          <cell r="M12" t="str">
            <v>MANAGER LOG</v>
          </cell>
          <cell r="N12" t="str">
            <v>MGR FPS</v>
          </cell>
          <cell r="O12" t="str">
            <v>A (NS)</v>
          </cell>
        </row>
        <row r="13">
          <cell r="A13">
            <v>1651</v>
          </cell>
          <cell r="B13" t="str">
            <v>AHMAD MUBARAK</v>
          </cell>
          <cell r="C13" t="str">
            <v>SAMI</v>
          </cell>
          <cell r="D13" t="str">
            <v>SPV UP</v>
          </cell>
          <cell r="E13">
            <v>38061</v>
          </cell>
          <cell r="F13" t="str">
            <v>-</v>
          </cell>
          <cell r="G13" t="str">
            <v>-</v>
          </cell>
          <cell r="H13" t="str">
            <v>PRD</v>
          </cell>
          <cell r="I13" t="str">
            <v>MANAGEMENT</v>
          </cell>
          <cell r="J13" t="str">
            <v>ALL</v>
          </cell>
          <cell r="K13" t="str">
            <v>ALL</v>
          </cell>
          <cell r="L13" t="str">
            <v>MANAGEMENT</v>
          </cell>
          <cell r="M13" t="str">
            <v>MANAGER PRD</v>
          </cell>
          <cell r="N13" t="str">
            <v>MGR FPI</v>
          </cell>
          <cell r="O13" t="str">
            <v>A (NS)</v>
          </cell>
        </row>
        <row r="14">
          <cell r="A14">
            <v>4488</v>
          </cell>
          <cell r="B14" t="str">
            <v>AGUS NUGROHO</v>
          </cell>
          <cell r="C14" t="str">
            <v>SAMI</v>
          </cell>
          <cell r="D14" t="str">
            <v>SPV UP</v>
          </cell>
          <cell r="E14">
            <v>38789</v>
          </cell>
          <cell r="F14" t="str">
            <v>-</v>
          </cell>
          <cell r="G14" t="str">
            <v>-</v>
          </cell>
          <cell r="H14" t="str">
            <v>QA</v>
          </cell>
          <cell r="I14" t="str">
            <v>MANAGEMENT</v>
          </cell>
          <cell r="J14" t="str">
            <v>ALL</v>
          </cell>
          <cell r="K14" t="str">
            <v>ALL</v>
          </cell>
          <cell r="L14" t="str">
            <v>MANAGEMENT</v>
          </cell>
          <cell r="M14" t="str">
            <v>ASS. MANAGER QA</v>
          </cell>
          <cell r="N14" t="str">
            <v>MGR FPS</v>
          </cell>
          <cell r="O14" t="str">
            <v>A (NS)</v>
          </cell>
        </row>
        <row r="15">
          <cell r="A15">
            <v>18663</v>
          </cell>
          <cell r="B15" t="str">
            <v>BAMBANG RIANTO</v>
          </cell>
          <cell r="C15" t="str">
            <v>SAMI</v>
          </cell>
          <cell r="D15" t="str">
            <v>SPV UP</v>
          </cell>
          <cell r="E15">
            <v>37257</v>
          </cell>
          <cell r="F15" t="str">
            <v>-</v>
          </cell>
          <cell r="G15" t="str">
            <v>-</v>
          </cell>
          <cell r="H15" t="str">
            <v>FA</v>
          </cell>
          <cell r="I15" t="str">
            <v>MANAGEMENT</v>
          </cell>
          <cell r="J15" t="str">
            <v>ALL</v>
          </cell>
          <cell r="K15" t="str">
            <v>ALL</v>
          </cell>
          <cell r="L15" t="str">
            <v>MANAGEMENT</v>
          </cell>
          <cell r="M15" t="str">
            <v>MANAGER FA</v>
          </cell>
          <cell r="N15" t="str">
            <v>MGR IDL</v>
          </cell>
          <cell r="O15" t="str">
            <v>A (NS)</v>
          </cell>
        </row>
        <row r="16">
          <cell r="A16">
            <v>1009</v>
          </cell>
          <cell r="B16" t="str">
            <v>MEI RUBIRITANTI</v>
          </cell>
          <cell r="C16" t="str">
            <v>SAMI</v>
          </cell>
          <cell r="D16" t="str">
            <v>SPV UP</v>
          </cell>
          <cell r="E16">
            <v>37872</v>
          </cell>
          <cell r="F16" t="str">
            <v>-</v>
          </cell>
          <cell r="G16" t="str">
            <v>-</v>
          </cell>
          <cell r="H16" t="str">
            <v>FA</v>
          </cell>
          <cell r="I16" t="str">
            <v>FA</v>
          </cell>
          <cell r="J16" t="str">
            <v>ALL</v>
          </cell>
          <cell r="K16" t="str">
            <v>ALL</v>
          </cell>
          <cell r="L16" t="str">
            <v>FA</v>
          </cell>
          <cell r="M16" t="str">
            <v>SUPERVISOR</v>
          </cell>
          <cell r="N16" t="str">
            <v>IDL SPV</v>
          </cell>
          <cell r="O16" t="str">
            <v>A (NS)</v>
          </cell>
        </row>
        <row r="17">
          <cell r="A17">
            <v>1011</v>
          </cell>
          <cell r="B17" t="str">
            <v>YULI SUPRIYATININGSIH</v>
          </cell>
          <cell r="C17" t="str">
            <v>SAMI</v>
          </cell>
          <cell r="D17" t="str">
            <v>ADM-7</v>
          </cell>
          <cell r="E17">
            <v>37872</v>
          </cell>
          <cell r="F17" t="str">
            <v>-</v>
          </cell>
          <cell r="G17" t="str">
            <v>-</v>
          </cell>
          <cell r="H17" t="str">
            <v>FA</v>
          </cell>
          <cell r="I17" t="str">
            <v>FA</v>
          </cell>
          <cell r="J17" t="str">
            <v>ALL</v>
          </cell>
          <cell r="K17" t="str">
            <v>ALL</v>
          </cell>
          <cell r="L17" t="str">
            <v>FA</v>
          </cell>
          <cell r="M17" t="str">
            <v>LEADER</v>
          </cell>
          <cell r="N17" t="str">
            <v>IDL LL</v>
          </cell>
          <cell r="O17" t="str">
            <v>A (NS)</v>
          </cell>
        </row>
        <row r="18">
          <cell r="A18">
            <v>6122</v>
          </cell>
          <cell r="B18" t="str">
            <v>AFRILIATI</v>
          </cell>
          <cell r="C18" t="str">
            <v>SAMI</v>
          </cell>
          <cell r="D18" t="str">
            <v>OPT-140</v>
          </cell>
          <cell r="E18">
            <v>39157</v>
          </cell>
          <cell r="F18" t="str">
            <v>-</v>
          </cell>
          <cell r="G18" t="str">
            <v>-</v>
          </cell>
          <cell r="H18" t="str">
            <v>FA</v>
          </cell>
          <cell r="I18" t="str">
            <v>FA</v>
          </cell>
          <cell r="J18" t="str">
            <v>ALL</v>
          </cell>
          <cell r="K18" t="str">
            <v>ALL</v>
          </cell>
          <cell r="L18" t="str">
            <v>FA</v>
          </cell>
          <cell r="M18" t="str">
            <v>FA</v>
          </cell>
          <cell r="N18" t="str">
            <v>FA</v>
          </cell>
          <cell r="O18" t="str">
            <v>A (NS)</v>
          </cell>
        </row>
        <row r="19">
          <cell r="A19">
            <v>8381</v>
          </cell>
          <cell r="B19" t="str">
            <v>MAULVI BAHRUL MUHITH</v>
          </cell>
          <cell r="C19" t="str">
            <v>SAMI</v>
          </cell>
          <cell r="D19" t="str">
            <v>SPV UP</v>
          </cell>
          <cell r="E19">
            <v>39680</v>
          </cell>
          <cell r="F19" t="str">
            <v>-</v>
          </cell>
          <cell r="G19" t="str">
            <v>-</v>
          </cell>
          <cell r="H19" t="str">
            <v>FA</v>
          </cell>
          <cell r="I19" t="str">
            <v>FA</v>
          </cell>
          <cell r="J19" t="str">
            <v>ALL</v>
          </cell>
          <cell r="K19" t="str">
            <v>ALL</v>
          </cell>
          <cell r="L19" t="str">
            <v>FA</v>
          </cell>
          <cell r="M19" t="str">
            <v xml:space="preserve"> COORD. SUPERVISOR</v>
          </cell>
          <cell r="N19" t="str">
            <v>IDL SPV</v>
          </cell>
          <cell r="O19" t="str">
            <v>A (NS)</v>
          </cell>
        </row>
        <row r="20">
          <cell r="A20">
            <v>21023</v>
          </cell>
          <cell r="B20" t="str">
            <v>ROFI'UL MU'AYATI</v>
          </cell>
          <cell r="C20" t="str">
            <v>SAMI</v>
          </cell>
          <cell r="D20" t="str">
            <v>SPV UP</v>
          </cell>
          <cell r="E20">
            <v>42709</v>
          </cell>
          <cell r="F20" t="str">
            <v>-</v>
          </cell>
          <cell r="G20" t="str">
            <v>-</v>
          </cell>
          <cell r="H20" t="str">
            <v>FA</v>
          </cell>
          <cell r="I20" t="str">
            <v>FA</v>
          </cell>
          <cell r="J20" t="str">
            <v>ALL</v>
          </cell>
          <cell r="K20" t="str">
            <v>ALL</v>
          </cell>
          <cell r="L20" t="str">
            <v>FA</v>
          </cell>
          <cell r="M20" t="str">
            <v>SUPERVISOR</v>
          </cell>
          <cell r="N20" t="str">
            <v>IDL SPV</v>
          </cell>
          <cell r="O20" t="str">
            <v>A (NS)</v>
          </cell>
        </row>
        <row r="21">
          <cell r="A21">
            <v>21229</v>
          </cell>
          <cell r="B21" t="str">
            <v>AMALIA PUJI RAHAYUNINGSIH</v>
          </cell>
          <cell r="C21" t="str">
            <v>SAMI</v>
          </cell>
          <cell r="D21" t="str">
            <v>SPV UP</v>
          </cell>
          <cell r="E21">
            <v>42891</v>
          </cell>
          <cell r="F21" t="str">
            <v>-</v>
          </cell>
          <cell r="G21" t="str">
            <v>-</v>
          </cell>
          <cell r="H21" t="str">
            <v>FA</v>
          </cell>
          <cell r="I21" t="str">
            <v>FA</v>
          </cell>
          <cell r="J21" t="str">
            <v>ALL</v>
          </cell>
          <cell r="K21" t="str">
            <v>ALL</v>
          </cell>
          <cell r="L21" t="str">
            <v>FA</v>
          </cell>
          <cell r="M21" t="str">
            <v>SUPERVISOR</v>
          </cell>
          <cell r="N21" t="str">
            <v>IDL SPV</v>
          </cell>
          <cell r="O21" t="str">
            <v>A (NS)</v>
          </cell>
        </row>
        <row r="22">
          <cell r="A22">
            <v>22060</v>
          </cell>
          <cell r="B22" t="str">
            <v>PRASETYO WIBOWO</v>
          </cell>
          <cell r="C22" t="str">
            <v>SAMI</v>
          </cell>
          <cell r="D22" t="str">
            <v>MT</v>
          </cell>
          <cell r="E22">
            <v>43158</v>
          </cell>
          <cell r="F22">
            <v>43158</v>
          </cell>
          <cell r="G22">
            <v>43524</v>
          </cell>
          <cell r="H22" t="str">
            <v>FA</v>
          </cell>
          <cell r="I22" t="str">
            <v>FA</v>
          </cell>
          <cell r="J22" t="str">
            <v>ALL</v>
          </cell>
          <cell r="K22" t="str">
            <v>ALL</v>
          </cell>
          <cell r="L22" t="str">
            <v>FA</v>
          </cell>
          <cell r="M22" t="str">
            <v>SUPERVISOR</v>
          </cell>
          <cell r="N22" t="str">
            <v>IDL SPV</v>
          </cell>
          <cell r="O22" t="str">
            <v>A (NS)</v>
          </cell>
        </row>
        <row r="23">
          <cell r="A23">
            <v>22779</v>
          </cell>
          <cell r="B23" t="str">
            <v>INTA CAHYA DIANI</v>
          </cell>
          <cell r="C23" t="str">
            <v>SAMI</v>
          </cell>
          <cell r="D23" t="str">
            <v>ES-75</v>
          </cell>
          <cell r="E23">
            <v>43283</v>
          </cell>
          <cell r="F23">
            <v>43283</v>
          </cell>
          <cell r="G23">
            <v>43646</v>
          </cell>
          <cell r="H23" t="str">
            <v>FA</v>
          </cell>
          <cell r="I23" t="str">
            <v>FA</v>
          </cell>
          <cell r="J23" t="str">
            <v>ALL</v>
          </cell>
          <cell r="K23" t="str">
            <v>ALL</v>
          </cell>
          <cell r="L23" t="str">
            <v>FA</v>
          </cell>
          <cell r="M23" t="str">
            <v>LEADER</v>
          </cell>
          <cell r="N23" t="str">
            <v>IDL LL</v>
          </cell>
          <cell r="O23" t="str">
            <v>A (NS)</v>
          </cell>
        </row>
        <row r="24">
          <cell r="A24">
            <v>290</v>
          </cell>
          <cell r="B24" t="str">
            <v>FARIS YATIMAH HANDAYANI</v>
          </cell>
          <cell r="C24" t="str">
            <v>SAMI</v>
          </cell>
          <cell r="D24" t="str">
            <v>SPV UP</v>
          </cell>
          <cell r="E24">
            <v>37718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GA</v>
          </cell>
          <cell r="J24" t="str">
            <v>ALL</v>
          </cell>
          <cell r="K24" t="str">
            <v>ALL</v>
          </cell>
          <cell r="L24" t="str">
            <v>GA</v>
          </cell>
          <cell r="M24" t="str">
            <v>GA SUPERVISOR</v>
          </cell>
          <cell r="N24" t="str">
            <v>IDL SPV</v>
          </cell>
          <cell r="O24" t="str">
            <v>A (NS)</v>
          </cell>
        </row>
        <row r="25">
          <cell r="A25">
            <v>586</v>
          </cell>
          <cell r="B25" t="str">
            <v>DIAN BERLIAN PERDANA S.</v>
          </cell>
          <cell r="C25" t="str">
            <v>SAMI</v>
          </cell>
          <cell r="D25" t="str">
            <v>OPT-15</v>
          </cell>
          <cell r="E25">
            <v>37774</v>
          </cell>
          <cell r="F25" t="str">
            <v>-</v>
          </cell>
          <cell r="G25" t="str">
            <v>-</v>
          </cell>
          <cell r="H25" t="str">
            <v>PGA</v>
          </cell>
          <cell r="I25" t="str">
            <v>GA</v>
          </cell>
          <cell r="J25" t="str">
            <v>ALL</v>
          </cell>
          <cell r="K25" t="str">
            <v>ALL</v>
          </cell>
          <cell r="L25" t="str">
            <v>GA</v>
          </cell>
          <cell r="M25" t="str">
            <v>LEADER</v>
          </cell>
          <cell r="N25" t="str">
            <v>IDL LL</v>
          </cell>
          <cell r="O25" t="str">
            <v>B</v>
          </cell>
        </row>
        <row r="26">
          <cell r="A26">
            <v>6096</v>
          </cell>
          <cell r="B26" t="str">
            <v>SUPRIYONO</v>
          </cell>
          <cell r="C26" t="str">
            <v>SAMI</v>
          </cell>
          <cell r="D26" t="str">
            <v>OPT-139</v>
          </cell>
          <cell r="E26">
            <v>39142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GA</v>
          </cell>
          <cell r="J26" t="str">
            <v>ALL</v>
          </cell>
          <cell r="K26" t="str">
            <v>ALL</v>
          </cell>
          <cell r="L26" t="str">
            <v>GA</v>
          </cell>
          <cell r="M26" t="str">
            <v>BUILDING MAINTENANCE</v>
          </cell>
          <cell r="N26" t="str">
            <v>BDM</v>
          </cell>
          <cell r="O26" t="str">
            <v>A</v>
          </cell>
        </row>
        <row r="27">
          <cell r="A27">
            <v>3718</v>
          </cell>
          <cell r="B27" t="str">
            <v>MUHAMMAD FATKUL</v>
          </cell>
          <cell r="C27" t="str">
            <v>SAMI</v>
          </cell>
          <cell r="D27" t="str">
            <v>SPV UP</v>
          </cell>
          <cell r="E27">
            <v>38621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GA</v>
          </cell>
          <cell r="J27" t="str">
            <v>ALL</v>
          </cell>
          <cell r="K27" t="str">
            <v>ALL</v>
          </cell>
          <cell r="L27" t="str">
            <v>GA</v>
          </cell>
          <cell r="M27" t="str">
            <v>SUPERVISOR</v>
          </cell>
          <cell r="N27" t="str">
            <v>IDL SPV</v>
          </cell>
          <cell r="O27" t="str">
            <v>A (NS)</v>
          </cell>
        </row>
        <row r="28">
          <cell r="A28">
            <v>6038</v>
          </cell>
          <cell r="B28" t="str">
            <v>BUDI PRIYANTO</v>
          </cell>
          <cell r="C28" t="str">
            <v>SAMI</v>
          </cell>
          <cell r="D28" t="str">
            <v>OPT-139</v>
          </cell>
          <cell r="E28">
            <v>39142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GA</v>
          </cell>
          <cell r="J28" t="str">
            <v>ALL</v>
          </cell>
          <cell r="K28" t="str">
            <v>ALL</v>
          </cell>
          <cell r="L28" t="str">
            <v>GA</v>
          </cell>
          <cell r="M28" t="str">
            <v>STAFF GA</v>
          </cell>
          <cell r="N28" t="str">
            <v>GA</v>
          </cell>
          <cell r="O28" t="str">
            <v>A (NS)</v>
          </cell>
        </row>
        <row r="29">
          <cell r="A29">
            <v>6198</v>
          </cell>
          <cell r="B29" t="str">
            <v>RIYANTI</v>
          </cell>
          <cell r="C29" t="str">
            <v>SAMI</v>
          </cell>
          <cell r="D29" t="str">
            <v>ADM-33</v>
          </cell>
          <cell r="E29">
            <v>39173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GA</v>
          </cell>
          <cell r="J29" t="str">
            <v>ALL</v>
          </cell>
          <cell r="K29" t="str">
            <v>ALL</v>
          </cell>
          <cell r="L29" t="str">
            <v>GA</v>
          </cell>
          <cell r="M29" t="str">
            <v>LEADER</v>
          </cell>
          <cell r="N29" t="str">
            <v>IDL LL</v>
          </cell>
          <cell r="O29" t="str">
            <v>A (NS)</v>
          </cell>
        </row>
        <row r="30">
          <cell r="A30">
            <v>10112</v>
          </cell>
          <cell r="B30" t="str">
            <v>RENNY RAFIKA HAPSARI</v>
          </cell>
          <cell r="C30" t="str">
            <v>SAMI</v>
          </cell>
          <cell r="D30" t="str">
            <v>OPT-248</v>
          </cell>
          <cell r="E30">
            <v>40444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GA</v>
          </cell>
          <cell r="J30" t="str">
            <v>ALL</v>
          </cell>
          <cell r="K30" t="str">
            <v>ALL</v>
          </cell>
          <cell r="L30" t="str">
            <v>GA</v>
          </cell>
          <cell r="M30" t="str">
            <v>STAFF GA</v>
          </cell>
          <cell r="N30" t="str">
            <v>GA</v>
          </cell>
          <cell r="O30" t="str">
            <v>A (NS)</v>
          </cell>
        </row>
        <row r="31">
          <cell r="A31">
            <v>10608</v>
          </cell>
          <cell r="B31" t="str">
            <v>SITI MUKAROMAH</v>
          </cell>
          <cell r="C31" t="str">
            <v>SAMI</v>
          </cell>
          <cell r="D31" t="str">
            <v>OPT-276</v>
          </cell>
          <cell r="E31">
            <v>40544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GA</v>
          </cell>
          <cell r="J31" t="str">
            <v>ALL</v>
          </cell>
          <cell r="K31" t="str">
            <v>ALL</v>
          </cell>
          <cell r="L31" t="str">
            <v>GA</v>
          </cell>
          <cell r="M31" t="str">
            <v>LEADER</v>
          </cell>
          <cell r="N31" t="str">
            <v>IDL LL</v>
          </cell>
          <cell r="O31" t="str">
            <v>A (NS)</v>
          </cell>
        </row>
        <row r="32">
          <cell r="A32">
            <v>18666</v>
          </cell>
          <cell r="B32" t="str">
            <v>SLAMET TIMBUL</v>
          </cell>
          <cell r="C32" t="str">
            <v>SAMI</v>
          </cell>
          <cell r="D32" t="str">
            <v>SPV UP</v>
          </cell>
          <cell r="E32">
            <v>42066</v>
          </cell>
          <cell r="F32" t="str">
            <v>-</v>
          </cell>
          <cell r="G32" t="str">
            <v>-</v>
          </cell>
          <cell r="H32" t="str">
            <v>PGA</v>
          </cell>
          <cell r="I32" t="str">
            <v>GA</v>
          </cell>
          <cell r="J32" t="str">
            <v>ALL</v>
          </cell>
          <cell r="K32" t="str">
            <v>ALL</v>
          </cell>
          <cell r="L32" t="str">
            <v>GA</v>
          </cell>
          <cell r="M32" t="str">
            <v>LEGAL SPV</v>
          </cell>
          <cell r="N32" t="str">
            <v>IDL SPV</v>
          </cell>
          <cell r="O32" t="str">
            <v>A (NS)</v>
          </cell>
        </row>
        <row r="33">
          <cell r="A33">
            <v>345</v>
          </cell>
          <cell r="B33" t="str">
            <v>DEBORA KRISTIANA SETIYANINGRUM</v>
          </cell>
          <cell r="C33" t="str">
            <v>SAMI</v>
          </cell>
          <cell r="D33" t="str">
            <v>ADM-2</v>
          </cell>
          <cell r="E33">
            <v>37725</v>
          </cell>
          <cell r="F33" t="str">
            <v>-</v>
          </cell>
          <cell r="G33" t="str">
            <v>-</v>
          </cell>
          <cell r="H33" t="str">
            <v>PGA</v>
          </cell>
          <cell r="I33" t="str">
            <v>HR</v>
          </cell>
          <cell r="J33" t="str">
            <v>ALL</v>
          </cell>
          <cell r="K33" t="str">
            <v>ALL</v>
          </cell>
          <cell r="L33" t="str">
            <v>HR</v>
          </cell>
          <cell r="M33" t="str">
            <v>PEOPLE DEVELOPMENT</v>
          </cell>
          <cell r="N33" t="str">
            <v>IDL LL</v>
          </cell>
          <cell r="O33" t="str">
            <v>A (NS)</v>
          </cell>
        </row>
        <row r="34">
          <cell r="A34">
            <v>2412</v>
          </cell>
          <cell r="B34" t="str">
            <v>NUNING DIAN PERTIWI</v>
          </cell>
          <cell r="C34" t="str">
            <v>SAMI</v>
          </cell>
          <cell r="D34" t="str">
            <v>SPV UP</v>
          </cell>
          <cell r="E34">
            <v>38189</v>
          </cell>
          <cell r="F34" t="str">
            <v>-</v>
          </cell>
          <cell r="G34" t="str">
            <v>-</v>
          </cell>
          <cell r="H34" t="str">
            <v>PGA</v>
          </cell>
          <cell r="I34" t="str">
            <v>HR</v>
          </cell>
          <cell r="J34" t="str">
            <v>ALL</v>
          </cell>
          <cell r="K34" t="str">
            <v>ALL</v>
          </cell>
          <cell r="L34" t="str">
            <v>HR</v>
          </cell>
          <cell r="M34" t="str">
            <v>SUPERVISOR PED</v>
          </cell>
          <cell r="N34" t="str">
            <v>IDL SPV</v>
          </cell>
          <cell r="O34" t="str">
            <v>A (NS)</v>
          </cell>
        </row>
        <row r="35">
          <cell r="A35">
            <v>591</v>
          </cell>
          <cell r="B35" t="str">
            <v>NORMA NILA HAPSARI</v>
          </cell>
          <cell r="C35" t="str">
            <v>SAMI</v>
          </cell>
          <cell r="D35" t="str">
            <v>ADM-5</v>
          </cell>
          <cell r="E35">
            <v>37774</v>
          </cell>
          <cell r="F35" t="str">
            <v>-</v>
          </cell>
          <cell r="G35" t="str">
            <v>-</v>
          </cell>
          <cell r="H35" t="str">
            <v>PGA</v>
          </cell>
          <cell r="I35" t="str">
            <v>HR</v>
          </cell>
          <cell r="J35" t="str">
            <v>ALL</v>
          </cell>
          <cell r="K35" t="str">
            <v>ALL</v>
          </cell>
          <cell r="L35" t="str">
            <v>HR</v>
          </cell>
          <cell r="M35" t="str">
            <v>Employee Benefit, Recruitment</v>
          </cell>
          <cell r="N35" t="str">
            <v>HR</v>
          </cell>
          <cell r="O35" t="str">
            <v>A (NS)</v>
          </cell>
        </row>
        <row r="36">
          <cell r="A36">
            <v>1109</v>
          </cell>
          <cell r="B36" t="str">
            <v>DIAN PUSPITASARI</v>
          </cell>
          <cell r="C36" t="str">
            <v>SAMI</v>
          </cell>
          <cell r="D36" t="str">
            <v>ADM-8</v>
          </cell>
          <cell r="E36">
            <v>37887</v>
          </cell>
          <cell r="F36" t="str">
            <v>-</v>
          </cell>
          <cell r="G36" t="str">
            <v>-</v>
          </cell>
          <cell r="H36" t="str">
            <v>PGA</v>
          </cell>
          <cell r="I36" t="str">
            <v>HR</v>
          </cell>
          <cell r="J36" t="str">
            <v>ALL</v>
          </cell>
          <cell r="K36" t="str">
            <v>ALL</v>
          </cell>
          <cell r="L36" t="str">
            <v>HR</v>
          </cell>
          <cell r="M36" t="str">
            <v>LEADER</v>
          </cell>
          <cell r="N36" t="str">
            <v>IDL LL</v>
          </cell>
          <cell r="O36" t="str">
            <v>A (NS)</v>
          </cell>
        </row>
        <row r="37">
          <cell r="A37">
            <v>1160</v>
          </cell>
          <cell r="B37" t="str">
            <v>FAJAR ADIDEWA</v>
          </cell>
          <cell r="C37" t="str">
            <v>SAMI</v>
          </cell>
          <cell r="D37" t="str">
            <v>SPV UP</v>
          </cell>
          <cell r="E37">
            <v>37900</v>
          </cell>
          <cell r="F37" t="str">
            <v>-</v>
          </cell>
          <cell r="G37" t="str">
            <v>-</v>
          </cell>
          <cell r="H37" t="str">
            <v>PGA</v>
          </cell>
          <cell r="I37" t="str">
            <v>HR</v>
          </cell>
          <cell r="J37" t="str">
            <v>ALL</v>
          </cell>
          <cell r="K37" t="str">
            <v>ALL</v>
          </cell>
          <cell r="L37" t="str">
            <v>HR</v>
          </cell>
          <cell r="M37" t="str">
            <v>SUPERVISOR HR</v>
          </cell>
          <cell r="N37" t="str">
            <v>IDL SPV</v>
          </cell>
          <cell r="O37" t="str">
            <v>A (NS)</v>
          </cell>
        </row>
        <row r="38">
          <cell r="A38">
            <v>14119</v>
          </cell>
          <cell r="B38" t="str">
            <v>RIZKI KURNIADI</v>
          </cell>
          <cell r="C38" t="str">
            <v>SAMI</v>
          </cell>
          <cell r="D38" t="str">
            <v>OPT-364</v>
          </cell>
          <cell r="E38">
            <v>41306</v>
          </cell>
          <cell r="F38" t="str">
            <v>-</v>
          </cell>
          <cell r="G38" t="str">
            <v>-</v>
          </cell>
          <cell r="H38" t="str">
            <v>PGA</v>
          </cell>
          <cell r="I38" t="str">
            <v>HR</v>
          </cell>
          <cell r="J38" t="str">
            <v>ALL</v>
          </cell>
          <cell r="K38" t="str">
            <v>ALL</v>
          </cell>
          <cell r="L38" t="str">
            <v>HR</v>
          </cell>
          <cell r="M38" t="str">
            <v>Payroll, Manpower Data</v>
          </cell>
          <cell r="N38" t="str">
            <v>PAYROLL</v>
          </cell>
          <cell r="O38" t="str">
            <v>A (NS)</v>
          </cell>
        </row>
        <row r="39">
          <cell r="A39">
            <v>18761</v>
          </cell>
          <cell r="B39" t="str">
            <v>NYUWANTI</v>
          </cell>
          <cell r="C39" t="str">
            <v>SAMI</v>
          </cell>
          <cell r="D39" t="str">
            <v>OPT-468</v>
          </cell>
          <cell r="E39">
            <v>42142</v>
          </cell>
          <cell r="F39" t="str">
            <v>-</v>
          </cell>
          <cell r="G39" t="str">
            <v>-</v>
          </cell>
          <cell r="H39" t="str">
            <v>PGA</v>
          </cell>
          <cell r="I39" t="str">
            <v>IT</v>
          </cell>
          <cell r="J39" t="str">
            <v>ALL</v>
          </cell>
          <cell r="K39" t="str">
            <v>ALL</v>
          </cell>
          <cell r="L39" t="str">
            <v>IT</v>
          </cell>
          <cell r="M39" t="str">
            <v>STAFF IT</v>
          </cell>
          <cell r="N39" t="str">
            <v>IT</v>
          </cell>
          <cell r="O39" t="str">
            <v>A</v>
          </cell>
        </row>
        <row r="40">
          <cell r="A40">
            <v>1908</v>
          </cell>
          <cell r="B40" t="str">
            <v>AGUS FREDDY KURNIAWAN</v>
          </cell>
          <cell r="C40" t="str">
            <v>SAMI</v>
          </cell>
          <cell r="D40" t="str">
            <v>SPV UP</v>
          </cell>
          <cell r="E40">
            <v>38103</v>
          </cell>
          <cell r="F40" t="str">
            <v>-</v>
          </cell>
          <cell r="G40" t="str">
            <v>-</v>
          </cell>
          <cell r="H40" t="str">
            <v>PGA</v>
          </cell>
          <cell r="I40" t="str">
            <v>IT</v>
          </cell>
          <cell r="J40" t="str">
            <v>ALL</v>
          </cell>
          <cell r="K40" t="str">
            <v>ALL</v>
          </cell>
          <cell r="L40" t="str">
            <v>IT</v>
          </cell>
          <cell r="M40" t="str">
            <v>SUPERVISOR IT HARDWARE</v>
          </cell>
          <cell r="N40" t="str">
            <v>IDL SPV</v>
          </cell>
          <cell r="O40" t="str">
            <v>A (NS)</v>
          </cell>
        </row>
        <row r="41">
          <cell r="A41">
            <v>8038</v>
          </cell>
          <cell r="B41" t="str">
            <v>ABDUL KARIS</v>
          </cell>
          <cell r="C41" t="str">
            <v>SAMI</v>
          </cell>
          <cell r="D41" t="str">
            <v>SPV UP</v>
          </cell>
          <cell r="E41">
            <v>39661</v>
          </cell>
          <cell r="F41" t="str">
            <v>-</v>
          </cell>
          <cell r="G41" t="str">
            <v>-</v>
          </cell>
          <cell r="H41" t="str">
            <v>PGA</v>
          </cell>
          <cell r="I41" t="str">
            <v>IT</v>
          </cell>
          <cell r="J41" t="str">
            <v>ALL</v>
          </cell>
          <cell r="K41" t="str">
            <v>ALL</v>
          </cell>
          <cell r="L41" t="str">
            <v>IT</v>
          </cell>
          <cell r="M41" t="str">
            <v>SUPERVISOR IT SOFTWARE</v>
          </cell>
          <cell r="N41" t="str">
            <v>IDL SPV</v>
          </cell>
          <cell r="O41" t="str">
            <v>A (NS)</v>
          </cell>
        </row>
        <row r="42">
          <cell r="A42">
            <v>22033</v>
          </cell>
          <cell r="B42" t="str">
            <v>LABBAIKA ALIFUL AUFA</v>
          </cell>
          <cell r="C42" t="str">
            <v>SAMI</v>
          </cell>
          <cell r="D42" t="str">
            <v>OPT-547</v>
          </cell>
          <cell r="E42">
            <v>43144</v>
          </cell>
          <cell r="F42">
            <v>43172</v>
          </cell>
          <cell r="G42">
            <v>43524</v>
          </cell>
          <cell r="H42" t="str">
            <v>PGA</v>
          </cell>
          <cell r="I42" t="str">
            <v>IT</v>
          </cell>
          <cell r="J42" t="str">
            <v>ALL</v>
          </cell>
          <cell r="K42" t="str">
            <v>ALL</v>
          </cell>
          <cell r="L42" t="str">
            <v>IT</v>
          </cell>
          <cell r="M42" t="str">
            <v>STAFF IT</v>
          </cell>
          <cell r="N42" t="str">
            <v>IT</v>
          </cell>
          <cell r="O42" t="str">
            <v>A (NS)</v>
          </cell>
        </row>
        <row r="43">
          <cell r="A43">
            <v>5556</v>
          </cell>
          <cell r="B43" t="str">
            <v>DEDDY YUDHA KUSUMA</v>
          </cell>
          <cell r="C43" t="str">
            <v>SAMI</v>
          </cell>
          <cell r="D43" t="str">
            <v>TKN-33</v>
          </cell>
          <cell r="E43">
            <v>39052</v>
          </cell>
          <cell r="F43" t="str">
            <v>-</v>
          </cell>
          <cell r="G43" t="str">
            <v>-</v>
          </cell>
          <cell r="H43" t="str">
            <v>PGA</v>
          </cell>
          <cell r="I43" t="str">
            <v>SHE</v>
          </cell>
          <cell r="J43" t="str">
            <v>ALL</v>
          </cell>
          <cell r="K43" t="str">
            <v>ALL</v>
          </cell>
          <cell r="L43" t="str">
            <v>SHE</v>
          </cell>
          <cell r="M43" t="str">
            <v>BUILDING MAINTENANCE</v>
          </cell>
          <cell r="N43" t="str">
            <v>BDM</v>
          </cell>
          <cell r="O43" t="str">
            <v>A</v>
          </cell>
        </row>
        <row r="44">
          <cell r="A44">
            <v>17278</v>
          </cell>
          <cell r="B44" t="str">
            <v>MAULIDINA AHSAN</v>
          </cell>
          <cell r="C44" t="str">
            <v>SAMI</v>
          </cell>
          <cell r="D44" t="str">
            <v>TKN-80</v>
          </cell>
          <cell r="E44">
            <v>41764</v>
          </cell>
          <cell r="F44" t="str">
            <v>-</v>
          </cell>
          <cell r="G44" t="str">
            <v>-</v>
          </cell>
          <cell r="H44" t="str">
            <v>PGA</v>
          </cell>
          <cell r="I44" t="str">
            <v>SHE</v>
          </cell>
          <cell r="J44" t="str">
            <v>ALL</v>
          </cell>
          <cell r="K44" t="str">
            <v>ALL</v>
          </cell>
          <cell r="L44" t="str">
            <v>SHE</v>
          </cell>
          <cell r="M44" t="str">
            <v>BUILDING MAINTENANCE</v>
          </cell>
          <cell r="N44" t="str">
            <v>BDM</v>
          </cell>
          <cell r="O44" t="str">
            <v>A</v>
          </cell>
        </row>
        <row r="45">
          <cell r="A45">
            <v>13</v>
          </cell>
          <cell r="B45" t="str">
            <v>JOKO ADI WALUYO</v>
          </cell>
          <cell r="C45" t="str">
            <v>SAMI</v>
          </cell>
          <cell r="D45" t="str">
            <v>SPV UP</v>
          </cell>
          <cell r="E45">
            <v>37411</v>
          </cell>
          <cell r="F45" t="str">
            <v>-</v>
          </cell>
          <cell r="G45" t="str">
            <v>-</v>
          </cell>
          <cell r="H45" t="str">
            <v>PGA</v>
          </cell>
          <cell r="I45" t="str">
            <v>SHE</v>
          </cell>
          <cell r="J45" t="str">
            <v>ALL</v>
          </cell>
          <cell r="K45" t="str">
            <v>ALL</v>
          </cell>
          <cell r="L45" t="str">
            <v>SHE</v>
          </cell>
          <cell r="M45" t="str">
            <v>SUPERVISOR SHE</v>
          </cell>
          <cell r="N45" t="str">
            <v>IDL SPV</v>
          </cell>
          <cell r="O45" t="str">
            <v>A (NS)</v>
          </cell>
        </row>
        <row r="46">
          <cell r="A46">
            <v>6110</v>
          </cell>
          <cell r="B46" t="str">
            <v>ARIFIN</v>
          </cell>
          <cell r="C46" t="str">
            <v>SAMI</v>
          </cell>
          <cell r="D46" t="str">
            <v>TKN-37</v>
          </cell>
          <cell r="E46">
            <v>39142</v>
          </cell>
          <cell r="F46" t="str">
            <v>-</v>
          </cell>
          <cell r="G46" t="str">
            <v>-</v>
          </cell>
          <cell r="H46" t="str">
            <v>PGA</v>
          </cell>
          <cell r="I46" t="str">
            <v>SHE</v>
          </cell>
          <cell r="J46" t="str">
            <v>ALL</v>
          </cell>
          <cell r="K46" t="str">
            <v>ALL</v>
          </cell>
          <cell r="L46" t="str">
            <v>SHE</v>
          </cell>
          <cell r="M46" t="str">
            <v>BUILDING MAINTENANCE</v>
          </cell>
          <cell r="N46" t="str">
            <v>BDM</v>
          </cell>
          <cell r="O46" t="str">
            <v>A (NS)</v>
          </cell>
        </row>
        <row r="47">
          <cell r="A47">
            <v>13353</v>
          </cell>
          <cell r="B47" t="str">
            <v>TEGUH MULYANTO</v>
          </cell>
          <cell r="C47" t="str">
            <v>SAMI</v>
          </cell>
          <cell r="D47" t="str">
            <v>TKN-63</v>
          </cell>
          <cell r="E47">
            <v>40924</v>
          </cell>
          <cell r="F47" t="str">
            <v>-</v>
          </cell>
          <cell r="G47" t="str">
            <v>-</v>
          </cell>
          <cell r="H47" t="str">
            <v>PGA</v>
          </cell>
          <cell r="I47" t="str">
            <v>SHE</v>
          </cell>
          <cell r="J47" t="str">
            <v>ALL</v>
          </cell>
          <cell r="K47" t="str">
            <v>ALL</v>
          </cell>
          <cell r="L47" t="str">
            <v>SHE</v>
          </cell>
          <cell r="M47" t="str">
            <v>BUILDING MAINTENANCE</v>
          </cell>
          <cell r="N47" t="str">
            <v>BDM</v>
          </cell>
          <cell r="O47" t="str">
            <v>A (NS)</v>
          </cell>
        </row>
        <row r="48">
          <cell r="A48">
            <v>14135</v>
          </cell>
          <cell r="B48" t="str">
            <v>AGUS SUMANTRI</v>
          </cell>
          <cell r="C48" t="str">
            <v>SAMI</v>
          </cell>
          <cell r="D48" t="str">
            <v>OPT-365</v>
          </cell>
          <cell r="E48">
            <v>41312</v>
          </cell>
          <cell r="F48" t="str">
            <v>-</v>
          </cell>
          <cell r="G48" t="str">
            <v>-</v>
          </cell>
          <cell r="H48" t="str">
            <v>PGA</v>
          </cell>
          <cell r="I48" t="str">
            <v>SHE</v>
          </cell>
          <cell r="J48" t="str">
            <v>ALL</v>
          </cell>
          <cell r="K48" t="str">
            <v>ALL</v>
          </cell>
          <cell r="L48" t="str">
            <v>SHE</v>
          </cell>
          <cell r="M48" t="str">
            <v>BUILDING MAINTENANCE</v>
          </cell>
          <cell r="N48" t="str">
            <v>BDM</v>
          </cell>
          <cell r="O48" t="str">
            <v>A (NS)</v>
          </cell>
        </row>
        <row r="49">
          <cell r="A49">
            <v>16616</v>
          </cell>
          <cell r="B49" t="str">
            <v>SETYO WATININGSIH</v>
          </cell>
          <cell r="C49" t="str">
            <v>SAMI</v>
          </cell>
          <cell r="D49" t="str">
            <v>ES-53</v>
          </cell>
          <cell r="E49">
            <v>41673</v>
          </cell>
          <cell r="F49" t="str">
            <v>-</v>
          </cell>
          <cell r="G49" t="str">
            <v>-</v>
          </cell>
          <cell r="H49" t="str">
            <v>PGA</v>
          </cell>
          <cell r="I49" t="str">
            <v>SHE</v>
          </cell>
          <cell r="J49" t="str">
            <v>ALL</v>
          </cell>
          <cell r="K49" t="str">
            <v>ALL</v>
          </cell>
          <cell r="L49" t="str">
            <v>SHE</v>
          </cell>
          <cell r="M49" t="str">
            <v>LEADER</v>
          </cell>
          <cell r="N49" t="str">
            <v>IDL LL</v>
          </cell>
          <cell r="O49" t="str">
            <v>A (NS)</v>
          </cell>
        </row>
        <row r="50">
          <cell r="A50">
            <v>13138</v>
          </cell>
          <cell r="B50" t="str">
            <v>MUCHAMAD ROSYID</v>
          </cell>
          <cell r="C50" t="str">
            <v>SAMI</v>
          </cell>
          <cell r="D50" t="str">
            <v>TKN-60</v>
          </cell>
          <cell r="E50">
            <v>40882</v>
          </cell>
          <cell r="F50" t="str">
            <v>-</v>
          </cell>
          <cell r="G50" t="str">
            <v>-</v>
          </cell>
          <cell r="H50" t="str">
            <v>PGA</v>
          </cell>
          <cell r="I50" t="str">
            <v>SHE</v>
          </cell>
          <cell r="J50" t="str">
            <v>ALL</v>
          </cell>
          <cell r="K50" t="str">
            <v>ALL</v>
          </cell>
          <cell r="L50" t="str">
            <v>SHE</v>
          </cell>
          <cell r="M50" t="str">
            <v>BUILDING MAINTENANCE</v>
          </cell>
          <cell r="N50" t="str">
            <v>BDM</v>
          </cell>
          <cell r="O50" t="str">
            <v>B</v>
          </cell>
        </row>
        <row r="51">
          <cell r="A51">
            <v>249</v>
          </cell>
          <cell r="B51" t="str">
            <v>ASRI NOVIYANTI HERMINAH</v>
          </cell>
          <cell r="C51" t="str">
            <v>SAMI</v>
          </cell>
          <cell r="D51" t="str">
            <v>OPT-7</v>
          </cell>
          <cell r="E51">
            <v>37704</v>
          </cell>
          <cell r="F51" t="str">
            <v>-</v>
          </cell>
          <cell r="G51" t="str">
            <v>-</v>
          </cell>
          <cell r="H51" t="str">
            <v>PGA</v>
          </cell>
          <cell r="I51" t="str">
            <v>TRN &amp; MOTO</v>
          </cell>
          <cell r="J51" t="str">
            <v>ALL</v>
          </cell>
          <cell r="K51" t="str">
            <v>ALL</v>
          </cell>
          <cell r="L51" t="str">
            <v>TRN</v>
          </cell>
          <cell r="M51" t="str">
            <v>5S &amp; 4M</v>
          </cell>
          <cell r="N51" t="str">
            <v>FPS LL</v>
          </cell>
          <cell r="O51" t="str">
            <v>A (NS)</v>
          </cell>
        </row>
        <row r="52">
          <cell r="A52">
            <v>5553</v>
          </cell>
          <cell r="B52" t="str">
            <v>HENY YULIASTUTI</v>
          </cell>
          <cell r="C52" t="str">
            <v>SAMI</v>
          </cell>
          <cell r="D52" t="str">
            <v>ADM-30</v>
          </cell>
          <cell r="E52">
            <v>39052</v>
          </cell>
          <cell r="F52" t="str">
            <v>-</v>
          </cell>
          <cell r="G52" t="str">
            <v>-</v>
          </cell>
          <cell r="H52" t="str">
            <v>PGA</v>
          </cell>
          <cell r="I52" t="str">
            <v>TRN &amp; MOTO</v>
          </cell>
          <cell r="J52" t="str">
            <v>ALL</v>
          </cell>
          <cell r="K52" t="str">
            <v>ALL</v>
          </cell>
          <cell r="L52" t="str">
            <v>TRN</v>
          </cell>
          <cell r="M52" t="str">
            <v>ADM</v>
          </cell>
          <cell r="N52" t="str">
            <v>IDL LL</v>
          </cell>
          <cell r="O52" t="str">
            <v>A (NS)</v>
          </cell>
        </row>
        <row r="53">
          <cell r="A53">
            <v>9153</v>
          </cell>
          <cell r="B53" t="str">
            <v>NOFIA LESTARI</v>
          </cell>
          <cell r="C53" t="str">
            <v>SAMI</v>
          </cell>
          <cell r="D53" t="str">
            <v>OPT-205</v>
          </cell>
          <cell r="E53">
            <v>40000</v>
          </cell>
          <cell r="F53" t="str">
            <v>-</v>
          </cell>
          <cell r="G53" t="str">
            <v>-</v>
          </cell>
          <cell r="H53" t="str">
            <v>PGA</v>
          </cell>
          <cell r="I53" t="str">
            <v>TRN &amp; MOTO</v>
          </cell>
          <cell r="J53" t="str">
            <v>ALL</v>
          </cell>
          <cell r="K53" t="str">
            <v>ALL</v>
          </cell>
          <cell r="L53" t="str">
            <v>TRN</v>
          </cell>
          <cell r="M53" t="str">
            <v>ADM</v>
          </cell>
          <cell r="N53" t="str">
            <v>TRN</v>
          </cell>
          <cell r="O53" t="str">
            <v>A (NS)</v>
          </cell>
        </row>
        <row r="54">
          <cell r="A54">
            <v>10600</v>
          </cell>
          <cell r="B54" t="str">
            <v>LESTARI NINGSIH</v>
          </cell>
          <cell r="C54" t="str">
            <v>SAMI</v>
          </cell>
          <cell r="D54" t="str">
            <v>OPT-276</v>
          </cell>
          <cell r="E54">
            <v>40544</v>
          </cell>
          <cell r="F54" t="str">
            <v>-</v>
          </cell>
          <cell r="G54" t="str">
            <v>-</v>
          </cell>
          <cell r="H54" t="str">
            <v>PGA</v>
          </cell>
          <cell r="I54" t="str">
            <v>TRN &amp; MOTO</v>
          </cell>
          <cell r="J54" t="str">
            <v>ALL</v>
          </cell>
          <cell r="K54" t="str">
            <v>ALL</v>
          </cell>
          <cell r="L54" t="str">
            <v>TRN</v>
          </cell>
          <cell r="M54" t="str">
            <v>TRAINER</v>
          </cell>
          <cell r="N54" t="str">
            <v>TRN</v>
          </cell>
          <cell r="O54" t="str">
            <v>A (NS)</v>
          </cell>
        </row>
        <row r="55">
          <cell r="A55">
            <v>13648</v>
          </cell>
          <cell r="B55" t="str">
            <v>DENNY ANDRIATNO PRIBADI</v>
          </cell>
          <cell r="C55" t="str">
            <v>SAMI</v>
          </cell>
          <cell r="D55" t="str">
            <v>SPV UP</v>
          </cell>
          <cell r="E55">
            <v>41155</v>
          </cell>
          <cell r="F55" t="str">
            <v>-</v>
          </cell>
          <cell r="G55" t="str">
            <v>-</v>
          </cell>
          <cell r="H55" t="str">
            <v>PGA</v>
          </cell>
          <cell r="I55" t="str">
            <v>TRN &amp; MOTO</v>
          </cell>
          <cell r="J55" t="str">
            <v>ALL</v>
          </cell>
          <cell r="K55" t="str">
            <v>ALL</v>
          </cell>
          <cell r="L55" t="str">
            <v>TRN</v>
          </cell>
          <cell r="M55" t="str">
            <v>SUPERVISOR</v>
          </cell>
          <cell r="N55" t="str">
            <v>IDL SPV</v>
          </cell>
          <cell r="O55" t="str">
            <v>A (NS)</v>
          </cell>
        </row>
        <row r="56">
          <cell r="A56">
            <v>9184</v>
          </cell>
          <cell r="B56" t="str">
            <v>DESTY TRI NURHAYATI</v>
          </cell>
          <cell r="C56" t="str">
            <v>SAMI</v>
          </cell>
          <cell r="D56" t="str">
            <v>OPT-216</v>
          </cell>
          <cell r="E56">
            <v>40008</v>
          </cell>
          <cell r="F56" t="str">
            <v>-</v>
          </cell>
          <cell r="G56" t="str">
            <v>-</v>
          </cell>
          <cell r="H56" t="str">
            <v>OTHERS</v>
          </cell>
          <cell r="I56" t="str">
            <v>AT HOME</v>
          </cell>
          <cell r="J56" t="str">
            <v>ALL</v>
          </cell>
          <cell r="K56" t="str">
            <v>ALL</v>
          </cell>
          <cell r="L56" t="str">
            <v>AT HOME</v>
          </cell>
          <cell r="M56" t="str">
            <v>CUTI HAMIL</v>
          </cell>
          <cell r="N56" t="str">
            <v>AT HOME</v>
          </cell>
          <cell r="O56" t="str">
            <v>-</v>
          </cell>
        </row>
        <row r="57">
          <cell r="A57">
            <v>21708</v>
          </cell>
          <cell r="B57" t="str">
            <v>DEWI INDAH LESTARI</v>
          </cell>
          <cell r="C57" t="str">
            <v>SAMI</v>
          </cell>
          <cell r="D57" t="str">
            <v>OPT-539</v>
          </cell>
          <cell r="E57">
            <v>43087</v>
          </cell>
          <cell r="F57">
            <v>43118</v>
          </cell>
          <cell r="G57">
            <v>43496</v>
          </cell>
          <cell r="H57" t="str">
            <v>OTHERS</v>
          </cell>
          <cell r="I57" t="str">
            <v>AT HOME</v>
          </cell>
          <cell r="J57" t="str">
            <v>ALL</v>
          </cell>
          <cell r="K57" t="str">
            <v>ALL</v>
          </cell>
          <cell r="L57" t="str">
            <v>AT HOME</v>
          </cell>
          <cell r="M57" t="str">
            <v>CUTI HAMIL</v>
          </cell>
          <cell r="N57" t="str">
            <v>AT HOME</v>
          </cell>
          <cell r="O57" t="str">
            <v>-</v>
          </cell>
        </row>
        <row r="58">
          <cell r="A58">
            <v>12079</v>
          </cell>
          <cell r="B58" t="str">
            <v>CHOIRUN NIKMAH</v>
          </cell>
          <cell r="C58" t="str">
            <v>SAMI</v>
          </cell>
          <cell r="D58" t="str">
            <v>OPT-314</v>
          </cell>
          <cell r="E58">
            <v>40798</v>
          </cell>
          <cell r="F58" t="str">
            <v>-</v>
          </cell>
          <cell r="G58" t="str">
            <v>-</v>
          </cell>
          <cell r="H58" t="str">
            <v>OTHERS</v>
          </cell>
          <cell r="I58" t="str">
            <v>AT HOME</v>
          </cell>
          <cell r="J58" t="str">
            <v>ALL</v>
          </cell>
          <cell r="K58" t="str">
            <v>ALL</v>
          </cell>
          <cell r="L58" t="str">
            <v>AT HOME</v>
          </cell>
          <cell r="M58" t="str">
            <v>CUTI HAMIL</v>
          </cell>
          <cell r="N58" t="str">
            <v>AT HOME</v>
          </cell>
          <cell r="O58" t="str">
            <v>-</v>
          </cell>
        </row>
        <row r="59">
          <cell r="A59" t="str">
            <v>B00078</v>
          </cell>
          <cell r="B59" t="str">
            <v>SITI REFATIN</v>
          </cell>
          <cell r="C59" t="str">
            <v>SAMI</v>
          </cell>
          <cell r="D59" t="str">
            <v>BBF-001</v>
          </cell>
          <cell r="E59">
            <v>40826</v>
          </cell>
          <cell r="F59" t="str">
            <v>-</v>
          </cell>
          <cell r="G59" t="str">
            <v>-</v>
          </cell>
          <cell r="H59" t="str">
            <v>OTHERS</v>
          </cell>
          <cell r="I59" t="str">
            <v>AT HOME</v>
          </cell>
          <cell r="J59" t="str">
            <v>ALL</v>
          </cell>
          <cell r="K59" t="str">
            <v>ALL</v>
          </cell>
          <cell r="L59" t="str">
            <v>AT HOME</v>
          </cell>
          <cell r="M59" t="str">
            <v>CUTI HAMIL</v>
          </cell>
          <cell r="N59" t="str">
            <v>AT HOME</v>
          </cell>
          <cell r="O59" t="str">
            <v>-</v>
          </cell>
        </row>
        <row r="60">
          <cell r="A60">
            <v>10969</v>
          </cell>
          <cell r="B60" t="str">
            <v>YUVITA ICA WARDHANY</v>
          </cell>
          <cell r="C60" t="str">
            <v>SAMI</v>
          </cell>
          <cell r="D60" t="str">
            <v>OPT-285</v>
          </cell>
          <cell r="E60">
            <v>40578</v>
          </cell>
          <cell r="F60" t="str">
            <v>-</v>
          </cell>
          <cell r="G60" t="str">
            <v>-</v>
          </cell>
          <cell r="H60" t="str">
            <v>OTHERS</v>
          </cell>
          <cell r="I60" t="str">
            <v>AT HOME</v>
          </cell>
          <cell r="J60" t="str">
            <v>ALL</v>
          </cell>
          <cell r="K60" t="str">
            <v>ALL</v>
          </cell>
          <cell r="L60" t="str">
            <v>AT HOME</v>
          </cell>
          <cell r="M60" t="str">
            <v>CUTI HAMIL</v>
          </cell>
          <cell r="N60" t="str">
            <v>AT HOME</v>
          </cell>
          <cell r="O60" t="str">
            <v>-</v>
          </cell>
        </row>
        <row r="61">
          <cell r="A61">
            <v>574</v>
          </cell>
          <cell r="B61" t="str">
            <v>NANIK SETIYAWATI</v>
          </cell>
          <cell r="C61" t="str">
            <v>SAMI</v>
          </cell>
          <cell r="D61" t="str">
            <v>OPT-15</v>
          </cell>
          <cell r="E61">
            <v>37774</v>
          </cell>
          <cell r="F61" t="str">
            <v>-</v>
          </cell>
          <cell r="G61" t="str">
            <v>-</v>
          </cell>
          <cell r="H61" t="str">
            <v>OTHERS</v>
          </cell>
          <cell r="I61" t="str">
            <v>AT HOME</v>
          </cell>
          <cell r="J61" t="str">
            <v>ALL</v>
          </cell>
          <cell r="K61" t="str">
            <v>ALL</v>
          </cell>
          <cell r="L61" t="str">
            <v>AT HOME</v>
          </cell>
          <cell r="M61" t="str">
            <v>CUTI HAMIL</v>
          </cell>
          <cell r="N61" t="str">
            <v>AT HOME</v>
          </cell>
          <cell r="O61" t="str">
            <v>-</v>
          </cell>
        </row>
        <row r="62">
          <cell r="A62">
            <v>20640</v>
          </cell>
          <cell r="B62" t="str">
            <v xml:space="preserve">RITA SULISTIYAWATI </v>
          </cell>
          <cell r="C62" t="str">
            <v>SAMI</v>
          </cell>
          <cell r="D62" t="str">
            <v>OPT-505</v>
          </cell>
          <cell r="E62">
            <v>42639</v>
          </cell>
          <cell r="F62">
            <v>43132</v>
          </cell>
          <cell r="G62">
            <v>43496</v>
          </cell>
          <cell r="H62" t="str">
            <v>OTHERS</v>
          </cell>
          <cell r="I62" t="str">
            <v>AT HOME</v>
          </cell>
          <cell r="J62" t="str">
            <v>ALL</v>
          </cell>
          <cell r="K62" t="str">
            <v>ALL</v>
          </cell>
          <cell r="L62" t="str">
            <v>AT HOME</v>
          </cell>
          <cell r="M62" t="str">
            <v>CUTI HAMIL</v>
          </cell>
          <cell r="N62" t="str">
            <v>AT HOME</v>
          </cell>
          <cell r="O62" t="str">
            <v>-</v>
          </cell>
        </row>
        <row r="63">
          <cell r="A63">
            <v>11657</v>
          </cell>
          <cell r="B63" t="str">
            <v>ANITA KAROLINA</v>
          </cell>
          <cell r="C63" t="str">
            <v>SAMI</v>
          </cell>
          <cell r="D63" t="str">
            <v>OPT-308</v>
          </cell>
          <cell r="E63">
            <v>40714</v>
          </cell>
          <cell r="F63" t="str">
            <v>-</v>
          </cell>
          <cell r="G63" t="str">
            <v>-</v>
          </cell>
          <cell r="H63" t="str">
            <v>OTHERS</v>
          </cell>
          <cell r="I63" t="str">
            <v>AT HOME</v>
          </cell>
          <cell r="J63" t="str">
            <v>ALL</v>
          </cell>
          <cell r="K63" t="str">
            <v>ALL</v>
          </cell>
          <cell r="L63" t="str">
            <v>AT HOME</v>
          </cell>
          <cell r="M63" t="str">
            <v>CUTI HAMIL</v>
          </cell>
          <cell r="N63" t="str">
            <v>AT HOME</v>
          </cell>
          <cell r="O63" t="str">
            <v>-</v>
          </cell>
        </row>
        <row r="64">
          <cell r="A64">
            <v>9689</v>
          </cell>
          <cell r="B64" t="str">
            <v>NURKHAYATI</v>
          </cell>
          <cell r="C64" t="str">
            <v>SAMI</v>
          </cell>
          <cell r="D64" t="str">
            <v>OPT-222</v>
          </cell>
          <cell r="E64">
            <v>40297</v>
          </cell>
          <cell r="F64" t="str">
            <v>-</v>
          </cell>
          <cell r="G64" t="str">
            <v>-</v>
          </cell>
          <cell r="H64" t="str">
            <v>OTHERS</v>
          </cell>
          <cell r="I64" t="str">
            <v>AT HOME</v>
          </cell>
          <cell r="J64" t="str">
            <v>ALL</v>
          </cell>
          <cell r="K64" t="str">
            <v>ALL</v>
          </cell>
          <cell r="L64" t="str">
            <v>AT HOME</v>
          </cell>
          <cell r="M64" t="str">
            <v>CUTI HAMIL</v>
          </cell>
          <cell r="N64" t="str">
            <v>AT HOME</v>
          </cell>
          <cell r="O64" t="str">
            <v>-</v>
          </cell>
        </row>
        <row r="65">
          <cell r="A65">
            <v>226</v>
          </cell>
          <cell r="B65" t="str">
            <v>SUROWATI</v>
          </cell>
          <cell r="C65" t="str">
            <v>SAMI</v>
          </cell>
          <cell r="D65" t="str">
            <v>OPT-6</v>
          </cell>
          <cell r="E65">
            <v>37697</v>
          </cell>
          <cell r="F65" t="str">
            <v>-</v>
          </cell>
          <cell r="G65" t="str">
            <v>-</v>
          </cell>
          <cell r="H65" t="str">
            <v>OTHERS</v>
          </cell>
          <cell r="I65" t="str">
            <v>AT HOME</v>
          </cell>
          <cell r="J65" t="str">
            <v>ALL</v>
          </cell>
          <cell r="K65" t="str">
            <v>ALL</v>
          </cell>
          <cell r="L65" t="str">
            <v>AT HOME</v>
          </cell>
          <cell r="M65" t="str">
            <v>CUTI HAMIL</v>
          </cell>
          <cell r="N65" t="str">
            <v>AT HOME</v>
          </cell>
          <cell r="O65" t="str">
            <v>-</v>
          </cell>
        </row>
        <row r="66">
          <cell r="A66">
            <v>10248</v>
          </cell>
          <cell r="B66" t="str">
            <v>ISTI NUR FITRIANA</v>
          </cell>
          <cell r="C66" t="str">
            <v>SAMI</v>
          </cell>
          <cell r="D66" t="str">
            <v>OPT-261</v>
          </cell>
          <cell r="E66">
            <v>40497</v>
          </cell>
          <cell r="F66" t="str">
            <v>-</v>
          </cell>
          <cell r="G66" t="str">
            <v>-</v>
          </cell>
          <cell r="H66" t="str">
            <v>OTHERS</v>
          </cell>
          <cell r="I66" t="str">
            <v>AT HOME</v>
          </cell>
          <cell r="J66" t="str">
            <v>ALL</v>
          </cell>
          <cell r="K66" t="str">
            <v>ALL</v>
          </cell>
          <cell r="L66" t="str">
            <v>AT HOME</v>
          </cell>
          <cell r="M66" t="str">
            <v>CUTI HAMIL</v>
          </cell>
          <cell r="N66" t="str">
            <v>AT HOME</v>
          </cell>
          <cell r="O66" t="str">
            <v>-</v>
          </cell>
        </row>
        <row r="67">
          <cell r="A67">
            <v>10966</v>
          </cell>
          <cell r="B67" t="str">
            <v>WAHYU OKTAVIANA</v>
          </cell>
          <cell r="C67" t="str">
            <v>SAMI</v>
          </cell>
          <cell r="D67" t="str">
            <v>OPT-285</v>
          </cell>
          <cell r="E67">
            <v>40578</v>
          </cell>
          <cell r="F67" t="str">
            <v>-</v>
          </cell>
          <cell r="G67" t="str">
            <v>-</v>
          </cell>
          <cell r="H67" t="str">
            <v>OTHERS</v>
          </cell>
          <cell r="I67" t="str">
            <v>AT HOME</v>
          </cell>
          <cell r="J67" t="str">
            <v>ALL</v>
          </cell>
          <cell r="K67" t="str">
            <v>ALL</v>
          </cell>
          <cell r="L67" t="str">
            <v>AT HOME</v>
          </cell>
          <cell r="M67" t="str">
            <v>CUTI HAMIL</v>
          </cell>
          <cell r="N67" t="str">
            <v>AT HOME</v>
          </cell>
          <cell r="O67" t="str">
            <v>-</v>
          </cell>
        </row>
        <row r="68">
          <cell r="A68">
            <v>10586</v>
          </cell>
          <cell r="B68" t="str">
            <v>QODARYANI</v>
          </cell>
          <cell r="C68" t="str">
            <v>SAMI</v>
          </cell>
          <cell r="D68" t="str">
            <v>OPT-276</v>
          </cell>
          <cell r="E68">
            <v>40544</v>
          </cell>
          <cell r="F68" t="str">
            <v>-</v>
          </cell>
          <cell r="G68" t="str">
            <v>-</v>
          </cell>
          <cell r="H68" t="str">
            <v>OTHERS</v>
          </cell>
          <cell r="I68" t="str">
            <v>AT HOME</v>
          </cell>
          <cell r="J68" t="str">
            <v>ALL</v>
          </cell>
          <cell r="K68" t="str">
            <v>ALL</v>
          </cell>
          <cell r="L68" t="str">
            <v>AT HOME</v>
          </cell>
          <cell r="M68" t="str">
            <v>CUTI HAMIL</v>
          </cell>
          <cell r="N68" t="str">
            <v>AT HOME</v>
          </cell>
          <cell r="O68" t="str">
            <v>-</v>
          </cell>
        </row>
        <row r="69">
          <cell r="A69" t="str">
            <v>B00599</v>
          </cell>
          <cell r="B69" t="str">
            <v>SITI SUNDARI</v>
          </cell>
          <cell r="C69" t="str">
            <v>SAMI</v>
          </cell>
          <cell r="D69" t="str">
            <v>BBF-009</v>
          </cell>
          <cell r="E69">
            <v>40882</v>
          </cell>
          <cell r="F69" t="str">
            <v>-</v>
          </cell>
          <cell r="G69" t="str">
            <v>-</v>
          </cell>
          <cell r="H69" t="str">
            <v>OTHERS</v>
          </cell>
          <cell r="I69" t="str">
            <v>AT HOME</v>
          </cell>
          <cell r="J69" t="str">
            <v>ALL</v>
          </cell>
          <cell r="K69" t="str">
            <v>ALL</v>
          </cell>
          <cell r="L69" t="str">
            <v>AT HOME</v>
          </cell>
          <cell r="M69" t="str">
            <v>CUTI HAMIL</v>
          </cell>
          <cell r="N69" t="str">
            <v>AT HOME</v>
          </cell>
          <cell r="O69" t="str">
            <v>-</v>
          </cell>
        </row>
        <row r="70">
          <cell r="A70">
            <v>12879</v>
          </cell>
          <cell r="B70" t="str">
            <v>IFTA ASMANIAH</v>
          </cell>
          <cell r="C70" t="str">
            <v>SAMI</v>
          </cell>
          <cell r="D70" t="str">
            <v>OPT-322</v>
          </cell>
          <cell r="E70">
            <v>40833</v>
          </cell>
          <cell r="F70" t="str">
            <v>-</v>
          </cell>
          <cell r="G70" t="str">
            <v>-</v>
          </cell>
          <cell r="H70" t="str">
            <v>OTHERS</v>
          </cell>
          <cell r="I70" t="str">
            <v>AT HOME</v>
          </cell>
          <cell r="J70" t="str">
            <v>ALL</v>
          </cell>
          <cell r="K70" t="str">
            <v>ALL</v>
          </cell>
          <cell r="L70" t="str">
            <v>AT HOME</v>
          </cell>
          <cell r="M70" t="str">
            <v>CUTI HAMIL</v>
          </cell>
          <cell r="N70" t="str">
            <v>AT HOME</v>
          </cell>
          <cell r="O70" t="str">
            <v>-</v>
          </cell>
        </row>
        <row r="71">
          <cell r="A71">
            <v>13287</v>
          </cell>
          <cell r="B71" t="str">
            <v>ANA TRISNANINGSIH</v>
          </cell>
          <cell r="C71" t="str">
            <v>SAMI</v>
          </cell>
          <cell r="D71" t="str">
            <v>OPT-336</v>
          </cell>
          <cell r="E71">
            <v>40924</v>
          </cell>
          <cell r="F71" t="str">
            <v>-</v>
          </cell>
          <cell r="G71" t="str">
            <v>-</v>
          </cell>
          <cell r="H71" t="str">
            <v>OTHERS</v>
          </cell>
          <cell r="I71" t="str">
            <v>AT HOME</v>
          </cell>
          <cell r="J71" t="str">
            <v>ALL</v>
          </cell>
          <cell r="K71" t="str">
            <v>ALL</v>
          </cell>
          <cell r="L71" t="str">
            <v>AT HOME</v>
          </cell>
          <cell r="M71" t="str">
            <v>CUTI HAMIL</v>
          </cell>
          <cell r="N71" t="str">
            <v>AT HOME</v>
          </cell>
          <cell r="O71" t="str">
            <v>-</v>
          </cell>
        </row>
        <row r="72">
          <cell r="A72">
            <v>8687</v>
          </cell>
          <cell r="B72" t="str">
            <v>KHOIRIL UMAMAH</v>
          </cell>
          <cell r="C72" t="str">
            <v>SAMI</v>
          </cell>
          <cell r="D72" t="str">
            <v>OPT-190</v>
          </cell>
          <cell r="E72">
            <v>39888</v>
          </cell>
          <cell r="F72" t="str">
            <v>-</v>
          </cell>
          <cell r="G72" t="str">
            <v>-</v>
          </cell>
          <cell r="H72" t="str">
            <v>OTHERS</v>
          </cell>
          <cell r="I72" t="str">
            <v>AT HOME</v>
          </cell>
          <cell r="J72" t="str">
            <v>ALL</v>
          </cell>
          <cell r="K72" t="str">
            <v>ALL</v>
          </cell>
          <cell r="L72" t="str">
            <v>AT HOME</v>
          </cell>
          <cell r="M72" t="str">
            <v>CUTI HAMIL</v>
          </cell>
          <cell r="N72" t="str">
            <v>AT HOME</v>
          </cell>
          <cell r="O72" t="str">
            <v>-</v>
          </cell>
        </row>
        <row r="73">
          <cell r="A73">
            <v>22330</v>
          </cell>
          <cell r="B73" t="str">
            <v>DEWI ERNAWATI</v>
          </cell>
          <cell r="C73" t="str">
            <v>SAMI</v>
          </cell>
          <cell r="D73" t="str">
            <v>OPT-556</v>
          </cell>
          <cell r="E73">
            <v>43195</v>
          </cell>
          <cell r="F73">
            <v>43225</v>
          </cell>
          <cell r="G73">
            <v>43585</v>
          </cell>
          <cell r="H73" t="str">
            <v>OTHERS</v>
          </cell>
          <cell r="I73" t="str">
            <v>AT HOME</v>
          </cell>
          <cell r="J73" t="str">
            <v>ALL</v>
          </cell>
          <cell r="K73" t="str">
            <v>ALL</v>
          </cell>
          <cell r="L73" t="str">
            <v>AT HOME</v>
          </cell>
          <cell r="M73" t="str">
            <v>CUTI HAMIL</v>
          </cell>
          <cell r="N73" t="str">
            <v>AT HOME</v>
          </cell>
          <cell r="O73" t="str">
            <v>-</v>
          </cell>
        </row>
        <row r="74">
          <cell r="A74">
            <v>6097</v>
          </cell>
          <cell r="B74" t="str">
            <v>SUSILOWATI</v>
          </cell>
          <cell r="C74" t="str">
            <v>SAMI</v>
          </cell>
          <cell r="D74" t="str">
            <v>OPT-139</v>
          </cell>
          <cell r="E74">
            <v>39142</v>
          </cell>
          <cell r="F74" t="str">
            <v>-</v>
          </cell>
          <cell r="G74" t="str">
            <v>-</v>
          </cell>
          <cell r="H74" t="str">
            <v>OTHERS</v>
          </cell>
          <cell r="I74" t="str">
            <v>AT HOME</v>
          </cell>
          <cell r="J74" t="str">
            <v>ALL</v>
          </cell>
          <cell r="K74" t="str">
            <v>ALL</v>
          </cell>
          <cell r="L74" t="str">
            <v>AT HOME</v>
          </cell>
          <cell r="M74" t="str">
            <v>CUTI HAMIL</v>
          </cell>
          <cell r="N74" t="str">
            <v>AT HOME</v>
          </cell>
          <cell r="O74" t="str">
            <v>-</v>
          </cell>
        </row>
        <row r="75">
          <cell r="A75">
            <v>7780</v>
          </cell>
          <cell r="B75" t="str">
            <v>MIR'ATUL HIDAYAH</v>
          </cell>
          <cell r="C75" t="str">
            <v>SAMI</v>
          </cell>
          <cell r="D75" t="str">
            <v>ADM-36</v>
          </cell>
          <cell r="E75">
            <v>39630</v>
          </cell>
          <cell r="F75" t="str">
            <v>-</v>
          </cell>
          <cell r="G75" t="str">
            <v>-</v>
          </cell>
          <cell r="H75" t="str">
            <v>OTHERS</v>
          </cell>
          <cell r="I75" t="str">
            <v>AT HOME</v>
          </cell>
          <cell r="J75" t="str">
            <v>ALL</v>
          </cell>
          <cell r="K75" t="str">
            <v>ALL</v>
          </cell>
          <cell r="L75" t="str">
            <v>AT HOME</v>
          </cell>
          <cell r="M75" t="str">
            <v>CUTI HAMIL</v>
          </cell>
          <cell r="N75" t="str">
            <v>AT HOME</v>
          </cell>
          <cell r="O75" t="str">
            <v>-</v>
          </cell>
        </row>
        <row r="76">
          <cell r="A76">
            <v>11964</v>
          </cell>
          <cell r="B76" t="str">
            <v>SRI PUJI MK</v>
          </cell>
          <cell r="C76" t="str">
            <v>SAMI</v>
          </cell>
          <cell r="D76" t="str">
            <v>OPT-311</v>
          </cell>
          <cell r="E76">
            <v>40770</v>
          </cell>
          <cell r="F76" t="str">
            <v>-</v>
          </cell>
          <cell r="G76" t="str">
            <v>-</v>
          </cell>
          <cell r="H76" t="str">
            <v>OTHERS</v>
          </cell>
          <cell r="I76" t="str">
            <v>AT HOME</v>
          </cell>
          <cell r="J76" t="str">
            <v>ALL</v>
          </cell>
          <cell r="K76" t="str">
            <v>ALL</v>
          </cell>
          <cell r="L76" t="str">
            <v>AT HOME</v>
          </cell>
          <cell r="M76" t="str">
            <v>CUTI HAMIL</v>
          </cell>
          <cell r="N76" t="str">
            <v>AT HOME</v>
          </cell>
          <cell r="O76" t="str">
            <v>-</v>
          </cell>
        </row>
        <row r="77">
          <cell r="A77">
            <v>11911</v>
          </cell>
          <cell r="B77" t="str">
            <v>ZULISTIYANI</v>
          </cell>
          <cell r="C77" t="str">
            <v>SAMI</v>
          </cell>
          <cell r="D77" t="str">
            <v>OPT-310</v>
          </cell>
          <cell r="E77">
            <v>40735</v>
          </cell>
          <cell r="F77" t="str">
            <v>-</v>
          </cell>
          <cell r="G77" t="str">
            <v>-</v>
          </cell>
          <cell r="H77" t="str">
            <v>OTHERS</v>
          </cell>
          <cell r="I77" t="str">
            <v>AT HOME</v>
          </cell>
          <cell r="J77" t="str">
            <v>ALL</v>
          </cell>
          <cell r="K77" t="str">
            <v>ALL</v>
          </cell>
          <cell r="L77" t="str">
            <v>AT HOME</v>
          </cell>
          <cell r="M77" t="str">
            <v>CUTI HAMIL</v>
          </cell>
          <cell r="N77" t="str">
            <v>AT HOME</v>
          </cell>
          <cell r="O77" t="str">
            <v>-</v>
          </cell>
        </row>
        <row r="78">
          <cell r="A78">
            <v>360</v>
          </cell>
          <cell r="B78" t="str">
            <v>DARYANI</v>
          </cell>
          <cell r="C78" t="str">
            <v>SAMI</v>
          </cell>
          <cell r="D78" t="str">
            <v>OPT-10</v>
          </cell>
          <cell r="E78">
            <v>37732</v>
          </cell>
          <cell r="F78" t="str">
            <v>-</v>
          </cell>
          <cell r="G78" t="str">
            <v>-</v>
          </cell>
          <cell r="H78" t="str">
            <v>OTHERS</v>
          </cell>
          <cell r="I78" t="str">
            <v>AT HOME</v>
          </cell>
          <cell r="J78" t="str">
            <v>ALL</v>
          </cell>
          <cell r="K78" t="str">
            <v>ALL</v>
          </cell>
          <cell r="L78" t="str">
            <v>AT HOME</v>
          </cell>
          <cell r="M78" t="str">
            <v>CUTI HAMIL</v>
          </cell>
          <cell r="N78" t="str">
            <v>AT HOME</v>
          </cell>
          <cell r="O78" t="str">
            <v>-</v>
          </cell>
        </row>
        <row r="79">
          <cell r="A79">
            <v>315</v>
          </cell>
          <cell r="B79" t="str">
            <v>MURNIASIH</v>
          </cell>
          <cell r="C79" t="str">
            <v>SAMI</v>
          </cell>
          <cell r="D79" t="str">
            <v>OPT-9</v>
          </cell>
          <cell r="E79">
            <v>37725</v>
          </cell>
          <cell r="F79" t="str">
            <v>-</v>
          </cell>
          <cell r="G79" t="str">
            <v>-</v>
          </cell>
          <cell r="H79" t="str">
            <v>OTHERS</v>
          </cell>
          <cell r="I79" t="str">
            <v>AT HOME</v>
          </cell>
          <cell r="J79" t="str">
            <v>ALL</v>
          </cell>
          <cell r="K79" t="str">
            <v>ALL</v>
          </cell>
          <cell r="L79" t="str">
            <v>AT HOME</v>
          </cell>
          <cell r="M79" t="str">
            <v>CUTI HAMIL</v>
          </cell>
          <cell r="N79" t="str">
            <v>AT HOME</v>
          </cell>
          <cell r="O79" t="str">
            <v>-</v>
          </cell>
        </row>
        <row r="80">
          <cell r="A80">
            <v>16111</v>
          </cell>
          <cell r="B80" t="str">
            <v>WAIS AL QURNIE</v>
          </cell>
          <cell r="C80" t="str">
            <v>SAMI</v>
          </cell>
          <cell r="D80" t="str">
            <v>OPT-404</v>
          </cell>
          <cell r="E80">
            <v>41586</v>
          </cell>
          <cell r="F80" t="str">
            <v>-</v>
          </cell>
          <cell r="G80" t="str">
            <v>-</v>
          </cell>
          <cell r="H80" t="str">
            <v>OTHERS</v>
          </cell>
          <cell r="I80" t="str">
            <v>AT HOME</v>
          </cell>
          <cell r="J80" t="str">
            <v>ALL</v>
          </cell>
          <cell r="K80" t="str">
            <v>ALL</v>
          </cell>
          <cell r="L80" t="str">
            <v>AT HOME</v>
          </cell>
          <cell r="M80" t="str">
            <v>CUTI HAMIL</v>
          </cell>
          <cell r="N80" t="str">
            <v>AT HOME</v>
          </cell>
          <cell r="O80" t="str">
            <v>-</v>
          </cell>
        </row>
        <row r="81">
          <cell r="A81">
            <v>1007</v>
          </cell>
          <cell r="B81" t="str">
            <v>PUDJI UTAMI</v>
          </cell>
          <cell r="C81" t="str">
            <v>SAMI</v>
          </cell>
          <cell r="D81" t="str">
            <v>OPT-25</v>
          </cell>
          <cell r="E81">
            <v>37872</v>
          </cell>
          <cell r="F81" t="str">
            <v>-</v>
          </cell>
          <cell r="G81" t="str">
            <v>-</v>
          </cell>
          <cell r="H81" t="str">
            <v>OTHERS</v>
          </cell>
          <cell r="I81" t="str">
            <v>AT HOME</v>
          </cell>
          <cell r="J81" t="str">
            <v>ALL</v>
          </cell>
          <cell r="K81" t="str">
            <v>ALL</v>
          </cell>
          <cell r="L81" t="str">
            <v>AT HOME</v>
          </cell>
          <cell r="M81" t="str">
            <v>CUTI HAMIL</v>
          </cell>
          <cell r="N81" t="str">
            <v>AT HOME</v>
          </cell>
          <cell r="O81" t="str">
            <v>-</v>
          </cell>
        </row>
        <row r="82">
          <cell r="A82">
            <v>11406</v>
          </cell>
          <cell r="B82" t="str">
            <v>ARI WIDIYANI</v>
          </cell>
          <cell r="C82" t="str">
            <v>SAMI</v>
          </cell>
          <cell r="D82" t="str">
            <v>OPT-306</v>
          </cell>
          <cell r="E82">
            <v>40701</v>
          </cell>
          <cell r="F82" t="str">
            <v>-</v>
          </cell>
          <cell r="G82" t="str">
            <v>-</v>
          </cell>
          <cell r="H82" t="str">
            <v>OTHERS</v>
          </cell>
          <cell r="I82" t="str">
            <v>AT HOME</v>
          </cell>
          <cell r="J82" t="str">
            <v>ALL</v>
          </cell>
          <cell r="K82" t="str">
            <v>ALL</v>
          </cell>
          <cell r="L82" t="str">
            <v>AT HOME</v>
          </cell>
          <cell r="M82" t="str">
            <v>CUTI HAMIL</v>
          </cell>
          <cell r="N82" t="str">
            <v>AT HOME</v>
          </cell>
          <cell r="O82" t="str">
            <v>-</v>
          </cell>
        </row>
        <row r="83">
          <cell r="A83">
            <v>5933</v>
          </cell>
          <cell r="B83" t="str">
            <v>PURINAWATI</v>
          </cell>
          <cell r="C83" t="str">
            <v>SAMI</v>
          </cell>
          <cell r="D83" t="str">
            <v>OPT-137</v>
          </cell>
          <cell r="E83">
            <v>39129</v>
          </cell>
          <cell r="F83" t="str">
            <v>-</v>
          </cell>
          <cell r="G83" t="str">
            <v>-</v>
          </cell>
          <cell r="H83" t="str">
            <v>OTHERS</v>
          </cell>
          <cell r="I83" t="str">
            <v>AT HOME</v>
          </cell>
          <cell r="J83" t="str">
            <v>ALL</v>
          </cell>
          <cell r="K83" t="str">
            <v>ALL</v>
          </cell>
          <cell r="L83" t="str">
            <v>AT HOME</v>
          </cell>
          <cell r="M83" t="str">
            <v>CUTI HAMIL</v>
          </cell>
          <cell r="N83" t="str">
            <v>AT HOME</v>
          </cell>
          <cell r="O83" t="str">
            <v>-</v>
          </cell>
        </row>
        <row r="84">
          <cell r="A84">
            <v>8991</v>
          </cell>
          <cell r="B84" t="str">
            <v>ANJAR SETIYANI</v>
          </cell>
          <cell r="C84" t="str">
            <v>SAMI</v>
          </cell>
          <cell r="D84" t="str">
            <v>OPT-201</v>
          </cell>
          <cell r="E84">
            <v>39975</v>
          </cell>
          <cell r="F84" t="str">
            <v>-</v>
          </cell>
          <cell r="G84" t="str">
            <v>-</v>
          </cell>
          <cell r="H84" t="str">
            <v>OTHERS</v>
          </cell>
          <cell r="I84" t="str">
            <v>AT HOME</v>
          </cell>
          <cell r="J84" t="str">
            <v>ALL</v>
          </cell>
          <cell r="K84" t="str">
            <v>ALL</v>
          </cell>
          <cell r="L84" t="str">
            <v>AT HOME</v>
          </cell>
          <cell r="M84" t="str">
            <v>CUTI HAMIL</v>
          </cell>
          <cell r="N84" t="str">
            <v>AT HOME</v>
          </cell>
          <cell r="O84" t="str">
            <v>-</v>
          </cell>
        </row>
        <row r="85">
          <cell r="A85">
            <v>12986</v>
          </cell>
          <cell r="B85" t="str">
            <v>PIPIT FITRIATI</v>
          </cell>
          <cell r="C85" t="str">
            <v>SAMI</v>
          </cell>
          <cell r="D85" t="str">
            <v>OPT-323</v>
          </cell>
          <cell r="E85">
            <v>40840</v>
          </cell>
          <cell r="F85" t="str">
            <v>-</v>
          </cell>
          <cell r="G85" t="str">
            <v>-</v>
          </cell>
          <cell r="H85" t="str">
            <v>OTHERS</v>
          </cell>
          <cell r="I85" t="str">
            <v>AT HOME</v>
          </cell>
          <cell r="J85" t="str">
            <v>ALL</v>
          </cell>
          <cell r="K85" t="str">
            <v>ALL</v>
          </cell>
          <cell r="L85" t="str">
            <v>AT HOME</v>
          </cell>
          <cell r="M85" t="str">
            <v>CUTI HAMIL</v>
          </cell>
          <cell r="N85" t="str">
            <v>AT HOME</v>
          </cell>
          <cell r="O85" t="str">
            <v>-</v>
          </cell>
        </row>
        <row r="86">
          <cell r="A86">
            <v>568</v>
          </cell>
          <cell r="B86" t="str">
            <v>BUDI FATNASARI</v>
          </cell>
          <cell r="C86" t="str">
            <v>SAMI</v>
          </cell>
          <cell r="D86" t="str">
            <v>OPT-15</v>
          </cell>
          <cell r="E86">
            <v>37774</v>
          </cell>
          <cell r="F86" t="str">
            <v>-</v>
          </cell>
          <cell r="G86" t="str">
            <v>-</v>
          </cell>
          <cell r="H86" t="str">
            <v>OTHERS</v>
          </cell>
          <cell r="I86" t="str">
            <v>AT HOME</v>
          </cell>
          <cell r="J86" t="str">
            <v>ALL</v>
          </cell>
          <cell r="K86" t="str">
            <v>ALL</v>
          </cell>
          <cell r="L86" t="str">
            <v>AT HOME</v>
          </cell>
          <cell r="M86" t="str">
            <v>CUTI HAMIL</v>
          </cell>
          <cell r="N86" t="str">
            <v>AT HOME</v>
          </cell>
          <cell r="O86" t="str">
            <v>-</v>
          </cell>
        </row>
        <row r="87">
          <cell r="A87">
            <v>6086</v>
          </cell>
          <cell r="B87" t="str">
            <v>SARI NURHAYATI</v>
          </cell>
          <cell r="C87" t="str">
            <v>SAMI</v>
          </cell>
          <cell r="D87" t="str">
            <v>OPT-139</v>
          </cell>
          <cell r="E87">
            <v>39142</v>
          </cell>
          <cell r="F87" t="str">
            <v>-</v>
          </cell>
          <cell r="G87" t="str">
            <v>-</v>
          </cell>
          <cell r="H87" t="str">
            <v>OTHERS</v>
          </cell>
          <cell r="I87" t="str">
            <v>AT HOME</v>
          </cell>
          <cell r="J87" t="str">
            <v>ALL</v>
          </cell>
          <cell r="K87" t="str">
            <v>ALL</v>
          </cell>
          <cell r="L87" t="str">
            <v>AT HOME</v>
          </cell>
          <cell r="M87" t="str">
            <v>CUTI HAMIL</v>
          </cell>
          <cell r="N87" t="str">
            <v>AT HOME</v>
          </cell>
          <cell r="O87" t="str">
            <v>-</v>
          </cell>
        </row>
        <row r="88">
          <cell r="A88">
            <v>9558</v>
          </cell>
          <cell r="B88" t="str">
            <v>SYAADATUL ABADIYAH</v>
          </cell>
          <cell r="C88" t="str">
            <v>SAMI</v>
          </cell>
          <cell r="D88" t="str">
            <v>OPT-216</v>
          </cell>
          <cell r="E88">
            <v>40154</v>
          </cell>
          <cell r="F88" t="str">
            <v>-</v>
          </cell>
          <cell r="G88" t="str">
            <v>-</v>
          </cell>
          <cell r="H88" t="str">
            <v>OTHERS</v>
          </cell>
          <cell r="I88" t="str">
            <v>AT HOME</v>
          </cell>
          <cell r="J88" t="str">
            <v>ALL</v>
          </cell>
          <cell r="K88" t="str">
            <v>ALL</v>
          </cell>
          <cell r="L88" t="str">
            <v>AT HOME</v>
          </cell>
          <cell r="M88" t="str">
            <v>CUTI HAMIL</v>
          </cell>
          <cell r="N88" t="str">
            <v>AT HOME</v>
          </cell>
          <cell r="O88" t="str">
            <v>-</v>
          </cell>
        </row>
        <row r="89">
          <cell r="A89">
            <v>12530</v>
          </cell>
          <cell r="B89" t="str">
            <v>SITI ALIYAH</v>
          </cell>
          <cell r="C89" t="str">
            <v>SAMI</v>
          </cell>
          <cell r="D89" t="str">
            <v>OPT-318</v>
          </cell>
          <cell r="E89">
            <v>40812</v>
          </cell>
          <cell r="F89" t="str">
            <v>-</v>
          </cell>
          <cell r="G89" t="str">
            <v>-</v>
          </cell>
          <cell r="H89" t="str">
            <v>OTHERS</v>
          </cell>
          <cell r="I89" t="str">
            <v>AT HOME</v>
          </cell>
          <cell r="J89" t="str">
            <v>ALL</v>
          </cell>
          <cell r="K89" t="str">
            <v>ALL</v>
          </cell>
          <cell r="L89" t="str">
            <v>AT HOME</v>
          </cell>
          <cell r="M89" t="str">
            <v>CUTI HAMIL</v>
          </cell>
          <cell r="N89" t="str">
            <v>AT HOME</v>
          </cell>
          <cell r="O89" t="str">
            <v>-</v>
          </cell>
        </row>
        <row r="90">
          <cell r="A90">
            <v>12394</v>
          </cell>
          <cell r="B90" t="str">
            <v>ROIKHATUL ABHARIYAH</v>
          </cell>
          <cell r="C90" t="str">
            <v>SAMI</v>
          </cell>
          <cell r="D90" t="str">
            <v>OPT-317</v>
          </cell>
          <cell r="E90">
            <v>40809</v>
          </cell>
          <cell r="F90" t="str">
            <v>-</v>
          </cell>
          <cell r="G90" t="str">
            <v>-</v>
          </cell>
          <cell r="H90" t="str">
            <v>OTHERS</v>
          </cell>
          <cell r="I90" t="str">
            <v>AT HOME</v>
          </cell>
          <cell r="J90" t="str">
            <v>ALL</v>
          </cell>
          <cell r="K90" t="str">
            <v>ALL</v>
          </cell>
          <cell r="L90" t="str">
            <v>AT HOME</v>
          </cell>
          <cell r="M90" t="str">
            <v>CUTI HAMIL</v>
          </cell>
          <cell r="N90" t="str">
            <v>AT HOME</v>
          </cell>
          <cell r="O90" t="str">
            <v>-</v>
          </cell>
        </row>
        <row r="91">
          <cell r="A91">
            <v>6106</v>
          </cell>
          <cell r="B91" t="str">
            <v>WAHYU NINGSIH</v>
          </cell>
          <cell r="C91" t="str">
            <v>SAMI</v>
          </cell>
          <cell r="D91" t="str">
            <v>OPT-139</v>
          </cell>
          <cell r="E91">
            <v>39142</v>
          </cell>
          <cell r="F91" t="str">
            <v>-</v>
          </cell>
          <cell r="G91" t="str">
            <v>-</v>
          </cell>
          <cell r="H91" t="str">
            <v>OTHERS</v>
          </cell>
          <cell r="I91" t="str">
            <v>AT HOME</v>
          </cell>
          <cell r="J91" t="str">
            <v>ALL</v>
          </cell>
          <cell r="K91" t="str">
            <v>ALL</v>
          </cell>
          <cell r="L91" t="str">
            <v>AT HOME</v>
          </cell>
          <cell r="M91" t="str">
            <v>CUTI HAMIL</v>
          </cell>
          <cell r="N91" t="str">
            <v>AT HOME</v>
          </cell>
          <cell r="O91" t="str">
            <v>-</v>
          </cell>
        </row>
        <row r="92">
          <cell r="A92">
            <v>13206</v>
          </cell>
          <cell r="B92" t="str">
            <v>NUR NASEHAH</v>
          </cell>
          <cell r="C92" t="str">
            <v>SAMI</v>
          </cell>
          <cell r="D92" t="str">
            <v>OPT-334</v>
          </cell>
          <cell r="E92">
            <v>40910</v>
          </cell>
          <cell r="F92" t="str">
            <v>-</v>
          </cell>
          <cell r="G92" t="str">
            <v>-</v>
          </cell>
          <cell r="H92" t="str">
            <v>OTHERS</v>
          </cell>
          <cell r="I92" t="str">
            <v>AT HOME</v>
          </cell>
          <cell r="J92" t="str">
            <v>ALL</v>
          </cell>
          <cell r="K92" t="str">
            <v>ALL</v>
          </cell>
          <cell r="L92" t="str">
            <v>AT HOME</v>
          </cell>
          <cell r="M92" t="str">
            <v>CUTI HAMIL</v>
          </cell>
          <cell r="N92" t="str">
            <v>AT HOME</v>
          </cell>
          <cell r="O92" t="str">
            <v>-</v>
          </cell>
        </row>
        <row r="93">
          <cell r="A93">
            <v>6156</v>
          </cell>
          <cell r="B93" t="str">
            <v>SAINUR HAKIM</v>
          </cell>
          <cell r="C93" t="str">
            <v>SAMI</v>
          </cell>
          <cell r="D93" t="str">
            <v>OPT-140</v>
          </cell>
          <cell r="E93">
            <v>39157</v>
          </cell>
          <cell r="F93" t="str">
            <v>-</v>
          </cell>
          <cell r="G93" t="str">
            <v>-</v>
          </cell>
          <cell r="H93" t="str">
            <v>OTHERS</v>
          </cell>
          <cell r="I93" t="str">
            <v>AT HOME</v>
          </cell>
          <cell r="J93" t="str">
            <v>ALL</v>
          </cell>
          <cell r="K93" t="str">
            <v>ALL</v>
          </cell>
          <cell r="L93" t="str">
            <v>AT HOME</v>
          </cell>
          <cell r="M93" t="str">
            <v>CUTI HAMIL</v>
          </cell>
          <cell r="N93" t="str">
            <v>AT HOME</v>
          </cell>
          <cell r="O93" t="str">
            <v>-</v>
          </cell>
        </row>
        <row r="94">
          <cell r="A94">
            <v>10762</v>
          </cell>
          <cell r="B94" t="str">
            <v>WIHAYA PURMANA SARI</v>
          </cell>
          <cell r="C94" t="str">
            <v>SAMI</v>
          </cell>
          <cell r="D94" t="str">
            <v>OPT-281</v>
          </cell>
          <cell r="E94">
            <v>40566</v>
          </cell>
          <cell r="F94" t="str">
            <v>-</v>
          </cell>
          <cell r="G94" t="str">
            <v>-</v>
          </cell>
          <cell r="H94" t="str">
            <v>OTHERS</v>
          </cell>
          <cell r="I94" t="str">
            <v>AT HOME</v>
          </cell>
          <cell r="J94" t="str">
            <v>ALL</v>
          </cell>
          <cell r="K94" t="str">
            <v>ALL</v>
          </cell>
          <cell r="L94" t="str">
            <v>AT HOME</v>
          </cell>
          <cell r="M94" t="str">
            <v>CUTI HAMIL</v>
          </cell>
          <cell r="N94" t="str">
            <v>AT HOME</v>
          </cell>
          <cell r="O94" t="str">
            <v>-</v>
          </cell>
        </row>
        <row r="95">
          <cell r="A95">
            <v>21827</v>
          </cell>
          <cell r="B95" t="str">
            <v>ERFI ANGGRELIA</v>
          </cell>
          <cell r="C95" t="str">
            <v>SAMI</v>
          </cell>
          <cell r="D95" t="str">
            <v>OPT-541</v>
          </cell>
          <cell r="E95">
            <v>43098</v>
          </cell>
          <cell r="F95">
            <v>43129</v>
          </cell>
          <cell r="G95">
            <v>43496</v>
          </cell>
          <cell r="H95" t="str">
            <v>OTHERS</v>
          </cell>
          <cell r="I95" t="str">
            <v>AT HOME</v>
          </cell>
          <cell r="J95" t="str">
            <v>ALL</v>
          </cell>
          <cell r="K95" t="str">
            <v>ALL</v>
          </cell>
          <cell r="L95" t="str">
            <v>AT HOME</v>
          </cell>
          <cell r="M95" t="str">
            <v>CUTI HAMIL</v>
          </cell>
          <cell r="N95" t="str">
            <v>AT HOME</v>
          </cell>
          <cell r="O95" t="str">
            <v>-</v>
          </cell>
        </row>
        <row r="96">
          <cell r="A96">
            <v>11729</v>
          </cell>
          <cell r="B96" t="str">
            <v>LAILIA NUR ARISTA</v>
          </cell>
          <cell r="C96" t="str">
            <v>SAMI</v>
          </cell>
          <cell r="D96" t="str">
            <v>OPT-308</v>
          </cell>
          <cell r="E96">
            <v>40714</v>
          </cell>
          <cell r="F96" t="str">
            <v>-</v>
          </cell>
          <cell r="G96" t="str">
            <v>-</v>
          </cell>
          <cell r="H96" t="str">
            <v>OTHERS</v>
          </cell>
          <cell r="I96" t="str">
            <v>AT HOME</v>
          </cell>
          <cell r="J96" t="str">
            <v>ALL</v>
          </cell>
          <cell r="K96" t="str">
            <v>ALL</v>
          </cell>
          <cell r="L96" t="str">
            <v>AT HOME</v>
          </cell>
          <cell r="M96" t="str">
            <v>CUTI HAMIL</v>
          </cell>
          <cell r="N96" t="str">
            <v>AT HOME</v>
          </cell>
          <cell r="O96" t="str">
            <v>-</v>
          </cell>
        </row>
        <row r="97">
          <cell r="A97">
            <v>9157</v>
          </cell>
          <cell r="B97" t="str">
            <v>NURTIA SUHARYANTI</v>
          </cell>
          <cell r="C97" t="str">
            <v>SAMI</v>
          </cell>
          <cell r="D97" t="str">
            <v>OPT-205</v>
          </cell>
          <cell r="E97">
            <v>40000</v>
          </cell>
          <cell r="F97" t="str">
            <v>-</v>
          </cell>
          <cell r="G97" t="str">
            <v>-</v>
          </cell>
          <cell r="H97" t="str">
            <v>OTHERS</v>
          </cell>
          <cell r="I97" t="str">
            <v>AT HOME</v>
          </cell>
          <cell r="J97" t="str">
            <v>ALL</v>
          </cell>
          <cell r="K97" t="str">
            <v>ALL</v>
          </cell>
          <cell r="L97" t="str">
            <v>AT HOME</v>
          </cell>
          <cell r="M97" t="str">
            <v>CUTI HAMIL</v>
          </cell>
          <cell r="N97" t="str">
            <v>AT HOME</v>
          </cell>
          <cell r="O97" t="str">
            <v>-</v>
          </cell>
        </row>
        <row r="98">
          <cell r="A98">
            <v>815</v>
          </cell>
          <cell r="B98" t="str">
            <v>SRI HASNANI</v>
          </cell>
          <cell r="C98" t="str">
            <v>SAMI</v>
          </cell>
          <cell r="D98" t="str">
            <v>OPT-21</v>
          </cell>
          <cell r="E98">
            <v>37837</v>
          </cell>
          <cell r="F98" t="str">
            <v>-</v>
          </cell>
          <cell r="G98" t="str">
            <v>-</v>
          </cell>
          <cell r="H98" t="str">
            <v>OTHERS</v>
          </cell>
          <cell r="I98" t="str">
            <v>AT HOME</v>
          </cell>
          <cell r="J98" t="str">
            <v>ALL</v>
          </cell>
          <cell r="K98" t="str">
            <v>ALL</v>
          </cell>
          <cell r="L98" t="str">
            <v>AT HOME</v>
          </cell>
          <cell r="M98" t="str">
            <v>CUTI HAMIL</v>
          </cell>
          <cell r="N98" t="str">
            <v>AT HOME</v>
          </cell>
          <cell r="O98" t="str">
            <v>-</v>
          </cell>
        </row>
        <row r="99">
          <cell r="A99">
            <v>10234</v>
          </cell>
          <cell r="B99" t="str">
            <v>ENDANG NURDIATI</v>
          </cell>
          <cell r="C99" t="str">
            <v>SAMI</v>
          </cell>
          <cell r="D99" t="str">
            <v>OPT-259</v>
          </cell>
          <cell r="E99">
            <v>40489</v>
          </cell>
          <cell r="F99" t="str">
            <v>-</v>
          </cell>
          <cell r="G99" t="str">
            <v>-</v>
          </cell>
          <cell r="H99" t="str">
            <v>OTHERS</v>
          </cell>
          <cell r="I99" t="str">
            <v>AT HOME</v>
          </cell>
          <cell r="J99" t="str">
            <v>ALL</v>
          </cell>
          <cell r="K99" t="str">
            <v>ALL</v>
          </cell>
          <cell r="L99" t="str">
            <v>AT HOME</v>
          </cell>
          <cell r="M99" t="str">
            <v>CUTI HAMIL</v>
          </cell>
          <cell r="N99" t="str">
            <v>AT HOME</v>
          </cell>
          <cell r="O99" t="str">
            <v>-</v>
          </cell>
        </row>
        <row r="100">
          <cell r="A100">
            <v>10519</v>
          </cell>
          <cell r="B100" t="str">
            <v>RAHAYU SAPTONINGSIH</v>
          </cell>
          <cell r="C100" t="str">
            <v>SAMI</v>
          </cell>
          <cell r="D100" t="str">
            <v>OPT-273</v>
          </cell>
          <cell r="E100">
            <v>40535</v>
          </cell>
          <cell r="F100" t="str">
            <v>-</v>
          </cell>
          <cell r="G100" t="str">
            <v>-</v>
          </cell>
          <cell r="H100" t="str">
            <v>OTHERS</v>
          </cell>
          <cell r="I100" t="str">
            <v>AT HOME</v>
          </cell>
          <cell r="J100" t="str">
            <v>ALL</v>
          </cell>
          <cell r="K100" t="str">
            <v>ALL</v>
          </cell>
          <cell r="L100" t="str">
            <v>AT HOME</v>
          </cell>
          <cell r="M100" t="str">
            <v>CUTI HAMIL</v>
          </cell>
          <cell r="N100" t="str">
            <v>AT HOME</v>
          </cell>
          <cell r="O100" t="str">
            <v>-</v>
          </cell>
        </row>
        <row r="101">
          <cell r="A101">
            <v>21932</v>
          </cell>
          <cell r="B101" t="str">
            <v>ASHAR IMADUDIN ROIS</v>
          </cell>
          <cell r="C101" t="str">
            <v>SAMI</v>
          </cell>
          <cell r="D101" t="str">
            <v>OPT-544</v>
          </cell>
          <cell r="E101">
            <v>43111</v>
          </cell>
          <cell r="F101">
            <v>43142</v>
          </cell>
          <cell r="G101">
            <v>43496</v>
          </cell>
          <cell r="H101" t="str">
            <v>OTHERS</v>
          </cell>
          <cell r="I101" t="str">
            <v>BUFFER MP</v>
          </cell>
          <cell r="J101" t="str">
            <v>ALL</v>
          </cell>
          <cell r="K101" t="str">
            <v>ALL</v>
          </cell>
          <cell r="L101" t="str">
            <v>BUFFER MP SAMI</v>
          </cell>
          <cell r="M101" t="str">
            <v>BUFFER MP</v>
          </cell>
          <cell r="N101" t="str">
            <v>OTHERS IDL</v>
          </cell>
          <cell r="O101" t="str">
            <v>A (NS)</v>
          </cell>
        </row>
        <row r="102">
          <cell r="A102">
            <v>22603</v>
          </cell>
          <cell r="B102" t="str">
            <v>ISMIATI</v>
          </cell>
          <cell r="C102" t="str">
            <v>SAMI</v>
          </cell>
          <cell r="D102" t="str">
            <v>OPT-561</v>
          </cell>
          <cell r="E102">
            <v>43236</v>
          </cell>
          <cell r="F102">
            <v>43267</v>
          </cell>
          <cell r="G102">
            <v>43646</v>
          </cell>
          <cell r="H102" t="str">
            <v>OTHERS</v>
          </cell>
          <cell r="I102" t="str">
            <v>BUFFER MP</v>
          </cell>
          <cell r="J102" t="str">
            <v>ALL</v>
          </cell>
          <cell r="K102" t="str">
            <v>ALL</v>
          </cell>
          <cell r="L102" t="str">
            <v>BUFFER MP SAMI</v>
          </cell>
          <cell r="M102" t="str">
            <v>BUFFER MP</v>
          </cell>
          <cell r="N102" t="str">
            <v>OTHERS IDL</v>
          </cell>
          <cell r="O102" t="str">
            <v>A (NS)</v>
          </cell>
        </row>
        <row r="103">
          <cell r="A103">
            <v>8799</v>
          </cell>
          <cell r="B103" t="str">
            <v>SRI MUNIROH</v>
          </cell>
          <cell r="C103" t="str">
            <v>SAMI</v>
          </cell>
          <cell r="D103" t="str">
            <v>OPT-194</v>
          </cell>
          <cell r="E103">
            <v>39931</v>
          </cell>
          <cell r="F103" t="str">
            <v>-</v>
          </cell>
          <cell r="G103" t="str">
            <v>-</v>
          </cell>
          <cell r="H103" t="str">
            <v>OTHERS</v>
          </cell>
          <cell r="I103" t="str">
            <v>BUFFER MP</v>
          </cell>
          <cell r="J103" t="str">
            <v>ALL</v>
          </cell>
          <cell r="K103" t="str">
            <v>ALL</v>
          </cell>
          <cell r="L103" t="str">
            <v>BUFFER MP SAMI</v>
          </cell>
          <cell r="M103" t="str">
            <v>BUFFER MP</v>
          </cell>
          <cell r="N103" t="str">
            <v>OTHERS IDL</v>
          </cell>
          <cell r="O103" t="str">
            <v>A (NS)</v>
          </cell>
        </row>
        <row r="104">
          <cell r="A104">
            <v>9162</v>
          </cell>
          <cell r="B104" t="str">
            <v>RIKHA SEPTIANI</v>
          </cell>
          <cell r="C104" t="str">
            <v>SAMI</v>
          </cell>
          <cell r="D104" t="str">
            <v>OPT-205</v>
          </cell>
          <cell r="E104">
            <v>40000</v>
          </cell>
          <cell r="F104" t="str">
            <v>-</v>
          </cell>
          <cell r="G104" t="str">
            <v>-</v>
          </cell>
          <cell r="H104" t="str">
            <v>OTHERS</v>
          </cell>
          <cell r="I104" t="str">
            <v>BUFFER MP</v>
          </cell>
          <cell r="J104" t="str">
            <v>ALL</v>
          </cell>
          <cell r="K104" t="str">
            <v>ALL</v>
          </cell>
          <cell r="L104" t="str">
            <v>BUFFER MP SAMI</v>
          </cell>
          <cell r="M104" t="str">
            <v>BUFFER MP</v>
          </cell>
          <cell r="N104" t="str">
            <v>OTHERS IDL</v>
          </cell>
          <cell r="O104" t="str">
            <v>A (NS)</v>
          </cell>
        </row>
        <row r="105">
          <cell r="A105">
            <v>10265</v>
          </cell>
          <cell r="B105" t="str">
            <v>SUSANTI</v>
          </cell>
          <cell r="C105" t="str">
            <v>SAMI</v>
          </cell>
          <cell r="D105" t="str">
            <v>OPT-261</v>
          </cell>
          <cell r="E105">
            <v>40497</v>
          </cell>
          <cell r="F105" t="str">
            <v>-</v>
          </cell>
          <cell r="G105" t="str">
            <v>-</v>
          </cell>
          <cell r="H105" t="str">
            <v>OTHERS</v>
          </cell>
          <cell r="I105" t="str">
            <v>BUFFER MP</v>
          </cell>
          <cell r="J105" t="str">
            <v>ALL</v>
          </cell>
          <cell r="K105" t="str">
            <v>ALL</v>
          </cell>
          <cell r="L105" t="str">
            <v>BUFFER MP SAMI</v>
          </cell>
          <cell r="M105" t="str">
            <v>BUFFER MP</v>
          </cell>
          <cell r="N105" t="str">
            <v>OTHERS IDL</v>
          </cell>
          <cell r="O105" t="str">
            <v>A (NS)</v>
          </cell>
        </row>
        <row r="106">
          <cell r="A106">
            <v>12227</v>
          </cell>
          <cell r="B106" t="str">
            <v>YULIYANTI</v>
          </cell>
          <cell r="C106" t="str">
            <v>SAMI</v>
          </cell>
          <cell r="D106" t="str">
            <v>OPT-315</v>
          </cell>
          <cell r="E106">
            <v>40802</v>
          </cell>
          <cell r="F106" t="str">
            <v>-</v>
          </cell>
          <cell r="G106" t="str">
            <v>-</v>
          </cell>
          <cell r="H106" t="str">
            <v>OTHERS</v>
          </cell>
          <cell r="I106" t="str">
            <v>BUFFER MP</v>
          </cell>
          <cell r="J106" t="str">
            <v>ALL</v>
          </cell>
          <cell r="K106" t="str">
            <v>ALL</v>
          </cell>
          <cell r="L106" t="str">
            <v>BUFFER MP SAMI</v>
          </cell>
          <cell r="M106" t="str">
            <v>BUFFER MP</v>
          </cell>
          <cell r="N106" t="str">
            <v>OTHERS IDL</v>
          </cell>
          <cell r="O106" t="str">
            <v>A (NS)</v>
          </cell>
        </row>
        <row r="107">
          <cell r="A107">
            <v>10416</v>
          </cell>
          <cell r="B107" t="str">
            <v>SAFITRI DEWI KHOERIYAH</v>
          </cell>
          <cell r="C107" t="str">
            <v>SAMI</v>
          </cell>
          <cell r="D107" t="str">
            <v>OPT-268</v>
          </cell>
          <cell r="E107">
            <v>40518</v>
          </cell>
          <cell r="F107" t="str">
            <v>-</v>
          </cell>
          <cell r="G107" t="str">
            <v>-</v>
          </cell>
          <cell r="H107" t="str">
            <v>OTHERS</v>
          </cell>
          <cell r="I107" t="str">
            <v>BUFFER MP</v>
          </cell>
          <cell r="J107" t="str">
            <v>ALL</v>
          </cell>
          <cell r="K107" t="str">
            <v>ALL</v>
          </cell>
          <cell r="L107" t="str">
            <v>BUFFER MP SAMI</v>
          </cell>
          <cell r="M107" t="str">
            <v>BUFFER MP</v>
          </cell>
          <cell r="N107" t="str">
            <v>OTHERS IDL</v>
          </cell>
          <cell r="O107" t="str">
            <v>A (NS)</v>
          </cell>
        </row>
        <row r="108">
          <cell r="A108">
            <v>21931</v>
          </cell>
          <cell r="B108" t="str">
            <v>ARI DWI PURWANTO</v>
          </cell>
          <cell r="C108" t="str">
            <v>SAMI</v>
          </cell>
          <cell r="D108" t="str">
            <v>OPT-544</v>
          </cell>
          <cell r="E108">
            <v>43111</v>
          </cell>
          <cell r="F108">
            <v>43142</v>
          </cell>
          <cell r="G108">
            <v>43496</v>
          </cell>
          <cell r="H108" t="str">
            <v>OTHERS</v>
          </cell>
          <cell r="I108" t="str">
            <v>BUFFER MP</v>
          </cell>
          <cell r="J108" t="str">
            <v>ALL</v>
          </cell>
          <cell r="K108" t="str">
            <v>ALL</v>
          </cell>
          <cell r="L108" t="str">
            <v>BUFFER MP SAMI</v>
          </cell>
          <cell r="M108" t="str">
            <v>BUFFER MP</v>
          </cell>
          <cell r="N108" t="str">
            <v>OTHERS IDL</v>
          </cell>
          <cell r="O108" t="str">
            <v>A (NS)</v>
          </cell>
        </row>
        <row r="109">
          <cell r="A109">
            <v>900</v>
          </cell>
          <cell r="B109" t="str">
            <v>SRI AYU MANDANI</v>
          </cell>
          <cell r="C109" t="str">
            <v>SAMI</v>
          </cell>
          <cell r="D109" t="str">
            <v>OPT-23</v>
          </cell>
          <cell r="E109">
            <v>37858</v>
          </cell>
          <cell r="F109" t="str">
            <v>-</v>
          </cell>
          <cell r="G109" t="str">
            <v>-</v>
          </cell>
          <cell r="H109" t="str">
            <v>OTHERS</v>
          </cell>
          <cell r="I109" t="str">
            <v>BUFFER MP</v>
          </cell>
          <cell r="J109" t="str">
            <v>ALL</v>
          </cell>
          <cell r="K109" t="str">
            <v>ALL</v>
          </cell>
          <cell r="L109" t="str">
            <v>BUFFER MP SAMI</v>
          </cell>
          <cell r="M109" t="str">
            <v>BUFFER MP</v>
          </cell>
          <cell r="N109" t="str">
            <v>OTHERS IDL</v>
          </cell>
          <cell r="O109" t="str">
            <v>A (NS)</v>
          </cell>
        </row>
        <row r="110">
          <cell r="A110">
            <v>4849</v>
          </cell>
          <cell r="B110" t="str">
            <v>YENY FADILAH</v>
          </cell>
          <cell r="C110" t="str">
            <v>SAMI</v>
          </cell>
          <cell r="D110" t="str">
            <v>OPT-120</v>
          </cell>
          <cell r="E110">
            <v>38930</v>
          </cell>
          <cell r="F110" t="str">
            <v>-</v>
          </cell>
          <cell r="G110" t="str">
            <v>-</v>
          </cell>
          <cell r="H110" t="str">
            <v>OTHERS</v>
          </cell>
          <cell r="I110" t="str">
            <v>BUFFER MP</v>
          </cell>
          <cell r="J110" t="str">
            <v>ALL</v>
          </cell>
          <cell r="K110" t="str">
            <v>ALL</v>
          </cell>
          <cell r="L110" t="str">
            <v>BUFFER MP SAMI</v>
          </cell>
          <cell r="M110" t="str">
            <v>BUFFER MP</v>
          </cell>
          <cell r="N110" t="str">
            <v>OTHERS IDL</v>
          </cell>
          <cell r="O110" t="str">
            <v>A (NS)</v>
          </cell>
        </row>
        <row r="111">
          <cell r="A111">
            <v>22139</v>
          </cell>
          <cell r="B111" t="str">
            <v>NOVA AULIYATUL FAIZAH</v>
          </cell>
          <cell r="C111" t="str">
            <v>SAMI</v>
          </cell>
          <cell r="D111" t="str">
            <v>OPT-549</v>
          </cell>
          <cell r="E111">
            <v>43153</v>
          </cell>
          <cell r="F111">
            <v>43181</v>
          </cell>
          <cell r="G111">
            <v>43555</v>
          </cell>
          <cell r="H111" t="str">
            <v>OTHERS</v>
          </cell>
          <cell r="I111" t="str">
            <v>BUFFER MP</v>
          </cell>
          <cell r="J111" t="str">
            <v>ALL</v>
          </cell>
          <cell r="K111" t="str">
            <v>ALL</v>
          </cell>
          <cell r="L111" t="str">
            <v>BUFFER MP SAMI</v>
          </cell>
          <cell r="M111" t="str">
            <v>BUFFER MP</v>
          </cell>
          <cell r="N111" t="str">
            <v>OTHERS IDL</v>
          </cell>
          <cell r="O111" t="str">
            <v>A (NS)</v>
          </cell>
        </row>
        <row r="112">
          <cell r="A112">
            <v>5395</v>
          </cell>
          <cell r="B112" t="str">
            <v>AGUS WIDODO</v>
          </cell>
          <cell r="C112" t="str">
            <v>SAMI</v>
          </cell>
          <cell r="D112" t="str">
            <v>OPT-128</v>
          </cell>
          <cell r="E112">
            <v>38991</v>
          </cell>
          <cell r="F112" t="str">
            <v>-</v>
          </cell>
          <cell r="G112" t="str">
            <v>-</v>
          </cell>
          <cell r="H112" t="str">
            <v>OTHERS</v>
          </cell>
          <cell r="I112" t="str">
            <v>BUFFER MP</v>
          </cell>
          <cell r="J112" t="str">
            <v>ALL</v>
          </cell>
          <cell r="K112" t="str">
            <v>ALL</v>
          </cell>
          <cell r="L112" t="str">
            <v>BUFFER MP SAMI</v>
          </cell>
          <cell r="M112" t="str">
            <v>BUFFER MP</v>
          </cell>
          <cell r="N112" t="str">
            <v>OTHERS IDL</v>
          </cell>
          <cell r="O112" t="str">
            <v>A (NS)</v>
          </cell>
        </row>
        <row r="113">
          <cell r="A113">
            <v>21730</v>
          </cell>
          <cell r="B113" t="str">
            <v xml:space="preserve">MARIA VERONIKA </v>
          </cell>
          <cell r="C113" t="str">
            <v>SAMI</v>
          </cell>
          <cell r="D113" t="str">
            <v>OPT-539</v>
          </cell>
          <cell r="E113">
            <v>43087</v>
          </cell>
          <cell r="F113">
            <v>43118</v>
          </cell>
          <cell r="G113">
            <v>43496</v>
          </cell>
          <cell r="H113" t="str">
            <v>OTHERS</v>
          </cell>
          <cell r="I113" t="str">
            <v>BUFFER MP</v>
          </cell>
          <cell r="J113" t="str">
            <v>ALL</v>
          </cell>
          <cell r="K113" t="str">
            <v>ALL</v>
          </cell>
          <cell r="L113" t="str">
            <v>BUFFER MP SAMI</v>
          </cell>
          <cell r="M113" t="str">
            <v>BUFFER MP</v>
          </cell>
          <cell r="N113" t="str">
            <v>OTHERS IDL</v>
          </cell>
          <cell r="O113" t="str">
            <v>A (NS)</v>
          </cell>
        </row>
        <row r="114">
          <cell r="A114">
            <v>10040</v>
          </cell>
          <cell r="B114" t="str">
            <v>PUJI LESTARI</v>
          </cell>
          <cell r="C114" t="str">
            <v>SAMI</v>
          </cell>
          <cell r="D114" t="str">
            <v>OPT-247</v>
          </cell>
          <cell r="E114">
            <v>40438</v>
          </cell>
          <cell r="F114" t="str">
            <v>-</v>
          </cell>
          <cell r="G114" t="str">
            <v>-</v>
          </cell>
          <cell r="H114" t="str">
            <v>OTHERS</v>
          </cell>
          <cell r="I114" t="str">
            <v>BUFFER MP</v>
          </cell>
          <cell r="J114" t="str">
            <v>ALL</v>
          </cell>
          <cell r="K114" t="str">
            <v>ALL</v>
          </cell>
          <cell r="L114" t="str">
            <v>BUFFER MP SAMI</v>
          </cell>
          <cell r="M114" t="str">
            <v>BUFFER MP</v>
          </cell>
          <cell r="N114" t="str">
            <v>OTHERS IDL</v>
          </cell>
          <cell r="O114" t="str">
            <v>A (NS)</v>
          </cell>
        </row>
        <row r="115">
          <cell r="A115">
            <v>20652</v>
          </cell>
          <cell r="B115" t="str">
            <v>SELFA KRESTIANANINGSIH</v>
          </cell>
          <cell r="C115" t="str">
            <v>SAMI</v>
          </cell>
          <cell r="D115" t="str">
            <v>OPT-505</v>
          </cell>
          <cell r="E115">
            <v>42639</v>
          </cell>
          <cell r="F115">
            <v>43132</v>
          </cell>
          <cell r="G115">
            <v>43496</v>
          </cell>
          <cell r="H115" t="str">
            <v>OTHERS</v>
          </cell>
          <cell r="I115" t="str">
            <v>BUFFER MP</v>
          </cell>
          <cell r="J115" t="str">
            <v>ALL</v>
          </cell>
          <cell r="K115" t="str">
            <v>ALL</v>
          </cell>
          <cell r="L115" t="str">
            <v>BUFFER MP SAMI</v>
          </cell>
          <cell r="M115" t="str">
            <v>BUFFER MP</v>
          </cell>
          <cell r="N115" t="str">
            <v>OTHERS IDL</v>
          </cell>
          <cell r="O115" t="str">
            <v>A (NS)</v>
          </cell>
        </row>
        <row r="116">
          <cell r="A116">
            <v>10026</v>
          </cell>
          <cell r="B116" t="str">
            <v>MAWAR RISTIANI</v>
          </cell>
          <cell r="C116" t="str">
            <v>SAMI</v>
          </cell>
          <cell r="D116" t="str">
            <v>OPT-247</v>
          </cell>
          <cell r="E116">
            <v>40438</v>
          </cell>
          <cell r="F116" t="str">
            <v>-</v>
          </cell>
          <cell r="G116" t="str">
            <v>-</v>
          </cell>
          <cell r="H116" t="str">
            <v>OTHERS</v>
          </cell>
          <cell r="I116" t="str">
            <v>BUFFER MP</v>
          </cell>
          <cell r="J116" t="str">
            <v>ALL</v>
          </cell>
          <cell r="K116" t="str">
            <v>ALL</v>
          </cell>
          <cell r="L116" t="str">
            <v>BUFFER MP SAMI</v>
          </cell>
          <cell r="M116" t="str">
            <v>BUFFER MP</v>
          </cell>
          <cell r="N116" t="str">
            <v>OTHERS IDL</v>
          </cell>
          <cell r="O116" t="str">
            <v>A (NS)</v>
          </cell>
        </row>
        <row r="117">
          <cell r="A117">
            <v>21022</v>
          </cell>
          <cell r="B117" t="str">
            <v>SITI FITRIYANTI</v>
          </cell>
          <cell r="C117" t="str">
            <v>SAMI</v>
          </cell>
          <cell r="D117" t="str">
            <v>OPT-515</v>
          </cell>
          <cell r="E117">
            <v>42702</v>
          </cell>
          <cell r="F117">
            <v>43191</v>
          </cell>
          <cell r="G117">
            <v>43555</v>
          </cell>
          <cell r="H117" t="str">
            <v>OTHERS</v>
          </cell>
          <cell r="I117" t="str">
            <v>BUFFER MP</v>
          </cell>
          <cell r="J117" t="str">
            <v>ALL</v>
          </cell>
          <cell r="K117" t="str">
            <v>ALL</v>
          </cell>
          <cell r="L117" t="str">
            <v>BUFFER MP SAMI</v>
          </cell>
          <cell r="M117" t="str">
            <v>BUFFER MP</v>
          </cell>
          <cell r="N117" t="str">
            <v>OTHERS IDL</v>
          </cell>
          <cell r="O117" t="str">
            <v>A (NS)</v>
          </cell>
        </row>
        <row r="118">
          <cell r="A118">
            <v>22358</v>
          </cell>
          <cell r="B118" t="str">
            <v>YULIKHAH</v>
          </cell>
          <cell r="C118" t="str">
            <v>SAMI</v>
          </cell>
          <cell r="D118" t="str">
            <v>OPT-556</v>
          </cell>
          <cell r="E118">
            <v>43195</v>
          </cell>
          <cell r="F118">
            <v>43225</v>
          </cell>
          <cell r="G118">
            <v>43585</v>
          </cell>
          <cell r="H118" t="str">
            <v>OTHERS</v>
          </cell>
          <cell r="I118" t="str">
            <v>BUFFER MP</v>
          </cell>
          <cell r="J118" t="str">
            <v>ALL</v>
          </cell>
          <cell r="K118" t="str">
            <v>ALL</v>
          </cell>
          <cell r="L118" t="str">
            <v>BUFFER MP SAMI</v>
          </cell>
          <cell r="M118" t="str">
            <v>BUFFER MP</v>
          </cell>
          <cell r="N118" t="str">
            <v>OTHERS IDL</v>
          </cell>
          <cell r="O118" t="str">
            <v>A (NS)</v>
          </cell>
        </row>
        <row r="119">
          <cell r="A119">
            <v>22081</v>
          </cell>
          <cell r="B119" t="str">
            <v>NAILI NIKHLA SEPTIYANI</v>
          </cell>
          <cell r="C119" t="str">
            <v>SAMI</v>
          </cell>
          <cell r="D119" t="str">
            <v>OPT-548</v>
          </cell>
          <cell r="E119">
            <v>43150</v>
          </cell>
          <cell r="F119">
            <v>43178</v>
          </cell>
          <cell r="G119">
            <v>43555</v>
          </cell>
          <cell r="H119" t="str">
            <v>OTHERS</v>
          </cell>
          <cell r="I119" t="str">
            <v>BUFFER MP</v>
          </cell>
          <cell r="J119" t="str">
            <v>ALL</v>
          </cell>
          <cell r="K119" t="str">
            <v>ALL</v>
          </cell>
          <cell r="L119" t="str">
            <v>BUFFER MP SAMI</v>
          </cell>
          <cell r="M119" t="str">
            <v>BUFFER MP</v>
          </cell>
          <cell r="N119" t="str">
            <v>OTHERS IDL</v>
          </cell>
          <cell r="O119" t="str">
            <v>A (NS)</v>
          </cell>
        </row>
        <row r="120">
          <cell r="A120">
            <v>901</v>
          </cell>
          <cell r="B120" t="str">
            <v>SRI WAHYUNI</v>
          </cell>
          <cell r="C120" t="str">
            <v>SAMI</v>
          </cell>
          <cell r="D120" t="str">
            <v>OPT-23</v>
          </cell>
          <cell r="E120">
            <v>37858</v>
          </cell>
          <cell r="F120" t="str">
            <v>-</v>
          </cell>
          <cell r="G120" t="str">
            <v>-</v>
          </cell>
          <cell r="H120" t="str">
            <v>OTHERS</v>
          </cell>
          <cell r="I120" t="str">
            <v>BUFFER MP</v>
          </cell>
          <cell r="J120" t="str">
            <v>ALL</v>
          </cell>
          <cell r="K120" t="str">
            <v>ALL</v>
          </cell>
          <cell r="L120" t="str">
            <v>BUFFER MP SAMI</v>
          </cell>
          <cell r="M120" t="str">
            <v>BUFFER MP</v>
          </cell>
          <cell r="N120" t="str">
            <v>OTHERS IDL</v>
          </cell>
          <cell r="O120" t="str">
            <v>A (NS)</v>
          </cell>
        </row>
        <row r="121">
          <cell r="A121">
            <v>22733</v>
          </cell>
          <cell r="B121" t="str">
            <v>ERVINA RINDHI A</v>
          </cell>
          <cell r="C121" t="str">
            <v>SAMI</v>
          </cell>
          <cell r="D121" t="str">
            <v>OPT-564</v>
          </cell>
          <cell r="E121">
            <v>43255</v>
          </cell>
          <cell r="F121">
            <v>43285</v>
          </cell>
          <cell r="G121">
            <v>43646</v>
          </cell>
          <cell r="H121" t="str">
            <v>OTHERS</v>
          </cell>
          <cell r="I121" t="str">
            <v>BUFFER MP</v>
          </cell>
          <cell r="J121" t="str">
            <v>ALL</v>
          </cell>
          <cell r="K121" t="str">
            <v>ALL</v>
          </cell>
          <cell r="L121" t="str">
            <v>BUFFER MP SAMI</v>
          </cell>
          <cell r="M121" t="str">
            <v>BUFFER MP</v>
          </cell>
          <cell r="N121" t="str">
            <v>OTHERS IDL</v>
          </cell>
          <cell r="O121" t="str">
            <v>A (NS)</v>
          </cell>
        </row>
        <row r="122">
          <cell r="A122">
            <v>22528</v>
          </cell>
          <cell r="B122" t="str">
            <v>ELLY NURMAWATI</v>
          </cell>
          <cell r="C122" t="str">
            <v>SAMI</v>
          </cell>
          <cell r="D122" t="str">
            <v>OPT-560</v>
          </cell>
          <cell r="E122">
            <v>43224</v>
          </cell>
          <cell r="F122">
            <v>43255</v>
          </cell>
          <cell r="G122">
            <v>43616</v>
          </cell>
          <cell r="H122" t="str">
            <v>OTHERS</v>
          </cell>
          <cell r="I122" t="str">
            <v>BUFFER MP</v>
          </cell>
          <cell r="J122" t="str">
            <v>ALL</v>
          </cell>
          <cell r="K122" t="str">
            <v>ALL</v>
          </cell>
          <cell r="L122" t="str">
            <v>BUFFER MP SAMI</v>
          </cell>
          <cell r="M122" t="str">
            <v>BUFFER MP</v>
          </cell>
          <cell r="N122" t="str">
            <v>OTHERS IDL</v>
          </cell>
          <cell r="O122" t="str">
            <v>A (NS)</v>
          </cell>
        </row>
        <row r="123">
          <cell r="A123">
            <v>22816</v>
          </cell>
          <cell r="B123" t="str">
            <v>DAMAR JATI</v>
          </cell>
          <cell r="C123" t="str">
            <v>SAMI</v>
          </cell>
          <cell r="D123" t="str">
            <v>OPT-567</v>
          </cell>
          <cell r="E123">
            <v>43333</v>
          </cell>
          <cell r="F123">
            <v>43364</v>
          </cell>
          <cell r="G123">
            <v>43738</v>
          </cell>
          <cell r="H123" t="str">
            <v>OTHERS</v>
          </cell>
          <cell r="I123" t="str">
            <v>BUFFER MP</v>
          </cell>
          <cell r="J123" t="str">
            <v>ALL</v>
          </cell>
          <cell r="K123" t="str">
            <v>ALL</v>
          </cell>
          <cell r="L123" t="str">
            <v>BUFFER MP SAMI</v>
          </cell>
          <cell r="M123" t="str">
            <v>BUFFER MP</v>
          </cell>
          <cell r="N123" t="str">
            <v>OTHERS IDL</v>
          </cell>
          <cell r="O123" t="str">
            <v>A (NS)</v>
          </cell>
        </row>
        <row r="124">
          <cell r="A124" t="str">
            <v>B00273</v>
          </cell>
          <cell r="B124" t="str">
            <v>DEWI KHOLIFAH</v>
          </cell>
          <cell r="C124" t="str">
            <v>SAMI</v>
          </cell>
          <cell r="D124" t="str">
            <v>BBF-005</v>
          </cell>
          <cell r="E124">
            <v>40854</v>
          </cell>
          <cell r="F124" t="str">
            <v>-</v>
          </cell>
          <cell r="G124" t="str">
            <v>-</v>
          </cell>
          <cell r="H124" t="str">
            <v>OTHERS</v>
          </cell>
          <cell r="I124" t="str">
            <v>BUFFER MP</v>
          </cell>
          <cell r="J124" t="str">
            <v>ALL</v>
          </cell>
          <cell r="K124" t="str">
            <v>ALL</v>
          </cell>
          <cell r="L124" t="str">
            <v>BUFFER MP SAMI</v>
          </cell>
          <cell r="M124" t="str">
            <v>BUFFER MP</v>
          </cell>
          <cell r="N124" t="str">
            <v>OTHERS IDL</v>
          </cell>
          <cell r="O124" t="str">
            <v>A (NS)</v>
          </cell>
        </row>
        <row r="125">
          <cell r="A125">
            <v>21227</v>
          </cell>
          <cell r="B125" t="str">
            <v>STEVANUS GENTA NOVENDRA PRAYOGA</v>
          </cell>
          <cell r="C125" t="str">
            <v>SAMI</v>
          </cell>
          <cell r="D125" t="str">
            <v>OPT-524</v>
          </cell>
          <cell r="E125">
            <v>42884</v>
          </cell>
          <cell r="F125">
            <v>43374</v>
          </cell>
          <cell r="G125">
            <v>43738</v>
          </cell>
          <cell r="H125" t="str">
            <v>OTHERS</v>
          </cell>
          <cell r="I125" t="str">
            <v>BUFFER MP</v>
          </cell>
          <cell r="J125" t="str">
            <v>ALL</v>
          </cell>
          <cell r="K125" t="str">
            <v>ALL</v>
          </cell>
          <cell r="L125" t="str">
            <v>BUFFER MP SAMI</v>
          </cell>
          <cell r="M125" t="str">
            <v>BUFFER MP</v>
          </cell>
          <cell r="N125" t="str">
            <v>OTHERS IDL</v>
          </cell>
          <cell r="O125" t="str">
            <v>A (NS)</v>
          </cell>
        </row>
        <row r="126">
          <cell r="A126">
            <v>11321</v>
          </cell>
          <cell r="B126" t="str">
            <v>ENI LUKMAWATI</v>
          </cell>
          <cell r="C126" t="str">
            <v>SAMI</v>
          </cell>
          <cell r="D126" t="str">
            <v>OPT-300</v>
          </cell>
          <cell r="E126">
            <v>40666</v>
          </cell>
          <cell r="F126" t="str">
            <v>-</v>
          </cell>
          <cell r="G126" t="str">
            <v>-</v>
          </cell>
          <cell r="H126" t="str">
            <v>OTHERS</v>
          </cell>
          <cell r="I126" t="str">
            <v>BUFFER MP</v>
          </cell>
          <cell r="J126" t="str">
            <v>ALL</v>
          </cell>
          <cell r="K126" t="str">
            <v>ALL</v>
          </cell>
          <cell r="L126" t="str">
            <v>BUFFER MP SAMI</v>
          </cell>
          <cell r="M126" t="str">
            <v>BUFFER MP</v>
          </cell>
          <cell r="N126" t="str">
            <v>OTHERS IDL</v>
          </cell>
          <cell r="O126" t="str">
            <v>A (NS)</v>
          </cell>
        </row>
        <row r="127">
          <cell r="A127">
            <v>10732</v>
          </cell>
          <cell r="B127" t="str">
            <v>AYU KURNIAWATI</v>
          </cell>
          <cell r="C127" t="str">
            <v>SAMI</v>
          </cell>
          <cell r="D127" t="str">
            <v>OPT-281</v>
          </cell>
          <cell r="E127">
            <v>40566</v>
          </cell>
          <cell r="F127" t="str">
            <v>-</v>
          </cell>
          <cell r="G127" t="str">
            <v>-</v>
          </cell>
          <cell r="H127" t="str">
            <v>OTHERS</v>
          </cell>
          <cell r="I127" t="str">
            <v>BUFFER MP</v>
          </cell>
          <cell r="J127" t="str">
            <v>ALL</v>
          </cell>
          <cell r="K127" t="str">
            <v>ALL</v>
          </cell>
          <cell r="L127" t="str">
            <v>BUFFER MP SAMI</v>
          </cell>
          <cell r="M127" t="str">
            <v>BUFFER MP</v>
          </cell>
          <cell r="N127" t="str">
            <v>OTHERS IDL</v>
          </cell>
          <cell r="O127" t="str">
            <v>A (NS)</v>
          </cell>
        </row>
        <row r="128">
          <cell r="A128">
            <v>8727</v>
          </cell>
          <cell r="B128" t="str">
            <v>AMININGSIH</v>
          </cell>
          <cell r="C128" t="str">
            <v>SAMI</v>
          </cell>
          <cell r="D128" t="str">
            <v>OPT-192</v>
          </cell>
          <cell r="E128">
            <v>39904</v>
          </cell>
          <cell r="F128" t="str">
            <v>-</v>
          </cell>
          <cell r="G128" t="str">
            <v>-</v>
          </cell>
          <cell r="H128" t="str">
            <v>OTHERS</v>
          </cell>
          <cell r="I128" t="str">
            <v>BUFFER MP</v>
          </cell>
          <cell r="J128" t="str">
            <v>ALL</v>
          </cell>
          <cell r="K128" t="str">
            <v>ALL</v>
          </cell>
          <cell r="L128" t="str">
            <v>BUFFER MP SAMI</v>
          </cell>
          <cell r="M128" t="str">
            <v>BUFFER MP</v>
          </cell>
          <cell r="N128" t="str">
            <v>OTHERS IDL</v>
          </cell>
          <cell r="O128" t="str">
            <v>A (NS)</v>
          </cell>
        </row>
        <row r="129">
          <cell r="A129">
            <v>610</v>
          </cell>
          <cell r="B129" t="str">
            <v>EKO DANIATI</v>
          </cell>
          <cell r="C129" t="str">
            <v>SAMI</v>
          </cell>
          <cell r="D129" t="str">
            <v>OPT-16</v>
          </cell>
          <cell r="E129">
            <v>37781</v>
          </cell>
          <cell r="F129" t="str">
            <v>-</v>
          </cell>
          <cell r="G129" t="str">
            <v>-</v>
          </cell>
          <cell r="H129" t="str">
            <v>OTHERS</v>
          </cell>
          <cell r="I129" t="str">
            <v>BUFFER MP</v>
          </cell>
          <cell r="J129" t="str">
            <v>ALL</v>
          </cell>
          <cell r="K129" t="str">
            <v>ALL</v>
          </cell>
          <cell r="L129" t="str">
            <v>BUFFER MP SAMI</v>
          </cell>
          <cell r="M129" t="str">
            <v>BUFFER MP</v>
          </cell>
          <cell r="N129" t="str">
            <v>OTHERS IDL</v>
          </cell>
          <cell r="O129" t="str">
            <v>A (NS)</v>
          </cell>
        </row>
        <row r="130">
          <cell r="A130">
            <v>884</v>
          </cell>
          <cell r="B130" t="str">
            <v>SITI SUWARNI</v>
          </cell>
          <cell r="C130" t="str">
            <v>SAMI</v>
          </cell>
          <cell r="D130" t="str">
            <v>OPT-23</v>
          </cell>
          <cell r="E130">
            <v>37858</v>
          </cell>
          <cell r="F130" t="str">
            <v>-</v>
          </cell>
          <cell r="G130" t="str">
            <v>-</v>
          </cell>
          <cell r="H130" t="str">
            <v>OTHERS</v>
          </cell>
          <cell r="I130" t="str">
            <v>BUFFER MP</v>
          </cell>
          <cell r="J130" t="str">
            <v>ALL</v>
          </cell>
          <cell r="K130" t="str">
            <v>ALL</v>
          </cell>
          <cell r="L130" t="str">
            <v>BUFFER MP SAMI</v>
          </cell>
          <cell r="M130" t="str">
            <v>BUFFER MP</v>
          </cell>
          <cell r="N130" t="str">
            <v>OTHERS IDL</v>
          </cell>
          <cell r="O130" t="str">
            <v>A (NS)</v>
          </cell>
        </row>
        <row r="131">
          <cell r="A131">
            <v>11726</v>
          </cell>
          <cell r="B131" t="str">
            <v>LAELATUL AROFAH</v>
          </cell>
          <cell r="C131" t="str">
            <v>SAMI</v>
          </cell>
          <cell r="D131" t="str">
            <v>OPT-308</v>
          </cell>
          <cell r="E131">
            <v>40714</v>
          </cell>
          <cell r="F131" t="str">
            <v>-</v>
          </cell>
          <cell r="G131" t="str">
            <v>-</v>
          </cell>
          <cell r="H131" t="str">
            <v>OTHERS</v>
          </cell>
          <cell r="I131" t="str">
            <v>BUFFER MP</v>
          </cell>
          <cell r="J131" t="str">
            <v>ALL</v>
          </cell>
          <cell r="K131" t="str">
            <v>ALL</v>
          </cell>
          <cell r="L131" t="str">
            <v>BUFFER MP SAMI</v>
          </cell>
          <cell r="M131" t="str">
            <v>BUFFER MP</v>
          </cell>
          <cell r="N131" t="str">
            <v>OTHERS IDL</v>
          </cell>
          <cell r="O131" t="str">
            <v>A (NS)</v>
          </cell>
        </row>
        <row r="132">
          <cell r="A132">
            <v>13005</v>
          </cell>
          <cell r="B132" t="str">
            <v>CHOLISATUN NI'MAH</v>
          </cell>
          <cell r="C132" t="str">
            <v>SAMI</v>
          </cell>
          <cell r="D132" t="str">
            <v>OPT-324</v>
          </cell>
          <cell r="E132">
            <v>40844</v>
          </cell>
          <cell r="F132" t="str">
            <v>-</v>
          </cell>
          <cell r="G132" t="str">
            <v>-</v>
          </cell>
          <cell r="H132" t="str">
            <v>OTHERS</v>
          </cell>
          <cell r="I132" t="str">
            <v>BUFFER MP</v>
          </cell>
          <cell r="J132" t="str">
            <v>ALL</v>
          </cell>
          <cell r="K132" t="str">
            <v>ALL</v>
          </cell>
          <cell r="L132" t="str">
            <v>BUFFER MP SAMI</v>
          </cell>
          <cell r="M132" t="str">
            <v>BUFFER MP</v>
          </cell>
          <cell r="N132" t="str">
            <v>OTHERS IDL</v>
          </cell>
          <cell r="O132" t="str">
            <v>A (NS)</v>
          </cell>
        </row>
        <row r="133">
          <cell r="A133">
            <v>20837</v>
          </cell>
          <cell r="B133" t="str">
            <v>MUZAROAH</v>
          </cell>
          <cell r="C133" t="str">
            <v>SAMI</v>
          </cell>
          <cell r="D133" t="str">
            <v>OPT-509</v>
          </cell>
          <cell r="E133">
            <v>42656</v>
          </cell>
          <cell r="F133">
            <v>43132</v>
          </cell>
          <cell r="G133">
            <v>43496</v>
          </cell>
          <cell r="H133" t="str">
            <v>OTHERS</v>
          </cell>
          <cell r="I133" t="str">
            <v>BUFFER MP</v>
          </cell>
          <cell r="J133" t="str">
            <v>ALL</v>
          </cell>
          <cell r="K133" t="str">
            <v>ALL</v>
          </cell>
          <cell r="L133" t="str">
            <v>BUFFER MP SAMI</v>
          </cell>
          <cell r="M133" t="str">
            <v>BUFFER MP</v>
          </cell>
          <cell r="N133" t="str">
            <v>OTHERS IDL</v>
          </cell>
          <cell r="O133" t="str">
            <v>A (NS)</v>
          </cell>
        </row>
        <row r="134">
          <cell r="A134">
            <v>11661</v>
          </cell>
          <cell r="B134" t="str">
            <v>ARIYA AFIYANTI</v>
          </cell>
          <cell r="C134" t="str">
            <v>SAMI</v>
          </cell>
          <cell r="D134" t="str">
            <v>OPT-308</v>
          </cell>
          <cell r="E134">
            <v>40714</v>
          </cell>
          <cell r="F134" t="str">
            <v>-</v>
          </cell>
          <cell r="G134" t="str">
            <v>-</v>
          </cell>
          <cell r="H134" t="str">
            <v>OTHERS</v>
          </cell>
          <cell r="I134" t="str">
            <v>BUFFER MP</v>
          </cell>
          <cell r="J134" t="str">
            <v>ALL</v>
          </cell>
          <cell r="K134" t="str">
            <v>ALL</v>
          </cell>
          <cell r="L134" t="str">
            <v>BUFFER MP SAMI</v>
          </cell>
          <cell r="M134" t="str">
            <v>BUFFER MP</v>
          </cell>
          <cell r="N134" t="str">
            <v>OTHERS IDL</v>
          </cell>
          <cell r="O134" t="str">
            <v>A (NS)</v>
          </cell>
        </row>
        <row r="135">
          <cell r="A135">
            <v>9511</v>
          </cell>
          <cell r="B135" t="str">
            <v>IRMA ARISTINA</v>
          </cell>
          <cell r="C135" t="str">
            <v>SAMI</v>
          </cell>
          <cell r="D135" t="str">
            <v>OPT-216</v>
          </cell>
          <cell r="E135">
            <v>40148</v>
          </cell>
          <cell r="F135" t="str">
            <v>-</v>
          </cell>
          <cell r="G135" t="str">
            <v>-</v>
          </cell>
          <cell r="H135" t="str">
            <v>OTHERS</v>
          </cell>
          <cell r="I135" t="str">
            <v>BUFFER MP</v>
          </cell>
          <cell r="J135" t="str">
            <v>ALL</v>
          </cell>
          <cell r="K135" t="str">
            <v>ALL</v>
          </cell>
          <cell r="L135" t="str">
            <v>BUFFER MP SAMI</v>
          </cell>
          <cell r="M135" t="str">
            <v>BUFFER MP</v>
          </cell>
          <cell r="N135" t="str">
            <v>OTHERS IDL</v>
          </cell>
          <cell r="O135" t="str">
            <v>A (NS)</v>
          </cell>
        </row>
        <row r="136">
          <cell r="A136">
            <v>10184</v>
          </cell>
          <cell r="B136" t="str">
            <v>IRNA DIAN ISTININGRUM</v>
          </cell>
          <cell r="C136" t="str">
            <v>SAMI</v>
          </cell>
          <cell r="D136" t="str">
            <v>OPT-253</v>
          </cell>
          <cell r="E136">
            <v>40458</v>
          </cell>
          <cell r="F136" t="str">
            <v>-</v>
          </cell>
          <cell r="G136" t="str">
            <v>-</v>
          </cell>
          <cell r="H136" t="str">
            <v>OTHERS</v>
          </cell>
          <cell r="I136" t="str">
            <v>BUFFER MP</v>
          </cell>
          <cell r="J136" t="str">
            <v>ALL</v>
          </cell>
          <cell r="K136" t="str">
            <v>ALL</v>
          </cell>
          <cell r="L136" t="str">
            <v>BUFFER MP SAMI</v>
          </cell>
          <cell r="M136" t="str">
            <v>BUFFER MP</v>
          </cell>
          <cell r="N136" t="str">
            <v>OTHERS IDL</v>
          </cell>
          <cell r="O136" t="str">
            <v>A (NS)</v>
          </cell>
        </row>
        <row r="137">
          <cell r="A137">
            <v>20668</v>
          </cell>
          <cell r="B137" t="str">
            <v>ULLUL NUR HIDAYAH</v>
          </cell>
          <cell r="C137" t="str">
            <v>SAMI</v>
          </cell>
          <cell r="D137" t="str">
            <v>OPT-505</v>
          </cell>
          <cell r="E137">
            <v>42639</v>
          </cell>
          <cell r="F137">
            <v>43132</v>
          </cell>
          <cell r="G137">
            <v>43496</v>
          </cell>
          <cell r="H137" t="str">
            <v>OTHERS</v>
          </cell>
          <cell r="I137" t="str">
            <v>BUFFER MP</v>
          </cell>
          <cell r="J137" t="str">
            <v>ALL</v>
          </cell>
          <cell r="K137" t="str">
            <v>ALL</v>
          </cell>
          <cell r="L137" t="str">
            <v>BUFFER MP SAMI</v>
          </cell>
          <cell r="M137" t="str">
            <v>BUFFER MP</v>
          </cell>
          <cell r="N137" t="str">
            <v>OTHERS IDL</v>
          </cell>
          <cell r="O137" t="str">
            <v>A (NS)</v>
          </cell>
        </row>
        <row r="138">
          <cell r="A138" t="str">
            <v>B00228</v>
          </cell>
          <cell r="B138" t="str">
            <v>SAFRINA ANGGRAINI</v>
          </cell>
          <cell r="C138" t="str">
            <v>SAMI</v>
          </cell>
          <cell r="D138" t="str">
            <v>BBF-004</v>
          </cell>
          <cell r="E138">
            <v>40847</v>
          </cell>
          <cell r="F138" t="str">
            <v>-</v>
          </cell>
          <cell r="G138" t="str">
            <v>-</v>
          </cell>
          <cell r="H138" t="str">
            <v>OTHERS</v>
          </cell>
          <cell r="I138" t="str">
            <v>BUFFER MP</v>
          </cell>
          <cell r="J138" t="str">
            <v>ALL</v>
          </cell>
          <cell r="K138" t="str">
            <v>ALL</v>
          </cell>
          <cell r="L138" t="str">
            <v>BUFFER MP SAMI</v>
          </cell>
          <cell r="M138" t="str">
            <v>BUFFER MP</v>
          </cell>
          <cell r="N138" t="str">
            <v>OTHERS IDL</v>
          </cell>
          <cell r="O138" t="str">
            <v>A (NS)</v>
          </cell>
        </row>
        <row r="139">
          <cell r="A139">
            <v>9767</v>
          </cell>
          <cell r="B139" t="str">
            <v>DHITA ARI WIDYASTUTI</v>
          </cell>
          <cell r="C139" t="str">
            <v>SAMI</v>
          </cell>
          <cell r="D139" t="str">
            <v>OPT-230</v>
          </cell>
          <cell r="E139">
            <v>40330</v>
          </cell>
          <cell r="F139" t="str">
            <v>-</v>
          </cell>
          <cell r="G139" t="str">
            <v>-</v>
          </cell>
          <cell r="H139" t="str">
            <v>OTHERS</v>
          </cell>
          <cell r="I139" t="str">
            <v>BUFFER MP</v>
          </cell>
          <cell r="J139" t="str">
            <v>ALL</v>
          </cell>
          <cell r="K139" t="str">
            <v>ALL</v>
          </cell>
          <cell r="L139" t="str">
            <v>BUFFER MP SAMI</v>
          </cell>
          <cell r="M139" t="str">
            <v>BUFFER MP</v>
          </cell>
          <cell r="N139" t="str">
            <v>OTHERS IDL</v>
          </cell>
          <cell r="O139" t="str">
            <v>A (NS)</v>
          </cell>
        </row>
        <row r="140">
          <cell r="A140">
            <v>5742</v>
          </cell>
          <cell r="B140" t="str">
            <v>SUSANTI</v>
          </cell>
          <cell r="C140" t="str">
            <v>SAMI</v>
          </cell>
          <cell r="D140" t="str">
            <v>OPT-134</v>
          </cell>
          <cell r="E140">
            <v>39098</v>
          </cell>
          <cell r="F140" t="str">
            <v>-</v>
          </cell>
          <cell r="G140" t="str">
            <v>-</v>
          </cell>
          <cell r="H140" t="str">
            <v>OTHERS</v>
          </cell>
          <cell r="I140" t="str">
            <v>BUFFER MP</v>
          </cell>
          <cell r="J140" t="str">
            <v>ALL</v>
          </cell>
          <cell r="K140" t="str">
            <v>ALL</v>
          </cell>
          <cell r="L140" t="str">
            <v>BUFFER MP SAMI</v>
          </cell>
          <cell r="M140" t="str">
            <v>BUFFER MP</v>
          </cell>
          <cell r="N140" t="str">
            <v>OTHERS IDL</v>
          </cell>
          <cell r="O140" t="str">
            <v>A (NS)</v>
          </cell>
        </row>
        <row r="141">
          <cell r="A141">
            <v>17017</v>
          </cell>
          <cell r="B141" t="str">
            <v>FITRIANA RISKYANI</v>
          </cell>
          <cell r="C141" t="str">
            <v>SAMI</v>
          </cell>
          <cell r="D141" t="str">
            <v>OPT-438</v>
          </cell>
          <cell r="E141">
            <v>41753</v>
          </cell>
          <cell r="F141" t="str">
            <v>-</v>
          </cell>
          <cell r="G141" t="str">
            <v>-</v>
          </cell>
          <cell r="H141" t="str">
            <v>OTHERS</v>
          </cell>
          <cell r="I141" t="str">
            <v>BUFFER MP</v>
          </cell>
          <cell r="J141" t="str">
            <v>ALL</v>
          </cell>
          <cell r="K141" t="str">
            <v>ALL</v>
          </cell>
          <cell r="L141" t="str">
            <v>BUFFER MP SAMI</v>
          </cell>
          <cell r="M141" t="str">
            <v>BUFFER MP</v>
          </cell>
          <cell r="N141" t="str">
            <v>OTHERS IDL</v>
          </cell>
          <cell r="O141" t="str">
            <v>A (NS)</v>
          </cell>
        </row>
        <row r="142">
          <cell r="A142">
            <v>5522</v>
          </cell>
          <cell r="B142" t="str">
            <v>WIWIK FIKANIATI</v>
          </cell>
          <cell r="C142" t="str">
            <v>SAMI</v>
          </cell>
          <cell r="D142" t="str">
            <v>OPT-129</v>
          </cell>
          <cell r="E142">
            <v>39022</v>
          </cell>
          <cell r="F142" t="str">
            <v>-</v>
          </cell>
          <cell r="G142" t="str">
            <v>-</v>
          </cell>
          <cell r="H142" t="str">
            <v>OTHERS</v>
          </cell>
          <cell r="I142" t="str">
            <v>BUFFER MP</v>
          </cell>
          <cell r="J142" t="str">
            <v>ALL</v>
          </cell>
          <cell r="K142" t="str">
            <v>ALL</v>
          </cell>
          <cell r="L142" t="str">
            <v>BUFFER MP SAMI</v>
          </cell>
          <cell r="M142" t="str">
            <v>BUFFER MP</v>
          </cell>
          <cell r="N142" t="str">
            <v>OTHERS IDL</v>
          </cell>
          <cell r="O142" t="str">
            <v>A (NS)</v>
          </cell>
        </row>
        <row r="143">
          <cell r="A143">
            <v>11286</v>
          </cell>
          <cell r="B143" t="str">
            <v>NIKEN KRISTANTI</v>
          </cell>
          <cell r="C143" t="str">
            <v>SAMI</v>
          </cell>
          <cell r="D143" t="str">
            <v>OPT-295</v>
          </cell>
          <cell r="E143">
            <v>40624</v>
          </cell>
          <cell r="F143" t="str">
            <v>-</v>
          </cell>
          <cell r="G143" t="str">
            <v>-</v>
          </cell>
          <cell r="H143" t="str">
            <v>OTHERS</v>
          </cell>
          <cell r="I143" t="str">
            <v>BUFFER MP</v>
          </cell>
          <cell r="J143" t="str">
            <v>ALL</v>
          </cell>
          <cell r="K143" t="str">
            <v>ALL</v>
          </cell>
          <cell r="L143" t="str">
            <v>BUFFER MP SAMI</v>
          </cell>
          <cell r="M143" t="str">
            <v>BUFFER MP</v>
          </cell>
          <cell r="N143" t="str">
            <v>OTHERS IDL</v>
          </cell>
          <cell r="O143" t="str">
            <v>A (NS)</v>
          </cell>
        </row>
        <row r="144">
          <cell r="A144">
            <v>5801</v>
          </cell>
          <cell r="B144" t="str">
            <v>RIANA PUSPITAWATI</v>
          </cell>
          <cell r="C144" t="str">
            <v>SAMI</v>
          </cell>
          <cell r="D144" t="str">
            <v>OPT-135</v>
          </cell>
          <cell r="E144">
            <v>39114</v>
          </cell>
          <cell r="F144" t="str">
            <v>-</v>
          </cell>
          <cell r="G144" t="str">
            <v>-</v>
          </cell>
          <cell r="H144" t="str">
            <v>OTHERS</v>
          </cell>
          <cell r="I144" t="str">
            <v>BUFFER MP</v>
          </cell>
          <cell r="J144" t="str">
            <v>ALL</v>
          </cell>
          <cell r="K144" t="str">
            <v>ALL</v>
          </cell>
          <cell r="L144" t="str">
            <v>BUFFER MP SAMI</v>
          </cell>
          <cell r="M144" t="str">
            <v>BUFFER MP</v>
          </cell>
          <cell r="N144" t="str">
            <v>OTHERS IDL</v>
          </cell>
          <cell r="O144" t="str">
            <v>A (NS)</v>
          </cell>
        </row>
        <row r="145">
          <cell r="A145">
            <v>10820</v>
          </cell>
          <cell r="B145" t="str">
            <v>AIDHA AYU RACHANDINI PUTRI</v>
          </cell>
          <cell r="C145" t="str">
            <v>SAMI</v>
          </cell>
          <cell r="D145" t="str">
            <v>OPT-283</v>
          </cell>
          <cell r="E145">
            <v>40572</v>
          </cell>
          <cell r="F145" t="str">
            <v>-</v>
          </cell>
          <cell r="G145" t="str">
            <v>-</v>
          </cell>
          <cell r="H145" t="str">
            <v>OTHERS</v>
          </cell>
          <cell r="I145" t="str">
            <v>BUFFER MP</v>
          </cell>
          <cell r="J145" t="str">
            <v>ALL</v>
          </cell>
          <cell r="K145" t="str">
            <v>ALL</v>
          </cell>
          <cell r="L145" t="str">
            <v>BUFFER MP SAMI</v>
          </cell>
          <cell r="M145" t="str">
            <v>BUFFER MP</v>
          </cell>
          <cell r="N145" t="str">
            <v>OTHERS IDL</v>
          </cell>
          <cell r="O145" t="str">
            <v>A (NS)</v>
          </cell>
        </row>
        <row r="146">
          <cell r="A146">
            <v>19108</v>
          </cell>
          <cell r="B146" t="str">
            <v xml:space="preserve">IIN NURUL AFIDAH </v>
          </cell>
          <cell r="C146" t="str">
            <v>SAMI</v>
          </cell>
          <cell r="D146" t="str">
            <v>OPT-475</v>
          </cell>
          <cell r="E146">
            <v>42254</v>
          </cell>
          <cell r="F146" t="str">
            <v>-</v>
          </cell>
          <cell r="G146" t="str">
            <v>-</v>
          </cell>
          <cell r="H146" t="str">
            <v>OTHERS</v>
          </cell>
          <cell r="I146" t="str">
            <v>BUFFER MP</v>
          </cell>
          <cell r="J146" t="str">
            <v>ALL</v>
          </cell>
          <cell r="K146" t="str">
            <v>ALL</v>
          </cell>
          <cell r="L146" t="str">
            <v>BUFFER MP SAMI</v>
          </cell>
          <cell r="M146" t="str">
            <v>BUFFER MP</v>
          </cell>
          <cell r="N146" t="str">
            <v>OTHERS IDL</v>
          </cell>
          <cell r="O146" t="str">
            <v>A (NS)</v>
          </cell>
        </row>
        <row r="147">
          <cell r="A147">
            <v>8939</v>
          </cell>
          <cell r="B147" t="str">
            <v>SITI ROKHANA</v>
          </cell>
          <cell r="C147" t="str">
            <v>SAMI</v>
          </cell>
          <cell r="D147" t="str">
            <v>OPT-198</v>
          </cell>
          <cell r="E147">
            <v>39966</v>
          </cell>
          <cell r="F147" t="str">
            <v>-</v>
          </cell>
          <cell r="G147" t="str">
            <v>-</v>
          </cell>
          <cell r="H147" t="str">
            <v>OTHERS</v>
          </cell>
          <cell r="I147" t="str">
            <v>BUFFER MP</v>
          </cell>
          <cell r="J147" t="str">
            <v>ALL</v>
          </cell>
          <cell r="K147" t="str">
            <v>ALL</v>
          </cell>
          <cell r="L147" t="str">
            <v>BUFFER MP SAMI</v>
          </cell>
          <cell r="M147" t="str">
            <v>BUFFER MP</v>
          </cell>
          <cell r="N147" t="str">
            <v>OTHERS IDL</v>
          </cell>
          <cell r="O147" t="str">
            <v>A (NS)</v>
          </cell>
        </row>
        <row r="148">
          <cell r="A148">
            <v>9175</v>
          </cell>
          <cell r="B148" t="str">
            <v>WIWIK SUDIARTI</v>
          </cell>
          <cell r="C148" t="str">
            <v>SAMI</v>
          </cell>
          <cell r="D148" t="str">
            <v>OPT-205</v>
          </cell>
          <cell r="E148">
            <v>40000</v>
          </cell>
          <cell r="F148" t="str">
            <v>-</v>
          </cell>
          <cell r="G148" t="str">
            <v>-</v>
          </cell>
          <cell r="H148" t="str">
            <v>OTHERS</v>
          </cell>
          <cell r="I148" t="str">
            <v>BUFFER MP</v>
          </cell>
          <cell r="J148" t="str">
            <v>ALL</v>
          </cell>
          <cell r="K148" t="str">
            <v>ALL</v>
          </cell>
          <cell r="L148" t="str">
            <v>BUFFER MP SAMI</v>
          </cell>
          <cell r="M148" t="str">
            <v>BUFFER MP</v>
          </cell>
          <cell r="N148" t="str">
            <v>OTHERS IDL</v>
          </cell>
          <cell r="O148" t="str">
            <v>A (NS)</v>
          </cell>
        </row>
        <row r="149">
          <cell r="A149" t="str">
            <v>B00284</v>
          </cell>
          <cell r="B149" t="str">
            <v>ESTER SARI SETYANINGRUM</v>
          </cell>
          <cell r="C149" t="str">
            <v>SAMI</v>
          </cell>
          <cell r="D149" t="str">
            <v>BBF-005</v>
          </cell>
          <cell r="E149">
            <v>40854</v>
          </cell>
          <cell r="F149" t="str">
            <v>-</v>
          </cell>
          <cell r="G149" t="str">
            <v>-</v>
          </cell>
          <cell r="H149" t="str">
            <v>OTHERS</v>
          </cell>
          <cell r="I149" t="str">
            <v>BUFFER MP</v>
          </cell>
          <cell r="J149" t="str">
            <v>ALL</v>
          </cell>
          <cell r="K149" t="str">
            <v>ALL</v>
          </cell>
          <cell r="L149" t="str">
            <v>BUFFER MP SAMI</v>
          </cell>
          <cell r="M149" t="str">
            <v>BUFFER MP</v>
          </cell>
          <cell r="N149" t="str">
            <v>OTHERS IDL</v>
          </cell>
          <cell r="O149" t="str">
            <v>A (NS)</v>
          </cell>
        </row>
        <row r="150">
          <cell r="A150">
            <v>11841</v>
          </cell>
          <cell r="B150" t="str">
            <v>SITI MUKAROMAH</v>
          </cell>
          <cell r="C150" t="str">
            <v>SAMI</v>
          </cell>
          <cell r="D150" t="str">
            <v>OPT-309</v>
          </cell>
          <cell r="E150">
            <v>40721</v>
          </cell>
          <cell r="F150" t="str">
            <v>-</v>
          </cell>
          <cell r="G150" t="str">
            <v>-</v>
          </cell>
          <cell r="H150" t="str">
            <v>OTHERS</v>
          </cell>
          <cell r="I150" t="str">
            <v>BUFFER MP</v>
          </cell>
          <cell r="J150" t="str">
            <v>ALL</v>
          </cell>
          <cell r="K150" t="str">
            <v>ALL</v>
          </cell>
          <cell r="L150" t="str">
            <v>BUFFER MP SAMI</v>
          </cell>
          <cell r="M150" t="str">
            <v>BUFFER MP</v>
          </cell>
          <cell r="N150" t="str">
            <v>OTHERS IDL</v>
          </cell>
          <cell r="O150" t="str">
            <v>A (NS)</v>
          </cell>
        </row>
        <row r="151">
          <cell r="A151">
            <v>16738</v>
          </cell>
          <cell r="B151" t="str">
            <v>AVIATUN MUFIDAH</v>
          </cell>
          <cell r="C151" t="str">
            <v>SAMI</v>
          </cell>
          <cell r="D151" t="str">
            <v>OPT-423</v>
          </cell>
          <cell r="E151">
            <v>41676</v>
          </cell>
          <cell r="F151" t="str">
            <v>-</v>
          </cell>
          <cell r="G151" t="str">
            <v>-</v>
          </cell>
          <cell r="H151" t="str">
            <v>OTHERS</v>
          </cell>
          <cell r="I151" t="str">
            <v>BUFFER MP</v>
          </cell>
          <cell r="J151" t="str">
            <v>ALL</v>
          </cell>
          <cell r="K151" t="str">
            <v>ALL</v>
          </cell>
          <cell r="L151" t="str">
            <v>BUFFER MP SAMI</v>
          </cell>
          <cell r="M151" t="str">
            <v>BUFFER MP</v>
          </cell>
          <cell r="N151" t="str">
            <v>OTHERS IDL</v>
          </cell>
          <cell r="O151" t="str">
            <v>A (NS)</v>
          </cell>
        </row>
        <row r="152">
          <cell r="A152">
            <v>14418</v>
          </cell>
          <cell r="B152" t="str">
            <v>LINDA NOVITA SARI</v>
          </cell>
          <cell r="C152" t="str">
            <v>SAMI</v>
          </cell>
          <cell r="D152" t="str">
            <v>OPT-374</v>
          </cell>
          <cell r="E152">
            <v>41390</v>
          </cell>
          <cell r="F152" t="str">
            <v>-</v>
          </cell>
          <cell r="G152" t="str">
            <v>-</v>
          </cell>
          <cell r="H152" t="str">
            <v>OTHERS</v>
          </cell>
          <cell r="I152" t="str">
            <v>BUFFER MP</v>
          </cell>
          <cell r="J152" t="str">
            <v>ALL</v>
          </cell>
          <cell r="K152" t="str">
            <v>ALL</v>
          </cell>
          <cell r="L152" t="str">
            <v>BUFFER MP SAMI</v>
          </cell>
          <cell r="M152" t="str">
            <v>BUFFER MP</v>
          </cell>
          <cell r="N152" t="str">
            <v>OTHERS IDL</v>
          </cell>
          <cell r="O152" t="str">
            <v>A (NS)</v>
          </cell>
        </row>
        <row r="153">
          <cell r="A153">
            <v>10175</v>
          </cell>
          <cell r="B153" t="str">
            <v>ERMAYANTI</v>
          </cell>
          <cell r="C153" t="str">
            <v>SAMI</v>
          </cell>
          <cell r="D153" t="str">
            <v>OPT-253</v>
          </cell>
          <cell r="E153">
            <v>40458</v>
          </cell>
          <cell r="F153" t="str">
            <v>-</v>
          </cell>
          <cell r="G153" t="str">
            <v>-</v>
          </cell>
          <cell r="H153" t="str">
            <v>OTHERS</v>
          </cell>
          <cell r="I153" t="str">
            <v>BUFFER MP</v>
          </cell>
          <cell r="J153" t="str">
            <v>ALL</v>
          </cell>
          <cell r="K153" t="str">
            <v>ALL</v>
          </cell>
          <cell r="L153" t="str">
            <v>BUFFER MP SAMI</v>
          </cell>
          <cell r="M153" t="str">
            <v>BUFFER MP</v>
          </cell>
          <cell r="N153" t="str">
            <v>OTHERS IDL</v>
          </cell>
          <cell r="O153" t="str">
            <v>A (NS)</v>
          </cell>
        </row>
        <row r="154">
          <cell r="A154">
            <v>9847</v>
          </cell>
          <cell r="B154" t="str">
            <v>ASIYAH</v>
          </cell>
          <cell r="C154" t="str">
            <v>SAMI</v>
          </cell>
          <cell r="D154" t="str">
            <v>OPT-240</v>
          </cell>
          <cell r="E154">
            <v>40411</v>
          </cell>
          <cell r="F154" t="str">
            <v>-</v>
          </cell>
          <cell r="G154" t="str">
            <v>-</v>
          </cell>
          <cell r="H154" t="str">
            <v>OTHERS</v>
          </cell>
          <cell r="I154" t="str">
            <v>BUFFER MP</v>
          </cell>
          <cell r="J154" t="str">
            <v>ALL</v>
          </cell>
          <cell r="K154" t="str">
            <v>ALL</v>
          </cell>
          <cell r="L154" t="str">
            <v>BUFFER MP SAMI</v>
          </cell>
          <cell r="M154" t="str">
            <v>BUFFER MP</v>
          </cell>
          <cell r="N154" t="str">
            <v>OTHERS IDL</v>
          </cell>
          <cell r="O154" t="str">
            <v>A (NS)</v>
          </cell>
        </row>
        <row r="155">
          <cell r="A155">
            <v>9987</v>
          </cell>
          <cell r="B155" t="str">
            <v>WAHYU SETYANING TYAS</v>
          </cell>
          <cell r="C155" t="str">
            <v>SAMI</v>
          </cell>
          <cell r="D155" t="str">
            <v>OPT-246</v>
          </cell>
          <cell r="E155">
            <v>40431</v>
          </cell>
          <cell r="F155" t="str">
            <v>-</v>
          </cell>
          <cell r="G155" t="str">
            <v>-</v>
          </cell>
          <cell r="H155" t="str">
            <v>OTHERS</v>
          </cell>
          <cell r="I155" t="str">
            <v>BUFFER MP</v>
          </cell>
          <cell r="J155" t="str">
            <v>ALL</v>
          </cell>
          <cell r="K155" t="str">
            <v>ALL</v>
          </cell>
          <cell r="L155" t="str">
            <v>BUFFER MP SAMI</v>
          </cell>
          <cell r="M155" t="str">
            <v>BUFFER MP</v>
          </cell>
          <cell r="N155" t="str">
            <v>OTHERS IDL</v>
          </cell>
          <cell r="O155" t="str">
            <v>A (NS)</v>
          </cell>
        </row>
        <row r="156">
          <cell r="A156">
            <v>10104</v>
          </cell>
          <cell r="B156" t="str">
            <v>NOVILIA ARUM SARI</v>
          </cell>
          <cell r="C156" t="str">
            <v>SAMI</v>
          </cell>
          <cell r="D156" t="str">
            <v>OPT-248</v>
          </cell>
          <cell r="E156">
            <v>40444</v>
          </cell>
          <cell r="F156" t="str">
            <v>-</v>
          </cell>
          <cell r="G156" t="str">
            <v>-</v>
          </cell>
          <cell r="H156" t="str">
            <v>OTHERS</v>
          </cell>
          <cell r="I156" t="str">
            <v>BUFFER MP</v>
          </cell>
          <cell r="J156" t="str">
            <v>ALL</v>
          </cell>
          <cell r="K156" t="str">
            <v>ALL</v>
          </cell>
          <cell r="L156" t="str">
            <v>BUFFER MP SAMI</v>
          </cell>
          <cell r="M156" t="str">
            <v>BUFFER MP</v>
          </cell>
          <cell r="N156" t="str">
            <v>OTHERS IDL</v>
          </cell>
          <cell r="O156" t="str">
            <v>A (NS)</v>
          </cell>
        </row>
        <row r="157">
          <cell r="A157">
            <v>9849</v>
          </cell>
          <cell r="B157" t="str">
            <v>DEWI LESTARI BIASTUTI</v>
          </cell>
          <cell r="C157" t="str">
            <v>SAMI</v>
          </cell>
          <cell r="D157" t="str">
            <v>OPT-240</v>
          </cell>
          <cell r="E157">
            <v>40411</v>
          </cell>
          <cell r="F157" t="str">
            <v>-</v>
          </cell>
          <cell r="G157" t="str">
            <v>-</v>
          </cell>
          <cell r="H157" t="str">
            <v>OTHERS</v>
          </cell>
          <cell r="I157" t="str">
            <v>BUFFER MP</v>
          </cell>
          <cell r="J157" t="str">
            <v>ALL</v>
          </cell>
          <cell r="K157" t="str">
            <v>ALL</v>
          </cell>
          <cell r="L157" t="str">
            <v>BUFFER MP SAMI</v>
          </cell>
          <cell r="M157" t="str">
            <v>BUFFER MP</v>
          </cell>
          <cell r="N157" t="str">
            <v>OTHERS IDL</v>
          </cell>
          <cell r="O157" t="str">
            <v>A (NS)</v>
          </cell>
        </row>
        <row r="158">
          <cell r="A158">
            <v>649</v>
          </cell>
          <cell r="B158" t="str">
            <v>FAJARINI DWI WAHYUNI</v>
          </cell>
          <cell r="C158" t="str">
            <v>SAMI</v>
          </cell>
          <cell r="D158" t="str">
            <v>OPT-17</v>
          </cell>
          <cell r="E158">
            <v>37788</v>
          </cell>
          <cell r="F158" t="str">
            <v>-</v>
          </cell>
          <cell r="G158" t="str">
            <v>-</v>
          </cell>
          <cell r="H158" t="str">
            <v>OTHERS</v>
          </cell>
          <cell r="I158" t="str">
            <v>BUFFER MP</v>
          </cell>
          <cell r="J158" t="str">
            <v>ALL</v>
          </cell>
          <cell r="K158" t="str">
            <v>ALL</v>
          </cell>
          <cell r="L158" t="str">
            <v>BUFFER MP SAMI</v>
          </cell>
          <cell r="M158" t="str">
            <v>BUFFER MP</v>
          </cell>
          <cell r="N158" t="str">
            <v>OTHERS IDL</v>
          </cell>
          <cell r="O158" t="str">
            <v>A (NS)</v>
          </cell>
        </row>
        <row r="159">
          <cell r="A159">
            <v>22390</v>
          </cell>
          <cell r="B159" t="str">
            <v>FATHU NURUL FADHILAH</v>
          </cell>
          <cell r="C159" t="str">
            <v>SAMI</v>
          </cell>
          <cell r="D159" t="str">
            <v>OPT-558</v>
          </cell>
          <cell r="E159">
            <v>43213</v>
          </cell>
          <cell r="F159">
            <v>43243</v>
          </cell>
          <cell r="G159">
            <v>43616</v>
          </cell>
          <cell r="H159" t="str">
            <v>OTHERS</v>
          </cell>
          <cell r="I159" t="str">
            <v>BUFFER MP</v>
          </cell>
          <cell r="J159" t="str">
            <v>ALL</v>
          </cell>
          <cell r="K159" t="str">
            <v>ALL</v>
          </cell>
          <cell r="L159" t="str">
            <v>BUFFER MP SAMI</v>
          </cell>
          <cell r="M159" t="str">
            <v>BUFFER MP</v>
          </cell>
          <cell r="N159" t="str">
            <v>OTHERS IDL</v>
          </cell>
          <cell r="O159" t="str">
            <v>A (NS)</v>
          </cell>
        </row>
        <row r="160">
          <cell r="A160">
            <v>15618</v>
          </cell>
          <cell r="B160" t="str">
            <v>LUHITA KUSUMA WARDANI</v>
          </cell>
          <cell r="C160" t="str">
            <v>SAMI</v>
          </cell>
          <cell r="D160" t="str">
            <v>OPT-392</v>
          </cell>
          <cell r="E160">
            <v>41459</v>
          </cell>
          <cell r="F160" t="str">
            <v>-</v>
          </cell>
          <cell r="G160" t="str">
            <v>-</v>
          </cell>
          <cell r="H160" t="str">
            <v>OTHERS</v>
          </cell>
          <cell r="I160" t="str">
            <v>BUFFER MP</v>
          </cell>
          <cell r="J160" t="str">
            <v>ALL</v>
          </cell>
          <cell r="K160" t="str">
            <v>ALL</v>
          </cell>
          <cell r="L160" t="str">
            <v>BUFFER MP SAMI</v>
          </cell>
          <cell r="M160" t="str">
            <v>BUFFER MP</v>
          </cell>
          <cell r="N160" t="str">
            <v>OTHERS IDL</v>
          </cell>
          <cell r="O160" t="str">
            <v>A (NS)</v>
          </cell>
        </row>
        <row r="161">
          <cell r="A161">
            <v>11419</v>
          </cell>
          <cell r="B161" t="str">
            <v>DWI LESTARI</v>
          </cell>
          <cell r="C161" t="str">
            <v>SAMI</v>
          </cell>
          <cell r="D161" t="str">
            <v>OPT-306</v>
          </cell>
          <cell r="E161">
            <v>40701</v>
          </cell>
          <cell r="F161" t="str">
            <v>-</v>
          </cell>
          <cell r="G161" t="str">
            <v>-</v>
          </cell>
          <cell r="H161" t="str">
            <v>OTHERS</v>
          </cell>
          <cell r="I161" t="str">
            <v>BUFFER MP</v>
          </cell>
          <cell r="J161" t="str">
            <v>ALL</v>
          </cell>
          <cell r="K161" t="str">
            <v>ALL</v>
          </cell>
          <cell r="L161" t="str">
            <v>BUFFER MP SAMI</v>
          </cell>
          <cell r="M161" t="str">
            <v>BUFFER MP</v>
          </cell>
          <cell r="N161" t="str">
            <v>OTHERS IDL</v>
          </cell>
          <cell r="O161" t="str">
            <v>A (NS)</v>
          </cell>
        </row>
        <row r="162">
          <cell r="A162">
            <v>20895</v>
          </cell>
          <cell r="B162" t="str">
            <v>SINDI VIRGIANA</v>
          </cell>
          <cell r="C162" t="str">
            <v>SAMI</v>
          </cell>
          <cell r="D162" t="str">
            <v>OPT-510</v>
          </cell>
          <cell r="E162">
            <v>42660</v>
          </cell>
          <cell r="F162">
            <v>43160</v>
          </cell>
          <cell r="G162">
            <v>43524</v>
          </cell>
          <cell r="H162" t="str">
            <v>OTHERS</v>
          </cell>
          <cell r="I162" t="str">
            <v>BUFFER MP</v>
          </cell>
          <cell r="J162" t="str">
            <v>ALL</v>
          </cell>
          <cell r="K162" t="str">
            <v>ALL</v>
          </cell>
          <cell r="L162" t="str">
            <v>BUFFER MP SAMI</v>
          </cell>
          <cell r="M162" t="str">
            <v>BUFFER MP</v>
          </cell>
          <cell r="N162" t="str">
            <v>OTHERS IDL</v>
          </cell>
          <cell r="O162" t="str">
            <v>A (NS)</v>
          </cell>
        </row>
        <row r="163">
          <cell r="A163">
            <v>8992</v>
          </cell>
          <cell r="B163" t="str">
            <v>AVIANI SHOBIKAH</v>
          </cell>
          <cell r="C163" t="str">
            <v>SAMI</v>
          </cell>
          <cell r="D163" t="str">
            <v>OPT-201</v>
          </cell>
          <cell r="E163">
            <v>39975</v>
          </cell>
          <cell r="F163" t="str">
            <v>-</v>
          </cell>
          <cell r="G163" t="str">
            <v>-</v>
          </cell>
          <cell r="H163" t="str">
            <v>OTHERS</v>
          </cell>
          <cell r="I163" t="str">
            <v>BUFFER MP</v>
          </cell>
          <cell r="J163" t="str">
            <v>ALL</v>
          </cell>
          <cell r="K163" t="str">
            <v>ALL</v>
          </cell>
          <cell r="L163" t="str">
            <v>BUFFER MP SAMI</v>
          </cell>
          <cell r="M163" t="str">
            <v>BUFFER MP</v>
          </cell>
          <cell r="N163" t="str">
            <v>OTHERS IDL</v>
          </cell>
          <cell r="O163" t="str">
            <v>A (NS)</v>
          </cell>
        </row>
        <row r="164">
          <cell r="A164">
            <v>10908</v>
          </cell>
          <cell r="B164" t="str">
            <v>TUTUT BINTARI</v>
          </cell>
          <cell r="C164" t="str">
            <v>SAMI</v>
          </cell>
          <cell r="D164" t="str">
            <v>OPT-284</v>
          </cell>
          <cell r="E164">
            <v>40574</v>
          </cell>
          <cell r="F164" t="str">
            <v>-</v>
          </cell>
          <cell r="G164" t="str">
            <v>-</v>
          </cell>
          <cell r="H164" t="str">
            <v>OTHERS</v>
          </cell>
          <cell r="I164" t="str">
            <v>BUFFER MP</v>
          </cell>
          <cell r="J164" t="str">
            <v>ALL</v>
          </cell>
          <cell r="K164" t="str">
            <v>ALL</v>
          </cell>
          <cell r="L164" t="str">
            <v>BUFFER MP SAMI</v>
          </cell>
          <cell r="M164" t="str">
            <v>BUFFER MP</v>
          </cell>
          <cell r="N164" t="str">
            <v>OTHERS IDL</v>
          </cell>
          <cell r="O164" t="str">
            <v>A (NS)</v>
          </cell>
        </row>
        <row r="165">
          <cell r="A165" t="str">
            <v>B01057</v>
          </cell>
          <cell r="B165" t="str">
            <v>ANGGUN PUSPITA DEWI</v>
          </cell>
          <cell r="C165" t="str">
            <v>SAMI</v>
          </cell>
          <cell r="D165" t="str">
            <v>BBF-028</v>
          </cell>
          <cell r="E165">
            <v>41099</v>
          </cell>
          <cell r="F165" t="str">
            <v>-</v>
          </cell>
          <cell r="G165" t="str">
            <v>-</v>
          </cell>
          <cell r="H165" t="str">
            <v>OTHERS</v>
          </cell>
          <cell r="I165" t="str">
            <v>BUFFER MP</v>
          </cell>
          <cell r="J165" t="str">
            <v>ALL</v>
          </cell>
          <cell r="K165" t="str">
            <v>ALL</v>
          </cell>
          <cell r="L165" t="str">
            <v>BUFFER MP SAMI</v>
          </cell>
          <cell r="M165" t="str">
            <v>BUFFER MP</v>
          </cell>
          <cell r="N165" t="str">
            <v>OTHERS IDL</v>
          </cell>
          <cell r="O165" t="str">
            <v>A (NS)</v>
          </cell>
        </row>
        <row r="166">
          <cell r="A166">
            <v>9563</v>
          </cell>
          <cell r="B166" t="str">
            <v>ANIK ANA NURJANAH</v>
          </cell>
          <cell r="C166" t="str">
            <v>SAMI</v>
          </cell>
          <cell r="D166" t="str">
            <v>OPT-217</v>
          </cell>
          <cell r="E166">
            <v>40179</v>
          </cell>
          <cell r="F166" t="str">
            <v>-</v>
          </cell>
          <cell r="G166" t="str">
            <v>-</v>
          </cell>
          <cell r="H166" t="str">
            <v>OTHERS</v>
          </cell>
          <cell r="I166" t="str">
            <v>BUFFER MP</v>
          </cell>
          <cell r="J166" t="str">
            <v>ALL</v>
          </cell>
          <cell r="K166" t="str">
            <v>ALL</v>
          </cell>
          <cell r="L166" t="str">
            <v>BUFFER MP SAMI</v>
          </cell>
          <cell r="M166" t="str">
            <v>BUFFER MP</v>
          </cell>
          <cell r="N166" t="str">
            <v>OTHERS IDL</v>
          </cell>
          <cell r="O166" t="str">
            <v>A (NS)</v>
          </cell>
        </row>
        <row r="167">
          <cell r="A167">
            <v>10117</v>
          </cell>
          <cell r="B167" t="str">
            <v>SITI MUADHIMAH</v>
          </cell>
          <cell r="C167" t="str">
            <v>SAMI</v>
          </cell>
          <cell r="D167" t="str">
            <v>OPT-248</v>
          </cell>
          <cell r="E167">
            <v>40444</v>
          </cell>
          <cell r="F167" t="str">
            <v>-</v>
          </cell>
          <cell r="G167" t="str">
            <v>-</v>
          </cell>
          <cell r="H167" t="str">
            <v>OTHERS</v>
          </cell>
          <cell r="I167" t="str">
            <v>BUFFER MP</v>
          </cell>
          <cell r="J167" t="str">
            <v>ALL</v>
          </cell>
          <cell r="K167" t="str">
            <v>ALL</v>
          </cell>
          <cell r="L167" t="str">
            <v>BUFFER MP SAMI</v>
          </cell>
          <cell r="M167" t="str">
            <v>BUFFER MP</v>
          </cell>
          <cell r="N167" t="str">
            <v>OTHERS IDL</v>
          </cell>
          <cell r="O167" t="str">
            <v>A (NS)</v>
          </cell>
        </row>
        <row r="168">
          <cell r="A168">
            <v>10090</v>
          </cell>
          <cell r="B168" t="str">
            <v>HENNI SULISTYOWATI</v>
          </cell>
          <cell r="C168" t="str">
            <v>SAMI</v>
          </cell>
          <cell r="D168" t="str">
            <v>OPT-248</v>
          </cell>
          <cell r="E168">
            <v>40444</v>
          </cell>
          <cell r="F168" t="str">
            <v>-</v>
          </cell>
          <cell r="G168" t="str">
            <v>-</v>
          </cell>
          <cell r="H168" t="str">
            <v>OTHERS</v>
          </cell>
          <cell r="I168" t="str">
            <v>BUFFER MP</v>
          </cell>
          <cell r="J168" t="str">
            <v>ALL</v>
          </cell>
          <cell r="K168" t="str">
            <v>ALL</v>
          </cell>
          <cell r="L168" t="str">
            <v>BUFFER MP SAMI</v>
          </cell>
          <cell r="M168" t="str">
            <v>BUFFER MP</v>
          </cell>
          <cell r="N168" t="str">
            <v>OTHERS IDL</v>
          </cell>
          <cell r="O168" t="str">
            <v>A (NS)</v>
          </cell>
        </row>
        <row r="169">
          <cell r="A169">
            <v>11791</v>
          </cell>
          <cell r="B169" t="str">
            <v>YULIANA ULFAH HIDAYAH</v>
          </cell>
          <cell r="C169" t="str">
            <v>SAMI</v>
          </cell>
          <cell r="D169" t="str">
            <v>OPT-308</v>
          </cell>
          <cell r="E169">
            <v>40714</v>
          </cell>
          <cell r="F169" t="str">
            <v>-</v>
          </cell>
          <cell r="G169" t="str">
            <v>-</v>
          </cell>
          <cell r="H169" t="str">
            <v>OTHERS</v>
          </cell>
          <cell r="I169" t="str">
            <v>BUFFER MP</v>
          </cell>
          <cell r="J169" t="str">
            <v>ALL</v>
          </cell>
          <cell r="K169" t="str">
            <v>ALL</v>
          </cell>
          <cell r="L169" t="str">
            <v>BUFFER MP SAMI</v>
          </cell>
          <cell r="M169" t="str">
            <v>BUFFER MP</v>
          </cell>
          <cell r="N169" t="str">
            <v>OTHERS IDL</v>
          </cell>
          <cell r="O169" t="str">
            <v>A (NS)</v>
          </cell>
        </row>
        <row r="170">
          <cell r="A170">
            <v>6047</v>
          </cell>
          <cell r="B170" t="str">
            <v>DWI RETNOWATI</v>
          </cell>
          <cell r="C170" t="str">
            <v>SAMI</v>
          </cell>
          <cell r="D170" t="str">
            <v>OPT-139</v>
          </cell>
          <cell r="E170">
            <v>39142</v>
          </cell>
          <cell r="F170" t="str">
            <v>-</v>
          </cell>
          <cell r="G170" t="str">
            <v>-</v>
          </cell>
          <cell r="H170" t="str">
            <v>OTHERS</v>
          </cell>
          <cell r="I170" t="str">
            <v>BUFFER MP</v>
          </cell>
          <cell r="J170" t="str">
            <v>ALL</v>
          </cell>
          <cell r="K170" t="str">
            <v>ALL</v>
          </cell>
          <cell r="L170" t="str">
            <v>BUFFER MP SAMI</v>
          </cell>
          <cell r="M170" t="str">
            <v>BUFFER MP</v>
          </cell>
          <cell r="N170" t="str">
            <v>OTHERS IDL</v>
          </cell>
          <cell r="O170" t="str">
            <v>A (NS)</v>
          </cell>
        </row>
        <row r="171">
          <cell r="A171">
            <v>11301</v>
          </cell>
          <cell r="B171" t="str">
            <v>TRI LESTARI</v>
          </cell>
          <cell r="C171" t="str">
            <v>SAMI</v>
          </cell>
          <cell r="D171" t="str">
            <v>OPT-297</v>
          </cell>
          <cell r="E171">
            <v>40646</v>
          </cell>
          <cell r="F171" t="str">
            <v>-</v>
          </cell>
          <cell r="G171" t="str">
            <v>-</v>
          </cell>
          <cell r="H171" t="str">
            <v>OTHERS</v>
          </cell>
          <cell r="I171" t="str">
            <v>BUFFER MP</v>
          </cell>
          <cell r="J171" t="str">
            <v>ALL</v>
          </cell>
          <cell r="K171" t="str">
            <v>ALL</v>
          </cell>
          <cell r="L171" t="str">
            <v>BUFFER MP SAMI</v>
          </cell>
          <cell r="M171" t="str">
            <v>BUFFER MP</v>
          </cell>
          <cell r="N171" t="str">
            <v>OTHERS IDL</v>
          </cell>
          <cell r="O171" t="str">
            <v>A (NS)</v>
          </cell>
        </row>
        <row r="172">
          <cell r="A172">
            <v>294</v>
          </cell>
          <cell r="B172" t="str">
            <v>ISTIQOMAH</v>
          </cell>
          <cell r="C172" t="str">
            <v>SAMI</v>
          </cell>
          <cell r="D172" t="str">
            <v>OPT-8</v>
          </cell>
          <cell r="E172">
            <v>37718</v>
          </cell>
          <cell r="F172" t="str">
            <v>-</v>
          </cell>
          <cell r="G172" t="str">
            <v>-</v>
          </cell>
          <cell r="H172" t="str">
            <v>OTHERS</v>
          </cell>
          <cell r="I172" t="str">
            <v>BUFFER MP</v>
          </cell>
          <cell r="J172" t="str">
            <v>ALL</v>
          </cell>
          <cell r="K172" t="str">
            <v>ALL</v>
          </cell>
          <cell r="L172" t="str">
            <v>BUFFER MP SAMI</v>
          </cell>
          <cell r="M172" t="str">
            <v>BUFFER MP</v>
          </cell>
          <cell r="N172" t="str">
            <v>OTHERS IDL</v>
          </cell>
          <cell r="O172" t="str">
            <v>A (NS)</v>
          </cell>
        </row>
        <row r="173">
          <cell r="A173">
            <v>8731</v>
          </cell>
          <cell r="B173" t="str">
            <v>ERNA WAHYUNI</v>
          </cell>
          <cell r="C173" t="str">
            <v>SAMI</v>
          </cell>
          <cell r="D173" t="str">
            <v>OPT-192</v>
          </cell>
          <cell r="E173">
            <v>39904</v>
          </cell>
          <cell r="F173" t="str">
            <v>-</v>
          </cell>
          <cell r="G173" t="str">
            <v>-</v>
          </cell>
          <cell r="H173" t="str">
            <v>OTHERS</v>
          </cell>
          <cell r="I173" t="str">
            <v>BUFFER MP</v>
          </cell>
          <cell r="J173" t="str">
            <v>ALL</v>
          </cell>
          <cell r="K173" t="str">
            <v>ALL</v>
          </cell>
          <cell r="L173" t="str">
            <v>BUFFER MP SAMI</v>
          </cell>
          <cell r="M173" t="str">
            <v>BUFFER MP</v>
          </cell>
          <cell r="N173" t="str">
            <v>OTHERS IDL</v>
          </cell>
          <cell r="O173" t="str">
            <v>A (NS)</v>
          </cell>
        </row>
        <row r="174">
          <cell r="A174">
            <v>10909</v>
          </cell>
          <cell r="B174" t="str">
            <v>ULYATI</v>
          </cell>
          <cell r="C174" t="str">
            <v>SAMI</v>
          </cell>
          <cell r="D174" t="str">
            <v>OPT-284</v>
          </cell>
          <cell r="E174">
            <v>40574</v>
          </cell>
          <cell r="F174" t="str">
            <v>-</v>
          </cell>
          <cell r="G174" t="str">
            <v>-</v>
          </cell>
          <cell r="H174" t="str">
            <v>OTHERS</v>
          </cell>
          <cell r="I174" t="str">
            <v>BUFFER MP</v>
          </cell>
          <cell r="J174" t="str">
            <v>ALL</v>
          </cell>
          <cell r="K174" t="str">
            <v>ALL</v>
          </cell>
          <cell r="L174" t="str">
            <v>BUFFER MP SAMI</v>
          </cell>
          <cell r="M174" t="str">
            <v>BUFFER MP</v>
          </cell>
          <cell r="N174" t="str">
            <v>OTHERS IDL</v>
          </cell>
          <cell r="O174" t="str">
            <v>A (NS)</v>
          </cell>
        </row>
        <row r="175">
          <cell r="A175">
            <v>12508</v>
          </cell>
          <cell r="B175" t="str">
            <v>NURAENI</v>
          </cell>
          <cell r="C175" t="str">
            <v>SAMI</v>
          </cell>
          <cell r="D175" t="str">
            <v>OPT-318</v>
          </cell>
          <cell r="E175">
            <v>40812</v>
          </cell>
          <cell r="F175" t="str">
            <v>-</v>
          </cell>
          <cell r="G175" t="str">
            <v>-</v>
          </cell>
          <cell r="H175" t="str">
            <v>OTHERS</v>
          </cell>
          <cell r="I175" t="str">
            <v>BUFFER MP</v>
          </cell>
          <cell r="J175" t="str">
            <v>ALL</v>
          </cell>
          <cell r="K175" t="str">
            <v>ALL</v>
          </cell>
          <cell r="L175" t="str">
            <v>BUFFER MP SAMI</v>
          </cell>
          <cell r="M175" t="str">
            <v>BUFFER MP</v>
          </cell>
          <cell r="N175" t="str">
            <v>OTHERS IDL</v>
          </cell>
          <cell r="O175" t="str">
            <v>A (NS)</v>
          </cell>
        </row>
        <row r="176">
          <cell r="A176">
            <v>12936</v>
          </cell>
          <cell r="B176" t="str">
            <v>SITI MARFUAH</v>
          </cell>
          <cell r="C176" t="str">
            <v>SAMI</v>
          </cell>
          <cell r="D176" t="str">
            <v>OPT-322</v>
          </cell>
          <cell r="E176">
            <v>40833</v>
          </cell>
          <cell r="F176" t="str">
            <v>-</v>
          </cell>
          <cell r="G176" t="str">
            <v>-</v>
          </cell>
          <cell r="H176" t="str">
            <v>OTHERS</v>
          </cell>
          <cell r="I176" t="str">
            <v>BUFFER MP</v>
          </cell>
          <cell r="J176" t="str">
            <v>ALL</v>
          </cell>
          <cell r="K176" t="str">
            <v>ALL</v>
          </cell>
          <cell r="L176" t="str">
            <v>BUFFER MP SAMI</v>
          </cell>
          <cell r="M176" t="str">
            <v>BUFFER MP</v>
          </cell>
          <cell r="N176" t="str">
            <v>OTHERS IDL</v>
          </cell>
          <cell r="O176" t="str">
            <v>A (NS)</v>
          </cell>
        </row>
        <row r="177">
          <cell r="A177">
            <v>10933</v>
          </cell>
          <cell r="B177" t="str">
            <v>LISA RAHMAWATI</v>
          </cell>
          <cell r="C177" t="str">
            <v>SAMI</v>
          </cell>
          <cell r="D177" t="str">
            <v>OPT-285</v>
          </cell>
          <cell r="E177">
            <v>40578</v>
          </cell>
          <cell r="F177" t="str">
            <v>-</v>
          </cell>
          <cell r="G177" t="str">
            <v>-</v>
          </cell>
          <cell r="H177" t="str">
            <v>OTHERS</v>
          </cell>
          <cell r="I177" t="str">
            <v>BUFFER MP</v>
          </cell>
          <cell r="J177" t="str">
            <v>ALL</v>
          </cell>
          <cell r="K177" t="str">
            <v>ALL</v>
          </cell>
          <cell r="L177" t="str">
            <v>BUFFER MP SAMI</v>
          </cell>
          <cell r="M177" t="str">
            <v>BUFFER MP</v>
          </cell>
          <cell r="N177" t="str">
            <v>OTHERS IDL</v>
          </cell>
          <cell r="O177" t="str">
            <v>A (NS)</v>
          </cell>
        </row>
        <row r="178">
          <cell r="A178">
            <v>8821</v>
          </cell>
          <cell r="B178" t="str">
            <v>EKA RATNAWATI</v>
          </cell>
          <cell r="C178" t="str">
            <v>SAMI</v>
          </cell>
          <cell r="D178" t="str">
            <v>OPT-195</v>
          </cell>
          <cell r="E178">
            <v>39937</v>
          </cell>
          <cell r="F178" t="str">
            <v>-</v>
          </cell>
          <cell r="G178" t="str">
            <v>-</v>
          </cell>
          <cell r="H178" t="str">
            <v>OTHERS</v>
          </cell>
          <cell r="I178" t="str">
            <v>BUFFER MP</v>
          </cell>
          <cell r="J178" t="str">
            <v>ALL</v>
          </cell>
          <cell r="K178" t="str">
            <v>ALL</v>
          </cell>
          <cell r="L178" t="str">
            <v>BUFFER MP SAMI</v>
          </cell>
          <cell r="M178" t="str">
            <v>BUFFER MP</v>
          </cell>
          <cell r="N178" t="str">
            <v>OTHERS IDL</v>
          </cell>
          <cell r="O178" t="str">
            <v>A (NS)</v>
          </cell>
        </row>
        <row r="179">
          <cell r="A179">
            <v>8834</v>
          </cell>
          <cell r="B179" t="str">
            <v>LULUK ATUL FATKHIYYAH</v>
          </cell>
          <cell r="C179" t="str">
            <v>SAMI</v>
          </cell>
          <cell r="D179" t="str">
            <v>OPT-195</v>
          </cell>
          <cell r="E179">
            <v>39937</v>
          </cell>
          <cell r="F179" t="str">
            <v>-</v>
          </cell>
          <cell r="G179" t="str">
            <v>-</v>
          </cell>
          <cell r="H179" t="str">
            <v>OTHERS</v>
          </cell>
          <cell r="I179" t="str">
            <v>BUFFER MP</v>
          </cell>
          <cell r="J179" t="str">
            <v>ALL</v>
          </cell>
          <cell r="K179" t="str">
            <v>ALL</v>
          </cell>
          <cell r="L179" t="str">
            <v>BUFFER MP SAMI</v>
          </cell>
          <cell r="M179" t="str">
            <v>BUFFER MP</v>
          </cell>
          <cell r="N179" t="str">
            <v>OTHERS IDL</v>
          </cell>
          <cell r="O179" t="str">
            <v>A (NS)</v>
          </cell>
        </row>
        <row r="180">
          <cell r="A180">
            <v>20741</v>
          </cell>
          <cell r="B180" t="str">
            <v xml:space="preserve">RIA EVA KARMILA </v>
          </cell>
          <cell r="C180" t="str">
            <v>SAMI</v>
          </cell>
          <cell r="D180" t="str">
            <v>OPT-506</v>
          </cell>
          <cell r="E180">
            <v>42642</v>
          </cell>
          <cell r="F180">
            <v>43132</v>
          </cell>
          <cell r="G180">
            <v>43496</v>
          </cell>
          <cell r="H180" t="str">
            <v>OTHERS</v>
          </cell>
          <cell r="I180" t="str">
            <v>BUFFER MP</v>
          </cell>
          <cell r="J180" t="str">
            <v>ALL</v>
          </cell>
          <cell r="K180" t="str">
            <v>ALL</v>
          </cell>
          <cell r="L180" t="str">
            <v>BUFFER MP SAMI</v>
          </cell>
          <cell r="M180" t="str">
            <v>BUFFER MP</v>
          </cell>
          <cell r="N180" t="str">
            <v>OTHERS IDL</v>
          </cell>
          <cell r="O180" t="str">
            <v>A (NS)</v>
          </cell>
        </row>
        <row r="181">
          <cell r="A181">
            <v>12564</v>
          </cell>
          <cell r="B181" t="str">
            <v>VITRIANI SETYOWATI</v>
          </cell>
          <cell r="C181" t="str">
            <v>SAMI</v>
          </cell>
          <cell r="D181" t="str">
            <v>OPT-318</v>
          </cell>
          <cell r="E181">
            <v>40812</v>
          </cell>
          <cell r="F181" t="str">
            <v>-</v>
          </cell>
          <cell r="G181" t="str">
            <v>-</v>
          </cell>
          <cell r="H181" t="str">
            <v>OTHERS</v>
          </cell>
          <cell r="I181" t="str">
            <v>BUFFER MP</v>
          </cell>
          <cell r="J181" t="str">
            <v>ALL</v>
          </cell>
          <cell r="K181" t="str">
            <v>ALL</v>
          </cell>
          <cell r="L181" t="str">
            <v>BUFFER MP SAMI</v>
          </cell>
          <cell r="M181" t="str">
            <v>BUFFER MP</v>
          </cell>
          <cell r="N181" t="str">
            <v>OTHERS IDL</v>
          </cell>
          <cell r="O181" t="str">
            <v>A (NS)</v>
          </cell>
        </row>
        <row r="182">
          <cell r="A182">
            <v>9237</v>
          </cell>
          <cell r="B182" t="str">
            <v>WINDAH MARIYAH BAKTIANA</v>
          </cell>
          <cell r="C182" t="str">
            <v>SAMI</v>
          </cell>
          <cell r="D182" t="str">
            <v>OPT-216</v>
          </cell>
          <cell r="E182">
            <v>40008</v>
          </cell>
          <cell r="F182" t="str">
            <v>-</v>
          </cell>
          <cell r="G182" t="str">
            <v>-</v>
          </cell>
          <cell r="H182" t="str">
            <v>OTHERS</v>
          </cell>
          <cell r="I182" t="str">
            <v>BUFFER MP</v>
          </cell>
          <cell r="J182" t="str">
            <v>ALL</v>
          </cell>
          <cell r="K182" t="str">
            <v>ALL</v>
          </cell>
          <cell r="L182" t="str">
            <v>BUFFER MP SAMI</v>
          </cell>
          <cell r="M182" t="str">
            <v>BUFFER MP</v>
          </cell>
          <cell r="N182" t="str">
            <v>OTHERS IDL</v>
          </cell>
          <cell r="O182" t="str">
            <v>A (NS)</v>
          </cell>
        </row>
        <row r="183">
          <cell r="A183">
            <v>4855</v>
          </cell>
          <cell r="B183" t="str">
            <v>ROH MURNI HANDAYANI</v>
          </cell>
          <cell r="C183" t="str">
            <v>SAMI</v>
          </cell>
          <cell r="D183" t="str">
            <v>OPT-120</v>
          </cell>
          <cell r="E183">
            <v>38930</v>
          </cell>
          <cell r="F183" t="str">
            <v>-</v>
          </cell>
          <cell r="G183" t="str">
            <v>-</v>
          </cell>
          <cell r="H183" t="str">
            <v>OTHERS</v>
          </cell>
          <cell r="I183" t="str">
            <v>BUFFER MP</v>
          </cell>
          <cell r="J183" t="str">
            <v>ALL</v>
          </cell>
          <cell r="K183" t="str">
            <v>ALL</v>
          </cell>
          <cell r="L183" t="str">
            <v>BUFFER MP SAMI</v>
          </cell>
          <cell r="M183" t="str">
            <v>BUFFER MP</v>
          </cell>
          <cell r="N183" t="str">
            <v>OTHERS IDL</v>
          </cell>
          <cell r="O183" t="str">
            <v>A (NS)</v>
          </cell>
        </row>
        <row r="184">
          <cell r="A184">
            <v>12274</v>
          </cell>
          <cell r="B184" t="str">
            <v>FATIKHATUL AINI</v>
          </cell>
          <cell r="C184" t="str">
            <v>SAMI</v>
          </cell>
          <cell r="D184" t="str">
            <v>OPT-316</v>
          </cell>
          <cell r="E184">
            <v>40805</v>
          </cell>
          <cell r="F184" t="str">
            <v>-</v>
          </cell>
          <cell r="G184" t="str">
            <v>-</v>
          </cell>
          <cell r="H184" t="str">
            <v>OTHERS</v>
          </cell>
          <cell r="I184" t="str">
            <v>BUFFER MP</v>
          </cell>
          <cell r="J184" t="str">
            <v>ALL</v>
          </cell>
          <cell r="K184" t="str">
            <v>ALL</v>
          </cell>
          <cell r="L184" t="str">
            <v>BUFFER MP SAMI</v>
          </cell>
          <cell r="M184" t="str">
            <v>BUFFER MP</v>
          </cell>
          <cell r="N184" t="str">
            <v>OTHERS IDL</v>
          </cell>
          <cell r="O184" t="str">
            <v>A (NS)</v>
          </cell>
        </row>
        <row r="185">
          <cell r="A185">
            <v>13194</v>
          </cell>
          <cell r="B185" t="str">
            <v>YULLY DWITIANTI</v>
          </cell>
          <cell r="C185" t="str">
            <v>SAMI</v>
          </cell>
          <cell r="D185" t="str">
            <v>OPT-333</v>
          </cell>
          <cell r="E185">
            <v>40904</v>
          </cell>
          <cell r="F185" t="str">
            <v>-</v>
          </cell>
          <cell r="G185" t="str">
            <v>-</v>
          </cell>
          <cell r="H185" t="str">
            <v>OTHERS</v>
          </cell>
          <cell r="I185" t="str">
            <v>BUFFER MP</v>
          </cell>
          <cell r="J185" t="str">
            <v>ALL</v>
          </cell>
          <cell r="K185" t="str">
            <v>ALL</v>
          </cell>
          <cell r="L185" t="str">
            <v>BUFFER MP SAMI</v>
          </cell>
          <cell r="M185" t="str">
            <v>BUFFER MP</v>
          </cell>
          <cell r="N185" t="str">
            <v>OTHERS IDL</v>
          </cell>
          <cell r="O185" t="str">
            <v>A (NS)</v>
          </cell>
        </row>
        <row r="186">
          <cell r="A186">
            <v>20659</v>
          </cell>
          <cell r="B186" t="str">
            <v>SUSANTI</v>
          </cell>
          <cell r="C186" t="str">
            <v>SAMI</v>
          </cell>
          <cell r="D186" t="str">
            <v>OPT-505</v>
          </cell>
          <cell r="E186">
            <v>42639</v>
          </cell>
          <cell r="F186">
            <v>43132</v>
          </cell>
          <cell r="G186">
            <v>43496</v>
          </cell>
          <cell r="H186" t="str">
            <v>OTHERS</v>
          </cell>
          <cell r="I186" t="str">
            <v>BUFFER MP</v>
          </cell>
          <cell r="J186" t="str">
            <v>ALL</v>
          </cell>
          <cell r="K186" t="str">
            <v>ALL</v>
          </cell>
          <cell r="L186" t="str">
            <v>BUFFER MP SAMI</v>
          </cell>
          <cell r="M186" t="str">
            <v>BUFFER MP</v>
          </cell>
          <cell r="N186" t="str">
            <v>OTHERS IDL</v>
          </cell>
          <cell r="O186" t="str">
            <v>A (NS)</v>
          </cell>
        </row>
        <row r="187">
          <cell r="A187">
            <v>11696</v>
          </cell>
          <cell r="B187" t="str">
            <v>HENY RAHMAWATI</v>
          </cell>
          <cell r="C187" t="str">
            <v>SAMI</v>
          </cell>
          <cell r="D187" t="str">
            <v>OPT-308</v>
          </cell>
          <cell r="E187">
            <v>40714</v>
          </cell>
          <cell r="F187" t="str">
            <v>-</v>
          </cell>
          <cell r="G187" t="str">
            <v>-</v>
          </cell>
          <cell r="H187" t="str">
            <v>OTHERS</v>
          </cell>
          <cell r="I187" t="str">
            <v>BUFFER MP</v>
          </cell>
          <cell r="J187" t="str">
            <v>ALL</v>
          </cell>
          <cell r="K187" t="str">
            <v>ALL</v>
          </cell>
          <cell r="L187" t="str">
            <v>BUFFER MP SAMI</v>
          </cell>
          <cell r="M187" t="str">
            <v>BUFFER MP</v>
          </cell>
          <cell r="N187" t="str">
            <v>OTHERS IDL</v>
          </cell>
          <cell r="O187" t="str">
            <v>A (NS)</v>
          </cell>
        </row>
        <row r="188">
          <cell r="A188">
            <v>12521</v>
          </cell>
          <cell r="B188" t="str">
            <v>RITA YULIYANTI</v>
          </cell>
          <cell r="C188" t="str">
            <v>SAMI</v>
          </cell>
          <cell r="D188" t="str">
            <v>OPT-318</v>
          </cell>
          <cell r="E188">
            <v>40812</v>
          </cell>
          <cell r="F188" t="str">
            <v>-</v>
          </cell>
          <cell r="G188" t="str">
            <v>-</v>
          </cell>
          <cell r="H188" t="str">
            <v>OTHERS</v>
          </cell>
          <cell r="I188" t="str">
            <v>BUFFER MP</v>
          </cell>
          <cell r="J188" t="str">
            <v>ALL</v>
          </cell>
          <cell r="K188" t="str">
            <v>ALL</v>
          </cell>
          <cell r="L188" t="str">
            <v>BUFFER MP SAMI</v>
          </cell>
          <cell r="M188" t="str">
            <v>AFTER CUTI HAMIL</v>
          </cell>
          <cell r="N188" t="str">
            <v>OTHERS IDL</v>
          </cell>
          <cell r="O188" t="str">
            <v>A (NS)</v>
          </cell>
        </row>
        <row r="189">
          <cell r="A189">
            <v>8808</v>
          </cell>
          <cell r="B189" t="str">
            <v>YASTIKA YUAN RIFANA</v>
          </cell>
          <cell r="C189" t="str">
            <v>SAMI</v>
          </cell>
          <cell r="D189" t="str">
            <v>OPT-194</v>
          </cell>
          <cell r="E189">
            <v>39931</v>
          </cell>
          <cell r="F189" t="str">
            <v>-</v>
          </cell>
          <cell r="G189" t="str">
            <v>-</v>
          </cell>
          <cell r="H189" t="str">
            <v>OTHERS</v>
          </cell>
          <cell r="I189" t="str">
            <v>BUFFER MP</v>
          </cell>
          <cell r="J189" t="str">
            <v>ALL</v>
          </cell>
          <cell r="K189" t="str">
            <v>ALL</v>
          </cell>
          <cell r="L189" t="str">
            <v>BUFFER MP SAMI</v>
          </cell>
          <cell r="M189" t="str">
            <v>AFTER CUTI HAMIL</v>
          </cell>
          <cell r="N189" t="str">
            <v>OTHERS IDL</v>
          </cell>
          <cell r="O189" t="str">
            <v>A (NS)</v>
          </cell>
        </row>
        <row r="190">
          <cell r="A190">
            <v>10331</v>
          </cell>
          <cell r="B190" t="str">
            <v>ROZALIYAH</v>
          </cell>
          <cell r="C190" t="str">
            <v>SAMI</v>
          </cell>
          <cell r="D190" t="str">
            <v>OPT-265</v>
          </cell>
          <cell r="E190">
            <v>40511</v>
          </cell>
          <cell r="F190" t="str">
            <v>-</v>
          </cell>
          <cell r="G190" t="str">
            <v>-</v>
          </cell>
          <cell r="H190" t="str">
            <v>OTHERS</v>
          </cell>
          <cell r="I190" t="str">
            <v>BUFFER MP</v>
          </cell>
          <cell r="J190" t="str">
            <v>ALL</v>
          </cell>
          <cell r="K190" t="str">
            <v>ALL</v>
          </cell>
          <cell r="L190" t="str">
            <v>BUFFER MP SAMI</v>
          </cell>
          <cell r="M190" t="str">
            <v>AFTER CUTI HAMIL</v>
          </cell>
          <cell r="N190" t="str">
            <v>OTHERS IDL</v>
          </cell>
          <cell r="O190" t="str">
            <v>A (NS)</v>
          </cell>
        </row>
        <row r="191">
          <cell r="A191">
            <v>938</v>
          </cell>
          <cell r="B191" t="str">
            <v>PUDJI RAHAYU</v>
          </cell>
          <cell r="C191" t="str">
            <v>SAMI</v>
          </cell>
          <cell r="D191" t="str">
            <v>OPT-24</v>
          </cell>
          <cell r="E191">
            <v>37865</v>
          </cell>
          <cell r="F191" t="str">
            <v>-</v>
          </cell>
          <cell r="G191" t="str">
            <v>-</v>
          </cell>
          <cell r="H191" t="str">
            <v>OTHERS</v>
          </cell>
          <cell r="I191" t="str">
            <v>BUFFER MP</v>
          </cell>
          <cell r="J191" t="str">
            <v>ALL</v>
          </cell>
          <cell r="K191" t="str">
            <v>ALL</v>
          </cell>
          <cell r="L191" t="str">
            <v>BUFFER MP SAMI</v>
          </cell>
          <cell r="M191" t="str">
            <v>AFTER CUTI HAMIL</v>
          </cell>
          <cell r="N191" t="str">
            <v>OTHERS IDL</v>
          </cell>
          <cell r="O191" t="str">
            <v>A (NS)</v>
          </cell>
        </row>
        <row r="192">
          <cell r="A192">
            <v>11267</v>
          </cell>
          <cell r="B192" t="str">
            <v>NISA UMAROH</v>
          </cell>
          <cell r="C192" t="str">
            <v>SAMI</v>
          </cell>
          <cell r="D192" t="str">
            <v>OPT-294</v>
          </cell>
          <cell r="E192">
            <v>40617</v>
          </cell>
          <cell r="F192" t="str">
            <v>-</v>
          </cell>
          <cell r="G192" t="str">
            <v>-</v>
          </cell>
          <cell r="H192" t="str">
            <v>OTHERS</v>
          </cell>
          <cell r="I192" t="str">
            <v>BUFFER MP</v>
          </cell>
          <cell r="J192" t="str">
            <v>ALL</v>
          </cell>
          <cell r="K192" t="str">
            <v>ALL</v>
          </cell>
          <cell r="L192" t="str">
            <v>BUFFER MP SAMI</v>
          </cell>
          <cell r="M192" t="str">
            <v>AFTER CUTI HAMIL</v>
          </cell>
          <cell r="N192" t="str">
            <v>OTHERS IDL</v>
          </cell>
          <cell r="O192" t="str">
            <v>A (NS)</v>
          </cell>
        </row>
        <row r="193">
          <cell r="A193">
            <v>11827</v>
          </cell>
          <cell r="B193" t="str">
            <v>RENITA</v>
          </cell>
          <cell r="C193" t="str">
            <v>SAMI</v>
          </cell>
          <cell r="D193" t="str">
            <v>OPT-309</v>
          </cell>
          <cell r="E193">
            <v>40721</v>
          </cell>
          <cell r="F193" t="str">
            <v>-</v>
          </cell>
          <cell r="G193" t="str">
            <v>-</v>
          </cell>
          <cell r="H193" t="str">
            <v>OTHERS</v>
          </cell>
          <cell r="I193" t="str">
            <v>BUFFER MP</v>
          </cell>
          <cell r="J193" t="str">
            <v>ALL</v>
          </cell>
          <cell r="K193" t="str">
            <v>ALL</v>
          </cell>
          <cell r="L193" t="str">
            <v>BUFFER MP SAMI</v>
          </cell>
          <cell r="M193" t="str">
            <v>AFTER CUTI HAMIL</v>
          </cell>
          <cell r="N193" t="str">
            <v>OTHERS IDL</v>
          </cell>
          <cell r="O193" t="str">
            <v>A (NS)</v>
          </cell>
        </row>
        <row r="194">
          <cell r="A194">
            <v>324</v>
          </cell>
          <cell r="B194" t="str">
            <v>SUMIYATI</v>
          </cell>
          <cell r="C194" t="str">
            <v>SAMI</v>
          </cell>
          <cell r="D194" t="str">
            <v>OPT-9</v>
          </cell>
          <cell r="E194">
            <v>37725</v>
          </cell>
          <cell r="F194" t="str">
            <v>-</v>
          </cell>
          <cell r="G194" t="str">
            <v>-</v>
          </cell>
          <cell r="H194" t="str">
            <v>OTHERS</v>
          </cell>
          <cell r="I194" t="str">
            <v>BUFFER MP</v>
          </cell>
          <cell r="J194" t="str">
            <v>ALL</v>
          </cell>
          <cell r="K194" t="str">
            <v>ALL</v>
          </cell>
          <cell r="L194" t="str">
            <v>BUFFER MP SAMI</v>
          </cell>
          <cell r="M194" t="str">
            <v>AFTER CUTI HAMIL</v>
          </cell>
          <cell r="N194" t="str">
            <v>OTHERS IDL</v>
          </cell>
          <cell r="O194" t="str">
            <v>A (NS)</v>
          </cell>
        </row>
        <row r="195">
          <cell r="A195">
            <v>1306</v>
          </cell>
          <cell r="B195" t="str">
            <v>RAKHMA ROSITA INDAH</v>
          </cell>
          <cell r="C195" t="str">
            <v>SAMI</v>
          </cell>
          <cell r="D195" t="str">
            <v>OPT-32</v>
          </cell>
          <cell r="E195">
            <v>37928</v>
          </cell>
          <cell r="F195" t="str">
            <v>-</v>
          </cell>
          <cell r="G195" t="str">
            <v>-</v>
          </cell>
          <cell r="H195" t="str">
            <v>OTHERS</v>
          </cell>
          <cell r="I195" t="str">
            <v>BUFFER MP</v>
          </cell>
          <cell r="J195" t="str">
            <v>ALL</v>
          </cell>
          <cell r="K195" t="str">
            <v>ALL</v>
          </cell>
          <cell r="L195" t="str">
            <v>BUFFER MP SAMI</v>
          </cell>
          <cell r="M195" t="str">
            <v>AFTER CUTI HAMIL</v>
          </cell>
          <cell r="N195" t="str">
            <v>OTHERS IDL</v>
          </cell>
          <cell r="O195" t="str">
            <v>A (NS)</v>
          </cell>
        </row>
        <row r="196">
          <cell r="A196">
            <v>13789</v>
          </cell>
          <cell r="B196" t="str">
            <v>SETIYONO EKO NUGROHO</v>
          </cell>
          <cell r="C196" t="str">
            <v>SAMI</v>
          </cell>
          <cell r="D196" t="str">
            <v>ES-50</v>
          </cell>
          <cell r="E196">
            <v>41213</v>
          </cell>
          <cell r="F196" t="str">
            <v>-</v>
          </cell>
          <cell r="G196" t="str">
            <v>-</v>
          </cell>
          <cell r="H196" t="str">
            <v>OTHERS</v>
          </cell>
          <cell r="I196" t="str">
            <v>TRN @ OVERSEAS</v>
          </cell>
          <cell r="J196" t="str">
            <v>ALL</v>
          </cell>
          <cell r="K196" t="str">
            <v>ALL</v>
          </cell>
          <cell r="L196" t="str">
            <v>TRN @ OVERSEAS - TCS 5</v>
          </cell>
          <cell r="M196" t="str">
            <v>TRN @ OVERSEAS</v>
          </cell>
          <cell r="N196" t="str">
            <v>OTHERS IDL</v>
          </cell>
          <cell r="O196" t="str">
            <v>-</v>
          </cell>
        </row>
        <row r="197">
          <cell r="A197">
            <v>10048</v>
          </cell>
          <cell r="B197" t="str">
            <v>SAULINA RUDIYANTI</v>
          </cell>
          <cell r="C197" t="str">
            <v>SAMI</v>
          </cell>
          <cell r="D197" t="str">
            <v>OPT-247</v>
          </cell>
          <cell r="E197">
            <v>40438</v>
          </cell>
          <cell r="F197" t="str">
            <v>-</v>
          </cell>
          <cell r="G197" t="str">
            <v>-</v>
          </cell>
          <cell r="H197" t="str">
            <v>OTHERS</v>
          </cell>
          <cell r="I197" t="str">
            <v>TRN @ OVERSEAS</v>
          </cell>
          <cell r="J197" t="str">
            <v>ALL</v>
          </cell>
          <cell r="K197" t="str">
            <v>ALL</v>
          </cell>
          <cell r="L197" t="str">
            <v>TRN @ OVERSEAS - TCS 5</v>
          </cell>
          <cell r="M197" t="str">
            <v>TRN @ OVERSEAS</v>
          </cell>
          <cell r="N197" t="str">
            <v>OTHERS IDL</v>
          </cell>
          <cell r="O197" t="str">
            <v>-</v>
          </cell>
        </row>
        <row r="198">
          <cell r="A198">
            <v>10767</v>
          </cell>
          <cell r="B198" t="str">
            <v>ARIES UMI KUSMIAH</v>
          </cell>
          <cell r="C198" t="str">
            <v>SAMI</v>
          </cell>
          <cell r="D198" t="str">
            <v>OPT-282</v>
          </cell>
          <cell r="E198">
            <v>40567</v>
          </cell>
          <cell r="F198" t="str">
            <v>-</v>
          </cell>
          <cell r="G198" t="str">
            <v>-</v>
          </cell>
          <cell r="H198" t="str">
            <v>OTHERS</v>
          </cell>
          <cell r="I198" t="str">
            <v>TRN @ OVERSEAS</v>
          </cell>
          <cell r="J198" t="str">
            <v>ALL</v>
          </cell>
          <cell r="K198" t="str">
            <v>ALL</v>
          </cell>
          <cell r="L198" t="str">
            <v>TRN @ OVERSEAS - TCS 5</v>
          </cell>
          <cell r="M198" t="str">
            <v>TRN @ OVERSEAS</v>
          </cell>
          <cell r="N198" t="str">
            <v>OTHERS IDL</v>
          </cell>
          <cell r="O198" t="str">
            <v>-</v>
          </cell>
        </row>
        <row r="199">
          <cell r="A199">
            <v>11836</v>
          </cell>
          <cell r="B199" t="str">
            <v>SILFIYA ANI YULIANA</v>
          </cell>
          <cell r="C199" t="str">
            <v>SAMI</v>
          </cell>
          <cell r="D199" t="str">
            <v>OPT-309</v>
          </cell>
          <cell r="E199">
            <v>40721</v>
          </cell>
          <cell r="F199" t="str">
            <v>-</v>
          </cell>
          <cell r="G199" t="str">
            <v>-</v>
          </cell>
          <cell r="H199" t="str">
            <v>OTHERS</v>
          </cell>
          <cell r="I199" t="str">
            <v>TRN @ OVERSEAS</v>
          </cell>
          <cell r="J199" t="str">
            <v>ALL</v>
          </cell>
          <cell r="K199" t="str">
            <v>ALL</v>
          </cell>
          <cell r="L199" t="str">
            <v>TRN @ OVERSEAS - TCS 5</v>
          </cell>
          <cell r="M199" t="str">
            <v>TRN @ OVERSEAS</v>
          </cell>
          <cell r="N199" t="str">
            <v>OTHERS IDL</v>
          </cell>
          <cell r="O199" t="str">
            <v>-</v>
          </cell>
        </row>
        <row r="200">
          <cell r="A200">
            <v>11549</v>
          </cell>
          <cell r="B200" t="str">
            <v>ERI DEVIA PRIHATININGRUM</v>
          </cell>
          <cell r="C200" t="str">
            <v>SAMI</v>
          </cell>
          <cell r="D200" t="str">
            <v>OPT-307</v>
          </cell>
          <cell r="E200">
            <v>40707</v>
          </cell>
          <cell r="F200" t="str">
            <v>-</v>
          </cell>
          <cell r="G200" t="str">
            <v>-</v>
          </cell>
          <cell r="H200" t="str">
            <v>OTHERS</v>
          </cell>
          <cell r="I200" t="str">
            <v>TRN @ OVERSEAS</v>
          </cell>
          <cell r="J200" t="str">
            <v>ALL</v>
          </cell>
          <cell r="K200" t="str">
            <v>ALL</v>
          </cell>
          <cell r="L200" t="str">
            <v>TRN @ OVERSEAS - TCS 5</v>
          </cell>
          <cell r="M200" t="str">
            <v>TRN @ OVERSEAS</v>
          </cell>
          <cell r="N200" t="str">
            <v>OTHERS IDL</v>
          </cell>
          <cell r="O200" t="str">
            <v>-</v>
          </cell>
        </row>
        <row r="201">
          <cell r="A201">
            <v>9458</v>
          </cell>
          <cell r="B201" t="str">
            <v>NOVIA PRIHATININGSIH</v>
          </cell>
          <cell r="C201" t="str">
            <v>SAMI</v>
          </cell>
          <cell r="D201" t="str">
            <v>OPT-216</v>
          </cell>
          <cell r="E201">
            <v>40148</v>
          </cell>
          <cell r="F201" t="str">
            <v>-</v>
          </cell>
          <cell r="G201" t="str">
            <v>-</v>
          </cell>
          <cell r="H201" t="str">
            <v>OTHERS</v>
          </cell>
          <cell r="I201" t="str">
            <v>TRN @ OVERSEAS</v>
          </cell>
          <cell r="J201" t="str">
            <v>ALL</v>
          </cell>
          <cell r="K201" t="str">
            <v>ALL</v>
          </cell>
          <cell r="L201" t="str">
            <v>TRN @ OVERSEAS - TCS 5</v>
          </cell>
          <cell r="M201" t="str">
            <v>TRN @ OVERSEAS</v>
          </cell>
          <cell r="N201" t="str">
            <v>OTHERS IDL</v>
          </cell>
          <cell r="O201" t="str">
            <v>-</v>
          </cell>
        </row>
        <row r="202">
          <cell r="A202">
            <v>10254</v>
          </cell>
          <cell r="B202" t="str">
            <v>NURSITA AYU FATMANINGTYAS</v>
          </cell>
          <cell r="C202" t="str">
            <v>SAMI</v>
          </cell>
          <cell r="D202" t="str">
            <v>OPT-261</v>
          </cell>
          <cell r="E202">
            <v>40497</v>
          </cell>
          <cell r="F202" t="str">
            <v>-</v>
          </cell>
          <cell r="G202" t="str">
            <v>-</v>
          </cell>
          <cell r="H202" t="str">
            <v>OTHERS</v>
          </cell>
          <cell r="I202" t="str">
            <v>TRN @ OVERSEAS</v>
          </cell>
          <cell r="J202" t="str">
            <v>ALL</v>
          </cell>
          <cell r="K202" t="str">
            <v>ALL</v>
          </cell>
          <cell r="L202" t="str">
            <v>TRN @ OVERSEAS - TCS 5</v>
          </cell>
          <cell r="M202" t="str">
            <v>TRN @ OVERSEAS</v>
          </cell>
          <cell r="N202" t="str">
            <v>OTHERS IDL</v>
          </cell>
          <cell r="O202" t="str">
            <v>-</v>
          </cell>
        </row>
        <row r="203">
          <cell r="A203">
            <v>9145</v>
          </cell>
          <cell r="B203" t="str">
            <v>JUNI AROFATUL M</v>
          </cell>
          <cell r="C203" t="str">
            <v>SAMI</v>
          </cell>
          <cell r="D203" t="str">
            <v>OPT-205</v>
          </cell>
          <cell r="E203">
            <v>40000</v>
          </cell>
          <cell r="F203" t="str">
            <v>-</v>
          </cell>
          <cell r="G203" t="str">
            <v>-</v>
          </cell>
          <cell r="H203" t="str">
            <v>OTHERS</v>
          </cell>
          <cell r="I203" t="str">
            <v>TRN @ OVERSEAS</v>
          </cell>
          <cell r="J203" t="str">
            <v>ALL</v>
          </cell>
          <cell r="K203" t="str">
            <v>ALL</v>
          </cell>
          <cell r="L203" t="str">
            <v>TRN @ OVERSEAS - TCS 5</v>
          </cell>
          <cell r="M203" t="str">
            <v>TRN @ OVERSEAS</v>
          </cell>
          <cell r="N203" t="str">
            <v>OTHERS IDL</v>
          </cell>
          <cell r="O203" t="str">
            <v>-</v>
          </cell>
        </row>
        <row r="204">
          <cell r="A204">
            <v>5796</v>
          </cell>
          <cell r="B204" t="str">
            <v>PUJI HARJANTI</v>
          </cell>
          <cell r="C204" t="str">
            <v>SAMI</v>
          </cell>
          <cell r="D204" t="str">
            <v>OPT-135</v>
          </cell>
          <cell r="E204">
            <v>39114</v>
          </cell>
          <cell r="F204" t="str">
            <v>-</v>
          </cell>
          <cell r="G204" t="str">
            <v>-</v>
          </cell>
          <cell r="H204" t="str">
            <v>OTHERS</v>
          </cell>
          <cell r="I204" t="str">
            <v>TRN @ OVERSEAS</v>
          </cell>
          <cell r="J204" t="str">
            <v>ALL</v>
          </cell>
          <cell r="K204" t="str">
            <v>ALL</v>
          </cell>
          <cell r="L204" t="str">
            <v>TRN @ OVERSEAS - TCS 5</v>
          </cell>
          <cell r="M204" t="str">
            <v>TRN @ OVERSEAS</v>
          </cell>
          <cell r="N204" t="str">
            <v>OTHERS IDL</v>
          </cell>
          <cell r="O204" t="str">
            <v>-</v>
          </cell>
        </row>
        <row r="205">
          <cell r="A205">
            <v>10646</v>
          </cell>
          <cell r="B205" t="str">
            <v>AHMAD YAENURI</v>
          </cell>
          <cell r="C205" t="str">
            <v>SAMI</v>
          </cell>
          <cell r="D205" t="str">
            <v>OPT-279</v>
          </cell>
          <cell r="E205">
            <v>40553</v>
          </cell>
          <cell r="F205" t="str">
            <v>-</v>
          </cell>
          <cell r="G205" t="str">
            <v>-</v>
          </cell>
          <cell r="H205" t="str">
            <v>OTHERS</v>
          </cell>
          <cell r="I205" t="str">
            <v>TRN @ OVERSEAS</v>
          </cell>
          <cell r="J205" t="str">
            <v>ALL</v>
          </cell>
          <cell r="K205" t="str">
            <v>ALL</v>
          </cell>
          <cell r="L205" t="str">
            <v>TRN @ OVERSEAS - TCS 5</v>
          </cell>
          <cell r="M205" t="str">
            <v>TRN @ OVERSEAS</v>
          </cell>
          <cell r="N205" t="str">
            <v>OTHERS IDL</v>
          </cell>
          <cell r="O205" t="str">
            <v>-</v>
          </cell>
        </row>
        <row r="206">
          <cell r="A206">
            <v>17833</v>
          </cell>
          <cell r="B206" t="str">
            <v>AHMAD MAHFUD ELA MAULANA</v>
          </cell>
          <cell r="C206" t="str">
            <v>SAMI</v>
          </cell>
          <cell r="D206" t="str">
            <v>TKN-82</v>
          </cell>
          <cell r="E206">
            <v>41820</v>
          </cell>
          <cell r="F206" t="str">
            <v>-</v>
          </cell>
          <cell r="G206" t="str">
            <v>-</v>
          </cell>
          <cell r="H206" t="str">
            <v>OTHERS</v>
          </cell>
          <cell r="I206" t="str">
            <v>TRN @ OVERSEAS</v>
          </cell>
          <cell r="J206" t="str">
            <v>ALL</v>
          </cell>
          <cell r="K206" t="str">
            <v>ALL</v>
          </cell>
          <cell r="L206" t="str">
            <v>TRN @ OVERSEAS - TCS 6</v>
          </cell>
          <cell r="M206" t="str">
            <v>TRN @ OVERSEAS</v>
          </cell>
          <cell r="N206" t="str">
            <v>OTHERS IDL</v>
          </cell>
          <cell r="O206" t="str">
            <v>-</v>
          </cell>
        </row>
        <row r="207">
          <cell r="A207">
            <v>10062</v>
          </cell>
          <cell r="B207" t="str">
            <v>VIPIT WULANINGSIH</v>
          </cell>
          <cell r="C207" t="str">
            <v>SAMI</v>
          </cell>
          <cell r="D207" t="str">
            <v>OPT-247</v>
          </cell>
          <cell r="E207">
            <v>40438</v>
          </cell>
          <cell r="F207" t="str">
            <v>-</v>
          </cell>
          <cell r="G207" t="str">
            <v>-</v>
          </cell>
          <cell r="H207" t="str">
            <v>OTHERS</v>
          </cell>
          <cell r="I207" t="str">
            <v>TRN @ OVERSEAS</v>
          </cell>
          <cell r="J207" t="str">
            <v>ALL</v>
          </cell>
          <cell r="K207" t="str">
            <v>ALL</v>
          </cell>
          <cell r="L207" t="str">
            <v>TRN @ OVERSEAS - TCS 6</v>
          </cell>
          <cell r="M207" t="str">
            <v>TRN @ OVERSEAS</v>
          </cell>
          <cell r="N207" t="str">
            <v>OTHERS IDL</v>
          </cell>
          <cell r="O207" t="str">
            <v>-</v>
          </cell>
        </row>
        <row r="208">
          <cell r="A208">
            <v>17672</v>
          </cell>
          <cell r="B208" t="str">
            <v>ULFA SRI PANGESTU</v>
          </cell>
          <cell r="C208" t="str">
            <v>SAMI</v>
          </cell>
          <cell r="D208" t="str">
            <v>OPT-445</v>
          </cell>
          <cell r="E208">
            <v>41792</v>
          </cell>
          <cell r="F208" t="str">
            <v>-</v>
          </cell>
          <cell r="G208" t="str">
            <v>-</v>
          </cell>
          <cell r="H208" t="str">
            <v>OTHERS</v>
          </cell>
          <cell r="I208" t="str">
            <v>TRN @ OVERSEAS</v>
          </cell>
          <cell r="J208" t="str">
            <v>ALL</v>
          </cell>
          <cell r="K208" t="str">
            <v>ALL</v>
          </cell>
          <cell r="L208" t="str">
            <v>TRN @ OVERSEAS - TCS 6</v>
          </cell>
          <cell r="M208" t="str">
            <v>TRN @ OVERSEAS</v>
          </cell>
          <cell r="N208" t="str">
            <v>OTHERS IDL</v>
          </cell>
          <cell r="O208" t="str">
            <v>-</v>
          </cell>
        </row>
        <row r="209">
          <cell r="A209">
            <v>18970</v>
          </cell>
          <cell r="B209" t="str">
            <v>NISA US'SHOLIKHA</v>
          </cell>
          <cell r="C209" t="str">
            <v>SAMI</v>
          </cell>
          <cell r="D209" t="str">
            <v>OPT-470</v>
          </cell>
          <cell r="E209">
            <v>42214</v>
          </cell>
          <cell r="F209" t="str">
            <v>-</v>
          </cell>
          <cell r="G209" t="str">
            <v>-</v>
          </cell>
          <cell r="H209" t="str">
            <v>OTHERS</v>
          </cell>
          <cell r="I209" t="str">
            <v>TRN @ OVERSEAS</v>
          </cell>
          <cell r="J209" t="str">
            <v>ALL</v>
          </cell>
          <cell r="K209" t="str">
            <v>ALL</v>
          </cell>
          <cell r="L209" t="str">
            <v>TRN @ OVERSEAS - TCS 6</v>
          </cell>
          <cell r="M209" t="str">
            <v>TRN @ OVERSEAS</v>
          </cell>
          <cell r="N209" t="str">
            <v>OTHERS IDL</v>
          </cell>
          <cell r="O209" t="str">
            <v>-</v>
          </cell>
        </row>
        <row r="210">
          <cell r="A210">
            <v>12444</v>
          </cell>
          <cell r="B210" t="str">
            <v>EKO PRASETYO</v>
          </cell>
          <cell r="C210" t="str">
            <v>SAMI</v>
          </cell>
          <cell r="D210" t="str">
            <v>OPT-318</v>
          </cell>
          <cell r="E210">
            <v>40812</v>
          </cell>
          <cell r="F210" t="str">
            <v>-</v>
          </cell>
          <cell r="G210" t="str">
            <v>-</v>
          </cell>
          <cell r="H210" t="str">
            <v>OTHERS</v>
          </cell>
          <cell r="I210" t="str">
            <v>TRN @ OVERSEAS</v>
          </cell>
          <cell r="J210" t="str">
            <v>ALL</v>
          </cell>
          <cell r="K210" t="str">
            <v>ALL</v>
          </cell>
          <cell r="L210" t="str">
            <v>TRN @ OVERSEAS - TCS 6</v>
          </cell>
          <cell r="M210" t="str">
            <v>TRN @ OVERSEAS</v>
          </cell>
          <cell r="N210" t="str">
            <v>OTHERS IDL</v>
          </cell>
          <cell r="O210" t="str">
            <v>-</v>
          </cell>
        </row>
        <row r="211">
          <cell r="A211">
            <v>12582</v>
          </cell>
          <cell r="B211" t="str">
            <v>AMBARWATI</v>
          </cell>
          <cell r="C211" t="str">
            <v>SAMI</v>
          </cell>
          <cell r="D211" t="str">
            <v>OPT-319</v>
          </cell>
          <cell r="E211">
            <v>40816</v>
          </cell>
          <cell r="F211" t="str">
            <v>-</v>
          </cell>
          <cell r="G211" t="str">
            <v>-</v>
          </cell>
          <cell r="H211" t="str">
            <v>OTHERS</v>
          </cell>
          <cell r="I211" t="str">
            <v>TRN @ OVERSEAS</v>
          </cell>
          <cell r="J211" t="str">
            <v>ALL</v>
          </cell>
          <cell r="K211" t="str">
            <v>ALL</v>
          </cell>
          <cell r="L211" t="str">
            <v>TRN @ OVERSEAS - DAITO 9</v>
          </cell>
          <cell r="M211" t="str">
            <v>TRN @ OVERSEAS</v>
          </cell>
          <cell r="N211" t="str">
            <v>OTHERS IDL</v>
          </cell>
          <cell r="O211" t="str">
            <v>-</v>
          </cell>
        </row>
        <row r="212">
          <cell r="A212">
            <v>12598</v>
          </cell>
          <cell r="B212" t="str">
            <v>DHATI ASTITI</v>
          </cell>
          <cell r="C212" t="str">
            <v>SAMI</v>
          </cell>
          <cell r="D212" t="str">
            <v>OPT-319</v>
          </cell>
          <cell r="E212">
            <v>40816</v>
          </cell>
          <cell r="F212" t="str">
            <v>-</v>
          </cell>
          <cell r="G212" t="str">
            <v>-</v>
          </cell>
          <cell r="H212" t="str">
            <v>OTHERS</v>
          </cell>
          <cell r="I212" t="str">
            <v>TRN @ OVERSEAS</v>
          </cell>
          <cell r="J212" t="str">
            <v>ALL</v>
          </cell>
          <cell r="K212" t="str">
            <v>ALL</v>
          </cell>
          <cell r="L212" t="str">
            <v>TRN @ OVERSEAS - DAITO 9</v>
          </cell>
          <cell r="M212" t="str">
            <v>TRN @ OVERSEAS</v>
          </cell>
          <cell r="N212" t="str">
            <v>OTHERS IDL</v>
          </cell>
          <cell r="O212" t="str">
            <v>-</v>
          </cell>
        </row>
        <row r="213">
          <cell r="A213">
            <v>14970</v>
          </cell>
          <cell r="B213" t="str">
            <v>NUR AFRIDATUL KONA'AH</v>
          </cell>
          <cell r="C213" t="str">
            <v>SAMI</v>
          </cell>
          <cell r="D213" t="str">
            <v>OPT-379</v>
          </cell>
          <cell r="E213">
            <v>41407</v>
          </cell>
          <cell r="F213" t="str">
            <v>-</v>
          </cell>
          <cell r="G213" t="str">
            <v>-</v>
          </cell>
          <cell r="H213" t="str">
            <v>OTHERS</v>
          </cell>
          <cell r="I213" t="str">
            <v>TRN @ OVERSEAS</v>
          </cell>
          <cell r="J213" t="str">
            <v>ALL</v>
          </cell>
          <cell r="K213" t="str">
            <v>ALL</v>
          </cell>
          <cell r="L213" t="str">
            <v>TRN @ OVERSEAS - DAITO 9</v>
          </cell>
          <cell r="M213" t="str">
            <v>TRN @ OVERSEAS</v>
          </cell>
          <cell r="N213" t="str">
            <v>OTHERS IDL</v>
          </cell>
          <cell r="O213" t="str">
            <v>-</v>
          </cell>
        </row>
        <row r="214">
          <cell r="A214">
            <v>10485</v>
          </cell>
          <cell r="B214" t="str">
            <v>TIWI NOVIANA</v>
          </cell>
          <cell r="C214" t="str">
            <v>SAMI</v>
          </cell>
          <cell r="D214" t="str">
            <v>OPT-270</v>
          </cell>
          <cell r="E214">
            <v>40524</v>
          </cell>
          <cell r="F214" t="str">
            <v>-</v>
          </cell>
          <cell r="G214" t="str">
            <v>-</v>
          </cell>
          <cell r="H214" t="str">
            <v>OTHERS</v>
          </cell>
          <cell r="I214" t="str">
            <v>TRN @ OVERSEAS</v>
          </cell>
          <cell r="J214" t="str">
            <v>ALL</v>
          </cell>
          <cell r="K214" t="str">
            <v>ALL</v>
          </cell>
          <cell r="L214" t="str">
            <v>TRN @ OVERSEAS - DAITO 9</v>
          </cell>
          <cell r="M214" t="str">
            <v>TRN @ OVERSEAS</v>
          </cell>
          <cell r="N214" t="str">
            <v>OTHERS IDL</v>
          </cell>
          <cell r="O214" t="str">
            <v>-</v>
          </cell>
        </row>
        <row r="215">
          <cell r="A215">
            <v>13041</v>
          </cell>
          <cell r="B215" t="str">
            <v>NURUL CHASANAH</v>
          </cell>
          <cell r="C215" t="str">
            <v>SAMI</v>
          </cell>
          <cell r="D215" t="str">
            <v>OPT-324</v>
          </cell>
          <cell r="E215">
            <v>40844</v>
          </cell>
          <cell r="F215" t="str">
            <v>-</v>
          </cell>
          <cell r="G215" t="str">
            <v>-</v>
          </cell>
          <cell r="H215" t="str">
            <v>OTHERS</v>
          </cell>
          <cell r="I215" t="str">
            <v>TRN @ OVERSEAS</v>
          </cell>
          <cell r="J215" t="str">
            <v>ALL</v>
          </cell>
          <cell r="K215" t="str">
            <v>ALL</v>
          </cell>
          <cell r="L215" t="str">
            <v>TRN @ OVERSEAS - DAITO 9</v>
          </cell>
          <cell r="M215" t="str">
            <v>TRN @ OVERSEAS</v>
          </cell>
          <cell r="N215" t="str">
            <v>OTHERS IDL</v>
          </cell>
          <cell r="O215" t="str">
            <v>-</v>
          </cell>
        </row>
        <row r="216">
          <cell r="A216">
            <v>10323</v>
          </cell>
          <cell r="B216" t="str">
            <v>NOVITASARI</v>
          </cell>
          <cell r="C216" t="str">
            <v>SAMI</v>
          </cell>
          <cell r="D216" t="str">
            <v>OPT-265</v>
          </cell>
          <cell r="E216">
            <v>40511</v>
          </cell>
          <cell r="F216" t="str">
            <v>-</v>
          </cell>
          <cell r="G216" t="str">
            <v>-</v>
          </cell>
          <cell r="H216" t="str">
            <v>OTHERS</v>
          </cell>
          <cell r="I216" t="str">
            <v>TRN @ OVERSEAS</v>
          </cell>
          <cell r="J216" t="str">
            <v>ALL</v>
          </cell>
          <cell r="K216" t="str">
            <v>ALL</v>
          </cell>
          <cell r="L216" t="str">
            <v>TRN @ OVERSEAS - DAITO 9</v>
          </cell>
          <cell r="M216" t="str">
            <v>TRN @ OVERSEAS</v>
          </cell>
          <cell r="N216" t="str">
            <v>OTHERS IDL</v>
          </cell>
          <cell r="O216" t="str">
            <v>-</v>
          </cell>
        </row>
        <row r="217">
          <cell r="A217">
            <v>9109</v>
          </cell>
          <cell r="B217" t="str">
            <v>LISTIYANI MANISA</v>
          </cell>
          <cell r="C217" t="str">
            <v>SAMI</v>
          </cell>
          <cell r="D217" t="str">
            <v>OPT-204</v>
          </cell>
          <cell r="E217">
            <v>39995</v>
          </cell>
          <cell r="F217" t="str">
            <v>-</v>
          </cell>
          <cell r="G217" t="str">
            <v>-</v>
          </cell>
          <cell r="H217" t="str">
            <v>OTHERS</v>
          </cell>
          <cell r="I217" t="str">
            <v>TRN @ OVERSEAS</v>
          </cell>
          <cell r="J217" t="str">
            <v>ALL</v>
          </cell>
          <cell r="K217" t="str">
            <v>ALL</v>
          </cell>
          <cell r="L217" t="str">
            <v>TRN @ OVERSEAS - DAITO 9</v>
          </cell>
          <cell r="M217" t="str">
            <v>TRN @ OVERSEAS</v>
          </cell>
          <cell r="N217" t="str">
            <v>OTHERS IDL</v>
          </cell>
          <cell r="O217" t="str">
            <v>-</v>
          </cell>
        </row>
        <row r="218">
          <cell r="A218">
            <v>14548</v>
          </cell>
          <cell r="B218" t="str">
            <v>WIDA WIJAYANTI</v>
          </cell>
          <cell r="C218" t="str">
            <v>SAMI</v>
          </cell>
          <cell r="D218" t="str">
            <v>OPT-375</v>
          </cell>
          <cell r="E218">
            <v>41393</v>
          </cell>
          <cell r="F218" t="str">
            <v>-</v>
          </cell>
          <cell r="G218" t="str">
            <v>-</v>
          </cell>
          <cell r="H218" t="str">
            <v>OTHERS</v>
          </cell>
          <cell r="I218" t="str">
            <v>TRN @ OVERSEAS</v>
          </cell>
          <cell r="J218" t="str">
            <v>ALL</v>
          </cell>
          <cell r="K218" t="str">
            <v>ALL</v>
          </cell>
          <cell r="L218" t="str">
            <v>TRN @ OVERSEAS - DAITO 9</v>
          </cell>
          <cell r="M218" t="str">
            <v>TRN @ OVERSEAS</v>
          </cell>
          <cell r="N218" t="str">
            <v>OTHERS IDL</v>
          </cell>
          <cell r="O218" t="str">
            <v>-</v>
          </cell>
        </row>
        <row r="219">
          <cell r="A219" t="str">
            <v>B00869</v>
          </cell>
          <cell r="B219" t="str">
            <v>AMALIA UMI IMAWATI</v>
          </cell>
          <cell r="C219" t="str">
            <v>SAMI</v>
          </cell>
          <cell r="D219" t="str">
            <v>BBF-018</v>
          </cell>
          <cell r="E219">
            <v>40948</v>
          </cell>
          <cell r="F219" t="str">
            <v>-</v>
          </cell>
          <cell r="G219" t="str">
            <v>-</v>
          </cell>
          <cell r="H219" t="str">
            <v>OTHERS</v>
          </cell>
          <cell r="I219" t="str">
            <v>TRN @ OVERSEAS</v>
          </cell>
          <cell r="J219" t="str">
            <v>ALL</v>
          </cell>
          <cell r="K219" t="str">
            <v>ALL</v>
          </cell>
          <cell r="L219" t="str">
            <v>TRN @ OVERSEAS - DAITO 9</v>
          </cell>
          <cell r="M219" t="str">
            <v>TRN @ OVERSEAS</v>
          </cell>
          <cell r="N219" t="str">
            <v>OTHERS IDL</v>
          </cell>
          <cell r="O219" t="str">
            <v>-</v>
          </cell>
        </row>
        <row r="220">
          <cell r="A220">
            <v>23184</v>
          </cell>
          <cell r="B220" t="str">
            <v>ABDUL SIAMIN</v>
          </cell>
          <cell r="C220" t="str">
            <v>SAMI</v>
          </cell>
          <cell r="D220" t="str">
            <v>OPT-572</v>
          </cell>
          <cell r="E220">
            <v>43405</v>
          </cell>
          <cell r="F220">
            <v>43435</v>
          </cell>
          <cell r="G220">
            <v>43799</v>
          </cell>
          <cell r="H220" t="str">
            <v>NEOP</v>
          </cell>
          <cell r="I220" t="str">
            <v>NEOP</v>
          </cell>
          <cell r="J220" t="str">
            <v>-</v>
          </cell>
          <cell r="K220" t="str">
            <v>-</v>
          </cell>
          <cell r="L220" t="str">
            <v>-</v>
          </cell>
          <cell r="M220" t="str">
            <v>-</v>
          </cell>
          <cell r="N220" t="str">
            <v>TRAINING EMPLOYEE IN CLASS</v>
          </cell>
          <cell r="O220" t="str">
            <v>A (NS)</v>
          </cell>
        </row>
        <row r="221">
          <cell r="A221">
            <v>23186</v>
          </cell>
          <cell r="B221" t="str">
            <v>HENRY RADITIYA</v>
          </cell>
          <cell r="C221" t="str">
            <v>SAMI</v>
          </cell>
          <cell r="D221" t="str">
            <v>OPT-572</v>
          </cell>
          <cell r="E221">
            <v>43405</v>
          </cell>
          <cell r="F221">
            <v>43435</v>
          </cell>
          <cell r="G221">
            <v>43799</v>
          </cell>
          <cell r="H221" t="str">
            <v>NEOP</v>
          </cell>
          <cell r="I221" t="str">
            <v>NEOP</v>
          </cell>
          <cell r="J221" t="str">
            <v>-</v>
          </cell>
          <cell r="K221" t="str">
            <v>-</v>
          </cell>
          <cell r="L221" t="str">
            <v>-</v>
          </cell>
          <cell r="M221" t="str">
            <v>-</v>
          </cell>
          <cell r="N221" t="str">
            <v>TRAINING EMPLOYEE IN CLASS</v>
          </cell>
          <cell r="O221" t="str">
            <v>A (NS)</v>
          </cell>
        </row>
        <row r="222">
          <cell r="A222">
            <v>23187</v>
          </cell>
          <cell r="B222" t="str">
            <v>IGNATIUS BAYU DEWANTARA</v>
          </cell>
          <cell r="C222" t="str">
            <v>SAMI</v>
          </cell>
          <cell r="D222" t="str">
            <v>OPT-572</v>
          </cell>
          <cell r="E222">
            <v>43405</v>
          </cell>
          <cell r="F222">
            <v>43435</v>
          </cell>
          <cell r="G222">
            <v>43799</v>
          </cell>
          <cell r="H222" t="str">
            <v>NEOP</v>
          </cell>
          <cell r="I222" t="str">
            <v>NEOP</v>
          </cell>
          <cell r="J222" t="str">
            <v>-</v>
          </cell>
          <cell r="K222" t="str">
            <v>-</v>
          </cell>
          <cell r="L222" t="str">
            <v>-</v>
          </cell>
          <cell r="M222" t="str">
            <v>-</v>
          </cell>
          <cell r="N222" t="str">
            <v>TRAINING EMPLOYEE IN CLASS</v>
          </cell>
          <cell r="O222" t="str">
            <v>A (NS)</v>
          </cell>
        </row>
        <row r="223">
          <cell r="A223">
            <v>23188</v>
          </cell>
          <cell r="B223" t="str">
            <v>TRI RAHAYUNINGTYAS</v>
          </cell>
          <cell r="C223" t="str">
            <v>SAMI</v>
          </cell>
          <cell r="D223" t="str">
            <v>OPT-572</v>
          </cell>
          <cell r="E223">
            <v>43405</v>
          </cell>
          <cell r="F223">
            <v>43435</v>
          </cell>
          <cell r="G223">
            <v>43799</v>
          </cell>
          <cell r="H223" t="str">
            <v>NEOP</v>
          </cell>
          <cell r="I223" t="str">
            <v>NEOP</v>
          </cell>
          <cell r="J223" t="str">
            <v>-</v>
          </cell>
          <cell r="K223" t="str">
            <v>-</v>
          </cell>
          <cell r="L223" t="str">
            <v>-</v>
          </cell>
          <cell r="M223" t="str">
            <v>-</v>
          </cell>
          <cell r="N223" t="str">
            <v>TRAINING EMPLOYEE IN CLASS</v>
          </cell>
          <cell r="O223" t="str">
            <v>A (NS)</v>
          </cell>
        </row>
        <row r="224">
          <cell r="A224">
            <v>23448</v>
          </cell>
          <cell r="B224" t="str">
            <v>NUR ROFIQOH</v>
          </cell>
          <cell r="C224" t="str">
            <v>SAMI</v>
          </cell>
          <cell r="D224" t="str">
            <v>OPT-575</v>
          </cell>
          <cell r="E224">
            <v>43434</v>
          </cell>
          <cell r="F224">
            <v>43464</v>
          </cell>
          <cell r="G224">
            <v>43830</v>
          </cell>
          <cell r="H224" t="str">
            <v>NEOP</v>
          </cell>
          <cell r="I224" t="str">
            <v>NEOP</v>
          </cell>
          <cell r="J224" t="str">
            <v>-</v>
          </cell>
          <cell r="K224" t="str">
            <v>-</v>
          </cell>
          <cell r="L224" t="str">
            <v>-</v>
          </cell>
          <cell r="M224" t="str">
            <v>-</v>
          </cell>
          <cell r="N224" t="str">
            <v>TRAINING EMPLOYEE IN CLASS</v>
          </cell>
          <cell r="O224" t="str">
            <v>A (NS)</v>
          </cell>
        </row>
        <row r="225">
          <cell r="A225">
            <v>23536</v>
          </cell>
          <cell r="B225" t="str">
            <v>AHMAD NIKO PRADANA</v>
          </cell>
          <cell r="C225" t="str">
            <v>SAMI</v>
          </cell>
          <cell r="D225" t="str">
            <v>OPT-577</v>
          </cell>
          <cell r="E225">
            <v>43452</v>
          </cell>
          <cell r="F225">
            <v>43483</v>
          </cell>
          <cell r="G225">
            <v>43861</v>
          </cell>
          <cell r="H225" t="str">
            <v>NEOP</v>
          </cell>
          <cell r="I225" t="str">
            <v>NEOP</v>
          </cell>
          <cell r="J225" t="str">
            <v>-</v>
          </cell>
          <cell r="K225" t="str">
            <v>-</v>
          </cell>
          <cell r="L225" t="str">
            <v>-</v>
          </cell>
          <cell r="M225" t="str">
            <v>-</v>
          </cell>
          <cell r="N225" t="str">
            <v>TRAINING EMPLOYEE IN CLASS</v>
          </cell>
          <cell r="O225" t="str">
            <v>A (NS)</v>
          </cell>
        </row>
        <row r="226">
          <cell r="A226">
            <v>23544</v>
          </cell>
          <cell r="B226" t="str">
            <v>AVINO SATYA TIRTA BAHARI</v>
          </cell>
          <cell r="C226" t="str">
            <v>SAMI</v>
          </cell>
          <cell r="D226" t="str">
            <v>OPT-577</v>
          </cell>
          <cell r="E226">
            <v>43452</v>
          </cell>
          <cell r="F226">
            <v>43483</v>
          </cell>
          <cell r="G226">
            <v>43861</v>
          </cell>
          <cell r="H226" t="str">
            <v>NEOP</v>
          </cell>
          <cell r="I226" t="str">
            <v>NEOP</v>
          </cell>
          <cell r="J226" t="str">
            <v>-</v>
          </cell>
          <cell r="K226" t="str">
            <v>-</v>
          </cell>
          <cell r="L226" t="str">
            <v>-</v>
          </cell>
          <cell r="M226" t="str">
            <v>-</v>
          </cell>
          <cell r="N226" t="str">
            <v>TRAINING EMPLOYEE IN CLASS</v>
          </cell>
          <cell r="O226" t="str">
            <v>A (NS)</v>
          </cell>
        </row>
        <row r="227">
          <cell r="A227">
            <v>23561</v>
          </cell>
          <cell r="B227" t="str">
            <v>JEVON ATTARIQ</v>
          </cell>
          <cell r="C227" t="str">
            <v>SAMI</v>
          </cell>
          <cell r="D227" t="str">
            <v>OPT-577</v>
          </cell>
          <cell r="E227">
            <v>43452</v>
          </cell>
          <cell r="F227">
            <v>43483</v>
          </cell>
          <cell r="G227">
            <v>43861</v>
          </cell>
          <cell r="H227" t="str">
            <v>NEOP</v>
          </cell>
          <cell r="I227" t="str">
            <v>NEOP</v>
          </cell>
          <cell r="J227" t="str">
            <v>-</v>
          </cell>
          <cell r="K227" t="str">
            <v>-</v>
          </cell>
          <cell r="L227" t="str">
            <v>-</v>
          </cell>
          <cell r="M227" t="str">
            <v>-</v>
          </cell>
          <cell r="N227" t="str">
            <v>TRAINING EMPLOYEE IN CLASS</v>
          </cell>
          <cell r="O227" t="str">
            <v>A (NS)</v>
          </cell>
        </row>
        <row r="228">
          <cell r="A228">
            <v>23574</v>
          </cell>
          <cell r="B228" t="str">
            <v>MUALIMIN</v>
          </cell>
          <cell r="C228" t="str">
            <v>SAMI</v>
          </cell>
          <cell r="D228" t="str">
            <v>OPT-577</v>
          </cell>
          <cell r="E228">
            <v>43452</v>
          </cell>
          <cell r="F228">
            <v>43483</v>
          </cell>
          <cell r="G228">
            <v>43861</v>
          </cell>
          <cell r="H228" t="str">
            <v>NEOP</v>
          </cell>
          <cell r="I228" t="str">
            <v>NEOP</v>
          </cell>
          <cell r="J228" t="str">
            <v>-</v>
          </cell>
          <cell r="K228" t="str">
            <v>-</v>
          </cell>
          <cell r="L228" t="str">
            <v>-</v>
          </cell>
          <cell r="M228" t="str">
            <v>-</v>
          </cell>
          <cell r="N228" t="str">
            <v>TRAINING EMPLOYEE IN CLASS</v>
          </cell>
          <cell r="O228" t="str">
            <v>A (NS)</v>
          </cell>
        </row>
        <row r="229">
          <cell r="A229">
            <v>23575</v>
          </cell>
          <cell r="B229" t="str">
            <v>MUH AGUS RAHAYU</v>
          </cell>
          <cell r="C229" t="str">
            <v>SAMI</v>
          </cell>
          <cell r="D229" t="str">
            <v>OPT-577</v>
          </cell>
          <cell r="E229">
            <v>43452</v>
          </cell>
          <cell r="F229">
            <v>43483</v>
          </cell>
          <cell r="G229">
            <v>43861</v>
          </cell>
          <cell r="H229" t="str">
            <v>NEOP</v>
          </cell>
          <cell r="I229" t="str">
            <v>NEOP</v>
          </cell>
          <cell r="J229" t="str">
            <v>-</v>
          </cell>
          <cell r="K229" t="str">
            <v>-</v>
          </cell>
          <cell r="L229" t="str">
            <v>-</v>
          </cell>
          <cell r="M229" t="str">
            <v>-</v>
          </cell>
          <cell r="N229" t="str">
            <v>TRAINING EMPLOYEE IN CLASS</v>
          </cell>
          <cell r="O229" t="str">
            <v>A (NS)</v>
          </cell>
        </row>
        <row r="230">
          <cell r="A230">
            <v>23605</v>
          </cell>
          <cell r="B230" t="str">
            <v>WAHYU AJI KRIS DARYANTO</v>
          </cell>
          <cell r="C230" t="str">
            <v>SAMI</v>
          </cell>
          <cell r="D230" t="str">
            <v>OPT-577</v>
          </cell>
          <cell r="E230">
            <v>43452</v>
          </cell>
          <cell r="F230">
            <v>43483</v>
          </cell>
          <cell r="G230">
            <v>43861</v>
          </cell>
          <cell r="H230" t="str">
            <v>NEOP</v>
          </cell>
          <cell r="I230" t="str">
            <v>NEOP</v>
          </cell>
          <cell r="J230" t="str">
            <v>-</v>
          </cell>
          <cell r="K230" t="str">
            <v>-</v>
          </cell>
          <cell r="L230" t="str">
            <v>-</v>
          </cell>
          <cell r="M230" t="str">
            <v>-</v>
          </cell>
          <cell r="N230" t="str">
            <v>TRAINING EMPLOYEE IN CLASS</v>
          </cell>
          <cell r="O230" t="str">
            <v>A (NS)</v>
          </cell>
        </row>
        <row r="231">
          <cell r="A231" t="str">
            <v>M23620</v>
          </cell>
          <cell r="B231" t="str">
            <v>FANI IRSAD MUBAROK</v>
          </cell>
          <cell r="C231" t="str">
            <v>SAMI</v>
          </cell>
          <cell r="D231" t="str">
            <v>OPT-578</v>
          </cell>
          <cell r="E231">
            <v>43467</v>
          </cell>
          <cell r="F231">
            <v>43467</v>
          </cell>
          <cell r="G231">
            <v>43497</v>
          </cell>
          <cell r="H231" t="str">
            <v>NEOP</v>
          </cell>
          <cell r="I231" t="str">
            <v>NEOP</v>
          </cell>
          <cell r="J231" t="str">
            <v>-</v>
          </cell>
          <cell r="K231" t="str">
            <v>-</v>
          </cell>
          <cell r="L231" t="str">
            <v>-</v>
          </cell>
          <cell r="M231" t="str">
            <v>-</v>
          </cell>
          <cell r="N231" t="str">
            <v>TRAINING EMPLOYEE IN CLASS</v>
          </cell>
          <cell r="O231" t="str">
            <v>A (NS)</v>
          </cell>
        </row>
        <row r="232">
          <cell r="A232" t="str">
            <v>M23636</v>
          </cell>
          <cell r="B232" t="str">
            <v>SIGIT ANDRE ANANTA</v>
          </cell>
          <cell r="C232" t="str">
            <v>SAMI</v>
          </cell>
          <cell r="D232" t="str">
            <v>OPT-578</v>
          </cell>
          <cell r="E232">
            <v>43467</v>
          </cell>
          <cell r="F232">
            <v>43467</v>
          </cell>
          <cell r="G232">
            <v>43497</v>
          </cell>
          <cell r="H232" t="str">
            <v>NEOP</v>
          </cell>
          <cell r="I232" t="str">
            <v>NEOP</v>
          </cell>
          <cell r="J232" t="str">
            <v>-</v>
          </cell>
          <cell r="K232" t="str">
            <v>-</v>
          </cell>
          <cell r="L232" t="str">
            <v>-</v>
          </cell>
          <cell r="M232" t="str">
            <v>-</v>
          </cell>
          <cell r="N232" t="str">
            <v>TRAINING EMPLOYEE IN CLASS</v>
          </cell>
          <cell r="O232" t="str">
            <v>A (NS)</v>
          </cell>
        </row>
        <row r="233">
          <cell r="A233" t="str">
            <v>M23640</v>
          </cell>
          <cell r="B233" t="str">
            <v>SRI MURTINI</v>
          </cell>
          <cell r="C233" t="str">
            <v>SAMI</v>
          </cell>
          <cell r="D233" t="str">
            <v>OPT-578</v>
          </cell>
          <cell r="E233">
            <v>43467</v>
          </cell>
          <cell r="F233">
            <v>43467</v>
          </cell>
          <cell r="G233">
            <v>43497</v>
          </cell>
          <cell r="H233" t="str">
            <v>NEOP</v>
          </cell>
          <cell r="I233" t="str">
            <v>NEOP</v>
          </cell>
          <cell r="J233" t="str">
            <v>-</v>
          </cell>
          <cell r="K233" t="str">
            <v>-</v>
          </cell>
          <cell r="L233" t="str">
            <v>-</v>
          </cell>
          <cell r="M233" t="str">
            <v>-</v>
          </cell>
          <cell r="N233" t="str">
            <v>TRAINING EMPLOYEE IN CLASS</v>
          </cell>
          <cell r="O233" t="str">
            <v>A (NS)</v>
          </cell>
        </row>
        <row r="234">
          <cell r="A234" t="str">
            <v>M23645</v>
          </cell>
          <cell r="B234" t="str">
            <v>AKTOVIANY ARNANDA MIRANTO</v>
          </cell>
          <cell r="C234" t="str">
            <v>SAMI</v>
          </cell>
          <cell r="D234" t="str">
            <v>OPT-579</v>
          </cell>
          <cell r="E234">
            <v>43472</v>
          </cell>
          <cell r="F234">
            <v>43472</v>
          </cell>
          <cell r="G234">
            <v>43502</v>
          </cell>
          <cell r="H234" t="str">
            <v>NEOP</v>
          </cell>
          <cell r="I234" t="str">
            <v>NEOP</v>
          </cell>
          <cell r="J234" t="str">
            <v>-</v>
          </cell>
          <cell r="K234" t="str">
            <v>-</v>
          </cell>
          <cell r="L234" t="str">
            <v>-</v>
          </cell>
          <cell r="M234" t="str">
            <v>-</v>
          </cell>
          <cell r="N234" t="str">
            <v>TRAINING EMPLOYEE IN CLASS</v>
          </cell>
          <cell r="O234" t="str">
            <v>A (NS)</v>
          </cell>
        </row>
        <row r="235">
          <cell r="A235" t="str">
            <v>M23646</v>
          </cell>
          <cell r="B235" t="str">
            <v>ANIS HANDAYANI</v>
          </cell>
          <cell r="C235" t="str">
            <v>SAMI</v>
          </cell>
          <cell r="D235" t="str">
            <v>OPT-579</v>
          </cell>
          <cell r="E235">
            <v>43472</v>
          </cell>
          <cell r="F235">
            <v>43472</v>
          </cell>
          <cell r="G235">
            <v>43502</v>
          </cell>
          <cell r="H235" t="str">
            <v>NEOP</v>
          </cell>
          <cell r="I235" t="str">
            <v>NEOP</v>
          </cell>
          <cell r="J235" t="str">
            <v>-</v>
          </cell>
          <cell r="K235" t="str">
            <v>-</v>
          </cell>
          <cell r="L235" t="str">
            <v>-</v>
          </cell>
          <cell r="M235" t="str">
            <v>-</v>
          </cell>
          <cell r="N235" t="str">
            <v>TRAINING EMPLOYEE IN CLASS</v>
          </cell>
          <cell r="O235" t="str">
            <v>A (NS)</v>
          </cell>
        </row>
        <row r="236">
          <cell r="A236" t="str">
            <v>M23647</v>
          </cell>
          <cell r="B236" t="str">
            <v>ANIS SETYANINGSIH</v>
          </cell>
          <cell r="C236" t="str">
            <v>SAMI</v>
          </cell>
          <cell r="D236" t="str">
            <v>OPT-579</v>
          </cell>
          <cell r="E236">
            <v>43472</v>
          </cell>
          <cell r="F236">
            <v>43472</v>
          </cell>
          <cell r="G236">
            <v>43502</v>
          </cell>
          <cell r="H236" t="str">
            <v>NEOP</v>
          </cell>
          <cell r="I236" t="str">
            <v>NEOP</v>
          </cell>
          <cell r="J236" t="str">
            <v>-</v>
          </cell>
          <cell r="K236" t="str">
            <v>-</v>
          </cell>
          <cell r="L236" t="str">
            <v>-</v>
          </cell>
          <cell r="M236" t="str">
            <v>-</v>
          </cell>
          <cell r="N236" t="str">
            <v>TRAINING EMPLOYEE IN CLASS</v>
          </cell>
          <cell r="O236" t="str">
            <v>A (NS)</v>
          </cell>
        </row>
        <row r="237">
          <cell r="A237" t="str">
            <v>M23648</v>
          </cell>
          <cell r="B237" t="str">
            <v>AFWAJA MAULANI</v>
          </cell>
          <cell r="C237" t="str">
            <v>SAMI</v>
          </cell>
          <cell r="D237" t="str">
            <v>OPT-579</v>
          </cell>
          <cell r="E237">
            <v>43472</v>
          </cell>
          <cell r="F237">
            <v>43472</v>
          </cell>
          <cell r="G237">
            <v>43502</v>
          </cell>
          <cell r="H237" t="str">
            <v>NEOP</v>
          </cell>
          <cell r="I237" t="str">
            <v>NEOP</v>
          </cell>
          <cell r="J237" t="str">
            <v>-</v>
          </cell>
          <cell r="K237" t="str">
            <v>-</v>
          </cell>
          <cell r="L237" t="str">
            <v>-</v>
          </cell>
          <cell r="M237" t="str">
            <v>-</v>
          </cell>
          <cell r="N237" t="str">
            <v>TRAINING EMPLOYEE IN CLASS</v>
          </cell>
          <cell r="O237" t="str">
            <v>A (NS)</v>
          </cell>
        </row>
        <row r="238">
          <cell r="A238" t="str">
            <v>M23649</v>
          </cell>
          <cell r="B238" t="str">
            <v>DIAH FITRI FEBRIANA</v>
          </cell>
          <cell r="C238" t="str">
            <v>SAMI</v>
          </cell>
          <cell r="D238" t="str">
            <v>OPT-579</v>
          </cell>
          <cell r="E238">
            <v>43472</v>
          </cell>
          <cell r="F238">
            <v>43472</v>
          </cell>
          <cell r="G238">
            <v>43502</v>
          </cell>
          <cell r="H238" t="str">
            <v>NEOP</v>
          </cell>
          <cell r="I238" t="str">
            <v>NEOP</v>
          </cell>
          <cell r="J238" t="str">
            <v>-</v>
          </cell>
          <cell r="K238" t="str">
            <v>-</v>
          </cell>
          <cell r="L238" t="str">
            <v>-</v>
          </cell>
          <cell r="M238" t="str">
            <v>-</v>
          </cell>
          <cell r="N238" t="str">
            <v>TRAINING EMPLOYEE IN CLASS</v>
          </cell>
          <cell r="O238" t="str">
            <v>A (NS)</v>
          </cell>
        </row>
        <row r="239">
          <cell r="A239" t="str">
            <v>M23650</v>
          </cell>
          <cell r="B239" t="str">
            <v>DIAN PRASTIKA</v>
          </cell>
          <cell r="C239" t="str">
            <v>SAMI</v>
          </cell>
          <cell r="D239" t="str">
            <v>OPT-579</v>
          </cell>
          <cell r="E239">
            <v>43472</v>
          </cell>
          <cell r="F239">
            <v>43472</v>
          </cell>
          <cell r="G239">
            <v>43502</v>
          </cell>
          <cell r="H239" t="str">
            <v>NEOP</v>
          </cell>
          <cell r="I239" t="str">
            <v>NEOP</v>
          </cell>
          <cell r="J239" t="str">
            <v>-</v>
          </cell>
          <cell r="K239" t="str">
            <v>-</v>
          </cell>
          <cell r="L239" t="str">
            <v>-</v>
          </cell>
          <cell r="M239" t="str">
            <v>-</v>
          </cell>
          <cell r="N239" t="str">
            <v>TRAINING EMPLOYEE IN CLASS</v>
          </cell>
          <cell r="O239" t="str">
            <v>A (NS)</v>
          </cell>
        </row>
        <row r="240">
          <cell r="A240" t="str">
            <v>M23651</v>
          </cell>
          <cell r="B240" t="str">
            <v>DIAN WIDIYASARI</v>
          </cell>
          <cell r="C240" t="str">
            <v>SAMI</v>
          </cell>
          <cell r="D240" t="str">
            <v>OPT-579</v>
          </cell>
          <cell r="E240">
            <v>43472</v>
          </cell>
          <cell r="F240">
            <v>43472</v>
          </cell>
          <cell r="G240">
            <v>43502</v>
          </cell>
          <cell r="H240" t="str">
            <v>NEOP</v>
          </cell>
          <cell r="I240" t="str">
            <v>NEOP</v>
          </cell>
          <cell r="J240" t="str">
            <v>-</v>
          </cell>
          <cell r="K240" t="str">
            <v>-</v>
          </cell>
          <cell r="L240" t="str">
            <v>-</v>
          </cell>
          <cell r="M240" t="str">
            <v>-</v>
          </cell>
          <cell r="N240" t="str">
            <v>TRAINING EMPLOYEE IN CLASS</v>
          </cell>
          <cell r="O240" t="str">
            <v>A (NS)</v>
          </cell>
        </row>
        <row r="241">
          <cell r="A241" t="str">
            <v>M23652</v>
          </cell>
          <cell r="B241" t="str">
            <v>ISNANI</v>
          </cell>
          <cell r="C241" t="str">
            <v>SAMI</v>
          </cell>
          <cell r="D241" t="str">
            <v>OPT-579</v>
          </cell>
          <cell r="E241">
            <v>43472</v>
          </cell>
          <cell r="F241">
            <v>43472</v>
          </cell>
          <cell r="G241">
            <v>43502</v>
          </cell>
          <cell r="H241" t="str">
            <v>NEOP</v>
          </cell>
          <cell r="I241" t="str">
            <v>NEOP</v>
          </cell>
          <cell r="J241" t="str">
            <v>-</v>
          </cell>
          <cell r="K241" t="str">
            <v>-</v>
          </cell>
          <cell r="L241" t="str">
            <v>-</v>
          </cell>
          <cell r="M241" t="str">
            <v>-</v>
          </cell>
          <cell r="N241" t="str">
            <v>TRAINING EMPLOYEE IN CLASS</v>
          </cell>
          <cell r="O241" t="str">
            <v>A (NS)</v>
          </cell>
        </row>
        <row r="242">
          <cell r="A242" t="str">
            <v>M23653</v>
          </cell>
          <cell r="B242" t="str">
            <v>KHOIRUL UMAM</v>
          </cell>
          <cell r="C242" t="str">
            <v>SAMI</v>
          </cell>
          <cell r="D242" t="str">
            <v>OPT-579</v>
          </cell>
          <cell r="E242">
            <v>43472</v>
          </cell>
          <cell r="F242">
            <v>43472</v>
          </cell>
          <cell r="G242">
            <v>43502</v>
          </cell>
          <cell r="H242" t="str">
            <v>NEOP</v>
          </cell>
          <cell r="I242" t="str">
            <v>NEOP</v>
          </cell>
          <cell r="J242" t="str">
            <v>-</v>
          </cell>
          <cell r="K242" t="str">
            <v>-</v>
          </cell>
          <cell r="L242" t="str">
            <v>-</v>
          </cell>
          <cell r="M242" t="str">
            <v>-</v>
          </cell>
          <cell r="N242" t="str">
            <v>TRAINING EMPLOYEE IN CLASS</v>
          </cell>
          <cell r="O242" t="str">
            <v>A (NS)</v>
          </cell>
        </row>
        <row r="243">
          <cell r="A243" t="str">
            <v>M23654</v>
          </cell>
          <cell r="B243" t="str">
            <v>KHOLIFATUSA'ADAH</v>
          </cell>
          <cell r="C243" t="str">
            <v>SAMI</v>
          </cell>
          <cell r="D243" t="str">
            <v>OPT-579</v>
          </cell>
          <cell r="E243">
            <v>43472</v>
          </cell>
          <cell r="F243">
            <v>43472</v>
          </cell>
          <cell r="G243">
            <v>43502</v>
          </cell>
          <cell r="H243" t="str">
            <v>NEOP</v>
          </cell>
          <cell r="I243" t="str">
            <v>NEOP</v>
          </cell>
          <cell r="J243" t="str">
            <v>-</v>
          </cell>
          <cell r="K243" t="str">
            <v>-</v>
          </cell>
          <cell r="L243" t="str">
            <v>-</v>
          </cell>
          <cell r="M243" t="str">
            <v>-</v>
          </cell>
          <cell r="N243" t="str">
            <v>TRAINING EMPLOYEE IN CLASS</v>
          </cell>
          <cell r="O243" t="str">
            <v>A (NS)</v>
          </cell>
        </row>
        <row r="244">
          <cell r="A244" t="str">
            <v>M23655</v>
          </cell>
          <cell r="B244" t="str">
            <v>KHUROTUL ZUFAIRI</v>
          </cell>
          <cell r="C244" t="str">
            <v>SAMI</v>
          </cell>
          <cell r="D244" t="str">
            <v>OPT-579</v>
          </cell>
          <cell r="E244">
            <v>43472</v>
          </cell>
          <cell r="F244">
            <v>43472</v>
          </cell>
          <cell r="G244">
            <v>43502</v>
          </cell>
          <cell r="H244" t="str">
            <v>NEOP</v>
          </cell>
          <cell r="I244" t="str">
            <v>NEOP</v>
          </cell>
          <cell r="J244" t="str">
            <v>-</v>
          </cell>
          <cell r="K244" t="str">
            <v>-</v>
          </cell>
          <cell r="L244" t="str">
            <v>-</v>
          </cell>
          <cell r="M244" t="str">
            <v>-</v>
          </cell>
          <cell r="N244" t="str">
            <v>TRAINING EMPLOYEE IN CLASS</v>
          </cell>
          <cell r="O244" t="str">
            <v>A (NS)</v>
          </cell>
        </row>
        <row r="245">
          <cell r="A245" t="str">
            <v>M23656</v>
          </cell>
          <cell r="B245" t="str">
            <v>KURNIATI</v>
          </cell>
          <cell r="C245" t="str">
            <v>SAMI</v>
          </cell>
          <cell r="D245" t="str">
            <v>OPT-579</v>
          </cell>
          <cell r="E245">
            <v>43472</v>
          </cell>
          <cell r="F245">
            <v>43472</v>
          </cell>
          <cell r="G245">
            <v>43502</v>
          </cell>
          <cell r="H245" t="str">
            <v>NEOP</v>
          </cell>
          <cell r="I245" t="str">
            <v>NEOP</v>
          </cell>
          <cell r="J245" t="str">
            <v>-</v>
          </cell>
          <cell r="K245" t="str">
            <v>-</v>
          </cell>
          <cell r="L245" t="str">
            <v>-</v>
          </cell>
          <cell r="M245" t="str">
            <v>-</v>
          </cell>
          <cell r="N245" t="str">
            <v>TRAINING EMPLOYEE IN CLASS</v>
          </cell>
          <cell r="O245" t="str">
            <v>A (NS)</v>
          </cell>
        </row>
        <row r="246">
          <cell r="A246" t="str">
            <v>M23657</v>
          </cell>
          <cell r="B246" t="str">
            <v>LILIS TRI INDIANA</v>
          </cell>
          <cell r="C246" t="str">
            <v>SAMI</v>
          </cell>
          <cell r="D246" t="str">
            <v>OPT-579</v>
          </cell>
          <cell r="E246">
            <v>43472</v>
          </cell>
          <cell r="F246">
            <v>43472</v>
          </cell>
          <cell r="G246">
            <v>43502</v>
          </cell>
          <cell r="H246" t="str">
            <v>NEOP</v>
          </cell>
          <cell r="I246" t="str">
            <v>NEOP</v>
          </cell>
          <cell r="J246" t="str">
            <v>-</v>
          </cell>
          <cell r="K246" t="str">
            <v>-</v>
          </cell>
          <cell r="L246" t="str">
            <v>-</v>
          </cell>
          <cell r="M246" t="str">
            <v>-</v>
          </cell>
          <cell r="N246" t="str">
            <v>TRAINING EMPLOYEE IN CLASS</v>
          </cell>
          <cell r="O246" t="str">
            <v>A (NS)</v>
          </cell>
        </row>
        <row r="247">
          <cell r="A247" t="str">
            <v>M23658</v>
          </cell>
          <cell r="B247" t="str">
            <v>MARLINA WANDA SABELA</v>
          </cell>
          <cell r="C247" t="str">
            <v>SAMI</v>
          </cell>
          <cell r="D247" t="str">
            <v>OPT-579</v>
          </cell>
          <cell r="E247">
            <v>43472</v>
          </cell>
          <cell r="F247">
            <v>43472</v>
          </cell>
          <cell r="G247">
            <v>43502</v>
          </cell>
          <cell r="H247" t="str">
            <v>NEOP</v>
          </cell>
          <cell r="I247" t="str">
            <v>NEOP</v>
          </cell>
          <cell r="J247" t="str">
            <v>-</v>
          </cell>
          <cell r="K247" t="str">
            <v>-</v>
          </cell>
          <cell r="L247" t="str">
            <v>-</v>
          </cell>
          <cell r="M247" t="str">
            <v>-</v>
          </cell>
          <cell r="N247" t="str">
            <v>TRAINING EMPLOYEE IN CLASS</v>
          </cell>
          <cell r="O247" t="str">
            <v>A (NS)</v>
          </cell>
        </row>
        <row r="248">
          <cell r="A248" t="str">
            <v>M23659</v>
          </cell>
          <cell r="B248" t="str">
            <v>MEGA SAFITRI</v>
          </cell>
          <cell r="C248" t="str">
            <v>SAMI</v>
          </cell>
          <cell r="D248" t="str">
            <v>OPT-579</v>
          </cell>
          <cell r="E248">
            <v>43472</v>
          </cell>
          <cell r="F248">
            <v>43472</v>
          </cell>
          <cell r="G248">
            <v>43502</v>
          </cell>
          <cell r="H248" t="str">
            <v>NEOP</v>
          </cell>
          <cell r="I248" t="str">
            <v>NEOP</v>
          </cell>
          <cell r="J248" t="str">
            <v>-</v>
          </cell>
          <cell r="K248" t="str">
            <v>-</v>
          </cell>
          <cell r="L248" t="str">
            <v>-</v>
          </cell>
          <cell r="M248" t="str">
            <v>-</v>
          </cell>
          <cell r="N248" t="str">
            <v>TRAINING EMPLOYEE IN CLASS</v>
          </cell>
          <cell r="O248" t="str">
            <v>A (NS)</v>
          </cell>
        </row>
        <row r="249">
          <cell r="A249" t="str">
            <v>M23660</v>
          </cell>
          <cell r="B249" t="str">
            <v>MILLA HUMEIDAH</v>
          </cell>
          <cell r="C249" t="str">
            <v>SAMI</v>
          </cell>
          <cell r="D249" t="str">
            <v>OPT-579</v>
          </cell>
          <cell r="E249">
            <v>43472</v>
          </cell>
          <cell r="F249">
            <v>43472</v>
          </cell>
          <cell r="G249">
            <v>43502</v>
          </cell>
          <cell r="H249" t="str">
            <v>NEOP</v>
          </cell>
          <cell r="I249" t="str">
            <v>NEOP</v>
          </cell>
          <cell r="J249" t="str">
            <v>-</v>
          </cell>
          <cell r="K249" t="str">
            <v>-</v>
          </cell>
          <cell r="L249" t="str">
            <v>-</v>
          </cell>
          <cell r="M249" t="str">
            <v>-</v>
          </cell>
          <cell r="N249" t="str">
            <v>TRAINING EMPLOYEE IN CLASS</v>
          </cell>
          <cell r="O249" t="str">
            <v>A (NS)</v>
          </cell>
        </row>
        <row r="250">
          <cell r="A250" t="str">
            <v>M23661</v>
          </cell>
          <cell r="B250" t="str">
            <v>MUKAROMAH</v>
          </cell>
          <cell r="C250" t="str">
            <v>SAMI</v>
          </cell>
          <cell r="D250" t="str">
            <v>OPT-579</v>
          </cell>
          <cell r="E250">
            <v>43472</v>
          </cell>
          <cell r="F250">
            <v>43472</v>
          </cell>
          <cell r="G250">
            <v>43502</v>
          </cell>
          <cell r="H250" t="str">
            <v>NEOP</v>
          </cell>
          <cell r="I250" t="str">
            <v>NEOP</v>
          </cell>
          <cell r="J250" t="str">
            <v>-</v>
          </cell>
          <cell r="K250" t="str">
            <v>-</v>
          </cell>
          <cell r="L250" t="str">
            <v>-</v>
          </cell>
          <cell r="M250" t="str">
            <v>-</v>
          </cell>
          <cell r="N250" t="str">
            <v>TRAINING EMPLOYEE IN CLASS</v>
          </cell>
          <cell r="O250" t="str">
            <v>A (NS)</v>
          </cell>
        </row>
        <row r="251">
          <cell r="A251" t="str">
            <v>M23662</v>
          </cell>
          <cell r="B251" t="str">
            <v>NUR ATIKASARI</v>
          </cell>
          <cell r="C251" t="str">
            <v>SAMI</v>
          </cell>
          <cell r="D251" t="str">
            <v>OPT-579</v>
          </cell>
          <cell r="E251">
            <v>43472</v>
          </cell>
          <cell r="F251">
            <v>43472</v>
          </cell>
          <cell r="G251">
            <v>43502</v>
          </cell>
          <cell r="H251" t="str">
            <v>NEOP</v>
          </cell>
          <cell r="I251" t="str">
            <v>NEOP</v>
          </cell>
          <cell r="J251" t="str">
            <v>-</v>
          </cell>
          <cell r="K251" t="str">
            <v>-</v>
          </cell>
          <cell r="L251" t="str">
            <v>-</v>
          </cell>
          <cell r="M251" t="str">
            <v>-</v>
          </cell>
          <cell r="N251" t="str">
            <v>TRAINING EMPLOYEE IN CLASS</v>
          </cell>
          <cell r="O251" t="str">
            <v>A (NS)</v>
          </cell>
        </row>
        <row r="252">
          <cell r="A252" t="str">
            <v>M23663</v>
          </cell>
          <cell r="B252" t="str">
            <v>NUR FAJRIYAH ANGGRAINI RISYANA</v>
          </cell>
          <cell r="C252" t="str">
            <v>SAMI</v>
          </cell>
          <cell r="D252" t="str">
            <v>OPT-579</v>
          </cell>
          <cell r="E252">
            <v>43472</v>
          </cell>
          <cell r="F252">
            <v>43472</v>
          </cell>
          <cell r="G252">
            <v>43502</v>
          </cell>
          <cell r="H252" t="str">
            <v>NEOP</v>
          </cell>
          <cell r="I252" t="str">
            <v>NEOP</v>
          </cell>
          <cell r="J252" t="str">
            <v>-</v>
          </cell>
          <cell r="K252" t="str">
            <v>-</v>
          </cell>
          <cell r="L252" t="str">
            <v>-</v>
          </cell>
          <cell r="M252" t="str">
            <v>-</v>
          </cell>
          <cell r="N252" t="str">
            <v>TRAINING EMPLOYEE IN CLASS</v>
          </cell>
          <cell r="O252" t="str">
            <v>A (NS)</v>
          </cell>
        </row>
        <row r="253">
          <cell r="A253" t="str">
            <v>M23664</v>
          </cell>
          <cell r="B253" t="str">
            <v>PARAMITA OKTAVIANA WULANSARI</v>
          </cell>
          <cell r="C253" t="str">
            <v>SAMI</v>
          </cell>
          <cell r="D253" t="str">
            <v>OPT-579</v>
          </cell>
          <cell r="E253">
            <v>43472</v>
          </cell>
          <cell r="F253">
            <v>43472</v>
          </cell>
          <cell r="G253">
            <v>43502</v>
          </cell>
          <cell r="H253" t="str">
            <v>NEOP</v>
          </cell>
          <cell r="I253" t="str">
            <v>NEOP</v>
          </cell>
          <cell r="J253" t="str">
            <v>-</v>
          </cell>
          <cell r="K253" t="str">
            <v>-</v>
          </cell>
          <cell r="L253" t="str">
            <v>-</v>
          </cell>
          <cell r="M253" t="str">
            <v>-</v>
          </cell>
          <cell r="N253" t="str">
            <v>TRAINING EMPLOYEE IN CLASS</v>
          </cell>
          <cell r="O253" t="str">
            <v>A (NS)</v>
          </cell>
        </row>
        <row r="254">
          <cell r="A254" t="str">
            <v>M23665</v>
          </cell>
          <cell r="B254" t="str">
            <v>PUJI ASTUTI</v>
          </cell>
          <cell r="C254" t="str">
            <v>SAMI</v>
          </cell>
          <cell r="D254" t="str">
            <v>OPT-579</v>
          </cell>
          <cell r="E254">
            <v>43472</v>
          </cell>
          <cell r="F254">
            <v>43472</v>
          </cell>
          <cell r="G254">
            <v>43502</v>
          </cell>
          <cell r="H254" t="str">
            <v>NEOP</v>
          </cell>
          <cell r="I254" t="str">
            <v>NEOP</v>
          </cell>
          <cell r="J254" t="str">
            <v>-</v>
          </cell>
          <cell r="K254" t="str">
            <v>-</v>
          </cell>
          <cell r="L254" t="str">
            <v>-</v>
          </cell>
          <cell r="M254" t="str">
            <v>-</v>
          </cell>
          <cell r="N254" t="str">
            <v>TRAINING EMPLOYEE IN CLASS</v>
          </cell>
          <cell r="O254" t="str">
            <v>A (NS)</v>
          </cell>
        </row>
        <row r="255">
          <cell r="A255" t="str">
            <v>M23666</v>
          </cell>
          <cell r="B255" t="str">
            <v>PUJI MULYANI</v>
          </cell>
          <cell r="C255" t="str">
            <v>SAMI</v>
          </cell>
          <cell r="D255" t="str">
            <v>OPT-579</v>
          </cell>
          <cell r="E255">
            <v>43472</v>
          </cell>
          <cell r="F255">
            <v>43472</v>
          </cell>
          <cell r="G255">
            <v>43502</v>
          </cell>
          <cell r="H255" t="str">
            <v>NEOP</v>
          </cell>
          <cell r="I255" t="str">
            <v>NEOP</v>
          </cell>
          <cell r="J255" t="str">
            <v>-</v>
          </cell>
          <cell r="K255" t="str">
            <v>-</v>
          </cell>
          <cell r="L255" t="str">
            <v>-</v>
          </cell>
          <cell r="M255" t="str">
            <v>-</v>
          </cell>
          <cell r="N255" t="str">
            <v>TRAINING EMPLOYEE IN CLASS</v>
          </cell>
          <cell r="O255" t="str">
            <v>A (NS)</v>
          </cell>
        </row>
        <row r="256">
          <cell r="A256" t="str">
            <v>M23667</v>
          </cell>
          <cell r="B256" t="str">
            <v>PUTRIANA KARTIKAWATI</v>
          </cell>
          <cell r="C256" t="str">
            <v>SAMI</v>
          </cell>
          <cell r="D256" t="str">
            <v>OPT-579</v>
          </cell>
          <cell r="E256">
            <v>43472</v>
          </cell>
          <cell r="F256">
            <v>43472</v>
          </cell>
          <cell r="G256">
            <v>43502</v>
          </cell>
          <cell r="H256" t="str">
            <v>NEOP</v>
          </cell>
          <cell r="I256" t="str">
            <v>NEOP</v>
          </cell>
          <cell r="J256" t="str">
            <v>-</v>
          </cell>
          <cell r="K256" t="str">
            <v>-</v>
          </cell>
          <cell r="L256" t="str">
            <v>-</v>
          </cell>
          <cell r="M256" t="str">
            <v>-</v>
          </cell>
          <cell r="N256" t="str">
            <v>TRAINING EMPLOYEE IN CLASS</v>
          </cell>
          <cell r="O256" t="str">
            <v>A (NS)</v>
          </cell>
        </row>
        <row r="257">
          <cell r="A257" t="str">
            <v>M23668</v>
          </cell>
          <cell r="B257" t="str">
            <v>ROSITA IKA YULIANA</v>
          </cell>
          <cell r="C257" t="str">
            <v>SAMI</v>
          </cell>
          <cell r="D257" t="str">
            <v>OPT-579</v>
          </cell>
          <cell r="E257">
            <v>43472</v>
          </cell>
          <cell r="F257">
            <v>43472</v>
          </cell>
          <cell r="G257">
            <v>43502</v>
          </cell>
          <cell r="H257" t="str">
            <v>NEOP</v>
          </cell>
          <cell r="I257" t="str">
            <v>NEOP</v>
          </cell>
          <cell r="J257" t="str">
            <v>-</v>
          </cell>
          <cell r="K257" t="str">
            <v>-</v>
          </cell>
          <cell r="L257" t="str">
            <v>-</v>
          </cell>
          <cell r="M257" t="str">
            <v>-</v>
          </cell>
          <cell r="N257" t="str">
            <v>TRAINING EMPLOYEE IN CLASS</v>
          </cell>
          <cell r="O257" t="str">
            <v>A (NS)</v>
          </cell>
        </row>
        <row r="258">
          <cell r="A258" t="str">
            <v>M23669</v>
          </cell>
          <cell r="B258" t="str">
            <v>SITI SAROH</v>
          </cell>
          <cell r="C258" t="str">
            <v>SAMI</v>
          </cell>
          <cell r="D258" t="str">
            <v>OPT-579</v>
          </cell>
          <cell r="E258">
            <v>43472</v>
          </cell>
          <cell r="F258">
            <v>43472</v>
          </cell>
          <cell r="G258">
            <v>43502</v>
          </cell>
          <cell r="H258" t="str">
            <v>NEOP</v>
          </cell>
          <cell r="I258" t="str">
            <v>NEOP</v>
          </cell>
          <cell r="J258" t="str">
            <v>-</v>
          </cell>
          <cell r="K258" t="str">
            <v>-</v>
          </cell>
          <cell r="L258" t="str">
            <v>-</v>
          </cell>
          <cell r="M258" t="str">
            <v>-</v>
          </cell>
          <cell r="N258" t="str">
            <v>TRAINING EMPLOYEE IN CLASS</v>
          </cell>
          <cell r="O258" t="str">
            <v>A (NS)</v>
          </cell>
        </row>
        <row r="259">
          <cell r="A259" t="str">
            <v>M23670</v>
          </cell>
          <cell r="B259" t="str">
            <v>TRI REZA AFIDA</v>
          </cell>
          <cell r="C259" t="str">
            <v>SAMI</v>
          </cell>
          <cell r="D259" t="str">
            <v>OPT-579</v>
          </cell>
          <cell r="E259">
            <v>43472</v>
          </cell>
          <cell r="F259">
            <v>43472</v>
          </cell>
          <cell r="G259">
            <v>43502</v>
          </cell>
          <cell r="H259" t="str">
            <v>NEOP</v>
          </cell>
          <cell r="I259" t="str">
            <v>NEOP</v>
          </cell>
          <cell r="J259" t="str">
            <v>-</v>
          </cell>
          <cell r="K259" t="str">
            <v>-</v>
          </cell>
          <cell r="L259" t="str">
            <v>-</v>
          </cell>
          <cell r="M259" t="str">
            <v>-</v>
          </cell>
          <cell r="N259" t="str">
            <v>TRAINING EMPLOYEE IN CLASS</v>
          </cell>
          <cell r="O259" t="str">
            <v>A (NS)</v>
          </cell>
        </row>
        <row r="260">
          <cell r="A260" t="str">
            <v>M23671</v>
          </cell>
          <cell r="B260" t="str">
            <v>ULUL AFIDAH</v>
          </cell>
          <cell r="C260" t="str">
            <v>SAMI</v>
          </cell>
          <cell r="D260" t="str">
            <v>OPT-579</v>
          </cell>
          <cell r="E260">
            <v>43472</v>
          </cell>
          <cell r="F260">
            <v>43472</v>
          </cell>
          <cell r="G260">
            <v>43502</v>
          </cell>
          <cell r="H260" t="str">
            <v>NEOP</v>
          </cell>
          <cell r="I260" t="str">
            <v>NEOP</v>
          </cell>
          <cell r="J260" t="str">
            <v>-</v>
          </cell>
          <cell r="K260" t="str">
            <v>-</v>
          </cell>
          <cell r="L260" t="str">
            <v>-</v>
          </cell>
          <cell r="M260" t="str">
            <v>-</v>
          </cell>
          <cell r="N260" t="str">
            <v>TRAINING EMPLOYEE IN CLASS</v>
          </cell>
          <cell r="O260" t="str">
            <v>A (NS)</v>
          </cell>
        </row>
        <row r="261">
          <cell r="A261" t="str">
            <v>M23672</v>
          </cell>
          <cell r="B261" t="str">
            <v>UMI ARIFAH</v>
          </cell>
          <cell r="C261" t="str">
            <v>SAMI</v>
          </cell>
          <cell r="D261" t="str">
            <v>OPT-579</v>
          </cell>
          <cell r="E261">
            <v>43472</v>
          </cell>
          <cell r="F261">
            <v>43472</v>
          </cell>
          <cell r="G261">
            <v>43502</v>
          </cell>
          <cell r="H261" t="str">
            <v>NEOP</v>
          </cell>
          <cell r="I261" t="str">
            <v>NEOP</v>
          </cell>
          <cell r="J261" t="str">
            <v>-</v>
          </cell>
          <cell r="K261" t="str">
            <v>-</v>
          </cell>
          <cell r="L261" t="str">
            <v>-</v>
          </cell>
          <cell r="M261" t="str">
            <v>-</v>
          </cell>
          <cell r="N261" t="str">
            <v>TRAINING EMPLOYEE IN CLASS</v>
          </cell>
          <cell r="O261" t="str">
            <v>A (NS)</v>
          </cell>
        </row>
        <row r="262">
          <cell r="A262" t="str">
            <v>M23673</v>
          </cell>
          <cell r="B262" t="str">
            <v>VITA SARI</v>
          </cell>
          <cell r="C262" t="str">
            <v>SAMI</v>
          </cell>
          <cell r="D262" t="str">
            <v>OPT-579</v>
          </cell>
          <cell r="E262">
            <v>43472</v>
          </cell>
          <cell r="F262">
            <v>43472</v>
          </cell>
          <cell r="G262">
            <v>43502</v>
          </cell>
          <cell r="H262" t="str">
            <v>NEOP</v>
          </cell>
          <cell r="I262" t="str">
            <v>NEOP</v>
          </cell>
          <cell r="J262" t="str">
            <v>-</v>
          </cell>
          <cell r="K262" t="str">
            <v>-</v>
          </cell>
          <cell r="L262" t="str">
            <v>-</v>
          </cell>
          <cell r="M262" t="str">
            <v>-</v>
          </cell>
          <cell r="N262" t="str">
            <v>TRAINING EMPLOYEE IN CLASS</v>
          </cell>
          <cell r="O262" t="str">
            <v>A (NS)</v>
          </cell>
        </row>
        <row r="263">
          <cell r="A263" t="str">
            <v>M23674</v>
          </cell>
          <cell r="B263" t="str">
            <v>YASINTA</v>
          </cell>
          <cell r="C263" t="str">
            <v>SAMI</v>
          </cell>
          <cell r="D263" t="str">
            <v>OPT-579</v>
          </cell>
          <cell r="E263">
            <v>43472</v>
          </cell>
          <cell r="F263">
            <v>43472</v>
          </cell>
          <cell r="G263">
            <v>43502</v>
          </cell>
          <cell r="H263" t="str">
            <v>NEOP</v>
          </cell>
          <cell r="I263" t="str">
            <v>NEOP</v>
          </cell>
          <cell r="J263" t="str">
            <v>-</v>
          </cell>
          <cell r="K263" t="str">
            <v>-</v>
          </cell>
          <cell r="L263" t="str">
            <v>-</v>
          </cell>
          <cell r="M263" t="str">
            <v>-</v>
          </cell>
          <cell r="N263" t="str">
            <v>TRAINING EMPLOYEE IN CLASS</v>
          </cell>
          <cell r="O263" t="str">
            <v>A (NS)</v>
          </cell>
        </row>
        <row r="264">
          <cell r="A264" t="str">
            <v>M23675</v>
          </cell>
          <cell r="B264" t="str">
            <v>YULIA CAHYA WULANDARI</v>
          </cell>
          <cell r="C264" t="str">
            <v>SAMI</v>
          </cell>
          <cell r="D264" t="str">
            <v>OPT-579</v>
          </cell>
          <cell r="E264">
            <v>43472</v>
          </cell>
          <cell r="F264">
            <v>43472</v>
          </cell>
          <cell r="G264">
            <v>43502</v>
          </cell>
          <cell r="H264" t="str">
            <v>NEOP</v>
          </cell>
          <cell r="I264" t="str">
            <v>NEOP</v>
          </cell>
          <cell r="J264" t="str">
            <v>-</v>
          </cell>
          <cell r="K264" t="str">
            <v>-</v>
          </cell>
          <cell r="L264" t="str">
            <v>-</v>
          </cell>
          <cell r="M264" t="str">
            <v>-</v>
          </cell>
          <cell r="N264" t="str">
            <v>TRAINING EMPLOYEE IN CLASS</v>
          </cell>
          <cell r="O264" t="str">
            <v>A (NS)</v>
          </cell>
        </row>
        <row r="265">
          <cell r="A265" t="str">
            <v>M23676</v>
          </cell>
          <cell r="B265" t="str">
            <v>TUWI JANAH</v>
          </cell>
          <cell r="C265" t="str">
            <v>SAMI</v>
          </cell>
          <cell r="D265" t="str">
            <v>OPT-580</v>
          </cell>
          <cell r="E265">
            <v>43475</v>
          </cell>
          <cell r="F265">
            <v>43475</v>
          </cell>
          <cell r="G265">
            <v>43505</v>
          </cell>
          <cell r="H265" t="str">
            <v>NEOP</v>
          </cell>
          <cell r="I265" t="str">
            <v>NEOP</v>
          </cell>
          <cell r="J265" t="str">
            <v>-</v>
          </cell>
          <cell r="K265" t="str">
            <v>-</v>
          </cell>
          <cell r="L265" t="str">
            <v>-</v>
          </cell>
          <cell r="M265" t="str">
            <v>-</v>
          </cell>
          <cell r="N265" t="str">
            <v>TRAINING EMPLOYEE IN CLASS</v>
          </cell>
          <cell r="O265" t="str">
            <v>A (NS)</v>
          </cell>
        </row>
        <row r="266">
          <cell r="A266" t="str">
            <v>M23677</v>
          </cell>
          <cell r="B266" t="str">
            <v>AULIYA RAHMAWATI</v>
          </cell>
          <cell r="C266" t="str">
            <v>SAMI</v>
          </cell>
          <cell r="D266" t="str">
            <v>OPT-580</v>
          </cell>
          <cell r="E266">
            <v>43475</v>
          </cell>
          <cell r="F266">
            <v>43475</v>
          </cell>
          <cell r="G266">
            <v>43505</v>
          </cell>
          <cell r="H266" t="str">
            <v>NEOP</v>
          </cell>
          <cell r="I266" t="str">
            <v>NEOP</v>
          </cell>
          <cell r="J266" t="str">
            <v>-</v>
          </cell>
          <cell r="K266" t="str">
            <v>-</v>
          </cell>
          <cell r="L266" t="str">
            <v>-</v>
          </cell>
          <cell r="M266" t="str">
            <v>-</v>
          </cell>
          <cell r="N266" t="str">
            <v>TRAINING EMPLOYEE IN CLASS</v>
          </cell>
          <cell r="O266" t="str">
            <v>A (NS)</v>
          </cell>
        </row>
        <row r="267">
          <cell r="A267" t="str">
            <v>M23678</v>
          </cell>
          <cell r="B267" t="str">
            <v>DAMAS SYAIVA YULI ATMA</v>
          </cell>
          <cell r="C267" t="str">
            <v>SAMI</v>
          </cell>
          <cell r="D267" t="str">
            <v>OPT-580</v>
          </cell>
          <cell r="E267">
            <v>43475</v>
          </cell>
          <cell r="F267">
            <v>43475</v>
          </cell>
          <cell r="G267">
            <v>43505</v>
          </cell>
          <cell r="H267" t="str">
            <v>NEOP</v>
          </cell>
          <cell r="I267" t="str">
            <v>NEOP</v>
          </cell>
          <cell r="J267" t="str">
            <v>-</v>
          </cell>
          <cell r="K267" t="str">
            <v>-</v>
          </cell>
          <cell r="L267" t="str">
            <v>-</v>
          </cell>
          <cell r="M267" t="str">
            <v>-</v>
          </cell>
          <cell r="N267" t="str">
            <v>TRAINING EMPLOYEE IN CLASS</v>
          </cell>
          <cell r="O267" t="str">
            <v>A (NS)</v>
          </cell>
        </row>
        <row r="268">
          <cell r="A268" t="str">
            <v>M23679</v>
          </cell>
          <cell r="B268" t="str">
            <v xml:space="preserve">DEBY DWI PRASASTI </v>
          </cell>
          <cell r="C268" t="str">
            <v>SAMI</v>
          </cell>
          <cell r="D268" t="str">
            <v>OPT-580</v>
          </cell>
          <cell r="E268">
            <v>43475</v>
          </cell>
          <cell r="F268">
            <v>43475</v>
          </cell>
          <cell r="G268">
            <v>43505</v>
          </cell>
          <cell r="H268" t="str">
            <v>NEOP</v>
          </cell>
          <cell r="I268" t="str">
            <v>NEOP</v>
          </cell>
          <cell r="J268" t="str">
            <v>-</v>
          </cell>
          <cell r="K268" t="str">
            <v>-</v>
          </cell>
          <cell r="L268" t="str">
            <v>-</v>
          </cell>
          <cell r="M268" t="str">
            <v>-</v>
          </cell>
          <cell r="N268" t="str">
            <v>TRAINING EMPLOYEE IN CLASS</v>
          </cell>
          <cell r="O268" t="str">
            <v>A (NS)</v>
          </cell>
        </row>
        <row r="269">
          <cell r="A269" t="str">
            <v>M23680</v>
          </cell>
          <cell r="B269" t="str">
            <v>DESI UTAMININGSIH</v>
          </cell>
          <cell r="C269" t="str">
            <v>SAMI</v>
          </cell>
          <cell r="D269" t="str">
            <v>OPT-580</v>
          </cell>
          <cell r="E269">
            <v>43475</v>
          </cell>
          <cell r="F269">
            <v>43475</v>
          </cell>
          <cell r="G269">
            <v>43505</v>
          </cell>
          <cell r="H269" t="str">
            <v>NEOP</v>
          </cell>
          <cell r="I269" t="str">
            <v>NEOP</v>
          </cell>
          <cell r="J269" t="str">
            <v>-</v>
          </cell>
          <cell r="K269" t="str">
            <v>-</v>
          </cell>
          <cell r="L269" t="str">
            <v>-</v>
          </cell>
          <cell r="M269" t="str">
            <v>-</v>
          </cell>
          <cell r="N269" t="str">
            <v>TRAINING EMPLOYEE IN CLASS</v>
          </cell>
          <cell r="O269" t="str">
            <v>A (NS)</v>
          </cell>
        </row>
        <row r="270">
          <cell r="A270" t="str">
            <v>M23681</v>
          </cell>
          <cell r="B270" t="str">
            <v>DWI INDAH PRIHATIN</v>
          </cell>
          <cell r="C270" t="str">
            <v>SAMI</v>
          </cell>
          <cell r="D270" t="str">
            <v>OPT-580</v>
          </cell>
          <cell r="E270">
            <v>43475</v>
          </cell>
          <cell r="F270">
            <v>43475</v>
          </cell>
          <cell r="G270">
            <v>43505</v>
          </cell>
          <cell r="H270" t="str">
            <v>NEOP</v>
          </cell>
          <cell r="I270" t="str">
            <v>NEOP</v>
          </cell>
          <cell r="J270" t="str">
            <v>-</v>
          </cell>
          <cell r="K270" t="str">
            <v>-</v>
          </cell>
          <cell r="L270" t="str">
            <v>-</v>
          </cell>
          <cell r="M270" t="str">
            <v>-</v>
          </cell>
          <cell r="N270" t="str">
            <v>TRAINING EMPLOYEE IN CLASS</v>
          </cell>
          <cell r="O270" t="str">
            <v>A (NS)</v>
          </cell>
        </row>
        <row r="271">
          <cell r="A271" t="str">
            <v>M23682</v>
          </cell>
          <cell r="B271" t="str">
            <v>DWI LISTYANI</v>
          </cell>
          <cell r="C271" t="str">
            <v>SAMI</v>
          </cell>
          <cell r="D271" t="str">
            <v>OPT-580</v>
          </cell>
          <cell r="E271">
            <v>43475</v>
          </cell>
          <cell r="F271">
            <v>43475</v>
          </cell>
          <cell r="G271">
            <v>43505</v>
          </cell>
          <cell r="H271" t="str">
            <v>NEOP</v>
          </cell>
          <cell r="I271" t="str">
            <v>NEOP</v>
          </cell>
          <cell r="J271" t="str">
            <v>-</v>
          </cell>
          <cell r="K271" t="str">
            <v>-</v>
          </cell>
          <cell r="L271" t="str">
            <v>-</v>
          </cell>
          <cell r="M271" t="str">
            <v>-</v>
          </cell>
          <cell r="N271" t="str">
            <v>TRAINING EMPLOYEE IN CLASS</v>
          </cell>
          <cell r="O271" t="str">
            <v>A (NS)</v>
          </cell>
        </row>
        <row r="272">
          <cell r="A272" t="str">
            <v>M23683</v>
          </cell>
          <cell r="B272" t="str">
            <v>ERVITA INDAH WULANDARI</v>
          </cell>
          <cell r="C272" t="str">
            <v>SAMI</v>
          </cell>
          <cell r="D272" t="str">
            <v>OPT-580</v>
          </cell>
          <cell r="E272">
            <v>43475</v>
          </cell>
          <cell r="F272">
            <v>43475</v>
          </cell>
          <cell r="G272">
            <v>43505</v>
          </cell>
          <cell r="H272" t="str">
            <v>NEOP</v>
          </cell>
          <cell r="I272" t="str">
            <v>NEOP</v>
          </cell>
          <cell r="J272" t="str">
            <v>-</v>
          </cell>
          <cell r="K272" t="str">
            <v>-</v>
          </cell>
          <cell r="L272" t="str">
            <v>-</v>
          </cell>
          <cell r="M272" t="str">
            <v>-</v>
          </cell>
          <cell r="N272" t="str">
            <v>TRAINING EMPLOYEE IN CLASS</v>
          </cell>
          <cell r="O272" t="str">
            <v>A (NS)</v>
          </cell>
        </row>
        <row r="273">
          <cell r="A273" t="str">
            <v>M23684</v>
          </cell>
          <cell r="B273" t="str">
            <v>FARIKHATUL AZIZAH</v>
          </cell>
          <cell r="C273" t="str">
            <v>SAMI</v>
          </cell>
          <cell r="D273" t="str">
            <v>OPT-580</v>
          </cell>
          <cell r="E273">
            <v>43475</v>
          </cell>
          <cell r="F273">
            <v>43475</v>
          </cell>
          <cell r="G273">
            <v>43505</v>
          </cell>
          <cell r="H273" t="str">
            <v>NEOP</v>
          </cell>
          <cell r="I273" t="str">
            <v>NEOP</v>
          </cell>
          <cell r="J273" t="str">
            <v>-</v>
          </cell>
          <cell r="K273" t="str">
            <v>-</v>
          </cell>
          <cell r="L273" t="str">
            <v>-</v>
          </cell>
          <cell r="M273" t="str">
            <v>-</v>
          </cell>
          <cell r="N273" t="str">
            <v>TRAINING EMPLOYEE IN CLASS</v>
          </cell>
          <cell r="O273" t="str">
            <v>A (NS)</v>
          </cell>
        </row>
        <row r="274">
          <cell r="A274" t="str">
            <v>M23685</v>
          </cell>
          <cell r="B274" t="str">
            <v>FITJAR JAYATI</v>
          </cell>
          <cell r="C274" t="str">
            <v>SAMI</v>
          </cell>
          <cell r="D274" t="str">
            <v>OPT-580</v>
          </cell>
          <cell r="E274">
            <v>43475</v>
          </cell>
          <cell r="F274">
            <v>43475</v>
          </cell>
          <cell r="G274">
            <v>43505</v>
          </cell>
          <cell r="H274" t="str">
            <v>NEOP</v>
          </cell>
          <cell r="I274" t="str">
            <v>NEOP</v>
          </cell>
          <cell r="J274" t="str">
            <v>-</v>
          </cell>
          <cell r="K274" t="str">
            <v>-</v>
          </cell>
          <cell r="L274" t="str">
            <v>-</v>
          </cell>
          <cell r="M274" t="str">
            <v>-</v>
          </cell>
          <cell r="N274" t="str">
            <v>TRAINING EMPLOYEE IN CLASS</v>
          </cell>
          <cell r="O274" t="str">
            <v>A (NS)</v>
          </cell>
        </row>
        <row r="275">
          <cell r="A275" t="str">
            <v>M23686</v>
          </cell>
          <cell r="B275" t="str">
            <v>GETAR SUKMA LEONITA</v>
          </cell>
          <cell r="C275" t="str">
            <v>SAMI</v>
          </cell>
          <cell r="D275" t="str">
            <v>OPT-580</v>
          </cell>
          <cell r="E275">
            <v>43475</v>
          </cell>
          <cell r="F275">
            <v>43475</v>
          </cell>
          <cell r="G275">
            <v>43505</v>
          </cell>
          <cell r="H275" t="str">
            <v>NEOP</v>
          </cell>
          <cell r="I275" t="str">
            <v>NEOP</v>
          </cell>
          <cell r="J275" t="str">
            <v>-</v>
          </cell>
          <cell r="K275" t="str">
            <v>-</v>
          </cell>
          <cell r="L275" t="str">
            <v>-</v>
          </cell>
          <cell r="M275" t="str">
            <v>-</v>
          </cell>
          <cell r="N275" t="str">
            <v>TRAINING EMPLOYEE IN CLASS</v>
          </cell>
          <cell r="O275" t="str">
            <v>A (NS)</v>
          </cell>
        </row>
        <row r="276">
          <cell r="A276" t="str">
            <v>M23687</v>
          </cell>
          <cell r="B276" t="str">
            <v>HESTI CAHYA PRASTIKA</v>
          </cell>
          <cell r="C276" t="str">
            <v>SAMI</v>
          </cell>
          <cell r="D276" t="str">
            <v>OPT-580</v>
          </cell>
          <cell r="E276">
            <v>43475</v>
          </cell>
          <cell r="F276">
            <v>43475</v>
          </cell>
          <cell r="G276">
            <v>43505</v>
          </cell>
          <cell r="H276" t="str">
            <v>NEOP</v>
          </cell>
          <cell r="I276" t="str">
            <v>NEOP</v>
          </cell>
          <cell r="J276" t="str">
            <v>-</v>
          </cell>
          <cell r="K276" t="str">
            <v>-</v>
          </cell>
          <cell r="L276" t="str">
            <v>-</v>
          </cell>
          <cell r="M276" t="str">
            <v>-</v>
          </cell>
          <cell r="N276" t="str">
            <v>TRAINING EMPLOYEE IN CLASS</v>
          </cell>
          <cell r="O276" t="str">
            <v>A (NS)</v>
          </cell>
        </row>
        <row r="277">
          <cell r="A277" t="str">
            <v>M23688</v>
          </cell>
          <cell r="B277" t="str">
            <v>HESTI RAHMAWATI</v>
          </cell>
          <cell r="C277" t="str">
            <v>SAMI</v>
          </cell>
          <cell r="D277" t="str">
            <v>OPT-580</v>
          </cell>
          <cell r="E277">
            <v>43475</v>
          </cell>
          <cell r="F277">
            <v>43475</v>
          </cell>
          <cell r="G277">
            <v>43505</v>
          </cell>
          <cell r="H277" t="str">
            <v>NEOP</v>
          </cell>
          <cell r="I277" t="str">
            <v>NEOP</v>
          </cell>
          <cell r="J277" t="str">
            <v>-</v>
          </cell>
          <cell r="K277" t="str">
            <v>-</v>
          </cell>
          <cell r="L277" t="str">
            <v>-</v>
          </cell>
          <cell r="M277" t="str">
            <v>-</v>
          </cell>
          <cell r="N277" t="str">
            <v>TRAINING EMPLOYEE IN CLASS</v>
          </cell>
          <cell r="O277" t="str">
            <v>A (NS)</v>
          </cell>
        </row>
        <row r="278">
          <cell r="A278" t="str">
            <v>M23689</v>
          </cell>
          <cell r="B278" t="str">
            <v>IDA NURSANTI</v>
          </cell>
          <cell r="C278" t="str">
            <v>SAMI</v>
          </cell>
          <cell r="D278" t="str">
            <v>OPT-580</v>
          </cell>
          <cell r="E278">
            <v>43475</v>
          </cell>
          <cell r="F278">
            <v>43475</v>
          </cell>
          <cell r="G278">
            <v>43505</v>
          </cell>
          <cell r="H278" t="str">
            <v>NEOP</v>
          </cell>
          <cell r="I278" t="str">
            <v>NEOP</v>
          </cell>
          <cell r="J278" t="str">
            <v>-</v>
          </cell>
          <cell r="K278" t="str">
            <v>-</v>
          </cell>
          <cell r="L278" t="str">
            <v>-</v>
          </cell>
          <cell r="M278" t="str">
            <v>-</v>
          </cell>
          <cell r="N278" t="str">
            <v>TRAINING EMPLOYEE IN CLASS</v>
          </cell>
          <cell r="O278" t="str">
            <v>A (NS)</v>
          </cell>
        </row>
        <row r="279">
          <cell r="A279" t="str">
            <v>M23691</v>
          </cell>
          <cell r="B279" t="str">
            <v>IKA NURMALA</v>
          </cell>
          <cell r="C279" t="str">
            <v>SAMI</v>
          </cell>
          <cell r="D279" t="str">
            <v>OPT-580</v>
          </cell>
          <cell r="E279">
            <v>43475</v>
          </cell>
          <cell r="F279">
            <v>43475</v>
          </cell>
          <cell r="G279">
            <v>43505</v>
          </cell>
          <cell r="H279" t="str">
            <v>NEOP</v>
          </cell>
          <cell r="I279" t="str">
            <v>NEOP</v>
          </cell>
          <cell r="J279" t="str">
            <v>-</v>
          </cell>
          <cell r="K279" t="str">
            <v>-</v>
          </cell>
          <cell r="L279" t="str">
            <v>-</v>
          </cell>
          <cell r="M279" t="str">
            <v>-</v>
          </cell>
          <cell r="N279" t="str">
            <v>TRAINING EMPLOYEE IN CLASS</v>
          </cell>
          <cell r="O279" t="str">
            <v>A (NS)</v>
          </cell>
        </row>
        <row r="280">
          <cell r="A280" t="str">
            <v>M23692</v>
          </cell>
          <cell r="B280" t="str">
            <v>IMRO'ATUS SA'ADAH</v>
          </cell>
          <cell r="C280" t="str">
            <v>SAMI</v>
          </cell>
          <cell r="D280" t="str">
            <v>OPT-580</v>
          </cell>
          <cell r="E280">
            <v>43475</v>
          </cell>
          <cell r="F280">
            <v>43475</v>
          </cell>
          <cell r="G280">
            <v>43505</v>
          </cell>
          <cell r="H280" t="str">
            <v>NEOP</v>
          </cell>
          <cell r="I280" t="str">
            <v>NEOP</v>
          </cell>
          <cell r="J280" t="str">
            <v>-</v>
          </cell>
          <cell r="K280" t="str">
            <v>-</v>
          </cell>
          <cell r="L280" t="str">
            <v>-</v>
          </cell>
          <cell r="M280" t="str">
            <v>-</v>
          </cell>
          <cell r="N280" t="str">
            <v>TRAINING EMPLOYEE IN CLASS</v>
          </cell>
          <cell r="O280" t="str">
            <v>A (NS)</v>
          </cell>
        </row>
        <row r="281">
          <cell r="A281" t="str">
            <v>M23693</v>
          </cell>
          <cell r="B281" t="str">
            <v>INDIANA RIZQIKA</v>
          </cell>
          <cell r="C281" t="str">
            <v>SAMI</v>
          </cell>
          <cell r="D281" t="str">
            <v>OPT-580</v>
          </cell>
          <cell r="E281">
            <v>43475</v>
          </cell>
          <cell r="F281">
            <v>43475</v>
          </cell>
          <cell r="G281">
            <v>43505</v>
          </cell>
          <cell r="H281" t="str">
            <v>NEOP</v>
          </cell>
          <cell r="I281" t="str">
            <v>NEOP</v>
          </cell>
          <cell r="J281" t="str">
            <v>-</v>
          </cell>
          <cell r="K281" t="str">
            <v>-</v>
          </cell>
          <cell r="L281" t="str">
            <v>-</v>
          </cell>
          <cell r="M281" t="str">
            <v>-</v>
          </cell>
          <cell r="N281" t="str">
            <v>TRAINING EMPLOYEE IN CLASS</v>
          </cell>
          <cell r="O281" t="str">
            <v>A (NS)</v>
          </cell>
        </row>
        <row r="282">
          <cell r="A282" t="str">
            <v>M23694</v>
          </cell>
          <cell r="B282" t="str">
            <v>INNA RETNOSARI</v>
          </cell>
          <cell r="C282" t="str">
            <v>SAMI</v>
          </cell>
          <cell r="D282" t="str">
            <v>OPT-580</v>
          </cell>
          <cell r="E282">
            <v>43475</v>
          </cell>
          <cell r="F282">
            <v>43475</v>
          </cell>
          <cell r="G282">
            <v>43505</v>
          </cell>
          <cell r="H282" t="str">
            <v>NEOP</v>
          </cell>
          <cell r="I282" t="str">
            <v>NEOP</v>
          </cell>
          <cell r="J282" t="str">
            <v>-</v>
          </cell>
          <cell r="K282" t="str">
            <v>-</v>
          </cell>
          <cell r="L282" t="str">
            <v>-</v>
          </cell>
          <cell r="M282" t="str">
            <v>-</v>
          </cell>
          <cell r="N282" t="str">
            <v>TRAINING EMPLOYEE IN CLASS</v>
          </cell>
          <cell r="O282" t="str">
            <v>A (NS)</v>
          </cell>
        </row>
        <row r="283">
          <cell r="A283" t="str">
            <v>M23695</v>
          </cell>
          <cell r="B283" t="str">
            <v>JAMILATUN</v>
          </cell>
          <cell r="C283" t="str">
            <v>SAMI</v>
          </cell>
          <cell r="D283" t="str">
            <v>OPT-580</v>
          </cell>
          <cell r="E283">
            <v>43475</v>
          </cell>
          <cell r="F283">
            <v>43475</v>
          </cell>
          <cell r="G283">
            <v>43505</v>
          </cell>
          <cell r="H283" t="str">
            <v>NEOP</v>
          </cell>
          <cell r="I283" t="str">
            <v>NEOP</v>
          </cell>
          <cell r="J283" t="str">
            <v>-</v>
          </cell>
          <cell r="K283" t="str">
            <v>-</v>
          </cell>
          <cell r="L283" t="str">
            <v>-</v>
          </cell>
          <cell r="M283" t="str">
            <v>-</v>
          </cell>
          <cell r="N283" t="str">
            <v>TRAINING EMPLOYEE IN CLASS</v>
          </cell>
          <cell r="O283" t="str">
            <v>A (NS)</v>
          </cell>
        </row>
        <row r="284">
          <cell r="A284" t="str">
            <v>M23696</v>
          </cell>
          <cell r="B284" t="str">
            <v>WAHYU ENJANG DWI SHAPUTRI</v>
          </cell>
          <cell r="C284" t="str">
            <v>SAMI</v>
          </cell>
          <cell r="D284" t="str">
            <v>OPT-580</v>
          </cell>
          <cell r="E284">
            <v>43475</v>
          </cell>
          <cell r="F284">
            <v>43475</v>
          </cell>
          <cell r="G284">
            <v>43505</v>
          </cell>
          <cell r="H284" t="str">
            <v>NEOP</v>
          </cell>
          <cell r="I284" t="str">
            <v>NEOP</v>
          </cell>
          <cell r="J284" t="str">
            <v>-</v>
          </cell>
          <cell r="K284" t="str">
            <v>-</v>
          </cell>
          <cell r="L284" t="str">
            <v>-</v>
          </cell>
          <cell r="M284" t="str">
            <v>-</v>
          </cell>
          <cell r="N284" t="str">
            <v>TRAINING EMPLOYEE IN CLASS</v>
          </cell>
          <cell r="O284" t="str">
            <v>A (NS)</v>
          </cell>
        </row>
        <row r="285">
          <cell r="A285" t="str">
            <v>M23697</v>
          </cell>
          <cell r="B285" t="str">
            <v>LILIS BUDI LESTARI</v>
          </cell>
          <cell r="C285" t="str">
            <v>SAMI</v>
          </cell>
          <cell r="D285" t="str">
            <v>OPT-580</v>
          </cell>
          <cell r="E285">
            <v>43475</v>
          </cell>
          <cell r="F285">
            <v>43475</v>
          </cell>
          <cell r="G285">
            <v>43505</v>
          </cell>
          <cell r="H285" t="str">
            <v>NEOP</v>
          </cell>
          <cell r="I285" t="str">
            <v>NEOP</v>
          </cell>
          <cell r="J285" t="str">
            <v>-</v>
          </cell>
          <cell r="K285" t="str">
            <v>-</v>
          </cell>
          <cell r="L285" t="str">
            <v>-</v>
          </cell>
          <cell r="M285" t="str">
            <v>-</v>
          </cell>
          <cell r="N285" t="str">
            <v>TRAINING EMPLOYEE IN CLASS</v>
          </cell>
          <cell r="O285" t="str">
            <v>A (NS)</v>
          </cell>
        </row>
        <row r="286">
          <cell r="A286" t="str">
            <v>M23698</v>
          </cell>
          <cell r="B286" t="str">
            <v>LISTY ALAWIYAH</v>
          </cell>
          <cell r="C286" t="str">
            <v>SAMI</v>
          </cell>
          <cell r="D286" t="str">
            <v>OPT-580</v>
          </cell>
          <cell r="E286">
            <v>43475</v>
          </cell>
          <cell r="F286">
            <v>43475</v>
          </cell>
          <cell r="G286">
            <v>43505</v>
          </cell>
          <cell r="H286" t="str">
            <v>NEOP</v>
          </cell>
          <cell r="I286" t="str">
            <v>NEOP</v>
          </cell>
          <cell r="J286" t="str">
            <v>-</v>
          </cell>
          <cell r="K286" t="str">
            <v>-</v>
          </cell>
          <cell r="L286" t="str">
            <v>-</v>
          </cell>
          <cell r="M286" t="str">
            <v>-</v>
          </cell>
          <cell r="N286" t="str">
            <v>TRAINING EMPLOYEE IN CLASS</v>
          </cell>
          <cell r="O286" t="str">
            <v>A (NS)</v>
          </cell>
        </row>
        <row r="287">
          <cell r="A287" t="str">
            <v>M23699</v>
          </cell>
          <cell r="B287" t="str">
            <v xml:space="preserve">MARINA KAMILATUL WITRI </v>
          </cell>
          <cell r="C287" t="str">
            <v>SAMI</v>
          </cell>
          <cell r="D287" t="str">
            <v>OPT-580</v>
          </cell>
          <cell r="E287">
            <v>43475</v>
          </cell>
          <cell r="F287">
            <v>43475</v>
          </cell>
          <cell r="G287">
            <v>43505</v>
          </cell>
          <cell r="H287" t="str">
            <v>NEOP</v>
          </cell>
          <cell r="I287" t="str">
            <v>NEOP</v>
          </cell>
          <cell r="J287" t="str">
            <v>-</v>
          </cell>
          <cell r="K287" t="str">
            <v>-</v>
          </cell>
          <cell r="L287" t="str">
            <v>-</v>
          </cell>
          <cell r="M287" t="str">
            <v>-</v>
          </cell>
          <cell r="N287" t="str">
            <v>TRAINING EMPLOYEE IN CLASS</v>
          </cell>
          <cell r="O287" t="str">
            <v>A (NS)</v>
          </cell>
        </row>
        <row r="288">
          <cell r="A288" t="str">
            <v>M23700</v>
          </cell>
          <cell r="B288" t="str">
            <v>MIFTAKHUL CHASANAH</v>
          </cell>
          <cell r="C288" t="str">
            <v>SAMI</v>
          </cell>
          <cell r="D288" t="str">
            <v>OPT-580</v>
          </cell>
          <cell r="E288">
            <v>43475</v>
          </cell>
          <cell r="F288">
            <v>43475</v>
          </cell>
          <cell r="G288">
            <v>43505</v>
          </cell>
          <cell r="H288" t="str">
            <v>NEOP</v>
          </cell>
          <cell r="I288" t="str">
            <v>NEOP</v>
          </cell>
          <cell r="J288" t="str">
            <v>-</v>
          </cell>
          <cell r="K288" t="str">
            <v>-</v>
          </cell>
          <cell r="L288" t="str">
            <v>-</v>
          </cell>
          <cell r="M288" t="str">
            <v>-</v>
          </cell>
          <cell r="N288" t="str">
            <v>TRAINING EMPLOYEE IN CLASS</v>
          </cell>
          <cell r="O288" t="str">
            <v>A (NS)</v>
          </cell>
        </row>
        <row r="289">
          <cell r="A289" t="str">
            <v>M23701</v>
          </cell>
          <cell r="B289" t="str">
            <v>MILATUL HIDAYAH</v>
          </cell>
          <cell r="C289" t="str">
            <v>SAMI</v>
          </cell>
          <cell r="D289" t="str">
            <v>OPT-580</v>
          </cell>
          <cell r="E289">
            <v>43475</v>
          </cell>
          <cell r="F289">
            <v>43475</v>
          </cell>
          <cell r="G289">
            <v>43505</v>
          </cell>
          <cell r="H289" t="str">
            <v>NEOP</v>
          </cell>
          <cell r="I289" t="str">
            <v>NEOP</v>
          </cell>
          <cell r="J289" t="str">
            <v>-</v>
          </cell>
          <cell r="K289" t="str">
            <v>-</v>
          </cell>
          <cell r="L289" t="str">
            <v>-</v>
          </cell>
          <cell r="M289" t="str">
            <v>-</v>
          </cell>
          <cell r="N289" t="str">
            <v>TRAINING EMPLOYEE IN CLASS</v>
          </cell>
          <cell r="O289" t="str">
            <v>A (NS)</v>
          </cell>
        </row>
        <row r="290">
          <cell r="A290" t="str">
            <v>M23702</v>
          </cell>
          <cell r="B290" t="str">
            <v>NINING LESTARI</v>
          </cell>
          <cell r="C290" t="str">
            <v>SAMI</v>
          </cell>
          <cell r="D290" t="str">
            <v>OPT-580</v>
          </cell>
          <cell r="E290">
            <v>43475</v>
          </cell>
          <cell r="F290">
            <v>43475</v>
          </cell>
          <cell r="G290">
            <v>43505</v>
          </cell>
          <cell r="H290" t="str">
            <v>NEOP</v>
          </cell>
          <cell r="I290" t="str">
            <v>NEOP</v>
          </cell>
          <cell r="J290" t="str">
            <v>-</v>
          </cell>
          <cell r="K290" t="str">
            <v>-</v>
          </cell>
          <cell r="L290" t="str">
            <v>-</v>
          </cell>
          <cell r="M290" t="str">
            <v>-</v>
          </cell>
          <cell r="N290" t="str">
            <v>TRAINING EMPLOYEE IN CLASS</v>
          </cell>
          <cell r="O290" t="str">
            <v>A (NS)</v>
          </cell>
        </row>
        <row r="291">
          <cell r="A291" t="str">
            <v>M23703</v>
          </cell>
          <cell r="B291" t="str">
            <v>PUTRI INDAH SARI</v>
          </cell>
          <cell r="C291" t="str">
            <v>SAMI</v>
          </cell>
          <cell r="D291" t="str">
            <v>OPT-580</v>
          </cell>
          <cell r="E291">
            <v>43475</v>
          </cell>
          <cell r="F291">
            <v>43475</v>
          </cell>
          <cell r="G291">
            <v>43505</v>
          </cell>
          <cell r="H291" t="str">
            <v>NEOP</v>
          </cell>
          <cell r="I291" t="str">
            <v>NEOP</v>
          </cell>
          <cell r="J291" t="str">
            <v>-</v>
          </cell>
          <cell r="K291" t="str">
            <v>-</v>
          </cell>
          <cell r="L291" t="str">
            <v>-</v>
          </cell>
          <cell r="M291" t="str">
            <v>-</v>
          </cell>
          <cell r="N291" t="str">
            <v>TRAINING EMPLOYEE IN CLASS</v>
          </cell>
          <cell r="O291" t="str">
            <v>A (NS)</v>
          </cell>
        </row>
        <row r="292">
          <cell r="A292" t="str">
            <v>M23704</v>
          </cell>
          <cell r="B292" t="str">
            <v>RANNY NUR HIDAYAH</v>
          </cell>
          <cell r="C292" t="str">
            <v>SAMI</v>
          </cell>
          <cell r="D292" t="str">
            <v>OPT-580</v>
          </cell>
          <cell r="E292">
            <v>43475</v>
          </cell>
          <cell r="F292">
            <v>43475</v>
          </cell>
          <cell r="G292">
            <v>43505</v>
          </cell>
          <cell r="H292" t="str">
            <v>NEOP</v>
          </cell>
          <cell r="I292" t="str">
            <v>NEOP</v>
          </cell>
          <cell r="J292" t="str">
            <v>-</v>
          </cell>
          <cell r="K292" t="str">
            <v>-</v>
          </cell>
          <cell r="L292" t="str">
            <v>-</v>
          </cell>
          <cell r="M292" t="str">
            <v>-</v>
          </cell>
          <cell r="N292" t="str">
            <v>TRAINING EMPLOYEE IN CLASS</v>
          </cell>
          <cell r="O292" t="str">
            <v>A (NS)</v>
          </cell>
        </row>
        <row r="293">
          <cell r="A293" t="str">
            <v>M23705</v>
          </cell>
          <cell r="B293" t="str">
            <v>RINI ERMA SETIANI</v>
          </cell>
          <cell r="C293" t="str">
            <v>SAMI</v>
          </cell>
          <cell r="D293" t="str">
            <v>OPT-580</v>
          </cell>
          <cell r="E293">
            <v>43475</v>
          </cell>
          <cell r="F293">
            <v>43475</v>
          </cell>
          <cell r="G293">
            <v>43505</v>
          </cell>
          <cell r="H293" t="str">
            <v>NEOP</v>
          </cell>
          <cell r="I293" t="str">
            <v>NEOP</v>
          </cell>
          <cell r="J293" t="str">
            <v>-</v>
          </cell>
          <cell r="K293" t="str">
            <v>-</v>
          </cell>
          <cell r="L293" t="str">
            <v>-</v>
          </cell>
          <cell r="M293" t="str">
            <v>-</v>
          </cell>
          <cell r="N293" t="str">
            <v>TRAINING EMPLOYEE IN CLASS</v>
          </cell>
          <cell r="O293" t="str">
            <v>A (NS)</v>
          </cell>
        </row>
        <row r="294">
          <cell r="A294" t="str">
            <v>M23706</v>
          </cell>
          <cell r="B294" t="str">
            <v>WAHYU SRI DHEFVI</v>
          </cell>
          <cell r="C294" t="str">
            <v>SAMI</v>
          </cell>
          <cell r="D294" t="str">
            <v>OPT-580</v>
          </cell>
          <cell r="E294">
            <v>43475</v>
          </cell>
          <cell r="F294">
            <v>43475</v>
          </cell>
          <cell r="G294">
            <v>43505</v>
          </cell>
          <cell r="H294" t="str">
            <v>NEOP</v>
          </cell>
          <cell r="I294" t="str">
            <v>NEOP</v>
          </cell>
          <cell r="J294" t="str">
            <v>-</v>
          </cell>
          <cell r="K294" t="str">
            <v>-</v>
          </cell>
          <cell r="L294" t="str">
            <v>-</v>
          </cell>
          <cell r="M294" t="str">
            <v>-</v>
          </cell>
          <cell r="N294" t="str">
            <v>TRAINING EMPLOYEE IN CLASS</v>
          </cell>
          <cell r="O294" t="str">
            <v>A (NS)</v>
          </cell>
        </row>
        <row r="295">
          <cell r="A295" t="str">
            <v>M23707</v>
          </cell>
          <cell r="B295" t="str">
            <v>SEVIKA KURDIYANTI</v>
          </cell>
          <cell r="C295" t="str">
            <v>SAMI</v>
          </cell>
          <cell r="D295" t="str">
            <v>OPT-580</v>
          </cell>
          <cell r="E295">
            <v>43475</v>
          </cell>
          <cell r="F295">
            <v>43475</v>
          </cell>
          <cell r="G295">
            <v>43505</v>
          </cell>
          <cell r="H295" t="str">
            <v>NEOP</v>
          </cell>
          <cell r="I295" t="str">
            <v>NEOP</v>
          </cell>
          <cell r="J295" t="str">
            <v>-</v>
          </cell>
          <cell r="K295" t="str">
            <v>-</v>
          </cell>
          <cell r="L295" t="str">
            <v>-</v>
          </cell>
          <cell r="M295" t="str">
            <v>-</v>
          </cell>
          <cell r="N295" t="str">
            <v>TRAINING EMPLOYEE IN CLASS</v>
          </cell>
          <cell r="O295" t="str">
            <v>A (NS)</v>
          </cell>
        </row>
        <row r="296">
          <cell r="A296" t="str">
            <v>M23708</v>
          </cell>
          <cell r="B296" t="str">
            <v>SITI KHORIDATUL UMMAH</v>
          </cell>
          <cell r="C296" t="str">
            <v>SAMI</v>
          </cell>
          <cell r="D296" t="str">
            <v>OPT-580</v>
          </cell>
          <cell r="E296">
            <v>43475</v>
          </cell>
          <cell r="F296">
            <v>43475</v>
          </cell>
          <cell r="G296">
            <v>43505</v>
          </cell>
          <cell r="H296" t="str">
            <v>NEOP</v>
          </cell>
          <cell r="I296" t="str">
            <v>NEOP</v>
          </cell>
          <cell r="J296" t="str">
            <v>-</v>
          </cell>
          <cell r="K296" t="str">
            <v>-</v>
          </cell>
          <cell r="L296" t="str">
            <v>-</v>
          </cell>
          <cell r="M296" t="str">
            <v>-</v>
          </cell>
          <cell r="N296" t="str">
            <v>TRAINING EMPLOYEE IN CLASS</v>
          </cell>
          <cell r="O296" t="str">
            <v>A (NS)</v>
          </cell>
        </row>
        <row r="297">
          <cell r="A297" t="str">
            <v>M23709</v>
          </cell>
          <cell r="B297" t="str">
            <v>SITI LAILATUL FITRI</v>
          </cell>
          <cell r="C297" t="str">
            <v>SAMI</v>
          </cell>
          <cell r="D297" t="str">
            <v>OPT-580</v>
          </cell>
          <cell r="E297">
            <v>43475</v>
          </cell>
          <cell r="F297">
            <v>43475</v>
          </cell>
          <cell r="G297">
            <v>43505</v>
          </cell>
          <cell r="H297" t="str">
            <v>NEOP</v>
          </cell>
          <cell r="I297" t="str">
            <v>NEOP</v>
          </cell>
          <cell r="J297" t="str">
            <v>-</v>
          </cell>
          <cell r="K297" t="str">
            <v>-</v>
          </cell>
          <cell r="L297" t="str">
            <v>-</v>
          </cell>
          <cell r="M297" t="str">
            <v>-</v>
          </cell>
          <cell r="N297" t="str">
            <v>TRAINING EMPLOYEE IN CLASS</v>
          </cell>
          <cell r="O297" t="str">
            <v>A (NS)</v>
          </cell>
        </row>
        <row r="298">
          <cell r="A298" t="str">
            <v>M23710</v>
          </cell>
          <cell r="B298" t="str">
            <v>SITI MAULIDAH</v>
          </cell>
          <cell r="C298" t="str">
            <v>SAMI</v>
          </cell>
          <cell r="D298" t="str">
            <v>OPT-580</v>
          </cell>
          <cell r="E298">
            <v>43475</v>
          </cell>
          <cell r="F298">
            <v>43475</v>
          </cell>
          <cell r="G298">
            <v>43505</v>
          </cell>
          <cell r="H298" t="str">
            <v>NEOP</v>
          </cell>
          <cell r="I298" t="str">
            <v>NEOP</v>
          </cell>
          <cell r="J298" t="str">
            <v>-</v>
          </cell>
          <cell r="K298" t="str">
            <v>-</v>
          </cell>
          <cell r="L298" t="str">
            <v>-</v>
          </cell>
          <cell r="M298" t="str">
            <v>-</v>
          </cell>
          <cell r="N298" t="str">
            <v>TRAINING EMPLOYEE IN CLASS</v>
          </cell>
          <cell r="O298" t="str">
            <v>A (NS)</v>
          </cell>
        </row>
        <row r="299">
          <cell r="A299">
            <v>11161</v>
          </cell>
          <cell r="B299" t="str">
            <v>FERRY ADI SAPUTRO</v>
          </cell>
          <cell r="C299" t="str">
            <v>SAMI</v>
          </cell>
          <cell r="D299" t="str">
            <v>ADM-45</v>
          </cell>
          <cell r="E299">
            <v>40602</v>
          </cell>
          <cell r="F299" t="str">
            <v>-</v>
          </cell>
          <cell r="G299" t="str">
            <v>-</v>
          </cell>
          <cell r="H299" t="str">
            <v>LOG</v>
          </cell>
          <cell r="I299" t="str">
            <v>EXIM</v>
          </cell>
          <cell r="J299" t="str">
            <v>ALL</v>
          </cell>
          <cell r="K299" t="str">
            <v>ALL</v>
          </cell>
          <cell r="L299" t="str">
            <v>EXIM</v>
          </cell>
          <cell r="M299" t="str">
            <v>ADM</v>
          </cell>
          <cell r="N299" t="str">
            <v>EXIM</v>
          </cell>
          <cell r="O299" t="str">
            <v>A</v>
          </cell>
        </row>
        <row r="300">
          <cell r="A300">
            <v>160</v>
          </cell>
          <cell r="B300" t="str">
            <v>ARIYAWATI</v>
          </cell>
          <cell r="C300" t="str">
            <v>SAMI</v>
          </cell>
          <cell r="D300" t="str">
            <v>OPT-5</v>
          </cell>
          <cell r="E300">
            <v>37679</v>
          </cell>
          <cell r="F300" t="str">
            <v>-</v>
          </cell>
          <cell r="G300" t="str">
            <v>-</v>
          </cell>
          <cell r="H300" t="str">
            <v>LOG</v>
          </cell>
          <cell r="I300" t="str">
            <v>EXIM</v>
          </cell>
          <cell r="J300" t="str">
            <v>ALL</v>
          </cell>
          <cell r="K300" t="str">
            <v>ALL</v>
          </cell>
          <cell r="L300" t="str">
            <v>EXIM</v>
          </cell>
          <cell r="M300" t="str">
            <v>LEADER EXIM</v>
          </cell>
          <cell r="N300" t="str">
            <v>FPS LL</v>
          </cell>
          <cell r="O300" t="str">
            <v>A (NS)</v>
          </cell>
        </row>
        <row r="301">
          <cell r="A301">
            <v>587</v>
          </cell>
          <cell r="B301" t="str">
            <v>EKA NUR RAHMAWATI</v>
          </cell>
          <cell r="C301" t="str">
            <v>SAMI</v>
          </cell>
          <cell r="D301" t="str">
            <v>ADM-5</v>
          </cell>
          <cell r="E301">
            <v>37774</v>
          </cell>
          <cell r="F301" t="str">
            <v>-</v>
          </cell>
          <cell r="G301" t="str">
            <v>-</v>
          </cell>
          <cell r="H301" t="str">
            <v>LOG</v>
          </cell>
          <cell r="I301" t="str">
            <v>EXIM</v>
          </cell>
          <cell r="J301" t="str">
            <v>ALL</v>
          </cell>
          <cell r="K301" t="str">
            <v>ALL</v>
          </cell>
          <cell r="L301" t="str">
            <v>EXIM</v>
          </cell>
          <cell r="M301" t="str">
            <v>ADM</v>
          </cell>
          <cell r="N301" t="str">
            <v>EXIM</v>
          </cell>
          <cell r="O301" t="str">
            <v>A (NS)</v>
          </cell>
        </row>
        <row r="302">
          <cell r="A302">
            <v>2227</v>
          </cell>
          <cell r="B302" t="str">
            <v>FITRIA ENDAH PRATIWI</v>
          </cell>
          <cell r="C302" t="str">
            <v>SAMI</v>
          </cell>
          <cell r="D302" t="str">
            <v>SPV UP</v>
          </cell>
          <cell r="E302">
            <v>38168</v>
          </cell>
          <cell r="F302" t="str">
            <v>-</v>
          </cell>
          <cell r="G302" t="str">
            <v>-</v>
          </cell>
          <cell r="H302" t="str">
            <v>LOG</v>
          </cell>
          <cell r="I302" t="str">
            <v>EXIM</v>
          </cell>
          <cell r="J302" t="str">
            <v>ALL</v>
          </cell>
          <cell r="K302" t="str">
            <v>ALL</v>
          </cell>
          <cell r="L302" t="str">
            <v>EXIM</v>
          </cell>
          <cell r="M302" t="str">
            <v>SUPERVISOR</v>
          </cell>
          <cell r="N302" t="str">
            <v>FPS SPV</v>
          </cell>
          <cell r="O302" t="str">
            <v>A (NS)</v>
          </cell>
        </row>
        <row r="303">
          <cell r="A303">
            <v>5400</v>
          </cell>
          <cell r="B303" t="str">
            <v>BEKTI UTAMI</v>
          </cell>
          <cell r="C303" t="str">
            <v>SAMI</v>
          </cell>
          <cell r="D303" t="str">
            <v>OPT-128</v>
          </cell>
          <cell r="E303">
            <v>38991</v>
          </cell>
          <cell r="F303" t="str">
            <v>-</v>
          </cell>
          <cell r="G303" t="str">
            <v>-</v>
          </cell>
          <cell r="H303" t="str">
            <v>LOG</v>
          </cell>
          <cell r="I303" t="str">
            <v>EXIM</v>
          </cell>
          <cell r="J303" t="str">
            <v>ALL</v>
          </cell>
          <cell r="K303" t="str">
            <v>ALL</v>
          </cell>
          <cell r="L303" t="str">
            <v>EXIM</v>
          </cell>
          <cell r="M303" t="str">
            <v>ADM</v>
          </cell>
          <cell r="N303" t="str">
            <v>EXIM</v>
          </cell>
          <cell r="O303" t="str">
            <v>A (NS)</v>
          </cell>
        </row>
        <row r="304">
          <cell r="A304">
            <v>7498</v>
          </cell>
          <cell r="B304" t="str">
            <v>NADHIFATUN</v>
          </cell>
          <cell r="C304" t="str">
            <v>SAMI</v>
          </cell>
          <cell r="D304" t="str">
            <v>OPT-173</v>
          </cell>
          <cell r="E304">
            <v>39600</v>
          </cell>
          <cell r="F304" t="str">
            <v>-</v>
          </cell>
          <cell r="G304" t="str">
            <v>-</v>
          </cell>
          <cell r="H304" t="str">
            <v>LOG</v>
          </cell>
          <cell r="I304" t="str">
            <v>EXIM</v>
          </cell>
          <cell r="J304" t="str">
            <v>ALL</v>
          </cell>
          <cell r="K304" t="str">
            <v>ALL</v>
          </cell>
          <cell r="L304" t="str">
            <v>EXIM</v>
          </cell>
          <cell r="M304" t="str">
            <v>LEADER EXIM</v>
          </cell>
          <cell r="N304" t="str">
            <v>FPS LL</v>
          </cell>
          <cell r="O304" t="str">
            <v>A (NS)</v>
          </cell>
        </row>
        <row r="305">
          <cell r="A305">
            <v>20384</v>
          </cell>
          <cell r="B305" t="str">
            <v>MARGARETHA PANTOW</v>
          </cell>
          <cell r="C305" t="str">
            <v>SAMI</v>
          </cell>
          <cell r="D305" t="str">
            <v>ES-72</v>
          </cell>
          <cell r="E305">
            <v>42614</v>
          </cell>
          <cell r="F305" t="str">
            <v>-</v>
          </cell>
          <cell r="G305" t="str">
            <v>-</v>
          </cell>
          <cell r="H305" t="str">
            <v>LOG</v>
          </cell>
          <cell r="I305" t="str">
            <v>EXIM</v>
          </cell>
          <cell r="J305" t="str">
            <v>ALL</v>
          </cell>
          <cell r="K305" t="str">
            <v>ALL</v>
          </cell>
          <cell r="L305" t="str">
            <v>EXIM</v>
          </cell>
          <cell r="M305" t="str">
            <v>ADM</v>
          </cell>
          <cell r="N305" t="str">
            <v>EXIM</v>
          </cell>
          <cell r="O305" t="str">
            <v>A (NS)</v>
          </cell>
        </row>
        <row r="306">
          <cell r="A306">
            <v>508</v>
          </cell>
          <cell r="B306" t="str">
            <v>SUKADI</v>
          </cell>
          <cell r="C306" t="str">
            <v>SAMI</v>
          </cell>
          <cell r="D306" t="str">
            <v>OPT-13</v>
          </cell>
          <cell r="E306">
            <v>37760</v>
          </cell>
          <cell r="F306" t="str">
            <v>-</v>
          </cell>
          <cell r="G306" t="str">
            <v>-</v>
          </cell>
          <cell r="H306" t="str">
            <v>LOG</v>
          </cell>
          <cell r="I306" t="str">
            <v>L. DOCK</v>
          </cell>
          <cell r="J306" t="str">
            <v>ALL</v>
          </cell>
          <cell r="K306" t="str">
            <v>ALL</v>
          </cell>
          <cell r="L306" t="str">
            <v>L. DOCK</v>
          </cell>
          <cell r="M306" t="str">
            <v>GL</v>
          </cell>
          <cell r="N306" t="str">
            <v>LD</v>
          </cell>
          <cell r="O306" t="str">
            <v>A (NS)</v>
          </cell>
        </row>
        <row r="307">
          <cell r="A307">
            <v>1575</v>
          </cell>
          <cell r="B307" t="str">
            <v>MUSMAN</v>
          </cell>
          <cell r="C307" t="str">
            <v>SAMI</v>
          </cell>
          <cell r="D307" t="str">
            <v>OPT</v>
          </cell>
          <cell r="E307">
            <v>38018</v>
          </cell>
          <cell r="F307" t="str">
            <v>-</v>
          </cell>
          <cell r="G307" t="str">
            <v>-</v>
          </cell>
          <cell r="H307" t="str">
            <v>LOG</v>
          </cell>
          <cell r="I307" t="str">
            <v>L. DOCK</v>
          </cell>
          <cell r="J307" t="str">
            <v>ALL</v>
          </cell>
          <cell r="K307" t="str">
            <v>ALL</v>
          </cell>
          <cell r="L307" t="str">
            <v>L. DOCK</v>
          </cell>
          <cell r="M307" t="str">
            <v>L. DOCK</v>
          </cell>
          <cell r="N307" t="str">
            <v>LD</v>
          </cell>
          <cell r="O307" t="str">
            <v>A</v>
          </cell>
        </row>
        <row r="308">
          <cell r="A308">
            <v>14675</v>
          </cell>
          <cell r="B308" t="str">
            <v>RIZAL FAUZI</v>
          </cell>
          <cell r="C308" t="str">
            <v>SAMI</v>
          </cell>
          <cell r="D308" t="str">
            <v>OPT-377</v>
          </cell>
          <cell r="E308">
            <v>41396</v>
          </cell>
          <cell r="F308" t="str">
            <v>-</v>
          </cell>
          <cell r="G308" t="str">
            <v>-</v>
          </cell>
          <cell r="H308" t="str">
            <v>LOG</v>
          </cell>
          <cell r="I308" t="str">
            <v>L. DOCK</v>
          </cell>
          <cell r="J308" t="str">
            <v>ALL</v>
          </cell>
          <cell r="K308" t="str">
            <v>ALL</v>
          </cell>
          <cell r="L308" t="str">
            <v>L. DOCK</v>
          </cell>
          <cell r="M308" t="str">
            <v>L. DOCK</v>
          </cell>
          <cell r="N308" t="str">
            <v>LD</v>
          </cell>
          <cell r="O308" t="str">
            <v>A</v>
          </cell>
        </row>
        <row r="309">
          <cell r="A309">
            <v>19241</v>
          </cell>
          <cell r="B309" t="str">
            <v>BAYU TIRTA MAHARDIKA</v>
          </cell>
          <cell r="C309" t="str">
            <v>SAMI</v>
          </cell>
          <cell r="D309" t="str">
            <v>OPT-476</v>
          </cell>
          <cell r="E309">
            <v>42262</v>
          </cell>
          <cell r="F309" t="str">
            <v>-</v>
          </cell>
          <cell r="G309" t="str">
            <v>-</v>
          </cell>
          <cell r="H309" t="str">
            <v>LOG</v>
          </cell>
          <cell r="I309" t="str">
            <v>L. DOCK</v>
          </cell>
          <cell r="J309" t="str">
            <v>ALL</v>
          </cell>
          <cell r="K309" t="str">
            <v>ALL</v>
          </cell>
          <cell r="L309" t="str">
            <v>L. DOCK</v>
          </cell>
          <cell r="M309" t="str">
            <v>L. DOCK</v>
          </cell>
          <cell r="N309" t="str">
            <v>LD</v>
          </cell>
          <cell r="O309" t="str">
            <v>A</v>
          </cell>
        </row>
        <row r="310">
          <cell r="A310">
            <v>21028</v>
          </cell>
          <cell r="B310" t="str">
            <v>FADILLAH MARIZA ACHMAD</v>
          </cell>
          <cell r="C310" t="str">
            <v>SAMI</v>
          </cell>
          <cell r="D310" t="str">
            <v>OPT-516</v>
          </cell>
          <cell r="E310">
            <v>42724</v>
          </cell>
          <cell r="F310">
            <v>43221</v>
          </cell>
          <cell r="G310">
            <v>43585</v>
          </cell>
          <cell r="H310" t="str">
            <v>LOG</v>
          </cell>
          <cell r="I310" t="str">
            <v>L. DOCK</v>
          </cell>
          <cell r="J310" t="str">
            <v>ALL</v>
          </cell>
          <cell r="K310" t="str">
            <v>ALL</v>
          </cell>
          <cell r="L310" t="str">
            <v>L. DOCK</v>
          </cell>
          <cell r="M310" t="str">
            <v>L. DOCK</v>
          </cell>
          <cell r="N310" t="str">
            <v>LD</v>
          </cell>
          <cell r="O310" t="str">
            <v>A</v>
          </cell>
        </row>
        <row r="311">
          <cell r="A311">
            <v>21636</v>
          </cell>
          <cell r="B311" t="str">
            <v>AHMAD FAUZI</v>
          </cell>
          <cell r="C311" t="str">
            <v>SAMI</v>
          </cell>
          <cell r="D311" t="str">
            <v>OPT-537</v>
          </cell>
          <cell r="E311">
            <v>43055</v>
          </cell>
          <cell r="F311">
            <v>43466</v>
          </cell>
          <cell r="G311">
            <v>43830</v>
          </cell>
          <cell r="H311" t="str">
            <v>LOG</v>
          </cell>
          <cell r="I311" t="str">
            <v>L. DOCK</v>
          </cell>
          <cell r="J311" t="str">
            <v>ALL</v>
          </cell>
          <cell r="K311" t="str">
            <v>ALL</v>
          </cell>
          <cell r="L311" t="str">
            <v>L. DOCK</v>
          </cell>
          <cell r="M311" t="str">
            <v>L. DOCK</v>
          </cell>
          <cell r="N311" t="str">
            <v>LD</v>
          </cell>
          <cell r="O311" t="str">
            <v>A</v>
          </cell>
        </row>
        <row r="312">
          <cell r="A312" t="str">
            <v>B00558</v>
          </cell>
          <cell r="B312" t="str">
            <v>YULFAN TAUFIK</v>
          </cell>
          <cell r="C312" t="str">
            <v>SAMI</v>
          </cell>
          <cell r="D312" t="str">
            <v>BBF-008</v>
          </cell>
          <cell r="E312">
            <v>40875</v>
          </cell>
          <cell r="F312" t="str">
            <v>-</v>
          </cell>
          <cell r="G312" t="str">
            <v>-</v>
          </cell>
          <cell r="H312" t="str">
            <v>LOG</v>
          </cell>
          <cell r="I312" t="str">
            <v>L. DOCK</v>
          </cell>
          <cell r="J312" t="str">
            <v>ALL</v>
          </cell>
          <cell r="K312" t="str">
            <v>ALL</v>
          </cell>
          <cell r="L312" t="str">
            <v>L. DOCK</v>
          </cell>
          <cell r="M312" t="str">
            <v>L. DOCK</v>
          </cell>
          <cell r="N312" t="str">
            <v>LD</v>
          </cell>
          <cell r="O312" t="str">
            <v>A</v>
          </cell>
        </row>
        <row r="313">
          <cell r="A313">
            <v>21031</v>
          </cell>
          <cell r="B313" t="str">
            <v>KHOMSU RIZAL ABDILLAH</v>
          </cell>
          <cell r="C313" t="str">
            <v>SAMI</v>
          </cell>
          <cell r="D313" t="str">
            <v>OPT-517</v>
          </cell>
          <cell r="E313">
            <v>42753</v>
          </cell>
          <cell r="F313">
            <v>43252</v>
          </cell>
          <cell r="G313">
            <v>43616</v>
          </cell>
          <cell r="H313" t="str">
            <v>LOG</v>
          </cell>
          <cell r="I313" t="str">
            <v>L. DOCK</v>
          </cell>
          <cell r="J313" t="str">
            <v>ALL</v>
          </cell>
          <cell r="K313" t="str">
            <v>ALL</v>
          </cell>
          <cell r="L313" t="str">
            <v>L. DOCK</v>
          </cell>
          <cell r="M313" t="str">
            <v>L. DOCK</v>
          </cell>
          <cell r="N313" t="str">
            <v>LD</v>
          </cell>
          <cell r="O313" t="str">
            <v>A</v>
          </cell>
        </row>
        <row r="314">
          <cell r="A314">
            <v>395</v>
          </cell>
          <cell r="B314" t="str">
            <v>TRI NOVI PUJIYANTI</v>
          </cell>
          <cell r="C314" t="str">
            <v>SAMI</v>
          </cell>
          <cell r="D314" t="str">
            <v>ADM-3</v>
          </cell>
          <cell r="E314">
            <v>37732</v>
          </cell>
          <cell r="F314" t="str">
            <v>-</v>
          </cell>
          <cell r="G314" t="str">
            <v>-</v>
          </cell>
          <cell r="H314" t="str">
            <v>LOG</v>
          </cell>
          <cell r="I314" t="str">
            <v>L. DOCK</v>
          </cell>
          <cell r="J314" t="str">
            <v>ALL</v>
          </cell>
          <cell r="K314" t="str">
            <v>ALL</v>
          </cell>
          <cell r="L314" t="str">
            <v>L. DOCK</v>
          </cell>
          <cell r="M314" t="str">
            <v>L. DOCK</v>
          </cell>
          <cell r="N314" t="str">
            <v>LD</v>
          </cell>
          <cell r="O314" t="str">
            <v>A (NS)</v>
          </cell>
        </row>
        <row r="315">
          <cell r="A315">
            <v>5480</v>
          </cell>
          <cell r="B315" t="str">
            <v>TOYI'IN</v>
          </cell>
          <cell r="C315" t="str">
            <v>SAMI</v>
          </cell>
          <cell r="D315" t="str">
            <v>SPV UP</v>
          </cell>
          <cell r="E315">
            <v>38991</v>
          </cell>
          <cell r="F315" t="str">
            <v>-</v>
          </cell>
          <cell r="G315" t="str">
            <v>-</v>
          </cell>
          <cell r="H315" t="str">
            <v>LOG</v>
          </cell>
          <cell r="I315" t="str">
            <v>L. DOCK</v>
          </cell>
          <cell r="J315" t="str">
            <v>ALL</v>
          </cell>
          <cell r="K315" t="str">
            <v>ALL</v>
          </cell>
          <cell r="L315" t="str">
            <v>L. DOCK</v>
          </cell>
          <cell r="M315" t="str">
            <v>L. DOCK</v>
          </cell>
          <cell r="N315" t="str">
            <v>FPS SPV</v>
          </cell>
          <cell r="O315" t="str">
            <v>A (NS)</v>
          </cell>
        </row>
        <row r="316">
          <cell r="A316">
            <v>14092</v>
          </cell>
          <cell r="B316" t="str">
            <v>MUHAMAD EDY KRISTIONO</v>
          </cell>
          <cell r="C316" t="str">
            <v>SAMI</v>
          </cell>
          <cell r="D316" t="str">
            <v>OPT-364</v>
          </cell>
          <cell r="E316">
            <v>41306</v>
          </cell>
          <cell r="F316" t="str">
            <v>-</v>
          </cell>
          <cell r="G316" t="str">
            <v>-</v>
          </cell>
          <cell r="H316" t="str">
            <v>LOG</v>
          </cell>
          <cell r="I316" t="str">
            <v>L. DOCK</v>
          </cell>
          <cell r="J316" t="str">
            <v>ALL</v>
          </cell>
          <cell r="K316" t="str">
            <v>ALL</v>
          </cell>
          <cell r="L316" t="str">
            <v>L. DOCK</v>
          </cell>
          <cell r="M316" t="str">
            <v>L. DOCK</v>
          </cell>
          <cell r="N316" t="str">
            <v>LD</v>
          </cell>
          <cell r="O316" t="str">
            <v>A</v>
          </cell>
        </row>
        <row r="317">
          <cell r="A317">
            <v>21917</v>
          </cell>
          <cell r="B317" t="str">
            <v>FAJAR ALFARIS</v>
          </cell>
          <cell r="C317" t="str">
            <v>SAMI</v>
          </cell>
          <cell r="D317" t="str">
            <v>OPT-543</v>
          </cell>
          <cell r="E317">
            <v>43108</v>
          </cell>
          <cell r="F317">
            <v>43139</v>
          </cell>
          <cell r="G317">
            <v>43496</v>
          </cell>
          <cell r="H317" t="str">
            <v>LOG</v>
          </cell>
          <cell r="I317" t="str">
            <v>L. DOCK</v>
          </cell>
          <cell r="J317" t="str">
            <v>ALL</v>
          </cell>
          <cell r="K317" t="str">
            <v>ALL</v>
          </cell>
          <cell r="L317" t="str">
            <v>L. DOCK</v>
          </cell>
          <cell r="M317" t="str">
            <v>L. DOCK</v>
          </cell>
          <cell r="N317" t="str">
            <v>LD</v>
          </cell>
          <cell r="O317" t="str">
            <v>A (NS)</v>
          </cell>
        </row>
        <row r="318">
          <cell r="A318">
            <v>528</v>
          </cell>
          <cell r="B318" t="str">
            <v>SUGIYATI</v>
          </cell>
          <cell r="C318" t="str">
            <v>SAMI</v>
          </cell>
          <cell r="D318" t="str">
            <v>OPT-14</v>
          </cell>
          <cell r="E318">
            <v>37767</v>
          </cell>
          <cell r="F318" t="str">
            <v>-</v>
          </cell>
          <cell r="G318" t="str">
            <v>-</v>
          </cell>
          <cell r="H318" t="str">
            <v>LOG</v>
          </cell>
          <cell r="I318" t="str">
            <v>L. DOCK</v>
          </cell>
          <cell r="J318" t="str">
            <v>ALL</v>
          </cell>
          <cell r="K318" t="str">
            <v>ALL</v>
          </cell>
          <cell r="L318" t="str">
            <v>L. DOCK</v>
          </cell>
          <cell r="M318" t="str">
            <v>L. DOCK</v>
          </cell>
          <cell r="N318" t="str">
            <v>LD</v>
          </cell>
          <cell r="O318" t="str">
            <v>A (NS)</v>
          </cell>
        </row>
        <row r="319">
          <cell r="A319">
            <v>585</v>
          </cell>
          <cell r="B319" t="str">
            <v>ABDUL GHONI</v>
          </cell>
          <cell r="C319" t="str">
            <v>SAMI</v>
          </cell>
          <cell r="D319" t="str">
            <v>OPT-15</v>
          </cell>
          <cell r="E319">
            <v>37774</v>
          </cell>
          <cell r="F319" t="str">
            <v>-</v>
          </cell>
          <cell r="G319" t="str">
            <v>-</v>
          </cell>
          <cell r="H319" t="str">
            <v>LOG</v>
          </cell>
          <cell r="I319" t="str">
            <v>L. DOCK</v>
          </cell>
          <cell r="J319" t="str">
            <v>ALL</v>
          </cell>
          <cell r="K319" t="str">
            <v>ALL</v>
          </cell>
          <cell r="L319" t="str">
            <v>L. DOCK</v>
          </cell>
          <cell r="M319" t="str">
            <v>L. DOCK</v>
          </cell>
          <cell r="N319" t="str">
            <v>LD</v>
          </cell>
          <cell r="O319" t="str">
            <v>B</v>
          </cell>
        </row>
        <row r="320">
          <cell r="A320">
            <v>5537</v>
          </cell>
          <cell r="B320" t="str">
            <v>AGUS SANTOSO</v>
          </cell>
          <cell r="C320" t="str">
            <v>SAMI</v>
          </cell>
          <cell r="D320" t="str">
            <v>OPT-130</v>
          </cell>
          <cell r="E320">
            <v>39052</v>
          </cell>
          <cell r="F320" t="str">
            <v>-</v>
          </cell>
          <cell r="G320" t="str">
            <v>-</v>
          </cell>
          <cell r="H320" t="str">
            <v>LOG</v>
          </cell>
          <cell r="I320" t="str">
            <v>L. DOCK</v>
          </cell>
          <cell r="J320" t="str">
            <v>ALL</v>
          </cell>
          <cell r="K320" t="str">
            <v>ALL</v>
          </cell>
          <cell r="L320" t="str">
            <v>L. DOCK</v>
          </cell>
          <cell r="M320" t="str">
            <v>L. DOCK</v>
          </cell>
          <cell r="N320" t="str">
            <v>LD</v>
          </cell>
          <cell r="O320" t="str">
            <v>B</v>
          </cell>
        </row>
        <row r="321">
          <cell r="A321">
            <v>6177</v>
          </cell>
          <cell r="B321" t="str">
            <v>BUDI SULISTIYO</v>
          </cell>
          <cell r="C321" t="str">
            <v>SAMI</v>
          </cell>
          <cell r="D321" t="str">
            <v>OPT-141</v>
          </cell>
          <cell r="E321">
            <v>39173</v>
          </cell>
          <cell r="F321" t="str">
            <v>-</v>
          </cell>
          <cell r="G321" t="str">
            <v>-</v>
          </cell>
          <cell r="H321" t="str">
            <v>LOG</v>
          </cell>
          <cell r="I321" t="str">
            <v>L. DOCK</v>
          </cell>
          <cell r="J321" t="str">
            <v>ALL</v>
          </cell>
          <cell r="K321" t="str">
            <v>ALL</v>
          </cell>
          <cell r="L321" t="str">
            <v>L. DOCK</v>
          </cell>
          <cell r="M321" t="str">
            <v>GL</v>
          </cell>
          <cell r="N321" t="str">
            <v>LD</v>
          </cell>
          <cell r="O321" t="str">
            <v>B</v>
          </cell>
        </row>
        <row r="322">
          <cell r="A322">
            <v>21037</v>
          </cell>
          <cell r="B322" t="str">
            <v>AZHARI JUNIAR W</v>
          </cell>
          <cell r="C322" t="str">
            <v>SAMI</v>
          </cell>
          <cell r="D322" t="str">
            <v>OPT-519</v>
          </cell>
          <cell r="E322">
            <v>42863</v>
          </cell>
          <cell r="F322">
            <v>43344</v>
          </cell>
          <cell r="G322">
            <v>43708</v>
          </cell>
          <cell r="H322" t="str">
            <v>LOG</v>
          </cell>
          <cell r="I322" t="str">
            <v>L. DOCK</v>
          </cell>
          <cell r="J322" t="str">
            <v>ALL</v>
          </cell>
          <cell r="K322" t="str">
            <v>ALL</v>
          </cell>
          <cell r="L322" t="str">
            <v>L. DOCK</v>
          </cell>
          <cell r="M322" t="str">
            <v>L. DOCK</v>
          </cell>
          <cell r="N322" t="str">
            <v>LD</v>
          </cell>
          <cell r="O322" t="str">
            <v>B</v>
          </cell>
        </row>
        <row r="323">
          <cell r="A323">
            <v>21640</v>
          </cell>
          <cell r="B323" t="str">
            <v>ARIN DWI NUGROHO</v>
          </cell>
          <cell r="C323" t="str">
            <v>SAMI</v>
          </cell>
          <cell r="D323" t="str">
            <v>OPT-537</v>
          </cell>
          <cell r="E323">
            <v>43055</v>
          </cell>
          <cell r="F323">
            <v>43466</v>
          </cell>
          <cell r="G323">
            <v>43830</v>
          </cell>
          <cell r="H323" t="str">
            <v>LOG</v>
          </cell>
          <cell r="I323" t="str">
            <v>L. DOCK</v>
          </cell>
          <cell r="J323" t="str">
            <v>ALL</v>
          </cell>
          <cell r="K323" t="str">
            <v>ALL</v>
          </cell>
          <cell r="L323" t="str">
            <v>L. DOCK</v>
          </cell>
          <cell r="M323" t="str">
            <v>L. DOCK</v>
          </cell>
          <cell r="N323" t="str">
            <v>LD</v>
          </cell>
          <cell r="O323" t="str">
            <v>B</v>
          </cell>
        </row>
        <row r="324">
          <cell r="A324" t="str">
            <v>B02422</v>
          </cell>
          <cell r="B324" t="str">
            <v>PORWANTO</v>
          </cell>
          <cell r="C324" t="str">
            <v>SAMI</v>
          </cell>
          <cell r="D324" t="str">
            <v>BBF-105</v>
          </cell>
          <cell r="E324">
            <v>41778</v>
          </cell>
          <cell r="F324" t="str">
            <v>-</v>
          </cell>
          <cell r="G324" t="str">
            <v>-</v>
          </cell>
          <cell r="H324" t="str">
            <v>LOG</v>
          </cell>
          <cell r="I324" t="str">
            <v>L. DOCK</v>
          </cell>
          <cell r="J324" t="str">
            <v>ALL</v>
          </cell>
          <cell r="K324" t="str">
            <v>ALL</v>
          </cell>
          <cell r="L324" t="str">
            <v>L. DOCK</v>
          </cell>
          <cell r="M324" t="str">
            <v>L. DOCK</v>
          </cell>
          <cell r="N324" t="str">
            <v>LD</v>
          </cell>
          <cell r="O324" t="str">
            <v>B</v>
          </cell>
        </row>
        <row r="325">
          <cell r="A325">
            <v>22272</v>
          </cell>
          <cell r="B325" t="str">
            <v>WIGONDO SUWANDITO</v>
          </cell>
          <cell r="C325" t="str">
            <v>SAMI</v>
          </cell>
          <cell r="D325" t="str">
            <v>OPT-554</v>
          </cell>
          <cell r="E325">
            <v>43181</v>
          </cell>
          <cell r="F325">
            <v>43212</v>
          </cell>
          <cell r="G325">
            <v>43585</v>
          </cell>
          <cell r="H325" t="str">
            <v>LOG</v>
          </cell>
          <cell r="I325" t="str">
            <v>L. DOCK</v>
          </cell>
          <cell r="J325" t="str">
            <v>ALL</v>
          </cell>
          <cell r="K325" t="str">
            <v>ALL</v>
          </cell>
          <cell r="L325" t="str">
            <v>L. DOCK</v>
          </cell>
          <cell r="M325" t="str">
            <v>L. DOCK</v>
          </cell>
          <cell r="N325" t="str">
            <v>LD</v>
          </cell>
          <cell r="O325" t="str">
            <v>B</v>
          </cell>
        </row>
        <row r="326">
          <cell r="A326">
            <v>22362</v>
          </cell>
          <cell r="B326" t="str">
            <v>AHMAD NUROJI</v>
          </cell>
          <cell r="C326" t="str">
            <v>SAMI</v>
          </cell>
          <cell r="D326" t="str">
            <v>OPT-557</v>
          </cell>
          <cell r="E326">
            <v>43200</v>
          </cell>
          <cell r="F326">
            <v>43230</v>
          </cell>
          <cell r="G326">
            <v>43585</v>
          </cell>
          <cell r="H326" t="str">
            <v>LOG</v>
          </cell>
          <cell r="I326" t="str">
            <v>L. DOCK</v>
          </cell>
          <cell r="J326" t="str">
            <v>ALL</v>
          </cell>
          <cell r="K326" t="str">
            <v>ALL</v>
          </cell>
          <cell r="L326" t="str">
            <v>L. DOCK</v>
          </cell>
          <cell r="M326" t="str">
            <v>L. DOCK</v>
          </cell>
          <cell r="N326" t="str">
            <v>LD</v>
          </cell>
          <cell r="O326" t="str">
            <v>B</v>
          </cell>
        </row>
        <row r="327">
          <cell r="A327">
            <v>22721</v>
          </cell>
          <cell r="B327" t="str">
            <v>ACHMAD SOEBIRIN</v>
          </cell>
          <cell r="C327" t="str">
            <v>SAMI</v>
          </cell>
          <cell r="D327" t="str">
            <v>OPT-564</v>
          </cell>
          <cell r="E327">
            <v>43255</v>
          </cell>
          <cell r="F327">
            <v>43285</v>
          </cell>
          <cell r="G327">
            <v>43646</v>
          </cell>
          <cell r="H327" t="str">
            <v>LOG</v>
          </cell>
          <cell r="I327" t="str">
            <v>L. DOCK</v>
          </cell>
          <cell r="J327" t="str">
            <v>ALL</v>
          </cell>
          <cell r="K327" t="str">
            <v>ALL</v>
          </cell>
          <cell r="L327" t="str">
            <v>L. DOCK</v>
          </cell>
          <cell r="M327" t="str">
            <v>L. DOCK</v>
          </cell>
          <cell r="N327" t="str">
            <v>LD</v>
          </cell>
          <cell r="O327" t="str">
            <v>A (NS)</v>
          </cell>
        </row>
        <row r="328">
          <cell r="A328">
            <v>22747</v>
          </cell>
          <cell r="B328" t="str">
            <v>MUHAMAD IQBAL FUAD</v>
          </cell>
          <cell r="C328" t="str">
            <v>SAMI</v>
          </cell>
          <cell r="D328" t="str">
            <v>OPT-564</v>
          </cell>
          <cell r="E328">
            <v>43255</v>
          </cell>
          <cell r="F328">
            <v>43285</v>
          </cell>
          <cell r="G328">
            <v>43646</v>
          </cell>
          <cell r="H328" t="str">
            <v>LOG</v>
          </cell>
          <cell r="I328" t="str">
            <v>L. DOCK</v>
          </cell>
          <cell r="J328" t="str">
            <v>ALL</v>
          </cell>
          <cell r="K328" t="str">
            <v>ALL</v>
          </cell>
          <cell r="L328" t="str">
            <v>L. DOCK</v>
          </cell>
          <cell r="M328" t="str">
            <v>L. DOCK</v>
          </cell>
          <cell r="N328" t="str">
            <v>LD</v>
          </cell>
          <cell r="O328" t="str">
            <v>A (NS)</v>
          </cell>
        </row>
        <row r="329">
          <cell r="A329">
            <v>22736</v>
          </cell>
          <cell r="B329" t="str">
            <v>FAKHRI ANDRIAWAN</v>
          </cell>
          <cell r="C329" t="str">
            <v>SAMI</v>
          </cell>
          <cell r="D329" t="str">
            <v>OPT-564</v>
          </cell>
          <cell r="E329">
            <v>43255</v>
          </cell>
          <cell r="F329">
            <v>43285</v>
          </cell>
          <cell r="G329">
            <v>43646</v>
          </cell>
          <cell r="H329" t="str">
            <v>LOG</v>
          </cell>
          <cell r="I329" t="str">
            <v>L. DOCK</v>
          </cell>
          <cell r="J329" t="str">
            <v>ALL</v>
          </cell>
          <cell r="K329" t="str">
            <v>ALL</v>
          </cell>
          <cell r="L329" t="str">
            <v>L. DOCK</v>
          </cell>
          <cell r="M329" t="str">
            <v>L. DOCK</v>
          </cell>
          <cell r="N329" t="str">
            <v>LD</v>
          </cell>
          <cell r="O329" t="str">
            <v>A (NS)</v>
          </cell>
        </row>
        <row r="330">
          <cell r="A330">
            <v>22735</v>
          </cell>
          <cell r="B330" t="str">
            <v>FADILAH</v>
          </cell>
          <cell r="C330" t="str">
            <v>SAMI</v>
          </cell>
          <cell r="D330" t="str">
            <v>OPT-564</v>
          </cell>
          <cell r="E330">
            <v>43255</v>
          </cell>
          <cell r="F330">
            <v>43285</v>
          </cell>
          <cell r="G330">
            <v>43646</v>
          </cell>
          <cell r="H330" t="str">
            <v>LOG</v>
          </cell>
          <cell r="I330" t="str">
            <v>L. DOCK</v>
          </cell>
          <cell r="J330" t="str">
            <v>ALL</v>
          </cell>
          <cell r="K330" t="str">
            <v>ALL</v>
          </cell>
          <cell r="L330" t="str">
            <v>L. DOCK</v>
          </cell>
          <cell r="M330" t="str">
            <v>L. DOCK</v>
          </cell>
          <cell r="N330" t="str">
            <v>LD</v>
          </cell>
          <cell r="O330" t="str">
            <v>A (NS)</v>
          </cell>
        </row>
        <row r="331">
          <cell r="A331">
            <v>13586</v>
          </cell>
          <cell r="B331" t="str">
            <v>NANDRA ADITIA ANDRIAN</v>
          </cell>
          <cell r="C331" t="str">
            <v>SAMI</v>
          </cell>
          <cell r="D331" t="str">
            <v>ADM-57</v>
          </cell>
          <cell r="E331">
            <v>40962</v>
          </cell>
          <cell r="F331" t="str">
            <v>-</v>
          </cell>
          <cell r="G331" t="str">
            <v>-</v>
          </cell>
          <cell r="H331" t="str">
            <v>LOG</v>
          </cell>
          <cell r="I331" t="str">
            <v>LIS</v>
          </cell>
          <cell r="J331" t="str">
            <v>ALL</v>
          </cell>
          <cell r="K331" t="str">
            <v>ALL</v>
          </cell>
          <cell r="L331" t="str">
            <v>LOG. INVENTORY SYSTEM</v>
          </cell>
          <cell r="M331" t="str">
            <v>LIS</v>
          </cell>
          <cell r="N331" t="str">
            <v>LIS</v>
          </cell>
          <cell r="O331" t="str">
            <v>A</v>
          </cell>
        </row>
        <row r="332">
          <cell r="A332">
            <v>602</v>
          </cell>
          <cell r="B332" t="str">
            <v>ASYAIFU HENDRO MULYONO</v>
          </cell>
          <cell r="C332" t="str">
            <v>SAMI</v>
          </cell>
          <cell r="D332" t="str">
            <v>SPV UP</v>
          </cell>
          <cell r="E332">
            <v>37774</v>
          </cell>
          <cell r="F332" t="str">
            <v>-</v>
          </cell>
          <cell r="G332" t="str">
            <v>-</v>
          </cell>
          <cell r="H332" t="str">
            <v>LOG</v>
          </cell>
          <cell r="I332" t="str">
            <v>LIS</v>
          </cell>
          <cell r="J332" t="str">
            <v>ALL</v>
          </cell>
          <cell r="K332" t="str">
            <v>ALL</v>
          </cell>
          <cell r="L332" t="str">
            <v>LOG. INVENTORY SYSTEM</v>
          </cell>
          <cell r="M332" t="str">
            <v>SUPERVISOR</v>
          </cell>
          <cell r="N332" t="str">
            <v>FPS SPV</v>
          </cell>
          <cell r="O332" t="str">
            <v>A (NS)</v>
          </cell>
        </row>
        <row r="333">
          <cell r="A333">
            <v>1111</v>
          </cell>
          <cell r="B333" t="str">
            <v>NURHIDAYAT</v>
          </cell>
          <cell r="C333" t="str">
            <v>SAMI</v>
          </cell>
          <cell r="D333" t="str">
            <v>ADM-8</v>
          </cell>
          <cell r="E333">
            <v>37887</v>
          </cell>
          <cell r="F333" t="str">
            <v>-</v>
          </cell>
          <cell r="G333" t="str">
            <v>-</v>
          </cell>
          <cell r="H333" t="str">
            <v>LOG</v>
          </cell>
          <cell r="I333" t="str">
            <v>LIS</v>
          </cell>
          <cell r="J333" t="str">
            <v>ALL</v>
          </cell>
          <cell r="K333" t="str">
            <v>ALL</v>
          </cell>
          <cell r="L333" t="str">
            <v>LOG. INVENTORY SYSTEM</v>
          </cell>
          <cell r="M333" t="str">
            <v>LEADER</v>
          </cell>
          <cell r="N333" t="str">
            <v>FPS LL</v>
          </cell>
          <cell r="O333" t="str">
            <v>A (NS)</v>
          </cell>
        </row>
        <row r="334">
          <cell r="A334">
            <v>13113</v>
          </cell>
          <cell r="B334" t="str">
            <v>AGUNG WIRANTO</v>
          </cell>
          <cell r="C334" t="str">
            <v>SAMI</v>
          </cell>
          <cell r="D334" t="str">
            <v>ES-34</v>
          </cell>
          <cell r="E334">
            <v>40868</v>
          </cell>
          <cell r="F334" t="str">
            <v>-</v>
          </cell>
          <cell r="G334" t="str">
            <v>-</v>
          </cell>
          <cell r="H334" t="str">
            <v>LOG</v>
          </cell>
          <cell r="I334" t="str">
            <v>MPC</v>
          </cell>
          <cell r="J334" t="str">
            <v>ALL</v>
          </cell>
          <cell r="K334" t="str">
            <v>ALL</v>
          </cell>
          <cell r="L334" t="str">
            <v>MPC</v>
          </cell>
          <cell r="M334" t="str">
            <v>LEADER (SAMI)</v>
          </cell>
          <cell r="N334" t="str">
            <v>FPS LL</v>
          </cell>
          <cell r="O334" t="str">
            <v>A</v>
          </cell>
        </row>
        <row r="335">
          <cell r="A335">
            <v>928</v>
          </cell>
          <cell r="B335" t="str">
            <v>SITI NUR KUMALASARI</v>
          </cell>
          <cell r="C335" t="str">
            <v>SAMI</v>
          </cell>
          <cell r="D335" t="str">
            <v>SPV UP</v>
          </cell>
          <cell r="E335">
            <v>37858</v>
          </cell>
          <cell r="F335" t="str">
            <v>-</v>
          </cell>
          <cell r="G335" t="str">
            <v>-</v>
          </cell>
          <cell r="H335" t="str">
            <v>LOG</v>
          </cell>
          <cell r="I335" t="str">
            <v>MPC</v>
          </cell>
          <cell r="J335" t="str">
            <v>ALL</v>
          </cell>
          <cell r="K335" t="str">
            <v>ALL</v>
          </cell>
          <cell r="L335" t="str">
            <v>MPC</v>
          </cell>
          <cell r="M335" t="str">
            <v>SUPERVISOR</v>
          </cell>
          <cell r="N335" t="str">
            <v>FPS SPV</v>
          </cell>
          <cell r="O335" t="str">
            <v>A (NS)</v>
          </cell>
        </row>
        <row r="336">
          <cell r="A336">
            <v>3638</v>
          </cell>
          <cell r="B336" t="str">
            <v>ADVIN WIDILISTYANINGSIH</v>
          </cell>
          <cell r="C336" t="str">
            <v>SAMI</v>
          </cell>
          <cell r="D336" t="str">
            <v>SPV UP</v>
          </cell>
          <cell r="E336">
            <v>38285</v>
          </cell>
          <cell r="F336" t="str">
            <v>-</v>
          </cell>
          <cell r="G336" t="str">
            <v>-</v>
          </cell>
          <cell r="H336" t="str">
            <v>LOG</v>
          </cell>
          <cell r="I336" t="str">
            <v>MPC</v>
          </cell>
          <cell r="J336" t="str">
            <v>ALL</v>
          </cell>
          <cell r="K336" t="str">
            <v>ALL</v>
          </cell>
          <cell r="L336" t="str">
            <v>MPC</v>
          </cell>
          <cell r="M336" t="str">
            <v>SUPERVISOR</v>
          </cell>
          <cell r="N336" t="str">
            <v>FPS SPV</v>
          </cell>
          <cell r="O336" t="str">
            <v>A (NS)</v>
          </cell>
        </row>
        <row r="337">
          <cell r="A337">
            <v>5477</v>
          </cell>
          <cell r="B337" t="str">
            <v>SITI KHOIRIYAH</v>
          </cell>
          <cell r="C337" t="str">
            <v>SAMI</v>
          </cell>
          <cell r="D337" t="str">
            <v>ADM-28</v>
          </cell>
          <cell r="E337">
            <v>38991</v>
          </cell>
          <cell r="F337" t="str">
            <v>-</v>
          </cell>
          <cell r="G337" t="str">
            <v>-</v>
          </cell>
          <cell r="H337" t="str">
            <v>LOG</v>
          </cell>
          <cell r="I337" t="str">
            <v>MPC</v>
          </cell>
          <cell r="J337" t="str">
            <v>ALL</v>
          </cell>
          <cell r="K337" t="str">
            <v>ALL</v>
          </cell>
          <cell r="L337" t="str">
            <v>MPC</v>
          </cell>
          <cell r="M337" t="str">
            <v>DATA ORDERING</v>
          </cell>
          <cell r="N337" t="str">
            <v>FPS LL</v>
          </cell>
          <cell r="O337" t="str">
            <v>A (NS)</v>
          </cell>
        </row>
        <row r="338">
          <cell r="A338">
            <v>5527</v>
          </cell>
          <cell r="B338" t="str">
            <v>AMALIA ULFA</v>
          </cell>
          <cell r="C338" t="str">
            <v>SAMI</v>
          </cell>
          <cell r="D338" t="str">
            <v>ADM-29</v>
          </cell>
          <cell r="E338">
            <v>39022</v>
          </cell>
          <cell r="F338" t="str">
            <v>-</v>
          </cell>
          <cell r="G338" t="str">
            <v>-</v>
          </cell>
          <cell r="H338" t="str">
            <v>LOG</v>
          </cell>
          <cell r="I338" t="str">
            <v>MPC</v>
          </cell>
          <cell r="J338" t="str">
            <v>ALL</v>
          </cell>
          <cell r="K338" t="str">
            <v>ALL</v>
          </cell>
          <cell r="L338" t="str">
            <v>MPC</v>
          </cell>
          <cell r="M338" t="str">
            <v>DATA ORDERING</v>
          </cell>
          <cell r="N338" t="str">
            <v>IC</v>
          </cell>
          <cell r="O338" t="str">
            <v>A (NS)</v>
          </cell>
        </row>
        <row r="339">
          <cell r="A339">
            <v>5528</v>
          </cell>
          <cell r="B339" t="str">
            <v>NUNIK MANDARWATI</v>
          </cell>
          <cell r="C339" t="str">
            <v>SAMI</v>
          </cell>
          <cell r="D339" t="str">
            <v>ADM-29</v>
          </cell>
          <cell r="E339">
            <v>39022</v>
          </cell>
          <cell r="F339" t="str">
            <v>-</v>
          </cell>
          <cell r="G339" t="str">
            <v>-</v>
          </cell>
          <cell r="H339" t="str">
            <v>LOG</v>
          </cell>
          <cell r="I339" t="str">
            <v>MPC</v>
          </cell>
          <cell r="J339" t="str">
            <v>ALL</v>
          </cell>
          <cell r="K339" t="str">
            <v>ALL</v>
          </cell>
          <cell r="L339" t="str">
            <v>MPC</v>
          </cell>
          <cell r="M339" t="str">
            <v>DATA ORDERING</v>
          </cell>
          <cell r="N339" t="str">
            <v>IC</v>
          </cell>
          <cell r="O339" t="str">
            <v>A (NS)</v>
          </cell>
        </row>
        <row r="340">
          <cell r="A340">
            <v>5974</v>
          </cell>
          <cell r="B340" t="str">
            <v>LINA HANAFIYAH</v>
          </cell>
          <cell r="C340" t="str">
            <v>SAMI</v>
          </cell>
          <cell r="D340" t="str">
            <v>ADM-31</v>
          </cell>
          <cell r="E340">
            <v>39129</v>
          </cell>
          <cell r="F340" t="str">
            <v>-</v>
          </cell>
          <cell r="G340" t="str">
            <v>-</v>
          </cell>
          <cell r="H340" t="str">
            <v>LOG</v>
          </cell>
          <cell r="I340" t="str">
            <v>MPC</v>
          </cell>
          <cell r="J340" t="str">
            <v>ALL</v>
          </cell>
          <cell r="K340" t="str">
            <v>ALL</v>
          </cell>
          <cell r="L340" t="str">
            <v>MPC</v>
          </cell>
          <cell r="M340" t="str">
            <v>DATA ORDERING</v>
          </cell>
          <cell r="N340" t="str">
            <v>IC</v>
          </cell>
          <cell r="O340" t="str">
            <v>A (NS)</v>
          </cell>
        </row>
        <row r="341">
          <cell r="A341">
            <v>6054</v>
          </cell>
          <cell r="B341" t="str">
            <v>FACHRURODZI</v>
          </cell>
          <cell r="C341" t="str">
            <v>SAMI</v>
          </cell>
          <cell r="D341" t="str">
            <v>OPT-139</v>
          </cell>
          <cell r="E341">
            <v>39142</v>
          </cell>
          <cell r="F341" t="str">
            <v>-</v>
          </cell>
          <cell r="G341" t="str">
            <v>-</v>
          </cell>
          <cell r="H341" t="str">
            <v>LOG</v>
          </cell>
          <cell r="I341" t="str">
            <v>MPC</v>
          </cell>
          <cell r="J341" t="str">
            <v>ALL</v>
          </cell>
          <cell r="K341" t="str">
            <v>ALL</v>
          </cell>
          <cell r="L341" t="str">
            <v>MPC</v>
          </cell>
          <cell r="M341" t="str">
            <v>GL MPC</v>
          </cell>
          <cell r="N341" t="str">
            <v>IC</v>
          </cell>
          <cell r="O341" t="str">
            <v>A (NS)</v>
          </cell>
        </row>
        <row r="342">
          <cell r="A342">
            <v>6200</v>
          </cell>
          <cell r="B342" t="str">
            <v>SITI SOFIATUN</v>
          </cell>
          <cell r="C342" t="str">
            <v>SAMI</v>
          </cell>
          <cell r="D342" t="str">
            <v>ADM-33</v>
          </cell>
          <cell r="E342">
            <v>39173</v>
          </cell>
          <cell r="F342" t="str">
            <v>-</v>
          </cell>
          <cell r="G342" t="str">
            <v>-</v>
          </cell>
          <cell r="H342" t="str">
            <v>LOG</v>
          </cell>
          <cell r="I342" t="str">
            <v>MPC</v>
          </cell>
          <cell r="J342" t="str">
            <v>ALL</v>
          </cell>
          <cell r="K342" t="str">
            <v>ALL</v>
          </cell>
          <cell r="L342" t="str">
            <v>MPC</v>
          </cell>
          <cell r="M342" t="str">
            <v>ADM</v>
          </cell>
          <cell r="N342" t="str">
            <v>IC</v>
          </cell>
          <cell r="O342" t="str">
            <v>A (NS)</v>
          </cell>
        </row>
        <row r="343">
          <cell r="A343">
            <v>6201</v>
          </cell>
          <cell r="B343" t="str">
            <v>WIWIK UTAMI</v>
          </cell>
          <cell r="C343" t="str">
            <v>SAMI</v>
          </cell>
          <cell r="D343" t="str">
            <v>ADM-33</v>
          </cell>
          <cell r="E343">
            <v>39173</v>
          </cell>
          <cell r="F343" t="str">
            <v>-</v>
          </cell>
          <cell r="G343" t="str">
            <v>-</v>
          </cell>
          <cell r="H343" t="str">
            <v>LOG</v>
          </cell>
          <cell r="I343" t="str">
            <v>MPC</v>
          </cell>
          <cell r="J343" t="str">
            <v>ALL</v>
          </cell>
          <cell r="K343" t="str">
            <v>ALL</v>
          </cell>
          <cell r="L343" t="str">
            <v>MPC</v>
          </cell>
          <cell r="M343" t="str">
            <v>ITEM MASTER</v>
          </cell>
          <cell r="N343" t="str">
            <v>IC</v>
          </cell>
          <cell r="O343" t="str">
            <v>A (NS)</v>
          </cell>
        </row>
        <row r="344">
          <cell r="A344">
            <v>12187</v>
          </cell>
          <cell r="B344" t="str">
            <v>KIKI TRI NUR CAHYO L.</v>
          </cell>
          <cell r="C344" t="str">
            <v>SAMI</v>
          </cell>
          <cell r="D344" t="str">
            <v>OPT-315</v>
          </cell>
          <cell r="E344">
            <v>40802</v>
          </cell>
          <cell r="F344" t="str">
            <v>-</v>
          </cell>
          <cell r="G344" t="str">
            <v>-</v>
          </cell>
          <cell r="H344" t="str">
            <v>LOG</v>
          </cell>
          <cell r="I344" t="str">
            <v>MPC</v>
          </cell>
          <cell r="J344" t="str">
            <v>ALL</v>
          </cell>
          <cell r="K344" t="str">
            <v>ALL</v>
          </cell>
          <cell r="L344" t="str">
            <v>MPC</v>
          </cell>
          <cell r="M344" t="str">
            <v>ADM</v>
          </cell>
          <cell r="N344" t="str">
            <v>IC</v>
          </cell>
          <cell r="O344" t="str">
            <v>A (NS)</v>
          </cell>
        </row>
        <row r="345">
          <cell r="A345">
            <v>9191</v>
          </cell>
          <cell r="B345" t="str">
            <v>FAJAR PANCA SULISTIANI</v>
          </cell>
          <cell r="C345" t="str">
            <v>SAMI</v>
          </cell>
          <cell r="D345" t="str">
            <v>OPT-216</v>
          </cell>
          <cell r="E345">
            <v>40008</v>
          </cell>
          <cell r="F345" t="str">
            <v>-</v>
          </cell>
          <cell r="G345" t="str">
            <v>-</v>
          </cell>
          <cell r="H345" t="str">
            <v>LOG</v>
          </cell>
          <cell r="I345" t="str">
            <v>MPC</v>
          </cell>
          <cell r="J345" t="str">
            <v>ALL</v>
          </cell>
          <cell r="K345" t="str">
            <v>ALL</v>
          </cell>
          <cell r="L345" t="str">
            <v>MPC</v>
          </cell>
          <cell r="M345" t="str">
            <v>LEADER</v>
          </cell>
          <cell r="N345" t="str">
            <v>IC</v>
          </cell>
          <cell r="O345" t="str">
            <v>A (NS)</v>
          </cell>
        </row>
        <row r="346">
          <cell r="A346">
            <v>119</v>
          </cell>
          <cell r="B346" t="str">
            <v>SRI SURAMI</v>
          </cell>
          <cell r="C346" t="str">
            <v>SAMI</v>
          </cell>
          <cell r="D346" t="str">
            <v>OPT-3</v>
          </cell>
          <cell r="E346">
            <v>37627</v>
          </cell>
          <cell r="F346" t="str">
            <v>-</v>
          </cell>
          <cell r="G346" t="str">
            <v>-</v>
          </cell>
          <cell r="H346" t="str">
            <v>LOG</v>
          </cell>
          <cell r="I346" t="str">
            <v>PPC</v>
          </cell>
          <cell r="J346" t="str">
            <v>ALL</v>
          </cell>
          <cell r="K346" t="str">
            <v>ALL</v>
          </cell>
          <cell r="L346" t="str">
            <v>PPC</v>
          </cell>
          <cell r="M346" t="str">
            <v>ADM</v>
          </cell>
          <cell r="N346" t="str">
            <v>PPC</v>
          </cell>
          <cell r="O346" t="str">
            <v>A (NS)</v>
          </cell>
        </row>
        <row r="347">
          <cell r="A347">
            <v>702</v>
          </cell>
          <cell r="B347" t="str">
            <v>ARI KRISTANTO</v>
          </cell>
          <cell r="C347" t="str">
            <v>SAMI</v>
          </cell>
          <cell r="D347" t="str">
            <v>SPV UP</v>
          </cell>
          <cell r="E347">
            <v>37802</v>
          </cell>
          <cell r="F347" t="str">
            <v>-</v>
          </cell>
          <cell r="G347" t="str">
            <v>-</v>
          </cell>
          <cell r="H347" t="str">
            <v>LOG</v>
          </cell>
          <cell r="I347" t="str">
            <v>PPC</v>
          </cell>
          <cell r="J347" t="str">
            <v>ALL</v>
          </cell>
          <cell r="K347" t="str">
            <v>ALL</v>
          </cell>
          <cell r="L347" t="str">
            <v>PPC</v>
          </cell>
          <cell r="M347" t="str">
            <v>SUPERVISOR</v>
          </cell>
          <cell r="N347" t="str">
            <v>FPS SPV</v>
          </cell>
          <cell r="O347" t="str">
            <v>A (NS)</v>
          </cell>
        </row>
        <row r="348">
          <cell r="A348">
            <v>4960</v>
          </cell>
          <cell r="B348" t="str">
            <v>WAHYUDI</v>
          </cell>
          <cell r="C348" t="str">
            <v>SAMI</v>
          </cell>
          <cell r="D348" t="str">
            <v>SPV UP</v>
          </cell>
          <cell r="E348">
            <v>38936</v>
          </cell>
          <cell r="F348" t="str">
            <v>-</v>
          </cell>
          <cell r="G348" t="str">
            <v>-</v>
          </cell>
          <cell r="H348" t="str">
            <v>LOG</v>
          </cell>
          <cell r="I348" t="str">
            <v>PPC</v>
          </cell>
          <cell r="J348" t="str">
            <v>ALL</v>
          </cell>
          <cell r="K348" t="str">
            <v>ALL</v>
          </cell>
          <cell r="L348" t="str">
            <v>PPC</v>
          </cell>
          <cell r="M348" t="str">
            <v>COORD. SUPERVISOR</v>
          </cell>
          <cell r="N348" t="str">
            <v>FPS SPV</v>
          </cell>
          <cell r="O348" t="str">
            <v>A (NS)</v>
          </cell>
        </row>
        <row r="349">
          <cell r="A349">
            <v>6099</v>
          </cell>
          <cell r="B349" t="str">
            <v>SUTIYANI</v>
          </cell>
          <cell r="C349" t="str">
            <v>SAMI</v>
          </cell>
          <cell r="D349" t="str">
            <v>OPT-139</v>
          </cell>
          <cell r="E349">
            <v>39142</v>
          </cell>
          <cell r="F349" t="str">
            <v>-</v>
          </cell>
          <cell r="G349" t="str">
            <v>-</v>
          </cell>
          <cell r="H349" t="str">
            <v>LOG</v>
          </cell>
          <cell r="I349" t="str">
            <v>PPC</v>
          </cell>
          <cell r="J349" t="str">
            <v>ALL</v>
          </cell>
          <cell r="K349" t="str">
            <v>ALL</v>
          </cell>
          <cell r="L349" t="str">
            <v>PPC</v>
          </cell>
          <cell r="M349" t="str">
            <v>ADM</v>
          </cell>
          <cell r="N349" t="str">
            <v>PPC</v>
          </cell>
          <cell r="O349" t="str">
            <v>A (NS)</v>
          </cell>
        </row>
        <row r="350">
          <cell r="A350">
            <v>11291</v>
          </cell>
          <cell r="B350" t="str">
            <v>M. FATIH AL ICHSAN</v>
          </cell>
          <cell r="C350" t="str">
            <v>SAMI</v>
          </cell>
          <cell r="D350" t="str">
            <v>ADM-47</v>
          </cell>
          <cell r="E350">
            <v>40631</v>
          </cell>
          <cell r="F350" t="str">
            <v>-</v>
          </cell>
          <cell r="G350" t="str">
            <v>-</v>
          </cell>
          <cell r="H350" t="str">
            <v>LOG</v>
          </cell>
          <cell r="I350" t="str">
            <v>PPC</v>
          </cell>
          <cell r="J350" t="str">
            <v>ALL</v>
          </cell>
          <cell r="K350" t="str">
            <v>ALL</v>
          </cell>
          <cell r="L350" t="str">
            <v>PPC</v>
          </cell>
          <cell r="M350" t="str">
            <v>LEADER</v>
          </cell>
          <cell r="N350" t="str">
            <v>FPS LL</v>
          </cell>
          <cell r="O350" t="str">
            <v>A (NS)</v>
          </cell>
        </row>
        <row r="351">
          <cell r="A351">
            <v>13059</v>
          </cell>
          <cell r="B351" t="str">
            <v>AHMAD MAHBUB</v>
          </cell>
          <cell r="C351" t="str">
            <v>SAMI</v>
          </cell>
          <cell r="D351" t="str">
            <v>OPT-325</v>
          </cell>
          <cell r="E351">
            <v>40847</v>
          </cell>
          <cell r="F351" t="str">
            <v>-</v>
          </cell>
          <cell r="G351" t="str">
            <v>-</v>
          </cell>
          <cell r="H351" t="str">
            <v>LOG</v>
          </cell>
          <cell r="I351" t="str">
            <v>PPC</v>
          </cell>
          <cell r="J351" t="str">
            <v>ALL</v>
          </cell>
          <cell r="K351" t="str">
            <v>ALL</v>
          </cell>
          <cell r="L351" t="str">
            <v>PPC</v>
          </cell>
          <cell r="M351" t="str">
            <v>LEADER</v>
          </cell>
          <cell r="N351" t="str">
            <v>FPS LL</v>
          </cell>
          <cell r="O351" t="str">
            <v>A (NS)</v>
          </cell>
        </row>
        <row r="352">
          <cell r="A352">
            <v>13060</v>
          </cell>
          <cell r="B352" t="str">
            <v>ANDRIANA WIDYASTUTI</v>
          </cell>
          <cell r="C352" t="str">
            <v>SAMI</v>
          </cell>
          <cell r="D352" t="str">
            <v>ES-32</v>
          </cell>
          <cell r="E352">
            <v>40848</v>
          </cell>
          <cell r="F352" t="str">
            <v>-</v>
          </cell>
          <cell r="G352" t="str">
            <v>-</v>
          </cell>
          <cell r="H352" t="str">
            <v>LOG</v>
          </cell>
          <cell r="I352" t="str">
            <v>PPC</v>
          </cell>
          <cell r="J352" t="str">
            <v>ALL</v>
          </cell>
          <cell r="K352" t="str">
            <v>ALL</v>
          </cell>
          <cell r="L352" t="str">
            <v>PPC</v>
          </cell>
          <cell r="M352" t="str">
            <v>LEADER</v>
          </cell>
          <cell r="N352" t="str">
            <v>FPS LL</v>
          </cell>
          <cell r="O352" t="str">
            <v>A (NS)</v>
          </cell>
        </row>
        <row r="353">
          <cell r="A353">
            <v>13421</v>
          </cell>
          <cell r="B353" t="str">
            <v>AHMAD MAULANA NUR H.</v>
          </cell>
          <cell r="C353" t="str">
            <v>SAMI</v>
          </cell>
          <cell r="D353" t="str">
            <v>TKN-64</v>
          </cell>
          <cell r="E353">
            <v>40932</v>
          </cell>
          <cell r="F353" t="str">
            <v>-</v>
          </cell>
          <cell r="G353" t="str">
            <v>-</v>
          </cell>
          <cell r="H353" t="str">
            <v>LOG</v>
          </cell>
          <cell r="I353" t="str">
            <v>PPC</v>
          </cell>
          <cell r="J353" t="str">
            <v>ALL</v>
          </cell>
          <cell r="K353" t="str">
            <v>ALL</v>
          </cell>
          <cell r="L353" t="str">
            <v>PPC</v>
          </cell>
          <cell r="M353" t="str">
            <v>LEADER</v>
          </cell>
          <cell r="N353" t="str">
            <v>PPC</v>
          </cell>
          <cell r="O353" t="str">
            <v>A (NS)</v>
          </cell>
        </row>
        <row r="354">
          <cell r="A354">
            <v>17880</v>
          </cell>
          <cell r="B354" t="str">
            <v>TAUFIQ ZEIN AMRULLAH</v>
          </cell>
          <cell r="C354" t="str">
            <v>SAMI</v>
          </cell>
          <cell r="D354" t="str">
            <v>SPV UP</v>
          </cell>
          <cell r="E354">
            <v>41822</v>
          </cell>
          <cell r="F354" t="str">
            <v>-</v>
          </cell>
          <cell r="G354" t="str">
            <v>-</v>
          </cell>
          <cell r="H354" t="str">
            <v>LOG</v>
          </cell>
          <cell r="I354" t="str">
            <v>PPC</v>
          </cell>
          <cell r="J354" t="str">
            <v>ALL</v>
          </cell>
          <cell r="K354" t="str">
            <v>ALL</v>
          </cell>
          <cell r="L354" t="str">
            <v>PPC</v>
          </cell>
          <cell r="M354" t="str">
            <v>SUPERVISOR</v>
          </cell>
          <cell r="N354" t="str">
            <v>FPS SPV</v>
          </cell>
          <cell r="O354" t="str">
            <v>A (NS)</v>
          </cell>
        </row>
        <row r="355">
          <cell r="A355">
            <v>19447</v>
          </cell>
          <cell r="B355" t="str">
            <v>GITA SAVITRI</v>
          </cell>
          <cell r="C355" t="str">
            <v>SAMI</v>
          </cell>
          <cell r="D355" t="str">
            <v>ES-68</v>
          </cell>
          <cell r="E355">
            <v>42324</v>
          </cell>
          <cell r="F355" t="str">
            <v>-</v>
          </cell>
          <cell r="G355" t="str">
            <v>-</v>
          </cell>
          <cell r="H355" t="str">
            <v>LOG</v>
          </cell>
          <cell r="I355" t="str">
            <v>PPC</v>
          </cell>
          <cell r="J355" t="str">
            <v>ALL</v>
          </cell>
          <cell r="K355" t="str">
            <v>ALL</v>
          </cell>
          <cell r="L355" t="str">
            <v>PPC</v>
          </cell>
          <cell r="M355" t="str">
            <v>LEADER</v>
          </cell>
          <cell r="N355" t="str">
            <v>FPS LL</v>
          </cell>
          <cell r="O355" t="str">
            <v>A (NS)</v>
          </cell>
        </row>
        <row r="356">
          <cell r="A356" t="str">
            <v>B01882</v>
          </cell>
          <cell r="B356" t="str">
            <v>M. NUR FATKHAN</v>
          </cell>
          <cell r="C356" t="str">
            <v>SAMI</v>
          </cell>
          <cell r="D356" t="str">
            <v>BBF-070</v>
          </cell>
          <cell r="E356">
            <v>41449</v>
          </cell>
          <cell r="F356" t="str">
            <v>-</v>
          </cell>
          <cell r="G356" t="str">
            <v>-</v>
          </cell>
          <cell r="H356" t="str">
            <v>LOG</v>
          </cell>
          <cell r="I356" t="str">
            <v>PPC</v>
          </cell>
          <cell r="J356" t="str">
            <v>ALL</v>
          </cell>
          <cell r="K356" t="str">
            <v>ALL</v>
          </cell>
          <cell r="L356" t="str">
            <v>PPC</v>
          </cell>
          <cell r="M356" t="str">
            <v>GL PPC</v>
          </cell>
          <cell r="N356" t="str">
            <v>PPC</v>
          </cell>
          <cell r="O356" t="str">
            <v>A (NS)</v>
          </cell>
        </row>
        <row r="357">
          <cell r="A357">
            <v>509</v>
          </cell>
          <cell r="B357" t="str">
            <v>SUYOKO</v>
          </cell>
          <cell r="C357" t="str">
            <v>SAMI</v>
          </cell>
          <cell r="D357" t="str">
            <v>OPT-13</v>
          </cell>
          <cell r="E357">
            <v>37760</v>
          </cell>
          <cell r="F357" t="str">
            <v>-</v>
          </cell>
          <cell r="G357" t="str">
            <v>-</v>
          </cell>
          <cell r="H357" t="str">
            <v>LOG</v>
          </cell>
          <cell r="I357" t="str">
            <v>WHS</v>
          </cell>
          <cell r="J357" t="str">
            <v>ALL</v>
          </cell>
          <cell r="K357" t="str">
            <v>ALL</v>
          </cell>
          <cell r="L357" t="str">
            <v>WHS</v>
          </cell>
          <cell r="M357" t="str">
            <v>UNLOADING</v>
          </cell>
          <cell r="N357" t="str">
            <v>WHS SUPPLY</v>
          </cell>
          <cell r="O357" t="str">
            <v>A</v>
          </cell>
        </row>
        <row r="358">
          <cell r="A358">
            <v>5227</v>
          </cell>
          <cell r="B358" t="str">
            <v>DINA MARYANI</v>
          </cell>
          <cell r="C358" t="str">
            <v>SAMI</v>
          </cell>
          <cell r="D358" t="str">
            <v>OPT-125</v>
          </cell>
          <cell r="E358">
            <v>38961</v>
          </cell>
          <cell r="F358" t="str">
            <v>-</v>
          </cell>
          <cell r="G358" t="str">
            <v>-</v>
          </cell>
          <cell r="H358" t="str">
            <v>LOG</v>
          </cell>
          <cell r="I358" t="str">
            <v>WHS</v>
          </cell>
          <cell r="J358" t="str">
            <v>ALL</v>
          </cell>
          <cell r="K358" t="str">
            <v>ALL</v>
          </cell>
          <cell r="L358" t="str">
            <v>WHS</v>
          </cell>
          <cell r="M358" t="str">
            <v>UNLOADING</v>
          </cell>
          <cell r="N358" t="str">
            <v>WHS IN</v>
          </cell>
          <cell r="O358" t="str">
            <v>A</v>
          </cell>
        </row>
        <row r="359">
          <cell r="A359">
            <v>5431</v>
          </cell>
          <cell r="B359" t="str">
            <v>MOCHAMAT SOBIRIN</v>
          </cell>
          <cell r="C359" t="str">
            <v>SAMI</v>
          </cell>
          <cell r="D359" t="str">
            <v>OPT-128</v>
          </cell>
          <cell r="E359">
            <v>38991</v>
          </cell>
          <cell r="F359" t="str">
            <v>-</v>
          </cell>
          <cell r="G359" t="str">
            <v>-</v>
          </cell>
          <cell r="H359" t="str">
            <v>LOG</v>
          </cell>
          <cell r="I359" t="str">
            <v>WHS</v>
          </cell>
          <cell r="J359" t="str">
            <v>ALL</v>
          </cell>
          <cell r="K359" t="str">
            <v>ALL</v>
          </cell>
          <cell r="L359" t="str">
            <v>WHS</v>
          </cell>
          <cell r="M359" t="str">
            <v>LEADER (AI)</v>
          </cell>
          <cell r="N359" t="str">
            <v>FPS LL</v>
          </cell>
          <cell r="O359" t="str">
            <v>A</v>
          </cell>
        </row>
        <row r="360">
          <cell r="A360">
            <v>5459</v>
          </cell>
          <cell r="B360" t="str">
            <v>SUPRIYANTO</v>
          </cell>
          <cell r="C360" t="str">
            <v>SAMI</v>
          </cell>
          <cell r="D360" t="str">
            <v>OPT-128</v>
          </cell>
          <cell r="E360">
            <v>38991</v>
          </cell>
          <cell r="F360" t="str">
            <v>-</v>
          </cell>
          <cell r="G360" t="str">
            <v>-</v>
          </cell>
          <cell r="H360" t="str">
            <v>LOG</v>
          </cell>
          <cell r="I360" t="str">
            <v>WHS</v>
          </cell>
          <cell r="J360" t="str">
            <v>ALL</v>
          </cell>
          <cell r="K360" t="str">
            <v>ALL</v>
          </cell>
          <cell r="L360" t="str">
            <v>WHS</v>
          </cell>
          <cell r="M360" t="str">
            <v>-</v>
          </cell>
          <cell r="N360" t="str">
            <v>WHS SUPPLY</v>
          </cell>
          <cell r="O360" t="str">
            <v>A</v>
          </cell>
        </row>
        <row r="361">
          <cell r="A361">
            <v>5743</v>
          </cell>
          <cell r="B361" t="str">
            <v>SUTIYONO</v>
          </cell>
          <cell r="C361" t="str">
            <v>SAMI</v>
          </cell>
          <cell r="D361" t="str">
            <v>OPT-134</v>
          </cell>
          <cell r="E361">
            <v>39098</v>
          </cell>
          <cell r="F361" t="str">
            <v>-</v>
          </cell>
          <cell r="G361" t="str">
            <v>-</v>
          </cell>
          <cell r="H361" t="str">
            <v>LOG</v>
          </cell>
          <cell r="I361" t="str">
            <v>WHS</v>
          </cell>
          <cell r="J361" t="str">
            <v>ALL</v>
          </cell>
          <cell r="K361" t="str">
            <v>ALL</v>
          </cell>
          <cell r="L361" t="str">
            <v>WHS</v>
          </cell>
          <cell r="M361" t="str">
            <v>ADM C/M AS SAMI</v>
          </cell>
          <cell r="N361" t="str">
            <v>WHS IN</v>
          </cell>
          <cell r="O361" t="str">
            <v>A</v>
          </cell>
        </row>
        <row r="362">
          <cell r="A362">
            <v>6072</v>
          </cell>
          <cell r="B362" t="str">
            <v>NUR FATONI</v>
          </cell>
          <cell r="C362" t="str">
            <v>SAMI</v>
          </cell>
          <cell r="D362" t="str">
            <v>OPT-139</v>
          </cell>
          <cell r="E362">
            <v>39142</v>
          </cell>
          <cell r="F362" t="str">
            <v>-</v>
          </cell>
          <cell r="G362" t="str">
            <v>-</v>
          </cell>
          <cell r="H362" t="str">
            <v>LOG</v>
          </cell>
          <cell r="I362" t="str">
            <v>WHS</v>
          </cell>
          <cell r="J362" t="str">
            <v>ALL</v>
          </cell>
          <cell r="K362" t="str">
            <v>ALL</v>
          </cell>
          <cell r="L362" t="str">
            <v>WHS</v>
          </cell>
          <cell r="M362" t="str">
            <v>GL WHS</v>
          </cell>
          <cell r="N362" t="str">
            <v>WHS SUPPLY</v>
          </cell>
          <cell r="O362" t="str">
            <v>A</v>
          </cell>
        </row>
        <row r="363">
          <cell r="A363">
            <v>19454</v>
          </cell>
          <cell r="B363" t="str">
            <v>MUKHAMAD ALI</v>
          </cell>
          <cell r="C363" t="str">
            <v>SAMI</v>
          </cell>
          <cell r="D363" t="str">
            <v>OPT-483</v>
          </cell>
          <cell r="E363">
            <v>42380</v>
          </cell>
          <cell r="F363" t="str">
            <v>-</v>
          </cell>
          <cell r="G363" t="str">
            <v>-</v>
          </cell>
          <cell r="H363" t="str">
            <v>LOG</v>
          </cell>
          <cell r="I363" t="str">
            <v>WHS</v>
          </cell>
          <cell r="J363" t="str">
            <v>ALL</v>
          </cell>
          <cell r="K363" t="str">
            <v>ALL</v>
          </cell>
          <cell r="L363" t="str">
            <v>WHS</v>
          </cell>
          <cell r="M363" t="str">
            <v>-</v>
          </cell>
          <cell r="N363" t="str">
            <v>WHS SUPPLY</v>
          </cell>
          <cell r="O363" t="str">
            <v>A</v>
          </cell>
        </row>
        <row r="364">
          <cell r="A364">
            <v>37</v>
          </cell>
          <cell r="B364" t="str">
            <v>SUWANDI</v>
          </cell>
          <cell r="C364" t="str">
            <v>SAMI</v>
          </cell>
          <cell r="D364" t="str">
            <v>SPV UP</v>
          </cell>
          <cell r="E364">
            <v>37529</v>
          </cell>
          <cell r="F364" t="str">
            <v>-</v>
          </cell>
          <cell r="G364" t="str">
            <v>-</v>
          </cell>
          <cell r="H364" t="str">
            <v>LOG</v>
          </cell>
          <cell r="I364" t="str">
            <v>WHS</v>
          </cell>
          <cell r="J364" t="str">
            <v>ALL</v>
          </cell>
          <cell r="K364" t="str">
            <v>ALL</v>
          </cell>
          <cell r="L364" t="str">
            <v>WHS</v>
          </cell>
          <cell r="M364" t="str">
            <v>SUPERVISOR</v>
          </cell>
          <cell r="N364" t="str">
            <v>FPS SPV</v>
          </cell>
          <cell r="O364" t="str">
            <v>A (NS)</v>
          </cell>
        </row>
        <row r="365">
          <cell r="A365">
            <v>245</v>
          </cell>
          <cell r="B365" t="str">
            <v>EFI RETNOWATI</v>
          </cell>
          <cell r="C365" t="str">
            <v>SAMI</v>
          </cell>
          <cell r="D365" t="str">
            <v>OPT-7</v>
          </cell>
          <cell r="E365">
            <v>37704</v>
          </cell>
          <cell r="F365" t="str">
            <v>-</v>
          </cell>
          <cell r="G365" t="str">
            <v>-</v>
          </cell>
          <cell r="H365" t="str">
            <v>LOG</v>
          </cell>
          <cell r="I365" t="str">
            <v>WHS</v>
          </cell>
          <cell r="J365" t="str">
            <v>ALL</v>
          </cell>
          <cell r="K365" t="str">
            <v>ALL</v>
          </cell>
          <cell r="L365" t="str">
            <v>WHS</v>
          </cell>
          <cell r="M365" t="str">
            <v>GL WHS</v>
          </cell>
          <cell r="N365" t="str">
            <v>WHS SUPPLY</v>
          </cell>
          <cell r="O365" t="str">
            <v>A (NS)</v>
          </cell>
        </row>
        <row r="366">
          <cell r="A366">
            <v>1060</v>
          </cell>
          <cell r="B366" t="str">
            <v>NUR KOSIM</v>
          </cell>
          <cell r="C366" t="str">
            <v>SAMI</v>
          </cell>
          <cell r="D366" t="str">
            <v>OPT-26</v>
          </cell>
          <cell r="E366">
            <v>37879</v>
          </cell>
          <cell r="F366" t="str">
            <v>-</v>
          </cell>
          <cell r="G366" t="str">
            <v>-</v>
          </cell>
          <cell r="H366" t="str">
            <v>LOG</v>
          </cell>
          <cell r="I366" t="str">
            <v>WHS</v>
          </cell>
          <cell r="J366" t="str">
            <v>ALL</v>
          </cell>
          <cell r="K366" t="str">
            <v>ALL</v>
          </cell>
          <cell r="L366" t="str">
            <v>WHS</v>
          </cell>
          <cell r="M366" t="str">
            <v>-</v>
          </cell>
          <cell r="N366" t="str">
            <v>WHS SUPPLY</v>
          </cell>
          <cell r="O366" t="str">
            <v>A (NS)</v>
          </cell>
        </row>
        <row r="367">
          <cell r="A367">
            <v>9095</v>
          </cell>
          <cell r="B367" t="str">
            <v>EKA FITRIANI</v>
          </cell>
          <cell r="C367" t="str">
            <v>SAMI</v>
          </cell>
          <cell r="D367" t="str">
            <v>OPT-204</v>
          </cell>
          <cell r="E367">
            <v>39995</v>
          </cell>
          <cell r="F367" t="str">
            <v>-</v>
          </cell>
          <cell r="G367" t="str">
            <v>-</v>
          </cell>
          <cell r="H367" t="str">
            <v>LOG</v>
          </cell>
          <cell r="I367" t="str">
            <v>WHS</v>
          </cell>
          <cell r="J367" t="str">
            <v>ALL</v>
          </cell>
          <cell r="K367" t="str">
            <v>ALL</v>
          </cell>
          <cell r="L367" t="str">
            <v>WHS</v>
          </cell>
          <cell r="M367" t="str">
            <v>-</v>
          </cell>
          <cell r="N367" t="str">
            <v>WHS SUPPLY</v>
          </cell>
          <cell r="O367" t="str">
            <v>A (NS)</v>
          </cell>
        </row>
        <row r="368">
          <cell r="A368">
            <v>13139</v>
          </cell>
          <cell r="B368" t="str">
            <v>ANGKI FITRA ADITYA</v>
          </cell>
          <cell r="C368" t="str">
            <v>SAMI</v>
          </cell>
          <cell r="D368" t="str">
            <v>ADM-54</v>
          </cell>
          <cell r="E368">
            <v>40883</v>
          </cell>
          <cell r="F368" t="str">
            <v>-</v>
          </cell>
          <cell r="G368" t="str">
            <v>-</v>
          </cell>
          <cell r="H368" t="str">
            <v>LOG</v>
          </cell>
          <cell r="I368" t="str">
            <v>WHS</v>
          </cell>
          <cell r="J368" t="str">
            <v>ALL</v>
          </cell>
          <cell r="K368" t="str">
            <v>ALL</v>
          </cell>
          <cell r="L368" t="str">
            <v>WHS</v>
          </cell>
          <cell r="M368" t="str">
            <v>ADM</v>
          </cell>
          <cell r="N368" t="str">
            <v>WHS IN</v>
          </cell>
          <cell r="O368" t="str">
            <v>A (NS)</v>
          </cell>
        </row>
        <row r="369">
          <cell r="A369">
            <v>15247</v>
          </cell>
          <cell r="B369" t="str">
            <v>IMAM BAROWI</v>
          </cell>
          <cell r="C369" t="str">
            <v>SAMI</v>
          </cell>
          <cell r="D369" t="str">
            <v>OPT-386</v>
          </cell>
          <cell r="E369">
            <v>41438</v>
          </cell>
          <cell r="F369" t="str">
            <v>-</v>
          </cell>
          <cell r="G369" t="str">
            <v>-</v>
          </cell>
          <cell r="H369" t="str">
            <v>LOG</v>
          </cell>
          <cell r="I369" t="str">
            <v>WHS</v>
          </cell>
          <cell r="J369" t="str">
            <v>ALL</v>
          </cell>
          <cell r="K369" t="str">
            <v>ALL</v>
          </cell>
          <cell r="L369" t="str">
            <v>WHS</v>
          </cell>
          <cell r="M369" t="str">
            <v>-</v>
          </cell>
          <cell r="N369" t="str">
            <v>WHS SUPPLY</v>
          </cell>
          <cell r="O369" t="str">
            <v>A (NS)</v>
          </cell>
        </row>
        <row r="370">
          <cell r="A370">
            <v>15260</v>
          </cell>
          <cell r="B370" t="str">
            <v>MUHAMAD NURIYANTO</v>
          </cell>
          <cell r="C370" t="str">
            <v>SAMI</v>
          </cell>
          <cell r="D370" t="str">
            <v>OPT-386</v>
          </cell>
          <cell r="E370">
            <v>41438</v>
          </cell>
          <cell r="F370" t="str">
            <v>-</v>
          </cell>
          <cell r="G370" t="str">
            <v>-</v>
          </cell>
          <cell r="H370" t="str">
            <v>LOG</v>
          </cell>
          <cell r="I370" t="str">
            <v>WHS</v>
          </cell>
          <cell r="J370" t="str">
            <v>ALL</v>
          </cell>
          <cell r="K370" t="str">
            <v>ALL</v>
          </cell>
          <cell r="L370" t="str">
            <v>WHS</v>
          </cell>
          <cell r="M370" t="str">
            <v>-</v>
          </cell>
          <cell r="N370" t="str">
            <v>WHS SUPPLY</v>
          </cell>
          <cell r="O370" t="str">
            <v>A (NS)</v>
          </cell>
        </row>
        <row r="371">
          <cell r="A371">
            <v>15274</v>
          </cell>
          <cell r="B371" t="str">
            <v>SAEFUDIN ZUHRI</v>
          </cell>
          <cell r="C371" t="str">
            <v>SAMI</v>
          </cell>
          <cell r="D371" t="str">
            <v>OPT-386</v>
          </cell>
          <cell r="E371">
            <v>41438</v>
          </cell>
          <cell r="F371" t="str">
            <v>-</v>
          </cell>
          <cell r="G371" t="str">
            <v>-</v>
          </cell>
          <cell r="H371" t="str">
            <v>LOG</v>
          </cell>
          <cell r="I371" t="str">
            <v>WHS</v>
          </cell>
          <cell r="J371" t="str">
            <v>ALL</v>
          </cell>
          <cell r="K371" t="str">
            <v>ALL</v>
          </cell>
          <cell r="L371" t="str">
            <v>WHS</v>
          </cell>
          <cell r="M371" t="str">
            <v>-</v>
          </cell>
          <cell r="N371" t="str">
            <v>WHS SUPPLY</v>
          </cell>
          <cell r="O371" t="str">
            <v>A (NS)</v>
          </cell>
        </row>
        <row r="372">
          <cell r="A372">
            <v>15582</v>
          </cell>
          <cell r="B372" t="str">
            <v>ADE BUDI KURNIAWAN</v>
          </cell>
          <cell r="C372" t="str">
            <v>SAMI</v>
          </cell>
          <cell r="D372" t="str">
            <v>ES-52</v>
          </cell>
          <cell r="E372">
            <v>41456</v>
          </cell>
          <cell r="F372" t="str">
            <v>-</v>
          </cell>
          <cell r="G372" t="str">
            <v>-</v>
          </cell>
          <cell r="H372" t="str">
            <v>LOG</v>
          </cell>
          <cell r="I372" t="str">
            <v>WHS</v>
          </cell>
          <cell r="J372" t="str">
            <v>ALL</v>
          </cell>
          <cell r="K372" t="str">
            <v>ALL</v>
          </cell>
          <cell r="L372" t="str">
            <v>WHS</v>
          </cell>
          <cell r="M372" t="str">
            <v>LEADER</v>
          </cell>
          <cell r="N372" t="str">
            <v>FPS LL</v>
          </cell>
          <cell r="O372" t="str">
            <v>A (NS)</v>
          </cell>
        </row>
        <row r="373">
          <cell r="A373">
            <v>19243</v>
          </cell>
          <cell r="B373" t="str">
            <v>DHARIS ABDUL FEBRIYAN</v>
          </cell>
          <cell r="C373" t="str">
            <v>SAMI</v>
          </cell>
          <cell r="D373" t="str">
            <v>OPT-476</v>
          </cell>
          <cell r="E373">
            <v>42262</v>
          </cell>
          <cell r="F373" t="str">
            <v>-</v>
          </cell>
          <cell r="G373" t="str">
            <v>-</v>
          </cell>
          <cell r="H373" t="str">
            <v>LOG</v>
          </cell>
          <cell r="I373" t="str">
            <v>WHS</v>
          </cell>
          <cell r="J373" t="str">
            <v>ALL</v>
          </cell>
          <cell r="K373" t="str">
            <v>ALL</v>
          </cell>
          <cell r="L373" t="str">
            <v>WHS</v>
          </cell>
          <cell r="M373" t="str">
            <v>-</v>
          </cell>
          <cell r="N373" t="str">
            <v>WHS SUPPLY</v>
          </cell>
          <cell r="O373" t="str">
            <v>A (NS)</v>
          </cell>
        </row>
        <row r="374">
          <cell r="A374">
            <v>19255</v>
          </cell>
          <cell r="B374" t="str">
            <v>M. SALAFUDIN</v>
          </cell>
          <cell r="C374" t="str">
            <v>SAMI</v>
          </cell>
          <cell r="D374" t="str">
            <v>OPT-476</v>
          </cell>
          <cell r="E374">
            <v>42262</v>
          </cell>
          <cell r="F374" t="str">
            <v>-</v>
          </cell>
          <cell r="G374" t="str">
            <v>-</v>
          </cell>
          <cell r="H374" t="str">
            <v>LOG</v>
          </cell>
          <cell r="I374" t="str">
            <v>WHS</v>
          </cell>
          <cell r="J374" t="str">
            <v>ALL</v>
          </cell>
          <cell r="K374" t="str">
            <v>ALL</v>
          </cell>
          <cell r="L374" t="str">
            <v>WHS</v>
          </cell>
          <cell r="M374" t="str">
            <v>-</v>
          </cell>
          <cell r="N374" t="str">
            <v>WHS SUPPLY</v>
          </cell>
          <cell r="O374" t="str">
            <v>A (NS)</v>
          </cell>
        </row>
        <row r="375">
          <cell r="A375">
            <v>19259</v>
          </cell>
          <cell r="B375" t="str">
            <v>ROBI MAULANA</v>
          </cell>
          <cell r="C375" t="str">
            <v>SAMI</v>
          </cell>
          <cell r="D375" t="str">
            <v>OPT-476</v>
          </cell>
          <cell r="E375">
            <v>42262</v>
          </cell>
          <cell r="F375" t="str">
            <v>-</v>
          </cell>
          <cell r="G375" t="str">
            <v>-</v>
          </cell>
          <cell r="H375" t="str">
            <v>LOG</v>
          </cell>
          <cell r="I375" t="str">
            <v>WHS</v>
          </cell>
          <cell r="J375" t="str">
            <v>ALL</v>
          </cell>
          <cell r="K375" t="str">
            <v>ALL</v>
          </cell>
          <cell r="L375" t="str">
            <v>WHS</v>
          </cell>
          <cell r="M375" t="str">
            <v>-</v>
          </cell>
          <cell r="N375" t="str">
            <v>WHS SUPPLY</v>
          </cell>
          <cell r="O375" t="str">
            <v>A (NS)</v>
          </cell>
        </row>
        <row r="376">
          <cell r="A376">
            <v>20063</v>
          </cell>
          <cell r="B376" t="str">
            <v>DARUS KURNIAWAN FERNANDA</v>
          </cell>
          <cell r="C376" t="str">
            <v>SAMI</v>
          </cell>
          <cell r="D376" t="str">
            <v>OPT-495</v>
          </cell>
          <cell r="E376">
            <v>42520</v>
          </cell>
          <cell r="F376" t="str">
            <v>-</v>
          </cell>
          <cell r="G376" t="str">
            <v>-</v>
          </cell>
          <cell r="H376" t="str">
            <v>LOG</v>
          </cell>
          <cell r="I376" t="str">
            <v>WHS</v>
          </cell>
          <cell r="J376" t="str">
            <v>ALL</v>
          </cell>
          <cell r="K376" t="str">
            <v>ALL</v>
          </cell>
          <cell r="L376" t="str">
            <v>WHS</v>
          </cell>
          <cell r="M376" t="str">
            <v>-</v>
          </cell>
          <cell r="N376" t="str">
            <v>WHS SUPPLY</v>
          </cell>
          <cell r="O376" t="str">
            <v>A (NS)</v>
          </cell>
        </row>
        <row r="377">
          <cell r="A377">
            <v>20725</v>
          </cell>
          <cell r="B377" t="str">
            <v xml:space="preserve">M SYAMSUL MA'ARIF </v>
          </cell>
          <cell r="C377" t="str">
            <v>SAMI</v>
          </cell>
          <cell r="D377" t="str">
            <v>OPT-506</v>
          </cell>
          <cell r="E377">
            <v>42642</v>
          </cell>
          <cell r="F377">
            <v>43132</v>
          </cell>
          <cell r="G377">
            <v>43496</v>
          </cell>
          <cell r="H377" t="str">
            <v>LOG</v>
          </cell>
          <cell r="I377" t="str">
            <v>WHS</v>
          </cell>
          <cell r="J377" t="str">
            <v>ALL</v>
          </cell>
          <cell r="K377" t="str">
            <v>ALL</v>
          </cell>
          <cell r="L377" t="str">
            <v>WHS</v>
          </cell>
          <cell r="M377" t="str">
            <v>-</v>
          </cell>
          <cell r="N377" t="str">
            <v>WHS SUPPLY</v>
          </cell>
          <cell r="O377" t="str">
            <v>A (NS)</v>
          </cell>
        </row>
        <row r="378">
          <cell r="A378">
            <v>20955</v>
          </cell>
          <cell r="B378" t="str">
            <v>RUDI HARIANTO</v>
          </cell>
          <cell r="C378" t="str">
            <v>SAMI</v>
          </cell>
          <cell r="D378" t="str">
            <v>OPT-511</v>
          </cell>
          <cell r="E378">
            <v>42667</v>
          </cell>
          <cell r="F378">
            <v>43160</v>
          </cell>
          <cell r="G378">
            <v>43524</v>
          </cell>
          <cell r="H378" t="str">
            <v>LOG</v>
          </cell>
          <cell r="I378" t="str">
            <v>WHS</v>
          </cell>
          <cell r="J378" t="str">
            <v>ALL</v>
          </cell>
          <cell r="K378" t="str">
            <v>ALL</v>
          </cell>
          <cell r="L378" t="str">
            <v>WHS</v>
          </cell>
          <cell r="M378" t="str">
            <v>-</v>
          </cell>
          <cell r="N378" t="str">
            <v>WHS SUPPLY</v>
          </cell>
          <cell r="O378" t="str">
            <v>A (NS)</v>
          </cell>
        </row>
        <row r="379">
          <cell r="A379">
            <v>20969</v>
          </cell>
          <cell r="B379" t="str">
            <v>AZIANDA NURIL MUSLIMUN</v>
          </cell>
          <cell r="C379" t="str">
            <v>SAMI</v>
          </cell>
          <cell r="D379" t="str">
            <v>OPT-512</v>
          </cell>
          <cell r="E379">
            <v>42674</v>
          </cell>
          <cell r="F379">
            <v>43160</v>
          </cell>
          <cell r="G379">
            <v>43524</v>
          </cell>
          <cell r="H379" t="str">
            <v>LOG</v>
          </cell>
          <cell r="I379" t="str">
            <v>WHS</v>
          </cell>
          <cell r="J379" t="str">
            <v>ALL</v>
          </cell>
          <cell r="K379" t="str">
            <v>ALL</v>
          </cell>
          <cell r="L379" t="str">
            <v>WHS</v>
          </cell>
          <cell r="M379" t="str">
            <v>-</v>
          </cell>
          <cell r="N379" t="str">
            <v>WHS SUPPLY</v>
          </cell>
          <cell r="O379" t="str">
            <v>A (NS)</v>
          </cell>
        </row>
        <row r="380">
          <cell r="A380">
            <v>21030</v>
          </cell>
          <cell r="B380" t="str">
            <v>GALUH MOHAMAD RIYADI</v>
          </cell>
          <cell r="C380" t="str">
            <v>SAMI</v>
          </cell>
          <cell r="D380" t="str">
            <v>OPT-517</v>
          </cell>
          <cell r="E380">
            <v>42753</v>
          </cell>
          <cell r="F380">
            <v>43252</v>
          </cell>
          <cell r="G380">
            <v>43616</v>
          </cell>
          <cell r="H380" t="str">
            <v>LOG</v>
          </cell>
          <cell r="I380" t="str">
            <v>WHS</v>
          </cell>
          <cell r="J380" t="str">
            <v>ALL</v>
          </cell>
          <cell r="K380" t="str">
            <v>ALL</v>
          </cell>
          <cell r="L380" t="str">
            <v>WHS</v>
          </cell>
          <cell r="M380" t="str">
            <v>-</v>
          </cell>
          <cell r="N380" t="str">
            <v>WHS SUPPLY</v>
          </cell>
          <cell r="O380" t="str">
            <v>A (NS)</v>
          </cell>
        </row>
        <row r="381">
          <cell r="A381">
            <v>21032</v>
          </cell>
          <cell r="B381" t="str">
            <v>WILLYAN EKO SAPUTRO</v>
          </cell>
          <cell r="C381" t="str">
            <v>SAMI</v>
          </cell>
          <cell r="D381" t="str">
            <v>OPT-518</v>
          </cell>
          <cell r="E381">
            <v>42767</v>
          </cell>
          <cell r="F381">
            <v>43252</v>
          </cell>
          <cell r="G381">
            <v>43616</v>
          </cell>
          <cell r="H381" t="str">
            <v>LOG</v>
          </cell>
          <cell r="I381" t="str">
            <v>WHS</v>
          </cell>
          <cell r="J381" t="str">
            <v>ALL</v>
          </cell>
          <cell r="K381" t="str">
            <v>ALL</v>
          </cell>
          <cell r="L381" t="str">
            <v>WHS</v>
          </cell>
          <cell r="M381" t="str">
            <v>-</v>
          </cell>
          <cell r="N381" t="str">
            <v>WHS SUPPLY</v>
          </cell>
          <cell r="O381" t="str">
            <v>A (NS)</v>
          </cell>
        </row>
        <row r="382">
          <cell r="A382">
            <v>21033</v>
          </cell>
          <cell r="B382" t="str">
            <v>WINTON PRASTYO</v>
          </cell>
          <cell r="C382" t="str">
            <v>SAMI</v>
          </cell>
          <cell r="D382" t="str">
            <v>OPT-518</v>
          </cell>
          <cell r="E382">
            <v>42767</v>
          </cell>
          <cell r="F382">
            <v>43252</v>
          </cell>
          <cell r="G382">
            <v>43616</v>
          </cell>
          <cell r="H382" t="str">
            <v>LOG</v>
          </cell>
          <cell r="I382" t="str">
            <v>WHS</v>
          </cell>
          <cell r="J382" t="str">
            <v>ALL</v>
          </cell>
          <cell r="K382" t="str">
            <v>ALL</v>
          </cell>
          <cell r="L382" t="str">
            <v>WHS</v>
          </cell>
          <cell r="M382" t="str">
            <v>-</v>
          </cell>
          <cell r="N382" t="str">
            <v>WHS SUPPLY</v>
          </cell>
          <cell r="O382" t="str">
            <v>A (NS)</v>
          </cell>
        </row>
        <row r="383">
          <cell r="A383">
            <v>21268</v>
          </cell>
          <cell r="B383" t="str">
            <v>WAHYU ISKIYANTO</v>
          </cell>
          <cell r="C383" t="str">
            <v>SAMI</v>
          </cell>
          <cell r="D383" t="str">
            <v>OPT-528</v>
          </cell>
          <cell r="E383">
            <v>42940</v>
          </cell>
          <cell r="F383">
            <v>43405</v>
          </cell>
          <cell r="G383">
            <v>43769</v>
          </cell>
          <cell r="H383" t="str">
            <v>LOG</v>
          </cell>
          <cell r="I383" t="str">
            <v>WHS</v>
          </cell>
          <cell r="J383" t="str">
            <v>ALL</v>
          </cell>
          <cell r="K383" t="str">
            <v>ALL</v>
          </cell>
          <cell r="L383" t="str">
            <v>WHS</v>
          </cell>
          <cell r="M383" t="str">
            <v>-</v>
          </cell>
          <cell r="N383" t="str">
            <v>WHS SUPPLY</v>
          </cell>
          <cell r="O383" t="str">
            <v>A (NS)</v>
          </cell>
        </row>
        <row r="384">
          <cell r="A384">
            <v>21635</v>
          </cell>
          <cell r="B384" t="str">
            <v>AHMAD ABDUL KOHAR</v>
          </cell>
          <cell r="C384" t="str">
            <v>SAMI</v>
          </cell>
          <cell r="D384" t="str">
            <v>OPT-537</v>
          </cell>
          <cell r="E384">
            <v>43055</v>
          </cell>
          <cell r="F384">
            <v>43466</v>
          </cell>
          <cell r="G384">
            <v>43830</v>
          </cell>
          <cell r="H384" t="str">
            <v>LOG</v>
          </cell>
          <cell r="I384" t="str">
            <v>WHS</v>
          </cell>
          <cell r="J384" t="str">
            <v>ALL</v>
          </cell>
          <cell r="K384" t="str">
            <v>ALL</v>
          </cell>
          <cell r="L384" t="str">
            <v>WHS</v>
          </cell>
          <cell r="M384" t="str">
            <v>-</v>
          </cell>
          <cell r="N384" t="str">
            <v>WHS SUPPLY</v>
          </cell>
          <cell r="O384" t="str">
            <v>A (NS)</v>
          </cell>
        </row>
        <row r="385">
          <cell r="A385">
            <v>21637</v>
          </cell>
          <cell r="B385" t="str">
            <v>ANA SYAVIRA</v>
          </cell>
          <cell r="C385" t="str">
            <v>SAMI</v>
          </cell>
          <cell r="D385" t="str">
            <v>OPT-537</v>
          </cell>
          <cell r="E385">
            <v>43055</v>
          </cell>
          <cell r="F385">
            <v>43466</v>
          </cell>
          <cell r="G385">
            <v>43830</v>
          </cell>
          <cell r="H385" t="str">
            <v>LOG</v>
          </cell>
          <cell r="I385" t="str">
            <v>WHS</v>
          </cell>
          <cell r="J385" t="str">
            <v>ALL</v>
          </cell>
          <cell r="K385" t="str">
            <v>ALL</v>
          </cell>
          <cell r="L385" t="str">
            <v>WHS</v>
          </cell>
          <cell r="M385" t="str">
            <v>-</v>
          </cell>
          <cell r="N385" t="str">
            <v>WHS SUPPLY</v>
          </cell>
          <cell r="O385" t="str">
            <v>A (NS)</v>
          </cell>
        </row>
        <row r="386">
          <cell r="A386">
            <v>21639</v>
          </cell>
          <cell r="B386" t="str">
            <v>ANIS WULANTIKA APRILIYANI</v>
          </cell>
          <cell r="C386" t="str">
            <v>SAMI</v>
          </cell>
          <cell r="D386" t="str">
            <v>OPT-537</v>
          </cell>
          <cell r="E386">
            <v>43055</v>
          </cell>
          <cell r="F386">
            <v>43466</v>
          </cell>
          <cell r="G386">
            <v>43830</v>
          </cell>
          <cell r="H386" t="str">
            <v>LOG</v>
          </cell>
          <cell r="I386" t="str">
            <v>WHS</v>
          </cell>
          <cell r="J386" t="str">
            <v>ALL</v>
          </cell>
          <cell r="K386" t="str">
            <v>ALL</v>
          </cell>
          <cell r="L386" t="str">
            <v>WHS</v>
          </cell>
          <cell r="M386" t="str">
            <v>-</v>
          </cell>
          <cell r="N386" t="str">
            <v>WHS SUPPLY</v>
          </cell>
          <cell r="O386" t="str">
            <v>A (NS)</v>
          </cell>
        </row>
        <row r="387">
          <cell r="A387">
            <v>21641</v>
          </cell>
          <cell r="B387" t="str">
            <v>ATHOILLAH</v>
          </cell>
          <cell r="C387" t="str">
            <v>SAMI</v>
          </cell>
          <cell r="D387" t="str">
            <v>OPT-537</v>
          </cell>
          <cell r="E387">
            <v>43055</v>
          </cell>
          <cell r="F387">
            <v>43466</v>
          </cell>
          <cell r="G387">
            <v>43830</v>
          </cell>
          <cell r="H387" t="str">
            <v>LOG</v>
          </cell>
          <cell r="I387" t="str">
            <v>WHS</v>
          </cell>
          <cell r="J387" t="str">
            <v>ALL</v>
          </cell>
          <cell r="K387" t="str">
            <v>ALL</v>
          </cell>
          <cell r="L387" t="str">
            <v>WHS</v>
          </cell>
          <cell r="M387" t="str">
            <v>-</v>
          </cell>
          <cell r="N387" t="str">
            <v>WHS SUPPLY</v>
          </cell>
          <cell r="O387" t="str">
            <v>A (NS)</v>
          </cell>
        </row>
        <row r="388">
          <cell r="A388">
            <v>21646</v>
          </cell>
          <cell r="B388" t="str">
            <v>DULKIFLI</v>
          </cell>
          <cell r="C388" t="str">
            <v>SAMI</v>
          </cell>
          <cell r="D388" t="str">
            <v>OPT-537</v>
          </cell>
          <cell r="E388">
            <v>43055</v>
          </cell>
          <cell r="F388">
            <v>43466</v>
          </cell>
          <cell r="G388">
            <v>43830</v>
          </cell>
          <cell r="H388" t="str">
            <v>LOG</v>
          </cell>
          <cell r="I388" t="str">
            <v>WHS</v>
          </cell>
          <cell r="J388" t="str">
            <v>ALL</v>
          </cell>
          <cell r="K388" t="str">
            <v>ALL</v>
          </cell>
          <cell r="L388" t="str">
            <v>WHS</v>
          </cell>
          <cell r="M388" t="str">
            <v>-</v>
          </cell>
          <cell r="N388" t="str">
            <v>WHS SUPPLY</v>
          </cell>
          <cell r="O388" t="str">
            <v>A (NS)</v>
          </cell>
        </row>
        <row r="389">
          <cell r="A389">
            <v>21649</v>
          </cell>
          <cell r="B389" t="str">
            <v>DWI SETYOWATI</v>
          </cell>
          <cell r="C389" t="str">
            <v>SAMI</v>
          </cell>
          <cell r="D389" t="str">
            <v>OPT-537</v>
          </cell>
          <cell r="E389">
            <v>43055</v>
          </cell>
          <cell r="F389">
            <v>43466</v>
          </cell>
          <cell r="G389">
            <v>43830</v>
          </cell>
          <cell r="H389" t="str">
            <v>LOG</v>
          </cell>
          <cell r="I389" t="str">
            <v>WHS</v>
          </cell>
          <cell r="J389" t="str">
            <v>ALL</v>
          </cell>
          <cell r="K389" t="str">
            <v>ALL</v>
          </cell>
          <cell r="L389" t="str">
            <v>WHS</v>
          </cell>
          <cell r="M389" t="str">
            <v>-</v>
          </cell>
          <cell r="N389" t="str">
            <v>WHS SUPPLY</v>
          </cell>
          <cell r="O389" t="str">
            <v>A (NS)</v>
          </cell>
        </row>
        <row r="390">
          <cell r="A390">
            <v>21650</v>
          </cell>
          <cell r="B390" t="str">
            <v>EDY PURWANTO</v>
          </cell>
          <cell r="C390" t="str">
            <v>SAMI</v>
          </cell>
          <cell r="D390" t="str">
            <v>OPT-537</v>
          </cell>
          <cell r="E390">
            <v>43055</v>
          </cell>
          <cell r="F390">
            <v>43466</v>
          </cell>
          <cell r="G390">
            <v>43830</v>
          </cell>
          <cell r="H390" t="str">
            <v>LOG</v>
          </cell>
          <cell r="I390" t="str">
            <v>WHS</v>
          </cell>
          <cell r="J390" t="str">
            <v>ALL</v>
          </cell>
          <cell r="K390" t="str">
            <v>ALL</v>
          </cell>
          <cell r="L390" t="str">
            <v>WHS</v>
          </cell>
          <cell r="M390" t="str">
            <v>-</v>
          </cell>
          <cell r="N390" t="str">
            <v>WHS SUPPLY</v>
          </cell>
          <cell r="O390" t="str">
            <v>A (NS)</v>
          </cell>
        </row>
        <row r="391">
          <cell r="A391">
            <v>21654</v>
          </cell>
          <cell r="B391" t="str">
            <v>FERI WICAKSONO</v>
          </cell>
          <cell r="C391" t="str">
            <v>SAMI</v>
          </cell>
          <cell r="D391" t="str">
            <v>OPT-537</v>
          </cell>
          <cell r="E391">
            <v>43055</v>
          </cell>
          <cell r="F391">
            <v>43466</v>
          </cell>
          <cell r="G391">
            <v>43830</v>
          </cell>
          <cell r="H391" t="str">
            <v>LOG</v>
          </cell>
          <cell r="I391" t="str">
            <v>WHS</v>
          </cell>
          <cell r="J391" t="str">
            <v>ALL</v>
          </cell>
          <cell r="K391" t="str">
            <v>ALL</v>
          </cell>
          <cell r="L391" t="str">
            <v>WHS</v>
          </cell>
          <cell r="M391" t="str">
            <v>-</v>
          </cell>
          <cell r="N391" t="str">
            <v>WHS SUPPLY</v>
          </cell>
          <cell r="O391" t="str">
            <v>A (NS)</v>
          </cell>
        </row>
        <row r="392">
          <cell r="A392">
            <v>21656</v>
          </cell>
          <cell r="B392" t="str">
            <v>HUDALLOH'AUNI</v>
          </cell>
          <cell r="C392" t="str">
            <v>SAMI</v>
          </cell>
          <cell r="D392" t="str">
            <v>OPT-537</v>
          </cell>
          <cell r="E392">
            <v>43055</v>
          </cell>
          <cell r="F392">
            <v>43466</v>
          </cell>
          <cell r="G392">
            <v>43830</v>
          </cell>
          <cell r="H392" t="str">
            <v>LOG</v>
          </cell>
          <cell r="I392" t="str">
            <v>WHS</v>
          </cell>
          <cell r="J392" t="str">
            <v>ALL</v>
          </cell>
          <cell r="K392" t="str">
            <v>ALL</v>
          </cell>
          <cell r="L392" t="str">
            <v>WHS</v>
          </cell>
          <cell r="M392" t="str">
            <v>-</v>
          </cell>
          <cell r="N392" t="str">
            <v>WHS SUPPLY</v>
          </cell>
          <cell r="O392" t="str">
            <v>A (NS)</v>
          </cell>
        </row>
        <row r="393">
          <cell r="A393">
            <v>21662</v>
          </cell>
          <cell r="B393" t="str">
            <v>KHOLID FAJAR YULIONO</v>
          </cell>
          <cell r="C393" t="str">
            <v>SAMI</v>
          </cell>
          <cell r="D393" t="str">
            <v>OPT-537</v>
          </cell>
          <cell r="E393">
            <v>43055</v>
          </cell>
          <cell r="F393">
            <v>43466</v>
          </cell>
          <cell r="G393">
            <v>43830</v>
          </cell>
          <cell r="H393" t="str">
            <v>LOG</v>
          </cell>
          <cell r="I393" t="str">
            <v>WHS</v>
          </cell>
          <cell r="J393" t="str">
            <v>ALL</v>
          </cell>
          <cell r="K393" t="str">
            <v>ALL</v>
          </cell>
          <cell r="L393" t="str">
            <v>WHS</v>
          </cell>
          <cell r="M393" t="str">
            <v>-</v>
          </cell>
          <cell r="N393" t="str">
            <v>WHS SUPPLY</v>
          </cell>
          <cell r="O393" t="str">
            <v>A (NS)</v>
          </cell>
        </row>
        <row r="394">
          <cell r="A394">
            <v>21664</v>
          </cell>
          <cell r="B394" t="str">
            <v>M. NASTA'IN</v>
          </cell>
          <cell r="C394" t="str">
            <v>SAMI</v>
          </cell>
          <cell r="D394" t="str">
            <v>OPT-537</v>
          </cell>
          <cell r="E394">
            <v>43055</v>
          </cell>
          <cell r="F394">
            <v>43466</v>
          </cell>
          <cell r="G394">
            <v>43830</v>
          </cell>
          <cell r="H394" t="str">
            <v>LOG</v>
          </cell>
          <cell r="I394" t="str">
            <v>WHS</v>
          </cell>
          <cell r="J394" t="str">
            <v>ALL</v>
          </cell>
          <cell r="K394" t="str">
            <v>ALL</v>
          </cell>
          <cell r="L394" t="str">
            <v>WHS</v>
          </cell>
          <cell r="M394" t="str">
            <v>-</v>
          </cell>
          <cell r="N394" t="str">
            <v>WHS SUPPLY</v>
          </cell>
          <cell r="O394" t="str">
            <v>A (NS)</v>
          </cell>
        </row>
        <row r="395">
          <cell r="A395">
            <v>21668</v>
          </cell>
          <cell r="B395" t="str">
            <v>MUHAMMAD BAYU RIZKY AKBAR</v>
          </cell>
          <cell r="C395" t="str">
            <v>SAMI</v>
          </cell>
          <cell r="D395" t="str">
            <v>OPT-537</v>
          </cell>
          <cell r="E395">
            <v>43055</v>
          </cell>
          <cell r="F395">
            <v>43466</v>
          </cell>
          <cell r="G395">
            <v>43830</v>
          </cell>
          <cell r="H395" t="str">
            <v>LOG</v>
          </cell>
          <cell r="I395" t="str">
            <v>WHS</v>
          </cell>
          <cell r="J395" t="str">
            <v>ALL</v>
          </cell>
          <cell r="K395" t="str">
            <v>ALL</v>
          </cell>
          <cell r="L395" t="str">
            <v>WHS</v>
          </cell>
          <cell r="M395" t="str">
            <v>-</v>
          </cell>
          <cell r="N395" t="str">
            <v>WHS SUPPLY</v>
          </cell>
          <cell r="O395" t="str">
            <v>A (NS)</v>
          </cell>
        </row>
        <row r="396">
          <cell r="A396">
            <v>21669</v>
          </cell>
          <cell r="B396" t="str">
            <v>MUHAMMAD NURUL IKSAN</v>
          </cell>
          <cell r="C396" t="str">
            <v>SAMI</v>
          </cell>
          <cell r="D396" t="str">
            <v>OPT-537</v>
          </cell>
          <cell r="E396">
            <v>43055</v>
          </cell>
          <cell r="F396">
            <v>43466</v>
          </cell>
          <cell r="G396">
            <v>43830</v>
          </cell>
          <cell r="H396" t="str">
            <v>LOG</v>
          </cell>
          <cell r="I396" t="str">
            <v>WHS</v>
          </cell>
          <cell r="J396" t="str">
            <v>ALL</v>
          </cell>
          <cell r="K396" t="str">
            <v>ALL</v>
          </cell>
          <cell r="L396" t="str">
            <v>WHS</v>
          </cell>
          <cell r="M396" t="str">
            <v>-</v>
          </cell>
          <cell r="N396" t="str">
            <v>WHS SUPPLY</v>
          </cell>
          <cell r="O396" t="str">
            <v>A (NS)</v>
          </cell>
        </row>
        <row r="397">
          <cell r="A397">
            <v>21684</v>
          </cell>
          <cell r="B397" t="str">
            <v>SYUKRON SIDIQ</v>
          </cell>
          <cell r="C397" t="str">
            <v>SAMI</v>
          </cell>
          <cell r="D397" t="str">
            <v>OPT-537</v>
          </cell>
          <cell r="E397">
            <v>43055</v>
          </cell>
          <cell r="F397">
            <v>43466</v>
          </cell>
          <cell r="G397">
            <v>43830</v>
          </cell>
          <cell r="H397" t="str">
            <v>LOG</v>
          </cell>
          <cell r="I397" t="str">
            <v>WHS</v>
          </cell>
          <cell r="J397" t="str">
            <v>ALL</v>
          </cell>
          <cell r="K397" t="str">
            <v>ALL</v>
          </cell>
          <cell r="L397" t="str">
            <v>WHS</v>
          </cell>
          <cell r="M397" t="str">
            <v>-</v>
          </cell>
          <cell r="N397" t="str">
            <v>WHS SUPPLY</v>
          </cell>
          <cell r="O397" t="str">
            <v>A (NS)</v>
          </cell>
        </row>
        <row r="398">
          <cell r="A398">
            <v>21693</v>
          </cell>
          <cell r="B398" t="str">
            <v>JUHUDI</v>
          </cell>
          <cell r="C398" t="str">
            <v>SAMI</v>
          </cell>
          <cell r="D398" t="str">
            <v>OPT-538</v>
          </cell>
          <cell r="E398">
            <v>43073</v>
          </cell>
          <cell r="F398">
            <v>43466</v>
          </cell>
          <cell r="G398">
            <v>43830</v>
          </cell>
          <cell r="H398" t="str">
            <v>LOG</v>
          </cell>
          <cell r="I398" t="str">
            <v>WHS</v>
          </cell>
          <cell r="J398" t="str">
            <v>ALL</v>
          </cell>
          <cell r="K398" t="str">
            <v>ALL</v>
          </cell>
          <cell r="L398" t="str">
            <v>WHS</v>
          </cell>
          <cell r="M398" t="str">
            <v>-</v>
          </cell>
          <cell r="N398" t="str">
            <v>WHS SUPPLY</v>
          </cell>
          <cell r="O398" t="str">
            <v>A (NS)</v>
          </cell>
        </row>
        <row r="399">
          <cell r="A399">
            <v>21928</v>
          </cell>
          <cell r="B399" t="str">
            <v>UBAIDILLAH</v>
          </cell>
          <cell r="C399" t="str">
            <v>SAMI</v>
          </cell>
          <cell r="D399" t="str">
            <v>OPT-543</v>
          </cell>
          <cell r="E399">
            <v>43108</v>
          </cell>
          <cell r="F399">
            <v>43139</v>
          </cell>
          <cell r="G399">
            <v>43496</v>
          </cell>
          <cell r="H399" t="str">
            <v>LOG</v>
          </cell>
          <cell r="I399" t="str">
            <v>WHS</v>
          </cell>
          <cell r="J399" t="str">
            <v>ALL</v>
          </cell>
          <cell r="K399" t="str">
            <v>ALL</v>
          </cell>
          <cell r="L399" t="str">
            <v>WHS</v>
          </cell>
          <cell r="M399" t="str">
            <v>-</v>
          </cell>
          <cell r="N399" t="str">
            <v>WHS SUPPLY</v>
          </cell>
          <cell r="O399" t="str">
            <v>A (NS)</v>
          </cell>
        </row>
        <row r="400">
          <cell r="A400">
            <v>21982</v>
          </cell>
          <cell r="B400" t="str">
            <v>AKHMAD LABIB</v>
          </cell>
          <cell r="C400" t="str">
            <v>SAMI</v>
          </cell>
          <cell r="D400" t="str">
            <v>OPT-546</v>
          </cell>
          <cell r="E400">
            <v>43139</v>
          </cell>
          <cell r="F400">
            <v>43167</v>
          </cell>
          <cell r="G400">
            <v>43524</v>
          </cell>
          <cell r="H400" t="str">
            <v>LOG</v>
          </cell>
          <cell r="I400" t="str">
            <v>WHS</v>
          </cell>
          <cell r="J400" t="str">
            <v>ALL</v>
          </cell>
          <cell r="K400" t="str">
            <v>ALL</v>
          </cell>
          <cell r="L400" t="str">
            <v>WHS</v>
          </cell>
          <cell r="M400" t="str">
            <v>-</v>
          </cell>
          <cell r="N400" t="str">
            <v>WHS SUPPLY</v>
          </cell>
          <cell r="O400" t="str">
            <v>A (NS)</v>
          </cell>
        </row>
        <row r="401">
          <cell r="A401">
            <v>21984</v>
          </cell>
          <cell r="B401" t="str">
            <v>ANDREAN YOGA PRATAMA</v>
          </cell>
          <cell r="C401" t="str">
            <v>SAMI</v>
          </cell>
          <cell r="D401" t="str">
            <v>OPT-546</v>
          </cell>
          <cell r="E401">
            <v>43139</v>
          </cell>
          <cell r="F401">
            <v>43167</v>
          </cell>
          <cell r="G401">
            <v>43524</v>
          </cell>
          <cell r="H401" t="str">
            <v>LOG</v>
          </cell>
          <cell r="I401" t="str">
            <v>WHS</v>
          </cell>
          <cell r="J401" t="str">
            <v>ALL</v>
          </cell>
          <cell r="K401" t="str">
            <v>ALL</v>
          </cell>
          <cell r="L401" t="str">
            <v>WHS</v>
          </cell>
          <cell r="M401" t="str">
            <v>-</v>
          </cell>
          <cell r="N401" t="str">
            <v>WHS SUPPLY</v>
          </cell>
          <cell r="O401" t="str">
            <v>A (NS)</v>
          </cell>
        </row>
        <row r="402">
          <cell r="A402">
            <v>21997</v>
          </cell>
          <cell r="B402" t="str">
            <v>MUHAMAD ALI SAJIDIN</v>
          </cell>
          <cell r="C402" t="str">
            <v>SAMI</v>
          </cell>
          <cell r="D402" t="str">
            <v>OPT-546</v>
          </cell>
          <cell r="E402">
            <v>43139</v>
          </cell>
          <cell r="F402">
            <v>43167</v>
          </cell>
          <cell r="G402">
            <v>43524</v>
          </cell>
          <cell r="H402" t="str">
            <v>LOG</v>
          </cell>
          <cell r="I402" t="str">
            <v>WHS</v>
          </cell>
          <cell r="J402" t="str">
            <v>ALL</v>
          </cell>
          <cell r="K402" t="str">
            <v>ALL</v>
          </cell>
          <cell r="L402" t="str">
            <v>WHS</v>
          </cell>
          <cell r="M402" t="str">
            <v>-</v>
          </cell>
          <cell r="N402" t="str">
            <v>WHS SUPPLY</v>
          </cell>
          <cell r="O402" t="str">
            <v>A (NS)</v>
          </cell>
        </row>
        <row r="403">
          <cell r="A403">
            <v>22002</v>
          </cell>
          <cell r="B403" t="str">
            <v>SIGIT UTOMO</v>
          </cell>
          <cell r="C403" t="str">
            <v>SAMI</v>
          </cell>
          <cell r="D403" t="str">
            <v>OPT-546</v>
          </cell>
          <cell r="E403">
            <v>43139</v>
          </cell>
          <cell r="F403">
            <v>43167</v>
          </cell>
          <cell r="G403">
            <v>43524</v>
          </cell>
          <cell r="H403" t="str">
            <v>LOG</v>
          </cell>
          <cell r="I403" t="str">
            <v>WHS</v>
          </cell>
          <cell r="J403" t="str">
            <v>ALL</v>
          </cell>
          <cell r="K403" t="str">
            <v>ALL</v>
          </cell>
          <cell r="L403" t="str">
            <v>WHS</v>
          </cell>
          <cell r="M403" t="str">
            <v>-</v>
          </cell>
          <cell r="N403" t="str">
            <v>WHS SUPPLY</v>
          </cell>
          <cell r="O403" t="str">
            <v>A (NS)</v>
          </cell>
        </row>
        <row r="404">
          <cell r="A404">
            <v>22003</v>
          </cell>
          <cell r="B404" t="str">
            <v>SODIQUR ROSIDIN</v>
          </cell>
          <cell r="C404" t="str">
            <v>SAMI</v>
          </cell>
          <cell r="D404" t="str">
            <v>OPT-546</v>
          </cell>
          <cell r="E404">
            <v>43139</v>
          </cell>
          <cell r="F404">
            <v>43167</v>
          </cell>
          <cell r="G404">
            <v>43524</v>
          </cell>
          <cell r="H404" t="str">
            <v>LOG</v>
          </cell>
          <cell r="I404" t="str">
            <v>WHS</v>
          </cell>
          <cell r="J404" t="str">
            <v>ALL</v>
          </cell>
          <cell r="K404" t="str">
            <v>ALL</v>
          </cell>
          <cell r="L404" t="str">
            <v>WHS</v>
          </cell>
          <cell r="M404" t="str">
            <v>-</v>
          </cell>
          <cell r="N404" t="str">
            <v>WHS SUPPLY</v>
          </cell>
          <cell r="O404" t="str">
            <v>A (NS)</v>
          </cell>
        </row>
        <row r="405">
          <cell r="A405">
            <v>5549</v>
          </cell>
          <cell r="B405" t="str">
            <v>SRI WINARNI</v>
          </cell>
          <cell r="C405" t="str">
            <v>SAMI</v>
          </cell>
          <cell r="D405" t="str">
            <v>OPT-130</v>
          </cell>
          <cell r="E405">
            <v>39052</v>
          </cell>
          <cell r="F405" t="str">
            <v>-</v>
          </cell>
          <cell r="G405" t="str">
            <v>-</v>
          </cell>
          <cell r="H405" t="str">
            <v>LOG</v>
          </cell>
          <cell r="I405" t="str">
            <v>WHS</v>
          </cell>
          <cell r="J405" t="str">
            <v>ALL</v>
          </cell>
          <cell r="K405" t="str">
            <v>ALL</v>
          </cell>
          <cell r="L405" t="str">
            <v>WHS</v>
          </cell>
          <cell r="M405" t="str">
            <v>UNLOADING</v>
          </cell>
          <cell r="N405" t="str">
            <v>WHS IN</v>
          </cell>
          <cell r="O405" t="str">
            <v>B</v>
          </cell>
        </row>
        <row r="406">
          <cell r="A406">
            <v>5748</v>
          </cell>
          <cell r="B406" t="str">
            <v>WAHYU SUDRAJAT</v>
          </cell>
          <cell r="C406" t="str">
            <v>SAMI</v>
          </cell>
          <cell r="D406" t="str">
            <v>OPT-134</v>
          </cell>
          <cell r="E406">
            <v>39098</v>
          </cell>
          <cell r="F406" t="str">
            <v>-</v>
          </cell>
          <cell r="G406" t="str">
            <v>-</v>
          </cell>
          <cell r="H406" t="str">
            <v>LOG</v>
          </cell>
          <cell r="I406" t="str">
            <v>WHS</v>
          </cell>
          <cell r="J406" t="str">
            <v>ALL</v>
          </cell>
          <cell r="K406" t="str">
            <v>ALL</v>
          </cell>
          <cell r="L406" t="str">
            <v>WHS</v>
          </cell>
          <cell r="M406" t="str">
            <v>LEADER (AI)</v>
          </cell>
          <cell r="N406" t="str">
            <v>FPS LL</v>
          </cell>
          <cell r="O406" t="str">
            <v>B</v>
          </cell>
        </row>
        <row r="407">
          <cell r="A407">
            <v>5905</v>
          </cell>
          <cell r="B407" t="str">
            <v>HERU SETIAWAN</v>
          </cell>
          <cell r="C407" t="str">
            <v>SAMI</v>
          </cell>
          <cell r="D407" t="str">
            <v>OPT-137</v>
          </cell>
          <cell r="E407">
            <v>39129</v>
          </cell>
          <cell r="F407" t="str">
            <v>-</v>
          </cell>
          <cell r="G407" t="str">
            <v>-</v>
          </cell>
          <cell r="H407" t="str">
            <v>LOG</v>
          </cell>
          <cell r="I407" t="str">
            <v>WHS</v>
          </cell>
          <cell r="J407" t="str">
            <v>ALL</v>
          </cell>
          <cell r="K407" t="str">
            <v>ALL</v>
          </cell>
          <cell r="L407" t="str">
            <v>WHS</v>
          </cell>
          <cell r="M407" t="str">
            <v>-</v>
          </cell>
          <cell r="N407" t="str">
            <v>WHS IN</v>
          </cell>
          <cell r="O407" t="str">
            <v>B</v>
          </cell>
        </row>
        <row r="408">
          <cell r="A408">
            <v>6029</v>
          </cell>
          <cell r="B408" t="str">
            <v>AGUS VRIYANTO</v>
          </cell>
          <cell r="C408" t="str">
            <v>SAMI</v>
          </cell>
          <cell r="D408" t="str">
            <v>OPT-139</v>
          </cell>
          <cell r="E408">
            <v>39142</v>
          </cell>
          <cell r="F408" t="str">
            <v>-</v>
          </cell>
          <cell r="G408" t="str">
            <v>-</v>
          </cell>
          <cell r="H408" t="str">
            <v>LOG</v>
          </cell>
          <cell r="I408" t="str">
            <v>WHS</v>
          </cell>
          <cell r="J408" t="str">
            <v>ALL</v>
          </cell>
          <cell r="K408" t="str">
            <v>ALL</v>
          </cell>
          <cell r="L408" t="str">
            <v>WHS</v>
          </cell>
          <cell r="M408" t="str">
            <v>GL WHS</v>
          </cell>
          <cell r="N408" t="str">
            <v>WHS SUPPLY</v>
          </cell>
          <cell r="O408" t="str">
            <v>B</v>
          </cell>
        </row>
        <row r="409">
          <cell r="A409">
            <v>6032</v>
          </cell>
          <cell r="B409" t="str">
            <v>ANDUNG SETYO</v>
          </cell>
          <cell r="C409" t="str">
            <v>SAMI</v>
          </cell>
          <cell r="D409" t="str">
            <v>OPT-139</v>
          </cell>
          <cell r="E409">
            <v>39142</v>
          </cell>
          <cell r="F409" t="str">
            <v>-</v>
          </cell>
          <cell r="G409" t="str">
            <v>-</v>
          </cell>
          <cell r="H409" t="str">
            <v>LOG</v>
          </cell>
          <cell r="I409" t="str">
            <v>WHS</v>
          </cell>
          <cell r="J409" t="str">
            <v>ALL</v>
          </cell>
          <cell r="K409" t="str">
            <v>ALL</v>
          </cell>
          <cell r="L409" t="str">
            <v>WHS</v>
          </cell>
          <cell r="M409" t="str">
            <v>C/M AI</v>
          </cell>
          <cell r="N409" t="str">
            <v>WHS SUPPLY</v>
          </cell>
          <cell r="O409" t="str">
            <v>B</v>
          </cell>
        </row>
        <row r="410">
          <cell r="A410">
            <v>6181</v>
          </cell>
          <cell r="B410" t="str">
            <v>EKO PUJIANTO</v>
          </cell>
          <cell r="C410" t="str">
            <v>SAMI</v>
          </cell>
          <cell r="D410" t="str">
            <v>OPT-141</v>
          </cell>
          <cell r="E410">
            <v>39173</v>
          </cell>
          <cell r="F410" t="str">
            <v>-</v>
          </cell>
          <cell r="G410" t="str">
            <v>-</v>
          </cell>
          <cell r="H410" t="str">
            <v>LOG</v>
          </cell>
          <cell r="I410" t="str">
            <v>WHS</v>
          </cell>
          <cell r="J410" t="str">
            <v>ALL</v>
          </cell>
          <cell r="K410" t="str">
            <v>ALL</v>
          </cell>
          <cell r="L410" t="str">
            <v>WHS</v>
          </cell>
          <cell r="M410" t="str">
            <v>UNLOADING</v>
          </cell>
          <cell r="N410" t="str">
            <v>WHS SUPPLY</v>
          </cell>
          <cell r="O410" t="str">
            <v>B</v>
          </cell>
        </row>
        <row r="411">
          <cell r="A411">
            <v>6368</v>
          </cell>
          <cell r="B411" t="str">
            <v>SRI WARDOYO</v>
          </cell>
          <cell r="C411" t="str">
            <v>SAMI</v>
          </cell>
          <cell r="D411" t="str">
            <v>OPT-148</v>
          </cell>
          <cell r="E411">
            <v>39279</v>
          </cell>
          <cell r="F411" t="str">
            <v>-</v>
          </cell>
          <cell r="G411" t="str">
            <v>-</v>
          </cell>
          <cell r="H411" t="str">
            <v>LOG</v>
          </cell>
          <cell r="I411" t="str">
            <v>WHS</v>
          </cell>
          <cell r="J411" t="str">
            <v>ALL</v>
          </cell>
          <cell r="K411" t="str">
            <v>ALL</v>
          </cell>
          <cell r="L411" t="str">
            <v>WHS</v>
          </cell>
          <cell r="M411" t="str">
            <v>LEADER</v>
          </cell>
          <cell r="N411" t="str">
            <v>FPS LL</v>
          </cell>
          <cell r="O411" t="str">
            <v>B</v>
          </cell>
        </row>
        <row r="412">
          <cell r="A412">
            <v>19438</v>
          </cell>
          <cell r="B412" t="str">
            <v>IMAM BUKORI</v>
          </cell>
          <cell r="C412" t="str">
            <v>SAMI</v>
          </cell>
          <cell r="D412" t="str">
            <v>OPT-481</v>
          </cell>
          <cell r="E412">
            <v>42303</v>
          </cell>
          <cell r="F412" t="str">
            <v>-</v>
          </cell>
          <cell r="G412" t="str">
            <v>-</v>
          </cell>
          <cell r="H412" t="str">
            <v>LOG</v>
          </cell>
          <cell r="I412" t="str">
            <v>WHS</v>
          </cell>
          <cell r="J412" t="str">
            <v>ALL</v>
          </cell>
          <cell r="K412" t="str">
            <v>ALL</v>
          </cell>
          <cell r="L412" t="str">
            <v>WHS</v>
          </cell>
          <cell r="M412" t="str">
            <v>-</v>
          </cell>
          <cell r="N412" t="str">
            <v>WHS SUPPLY</v>
          </cell>
          <cell r="O412" t="str">
            <v>B</v>
          </cell>
        </row>
        <row r="413">
          <cell r="A413">
            <v>19443</v>
          </cell>
          <cell r="B413" t="str">
            <v>SIGIT SAWIJI</v>
          </cell>
          <cell r="C413" t="str">
            <v>SAMI</v>
          </cell>
          <cell r="D413" t="str">
            <v>OPT-481</v>
          </cell>
          <cell r="E413">
            <v>42303</v>
          </cell>
          <cell r="F413" t="str">
            <v>-</v>
          </cell>
          <cell r="G413" t="str">
            <v>-</v>
          </cell>
          <cell r="H413" t="str">
            <v>LOG</v>
          </cell>
          <cell r="I413" t="str">
            <v>WHS</v>
          </cell>
          <cell r="J413" t="str">
            <v>ALL</v>
          </cell>
          <cell r="K413" t="str">
            <v>ALL</v>
          </cell>
          <cell r="L413" t="str">
            <v>WHS</v>
          </cell>
          <cell r="M413" t="str">
            <v>-</v>
          </cell>
          <cell r="N413" t="str">
            <v>WHS SUPPLY</v>
          </cell>
          <cell r="O413" t="str">
            <v>B</v>
          </cell>
        </row>
        <row r="414">
          <cell r="A414">
            <v>21005</v>
          </cell>
          <cell r="B414" t="str">
            <v xml:space="preserve">FAISAL ROMIAWAN </v>
          </cell>
          <cell r="C414" t="str">
            <v>SAMI</v>
          </cell>
          <cell r="D414" t="str">
            <v>OPT-513</v>
          </cell>
          <cell r="E414">
            <v>42674</v>
          </cell>
          <cell r="F414">
            <v>43160</v>
          </cell>
          <cell r="G414">
            <v>43524</v>
          </cell>
          <cell r="H414" t="str">
            <v>LOG</v>
          </cell>
          <cell r="I414" t="str">
            <v>WHS</v>
          </cell>
          <cell r="J414" t="str">
            <v>ALL</v>
          </cell>
          <cell r="K414" t="str">
            <v>ALL</v>
          </cell>
          <cell r="L414" t="str">
            <v>WHS</v>
          </cell>
          <cell r="M414" t="str">
            <v>-</v>
          </cell>
          <cell r="N414" t="str">
            <v>WHS SUPPLY</v>
          </cell>
          <cell r="O414" t="str">
            <v>B</v>
          </cell>
        </row>
        <row r="415">
          <cell r="A415" t="str">
            <v>B01848</v>
          </cell>
          <cell r="B415" t="str">
            <v>ARIF AFANDI</v>
          </cell>
          <cell r="C415" t="str">
            <v>SAMI</v>
          </cell>
          <cell r="D415" t="str">
            <v>BBF-069</v>
          </cell>
          <cell r="E415">
            <v>41445</v>
          </cell>
          <cell r="F415" t="str">
            <v>-</v>
          </cell>
          <cell r="G415" t="str">
            <v>-</v>
          </cell>
          <cell r="H415" t="str">
            <v>LOG</v>
          </cell>
          <cell r="I415" t="str">
            <v>WHS</v>
          </cell>
          <cell r="J415" t="str">
            <v>ALL</v>
          </cell>
          <cell r="K415" t="str">
            <v>ALL</v>
          </cell>
          <cell r="L415" t="str">
            <v>WHS</v>
          </cell>
          <cell r="M415" t="str">
            <v>-</v>
          </cell>
          <cell r="N415" t="str">
            <v>WHS SUPPLY</v>
          </cell>
          <cell r="O415" t="str">
            <v>B</v>
          </cell>
        </row>
        <row r="416">
          <cell r="A416">
            <v>22248</v>
          </cell>
          <cell r="B416" t="str">
            <v>AJI ANJASMORO</v>
          </cell>
          <cell r="C416" t="str">
            <v>SAMI</v>
          </cell>
          <cell r="D416" t="str">
            <v>OPT-552</v>
          </cell>
          <cell r="E416">
            <v>43171</v>
          </cell>
          <cell r="F416">
            <v>43202</v>
          </cell>
          <cell r="G416">
            <v>43555</v>
          </cell>
          <cell r="H416" t="str">
            <v>LOG</v>
          </cell>
          <cell r="I416" t="str">
            <v>WHS</v>
          </cell>
          <cell r="J416" t="str">
            <v>ALL</v>
          </cell>
          <cell r="K416" t="str">
            <v>ALL</v>
          </cell>
          <cell r="L416" t="str">
            <v>WHS</v>
          </cell>
          <cell r="M416" t="str">
            <v>-</v>
          </cell>
          <cell r="N416" t="str">
            <v>WHS SUPPLY</v>
          </cell>
          <cell r="O416" t="str">
            <v>A (NS)</v>
          </cell>
        </row>
        <row r="417">
          <cell r="A417">
            <v>22253</v>
          </cell>
          <cell r="B417" t="str">
            <v>MOCHAMAD MUSTAKIM</v>
          </cell>
          <cell r="C417" t="str">
            <v>SAMI</v>
          </cell>
          <cell r="D417" t="str">
            <v>OPT-552</v>
          </cell>
          <cell r="E417">
            <v>43171</v>
          </cell>
          <cell r="F417">
            <v>43202</v>
          </cell>
          <cell r="G417">
            <v>43555</v>
          </cell>
          <cell r="H417" t="str">
            <v>LOG</v>
          </cell>
          <cell r="I417" t="str">
            <v>WHS</v>
          </cell>
          <cell r="J417" t="str">
            <v>ALL</v>
          </cell>
          <cell r="K417" t="str">
            <v>ALL</v>
          </cell>
          <cell r="L417" t="str">
            <v>WHS</v>
          </cell>
          <cell r="M417" t="str">
            <v>-</v>
          </cell>
          <cell r="N417" t="str">
            <v>WHS SUPPLY</v>
          </cell>
          <cell r="O417" t="str">
            <v>A (NS)</v>
          </cell>
        </row>
        <row r="418">
          <cell r="A418">
            <v>22276</v>
          </cell>
          <cell r="B418" t="str">
            <v>ALFAN RAHMADHANY</v>
          </cell>
          <cell r="C418" t="str">
            <v>SAMI</v>
          </cell>
          <cell r="D418" t="str">
            <v>OPT-555</v>
          </cell>
          <cell r="E418">
            <v>43192</v>
          </cell>
          <cell r="F418">
            <v>43222</v>
          </cell>
          <cell r="G418">
            <v>43585</v>
          </cell>
          <cell r="H418" t="str">
            <v>LOG</v>
          </cell>
          <cell r="I418" t="str">
            <v>WHS</v>
          </cell>
          <cell r="J418" t="str">
            <v>ALL</v>
          </cell>
          <cell r="K418" t="str">
            <v>ALL</v>
          </cell>
          <cell r="L418" t="str">
            <v>WHS</v>
          </cell>
          <cell r="M418" t="str">
            <v>-</v>
          </cell>
          <cell r="N418" t="str">
            <v>WHS SUPPLY</v>
          </cell>
          <cell r="O418" t="str">
            <v>A (NS)</v>
          </cell>
        </row>
        <row r="419">
          <cell r="A419">
            <v>22300</v>
          </cell>
          <cell r="B419" t="str">
            <v>MUH ABDUL MUNIF</v>
          </cell>
          <cell r="C419" t="str">
            <v>SAMI</v>
          </cell>
          <cell r="D419" t="str">
            <v>OPT-555</v>
          </cell>
          <cell r="E419">
            <v>43192</v>
          </cell>
          <cell r="F419">
            <v>43222</v>
          </cell>
          <cell r="G419">
            <v>43585</v>
          </cell>
          <cell r="H419" t="str">
            <v>LOG</v>
          </cell>
          <cell r="I419" t="str">
            <v>WHS</v>
          </cell>
          <cell r="J419" t="str">
            <v>ALL</v>
          </cell>
          <cell r="K419" t="str">
            <v>ALL</v>
          </cell>
          <cell r="L419" t="str">
            <v>WHS</v>
          </cell>
          <cell r="M419" t="str">
            <v>-</v>
          </cell>
          <cell r="N419" t="str">
            <v>WHS SUPPLY</v>
          </cell>
          <cell r="O419" t="str">
            <v>A (NS)</v>
          </cell>
        </row>
        <row r="420">
          <cell r="A420">
            <v>22320</v>
          </cell>
          <cell r="B420" t="str">
            <v>WAHYU ADI SURYANTO</v>
          </cell>
          <cell r="C420" t="str">
            <v>SAMI</v>
          </cell>
          <cell r="D420" t="str">
            <v>OPT-555</v>
          </cell>
          <cell r="E420">
            <v>43192</v>
          </cell>
          <cell r="F420">
            <v>43222</v>
          </cell>
          <cell r="G420">
            <v>43585</v>
          </cell>
          <cell r="H420" t="str">
            <v>LOG</v>
          </cell>
          <cell r="I420" t="str">
            <v>WHS</v>
          </cell>
          <cell r="J420" t="str">
            <v>ALL</v>
          </cell>
          <cell r="K420" t="str">
            <v>ALL</v>
          </cell>
          <cell r="L420" t="str">
            <v>WHS</v>
          </cell>
          <cell r="M420" t="str">
            <v>-</v>
          </cell>
          <cell r="N420" t="str">
            <v>WHS SUPPLY</v>
          </cell>
          <cell r="O420" t="str">
            <v>A (NS)</v>
          </cell>
        </row>
        <row r="421">
          <cell r="A421">
            <v>22703</v>
          </cell>
          <cell r="B421" t="str">
            <v>M AZIZUL KHAKIM</v>
          </cell>
          <cell r="C421" t="str">
            <v>SAMI</v>
          </cell>
          <cell r="D421" t="str">
            <v>OPT-563</v>
          </cell>
          <cell r="E421">
            <v>43244</v>
          </cell>
          <cell r="F421">
            <v>43275</v>
          </cell>
          <cell r="G421">
            <v>43646</v>
          </cell>
          <cell r="H421" t="str">
            <v>LOG</v>
          </cell>
          <cell r="I421" t="str">
            <v>WHS</v>
          </cell>
          <cell r="J421" t="str">
            <v>ALL</v>
          </cell>
          <cell r="K421" t="str">
            <v>ALL</v>
          </cell>
          <cell r="L421" t="str">
            <v>WHS</v>
          </cell>
          <cell r="M421" t="str">
            <v>-</v>
          </cell>
          <cell r="N421" t="str">
            <v>WHS SUPPLY</v>
          </cell>
          <cell r="O421" t="str">
            <v>A (NS)</v>
          </cell>
        </row>
        <row r="422">
          <cell r="A422">
            <v>22364</v>
          </cell>
          <cell r="B422" t="str">
            <v>HARIYANTO</v>
          </cell>
          <cell r="C422" t="str">
            <v>SAMI</v>
          </cell>
          <cell r="D422" t="str">
            <v>OPT-557</v>
          </cell>
          <cell r="E422">
            <v>43200</v>
          </cell>
          <cell r="F422">
            <v>43230</v>
          </cell>
          <cell r="G422">
            <v>43585</v>
          </cell>
          <cell r="H422" t="str">
            <v>LOG</v>
          </cell>
          <cell r="I422" t="str">
            <v>WHS</v>
          </cell>
          <cell r="J422" t="str">
            <v>ALL</v>
          </cell>
          <cell r="K422" t="str">
            <v>ALL</v>
          </cell>
          <cell r="L422" t="str">
            <v>WHS</v>
          </cell>
          <cell r="M422" t="str">
            <v>-</v>
          </cell>
          <cell r="N422" t="str">
            <v>WHS SUPPLY</v>
          </cell>
          <cell r="O422" t="str">
            <v>A (NS)</v>
          </cell>
        </row>
        <row r="423">
          <cell r="A423">
            <v>22713</v>
          </cell>
          <cell r="B423" t="str">
            <v>RIFKA APRILIA</v>
          </cell>
          <cell r="C423" t="str">
            <v>SAMI</v>
          </cell>
          <cell r="D423" t="str">
            <v>OPT-563</v>
          </cell>
          <cell r="E423">
            <v>43244</v>
          </cell>
          <cell r="F423">
            <v>43275</v>
          </cell>
          <cell r="G423">
            <v>43646</v>
          </cell>
          <cell r="H423" t="str">
            <v>LOG</v>
          </cell>
          <cell r="I423" t="str">
            <v>WHS</v>
          </cell>
          <cell r="J423" t="str">
            <v>ALL</v>
          </cell>
          <cell r="K423" t="str">
            <v>ALL</v>
          </cell>
          <cell r="L423" t="str">
            <v>WHS</v>
          </cell>
          <cell r="M423" t="str">
            <v>-</v>
          </cell>
          <cell r="N423" t="str">
            <v>WHS SUPPLY</v>
          </cell>
          <cell r="O423" t="str">
            <v>A (NS)</v>
          </cell>
        </row>
        <row r="424">
          <cell r="A424">
            <v>22672</v>
          </cell>
          <cell r="B424" t="str">
            <v>PENI HANDAYANI</v>
          </cell>
          <cell r="C424" t="str">
            <v>SAMI</v>
          </cell>
          <cell r="D424" t="str">
            <v>OPT-562</v>
          </cell>
          <cell r="E424">
            <v>43241</v>
          </cell>
          <cell r="F424">
            <v>43272</v>
          </cell>
          <cell r="G424">
            <v>43646</v>
          </cell>
          <cell r="H424" t="str">
            <v>LOG</v>
          </cell>
          <cell r="I424" t="str">
            <v>WHS</v>
          </cell>
          <cell r="J424" t="str">
            <v>ALL</v>
          </cell>
          <cell r="K424" t="str">
            <v>ALL</v>
          </cell>
          <cell r="L424" t="str">
            <v>WHS</v>
          </cell>
          <cell r="M424" t="str">
            <v>-</v>
          </cell>
          <cell r="N424" t="str">
            <v>WHS SUPPLY</v>
          </cell>
          <cell r="O424" t="str">
            <v>A (NS)</v>
          </cell>
        </row>
        <row r="425">
          <cell r="A425">
            <v>22193</v>
          </cell>
          <cell r="B425" t="str">
            <v>PEBRI WAHYU LESTARI</v>
          </cell>
          <cell r="C425" t="str">
            <v>SAMI</v>
          </cell>
          <cell r="D425" t="str">
            <v>OPT-550</v>
          </cell>
          <cell r="E425">
            <v>43158</v>
          </cell>
          <cell r="F425">
            <v>43186</v>
          </cell>
          <cell r="G425">
            <v>43555</v>
          </cell>
          <cell r="H425" t="str">
            <v>LOG</v>
          </cell>
          <cell r="I425" t="str">
            <v>WHS</v>
          </cell>
          <cell r="J425" t="str">
            <v>ALL</v>
          </cell>
          <cell r="K425" t="str">
            <v>ALL</v>
          </cell>
          <cell r="L425" t="str">
            <v>WHS</v>
          </cell>
          <cell r="M425" t="str">
            <v>-</v>
          </cell>
          <cell r="N425" t="str">
            <v>WHS SUPPLY</v>
          </cell>
          <cell r="O425" t="str">
            <v>A (NS)</v>
          </cell>
        </row>
        <row r="426">
          <cell r="A426">
            <v>199</v>
          </cell>
          <cell r="B426" t="str">
            <v>HARYONO SUBROTO</v>
          </cell>
          <cell r="C426" t="str">
            <v>SAMI</v>
          </cell>
          <cell r="D426" t="str">
            <v>TKN-2</v>
          </cell>
          <cell r="E426">
            <v>37679</v>
          </cell>
          <cell r="F426" t="str">
            <v>-</v>
          </cell>
          <cell r="G426" t="str">
            <v>-</v>
          </cell>
          <cell r="H426" t="str">
            <v>MTC</v>
          </cell>
          <cell r="I426" t="str">
            <v>MTC</v>
          </cell>
          <cell r="J426" t="str">
            <v>ALL</v>
          </cell>
          <cell r="K426" t="str">
            <v>ALL</v>
          </cell>
          <cell r="L426" t="str">
            <v>CT</v>
          </cell>
          <cell r="M426" t="str">
            <v>LEADER PREPARATION CT</v>
          </cell>
          <cell r="N426" t="str">
            <v>FPS LL</v>
          </cell>
          <cell r="O426" t="str">
            <v>A (NS)</v>
          </cell>
        </row>
        <row r="427">
          <cell r="A427">
            <v>1203</v>
          </cell>
          <cell r="B427" t="str">
            <v>EKO RIYANTO</v>
          </cell>
          <cell r="C427" t="str">
            <v>SAMI</v>
          </cell>
          <cell r="D427" t="str">
            <v>TKN-5</v>
          </cell>
          <cell r="E427">
            <v>37907</v>
          </cell>
          <cell r="F427" t="str">
            <v>-</v>
          </cell>
          <cell r="G427" t="str">
            <v>-</v>
          </cell>
          <cell r="H427" t="str">
            <v>MTC</v>
          </cell>
          <cell r="I427" t="str">
            <v>MTC</v>
          </cell>
          <cell r="J427" t="str">
            <v>ALL</v>
          </cell>
          <cell r="K427" t="str">
            <v>ALL</v>
          </cell>
          <cell r="L427" t="str">
            <v>CT</v>
          </cell>
          <cell r="M427" t="str">
            <v>CS &amp; BS + IPS</v>
          </cell>
          <cell r="N427" t="str">
            <v>CRIMP STD</v>
          </cell>
          <cell r="O427" t="str">
            <v>A (NS)</v>
          </cell>
        </row>
        <row r="428">
          <cell r="A428">
            <v>5220</v>
          </cell>
          <cell r="B428" t="str">
            <v>PURWANTORO</v>
          </cell>
          <cell r="C428" t="str">
            <v>SAMI</v>
          </cell>
          <cell r="D428" t="str">
            <v>TKN-27</v>
          </cell>
          <cell r="E428">
            <v>38961</v>
          </cell>
          <cell r="F428" t="str">
            <v>-</v>
          </cell>
          <cell r="G428" t="str">
            <v>-</v>
          </cell>
          <cell r="H428" t="str">
            <v>MTC</v>
          </cell>
          <cell r="I428" t="str">
            <v>MTC</v>
          </cell>
          <cell r="J428" t="str">
            <v>ALL</v>
          </cell>
          <cell r="K428" t="str">
            <v>ALL</v>
          </cell>
          <cell r="L428" t="str">
            <v>CT</v>
          </cell>
          <cell r="M428" t="str">
            <v>PREPARATION CT &amp; MODIF APPL</v>
          </cell>
          <cell r="N428" t="str">
            <v>CROSS SECT.</v>
          </cell>
          <cell r="O428" t="str">
            <v>A (NS)</v>
          </cell>
        </row>
        <row r="429">
          <cell r="A429">
            <v>14093</v>
          </cell>
          <cell r="B429" t="str">
            <v>MUKHAMMAD FAUZI</v>
          </cell>
          <cell r="C429" t="str">
            <v>SAMI</v>
          </cell>
          <cell r="D429" t="str">
            <v>OPT-364</v>
          </cell>
          <cell r="E429">
            <v>41306</v>
          </cell>
          <cell r="F429" t="str">
            <v>-</v>
          </cell>
          <cell r="G429" t="str">
            <v>-</v>
          </cell>
          <cell r="H429" t="str">
            <v>MTC</v>
          </cell>
          <cell r="I429" t="str">
            <v>MTC</v>
          </cell>
          <cell r="J429" t="str">
            <v>ALL</v>
          </cell>
          <cell r="K429" t="str">
            <v>ALL</v>
          </cell>
          <cell r="L429" t="str">
            <v>CT</v>
          </cell>
          <cell r="M429" t="str">
            <v>CS &amp; BS + IPS &amp; ORDERING</v>
          </cell>
          <cell r="N429" t="str">
            <v>CRIMP STD</v>
          </cell>
          <cell r="O429" t="str">
            <v>A (NS)</v>
          </cell>
        </row>
        <row r="430">
          <cell r="A430">
            <v>790</v>
          </cell>
          <cell r="B430" t="str">
            <v>HENDAR NOVIYANTO</v>
          </cell>
          <cell r="C430" t="str">
            <v>SAMI</v>
          </cell>
          <cell r="D430" t="str">
            <v>TKN-3</v>
          </cell>
          <cell r="E430">
            <v>37830</v>
          </cell>
          <cell r="F430" t="str">
            <v>-</v>
          </cell>
          <cell r="G430" t="str">
            <v>-</v>
          </cell>
          <cell r="H430" t="str">
            <v>MTC</v>
          </cell>
          <cell r="I430" t="str">
            <v>MTC</v>
          </cell>
          <cell r="J430" t="str">
            <v>ALL</v>
          </cell>
          <cell r="K430" t="str">
            <v>ALL</v>
          </cell>
          <cell r="L430" t="str">
            <v>MTC</v>
          </cell>
          <cell r="M430" t="str">
            <v>PREPARATION, OVER HOUL, IMPROVEMENT</v>
          </cell>
          <cell r="N430" t="str">
            <v>CBP</v>
          </cell>
          <cell r="O430" t="str">
            <v>A (NS)</v>
          </cell>
        </row>
        <row r="431">
          <cell r="A431">
            <v>4041</v>
          </cell>
          <cell r="B431" t="str">
            <v>YUDHISTIRA SETYABUDI</v>
          </cell>
          <cell r="C431" t="str">
            <v>SAMI</v>
          </cell>
          <cell r="D431" t="str">
            <v>TKN-21</v>
          </cell>
          <cell r="E431">
            <v>38722</v>
          </cell>
          <cell r="F431" t="str">
            <v>-</v>
          </cell>
          <cell r="G431" t="str">
            <v>-</v>
          </cell>
          <cell r="H431" t="str">
            <v>MTC</v>
          </cell>
          <cell r="I431" t="str">
            <v>MTC</v>
          </cell>
          <cell r="J431" t="str">
            <v>ALL</v>
          </cell>
          <cell r="K431" t="str">
            <v>ALL</v>
          </cell>
          <cell r="L431" t="str">
            <v>MTC</v>
          </cell>
          <cell r="M431" t="str">
            <v>BREAKDOWN</v>
          </cell>
          <cell r="N431" t="str">
            <v>MTC</v>
          </cell>
          <cell r="O431" t="str">
            <v>A</v>
          </cell>
        </row>
        <row r="432">
          <cell r="A432">
            <v>5558</v>
          </cell>
          <cell r="B432" t="str">
            <v>MATIYAS NURUL FAJAR</v>
          </cell>
          <cell r="C432" t="str">
            <v>SAMI</v>
          </cell>
          <cell r="D432" t="str">
            <v>TKN-33</v>
          </cell>
          <cell r="E432">
            <v>39052</v>
          </cell>
          <cell r="F432" t="str">
            <v>-</v>
          </cell>
          <cell r="G432" t="str">
            <v>-</v>
          </cell>
          <cell r="H432" t="str">
            <v>MTC</v>
          </cell>
          <cell r="I432" t="str">
            <v>MTC</v>
          </cell>
          <cell r="J432" t="str">
            <v>ALL</v>
          </cell>
          <cell r="K432" t="str">
            <v>ALL</v>
          </cell>
          <cell r="L432" t="str">
            <v>MTC</v>
          </cell>
          <cell r="M432" t="str">
            <v>BREAKDOWN</v>
          </cell>
          <cell r="N432" t="str">
            <v>MTC</v>
          </cell>
          <cell r="O432" t="str">
            <v>B</v>
          </cell>
        </row>
        <row r="433">
          <cell r="A433">
            <v>7558</v>
          </cell>
          <cell r="B433" t="str">
            <v>JUHADI</v>
          </cell>
          <cell r="C433" t="str">
            <v>SAMI</v>
          </cell>
          <cell r="D433" t="str">
            <v>TKN-42</v>
          </cell>
          <cell r="E433">
            <v>39600</v>
          </cell>
          <cell r="F433" t="str">
            <v>-</v>
          </cell>
          <cell r="G433" t="str">
            <v>-</v>
          </cell>
          <cell r="H433" t="str">
            <v>MTC</v>
          </cell>
          <cell r="I433" t="str">
            <v>MTC</v>
          </cell>
          <cell r="J433" t="str">
            <v>ALL</v>
          </cell>
          <cell r="K433" t="str">
            <v>ALL</v>
          </cell>
          <cell r="L433" t="str">
            <v>MTC</v>
          </cell>
          <cell r="M433" t="str">
            <v>BREAKDOWN</v>
          </cell>
          <cell r="N433" t="str">
            <v>MTC</v>
          </cell>
          <cell r="O433" t="str">
            <v>A</v>
          </cell>
        </row>
        <row r="434">
          <cell r="A434">
            <v>7788</v>
          </cell>
          <cell r="B434" t="str">
            <v>PURWANTO</v>
          </cell>
          <cell r="C434" t="str">
            <v>SAMI</v>
          </cell>
          <cell r="D434" t="str">
            <v>TKN-43</v>
          </cell>
          <cell r="E434">
            <v>39630</v>
          </cell>
          <cell r="F434" t="str">
            <v>-</v>
          </cell>
          <cell r="G434" t="str">
            <v>-</v>
          </cell>
          <cell r="H434" t="str">
            <v>MTC</v>
          </cell>
          <cell r="I434" t="str">
            <v>MTC</v>
          </cell>
          <cell r="J434" t="str">
            <v>ALL</v>
          </cell>
          <cell r="K434" t="str">
            <v>ALL</v>
          </cell>
          <cell r="L434" t="str">
            <v>MTC</v>
          </cell>
          <cell r="M434" t="str">
            <v>BREAKDOWN</v>
          </cell>
          <cell r="N434" t="str">
            <v>MTC</v>
          </cell>
          <cell r="O434" t="str">
            <v>B</v>
          </cell>
        </row>
        <row r="435">
          <cell r="A435">
            <v>8043</v>
          </cell>
          <cell r="B435" t="str">
            <v>SONY WAHYU ERLANTO</v>
          </cell>
          <cell r="C435" t="str">
            <v>SAMI</v>
          </cell>
          <cell r="D435" t="str">
            <v>TKN-44</v>
          </cell>
          <cell r="E435">
            <v>39661</v>
          </cell>
          <cell r="F435" t="str">
            <v>-</v>
          </cell>
          <cell r="G435" t="str">
            <v>-</v>
          </cell>
          <cell r="H435" t="str">
            <v>MTC</v>
          </cell>
          <cell r="I435" t="str">
            <v>MTC</v>
          </cell>
          <cell r="J435" t="str">
            <v>ALL</v>
          </cell>
          <cell r="K435" t="str">
            <v>ALL</v>
          </cell>
          <cell r="L435" t="str">
            <v>MTC</v>
          </cell>
          <cell r="M435" t="str">
            <v>BREAKDOWN</v>
          </cell>
          <cell r="N435" t="str">
            <v>MTC</v>
          </cell>
          <cell r="O435" t="str">
            <v>A (NS)</v>
          </cell>
        </row>
        <row r="436">
          <cell r="A436">
            <v>13418</v>
          </cell>
          <cell r="B436" t="str">
            <v>ACHMAD NOOR RIYADI</v>
          </cell>
          <cell r="C436" t="str">
            <v>SAMI</v>
          </cell>
          <cell r="D436" t="str">
            <v>TKN-64</v>
          </cell>
          <cell r="E436">
            <v>40932</v>
          </cell>
          <cell r="F436" t="str">
            <v>-</v>
          </cell>
          <cell r="G436" t="str">
            <v>-</v>
          </cell>
          <cell r="H436" t="str">
            <v>MTC</v>
          </cell>
          <cell r="I436" t="str">
            <v>MTC</v>
          </cell>
          <cell r="J436" t="str">
            <v>ALL</v>
          </cell>
          <cell r="K436" t="str">
            <v>ALL</v>
          </cell>
          <cell r="L436" t="str">
            <v>MTC</v>
          </cell>
          <cell r="M436" t="str">
            <v>BREAKDOWN</v>
          </cell>
          <cell r="N436" t="str">
            <v>MTC</v>
          </cell>
          <cell r="O436" t="str">
            <v>B</v>
          </cell>
        </row>
        <row r="437">
          <cell r="A437">
            <v>13627</v>
          </cell>
          <cell r="B437" t="str">
            <v>TAUFIK RAMA FARADISA</v>
          </cell>
          <cell r="C437" t="str">
            <v>SAMI</v>
          </cell>
          <cell r="D437" t="str">
            <v>TKN-68</v>
          </cell>
          <cell r="E437">
            <v>40973</v>
          </cell>
          <cell r="F437" t="str">
            <v>-</v>
          </cell>
          <cell r="G437" t="str">
            <v>-</v>
          </cell>
          <cell r="H437" t="str">
            <v>MTC</v>
          </cell>
          <cell r="I437" t="str">
            <v>MTC</v>
          </cell>
          <cell r="J437" t="str">
            <v>ALL</v>
          </cell>
          <cell r="K437" t="str">
            <v>ALL</v>
          </cell>
          <cell r="L437" t="str">
            <v>MTC</v>
          </cell>
          <cell r="M437" t="str">
            <v>BREAKDOWN</v>
          </cell>
          <cell r="N437" t="str">
            <v>MTC</v>
          </cell>
          <cell r="O437" t="str">
            <v>A</v>
          </cell>
        </row>
        <row r="438">
          <cell r="A438">
            <v>197</v>
          </cell>
          <cell r="B438" t="str">
            <v>EDY ISMANTO</v>
          </cell>
          <cell r="C438" t="str">
            <v>SAMI</v>
          </cell>
          <cell r="D438" t="str">
            <v>TKN-2</v>
          </cell>
          <cell r="E438">
            <v>37679</v>
          </cell>
          <cell r="F438" t="str">
            <v>-</v>
          </cell>
          <cell r="G438" t="str">
            <v>-</v>
          </cell>
          <cell r="H438" t="str">
            <v>MTC</v>
          </cell>
          <cell r="I438" t="str">
            <v>MTC</v>
          </cell>
          <cell r="J438" t="str">
            <v>ALL</v>
          </cell>
          <cell r="K438" t="str">
            <v>ALL</v>
          </cell>
          <cell r="L438" t="str">
            <v>MTC</v>
          </cell>
          <cell r="M438" t="str">
            <v>LEADER PREPARATION &amp; IMPROVEMENT</v>
          </cell>
          <cell r="N438" t="str">
            <v>FPS LL</v>
          </cell>
          <cell r="O438" t="str">
            <v>A (NS)</v>
          </cell>
        </row>
        <row r="439">
          <cell r="A439">
            <v>788</v>
          </cell>
          <cell r="B439" t="str">
            <v>SUPRIONO</v>
          </cell>
          <cell r="C439" t="str">
            <v>SAMI</v>
          </cell>
          <cell r="D439" t="str">
            <v>TKN-3</v>
          </cell>
          <cell r="E439">
            <v>37830</v>
          </cell>
          <cell r="F439" t="str">
            <v>-</v>
          </cell>
          <cell r="G439" t="str">
            <v>-</v>
          </cell>
          <cell r="H439" t="str">
            <v>MTC</v>
          </cell>
          <cell r="I439" t="str">
            <v>MTC</v>
          </cell>
          <cell r="J439" t="str">
            <v>ALL</v>
          </cell>
          <cell r="K439" t="str">
            <v>ALL</v>
          </cell>
          <cell r="L439" t="str">
            <v>MTC</v>
          </cell>
          <cell r="M439" t="str">
            <v>LEADER MTC BREAKDOWN</v>
          </cell>
          <cell r="N439" t="str">
            <v>FPI LL</v>
          </cell>
          <cell r="O439" t="str">
            <v>B</v>
          </cell>
        </row>
        <row r="440">
          <cell r="A440">
            <v>2409</v>
          </cell>
          <cell r="B440" t="str">
            <v>BONIR ARIO TUBAGUS</v>
          </cell>
          <cell r="C440" t="str">
            <v>SAMI</v>
          </cell>
          <cell r="D440" t="str">
            <v>SPV UP</v>
          </cell>
          <cell r="E440">
            <v>38189</v>
          </cell>
          <cell r="F440" t="str">
            <v>-</v>
          </cell>
          <cell r="G440" t="str">
            <v>-</v>
          </cell>
          <cell r="H440" t="str">
            <v>MTC</v>
          </cell>
          <cell r="I440" t="str">
            <v>MTC</v>
          </cell>
          <cell r="J440" t="str">
            <v>ALL</v>
          </cell>
          <cell r="K440" t="str">
            <v>ALL</v>
          </cell>
          <cell r="L440" t="str">
            <v>MTC</v>
          </cell>
          <cell r="M440" t="str">
            <v>SUPERVISOR</v>
          </cell>
          <cell r="N440" t="str">
            <v>FPS SPV</v>
          </cell>
          <cell r="O440" t="str">
            <v>A (NS)</v>
          </cell>
        </row>
        <row r="441">
          <cell r="A441">
            <v>5222</v>
          </cell>
          <cell r="B441" t="str">
            <v>MUGO SIHONO</v>
          </cell>
          <cell r="C441" t="str">
            <v>SAMI</v>
          </cell>
          <cell r="D441" t="str">
            <v>TKN-27</v>
          </cell>
          <cell r="E441">
            <v>38961</v>
          </cell>
          <cell r="F441" t="str">
            <v>-</v>
          </cell>
          <cell r="G441" t="str">
            <v>-</v>
          </cell>
          <cell r="H441" t="str">
            <v>MTC</v>
          </cell>
          <cell r="I441" t="str">
            <v>MTC</v>
          </cell>
          <cell r="J441" t="str">
            <v>ALL</v>
          </cell>
          <cell r="K441" t="str">
            <v>ALL</v>
          </cell>
          <cell r="L441" t="str">
            <v>MTC</v>
          </cell>
          <cell r="M441" t="str">
            <v>BREAKDOWN</v>
          </cell>
          <cell r="N441" t="str">
            <v>MTC</v>
          </cell>
          <cell r="O441" t="str">
            <v>A (NS)</v>
          </cell>
        </row>
        <row r="442">
          <cell r="A442">
            <v>5561</v>
          </cell>
          <cell r="B442" t="str">
            <v>SULIS HARIYANTO</v>
          </cell>
          <cell r="C442" t="str">
            <v>SAMI</v>
          </cell>
          <cell r="D442" t="str">
            <v>TKN-33</v>
          </cell>
          <cell r="E442">
            <v>39052</v>
          </cell>
          <cell r="F442" t="str">
            <v>-</v>
          </cell>
          <cell r="G442" t="str">
            <v>-</v>
          </cell>
          <cell r="H442" t="str">
            <v>MTC</v>
          </cell>
          <cell r="I442" t="str">
            <v>MTC</v>
          </cell>
          <cell r="J442" t="str">
            <v>ALL</v>
          </cell>
          <cell r="K442" t="str">
            <v>ALL</v>
          </cell>
          <cell r="L442" t="str">
            <v>MTC</v>
          </cell>
          <cell r="M442" t="str">
            <v>LEADER ANALISIS DOWNTIME</v>
          </cell>
          <cell r="N442" t="str">
            <v>FPI LL</v>
          </cell>
          <cell r="O442" t="str">
            <v>A (NS)</v>
          </cell>
        </row>
        <row r="443">
          <cell r="A443">
            <v>6113</v>
          </cell>
          <cell r="B443" t="str">
            <v>GEDE WIJI SANTOSO</v>
          </cell>
          <cell r="C443" t="str">
            <v>SAMI</v>
          </cell>
          <cell r="D443" t="str">
            <v>TKN-37</v>
          </cell>
          <cell r="E443">
            <v>39142</v>
          </cell>
          <cell r="F443" t="str">
            <v>-</v>
          </cell>
          <cell r="G443" t="str">
            <v>-</v>
          </cell>
          <cell r="H443" t="str">
            <v>MTC</v>
          </cell>
          <cell r="I443" t="str">
            <v>MTC</v>
          </cell>
          <cell r="J443" t="str">
            <v>ALL</v>
          </cell>
          <cell r="K443" t="str">
            <v>ALL</v>
          </cell>
          <cell r="L443" t="str">
            <v>MTC</v>
          </cell>
          <cell r="M443" t="str">
            <v>LEADER MACHINE LOADING</v>
          </cell>
          <cell r="N443" t="str">
            <v>FPS LL</v>
          </cell>
          <cell r="O443" t="str">
            <v>A (NS)</v>
          </cell>
        </row>
        <row r="444">
          <cell r="A444">
            <v>6118</v>
          </cell>
          <cell r="B444" t="str">
            <v>MASBIKHIN</v>
          </cell>
          <cell r="C444" t="str">
            <v>SAMI</v>
          </cell>
          <cell r="D444" t="str">
            <v>ADM-32</v>
          </cell>
          <cell r="E444">
            <v>39142</v>
          </cell>
          <cell r="F444" t="str">
            <v>-</v>
          </cell>
          <cell r="G444" t="str">
            <v>-</v>
          </cell>
          <cell r="H444" t="str">
            <v>MTC</v>
          </cell>
          <cell r="I444" t="str">
            <v>MTC</v>
          </cell>
          <cell r="J444" t="str">
            <v>ALL</v>
          </cell>
          <cell r="K444" t="str">
            <v>ALL</v>
          </cell>
          <cell r="L444" t="str">
            <v>MTC</v>
          </cell>
          <cell r="M444" t="str">
            <v>LEADER CONTROL PREVENTIV PC</v>
          </cell>
          <cell r="N444" t="str">
            <v>FPI LL</v>
          </cell>
          <cell r="O444" t="str">
            <v>A (NS)</v>
          </cell>
        </row>
        <row r="445">
          <cell r="A445">
            <v>9312</v>
          </cell>
          <cell r="B445" t="str">
            <v>PUJI ASTUTI</v>
          </cell>
          <cell r="C445" t="str">
            <v>SAMI</v>
          </cell>
          <cell r="D445" t="str">
            <v>OPT-216</v>
          </cell>
          <cell r="E445">
            <v>40148</v>
          </cell>
          <cell r="F445" t="str">
            <v>-</v>
          </cell>
          <cell r="G445" t="str">
            <v>-</v>
          </cell>
          <cell r="H445" t="str">
            <v>MTC</v>
          </cell>
          <cell r="I445" t="str">
            <v>MTC</v>
          </cell>
          <cell r="J445" t="str">
            <v>ALL</v>
          </cell>
          <cell r="K445" t="str">
            <v>ALL</v>
          </cell>
          <cell r="L445" t="str">
            <v>MTC</v>
          </cell>
          <cell r="M445" t="str">
            <v>ADMINISTRASI &amp; ANALISIS CONTROL DOWNTIME, CONTROL ASET</v>
          </cell>
          <cell r="N445" t="str">
            <v>DATA &amp; ORDERING</v>
          </cell>
          <cell r="O445" t="str">
            <v>A (NS)</v>
          </cell>
        </row>
        <row r="446">
          <cell r="A446">
            <v>9667</v>
          </cell>
          <cell r="B446" t="str">
            <v>ACHMAD SAEFUDIN ZUHRI</v>
          </cell>
          <cell r="C446" t="str">
            <v>SAMI</v>
          </cell>
          <cell r="D446" t="str">
            <v>OPT-220</v>
          </cell>
          <cell r="E446">
            <v>40269</v>
          </cell>
          <cell r="F446" t="str">
            <v>-</v>
          </cell>
          <cell r="G446" t="str">
            <v>-</v>
          </cell>
          <cell r="H446" t="str">
            <v>MTC</v>
          </cell>
          <cell r="I446" t="str">
            <v>MTC</v>
          </cell>
          <cell r="J446" t="str">
            <v>ALL</v>
          </cell>
          <cell r="K446" t="str">
            <v>ALL</v>
          </cell>
          <cell r="L446" t="str">
            <v>MTC</v>
          </cell>
          <cell r="M446" t="str">
            <v>BREAKDOWN</v>
          </cell>
          <cell r="N446" t="str">
            <v>MTC</v>
          </cell>
          <cell r="O446" t="str">
            <v>A</v>
          </cell>
        </row>
        <row r="447">
          <cell r="A447">
            <v>10161</v>
          </cell>
          <cell r="B447" t="str">
            <v>LASIMIN</v>
          </cell>
          <cell r="C447" t="str">
            <v>SAMI</v>
          </cell>
          <cell r="D447" t="str">
            <v>TKN-52</v>
          </cell>
          <cell r="E447">
            <v>40452</v>
          </cell>
          <cell r="F447" t="str">
            <v>-</v>
          </cell>
          <cell r="G447" t="str">
            <v>-</v>
          </cell>
          <cell r="H447" t="str">
            <v>MTC</v>
          </cell>
          <cell r="I447" t="str">
            <v>MTC</v>
          </cell>
          <cell r="J447" t="str">
            <v>ALL</v>
          </cell>
          <cell r="K447" t="str">
            <v>ALL</v>
          </cell>
          <cell r="L447" t="str">
            <v>MTC</v>
          </cell>
          <cell r="M447" t="str">
            <v>BREAKDOWN</v>
          </cell>
          <cell r="N447" t="str">
            <v>MTC</v>
          </cell>
          <cell r="O447" t="str">
            <v>A (NS)</v>
          </cell>
        </row>
        <row r="448">
          <cell r="A448">
            <v>10439</v>
          </cell>
          <cell r="B448" t="str">
            <v>ANDRI TRIANGGORO</v>
          </cell>
          <cell r="C448" t="str">
            <v>SAMI</v>
          </cell>
          <cell r="D448" t="str">
            <v>ES-28</v>
          </cell>
          <cell r="E448">
            <v>40520</v>
          </cell>
          <cell r="F448" t="str">
            <v>-</v>
          </cell>
          <cell r="G448" t="str">
            <v>-</v>
          </cell>
          <cell r="H448" t="str">
            <v>MTC</v>
          </cell>
          <cell r="I448" t="str">
            <v>MTC</v>
          </cell>
          <cell r="J448" t="str">
            <v>ALL</v>
          </cell>
          <cell r="K448" t="str">
            <v>ALL</v>
          </cell>
          <cell r="L448" t="str">
            <v>MTC</v>
          </cell>
          <cell r="M448" t="str">
            <v>LL IMPROVEMENT AND KIZUKAI</v>
          </cell>
          <cell r="N448" t="str">
            <v>FPS LL</v>
          </cell>
          <cell r="O448" t="str">
            <v>A (NS)</v>
          </cell>
        </row>
        <row r="449">
          <cell r="A449">
            <v>11648</v>
          </cell>
          <cell r="B449" t="str">
            <v>SAKRONI</v>
          </cell>
          <cell r="C449" t="str">
            <v>SAMI</v>
          </cell>
          <cell r="D449" t="str">
            <v>TKN-54</v>
          </cell>
          <cell r="E449">
            <v>40707</v>
          </cell>
          <cell r="F449" t="str">
            <v>-</v>
          </cell>
          <cell r="G449" t="str">
            <v>-</v>
          </cell>
          <cell r="H449" t="str">
            <v>MTC</v>
          </cell>
          <cell r="I449" t="str">
            <v>MTC</v>
          </cell>
          <cell r="J449" t="str">
            <v>ALL</v>
          </cell>
          <cell r="K449" t="str">
            <v>ALL</v>
          </cell>
          <cell r="L449" t="str">
            <v>MTC</v>
          </cell>
          <cell r="M449" t="str">
            <v>BREAKDOWN</v>
          </cell>
          <cell r="N449" t="str">
            <v>MTC</v>
          </cell>
          <cell r="O449" t="str">
            <v>A (NS)</v>
          </cell>
        </row>
        <row r="450">
          <cell r="A450">
            <v>12148</v>
          </cell>
          <cell r="B450" t="str">
            <v>SITI SOLECHAH</v>
          </cell>
          <cell r="C450" t="str">
            <v>SAMI</v>
          </cell>
          <cell r="D450" t="str">
            <v>OPT-314</v>
          </cell>
          <cell r="E450">
            <v>40798</v>
          </cell>
          <cell r="F450" t="str">
            <v>-</v>
          </cell>
          <cell r="G450" t="str">
            <v>-</v>
          </cell>
          <cell r="H450" t="str">
            <v>MTC</v>
          </cell>
          <cell r="I450" t="str">
            <v>MTC</v>
          </cell>
          <cell r="J450" t="str">
            <v>ALL</v>
          </cell>
          <cell r="K450" t="str">
            <v>ALL</v>
          </cell>
          <cell r="L450" t="str">
            <v>MTC</v>
          </cell>
          <cell r="M450" t="str">
            <v xml:space="preserve">ANALISA DATA </v>
          </cell>
          <cell r="N450" t="str">
            <v>CRIMP STD</v>
          </cell>
          <cell r="O450" t="str">
            <v>A (NS)</v>
          </cell>
        </row>
        <row r="451">
          <cell r="A451">
            <v>13425</v>
          </cell>
          <cell r="B451" t="str">
            <v>MOCH. MUSTOFA</v>
          </cell>
          <cell r="C451" t="str">
            <v>SAMI</v>
          </cell>
          <cell r="D451" t="str">
            <v>TKN-64</v>
          </cell>
          <cell r="E451">
            <v>40932</v>
          </cell>
          <cell r="F451" t="str">
            <v>-</v>
          </cell>
          <cell r="G451" t="str">
            <v>-</v>
          </cell>
          <cell r="H451" t="str">
            <v>MTC</v>
          </cell>
          <cell r="I451" t="str">
            <v>MTC</v>
          </cell>
          <cell r="J451" t="str">
            <v>ALL</v>
          </cell>
          <cell r="K451" t="str">
            <v>ALL</v>
          </cell>
          <cell r="L451" t="str">
            <v>MTC</v>
          </cell>
          <cell r="M451" t="str">
            <v>PREPARATION, OVER HOUL, IMPROVEMENT</v>
          </cell>
          <cell r="N451" t="str">
            <v>CBP</v>
          </cell>
          <cell r="O451" t="str">
            <v>A (NS)</v>
          </cell>
        </row>
        <row r="452">
          <cell r="A452">
            <v>13630</v>
          </cell>
          <cell r="B452" t="str">
            <v>IFNU ANGGRAITO</v>
          </cell>
          <cell r="C452" t="str">
            <v>SAMI</v>
          </cell>
          <cell r="D452" t="str">
            <v>TKN-69</v>
          </cell>
          <cell r="E452">
            <v>40974</v>
          </cell>
          <cell r="F452" t="str">
            <v>-</v>
          </cell>
          <cell r="G452" t="str">
            <v>-</v>
          </cell>
          <cell r="H452" t="str">
            <v>MTC</v>
          </cell>
          <cell r="I452" t="str">
            <v>MTC</v>
          </cell>
          <cell r="J452" t="str">
            <v>ALL</v>
          </cell>
          <cell r="K452" t="str">
            <v>ALL</v>
          </cell>
          <cell r="L452" t="str">
            <v>MTC</v>
          </cell>
          <cell r="M452" t="str">
            <v>BREAKDOWN</v>
          </cell>
          <cell r="N452" t="str">
            <v>MTC</v>
          </cell>
          <cell r="O452" t="str">
            <v>A (NS)</v>
          </cell>
        </row>
        <row r="453">
          <cell r="A453">
            <v>17884</v>
          </cell>
          <cell r="B453" t="str">
            <v>ALVIN DONI KURNIAWAN</v>
          </cell>
          <cell r="C453" t="str">
            <v>SAMI</v>
          </cell>
          <cell r="D453" t="str">
            <v>TKN-83</v>
          </cell>
          <cell r="E453">
            <v>41830</v>
          </cell>
          <cell r="F453" t="str">
            <v>-</v>
          </cell>
          <cell r="G453" t="str">
            <v>-</v>
          </cell>
          <cell r="H453" t="str">
            <v>MTC</v>
          </cell>
          <cell r="I453" t="str">
            <v>MTC</v>
          </cell>
          <cell r="J453" t="str">
            <v>ALL</v>
          </cell>
          <cell r="K453" t="str">
            <v>ALL</v>
          </cell>
          <cell r="L453" t="str">
            <v>MTC</v>
          </cell>
          <cell r="M453" t="str">
            <v>PREPARATION, OVER HOUL, IMPROVEMENT</v>
          </cell>
          <cell r="N453" t="str">
            <v>CBP</v>
          </cell>
          <cell r="O453" t="str">
            <v>A (NS)</v>
          </cell>
        </row>
        <row r="454">
          <cell r="A454">
            <v>1013</v>
          </cell>
          <cell r="B454" t="str">
            <v>ZAENAL ARIFIN</v>
          </cell>
          <cell r="C454" t="str">
            <v>SAMI</v>
          </cell>
          <cell r="D454" t="str">
            <v>TKN-4</v>
          </cell>
          <cell r="E454">
            <v>37872</v>
          </cell>
          <cell r="F454" t="str">
            <v>-</v>
          </cell>
          <cell r="G454" t="str">
            <v>-</v>
          </cell>
          <cell r="H454" t="str">
            <v>MTC</v>
          </cell>
          <cell r="I454" t="str">
            <v>MTC</v>
          </cell>
          <cell r="J454" t="str">
            <v>ALL</v>
          </cell>
          <cell r="K454" t="str">
            <v>ALL</v>
          </cell>
          <cell r="L454" t="str">
            <v>MTC</v>
          </cell>
          <cell r="M454" t="str">
            <v>LEADER MTC BREAKDOWN</v>
          </cell>
          <cell r="N454" t="str">
            <v>FPI LL</v>
          </cell>
          <cell r="O454" t="str">
            <v>A</v>
          </cell>
        </row>
        <row r="455">
          <cell r="A455">
            <v>5555</v>
          </cell>
          <cell r="B455" t="str">
            <v>ARIF PRAMONO</v>
          </cell>
          <cell r="C455" t="str">
            <v>SAMI</v>
          </cell>
          <cell r="D455" t="str">
            <v>TKN-33</v>
          </cell>
          <cell r="E455">
            <v>39052</v>
          </cell>
          <cell r="F455" t="str">
            <v>-</v>
          </cell>
          <cell r="G455" t="str">
            <v>-</v>
          </cell>
          <cell r="H455" t="str">
            <v>MTC</v>
          </cell>
          <cell r="I455" t="str">
            <v>MTC</v>
          </cell>
          <cell r="J455" t="str">
            <v>ALL</v>
          </cell>
          <cell r="K455" t="str">
            <v>ALL</v>
          </cell>
          <cell r="L455" t="str">
            <v>MTC</v>
          </cell>
          <cell r="M455" t="str">
            <v>BREAKDOWN</v>
          </cell>
          <cell r="N455" t="str">
            <v>MTC</v>
          </cell>
          <cell r="O455" t="str">
            <v>A</v>
          </cell>
        </row>
        <row r="456">
          <cell r="A456">
            <v>5967</v>
          </cell>
          <cell r="B456" t="str">
            <v>DADANG ARDIANSYAH</v>
          </cell>
          <cell r="C456" t="str">
            <v>SAMI</v>
          </cell>
          <cell r="D456" t="str">
            <v>TKN-35</v>
          </cell>
          <cell r="E456">
            <v>39129</v>
          </cell>
          <cell r="F456" t="str">
            <v>-</v>
          </cell>
          <cell r="G456" t="str">
            <v>-</v>
          </cell>
          <cell r="H456" t="str">
            <v>MTC</v>
          </cell>
          <cell r="I456" t="str">
            <v>MTC</v>
          </cell>
          <cell r="J456" t="str">
            <v>ALL</v>
          </cell>
          <cell r="K456" t="str">
            <v>ALL</v>
          </cell>
          <cell r="L456" t="str">
            <v>MTC</v>
          </cell>
          <cell r="M456" t="str">
            <v>BREAKDOWN</v>
          </cell>
          <cell r="N456" t="str">
            <v>MTC</v>
          </cell>
          <cell r="O456" t="str">
            <v>B</v>
          </cell>
        </row>
        <row r="457">
          <cell r="A457">
            <v>5972</v>
          </cell>
          <cell r="B457" t="str">
            <v>WAHYU DIONO</v>
          </cell>
          <cell r="C457" t="str">
            <v>SAMI</v>
          </cell>
          <cell r="D457" t="str">
            <v>TKN-35</v>
          </cell>
          <cell r="E457">
            <v>39129</v>
          </cell>
          <cell r="F457" t="str">
            <v>-</v>
          </cell>
          <cell r="G457" t="str">
            <v>-</v>
          </cell>
          <cell r="H457" t="str">
            <v>MTC</v>
          </cell>
          <cell r="I457" t="str">
            <v>MTC</v>
          </cell>
          <cell r="J457" t="str">
            <v>ALL</v>
          </cell>
          <cell r="K457" t="str">
            <v>ALL</v>
          </cell>
          <cell r="L457" t="str">
            <v>MTC</v>
          </cell>
          <cell r="M457" t="str">
            <v>BREAKDOWN</v>
          </cell>
          <cell r="N457" t="str">
            <v>MTC</v>
          </cell>
          <cell r="O457" t="str">
            <v>B</v>
          </cell>
        </row>
        <row r="458">
          <cell r="A458">
            <v>7260</v>
          </cell>
          <cell r="B458" t="str">
            <v>SISWOYO</v>
          </cell>
          <cell r="C458" t="str">
            <v>SAMI</v>
          </cell>
          <cell r="D458" t="str">
            <v>TKN-40</v>
          </cell>
          <cell r="E458">
            <v>39539</v>
          </cell>
          <cell r="F458" t="str">
            <v>-</v>
          </cell>
          <cell r="G458" t="str">
            <v>-</v>
          </cell>
          <cell r="H458" t="str">
            <v>MTC</v>
          </cell>
          <cell r="I458" t="str">
            <v>MTC</v>
          </cell>
          <cell r="J458" t="str">
            <v>ALL</v>
          </cell>
          <cell r="K458" t="str">
            <v>ALL</v>
          </cell>
          <cell r="L458" t="str">
            <v>MTC</v>
          </cell>
          <cell r="M458" t="str">
            <v>BREAKDOWN</v>
          </cell>
          <cell r="N458" t="str">
            <v>MTC</v>
          </cell>
          <cell r="O458" t="str">
            <v>A</v>
          </cell>
        </row>
        <row r="459">
          <cell r="A459">
            <v>12066</v>
          </cell>
          <cell r="B459" t="str">
            <v>JEMMY HARTONO</v>
          </cell>
          <cell r="C459" t="str">
            <v>SAMI</v>
          </cell>
          <cell r="D459" t="str">
            <v>TKN-56</v>
          </cell>
          <cell r="E459">
            <v>40798</v>
          </cell>
          <cell r="F459" t="str">
            <v>-</v>
          </cell>
          <cell r="G459" t="str">
            <v>-</v>
          </cell>
          <cell r="H459" t="str">
            <v>MTC</v>
          </cell>
          <cell r="I459" t="str">
            <v>MTC</v>
          </cell>
          <cell r="J459" t="str">
            <v>ALL</v>
          </cell>
          <cell r="K459" t="str">
            <v>ALL</v>
          </cell>
          <cell r="L459" t="str">
            <v>MTC</v>
          </cell>
          <cell r="M459" t="str">
            <v>BREAKDOWN</v>
          </cell>
          <cell r="N459" t="str">
            <v>MTC</v>
          </cell>
          <cell r="O459" t="str">
            <v>B</v>
          </cell>
        </row>
        <row r="460">
          <cell r="A460">
            <v>13423</v>
          </cell>
          <cell r="B460" t="str">
            <v>BUDHY PRASETIYO</v>
          </cell>
          <cell r="C460" t="str">
            <v>SAMI</v>
          </cell>
          <cell r="D460" t="str">
            <v>TKN-64</v>
          </cell>
          <cell r="E460">
            <v>40932</v>
          </cell>
          <cell r="F460" t="str">
            <v>-</v>
          </cell>
          <cell r="G460" t="str">
            <v>-</v>
          </cell>
          <cell r="H460" t="str">
            <v>MTC</v>
          </cell>
          <cell r="I460" t="str">
            <v>MTC</v>
          </cell>
          <cell r="J460" t="str">
            <v>ALL</v>
          </cell>
          <cell r="K460" t="str">
            <v>ALL</v>
          </cell>
          <cell r="L460" t="str">
            <v>MTC</v>
          </cell>
          <cell r="M460" t="str">
            <v>BREAKDOWN</v>
          </cell>
          <cell r="N460" t="str">
            <v>MTC</v>
          </cell>
          <cell r="O460" t="str">
            <v>B</v>
          </cell>
        </row>
        <row r="461">
          <cell r="A461">
            <v>13424</v>
          </cell>
          <cell r="B461" t="str">
            <v>EKA WAHYUDI</v>
          </cell>
          <cell r="C461" t="str">
            <v>SAMI</v>
          </cell>
          <cell r="D461" t="str">
            <v>TKN-64</v>
          </cell>
          <cell r="E461">
            <v>40932</v>
          </cell>
          <cell r="F461" t="str">
            <v>-</v>
          </cell>
          <cell r="G461" t="str">
            <v>-</v>
          </cell>
          <cell r="H461" t="str">
            <v>MTC</v>
          </cell>
          <cell r="I461" t="str">
            <v>MTC</v>
          </cell>
          <cell r="J461" t="str">
            <v>ALL</v>
          </cell>
          <cell r="K461" t="str">
            <v>ALL</v>
          </cell>
          <cell r="L461" t="str">
            <v>MTC</v>
          </cell>
          <cell r="M461" t="str">
            <v>BREAKDOWN</v>
          </cell>
          <cell r="N461" t="str">
            <v>MTC</v>
          </cell>
          <cell r="O461" t="str">
            <v>A</v>
          </cell>
        </row>
        <row r="462">
          <cell r="A462">
            <v>1141</v>
          </cell>
          <cell r="B462" t="str">
            <v>DIAN INDRIANA</v>
          </cell>
          <cell r="C462" t="str">
            <v>SAMI</v>
          </cell>
          <cell r="D462" t="str">
            <v>OPT-28</v>
          </cell>
          <cell r="E462">
            <v>37900</v>
          </cell>
          <cell r="F462" t="str">
            <v>-</v>
          </cell>
          <cell r="G462" t="str">
            <v>-</v>
          </cell>
          <cell r="H462" t="str">
            <v>NYS</v>
          </cell>
          <cell r="I462" t="str">
            <v>PRD IMP</v>
          </cell>
          <cell r="J462" t="str">
            <v>ALL</v>
          </cell>
          <cell r="K462" t="str">
            <v>ALL</v>
          </cell>
          <cell r="L462" t="str">
            <v>KAIZEN</v>
          </cell>
          <cell r="M462" t="str">
            <v>KAIZEN</v>
          </cell>
          <cell r="N462" t="str">
            <v>KAIZEN</v>
          </cell>
          <cell r="O462" t="str">
            <v>A (NS)</v>
          </cell>
        </row>
        <row r="463">
          <cell r="A463">
            <v>14141</v>
          </cell>
          <cell r="B463" t="str">
            <v>TOMI RONIAWAN</v>
          </cell>
          <cell r="C463" t="str">
            <v>SAMI</v>
          </cell>
          <cell r="D463" t="str">
            <v>TKN-75</v>
          </cell>
          <cell r="E463">
            <v>41319</v>
          </cell>
          <cell r="F463" t="str">
            <v>-</v>
          </cell>
          <cell r="G463" t="str">
            <v>-</v>
          </cell>
          <cell r="H463" t="str">
            <v>NYS</v>
          </cell>
          <cell r="I463" t="str">
            <v>PRD IMP</v>
          </cell>
          <cell r="J463" t="str">
            <v>ALL</v>
          </cell>
          <cell r="K463" t="str">
            <v>ALL</v>
          </cell>
          <cell r="L463" t="str">
            <v>PRD IMP</v>
          </cell>
          <cell r="M463" t="str">
            <v>GL</v>
          </cell>
          <cell r="N463" t="str">
            <v>WKS</v>
          </cell>
          <cell r="O463" t="str">
            <v>A (NS)</v>
          </cell>
        </row>
        <row r="464">
          <cell r="A464">
            <v>19433</v>
          </cell>
          <cell r="B464" t="str">
            <v>HADI PRAYITNO</v>
          </cell>
          <cell r="C464" t="str">
            <v>SAMI</v>
          </cell>
          <cell r="D464" t="str">
            <v>TKN-101</v>
          </cell>
          <cell r="E464">
            <v>42303</v>
          </cell>
          <cell r="F464" t="str">
            <v>-</v>
          </cell>
          <cell r="G464" t="str">
            <v>-</v>
          </cell>
          <cell r="H464" t="str">
            <v>NYS</v>
          </cell>
          <cell r="I464" t="str">
            <v>PRD IMP</v>
          </cell>
          <cell r="J464" t="str">
            <v>ALL</v>
          </cell>
          <cell r="K464" t="str">
            <v>ALL</v>
          </cell>
          <cell r="L464" t="str">
            <v>PRD IMP</v>
          </cell>
          <cell r="M464" t="str">
            <v xml:space="preserve">EQUIPMENT FABRICATION </v>
          </cell>
          <cell r="N464" t="str">
            <v>WKS</v>
          </cell>
          <cell r="O464" t="str">
            <v>A (NS)</v>
          </cell>
        </row>
        <row r="465">
          <cell r="A465">
            <v>5692</v>
          </cell>
          <cell r="B465" t="str">
            <v>BUDI PURNOMO</v>
          </cell>
          <cell r="C465" t="str">
            <v>SAMI</v>
          </cell>
          <cell r="D465" t="str">
            <v>OPT-134</v>
          </cell>
          <cell r="E465">
            <v>39098</v>
          </cell>
          <cell r="F465" t="str">
            <v>-</v>
          </cell>
          <cell r="G465" t="str">
            <v>-</v>
          </cell>
          <cell r="H465" t="str">
            <v>NYS</v>
          </cell>
          <cell r="I465" t="str">
            <v>PRD IMP</v>
          </cell>
          <cell r="J465" t="str">
            <v>ALL</v>
          </cell>
          <cell r="K465" t="str">
            <v>ALL</v>
          </cell>
          <cell r="L465" t="str">
            <v>WORKSHOP</v>
          </cell>
          <cell r="M465" t="str">
            <v xml:space="preserve">EQUIPMENT FABRICATION </v>
          </cell>
          <cell r="N465" t="str">
            <v>FPS LL</v>
          </cell>
          <cell r="O465" t="str">
            <v>A (NS)</v>
          </cell>
        </row>
        <row r="466">
          <cell r="A466">
            <v>18661</v>
          </cell>
          <cell r="B466" t="str">
            <v>KUNCORO FIRDAUS</v>
          </cell>
          <cell r="C466" t="str">
            <v>SAMI</v>
          </cell>
          <cell r="D466" t="str">
            <v>SPV UP</v>
          </cell>
          <cell r="E466">
            <v>42009</v>
          </cell>
          <cell r="F466" t="str">
            <v>-</v>
          </cell>
          <cell r="G466" t="str">
            <v>-</v>
          </cell>
          <cell r="H466" t="str">
            <v>NYS</v>
          </cell>
          <cell r="I466" t="str">
            <v>PRD IMP</v>
          </cell>
          <cell r="J466" t="str">
            <v>ALL</v>
          </cell>
          <cell r="K466" t="str">
            <v>ALL</v>
          </cell>
          <cell r="L466" t="str">
            <v>SPV PI</v>
          </cell>
          <cell r="M466" t="str">
            <v>SUPERVISOR</v>
          </cell>
          <cell r="N466" t="str">
            <v>FPS SPV</v>
          </cell>
          <cell r="O466" t="str">
            <v>A (NS)</v>
          </cell>
        </row>
        <row r="467">
          <cell r="A467">
            <v>1447</v>
          </cell>
          <cell r="B467" t="str">
            <v>PEBRIYANTO</v>
          </cell>
          <cell r="C467" t="str">
            <v>SAMI</v>
          </cell>
          <cell r="D467" t="str">
            <v>TKN-7</v>
          </cell>
          <cell r="E467">
            <v>37970</v>
          </cell>
          <cell r="F467" t="str">
            <v>-</v>
          </cell>
          <cell r="G467" t="str">
            <v>-</v>
          </cell>
          <cell r="H467" t="str">
            <v>NYS</v>
          </cell>
          <cell r="I467" t="str">
            <v>PRD SYSTEM</v>
          </cell>
          <cell r="J467" t="str">
            <v>ALL</v>
          </cell>
          <cell r="K467" t="str">
            <v>ALL</v>
          </cell>
          <cell r="L467" t="str">
            <v>DESIGN LAYOUT</v>
          </cell>
          <cell r="M467" t="str">
            <v>LEADER</v>
          </cell>
          <cell r="N467" t="str">
            <v>FPS LL</v>
          </cell>
          <cell r="O467" t="str">
            <v>A (NS)</v>
          </cell>
        </row>
        <row r="468">
          <cell r="A468">
            <v>5473</v>
          </cell>
          <cell r="B468" t="str">
            <v>ABDUL MANAN</v>
          </cell>
          <cell r="C468" t="str">
            <v>SAMI</v>
          </cell>
          <cell r="D468" t="str">
            <v>ADM-28</v>
          </cell>
          <cell r="E468">
            <v>38991</v>
          </cell>
          <cell r="F468" t="str">
            <v>-</v>
          </cell>
          <cell r="G468" t="str">
            <v>-</v>
          </cell>
          <cell r="H468" t="str">
            <v>NYS</v>
          </cell>
          <cell r="I468" t="str">
            <v>PRD SYSTEM</v>
          </cell>
          <cell r="J468" t="str">
            <v>ALL</v>
          </cell>
          <cell r="K468" t="str">
            <v>ALL</v>
          </cell>
          <cell r="L468" t="str">
            <v>DESIGN LAYOUT</v>
          </cell>
          <cell r="M468" t="str">
            <v>ID STANDARDIZATION AND GOBAN NOME</v>
          </cell>
          <cell r="N468" t="str">
            <v>PROCESS ENG</v>
          </cell>
          <cell r="O468" t="str">
            <v>A (NS)</v>
          </cell>
        </row>
        <row r="469">
          <cell r="A469">
            <v>13429</v>
          </cell>
          <cell r="B469" t="str">
            <v>RANDY MARDITYO</v>
          </cell>
          <cell r="C469" t="str">
            <v>SAMI</v>
          </cell>
          <cell r="D469" t="str">
            <v>TKN-64</v>
          </cell>
          <cell r="E469">
            <v>40932</v>
          </cell>
          <cell r="F469" t="str">
            <v>-</v>
          </cell>
          <cell r="G469" t="str">
            <v>-</v>
          </cell>
          <cell r="H469" t="str">
            <v>NYS</v>
          </cell>
          <cell r="I469" t="str">
            <v>PRD SYSTEM</v>
          </cell>
          <cell r="J469" t="str">
            <v>ALL</v>
          </cell>
          <cell r="K469" t="str">
            <v>ALL</v>
          </cell>
          <cell r="L469" t="str">
            <v>DESIGN LAYOUT</v>
          </cell>
          <cell r="M469" t="str">
            <v>-</v>
          </cell>
          <cell r="N469" t="str">
            <v>PROCESS ENG</v>
          </cell>
          <cell r="O469" t="str">
            <v>A (NS)</v>
          </cell>
        </row>
        <row r="470">
          <cell r="A470">
            <v>13437</v>
          </cell>
          <cell r="B470" t="str">
            <v>YAHYA PRAYITNO</v>
          </cell>
          <cell r="C470" t="str">
            <v>SAMI</v>
          </cell>
          <cell r="D470" t="str">
            <v>TKN-65</v>
          </cell>
          <cell r="E470">
            <v>40938</v>
          </cell>
          <cell r="F470" t="str">
            <v>-</v>
          </cell>
          <cell r="G470" t="str">
            <v>-</v>
          </cell>
          <cell r="H470" t="str">
            <v>NYS</v>
          </cell>
          <cell r="I470" t="str">
            <v>PRD SYSTEM</v>
          </cell>
          <cell r="J470" t="str">
            <v>ALL</v>
          </cell>
          <cell r="K470" t="str">
            <v>ALL</v>
          </cell>
          <cell r="L470" t="str">
            <v>DESIGN LAYOUT</v>
          </cell>
          <cell r="M470" t="str">
            <v>-</v>
          </cell>
          <cell r="N470" t="str">
            <v>PROCESS ENG</v>
          </cell>
          <cell r="O470" t="str">
            <v>A (NS)</v>
          </cell>
        </row>
        <row r="471">
          <cell r="A471">
            <v>4658</v>
          </cell>
          <cell r="B471" t="str">
            <v>AGUS TRIYONO</v>
          </cell>
          <cell r="C471" t="str">
            <v>SAMI</v>
          </cell>
          <cell r="D471" t="str">
            <v>TKN-25</v>
          </cell>
          <cell r="E471">
            <v>38901</v>
          </cell>
          <cell r="F471" t="str">
            <v>-</v>
          </cell>
          <cell r="G471" t="str">
            <v>-</v>
          </cell>
          <cell r="H471" t="str">
            <v>NYS</v>
          </cell>
          <cell r="I471" t="str">
            <v>PRD SYSTEM</v>
          </cell>
          <cell r="J471" t="str">
            <v>ALL</v>
          </cell>
          <cell r="K471" t="str">
            <v>ALL</v>
          </cell>
          <cell r="L471" t="str">
            <v>KANBAN &amp; STANDARD</v>
          </cell>
          <cell r="M471" t="str">
            <v>KANBAN &amp; STANDARD</v>
          </cell>
          <cell r="N471" t="str">
            <v>KANBAN CONTROL</v>
          </cell>
          <cell r="O471" t="str">
            <v>A (NS)</v>
          </cell>
        </row>
        <row r="472">
          <cell r="A472">
            <v>5252</v>
          </cell>
          <cell r="B472" t="str">
            <v>ZUSTINA</v>
          </cell>
          <cell r="C472" t="str">
            <v>SAMI</v>
          </cell>
          <cell r="D472" t="str">
            <v>OPT-125</v>
          </cell>
          <cell r="E472">
            <v>38961</v>
          </cell>
          <cell r="F472" t="str">
            <v>-</v>
          </cell>
          <cell r="G472" t="str">
            <v>-</v>
          </cell>
          <cell r="H472" t="str">
            <v>NYS</v>
          </cell>
          <cell r="I472" t="str">
            <v>PRD SYSTEM</v>
          </cell>
          <cell r="J472" t="str">
            <v>ALL</v>
          </cell>
          <cell r="K472" t="str">
            <v>ALL</v>
          </cell>
          <cell r="L472" t="str">
            <v>KANBAN &amp; STANDARD</v>
          </cell>
          <cell r="M472" t="str">
            <v>-</v>
          </cell>
          <cell r="N472" t="str">
            <v>KANBAN CONTROL</v>
          </cell>
          <cell r="O472" t="str">
            <v>A (NS)</v>
          </cell>
        </row>
        <row r="473">
          <cell r="A473">
            <v>5538</v>
          </cell>
          <cell r="B473" t="str">
            <v>AHMAD ISNAPUN</v>
          </cell>
          <cell r="C473" t="str">
            <v>SAMI</v>
          </cell>
          <cell r="D473" t="str">
            <v>OPT-130</v>
          </cell>
          <cell r="E473">
            <v>39052</v>
          </cell>
          <cell r="F473" t="str">
            <v>-</v>
          </cell>
          <cell r="G473" t="str">
            <v>-</v>
          </cell>
          <cell r="H473" t="str">
            <v>NYS</v>
          </cell>
          <cell r="I473" t="str">
            <v>PRD SYSTEM</v>
          </cell>
          <cell r="J473" t="str">
            <v>ALL</v>
          </cell>
          <cell r="K473" t="str">
            <v>ALL</v>
          </cell>
          <cell r="L473" t="str">
            <v>KANBAN &amp; STANDARD</v>
          </cell>
          <cell r="M473" t="str">
            <v>-</v>
          </cell>
          <cell r="N473" t="str">
            <v>KANBAN CONTROL</v>
          </cell>
          <cell r="O473" t="str">
            <v>A (NS)</v>
          </cell>
        </row>
        <row r="474">
          <cell r="A474">
            <v>5756</v>
          </cell>
          <cell r="B474" t="str">
            <v>ARI SUSILO</v>
          </cell>
          <cell r="C474" t="str">
            <v>SAMI</v>
          </cell>
          <cell r="D474" t="str">
            <v>OPT-135</v>
          </cell>
          <cell r="E474">
            <v>39114</v>
          </cell>
          <cell r="F474" t="str">
            <v>-</v>
          </cell>
          <cell r="G474" t="str">
            <v>-</v>
          </cell>
          <cell r="H474" t="str">
            <v>NYS</v>
          </cell>
          <cell r="I474" t="str">
            <v>PRD SYSTEM</v>
          </cell>
          <cell r="J474" t="str">
            <v>ALL</v>
          </cell>
          <cell r="K474" t="str">
            <v>ALL</v>
          </cell>
          <cell r="L474" t="str">
            <v>KANBAN &amp; STANDARD</v>
          </cell>
          <cell r="M474" t="str">
            <v>KANBAN &amp; STANDARD</v>
          </cell>
          <cell r="N474" t="str">
            <v>KANBAN CONTROL</v>
          </cell>
          <cell r="O474" t="str">
            <v>A (NS)</v>
          </cell>
        </row>
        <row r="475">
          <cell r="A475">
            <v>5812</v>
          </cell>
          <cell r="B475" t="str">
            <v>SITI RONDIYAH</v>
          </cell>
          <cell r="C475" t="str">
            <v>SAMI</v>
          </cell>
          <cell r="D475" t="str">
            <v>OPT-135</v>
          </cell>
          <cell r="E475">
            <v>39114</v>
          </cell>
          <cell r="F475" t="str">
            <v>-</v>
          </cell>
          <cell r="G475" t="str">
            <v>-</v>
          </cell>
          <cell r="H475" t="str">
            <v>NYS</v>
          </cell>
          <cell r="I475" t="str">
            <v>PRD SYSTEM</v>
          </cell>
          <cell r="J475" t="str">
            <v>ALL</v>
          </cell>
          <cell r="K475" t="str">
            <v>ALL</v>
          </cell>
          <cell r="L475" t="str">
            <v>KANBAN &amp; STANDARD</v>
          </cell>
          <cell r="M475" t="str">
            <v>-</v>
          </cell>
          <cell r="N475" t="str">
            <v>KANBAN CONTROL</v>
          </cell>
          <cell r="O475" t="str">
            <v>A (NS)</v>
          </cell>
        </row>
        <row r="476">
          <cell r="A476">
            <v>5924</v>
          </cell>
          <cell r="B476" t="str">
            <v>NUNIK WAHYUNI</v>
          </cell>
          <cell r="C476" t="str">
            <v>SAMI</v>
          </cell>
          <cell r="D476" t="str">
            <v>OPT-137</v>
          </cell>
          <cell r="E476">
            <v>39129</v>
          </cell>
          <cell r="F476" t="str">
            <v>-</v>
          </cell>
          <cell r="G476" t="str">
            <v>-</v>
          </cell>
          <cell r="H476" t="str">
            <v>NYS</v>
          </cell>
          <cell r="I476" t="str">
            <v>PRD SYSTEM</v>
          </cell>
          <cell r="J476" t="str">
            <v>ALL</v>
          </cell>
          <cell r="K476" t="str">
            <v>ALL</v>
          </cell>
          <cell r="L476" t="str">
            <v>KANBAN &amp; STANDARD</v>
          </cell>
          <cell r="M476" t="str">
            <v>-</v>
          </cell>
          <cell r="N476" t="str">
            <v>KANBAN CONTROL</v>
          </cell>
          <cell r="O476" t="str">
            <v>A (NS)</v>
          </cell>
        </row>
        <row r="477">
          <cell r="A477">
            <v>20694</v>
          </cell>
          <cell r="B477" t="str">
            <v xml:space="preserve">ADAM SATRIA PUTRA DINATA </v>
          </cell>
          <cell r="C477" t="str">
            <v>SAMI</v>
          </cell>
          <cell r="D477" t="str">
            <v>ADM-66</v>
          </cell>
          <cell r="E477">
            <v>42642</v>
          </cell>
          <cell r="F477">
            <v>43132</v>
          </cell>
          <cell r="G477">
            <v>43496</v>
          </cell>
          <cell r="H477" t="str">
            <v>NYS</v>
          </cell>
          <cell r="I477" t="str">
            <v>PRD SYSTEM</v>
          </cell>
          <cell r="J477" t="str">
            <v>ALL</v>
          </cell>
          <cell r="K477" t="str">
            <v>ALL</v>
          </cell>
          <cell r="L477" t="str">
            <v>KANBAN &amp; STANDARD</v>
          </cell>
          <cell r="M477" t="str">
            <v>-</v>
          </cell>
          <cell r="N477" t="str">
            <v>KANBAN CONTROL</v>
          </cell>
          <cell r="O477" t="str">
            <v>A (NS)</v>
          </cell>
        </row>
        <row r="478">
          <cell r="A478">
            <v>21987</v>
          </cell>
          <cell r="B478" t="str">
            <v>AZIS LUSIANA</v>
          </cell>
          <cell r="C478" t="str">
            <v>SAMI</v>
          </cell>
          <cell r="D478" t="str">
            <v>OPT-546</v>
          </cell>
          <cell r="E478">
            <v>43139</v>
          </cell>
          <cell r="F478">
            <v>43167</v>
          </cell>
          <cell r="G478">
            <v>43524</v>
          </cell>
          <cell r="H478" t="str">
            <v>NYS</v>
          </cell>
          <cell r="I478" t="str">
            <v>PRD SYSTEM</v>
          </cell>
          <cell r="J478" t="str">
            <v>ALL</v>
          </cell>
          <cell r="K478" t="str">
            <v>ALL</v>
          </cell>
          <cell r="L478" t="str">
            <v>KANBAN &amp; STANDARD</v>
          </cell>
          <cell r="M478" t="str">
            <v>-</v>
          </cell>
          <cell r="N478" t="str">
            <v>KANBAN CONTROL</v>
          </cell>
          <cell r="O478" t="str">
            <v>A (NS)</v>
          </cell>
        </row>
        <row r="479">
          <cell r="A479">
            <v>10607</v>
          </cell>
          <cell r="B479" t="str">
            <v>SITI KHUMAISIYAH</v>
          </cell>
          <cell r="C479" t="str">
            <v>SAMI</v>
          </cell>
          <cell r="D479" t="str">
            <v>OPT-276</v>
          </cell>
          <cell r="E479">
            <v>40544</v>
          </cell>
          <cell r="F479" t="str">
            <v>-</v>
          </cell>
          <cell r="G479" t="str">
            <v>-</v>
          </cell>
          <cell r="H479" t="str">
            <v>NYS</v>
          </cell>
          <cell r="I479" t="str">
            <v>PRD SYSTEM</v>
          </cell>
          <cell r="J479" t="str">
            <v>ALL</v>
          </cell>
          <cell r="K479" t="str">
            <v>ALL</v>
          </cell>
          <cell r="L479" t="str">
            <v>KANBAN &amp; STANDARD</v>
          </cell>
          <cell r="M479" t="str">
            <v>-</v>
          </cell>
          <cell r="N479" t="str">
            <v>KANBAN CONTROL</v>
          </cell>
          <cell r="O479" t="str">
            <v>A (NS)</v>
          </cell>
        </row>
        <row r="480">
          <cell r="A480">
            <v>22801</v>
          </cell>
          <cell r="B480" t="str">
            <v>REZYKA IKHSAN AL ROSYID</v>
          </cell>
          <cell r="C480" t="str">
            <v>SAMI</v>
          </cell>
          <cell r="D480" t="str">
            <v>OPT-566</v>
          </cell>
          <cell r="E480">
            <v>43304</v>
          </cell>
          <cell r="F480">
            <v>43335</v>
          </cell>
          <cell r="G480">
            <v>43708</v>
          </cell>
          <cell r="H480" t="str">
            <v>NYS</v>
          </cell>
          <cell r="I480" t="str">
            <v>PRD SYSTEM</v>
          </cell>
          <cell r="J480" t="str">
            <v>ALL</v>
          </cell>
          <cell r="K480" t="str">
            <v>ALL</v>
          </cell>
          <cell r="L480" t="str">
            <v>KANBAN &amp; STANDARD</v>
          </cell>
          <cell r="M480" t="str">
            <v>-</v>
          </cell>
          <cell r="N480" t="str">
            <v>KANBAN CONTROL</v>
          </cell>
          <cell r="O480" t="str">
            <v>A (NS)</v>
          </cell>
        </row>
        <row r="481">
          <cell r="A481">
            <v>5535</v>
          </cell>
          <cell r="B481" t="str">
            <v>PUPUT ANDRIYANTO</v>
          </cell>
          <cell r="C481" t="str">
            <v>SAMI</v>
          </cell>
          <cell r="D481" t="str">
            <v>SPV UP</v>
          </cell>
          <cell r="E481">
            <v>39027</v>
          </cell>
          <cell r="F481" t="str">
            <v>-</v>
          </cell>
          <cell r="G481" t="str">
            <v>-</v>
          </cell>
          <cell r="H481" t="str">
            <v>NYS</v>
          </cell>
          <cell r="I481" t="str">
            <v>PRD SYSTEM</v>
          </cell>
          <cell r="J481" t="str">
            <v>ALL</v>
          </cell>
          <cell r="K481" t="str">
            <v>ALL</v>
          </cell>
          <cell r="L481" t="str">
            <v>SPV Pr.E</v>
          </cell>
          <cell r="M481" t="str">
            <v>SUPERVISOR</v>
          </cell>
          <cell r="N481" t="str">
            <v>FPS SPV</v>
          </cell>
          <cell r="O481" t="str">
            <v>A (NS)</v>
          </cell>
        </row>
        <row r="482">
          <cell r="A482">
            <v>6107</v>
          </cell>
          <cell r="B482" t="str">
            <v>YUSUF DWI SUSILO</v>
          </cell>
          <cell r="C482" t="str">
            <v>SAMI</v>
          </cell>
          <cell r="D482" t="str">
            <v>SPV UP</v>
          </cell>
          <cell r="E482">
            <v>39142</v>
          </cell>
          <cell r="F482" t="str">
            <v>-</v>
          </cell>
          <cell r="G482" t="str">
            <v>-</v>
          </cell>
          <cell r="H482" t="str">
            <v>NYS</v>
          </cell>
          <cell r="I482" t="str">
            <v>PRD SYSTEM</v>
          </cell>
          <cell r="J482" t="str">
            <v>ALL</v>
          </cell>
          <cell r="K482" t="str">
            <v>ALL</v>
          </cell>
          <cell r="L482" t="str">
            <v>SPV PS</v>
          </cell>
          <cell r="M482" t="str">
            <v>SUPERVISOR</v>
          </cell>
          <cell r="N482" t="str">
            <v>FPS SPV</v>
          </cell>
          <cell r="O482" t="str">
            <v>A (NS)</v>
          </cell>
        </row>
        <row r="483">
          <cell r="A483">
            <v>596</v>
          </cell>
          <cell r="B483" t="str">
            <v>ANDRY SUSANTO</v>
          </cell>
          <cell r="C483" t="str">
            <v>SAMI</v>
          </cell>
          <cell r="D483" t="str">
            <v>SPV UP</v>
          </cell>
          <cell r="E483">
            <v>37774</v>
          </cell>
          <cell r="F483" t="str">
            <v>-</v>
          </cell>
          <cell r="G483" t="str">
            <v>-</v>
          </cell>
          <cell r="H483" t="str">
            <v>NYS</v>
          </cell>
          <cell r="I483" t="str">
            <v>PRD IMP</v>
          </cell>
          <cell r="J483" t="str">
            <v>ALL</v>
          </cell>
          <cell r="K483" t="str">
            <v>ALL</v>
          </cell>
          <cell r="L483" t="str">
            <v>SPV PS</v>
          </cell>
          <cell r="M483" t="str">
            <v>SUPERVISOR</v>
          </cell>
          <cell r="N483" t="str">
            <v>FPS SPV</v>
          </cell>
          <cell r="O483" t="str">
            <v>A (NS)</v>
          </cell>
        </row>
        <row r="484">
          <cell r="A484">
            <v>21935</v>
          </cell>
          <cell r="B484" t="str">
            <v>TRI ANDRIYANI</v>
          </cell>
          <cell r="C484" t="str">
            <v>SAMI</v>
          </cell>
          <cell r="D484" t="str">
            <v>OPT-544</v>
          </cell>
          <cell r="E484">
            <v>43111</v>
          </cell>
          <cell r="F484">
            <v>43142</v>
          </cell>
          <cell r="G484">
            <v>43496</v>
          </cell>
          <cell r="H484" t="str">
            <v>NYS</v>
          </cell>
          <cell r="I484" t="str">
            <v>PRD IMP</v>
          </cell>
          <cell r="J484" t="str">
            <v>ALL</v>
          </cell>
          <cell r="K484" t="str">
            <v>ALL</v>
          </cell>
          <cell r="L484" t="str">
            <v>KANBAN &amp; STANDARD</v>
          </cell>
          <cell r="M484" t="str">
            <v>KANBAN &amp; STANDARD</v>
          </cell>
          <cell r="N484" t="str">
            <v>KANBAN CONTROL</v>
          </cell>
          <cell r="O484" t="str">
            <v>A (NS)</v>
          </cell>
        </row>
        <row r="485">
          <cell r="A485">
            <v>5439</v>
          </cell>
          <cell r="B485" t="str">
            <v>RINY CUSYANINGSIH</v>
          </cell>
          <cell r="C485" t="str">
            <v>SAMI</v>
          </cell>
          <cell r="D485" t="str">
            <v>OPT-128</v>
          </cell>
          <cell r="E485">
            <v>38991</v>
          </cell>
          <cell r="F485" t="str">
            <v>-</v>
          </cell>
          <cell r="G485" t="str">
            <v>-</v>
          </cell>
          <cell r="H485" t="str">
            <v>PD</v>
          </cell>
          <cell r="I485" t="str">
            <v>PD GM</v>
          </cell>
          <cell r="J485" t="str">
            <v>ALL</v>
          </cell>
          <cell r="K485" t="str">
            <v>ALL</v>
          </cell>
          <cell r="L485" t="str">
            <v>DE</v>
          </cell>
          <cell r="M485" t="str">
            <v>LEADER</v>
          </cell>
          <cell r="N485" t="str">
            <v>FPS LL</v>
          </cell>
          <cell r="O485" t="str">
            <v>A (NS)</v>
          </cell>
        </row>
        <row r="486">
          <cell r="A486">
            <v>6033</v>
          </cell>
          <cell r="B486" t="str">
            <v>ANGGA TIYAS ARYANTO</v>
          </cell>
          <cell r="C486" t="str">
            <v>SAMI</v>
          </cell>
          <cell r="D486" t="str">
            <v>OPT-139</v>
          </cell>
          <cell r="E486">
            <v>39142</v>
          </cell>
          <cell r="F486" t="str">
            <v>-</v>
          </cell>
          <cell r="G486" t="str">
            <v>-</v>
          </cell>
          <cell r="H486" t="str">
            <v>PD</v>
          </cell>
          <cell r="I486" t="str">
            <v>PD GM</v>
          </cell>
          <cell r="J486" t="str">
            <v>ALL</v>
          </cell>
          <cell r="K486" t="str">
            <v>ALL</v>
          </cell>
          <cell r="L486" t="str">
            <v>DE</v>
          </cell>
          <cell r="M486" t="str">
            <v>EDITOR</v>
          </cell>
          <cell r="N486" t="str">
            <v>DE</v>
          </cell>
          <cell r="O486" t="str">
            <v>A (NS)</v>
          </cell>
        </row>
        <row r="487">
          <cell r="A487">
            <v>3687</v>
          </cell>
          <cell r="B487" t="str">
            <v>HARJAH ARIF</v>
          </cell>
          <cell r="C487" t="str">
            <v>SAMI</v>
          </cell>
          <cell r="D487" t="str">
            <v>SPV UP</v>
          </cell>
          <cell r="E487">
            <v>38488</v>
          </cell>
          <cell r="F487" t="str">
            <v>-</v>
          </cell>
          <cell r="G487" t="str">
            <v>-</v>
          </cell>
          <cell r="H487" t="str">
            <v>PD</v>
          </cell>
          <cell r="I487" t="str">
            <v>PD IMPROVEMENT</v>
          </cell>
          <cell r="J487" t="str">
            <v>ALL</v>
          </cell>
          <cell r="K487" t="str">
            <v>ALL</v>
          </cell>
          <cell r="L487" t="str">
            <v>DE</v>
          </cell>
          <cell r="M487" t="str">
            <v>SPV IMPROVEMENT</v>
          </cell>
          <cell r="N487" t="str">
            <v>FPS SPV</v>
          </cell>
          <cell r="O487" t="str">
            <v>A (NS)</v>
          </cell>
        </row>
        <row r="488">
          <cell r="A488">
            <v>233</v>
          </cell>
          <cell r="B488" t="str">
            <v>MARDIYANTI WIDY ASTUTI</v>
          </cell>
          <cell r="C488" t="str">
            <v>SAMI</v>
          </cell>
          <cell r="D488" t="str">
            <v>OPT-6</v>
          </cell>
          <cell r="E488">
            <v>37697</v>
          </cell>
          <cell r="F488" t="str">
            <v>-</v>
          </cell>
          <cell r="G488" t="str">
            <v>-</v>
          </cell>
          <cell r="H488" t="str">
            <v>PD</v>
          </cell>
          <cell r="I488" t="str">
            <v>PD JPN &amp; DOM</v>
          </cell>
          <cell r="J488" t="str">
            <v>ALL</v>
          </cell>
          <cell r="K488" t="str">
            <v>ALL</v>
          </cell>
          <cell r="L488" t="str">
            <v>DE</v>
          </cell>
          <cell r="M488" t="str">
            <v>EDITOR</v>
          </cell>
          <cell r="N488" t="str">
            <v>DE</v>
          </cell>
          <cell r="O488" t="str">
            <v>A (NS)</v>
          </cell>
        </row>
        <row r="489">
          <cell r="A489">
            <v>515</v>
          </cell>
          <cell r="B489" t="str">
            <v>TRI HARYANTI</v>
          </cell>
          <cell r="C489" t="str">
            <v>SAMI</v>
          </cell>
          <cell r="D489" t="str">
            <v>OPT-14</v>
          </cell>
          <cell r="E489">
            <v>37767</v>
          </cell>
          <cell r="F489" t="str">
            <v>-</v>
          </cell>
          <cell r="G489" t="str">
            <v>-</v>
          </cell>
          <cell r="H489" t="str">
            <v>PD</v>
          </cell>
          <cell r="I489" t="str">
            <v>PD JPN &amp; DOM</v>
          </cell>
          <cell r="J489" t="str">
            <v>ALL</v>
          </cell>
          <cell r="K489" t="str">
            <v>ALL</v>
          </cell>
          <cell r="L489" t="str">
            <v>DE</v>
          </cell>
          <cell r="M489" t="str">
            <v>EDITOR</v>
          </cell>
          <cell r="N489" t="str">
            <v>DE</v>
          </cell>
          <cell r="O489" t="str">
            <v>A (NS)</v>
          </cell>
        </row>
        <row r="490">
          <cell r="A490">
            <v>957</v>
          </cell>
          <cell r="B490" t="str">
            <v>SRIYATI</v>
          </cell>
          <cell r="C490" t="str">
            <v>SAMI</v>
          </cell>
          <cell r="D490" t="str">
            <v>OPT-24</v>
          </cell>
          <cell r="E490">
            <v>37865</v>
          </cell>
          <cell r="F490" t="str">
            <v>-</v>
          </cell>
          <cell r="G490" t="str">
            <v>-</v>
          </cell>
          <cell r="H490" t="str">
            <v>PD</v>
          </cell>
          <cell r="I490" t="str">
            <v>PD JPN &amp; DOM</v>
          </cell>
          <cell r="J490" t="str">
            <v>ALL</v>
          </cell>
          <cell r="K490" t="str">
            <v>ALL</v>
          </cell>
          <cell r="L490" t="str">
            <v>DE</v>
          </cell>
          <cell r="M490" t="str">
            <v>LEADER</v>
          </cell>
          <cell r="N490" t="str">
            <v>FPS LL</v>
          </cell>
          <cell r="O490" t="str">
            <v>A (NS)</v>
          </cell>
        </row>
        <row r="491">
          <cell r="A491">
            <v>3102</v>
          </cell>
          <cell r="B491" t="str">
            <v>HARI SASONGKO</v>
          </cell>
          <cell r="C491" t="str">
            <v>SAMI</v>
          </cell>
          <cell r="D491" t="str">
            <v>SPV UP</v>
          </cell>
          <cell r="E491">
            <v>38236</v>
          </cell>
          <cell r="F491" t="str">
            <v>-</v>
          </cell>
          <cell r="G491" t="str">
            <v>-</v>
          </cell>
          <cell r="H491" t="str">
            <v>PD</v>
          </cell>
          <cell r="I491" t="str">
            <v>PD JPN &amp; DOM</v>
          </cell>
          <cell r="J491" t="str">
            <v>ALL</v>
          </cell>
          <cell r="K491" t="str">
            <v>ALL</v>
          </cell>
          <cell r="L491" t="str">
            <v>DE</v>
          </cell>
          <cell r="M491" t="str">
            <v>SPV PD JAPAN</v>
          </cell>
          <cell r="N491" t="str">
            <v>FPS SPV</v>
          </cell>
          <cell r="O491" t="str">
            <v>A (NS)</v>
          </cell>
        </row>
        <row r="492">
          <cell r="A492">
            <v>6058</v>
          </cell>
          <cell r="B492" t="str">
            <v>ISTINI</v>
          </cell>
          <cell r="C492" t="str">
            <v>SAMI</v>
          </cell>
          <cell r="D492" t="str">
            <v>OPT-139</v>
          </cell>
          <cell r="E492">
            <v>39142</v>
          </cell>
          <cell r="F492" t="str">
            <v>-</v>
          </cell>
          <cell r="G492" t="str">
            <v>-</v>
          </cell>
          <cell r="H492" t="str">
            <v>PD</v>
          </cell>
          <cell r="I492" t="str">
            <v>PD JPN &amp; DOM</v>
          </cell>
          <cell r="J492" t="str">
            <v>ALL</v>
          </cell>
          <cell r="K492" t="str">
            <v>ALL</v>
          </cell>
          <cell r="L492" t="str">
            <v>DE</v>
          </cell>
          <cell r="M492" t="str">
            <v>EDITOR</v>
          </cell>
          <cell r="N492" t="str">
            <v>DE</v>
          </cell>
          <cell r="O492" t="str">
            <v>A (NS)</v>
          </cell>
        </row>
        <row r="493">
          <cell r="A493">
            <v>6064</v>
          </cell>
          <cell r="B493" t="str">
            <v>MOCH. SARIFUDIN</v>
          </cell>
          <cell r="C493" t="str">
            <v>SAMI</v>
          </cell>
          <cell r="D493" t="str">
            <v>OPT-139</v>
          </cell>
          <cell r="E493">
            <v>39142</v>
          </cell>
          <cell r="F493" t="str">
            <v>-</v>
          </cell>
          <cell r="G493" t="str">
            <v>-</v>
          </cell>
          <cell r="H493" t="str">
            <v>PD</v>
          </cell>
          <cell r="I493" t="str">
            <v>PD JPN &amp; DOM</v>
          </cell>
          <cell r="J493" t="str">
            <v>ALL</v>
          </cell>
          <cell r="K493" t="str">
            <v>ALL</v>
          </cell>
          <cell r="L493" t="str">
            <v>DE</v>
          </cell>
          <cell r="M493" t="str">
            <v>LEADER</v>
          </cell>
          <cell r="N493" t="str">
            <v>FPS LL</v>
          </cell>
          <cell r="O493" t="str">
            <v>A (NS)</v>
          </cell>
        </row>
        <row r="494">
          <cell r="A494">
            <v>6066</v>
          </cell>
          <cell r="B494" t="str">
            <v>MUH. SYARIFUDIN</v>
          </cell>
          <cell r="C494" t="str">
            <v>SAMI</v>
          </cell>
          <cell r="D494" t="str">
            <v>OPT-139</v>
          </cell>
          <cell r="E494">
            <v>39142</v>
          </cell>
          <cell r="F494" t="str">
            <v>-</v>
          </cell>
          <cell r="G494" t="str">
            <v>-</v>
          </cell>
          <cell r="H494" t="str">
            <v>PD</v>
          </cell>
          <cell r="I494" t="str">
            <v>PD JPN &amp; DOM</v>
          </cell>
          <cell r="J494" t="str">
            <v>ALL</v>
          </cell>
          <cell r="K494" t="str">
            <v>ALL</v>
          </cell>
          <cell r="L494" t="str">
            <v>DE</v>
          </cell>
          <cell r="M494" t="str">
            <v>LEADER</v>
          </cell>
          <cell r="N494" t="str">
            <v>FPS LL</v>
          </cell>
          <cell r="O494" t="str">
            <v>A (NS)</v>
          </cell>
        </row>
        <row r="495">
          <cell r="A495">
            <v>9363</v>
          </cell>
          <cell r="B495" t="str">
            <v>YULIA WULAN SARI</v>
          </cell>
          <cell r="C495" t="str">
            <v>SAMI</v>
          </cell>
          <cell r="D495" t="str">
            <v>OPT-216</v>
          </cell>
          <cell r="E495">
            <v>40148</v>
          </cell>
          <cell r="F495" t="str">
            <v>-</v>
          </cell>
          <cell r="G495" t="str">
            <v>-</v>
          </cell>
          <cell r="H495" t="str">
            <v>PD</v>
          </cell>
          <cell r="I495" t="str">
            <v>PD JPN &amp; DOM</v>
          </cell>
          <cell r="J495" t="str">
            <v>ALL</v>
          </cell>
          <cell r="K495" t="str">
            <v>ALL</v>
          </cell>
          <cell r="L495" t="str">
            <v>DE</v>
          </cell>
          <cell r="M495" t="str">
            <v>EDITOR</v>
          </cell>
          <cell r="N495" t="str">
            <v>DE</v>
          </cell>
          <cell r="O495" t="str">
            <v>A (NS)</v>
          </cell>
        </row>
        <row r="496">
          <cell r="A496">
            <v>13523</v>
          </cell>
          <cell r="B496" t="str">
            <v>WIDI PURBOYO</v>
          </cell>
          <cell r="C496" t="str">
            <v>SAMI</v>
          </cell>
          <cell r="D496" t="str">
            <v>TKN-66</v>
          </cell>
          <cell r="E496">
            <v>40945</v>
          </cell>
          <cell r="F496" t="str">
            <v>-</v>
          </cell>
          <cell r="G496" t="str">
            <v>-</v>
          </cell>
          <cell r="H496" t="str">
            <v>PE</v>
          </cell>
          <cell r="I496" t="str">
            <v>J/C BP</v>
          </cell>
          <cell r="J496" t="str">
            <v>ALL</v>
          </cell>
          <cell r="K496" t="str">
            <v>ALL</v>
          </cell>
          <cell r="L496" t="str">
            <v>CBP</v>
          </cell>
          <cell r="M496" t="str">
            <v>PROGRAMER CHECKER BOARD</v>
          </cell>
          <cell r="N496" t="str">
            <v>CBP</v>
          </cell>
          <cell r="O496" t="str">
            <v>A</v>
          </cell>
        </row>
        <row r="497">
          <cell r="A497">
            <v>14094</v>
          </cell>
          <cell r="B497" t="str">
            <v>ABDUL AZIS</v>
          </cell>
          <cell r="C497" t="str">
            <v>SAMI</v>
          </cell>
          <cell r="D497" t="str">
            <v>OPT-364</v>
          </cell>
          <cell r="E497">
            <v>41306</v>
          </cell>
          <cell r="F497" t="str">
            <v>-</v>
          </cell>
          <cell r="G497" t="str">
            <v>-</v>
          </cell>
          <cell r="H497" t="str">
            <v>PE</v>
          </cell>
          <cell r="I497" t="str">
            <v>J/C BP</v>
          </cell>
          <cell r="J497" t="str">
            <v>ALL</v>
          </cell>
          <cell r="K497" t="str">
            <v>ALL</v>
          </cell>
          <cell r="L497" t="str">
            <v>CBP</v>
          </cell>
          <cell r="M497" t="str">
            <v>CHECKER BOARD FABRICATION</v>
          </cell>
          <cell r="N497" t="str">
            <v>CBP</v>
          </cell>
          <cell r="O497" t="str">
            <v>A</v>
          </cell>
        </row>
        <row r="498">
          <cell r="A498">
            <v>21508</v>
          </cell>
          <cell r="B498" t="str">
            <v>ADIP SARWONO</v>
          </cell>
          <cell r="C498" t="str">
            <v>SAMI</v>
          </cell>
          <cell r="D498" t="str">
            <v>TKN-108</v>
          </cell>
          <cell r="E498">
            <v>43031</v>
          </cell>
          <cell r="F498">
            <v>43435</v>
          </cell>
          <cell r="G498">
            <v>43799</v>
          </cell>
          <cell r="H498" t="str">
            <v>PE</v>
          </cell>
          <cell r="I498" t="str">
            <v>J/C BP</v>
          </cell>
          <cell r="J498" t="str">
            <v>ALL</v>
          </cell>
          <cell r="K498" t="str">
            <v>ALL</v>
          </cell>
          <cell r="L498" t="str">
            <v>CBP</v>
          </cell>
          <cell r="M498" t="str">
            <v>CHECKER BOARD FABRICATION</v>
          </cell>
          <cell r="N498" t="str">
            <v>CBP</v>
          </cell>
          <cell r="O498" t="str">
            <v>A</v>
          </cell>
        </row>
        <row r="499">
          <cell r="A499">
            <v>1012</v>
          </cell>
          <cell r="B499" t="str">
            <v>MUH. ABDUL M.</v>
          </cell>
          <cell r="C499" t="str">
            <v>SAMI</v>
          </cell>
          <cell r="D499" t="str">
            <v>TKN-4</v>
          </cell>
          <cell r="E499">
            <v>37872</v>
          </cell>
          <cell r="F499" t="str">
            <v>-</v>
          </cell>
          <cell r="G499" t="str">
            <v>-</v>
          </cell>
          <cell r="H499" t="str">
            <v>PE</v>
          </cell>
          <cell r="I499" t="str">
            <v>J/C BP</v>
          </cell>
          <cell r="J499" t="str">
            <v>ALL</v>
          </cell>
          <cell r="K499" t="str">
            <v>ALL</v>
          </cell>
          <cell r="L499" t="str">
            <v>ITE</v>
          </cell>
          <cell r="M499" t="str">
            <v>LL (MAGANG)</v>
          </cell>
          <cell r="N499" t="str">
            <v>CBP</v>
          </cell>
          <cell r="O499" t="str">
            <v>A (NS)</v>
          </cell>
        </row>
        <row r="500">
          <cell r="A500">
            <v>22780</v>
          </cell>
          <cell r="B500" t="str">
            <v>REZA DWI NURRAHMAN</v>
          </cell>
          <cell r="C500" t="str">
            <v>SAMI</v>
          </cell>
          <cell r="D500" t="str">
            <v>TKN-221</v>
          </cell>
          <cell r="E500">
            <v>43283</v>
          </cell>
          <cell r="F500">
            <v>43314</v>
          </cell>
          <cell r="G500">
            <v>43677</v>
          </cell>
          <cell r="H500" t="str">
            <v>PE</v>
          </cell>
          <cell r="I500" t="str">
            <v>J/C BP</v>
          </cell>
          <cell r="J500" t="str">
            <v>ALL</v>
          </cell>
          <cell r="K500" t="str">
            <v>ALL</v>
          </cell>
          <cell r="L500" t="str">
            <v>ITE</v>
          </cell>
          <cell r="M500" t="str">
            <v>-</v>
          </cell>
          <cell r="N500" t="str">
            <v>CBP</v>
          </cell>
          <cell r="O500" t="str">
            <v>A</v>
          </cell>
        </row>
        <row r="501">
          <cell r="A501">
            <v>13346</v>
          </cell>
          <cell r="B501" t="str">
            <v>SUROKO</v>
          </cell>
          <cell r="C501" t="str">
            <v>SAMI</v>
          </cell>
          <cell r="D501" t="str">
            <v>TKN-63</v>
          </cell>
          <cell r="E501">
            <v>40924</v>
          </cell>
          <cell r="F501" t="str">
            <v>-</v>
          </cell>
          <cell r="G501" t="str">
            <v>-</v>
          </cell>
          <cell r="H501" t="str">
            <v>PE</v>
          </cell>
          <cell r="I501" t="str">
            <v>J/C BP</v>
          </cell>
          <cell r="J501" t="str">
            <v>ALL</v>
          </cell>
          <cell r="K501" t="str">
            <v>ALL</v>
          </cell>
          <cell r="L501" t="str">
            <v>CBP</v>
          </cell>
          <cell r="M501" t="str">
            <v>LL (MAGANG)</v>
          </cell>
          <cell r="N501" t="str">
            <v>CBP</v>
          </cell>
          <cell r="O501" t="str">
            <v>A (NS)</v>
          </cell>
        </row>
        <row r="502">
          <cell r="A502">
            <v>14110</v>
          </cell>
          <cell r="B502" t="str">
            <v>MUHAMMAD SAHAL JUNAIDI</v>
          </cell>
          <cell r="C502" t="str">
            <v>SAMI</v>
          </cell>
          <cell r="D502" t="str">
            <v>OPT-364</v>
          </cell>
          <cell r="E502">
            <v>41306</v>
          </cell>
          <cell r="F502" t="str">
            <v>-</v>
          </cell>
          <cell r="G502" t="str">
            <v>-</v>
          </cell>
          <cell r="H502" t="str">
            <v>PE</v>
          </cell>
          <cell r="I502" t="str">
            <v>J/C BP</v>
          </cell>
          <cell r="J502" t="str">
            <v>ALL</v>
          </cell>
          <cell r="K502" t="str">
            <v>ALL</v>
          </cell>
          <cell r="L502" t="str">
            <v>CBP</v>
          </cell>
          <cell r="M502" t="str">
            <v>CHECKER BOARD VALIDATION</v>
          </cell>
          <cell r="N502" t="str">
            <v>CBP</v>
          </cell>
          <cell r="O502" t="str">
            <v>B</v>
          </cell>
        </row>
        <row r="503">
          <cell r="A503">
            <v>19456</v>
          </cell>
          <cell r="B503" t="str">
            <v>DYAH PUTRI PUSPITASARI</v>
          </cell>
          <cell r="C503" t="str">
            <v>SAMI</v>
          </cell>
          <cell r="D503" t="str">
            <v>ES-69</v>
          </cell>
          <cell r="E503">
            <v>42390</v>
          </cell>
          <cell r="F503" t="str">
            <v>-</v>
          </cell>
          <cell r="G503" t="str">
            <v>-</v>
          </cell>
          <cell r="H503" t="str">
            <v>PE</v>
          </cell>
          <cell r="I503" t="str">
            <v>J/C BP</v>
          </cell>
          <cell r="J503" t="str">
            <v>ALL</v>
          </cell>
          <cell r="K503" t="str">
            <v>ALL</v>
          </cell>
          <cell r="L503" t="str">
            <v>CBP</v>
          </cell>
          <cell r="M503" t="str">
            <v>LL NAVIGASI &amp; CHECKER</v>
          </cell>
          <cell r="N503" t="str">
            <v>FPS LL</v>
          </cell>
          <cell r="O503" t="str">
            <v>A (NS)</v>
          </cell>
        </row>
        <row r="504">
          <cell r="A504">
            <v>5226</v>
          </cell>
          <cell r="B504" t="str">
            <v>SUPRAYOGI</v>
          </cell>
          <cell r="C504" t="str">
            <v>SAMI</v>
          </cell>
          <cell r="D504" t="str">
            <v>TKN-27</v>
          </cell>
          <cell r="E504">
            <v>38961</v>
          </cell>
          <cell r="F504" t="str">
            <v>-</v>
          </cell>
          <cell r="G504" t="str">
            <v>-</v>
          </cell>
          <cell r="H504" t="str">
            <v>PE</v>
          </cell>
          <cell r="I504" t="str">
            <v>J/C BP</v>
          </cell>
          <cell r="J504" t="str">
            <v>ALL</v>
          </cell>
          <cell r="K504" t="str">
            <v>ALL</v>
          </cell>
          <cell r="L504" t="str">
            <v>CBP</v>
          </cell>
          <cell r="M504" t="str">
            <v>PROGRAMER CHECKER BOARD</v>
          </cell>
          <cell r="N504" t="str">
            <v>CBP</v>
          </cell>
          <cell r="O504" t="str">
            <v>B</v>
          </cell>
        </row>
        <row r="505">
          <cell r="A505">
            <v>9786</v>
          </cell>
          <cell r="B505" t="str">
            <v>MUJIONO</v>
          </cell>
          <cell r="C505" t="str">
            <v>SAMI</v>
          </cell>
          <cell r="D505" t="str">
            <v>TKN-51</v>
          </cell>
          <cell r="E505">
            <v>40330</v>
          </cell>
          <cell r="F505" t="str">
            <v>-</v>
          </cell>
          <cell r="G505" t="str">
            <v>-</v>
          </cell>
          <cell r="H505" t="str">
            <v>PE</v>
          </cell>
          <cell r="I505" t="str">
            <v>J/C BP</v>
          </cell>
          <cell r="J505" t="str">
            <v>ALL</v>
          </cell>
          <cell r="K505" t="str">
            <v>ALL</v>
          </cell>
          <cell r="L505" t="str">
            <v>CBP</v>
          </cell>
          <cell r="M505" t="str">
            <v>CHECKER BOARD FABRICATION</v>
          </cell>
          <cell r="N505" t="str">
            <v>CBP</v>
          </cell>
          <cell r="O505" t="str">
            <v>B</v>
          </cell>
        </row>
        <row r="506">
          <cell r="A506">
            <v>22323</v>
          </cell>
          <cell r="B506" t="str">
            <v>ARIS SETIA BUDI</v>
          </cell>
          <cell r="C506" t="str">
            <v>SAMI</v>
          </cell>
          <cell r="D506" t="str">
            <v>TKN-116</v>
          </cell>
          <cell r="E506">
            <v>43192</v>
          </cell>
          <cell r="F506">
            <v>43222</v>
          </cell>
          <cell r="G506">
            <v>43585</v>
          </cell>
          <cell r="H506" t="str">
            <v>PE</v>
          </cell>
          <cell r="I506" t="str">
            <v>J/C BP</v>
          </cell>
          <cell r="J506" t="str">
            <v>ALL</v>
          </cell>
          <cell r="K506" t="str">
            <v>ALL</v>
          </cell>
          <cell r="L506" t="str">
            <v>CBP</v>
          </cell>
          <cell r="M506" t="str">
            <v>CHECKER BOARD FABRICATION</v>
          </cell>
          <cell r="N506" t="str">
            <v>CBP</v>
          </cell>
          <cell r="O506" t="str">
            <v>A (NS)</v>
          </cell>
        </row>
        <row r="507">
          <cell r="A507">
            <v>11259</v>
          </cell>
          <cell r="B507" t="str">
            <v>IKE DIAH AGUSTIN</v>
          </cell>
          <cell r="C507" t="str">
            <v>SAMI</v>
          </cell>
          <cell r="D507" t="str">
            <v>OPT-294</v>
          </cell>
          <cell r="E507">
            <v>40617</v>
          </cell>
          <cell r="F507" t="str">
            <v>-</v>
          </cell>
          <cell r="G507" t="str">
            <v>-</v>
          </cell>
          <cell r="H507" t="str">
            <v>PE</v>
          </cell>
          <cell r="I507" t="str">
            <v>J/C BP</v>
          </cell>
          <cell r="J507" t="str">
            <v>ALL</v>
          </cell>
          <cell r="K507" t="str">
            <v>ALL</v>
          </cell>
          <cell r="L507" t="str">
            <v>JBP</v>
          </cell>
          <cell r="M507" t="str">
            <v>VALIDASI JIG BOARD</v>
          </cell>
          <cell r="N507" t="str">
            <v>JBP</v>
          </cell>
          <cell r="O507" t="str">
            <v>A</v>
          </cell>
        </row>
        <row r="508">
          <cell r="A508">
            <v>13422</v>
          </cell>
          <cell r="B508" t="str">
            <v>AHMAT SLAMET RIYADI</v>
          </cell>
          <cell r="C508" t="str">
            <v>SAMI</v>
          </cell>
          <cell r="D508" t="str">
            <v>TKN-64</v>
          </cell>
          <cell r="E508">
            <v>40932</v>
          </cell>
          <cell r="F508" t="str">
            <v>-</v>
          </cell>
          <cell r="G508" t="str">
            <v>-</v>
          </cell>
          <cell r="H508" t="str">
            <v>PE</v>
          </cell>
          <cell r="I508" t="str">
            <v>J/C BP</v>
          </cell>
          <cell r="J508" t="str">
            <v>ALL</v>
          </cell>
          <cell r="K508" t="str">
            <v>ALL</v>
          </cell>
          <cell r="L508" t="str">
            <v>JBP</v>
          </cell>
          <cell r="M508" t="str">
            <v>DRAFTER JIG BOARD</v>
          </cell>
          <cell r="N508" t="str">
            <v>JBP</v>
          </cell>
          <cell r="O508" t="str">
            <v>A</v>
          </cell>
        </row>
        <row r="509">
          <cell r="A509">
            <v>15479</v>
          </cell>
          <cell r="B509" t="str">
            <v>ACHMAD SHODIQ</v>
          </cell>
          <cell r="C509" t="str">
            <v>SAMI</v>
          </cell>
          <cell r="D509" t="str">
            <v>OPT-389</v>
          </cell>
          <cell r="E509">
            <v>41449</v>
          </cell>
          <cell r="F509" t="str">
            <v>-</v>
          </cell>
          <cell r="G509" t="str">
            <v>-</v>
          </cell>
          <cell r="H509" t="str">
            <v>PE</v>
          </cell>
          <cell r="I509" t="str">
            <v>J/C BP</v>
          </cell>
          <cell r="J509" t="str">
            <v>ALL</v>
          </cell>
          <cell r="K509" t="str">
            <v>ALL</v>
          </cell>
          <cell r="L509" t="str">
            <v>JBP</v>
          </cell>
          <cell r="M509" t="str">
            <v>JIG BOARD FABRICATION</v>
          </cell>
          <cell r="N509" t="str">
            <v>JBP</v>
          </cell>
          <cell r="O509" t="str">
            <v>A</v>
          </cell>
        </row>
        <row r="510">
          <cell r="A510">
            <v>1204</v>
          </cell>
          <cell r="B510" t="str">
            <v>JEHEZKIEL KURNIAWAN</v>
          </cell>
          <cell r="C510" t="str">
            <v>SAMI</v>
          </cell>
          <cell r="D510" t="str">
            <v>TKN-5</v>
          </cell>
          <cell r="E510">
            <v>37907</v>
          </cell>
          <cell r="F510" t="str">
            <v>-</v>
          </cell>
          <cell r="G510" t="str">
            <v>-</v>
          </cell>
          <cell r="H510" t="str">
            <v>PE</v>
          </cell>
          <cell r="I510" t="str">
            <v>J/C BP</v>
          </cell>
          <cell r="J510" t="str">
            <v>ALL</v>
          </cell>
          <cell r="K510" t="str">
            <v>ALL</v>
          </cell>
          <cell r="L510" t="str">
            <v>JBP</v>
          </cell>
          <cell r="M510" t="str">
            <v>JIG BOARD FABRICATION</v>
          </cell>
          <cell r="N510" t="str">
            <v>JBP</v>
          </cell>
          <cell r="O510" t="str">
            <v>A (NS)</v>
          </cell>
        </row>
        <row r="511">
          <cell r="A511">
            <v>13335</v>
          </cell>
          <cell r="B511" t="str">
            <v>INDRA DWI MAULANA</v>
          </cell>
          <cell r="C511" t="str">
            <v>SAMI</v>
          </cell>
          <cell r="D511" t="str">
            <v>TKN-63</v>
          </cell>
          <cell r="E511">
            <v>40924</v>
          </cell>
          <cell r="F511" t="str">
            <v>-</v>
          </cell>
          <cell r="G511" t="str">
            <v>-</v>
          </cell>
          <cell r="H511" t="str">
            <v>PE</v>
          </cell>
          <cell r="I511" t="str">
            <v>J/C BP</v>
          </cell>
          <cell r="J511" t="str">
            <v>ALL</v>
          </cell>
          <cell r="K511" t="str">
            <v>ALL</v>
          </cell>
          <cell r="L511" t="str">
            <v>JBP</v>
          </cell>
          <cell r="M511" t="str">
            <v>DRAFTER JIG BOARD</v>
          </cell>
          <cell r="N511" t="str">
            <v>JBP</v>
          </cell>
          <cell r="O511" t="str">
            <v>A (NS)</v>
          </cell>
        </row>
        <row r="512">
          <cell r="A512">
            <v>14105</v>
          </cell>
          <cell r="B512" t="str">
            <v>MARGARA IMANURA</v>
          </cell>
          <cell r="C512" t="str">
            <v>SAMI</v>
          </cell>
          <cell r="D512" t="str">
            <v>OPT-364</v>
          </cell>
          <cell r="E512">
            <v>41306</v>
          </cell>
          <cell r="F512" t="str">
            <v>-</v>
          </cell>
          <cell r="G512" t="str">
            <v>-</v>
          </cell>
          <cell r="H512" t="str">
            <v>PE</v>
          </cell>
          <cell r="I512" t="str">
            <v>J/C BP</v>
          </cell>
          <cell r="J512" t="str">
            <v>ALL</v>
          </cell>
          <cell r="K512" t="str">
            <v>ALL</v>
          </cell>
          <cell r="L512" t="str">
            <v>MTC</v>
          </cell>
          <cell r="M512" t="str">
            <v>INPUT DOWNTIME</v>
          </cell>
          <cell r="N512" t="str">
            <v>MTC</v>
          </cell>
          <cell r="O512" t="str">
            <v>A (NS)</v>
          </cell>
        </row>
        <row r="513">
          <cell r="A513">
            <v>21865</v>
          </cell>
          <cell r="B513" t="str">
            <v>MUHAMMAD ATOURRAHMAN</v>
          </cell>
          <cell r="C513" t="str">
            <v>SAMI</v>
          </cell>
          <cell r="D513" t="str">
            <v>TKN-110</v>
          </cell>
          <cell r="E513">
            <v>43098</v>
          </cell>
          <cell r="F513">
            <v>43129</v>
          </cell>
          <cell r="G513">
            <v>43496</v>
          </cell>
          <cell r="H513" t="str">
            <v>PE</v>
          </cell>
          <cell r="I513" t="str">
            <v>J/C BP</v>
          </cell>
          <cell r="J513" t="str">
            <v>ALL</v>
          </cell>
          <cell r="K513" t="str">
            <v>ALL</v>
          </cell>
          <cell r="L513" t="str">
            <v>JBP</v>
          </cell>
          <cell r="M513" t="str">
            <v>VALIDASI JIG BOARD</v>
          </cell>
          <cell r="N513" t="str">
            <v>JBP</v>
          </cell>
          <cell r="O513" t="str">
            <v>B</v>
          </cell>
        </row>
        <row r="514">
          <cell r="A514">
            <v>21981</v>
          </cell>
          <cell r="B514" t="str">
            <v>WIDYA ROMADHANNI</v>
          </cell>
          <cell r="C514" t="str">
            <v>SAMI</v>
          </cell>
          <cell r="D514" t="str">
            <v>TKN-112</v>
          </cell>
          <cell r="E514">
            <v>43116</v>
          </cell>
          <cell r="F514">
            <v>43147</v>
          </cell>
          <cell r="G514">
            <v>43524</v>
          </cell>
          <cell r="H514" t="str">
            <v>PE</v>
          </cell>
          <cell r="I514" t="str">
            <v>J/C BP</v>
          </cell>
          <cell r="J514" t="str">
            <v>ALL</v>
          </cell>
          <cell r="K514" t="str">
            <v>ALL</v>
          </cell>
          <cell r="L514" t="str">
            <v>JBP</v>
          </cell>
          <cell r="M514" t="str">
            <v>VALIDASI JIG BOARD</v>
          </cell>
          <cell r="N514" t="str">
            <v>JBP</v>
          </cell>
          <cell r="O514" t="str">
            <v>A (NS)</v>
          </cell>
        </row>
        <row r="515">
          <cell r="A515">
            <v>7078</v>
          </cell>
          <cell r="B515" t="str">
            <v>KAREP AMAD SUBAGIYO</v>
          </cell>
          <cell r="C515" t="str">
            <v>SAMI</v>
          </cell>
          <cell r="D515" t="str">
            <v>TKN-39</v>
          </cell>
          <cell r="E515">
            <v>39479</v>
          </cell>
          <cell r="F515" t="str">
            <v>-</v>
          </cell>
          <cell r="G515" t="str">
            <v>-</v>
          </cell>
          <cell r="H515" t="str">
            <v>PE</v>
          </cell>
          <cell r="I515" t="str">
            <v>J/C BP</v>
          </cell>
          <cell r="J515" t="str">
            <v>ALL</v>
          </cell>
          <cell r="K515" t="str">
            <v>ALL</v>
          </cell>
          <cell r="L515" t="str">
            <v>JBP</v>
          </cell>
          <cell r="M515" t="str">
            <v>JIG BOARD FABRICATION</v>
          </cell>
          <cell r="N515" t="str">
            <v>JBP</v>
          </cell>
          <cell r="O515" t="str">
            <v>B</v>
          </cell>
        </row>
        <row r="516">
          <cell r="A516">
            <v>14129</v>
          </cell>
          <cell r="B516" t="str">
            <v>EKA NOPIYA NINGSIH</v>
          </cell>
          <cell r="C516" t="str">
            <v>SAMI</v>
          </cell>
          <cell r="D516" t="str">
            <v>OPT-365</v>
          </cell>
          <cell r="E516">
            <v>41311</v>
          </cell>
          <cell r="F516" t="str">
            <v>-</v>
          </cell>
          <cell r="G516" t="str">
            <v>-</v>
          </cell>
          <cell r="H516" t="str">
            <v>PE</v>
          </cell>
          <cell r="I516" t="str">
            <v>J/C BP</v>
          </cell>
          <cell r="J516" t="str">
            <v>ALL</v>
          </cell>
          <cell r="K516" t="str">
            <v>ALL</v>
          </cell>
          <cell r="L516" t="str">
            <v>JBP</v>
          </cell>
          <cell r="M516" t="str">
            <v>VALIDASI JIG BOARD</v>
          </cell>
          <cell r="N516" t="str">
            <v>JBP</v>
          </cell>
          <cell r="O516" t="str">
            <v>B</v>
          </cell>
        </row>
        <row r="517">
          <cell r="A517">
            <v>15483</v>
          </cell>
          <cell r="B517" t="str">
            <v>AHMAD NIZAR ZULMI</v>
          </cell>
          <cell r="C517" t="str">
            <v>SAMI</v>
          </cell>
          <cell r="D517" t="str">
            <v>OPT-389</v>
          </cell>
          <cell r="E517">
            <v>41449</v>
          </cell>
          <cell r="F517" t="str">
            <v>-</v>
          </cell>
          <cell r="G517" t="str">
            <v>-</v>
          </cell>
          <cell r="H517" t="str">
            <v>PE</v>
          </cell>
          <cell r="I517" t="str">
            <v>J/C BP</v>
          </cell>
          <cell r="J517" t="str">
            <v>ALL</v>
          </cell>
          <cell r="K517" t="str">
            <v>ALL</v>
          </cell>
          <cell r="L517" t="str">
            <v>JBP</v>
          </cell>
          <cell r="M517" t="str">
            <v>JIG BOARD FABRICATION</v>
          </cell>
          <cell r="N517" t="str">
            <v>JBP</v>
          </cell>
          <cell r="O517" t="str">
            <v>B</v>
          </cell>
        </row>
        <row r="518">
          <cell r="A518">
            <v>15487</v>
          </cell>
          <cell r="B518" t="str">
            <v>ARI SUGIYANTO</v>
          </cell>
          <cell r="C518" t="str">
            <v>SAMI</v>
          </cell>
          <cell r="D518" t="str">
            <v>OPT-389</v>
          </cell>
          <cell r="E518">
            <v>41449</v>
          </cell>
          <cell r="F518" t="str">
            <v>-</v>
          </cell>
          <cell r="G518" t="str">
            <v>-</v>
          </cell>
          <cell r="H518" t="str">
            <v>PE</v>
          </cell>
          <cell r="I518" t="str">
            <v>J/C BP</v>
          </cell>
          <cell r="J518" t="str">
            <v>ALL</v>
          </cell>
          <cell r="K518" t="str">
            <v>ALL</v>
          </cell>
          <cell r="L518" t="str">
            <v>JBP</v>
          </cell>
          <cell r="M518" t="str">
            <v>VALIDASI JIG BOARD</v>
          </cell>
          <cell r="N518" t="str">
            <v>JBP</v>
          </cell>
          <cell r="O518" t="str">
            <v>A</v>
          </cell>
        </row>
        <row r="519">
          <cell r="A519">
            <v>15532</v>
          </cell>
          <cell r="B519" t="str">
            <v>ALFIAN NURI CAHYO</v>
          </cell>
          <cell r="C519" t="str">
            <v>SAMI</v>
          </cell>
          <cell r="D519" t="str">
            <v>OPT-390</v>
          </cell>
          <cell r="E519">
            <v>41452</v>
          </cell>
          <cell r="F519" t="str">
            <v>-</v>
          </cell>
          <cell r="G519" t="str">
            <v>-</v>
          </cell>
          <cell r="H519" t="str">
            <v>PE</v>
          </cell>
          <cell r="I519" t="str">
            <v>J/C BP</v>
          </cell>
          <cell r="J519" t="str">
            <v>ALL</v>
          </cell>
          <cell r="K519" t="str">
            <v>ALL</v>
          </cell>
          <cell r="L519" t="str">
            <v>JBP</v>
          </cell>
          <cell r="M519" t="str">
            <v>DRAFTER JIG BOARD</v>
          </cell>
          <cell r="N519" t="str">
            <v>JBP</v>
          </cell>
          <cell r="O519" t="str">
            <v>B</v>
          </cell>
        </row>
        <row r="520">
          <cell r="A520">
            <v>5483</v>
          </cell>
          <cell r="B520" t="str">
            <v>AMANTO FERI PURNOMO</v>
          </cell>
          <cell r="C520" t="str">
            <v>SAMI</v>
          </cell>
          <cell r="D520" t="str">
            <v>TKN-31</v>
          </cell>
          <cell r="E520">
            <v>38991</v>
          </cell>
          <cell r="F520" t="str">
            <v>-</v>
          </cell>
          <cell r="G520" t="str">
            <v>-</v>
          </cell>
          <cell r="H520" t="str">
            <v>PE</v>
          </cell>
          <cell r="I520" t="str">
            <v>J/C BP</v>
          </cell>
          <cell r="J520" t="str">
            <v>ALL</v>
          </cell>
          <cell r="K520" t="str">
            <v>ALL</v>
          </cell>
          <cell r="L520" t="str">
            <v>JCN</v>
          </cell>
          <cell r="M520" t="str">
            <v>BREAKDOWN FA</v>
          </cell>
          <cell r="N520" t="str">
            <v>MTC</v>
          </cell>
          <cell r="O520" t="str">
            <v>A</v>
          </cell>
        </row>
        <row r="521">
          <cell r="A521">
            <v>13330</v>
          </cell>
          <cell r="B521" t="str">
            <v>ARIF DWI SETYAWAN</v>
          </cell>
          <cell r="C521" t="str">
            <v>SAMI</v>
          </cell>
          <cell r="D521" t="str">
            <v>TKN-63</v>
          </cell>
          <cell r="E521">
            <v>40924</v>
          </cell>
          <cell r="F521" t="str">
            <v>-</v>
          </cell>
          <cell r="G521" t="str">
            <v>-</v>
          </cell>
          <cell r="H521" t="str">
            <v>PE</v>
          </cell>
          <cell r="I521" t="str">
            <v>J/C BP</v>
          </cell>
          <cell r="J521" t="str">
            <v>ALL</v>
          </cell>
          <cell r="K521" t="str">
            <v>ALL</v>
          </cell>
          <cell r="L521" t="str">
            <v>JCN</v>
          </cell>
          <cell r="M521" t="str">
            <v>JIG BOARD PREVENTIF</v>
          </cell>
          <cell r="N521" t="str">
            <v>MTC</v>
          </cell>
          <cell r="O521" t="str">
            <v>A</v>
          </cell>
        </row>
        <row r="522">
          <cell r="A522">
            <v>13341</v>
          </cell>
          <cell r="B522" t="str">
            <v>NANANG SETIAWAN</v>
          </cell>
          <cell r="C522" t="str">
            <v>SAMI</v>
          </cell>
          <cell r="D522" t="str">
            <v>TKN-63</v>
          </cell>
          <cell r="E522">
            <v>40924</v>
          </cell>
          <cell r="F522" t="str">
            <v>-</v>
          </cell>
          <cell r="G522" t="str">
            <v>-</v>
          </cell>
          <cell r="H522" t="str">
            <v>PE</v>
          </cell>
          <cell r="I522" t="str">
            <v>J/C BP</v>
          </cell>
          <cell r="J522" t="str">
            <v>ALL</v>
          </cell>
          <cell r="K522" t="str">
            <v>ALL</v>
          </cell>
          <cell r="L522" t="str">
            <v>JCN</v>
          </cell>
          <cell r="M522" t="str">
            <v>BREAKDOWN FA</v>
          </cell>
          <cell r="N522" t="str">
            <v>MTC</v>
          </cell>
          <cell r="O522" t="str">
            <v>A</v>
          </cell>
        </row>
        <row r="523">
          <cell r="A523">
            <v>20923</v>
          </cell>
          <cell r="B523" t="str">
            <v>FAJAR MOHAMAD RAFI</v>
          </cell>
          <cell r="C523" t="str">
            <v>SAMI</v>
          </cell>
          <cell r="D523" t="str">
            <v>TKN-106</v>
          </cell>
          <cell r="E523">
            <v>42660</v>
          </cell>
          <cell r="F523">
            <v>43160</v>
          </cell>
          <cell r="G523">
            <v>43524</v>
          </cell>
          <cell r="H523" t="str">
            <v>PE</v>
          </cell>
          <cell r="I523" t="str">
            <v>J/C BP</v>
          </cell>
          <cell r="J523" t="str">
            <v>ALL</v>
          </cell>
          <cell r="K523" t="str">
            <v>ALL</v>
          </cell>
          <cell r="L523" t="str">
            <v>JCN</v>
          </cell>
          <cell r="M523" t="str">
            <v>BREAKDOWN FA</v>
          </cell>
          <cell r="N523" t="str">
            <v>MTC</v>
          </cell>
          <cell r="O523" t="str">
            <v>A (NS)</v>
          </cell>
        </row>
        <row r="524">
          <cell r="A524">
            <v>4657</v>
          </cell>
          <cell r="B524" t="str">
            <v>DEDEK KUSMANA</v>
          </cell>
          <cell r="C524" t="str">
            <v>SAMI</v>
          </cell>
          <cell r="D524" t="str">
            <v>TKN-25</v>
          </cell>
          <cell r="E524">
            <v>38901</v>
          </cell>
          <cell r="F524" t="str">
            <v>-</v>
          </cell>
          <cell r="G524" t="str">
            <v>-</v>
          </cell>
          <cell r="H524" t="str">
            <v>PE</v>
          </cell>
          <cell r="I524" t="str">
            <v>J/C BP</v>
          </cell>
          <cell r="J524" t="str">
            <v>ALL</v>
          </cell>
          <cell r="K524" t="str">
            <v>ALL</v>
          </cell>
          <cell r="L524" t="str">
            <v>JCN</v>
          </cell>
          <cell r="M524" t="str">
            <v>CNC &amp; MILLING</v>
          </cell>
          <cell r="N524" t="str">
            <v>JBP</v>
          </cell>
          <cell r="O524" t="str">
            <v>A (NS)</v>
          </cell>
        </row>
        <row r="525">
          <cell r="A525">
            <v>7077</v>
          </cell>
          <cell r="B525" t="str">
            <v>ARIE CAHYADI</v>
          </cell>
          <cell r="C525" t="str">
            <v>SAMI</v>
          </cell>
          <cell r="D525" t="str">
            <v>TKN-39</v>
          </cell>
          <cell r="E525">
            <v>39479</v>
          </cell>
          <cell r="F525" t="str">
            <v>-</v>
          </cell>
          <cell r="G525" t="str">
            <v>-</v>
          </cell>
          <cell r="H525" t="str">
            <v>PE</v>
          </cell>
          <cell r="I525" t="str">
            <v>J/C BP</v>
          </cell>
          <cell r="J525" t="str">
            <v>ALL</v>
          </cell>
          <cell r="K525" t="str">
            <v>ALL</v>
          </cell>
          <cell r="L525" t="str">
            <v>JCN</v>
          </cell>
          <cell r="M525" t="str">
            <v>LL JIG CHECKER NAVIGASI</v>
          </cell>
          <cell r="N525" t="str">
            <v>FPS LL</v>
          </cell>
          <cell r="O525" t="str">
            <v>A (NS)</v>
          </cell>
        </row>
        <row r="526">
          <cell r="A526">
            <v>14100</v>
          </cell>
          <cell r="B526" t="str">
            <v>DWI AGUS ARIYANTO</v>
          </cell>
          <cell r="C526" t="str">
            <v>SAMI</v>
          </cell>
          <cell r="D526" t="str">
            <v>OPT-364</v>
          </cell>
          <cell r="E526">
            <v>41306</v>
          </cell>
          <cell r="F526" t="str">
            <v>-</v>
          </cell>
          <cell r="G526" t="str">
            <v>-</v>
          </cell>
          <cell r="H526" t="str">
            <v>PE</v>
          </cell>
          <cell r="I526" t="str">
            <v>J/C BP</v>
          </cell>
          <cell r="J526" t="str">
            <v>ALL</v>
          </cell>
          <cell r="K526" t="str">
            <v>ALL</v>
          </cell>
          <cell r="L526" t="str">
            <v>JCN</v>
          </cell>
          <cell r="M526" t="str">
            <v>CNC &amp; MILLING MATTING PART DESIGN &amp; FABRICATION</v>
          </cell>
          <cell r="N526" t="str">
            <v>JBP</v>
          </cell>
          <cell r="O526" t="str">
            <v>A (NS)</v>
          </cell>
        </row>
        <row r="527">
          <cell r="A527">
            <v>7079</v>
          </cell>
          <cell r="B527" t="str">
            <v>PAIMIN</v>
          </cell>
          <cell r="C527" t="str">
            <v>SAMI</v>
          </cell>
          <cell r="D527" t="str">
            <v>TKN-39</v>
          </cell>
          <cell r="E527">
            <v>39479</v>
          </cell>
          <cell r="F527" t="str">
            <v>-</v>
          </cell>
          <cell r="G527" t="str">
            <v>-</v>
          </cell>
          <cell r="H527" t="str">
            <v>PE</v>
          </cell>
          <cell r="I527" t="str">
            <v>J/C BP</v>
          </cell>
          <cell r="J527" t="str">
            <v>ALL</v>
          </cell>
          <cell r="K527" t="str">
            <v>ALL</v>
          </cell>
          <cell r="L527" t="str">
            <v>JCN</v>
          </cell>
          <cell r="M527" t="str">
            <v>BREAKDOWN FA</v>
          </cell>
          <cell r="N527" t="str">
            <v>MTC</v>
          </cell>
          <cell r="O527" t="str">
            <v>B</v>
          </cell>
        </row>
        <row r="528">
          <cell r="A528">
            <v>10160</v>
          </cell>
          <cell r="B528" t="str">
            <v>EDY KOESMANTO</v>
          </cell>
          <cell r="C528" t="str">
            <v>SAMI</v>
          </cell>
          <cell r="D528" t="str">
            <v>TKN-52</v>
          </cell>
          <cell r="E528">
            <v>40452</v>
          </cell>
          <cell r="F528" t="str">
            <v>-</v>
          </cell>
          <cell r="G528" t="str">
            <v>-</v>
          </cell>
          <cell r="H528" t="str">
            <v>PE</v>
          </cell>
          <cell r="I528" t="str">
            <v>J/C BP</v>
          </cell>
          <cell r="J528" t="str">
            <v>ALL</v>
          </cell>
          <cell r="K528" t="str">
            <v>ALL</v>
          </cell>
          <cell r="L528" t="str">
            <v>JCN</v>
          </cell>
          <cell r="M528" t="str">
            <v>BREAKDOWN FA</v>
          </cell>
          <cell r="N528" t="str">
            <v>MTC</v>
          </cell>
          <cell r="O528" t="str">
            <v>B</v>
          </cell>
        </row>
        <row r="529">
          <cell r="A529">
            <v>14107</v>
          </cell>
          <cell r="B529" t="str">
            <v>MUCHAMAT ICHSAN</v>
          </cell>
          <cell r="C529" t="str">
            <v>SAMI</v>
          </cell>
          <cell r="D529" t="str">
            <v>OPT-364</v>
          </cell>
          <cell r="E529">
            <v>41306</v>
          </cell>
          <cell r="F529" t="str">
            <v>-</v>
          </cell>
          <cell r="G529" t="str">
            <v>-</v>
          </cell>
          <cell r="H529" t="str">
            <v>PE</v>
          </cell>
          <cell r="I529" t="str">
            <v>J/C BP</v>
          </cell>
          <cell r="J529" t="str">
            <v>ALL</v>
          </cell>
          <cell r="K529" t="str">
            <v>ALL</v>
          </cell>
          <cell r="L529" t="str">
            <v>JCN</v>
          </cell>
          <cell r="M529" t="str">
            <v>BREAKDOWN &amp; PREVENTIVE CONVEYOR</v>
          </cell>
          <cell r="N529" t="str">
            <v>MTC</v>
          </cell>
          <cell r="O529" t="str">
            <v>B</v>
          </cell>
        </row>
        <row r="530">
          <cell r="A530">
            <v>20922</v>
          </cell>
          <cell r="B530" t="str">
            <v>AGUS RHOKHAMTO</v>
          </cell>
          <cell r="C530" t="str">
            <v>SAMI</v>
          </cell>
          <cell r="D530" t="str">
            <v>TKN-106</v>
          </cell>
          <cell r="E530">
            <v>42660</v>
          </cell>
          <cell r="F530">
            <v>43160</v>
          </cell>
          <cell r="G530">
            <v>43524</v>
          </cell>
          <cell r="H530" t="str">
            <v>PE</v>
          </cell>
          <cell r="I530" t="str">
            <v>J/C BP</v>
          </cell>
          <cell r="J530" t="str">
            <v>ALL</v>
          </cell>
          <cell r="K530" t="str">
            <v>ALL</v>
          </cell>
          <cell r="L530" t="str">
            <v>JCN</v>
          </cell>
          <cell r="M530" t="str">
            <v>BREAKDOWN FA</v>
          </cell>
          <cell r="N530" t="str">
            <v>MTC</v>
          </cell>
          <cell r="O530" t="str">
            <v>A</v>
          </cell>
        </row>
        <row r="531">
          <cell r="A531">
            <v>22475</v>
          </cell>
          <cell r="B531" t="str">
            <v>RICKY SETIAWAN</v>
          </cell>
          <cell r="C531" t="str">
            <v>SAMI</v>
          </cell>
          <cell r="D531" t="str">
            <v>TKN-119</v>
          </cell>
          <cell r="E531">
            <v>43220</v>
          </cell>
          <cell r="F531">
            <v>43250</v>
          </cell>
          <cell r="G531">
            <v>43616</v>
          </cell>
          <cell r="H531" t="str">
            <v>PE</v>
          </cell>
          <cell r="I531" t="str">
            <v>J/C BP</v>
          </cell>
          <cell r="J531" t="str">
            <v>ALL</v>
          </cell>
          <cell r="K531" t="str">
            <v>ALL</v>
          </cell>
          <cell r="L531" t="str">
            <v>JCN</v>
          </cell>
          <cell r="M531" t="str">
            <v>BREAKDOWN FA</v>
          </cell>
          <cell r="N531" t="str">
            <v>MTC</v>
          </cell>
          <cell r="O531" t="str">
            <v>A</v>
          </cell>
        </row>
        <row r="532">
          <cell r="A532">
            <v>22264</v>
          </cell>
          <cell r="B532" t="str">
            <v>MASRUR HADIYANTO</v>
          </cell>
          <cell r="C532" t="str">
            <v>SAMI</v>
          </cell>
          <cell r="D532" t="str">
            <v>TKN-114</v>
          </cell>
          <cell r="E532">
            <v>43175</v>
          </cell>
          <cell r="F532">
            <v>43206</v>
          </cell>
          <cell r="G532">
            <v>43585</v>
          </cell>
          <cell r="H532" t="str">
            <v>PE</v>
          </cell>
          <cell r="I532" t="str">
            <v>J/C BP</v>
          </cell>
          <cell r="J532" t="str">
            <v>ALL</v>
          </cell>
          <cell r="K532" t="str">
            <v>ALL</v>
          </cell>
          <cell r="L532" t="str">
            <v>MTC</v>
          </cell>
          <cell r="M532" t="str">
            <v>BREAKDOWN FA</v>
          </cell>
          <cell r="N532" t="str">
            <v>MTC</v>
          </cell>
          <cell r="O532" t="str">
            <v>A (NS)</v>
          </cell>
        </row>
        <row r="533">
          <cell r="A533">
            <v>22360</v>
          </cell>
          <cell r="B533" t="str">
            <v>MUHAMMAD SHOBIRIN</v>
          </cell>
          <cell r="C533" t="str">
            <v>SAMI</v>
          </cell>
          <cell r="D533" t="str">
            <v>TKN-117</v>
          </cell>
          <cell r="E533">
            <v>43195</v>
          </cell>
          <cell r="F533">
            <v>43225</v>
          </cell>
          <cell r="G533">
            <v>43585</v>
          </cell>
          <cell r="H533" t="str">
            <v>PE</v>
          </cell>
          <cell r="I533" t="str">
            <v>J/C BP</v>
          </cell>
          <cell r="J533" t="str">
            <v>ALL</v>
          </cell>
          <cell r="K533" t="str">
            <v>ALL</v>
          </cell>
          <cell r="L533" t="str">
            <v>JCN</v>
          </cell>
          <cell r="M533" t="str">
            <v>BREAKDOWN FA</v>
          </cell>
          <cell r="N533" t="str">
            <v>MTC</v>
          </cell>
          <cell r="O533" t="str">
            <v>A (NS)</v>
          </cell>
        </row>
        <row r="534">
          <cell r="A534">
            <v>430</v>
          </cell>
          <cell r="B534" t="str">
            <v>TEGUH NUR HIDAYAH</v>
          </cell>
          <cell r="C534" t="str">
            <v>SAMI</v>
          </cell>
          <cell r="D534" t="str">
            <v>OPT-11</v>
          </cell>
          <cell r="E534">
            <v>37739</v>
          </cell>
          <cell r="F534" t="str">
            <v>-</v>
          </cell>
          <cell r="G534" t="str">
            <v>-</v>
          </cell>
          <cell r="H534" t="str">
            <v>PE</v>
          </cell>
          <cell r="I534" t="str">
            <v>J/C BP</v>
          </cell>
          <cell r="J534" t="str">
            <v>ALL</v>
          </cell>
          <cell r="K534" t="str">
            <v>ALL</v>
          </cell>
          <cell r="L534" t="str">
            <v>JCP</v>
          </cell>
          <cell r="M534" t="str">
            <v xml:space="preserve">PREPARE ORDERING PART AND CONTROL STOCK MATERIAL JIG BOARD </v>
          </cell>
          <cell r="N534" t="str">
            <v>CBP</v>
          </cell>
          <cell r="O534" t="str">
            <v>A (NS)</v>
          </cell>
        </row>
        <row r="535">
          <cell r="A535">
            <v>1014</v>
          </cell>
          <cell r="B535" t="str">
            <v>EKO ARIF SUSIANTO</v>
          </cell>
          <cell r="C535" t="str">
            <v>SAMI</v>
          </cell>
          <cell r="D535" t="str">
            <v>SPV UP</v>
          </cell>
          <cell r="E535">
            <v>37872</v>
          </cell>
          <cell r="F535" t="str">
            <v>-</v>
          </cell>
          <cell r="G535" t="str">
            <v>-</v>
          </cell>
          <cell r="H535" t="str">
            <v>PE</v>
          </cell>
          <cell r="I535" t="str">
            <v>J/C BP</v>
          </cell>
          <cell r="J535" t="str">
            <v>ALL</v>
          </cell>
          <cell r="K535" t="str">
            <v>ALL</v>
          </cell>
          <cell r="L535" t="str">
            <v>JCP</v>
          </cell>
          <cell r="M535" t="str">
            <v>COORD. SUPERVISOR</v>
          </cell>
          <cell r="N535" t="str">
            <v>FPS SPV</v>
          </cell>
          <cell r="O535" t="str">
            <v>A (NS)</v>
          </cell>
        </row>
        <row r="536">
          <cell r="A536">
            <v>11912</v>
          </cell>
          <cell r="B536" t="str">
            <v>FATHARANI PUTRI QANITA</v>
          </cell>
          <cell r="C536" t="str">
            <v>SAMI</v>
          </cell>
          <cell r="D536" t="str">
            <v>ES-30</v>
          </cell>
          <cell r="E536">
            <v>40763</v>
          </cell>
          <cell r="F536" t="str">
            <v>-</v>
          </cell>
          <cell r="G536" t="str">
            <v>-</v>
          </cell>
          <cell r="H536" t="str">
            <v>PE</v>
          </cell>
          <cell r="I536" t="str">
            <v>J/C BP</v>
          </cell>
          <cell r="J536" t="str">
            <v>ALL</v>
          </cell>
          <cell r="K536" t="str">
            <v>ALL</v>
          </cell>
          <cell r="L536" t="str">
            <v>JCP</v>
          </cell>
          <cell r="M536" t="str">
            <v>INTERPRETER</v>
          </cell>
          <cell r="N536" t="str">
            <v>FPS LL</v>
          </cell>
          <cell r="O536" t="str">
            <v>A (NS)</v>
          </cell>
        </row>
        <row r="537">
          <cell r="A537">
            <v>12029</v>
          </cell>
          <cell r="B537" t="str">
            <v>HARIS NURIDHO</v>
          </cell>
          <cell r="C537" t="str">
            <v>SAMI</v>
          </cell>
          <cell r="D537" t="str">
            <v>SPV UP</v>
          </cell>
          <cell r="E537">
            <v>40791</v>
          </cell>
          <cell r="F537" t="str">
            <v>-</v>
          </cell>
          <cell r="G537" t="str">
            <v>-</v>
          </cell>
          <cell r="H537" t="str">
            <v>PE</v>
          </cell>
          <cell r="I537" t="str">
            <v>J/C BP</v>
          </cell>
          <cell r="J537" t="str">
            <v>ALL</v>
          </cell>
          <cell r="K537" t="str">
            <v>ALL</v>
          </cell>
          <cell r="L537" t="str">
            <v>JCP</v>
          </cell>
          <cell r="M537" t="str">
            <v>SUPERVISOR</v>
          </cell>
          <cell r="N537" t="str">
            <v>FPS SPV</v>
          </cell>
          <cell r="O537" t="str">
            <v>A (NS)</v>
          </cell>
        </row>
        <row r="538">
          <cell r="A538">
            <v>14103</v>
          </cell>
          <cell r="B538" t="str">
            <v>HENDRAWAN ADI BACHTIAR</v>
          </cell>
          <cell r="C538" t="str">
            <v>SAMI</v>
          </cell>
          <cell r="D538" t="str">
            <v>OPT-364</v>
          </cell>
          <cell r="E538">
            <v>41306</v>
          </cell>
          <cell r="F538" t="str">
            <v>-</v>
          </cell>
          <cell r="G538" t="str">
            <v>-</v>
          </cell>
          <cell r="H538" t="str">
            <v>PE</v>
          </cell>
          <cell r="I538" t="str">
            <v>J/C BP</v>
          </cell>
          <cell r="J538" t="str">
            <v>ALL</v>
          </cell>
          <cell r="K538" t="str">
            <v>ALL</v>
          </cell>
          <cell r="L538" t="str">
            <v>JCP</v>
          </cell>
          <cell r="M538" t="str">
            <v xml:space="preserve">PREPARE ORDERING PART AND CONTROL STOCK MATERIAL JIG BOARD </v>
          </cell>
          <cell r="N538" t="str">
            <v>CBP</v>
          </cell>
          <cell r="O538" t="str">
            <v>A (NS)</v>
          </cell>
        </row>
        <row r="539">
          <cell r="A539">
            <v>5703</v>
          </cell>
          <cell r="B539" t="str">
            <v>GIYATNO</v>
          </cell>
          <cell r="C539" t="str">
            <v>SAMI</v>
          </cell>
          <cell r="D539" t="str">
            <v>OPT-134</v>
          </cell>
          <cell r="E539">
            <v>39098</v>
          </cell>
          <cell r="F539" t="str">
            <v>-</v>
          </cell>
          <cell r="G539" t="str">
            <v>-</v>
          </cell>
          <cell r="H539" t="str">
            <v>PE</v>
          </cell>
          <cell r="I539" t="str">
            <v>J/C BP</v>
          </cell>
          <cell r="J539" t="str">
            <v>ALL</v>
          </cell>
          <cell r="K539" t="str">
            <v>ALL</v>
          </cell>
          <cell r="L539" t="str">
            <v>NIP</v>
          </cell>
          <cell r="M539" t="str">
            <v>Inspection Board (Fabr,Programer,Prev,Breakdown)</v>
          </cell>
          <cell r="N539" t="str">
            <v>CBP</v>
          </cell>
          <cell r="O539" t="str">
            <v>A</v>
          </cell>
        </row>
        <row r="540">
          <cell r="A540">
            <v>12163</v>
          </cell>
          <cell r="B540" t="str">
            <v>OKI DIDI GUNAWAN</v>
          </cell>
          <cell r="C540" t="str">
            <v>SAMI</v>
          </cell>
          <cell r="D540" t="str">
            <v>TKN-57</v>
          </cell>
          <cell r="E540">
            <v>40802</v>
          </cell>
          <cell r="F540" t="str">
            <v>-</v>
          </cell>
          <cell r="G540" t="str">
            <v>-</v>
          </cell>
          <cell r="H540" t="str">
            <v>PE</v>
          </cell>
          <cell r="I540" t="str">
            <v>J/C BP</v>
          </cell>
          <cell r="J540" t="str">
            <v>ALL</v>
          </cell>
          <cell r="K540" t="str">
            <v>ALL</v>
          </cell>
          <cell r="L540" t="str">
            <v>NIP</v>
          </cell>
          <cell r="M540" t="str">
            <v>PROGRAMER NAVIGATION SYSTEM</v>
          </cell>
          <cell r="N540" t="str">
            <v>CBP</v>
          </cell>
          <cell r="O540" t="str">
            <v>A</v>
          </cell>
        </row>
        <row r="541">
          <cell r="A541">
            <v>13338</v>
          </cell>
          <cell r="B541" t="str">
            <v>LUCKY APRIYANTO</v>
          </cell>
          <cell r="C541" t="str">
            <v>SAMI</v>
          </cell>
          <cell r="D541" t="str">
            <v>TKN-63</v>
          </cell>
          <cell r="E541">
            <v>40924</v>
          </cell>
          <cell r="F541" t="str">
            <v>-</v>
          </cell>
          <cell r="G541" t="str">
            <v>-</v>
          </cell>
          <cell r="H541" t="str">
            <v>PE</v>
          </cell>
          <cell r="I541" t="str">
            <v>J/C BP</v>
          </cell>
          <cell r="J541" t="str">
            <v>ALL</v>
          </cell>
          <cell r="K541" t="str">
            <v>ALL</v>
          </cell>
          <cell r="L541" t="str">
            <v>NIP</v>
          </cell>
          <cell r="M541" t="str">
            <v>NAVIGATION SYSTEM FABRICATION</v>
          </cell>
          <cell r="N541" t="str">
            <v>CBP</v>
          </cell>
          <cell r="O541" t="str">
            <v>A</v>
          </cell>
        </row>
        <row r="542">
          <cell r="A542">
            <v>18808</v>
          </cell>
          <cell r="B542" t="str">
            <v>TEGUH YULIYANTO</v>
          </cell>
          <cell r="C542" t="str">
            <v>SAMI</v>
          </cell>
          <cell r="D542" t="str">
            <v>TKN-91</v>
          </cell>
          <cell r="E542">
            <v>42170</v>
          </cell>
          <cell r="F542" t="str">
            <v>-</v>
          </cell>
          <cell r="G542" t="str">
            <v>-</v>
          </cell>
          <cell r="H542" t="str">
            <v>PE</v>
          </cell>
          <cell r="I542" t="str">
            <v>J/C BP</v>
          </cell>
          <cell r="J542" t="str">
            <v>ALL</v>
          </cell>
          <cell r="K542" t="str">
            <v>ALL</v>
          </cell>
          <cell r="L542" t="str">
            <v>NIP</v>
          </cell>
          <cell r="M542" t="str">
            <v>NAVIGATION SYSTEM FABRICATION</v>
          </cell>
          <cell r="N542" t="str">
            <v>CBP</v>
          </cell>
          <cell r="O542" t="str">
            <v>A</v>
          </cell>
        </row>
        <row r="543">
          <cell r="A543" t="str">
            <v>B01436</v>
          </cell>
          <cell r="B543" t="str">
            <v>MUNDAKIR</v>
          </cell>
          <cell r="C543" t="str">
            <v>SAMI</v>
          </cell>
          <cell r="D543" t="str">
            <v>TKN-72</v>
          </cell>
          <cell r="E543">
            <v>41306</v>
          </cell>
          <cell r="F543" t="str">
            <v>-</v>
          </cell>
          <cell r="G543" t="str">
            <v>-</v>
          </cell>
          <cell r="H543" t="str">
            <v>PE</v>
          </cell>
          <cell r="I543" t="str">
            <v>J/C BP</v>
          </cell>
          <cell r="J543" t="str">
            <v>ALL</v>
          </cell>
          <cell r="K543" t="str">
            <v>ALL</v>
          </cell>
          <cell r="L543" t="str">
            <v>MTC</v>
          </cell>
          <cell r="M543" t="str">
            <v>BREAKDOWN FA</v>
          </cell>
          <cell r="N543" t="str">
            <v>MTC</v>
          </cell>
          <cell r="O543" t="str">
            <v>B</v>
          </cell>
        </row>
        <row r="544">
          <cell r="A544">
            <v>552</v>
          </cell>
          <cell r="B544" t="str">
            <v>SUBKI</v>
          </cell>
          <cell r="C544" t="str">
            <v>SAMI</v>
          </cell>
          <cell r="D544" t="str">
            <v>OPT-14</v>
          </cell>
          <cell r="E544">
            <v>37767</v>
          </cell>
          <cell r="F544" t="str">
            <v>-</v>
          </cell>
          <cell r="G544" t="str">
            <v>-</v>
          </cell>
          <cell r="H544" t="str">
            <v>PE</v>
          </cell>
          <cell r="I544" t="str">
            <v>J/C BP</v>
          </cell>
          <cell r="J544" t="str">
            <v>ALL</v>
          </cell>
          <cell r="K544" t="str">
            <v>ALL</v>
          </cell>
          <cell r="L544" t="str">
            <v>NIP</v>
          </cell>
          <cell r="M544" t="str">
            <v>Inspection Board (Fabr,Programer,Prev,Breakdown)</v>
          </cell>
          <cell r="N544" t="str">
            <v>CBP</v>
          </cell>
          <cell r="O544" t="str">
            <v>A (NS)</v>
          </cell>
        </row>
        <row r="545">
          <cell r="A545">
            <v>5559</v>
          </cell>
          <cell r="B545" t="str">
            <v>MUHAMMAD ARIFIN</v>
          </cell>
          <cell r="C545" t="str">
            <v>SAMI</v>
          </cell>
          <cell r="D545" t="str">
            <v>TKN-33</v>
          </cell>
          <cell r="E545">
            <v>39052</v>
          </cell>
          <cell r="F545" t="str">
            <v>-</v>
          </cell>
          <cell r="G545" t="str">
            <v>-</v>
          </cell>
          <cell r="H545" t="str">
            <v>PE</v>
          </cell>
          <cell r="I545" t="str">
            <v>J/C BP</v>
          </cell>
          <cell r="J545" t="str">
            <v>ALL</v>
          </cell>
          <cell r="K545" t="str">
            <v>ALL</v>
          </cell>
          <cell r="L545" t="str">
            <v>NIP</v>
          </cell>
          <cell r="M545" t="str">
            <v>LL CHECKER BOARD PREPARATION</v>
          </cell>
          <cell r="N545" t="str">
            <v>FPS LL</v>
          </cell>
          <cell r="O545" t="str">
            <v>A (NS)</v>
          </cell>
        </row>
        <row r="546">
          <cell r="A546">
            <v>21509</v>
          </cell>
          <cell r="B546" t="str">
            <v>MUHAMMAD SAIFUDIN</v>
          </cell>
          <cell r="C546" t="str">
            <v>SAMI</v>
          </cell>
          <cell r="D546" t="str">
            <v>TKN-108</v>
          </cell>
          <cell r="E546">
            <v>43031</v>
          </cell>
          <cell r="F546">
            <v>43435</v>
          </cell>
          <cell r="G546">
            <v>43799</v>
          </cell>
          <cell r="H546" t="str">
            <v>PE</v>
          </cell>
          <cell r="I546" t="str">
            <v>J/C BP</v>
          </cell>
          <cell r="J546" t="str">
            <v>ALL</v>
          </cell>
          <cell r="K546" t="str">
            <v>ALL</v>
          </cell>
          <cell r="L546" t="str">
            <v>NIP</v>
          </cell>
          <cell r="M546" t="str">
            <v>NAVIGATION SYSTEM FABRICATION</v>
          </cell>
          <cell r="N546" t="str">
            <v>CBP</v>
          </cell>
          <cell r="O546" t="str">
            <v>A (NS)</v>
          </cell>
        </row>
        <row r="547">
          <cell r="A547">
            <v>21510</v>
          </cell>
          <cell r="B547" t="str">
            <v>SAJIK PRIYAMBADA</v>
          </cell>
          <cell r="C547" t="str">
            <v>SAMI</v>
          </cell>
          <cell r="D547" t="str">
            <v>TKN-108</v>
          </cell>
          <cell r="E547">
            <v>43031</v>
          </cell>
          <cell r="F547">
            <v>43435</v>
          </cell>
          <cell r="G547">
            <v>43799</v>
          </cell>
          <cell r="H547" t="str">
            <v>PE</v>
          </cell>
          <cell r="I547" t="str">
            <v>J/C BP</v>
          </cell>
          <cell r="J547" t="str">
            <v>ALL</v>
          </cell>
          <cell r="K547" t="str">
            <v>ALL</v>
          </cell>
          <cell r="L547" t="str">
            <v>NIP</v>
          </cell>
          <cell r="M547" t="str">
            <v>NAVIGATION SYSTEM FABRICATION</v>
          </cell>
          <cell r="N547" t="str">
            <v>CBP</v>
          </cell>
          <cell r="O547" t="str">
            <v>A (NS)</v>
          </cell>
        </row>
        <row r="548">
          <cell r="A548">
            <v>5754</v>
          </cell>
          <cell r="B548" t="str">
            <v>ABIL HUDA</v>
          </cell>
          <cell r="C548" t="str">
            <v>SAMI</v>
          </cell>
          <cell r="D548" t="str">
            <v>OPT-135</v>
          </cell>
          <cell r="E548">
            <v>39114</v>
          </cell>
          <cell r="F548" t="str">
            <v>-</v>
          </cell>
          <cell r="G548" t="str">
            <v>-</v>
          </cell>
          <cell r="H548" t="str">
            <v>PE</v>
          </cell>
          <cell r="I548" t="str">
            <v>J/C BP</v>
          </cell>
          <cell r="J548" t="str">
            <v>ALL</v>
          </cell>
          <cell r="K548" t="str">
            <v>ALL</v>
          </cell>
          <cell r="L548" t="str">
            <v>NIP</v>
          </cell>
          <cell r="M548" t="str">
            <v>Inspection Board (Fabr,Programer,Prev,Breakdown)</v>
          </cell>
          <cell r="N548" t="str">
            <v>CBP</v>
          </cell>
          <cell r="O548" t="str">
            <v>B</v>
          </cell>
        </row>
        <row r="549">
          <cell r="A549">
            <v>13331</v>
          </cell>
          <cell r="B549" t="str">
            <v>BAMBANG LADIYO</v>
          </cell>
          <cell r="C549" t="str">
            <v>SAMI</v>
          </cell>
          <cell r="D549" t="str">
            <v>TKN-63</v>
          </cell>
          <cell r="E549">
            <v>40924</v>
          </cell>
          <cell r="F549" t="str">
            <v>-</v>
          </cell>
          <cell r="G549" t="str">
            <v>-</v>
          </cell>
          <cell r="H549" t="str">
            <v>PE</v>
          </cell>
          <cell r="I549" t="str">
            <v>J/C BP</v>
          </cell>
          <cell r="J549" t="str">
            <v>ALL</v>
          </cell>
          <cell r="K549" t="str">
            <v>ALL</v>
          </cell>
          <cell r="L549" t="str">
            <v>NIP</v>
          </cell>
          <cell r="M549" t="str">
            <v>NAVIGATION SYSTEM FABRICATION</v>
          </cell>
          <cell r="N549" t="str">
            <v>CBP</v>
          </cell>
          <cell r="O549" t="str">
            <v>B</v>
          </cell>
        </row>
        <row r="550">
          <cell r="A550">
            <v>14106</v>
          </cell>
          <cell r="B550" t="str">
            <v>MARIO</v>
          </cell>
          <cell r="C550" t="str">
            <v>SAMI</v>
          </cell>
          <cell r="D550" t="str">
            <v>OPT-364</v>
          </cell>
          <cell r="E550">
            <v>41306</v>
          </cell>
          <cell r="F550" t="str">
            <v>-</v>
          </cell>
          <cell r="G550" t="str">
            <v>-</v>
          </cell>
          <cell r="H550" t="str">
            <v>PE</v>
          </cell>
          <cell r="I550" t="str">
            <v>J/C BP</v>
          </cell>
          <cell r="J550" t="str">
            <v>ALL</v>
          </cell>
          <cell r="K550" t="str">
            <v>ALL</v>
          </cell>
          <cell r="L550" t="str">
            <v>NIP</v>
          </cell>
          <cell r="M550" t="str">
            <v>PROGRAMER NAVIGATION SYSTEM</v>
          </cell>
          <cell r="N550" t="str">
            <v>CBP</v>
          </cell>
          <cell r="O550" t="str">
            <v>B</v>
          </cell>
        </row>
        <row r="551">
          <cell r="A551">
            <v>19208</v>
          </cell>
          <cell r="B551" t="str">
            <v>MOHAMMAD ARFIN RIFQI</v>
          </cell>
          <cell r="C551" t="str">
            <v>SAMI</v>
          </cell>
          <cell r="D551" t="str">
            <v>ES-65</v>
          </cell>
          <cell r="E551">
            <v>42254</v>
          </cell>
          <cell r="F551" t="str">
            <v>-</v>
          </cell>
          <cell r="G551" t="str">
            <v>-</v>
          </cell>
          <cell r="H551" t="str">
            <v>PE</v>
          </cell>
          <cell r="I551" t="str">
            <v>J/C BP</v>
          </cell>
          <cell r="J551" t="str">
            <v>ALL</v>
          </cell>
          <cell r="K551" t="str">
            <v>ALL</v>
          </cell>
          <cell r="L551" t="str">
            <v>NIP</v>
          </cell>
          <cell r="M551" t="str">
            <v>LL</v>
          </cell>
          <cell r="N551" t="str">
            <v>FPS LL</v>
          </cell>
          <cell r="O551" t="str">
            <v>A (NS)</v>
          </cell>
        </row>
        <row r="552">
          <cell r="A552">
            <v>21912</v>
          </cell>
          <cell r="B552" t="str">
            <v>IRFAN EGO PRASTIKO</v>
          </cell>
          <cell r="C552" t="str">
            <v>SAMI</v>
          </cell>
          <cell r="D552" t="str">
            <v>TKN-111</v>
          </cell>
          <cell r="E552">
            <v>43103</v>
          </cell>
          <cell r="F552">
            <v>43134</v>
          </cell>
          <cell r="G552">
            <v>43496</v>
          </cell>
          <cell r="H552" t="str">
            <v>PE</v>
          </cell>
          <cell r="I552" t="str">
            <v>J/C BP</v>
          </cell>
          <cell r="J552" t="str">
            <v>ALL</v>
          </cell>
          <cell r="K552" t="str">
            <v>ALL</v>
          </cell>
          <cell r="L552" t="str">
            <v>CBP</v>
          </cell>
          <cell r="M552" t="str">
            <v>CHECKER BOARD FABRICATION</v>
          </cell>
          <cell r="N552" t="str">
            <v>CBP</v>
          </cell>
          <cell r="O552" t="str">
            <v>B</v>
          </cell>
        </row>
        <row r="553">
          <cell r="A553">
            <v>22438</v>
          </cell>
          <cell r="B553" t="str">
            <v>DEDI WIDODO</v>
          </cell>
          <cell r="C553" t="str">
            <v>SAMI</v>
          </cell>
          <cell r="D553" t="str">
            <v>TKN-118</v>
          </cell>
          <cell r="E553">
            <v>43213</v>
          </cell>
          <cell r="F553">
            <v>43243</v>
          </cell>
          <cell r="G553">
            <v>43616</v>
          </cell>
          <cell r="H553" t="str">
            <v>PE</v>
          </cell>
          <cell r="I553" t="str">
            <v>J/C BP</v>
          </cell>
          <cell r="J553" t="str">
            <v>ALL</v>
          </cell>
          <cell r="K553" t="str">
            <v>ALL</v>
          </cell>
          <cell r="L553" t="str">
            <v>JCN</v>
          </cell>
          <cell r="M553" t="str">
            <v>BREAKDOWN FA</v>
          </cell>
          <cell r="N553" t="str">
            <v>MTC</v>
          </cell>
          <cell r="O553" t="str">
            <v>A (NS)</v>
          </cell>
        </row>
        <row r="554">
          <cell r="A554">
            <v>22439</v>
          </cell>
          <cell r="B554" t="str">
            <v>DENI AGUNG WICAKSONO</v>
          </cell>
          <cell r="C554" t="str">
            <v>SAMI</v>
          </cell>
          <cell r="D554" t="str">
            <v>TKN-118</v>
          </cell>
          <cell r="E554">
            <v>43213</v>
          </cell>
          <cell r="F554">
            <v>43243</v>
          </cell>
          <cell r="G554">
            <v>43616</v>
          </cell>
          <cell r="H554" t="str">
            <v>PE</v>
          </cell>
          <cell r="I554" t="str">
            <v>J/C BP</v>
          </cell>
          <cell r="J554" t="str">
            <v>ALL</v>
          </cell>
          <cell r="K554" t="str">
            <v>ALL</v>
          </cell>
          <cell r="L554" t="str">
            <v>JCN</v>
          </cell>
          <cell r="M554" t="str">
            <v>BREAKDOWN FA</v>
          </cell>
          <cell r="N554" t="str">
            <v>MTC</v>
          </cell>
          <cell r="O554" t="str">
            <v>A (NS)</v>
          </cell>
        </row>
        <row r="555">
          <cell r="A555">
            <v>48</v>
          </cell>
          <cell r="B555" t="str">
            <v>JULIANTO SETYO N</v>
          </cell>
          <cell r="C555" t="str">
            <v>SAMI</v>
          </cell>
          <cell r="D555" t="str">
            <v>TKN-1</v>
          </cell>
          <cell r="E555">
            <v>37529</v>
          </cell>
          <cell r="F555" t="str">
            <v>-</v>
          </cell>
          <cell r="G555" t="str">
            <v>-</v>
          </cell>
          <cell r="H555" t="str">
            <v>PE</v>
          </cell>
          <cell r="I555" t="str">
            <v>MTP</v>
          </cell>
          <cell r="J555" t="str">
            <v>ALL</v>
          </cell>
          <cell r="K555" t="str">
            <v>ALL</v>
          </cell>
          <cell r="L555" t="str">
            <v>MTP</v>
          </cell>
          <cell r="M555" t="str">
            <v>WEAR &amp; TEAR STOCK CONTROL</v>
          </cell>
          <cell r="N555" t="str">
            <v>DATA &amp; ORDERING</v>
          </cell>
          <cell r="O555" t="str">
            <v>A (NS)</v>
          </cell>
        </row>
        <row r="556">
          <cell r="A556">
            <v>148</v>
          </cell>
          <cell r="B556" t="str">
            <v>NURUL ZUNI ASIYAM</v>
          </cell>
          <cell r="C556" t="str">
            <v>SAMI</v>
          </cell>
          <cell r="D556" t="str">
            <v>SPV UP</v>
          </cell>
          <cell r="E556">
            <v>37637</v>
          </cell>
          <cell r="F556" t="str">
            <v>-</v>
          </cell>
          <cell r="G556" t="str">
            <v>-</v>
          </cell>
          <cell r="H556" t="str">
            <v>PE</v>
          </cell>
          <cell r="I556" t="str">
            <v>MTP</v>
          </cell>
          <cell r="J556" t="str">
            <v>ALL</v>
          </cell>
          <cell r="K556" t="str">
            <v>ALL</v>
          </cell>
          <cell r="L556" t="str">
            <v>MTP</v>
          </cell>
          <cell r="M556" t="str">
            <v>SUPERVISOR</v>
          </cell>
          <cell r="N556" t="str">
            <v>FPS SPV</v>
          </cell>
          <cell r="O556" t="str">
            <v>A (NS)</v>
          </cell>
        </row>
        <row r="557">
          <cell r="A557">
            <v>594</v>
          </cell>
          <cell r="B557" t="str">
            <v>ULFA ADHIM</v>
          </cell>
          <cell r="C557" t="str">
            <v>SAMI</v>
          </cell>
          <cell r="D557" t="str">
            <v>ADM-5</v>
          </cell>
          <cell r="E557">
            <v>37774</v>
          </cell>
          <cell r="F557" t="str">
            <v>-</v>
          </cell>
          <cell r="G557" t="str">
            <v>-</v>
          </cell>
          <cell r="H557" t="str">
            <v>PE</v>
          </cell>
          <cell r="I557" t="str">
            <v>MTP</v>
          </cell>
          <cell r="J557" t="str">
            <v>ALL</v>
          </cell>
          <cell r="K557" t="str">
            <v>ALL</v>
          </cell>
          <cell r="L557" t="str">
            <v>MTP</v>
          </cell>
          <cell r="M557" t="str">
            <v>BEA CUKAI ADMINISTRATION</v>
          </cell>
          <cell r="N557" t="str">
            <v>DATA &amp; ORDERING</v>
          </cell>
          <cell r="O557" t="str">
            <v>A (NS)</v>
          </cell>
        </row>
        <row r="558">
          <cell r="A558">
            <v>12270</v>
          </cell>
          <cell r="B558" t="str">
            <v>FARCHA NOR DINA</v>
          </cell>
          <cell r="C558" t="str">
            <v>SAMI</v>
          </cell>
          <cell r="D558" t="str">
            <v>OPT-316</v>
          </cell>
          <cell r="E558">
            <v>40805</v>
          </cell>
          <cell r="F558" t="str">
            <v>-</v>
          </cell>
          <cell r="G558" t="str">
            <v>-</v>
          </cell>
          <cell r="H558" t="str">
            <v>PE</v>
          </cell>
          <cell r="I558" t="str">
            <v>MTP</v>
          </cell>
          <cell r="J558" t="str">
            <v>ALL</v>
          </cell>
          <cell r="K558" t="str">
            <v>ALL</v>
          </cell>
          <cell r="L558" t="str">
            <v>MTP</v>
          </cell>
          <cell r="M558" t="str">
            <v>IMPORT PURCHASING</v>
          </cell>
          <cell r="N558" t="str">
            <v>DATA &amp; ORDERING</v>
          </cell>
          <cell r="O558" t="str">
            <v>A (NS)</v>
          </cell>
        </row>
        <row r="559">
          <cell r="A559">
            <v>13349</v>
          </cell>
          <cell r="B559" t="str">
            <v>WIRATNO</v>
          </cell>
          <cell r="C559" t="str">
            <v>SAMI</v>
          </cell>
          <cell r="D559" t="str">
            <v>TKN-63</v>
          </cell>
          <cell r="E559">
            <v>40924</v>
          </cell>
          <cell r="F559" t="str">
            <v>-</v>
          </cell>
          <cell r="G559" t="str">
            <v>-</v>
          </cell>
          <cell r="H559" t="str">
            <v>PE</v>
          </cell>
          <cell r="I559" t="str">
            <v>MTP</v>
          </cell>
          <cell r="J559" t="str">
            <v>ALL</v>
          </cell>
          <cell r="K559" t="str">
            <v>ALL</v>
          </cell>
          <cell r="L559" t="str">
            <v>MTP</v>
          </cell>
          <cell r="M559" t="str">
            <v>WEAR &amp; TEAR STOCK CONTROL</v>
          </cell>
          <cell r="N559" t="str">
            <v>DATA &amp; ORDERING</v>
          </cell>
          <cell r="O559" t="str">
            <v>A (NS)</v>
          </cell>
        </row>
        <row r="560">
          <cell r="A560">
            <v>17888</v>
          </cell>
          <cell r="B560" t="str">
            <v>MUKHAMMAD AFIFUDDIN</v>
          </cell>
          <cell r="C560" t="str">
            <v>SAMI</v>
          </cell>
          <cell r="D560" t="str">
            <v>TKN-83</v>
          </cell>
          <cell r="E560">
            <v>41830</v>
          </cell>
          <cell r="F560" t="str">
            <v>-</v>
          </cell>
          <cell r="G560" t="str">
            <v>-</v>
          </cell>
          <cell r="H560" t="str">
            <v>PE</v>
          </cell>
          <cell r="I560" t="str">
            <v>MTP</v>
          </cell>
          <cell r="J560" t="str">
            <v>ALL</v>
          </cell>
          <cell r="K560" t="str">
            <v>ALL</v>
          </cell>
          <cell r="L560" t="str">
            <v>MTP</v>
          </cell>
          <cell r="M560" t="str">
            <v>ADMINISTRASI</v>
          </cell>
          <cell r="N560" t="str">
            <v>DATA &amp; ORDERING</v>
          </cell>
          <cell r="O560" t="str">
            <v>A (NS)</v>
          </cell>
        </row>
        <row r="561">
          <cell r="A561">
            <v>19444</v>
          </cell>
          <cell r="B561" t="str">
            <v>KURNIA MARDIYANI</v>
          </cell>
          <cell r="C561" t="str">
            <v>SAMI</v>
          </cell>
          <cell r="D561" t="str">
            <v>ES-67</v>
          </cell>
          <cell r="E561">
            <v>42310</v>
          </cell>
          <cell r="F561" t="str">
            <v>-</v>
          </cell>
          <cell r="G561" t="str">
            <v>-</v>
          </cell>
          <cell r="H561" t="str">
            <v>PE</v>
          </cell>
          <cell r="I561" t="str">
            <v>MTP</v>
          </cell>
          <cell r="J561" t="str">
            <v>ALL</v>
          </cell>
          <cell r="K561" t="str">
            <v>ALL</v>
          </cell>
          <cell r="L561" t="str">
            <v>MTP</v>
          </cell>
          <cell r="M561" t="str">
            <v>MANUFACTURING PURCHASING &amp; BEA CUKAI</v>
          </cell>
          <cell r="N561" t="str">
            <v>DATA &amp; ORDERING</v>
          </cell>
          <cell r="O561" t="str">
            <v>A (NS)</v>
          </cell>
        </row>
        <row r="562">
          <cell r="A562">
            <v>5474</v>
          </cell>
          <cell r="B562" t="str">
            <v>DENDI CAHYONO</v>
          </cell>
          <cell r="C562" t="str">
            <v>SAMI</v>
          </cell>
          <cell r="D562" t="str">
            <v>ADM-28</v>
          </cell>
          <cell r="E562">
            <v>38991</v>
          </cell>
          <cell r="F562" t="str">
            <v>-</v>
          </cell>
          <cell r="G562" t="str">
            <v>-</v>
          </cell>
          <cell r="H562" t="str">
            <v>PE</v>
          </cell>
          <cell r="I562" t="str">
            <v>MTP</v>
          </cell>
          <cell r="J562" t="str">
            <v>ALL</v>
          </cell>
          <cell r="K562" t="str">
            <v>ALL</v>
          </cell>
          <cell r="L562" t="str">
            <v>MTP</v>
          </cell>
          <cell r="M562" t="str">
            <v>LL STOCK CONTROL</v>
          </cell>
          <cell r="N562" t="str">
            <v>FPS LL</v>
          </cell>
          <cell r="O562" t="str">
            <v>A (NS)</v>
          </cell>
        </row>
        <row r="563">
          <cell r="A563">
            <v>13063</v>
          </cell>
          <cell r="B563" t="str">
            <v>EDWIN NUR FAEZAR</v>
          </cell>
          <cell r="C563" t="str">
            <v>SAMI</v>
          </cell>
          <cell r="D563" t="str">
            <v>OPT-326</v>
          </cell>
          <cell r="E563">
            <v>40854</v>
          </cell>
          <cell r="F563" t="str">
            <v>-</v>
          </cell>
          <cell r="G563" t="str">
            <v>-</v>
          </cell>
          <cell r="H563" t="str">
            <v>PE</v>
          </cell>
          <cell r="I563" t="str">
            <v>MTP</v>
          </cell>
          <cell r="J563" t="str">
            <v>ALL</v>
          </cell>
          <cell r="K563" t="str">
            <v>ALL</v>
          </cell>
          <cell r="L563" t="str">
            <v>MTP</v>
          </cell>
          <cell r="M563" t="str">
            <v>-</v>
          </cell>
          <cell r="N563" t="str">
            <v>DATA &amp; ORDERING</v>
          </cell>
          <cell r="O563" t="str">
            <v>A (NS)</v>
          </cell>
        </row>
        <row r="564">
          <cell r="A564">
            <v>18740</v>
          </cell>
          <cell r="B564" t="str">
            <v>LIZA ADITYA</v>
          </cell>
          <cell r="C564" t="str">
            <v>SAMI</v>
          </cell>
          <cell r="D564" t="str">
            <v>OPT-468</v>
          </cell>
          <cell r="E564">
            <v>42142</v>
          </cell>
          <cell r="F564" t="str">
            <v>-</v>
          </cell>
          <cell r="G564" t="str">
            <v>-</v>
          </cell>
          <cell r="H564" t="str">
            <v>PE</v>
          </cell>
          <cell r="I564" t="str">
            <v>MTP</v>
          </cell>
          <cell r="J564" t="str">
            <v>ALL</v>
          </cell>
          <cell r="K564" t="str">
            <v>ALL</v>
          </cell>
          <cell r="L564" t="str">
            <v>MTP</v>
          </cell>
          <cell r="M564" t="str">
            <v>-</v>
          </cell>
          <cell r="N564" t="str">
            <v>DATA &amp; ORDERING</v>
          </cell>
          <cell r="O564" t="str">
            <v>A (NS)</v>
          </cell>
        </row>
        <row r="565">
          <cell r="A565">
            <v>23185</v>
          </cell>
          <cell r="B565" t="str">
            <v>ALFI MUSMAWATI</v>
          </cell>
          <cell r="C565" t="str">
            <v>SAMI</v>
          </cell>
          <cell r="D565" t="str">
            <v>OPT-572</v>
          </cell>
          <cell r="E565">
            <v>43405</v>
          </cell>
          <cell r="F565">
            <v>43435</v>
          </cell>
          <cell r="G565">
            <v>43799</v>
          </cell>
          <cell r="H565" t="str">
            <v>PE</v>
          </cell>
          <cell r="I565" t="str">
            <v>MTP</v>
          </cell>
          <cell r="J565" t="str">
            <v>ALL</v>
          </cell>
          <cell r="K565" t="str">
            <v>ALL</v>
          </cell>
          <cell r="L565" t="str">
            <v>MTP</v>
          </cell>
          <cell r="M565" t="str">
            <v>-</v>
          </cell>
          <cell r="N565" t="str">
            <v>DATA &amp; ORDERING</v>
          </cell>
          <cell r="O565" t="str">
            <v>A (NS)</v>
          </cell>
        </row>
        <row r="566">
          <cell r="A566">
            <v>1016</v>
          </cell>
          <cell r="B566" t="str">
            <v>ADI SUCIPTO</v>
          </cell>
          <cell r="C566" t="str">
            <v>SAMI</v>
          </cell>
          <cell r="D566" t="str">
            <v>TKN-4</v>
          </cell>
          <cell r="E566">
            <v>37872</v>
          </cell>
          <cell r="F566" t="str">
            <v>-</v>
          </cell>
          <cell r="G566" t="str">
            <v>-</v>
          </cell>
          <cell r="H566" t="str">
            <v>PE</v>
          </cell>
          <cell r="I566" t="str">
            <v>WORKSHOP</v>
          </cell>
          <cell r="J566" t="str">
            <v>ALL</v>
          </cell>
          <cell r="K566" t="str">
            <v>ALL</v>
          </cell>
          <cell r="L566" t="str">
            <v>WORKSHOP</v>
          </cell>
          <cell r="M566" t="str">
            <v>Production Request ( PPW )</v>
          </cell>
          <cell r="N566" t="str">
            <v>WKS</v>
          </cell>
          <cell r="O566" t="str">
            <v>A (NS)</v>
          </cell>
        </row>
        <row r="567">
          <cell r="A567">
            <v>6193</v>
          </cell>
          <cell r="B567" t="str">
            <v>SUYONO</v>
          </cell>
          <cell r="C567" t="str">
            <v>SAMI</v>
          </cell>
          <cell r="D567" t="str">
            <v>OPT-141</v>
          </cell>
          <cell r="E567">
            <v>39173</v>
          </cell>
          <cell r="F567" t="str">
            <v>-</v>
          </cell>
          <cell r="G567" t="str">
            <v>-</v>
          </cell>
          <cell r="H567" t="str">
            <v>PE</v>
          </cell>
          <cell r="I567" t="str">
            <v>WORKSHOP</v>
          </cell>
          <cell r="J567" t="str">
            <v>ALL</v>
          </cell>
          <cell r="K567" t="str">
            <v>ALL</v>
          </cell>
          <cell r="L567" t="str">
            <v>WORKSHOP</v>
          </cell>
          <cell r="M567" t="str">
            <v>Production Request ( PPW )</v>
          </cell>
          <cell r="N567" t="str">
            <v>WKS</v>
          </cell>
          <cell r="O567" t="str">
            <v>A (NS)</v>
          </cell>
        </row>
        <row r="568">
          <cell r="A568">
            <v>11292</v>
          </cell>
          <cell r="B568" t="str">
            <v>NUR MUJIYANTO</v>
          </cell>
          <cell r="C568" t="str">
            <v>SAMI</v>
          </cell>
          <cell r="D568" t="str">
            <v>TKN-53</v>
          </cell>
          <cell r="E568">
            <v>40634</v>
          </cell>
          <cell r="F568" t="str">
            <v>-</v>
          </cell>
          <cell r="G568" t="str">
            <v>-</v>
          </cell>
          <cell r="H568" t="str">
            <v>PE</v>
          </cell>
          <cell r="I568" t="str">
            <v>WORKSHOP</v>
          </cell>
          <cell r="J568" t="str">
            <v>ALL</v>
          </cell>
          <cell r="K568" t="str">
            <v>ALL</v>
          </cell>
          <cell r="L568" t="str">
            <v>WORKSHOP</v>
          </cell>
          <cell r="M568" t="str">
            <v>Equipment New Project Final Assy</v>
          </cell>
          <cell r="N568" t="str">
            <v>WKS</v>
          </cell>
          <cell r="O568" t="str">
            <v>A (NS)</v>
          </cell>
        </row>
        <row r="569">
          <cell r="A569">
            <v>13647</v>
          </cell>
          <cell r="B569" t="str">
            <v>ADITYA FAHRIZAL</v>
          </cell>
          <cell r="C569" t="str">
            <v>SAMI</v>
          </cell>
          <cell r="D569" t="str">
            <v>SPV UP</v>
          </cell>
          <cell r="E569">
            <v>41155</v>
          </cell>
          <cell r="F569" t="str">
            <v>-</v>
          </cell>
          <cell r="G569" t="str">
            <v>-</v>
          </cell>
          <cell r="H569" t="str">
            <v>PE</v>
          </cell>
          <cell r="I569" t="str">
            <v>WORKSHOP</v>
          </cell>
          <cell r="J569" t="str">
            <v>ALL</v>
          </cell>
          <cell r="K569" t="str">
            <v>ALL</v>
          </cell>
          <cell r="L569" t="str">
            <v>WORKSHOP</v>
          </cell>
          <cell r="M569" t="str">
            <v>SUPERVISOR</v>
          </cell>
          <cell r="N569" t="str">
            <v>FPS SPV</v>
          </cell>
          <cell r="O569" t="str">
            <v>A (NS)</v>
          </cell>
        </row>
        <row r="570">
          <cell r="A570">
            <v>14038</v>
          </cell>
          <cell r="B570" t="str">
            <v>ACHMAD BUKORI</v>
          </cell>
          <cell r="C570" t="str">
            <v>SAMI</v>
          </cell>
          <cell r="D570" t="str">
            <v>TKN-71</v>
          </cell>
          <cell r="E570">
            <v>41302</v>
          </cell>
          <cell r="F570" t="str">
            <v>-</v>
          </cell>
          <cell r="G570" t="str">
            <v>-</v>
          </cell>
          <cell r="H570" t="str">
            <v>PE</v>
          </cell>
          <cell r="I570" t="str">
            <v>WORKSHOP</v>
          </cell>
          <cell r="J570" t="str">
            <v>ALL</v>
          </cell>
          <cell r="K570" t="str">
            <v>ALL</v>
          </cell>
          <cell r="L570" t="str">
            <v>WORKSHOP</v>
          </cell>
          <cell r="M570" t="str">
            <v>Improvent Workshop</v>
          </cell>
          <cell r="N570" t="str">
            <v>WKS</v>
          </cell>
          <cell r="O570" t="str">
            <v>A (NS)</v>
          </cell>
        </row>
        <row r="571">
          <cell r="A571">
            <v>14143</v>
          </cell>
          <cell r="B571" t="str">
            <v>TRI ADI MULYONO</v>
          </cell>
          <cell r="C571" t="str">
            <v>SAMI</v>
          </cell>
          <cell r="D571" t="str">
            <v>TKN-76</v>
          </cell>
          <cell r="E571">
            <v>41326</v>
          </cell>
          <cell r="F571" t="str">
            <v>-</v>
          </cell>
          <cell r="G571" t="str">
            <v>-</v>
          </cell>
          <cell r="H571" t="str">
            <v>PE</v>
          </cell>
          <cell r="I571" t="str">
            <v>WORKSHOP</v>
          </cell>
          <cell r="J571" t="str">
            <v>ALL</v>
          </cell>
          <cell r="K571" t="str">
            <v>ALL</v>
          </cell>
          <cell r="L571" t="str">
            <v>WORKSHOP</v>
          </cell>
          <cell r="M571" t="str">
            <v>Improvent Workshop</v>
          </cell>
          <cell r="N571" t="str">
            <v>WKS</v>
          </cell>
          <cell r="O571" t="str">
            <v>A (NS)</v>
          </cell>
        </row>
        <row r="572">
          <cell r="A572">
            <v>14144</v>
          </cell>
          <cell r="B572" t="str">
            <v>ARIYANTO</v>
          </cell>
          <cell r="C572" t="str">
            <v>SAMI</v>
          </cell>
          <cell r="D572" t="str">
            <v>TKN-77</v>
          </cell>
          <cell r="E572">
            <v>41347</v>
          </cell>
          <cell r="F572" t="str">
            <v>-</v>
          </cell>
          <cell r="G572" t="str">
            <v>-</v>
          </cell>
          <cell r="H572" t="str">
            <v>PE</v>
          </cell>
          <cell r="I572" t="str">
            <v>WORKSHOP</v>
          </cell>
          <cell r="J572" t="str">
            <v>ALL</v>
          </cell>
          <cell r="K572" t="str">
            <v>ALL</v>
          </cell>
          <cell r="L572" t="str">
            <v>WORKSHOP</v>
          </cell>
          <cell r="M572" t="str">
            <v>EQUIPMENT NEW PROJECT CUTTING PRE ASSY</v>
          </cell>
          <cell r="N572" t="str">
            <v>WKS</v>
          </cell>
          <cell r="O572" t="str">
            <v>A (NS)</v>
          </cell>
        </row>
        <row r="573">
          <cell r="A573">
            <v>14149</v>
          </cell>
          <cell r="B573" t="str">
            <v>ARI ANGGI YUDIANTORO</v>
          </cell>
          <cell r="C573" t="str">
            <v>SAMI</v>
          </cell>
          <cell r="D573" t="str">
            <v>TKN-78</v>
          </cell>
          <cell r="E573">
            <v>41354</v>
          </cell>
          <cell r="F573" t="str">
            <v>-</v>
          </cell>
          <cell r="G573" t="str">
            <v>-</v>
          </cell>
          <cell r="H573" t="str">
            <v>PE</v>
          </cell>
          <cell r="I573" t="str">
            <v>WORKSHOP</v>
          </cell>
          <cell r="J573" t="str">
            <v>ALL</v>
          </cell>
          <cell r="K573" t="str">
            <v>ALL</v>
          </cell>
          <cell r="L573" t="str">
            <v>WORKSHOP</v>
          </cell>
          <cell r="M573" t="str">
            <v>EQUIPMENT NEW PROJECT FINAL ASSY</v>
          </cell>
          <cell r="N573" t="str">
            <v>WKS</v>
          </cell>
          <cell r="O573" t="str">
            <v>A (NS)</v>
          </cell>
        </row>
        <row r="574">
          <cell r="A574">
            <v>22640</v>
          </cell>
          <cell r="B574" t="str">
            <v>ALVIAN DIKKY SETYAJI</v>
          </cell>
          <cell r="C574" t="str">
            <v>SAMI</v>
          </cell>
          <cell r="D574" t="str">
            <v>TKN-220</v>
          </cell>
          <cell r="E574">
            <v>43241</v>
          </cell>
          <cell r="F574">
            <v>43272</v>
          </cell>
          <cell r="G574">
            <v>43646</v>
          </cell>
          <cell r="H574" t="str">
            <v>PE</v>
          </cell>
          <cell r="I574" t="str">
            <v>WORKSHOP</v>
          </cell>
          <cell r="J574" t="str">
            <v>ALL</v>
          </cell>
          <cell r="K574" t="str">
            <v>ALL</v>
          </cell>
          <cell r="L574" t="str">
            <v>WORKSHOP</v>
          </cell>
          <cell r="M574" t="str">
            <v>Tool and Part Control</v>
          </cell>
          <cell r="N574" t="str">
            <v>WKS</v>
          </cell>
          <cell r="O574" t="str">
            <v>A (NS)</v>
          </cell>
        </row>
        <row r="575">
          <cell r="A575">
            <v>14125</v>
          </cell>
          <cell r="B575" t="str">
            <v>VENI KORNIAWAN</v>
          </cell>
          <cell r="C575" t="str">
            <v>SAMI</v>
          </cell>
          <cell r="D575" t="str">
            <v>TKN-72</v>
          </cell>
          <cell r="E575">
            <v>41306</v>
          </cell>
          <cell r="F575" t="str">
            <v>-</v>
          </cell>
          <cell r="G575" t="str">
            <v>-</v>
          </cell>
          <cell r="H575" t="str">
            <v>PE</v>
          </cell>
          <cell r="I575" t="str">
            <v>WORKSHOP</v>
          </cell>
          <cell r="J575" t="str">
            <v>ALL</v>
          </cell>
          <cell r="K575" t="str">
            <v>ALL</v>
          </cell>
          <cell r="L575" t="str">
            <v>WORKSHOP</v>
          </cell>
          <cell r="M575" t="str">
            <v>-</v>
          </cell>
          <cell r="N575" t="str">
            <v>WKS</v>
          </cell>
          <cell r="O575" t="str">
            <v>B</v>
          </cell>
        </row>
        <row r="576">
          <cell r="A576">
            <v>12230</v>
          </cell>
          <cell r="B576" t="str">
            <v>CHOLIT MAWARDI</v>
          </cell>
          <cell r="C576" t="str">
            <v>SAMI</v>
          </cell>
          <cell r="D576" t="str">
            <v>TKN-58</v>
          </cell>
          <cell r="E576">
            <v>40805</v>
          </cell>
          <cell r="F576" t="str">
            <v>-</v>
          </cell>
          <cell r="G576" t="str">
            <v>-</v>
          </cell>
          <cell r="H576" t="str">
            <v>PE</v>
          </cell>
          <cell r="I576" t="str">
            <v>WORKSHOP</v>
          </cell>
          <cell r="J576" t="str">
            <v>ALL</v>
          </cell>
          <cell r="K576" t="str">
            <v>ALL</v>
          </cell>
          <cell r="L576" t="str">
            <v>WORKSHOP</v>
          </cell>
          <cell r="M576" t="str">
            <v>-</v>
          </cell>
          <cell r="N576" t="str">
            <v>WKS</v>
          </cell>
          <cell r="O576" t="str">
            <v>A</v>
          </cell>
        </row>
        <row r="577">
          <cell r="A577">
            <v>22440</v>
          </cell>
          <cell r="B577" t="str">
            <v>RIFKY RINALDY</v>
          </cell>
          <cell r="C577" t="str">
            <v>SAMI</v>
          </cell>
          <cell r="D577" t="str">
            <v>TKN-118</v>
          </cell>
          <cell r="E577">
            <v>43213</v>
          </cell>
          <cell r="F577">
            <v>43243</v>
          </cell>
          <cell r="G577">
            <v>43616</v>
          </cell>
          <cell r="H577" t="str">
            <v>PE</v>
          </cell>
          <cell r="I577" t="str">
            <v>WORKSHOP</v>
          </cell>
          <cell r="J577" t="str">
            <v>ALL</v>
          </cell>
          <cell r="K577" t="str">
            <v>ALL</v>
          </cell>
          <cell r="L577" t="str">
            <v>WORKSHOP</v>
          </cell>
          <cell r="M577" t="str">
            <v>-</v>
          </cell>
          <cell r="N577" t="str">
            <v>WKS</v>
          </cell>
          <cell r="O577" t="str">
            <v>A (NS)</v>
          </cell>
        </row>
        <row r="578">
          <cell r="A578">
            <v>6116</v>
          </cell>
          <cell r="B578" t="str">
            <v>PURWANTO</v>
          </cell>
          <cell r="C578" t="str">
            <v>SAMI</v>
          </cell>
          <cell r="D578" t="str">
            <v>TKN-37</v>
          </cell>
          <cell r="E578">
            <v>39142</v>
          </cell>
          <cell r="F578" t="str">
            <v>-</v>
          </cell>
          <cell r="G578" t="str">
            <v>-</v>
          </cell>
          <cell r="H578" t="str">
            <v>PE</v>
          </cell>
          <cell r="I578" t="str">
            <v>WORKSHOP</v>
          </cell>
          <cell r="J578" t="str">
            <v>ALL</v>
          </cell>
          <cell r="K578" t="str">
            <v>ALL</v>
          </cell>
          <cell r="L578" t="str">
            <v>WORKSHOP</v>
          </cell>
          <cell r="M578" t="str">
            <v>-</v>
          </cell>
          <cell r="N578" t="str">
            <v>FPS LL</v>
          </cell>
          <cell r="O578" t="str">
            <v>B</v>
          </cell>
        </row>
        <row r="579">
          <cell r="A579">
            <v>14091</v>
          </cell>
          <cell r="B579" t="str">
            <v>ELGI HARMONO DWI SAPUTRA</v>
          </cell>
          <cell r="C579" t="str">
            <v>SAMI</v>
          </cell>
          <cell r="D579" t="str">
            <v>OPT-364</v>
          </cell>
          <cell r="E579">
            <v>41306</v>
          </cell>
          <cell r="F579" t="str">
            <v>-</v>
          </cell>
          <cell r="G579" t="str">
            <v>-</v>
          </cell>
          <cell r="H579" t="str">
            <v>PE</v>
          </cell>
          <cell r="I579" t="str">
            <v>WORKSHOP</v>
          </cell>
          <cell r="J579" t="str">
            <v>ALL</v>
          </cell>
          <cell r="K579" t="str">
            <v>ALL</v>
          </cell>
          <cell r="L579" t="str">
            <v>WORKSHOP</v>
          </cell>
          <cell r="M579" t="str">
            <v>-</v>
          </cell>
          <cell r="N579" t="str">
            <v>WKS</v>
          </cell>
          <cell r="O579" t="str">
            <v>A (NS)</v>
          </cell>
        </row>
        <row r="580">
          <cell r="A580">
            <v>44</v>
          </cell>
          <cell r="B580" t="str">
            <v>ACHMAD AFFANDI</v>
          </cell>
          <cell r="C580" t="str">
            <v>SAMI</v>
          </cell>
          <cell r="D580" t="str">
            <v>TKN-1</v>
          </cell>
          <cell r="E580">
            <v>37529</v>
          </cell>
          <cell r="F580" t="str">
            <v>-</v>
          </cell>
          <cell r="G580" t="str">
            <v>-</v>
          </cell>
          <cell r="H580" t="str">
            <v>PE</v>
          </cell>
          <cell r="I580" t="str">
            <v>WORKSHOP</v>
          </cell>
          <cell r="J580" t="str">
            <v>ALL</v>
          </cell>
          <cell r="K580" t="str">
            <v>ALL</v>
          </cell>
          <cell r="L580" t="str">
            <v>WORKSHOP</v>
          </cell>
          <cell r="M580" t="str">
            <v>LL</v>
          </cell>
          <cell r="N580" t="str">
            <v>FPS LL</v>
          </cell>
          <cell r="O580" t="str">
            <v>A</v>
          </cell>
        </row>
        <row r="581">
          <cell r="A581">
            <v>5557</v>
          </cell>
          <cell r="B581" t="str">
            <v>GIYARNA</v>
          </cell>
          <cell r="C581" t="str">
            <v>SAMI</v>
          </cell>
          <cell r="D581" t="str">
            <v>TKN-33</v>
          </cell>
          <cell r="E581">
            <v>39052</v>
          </cell>
          <cell r="F581" t="str">
            <v>-</v>
          </cell>
          <cell r="G581" t="str">
            <v>-</v>
          </cell>
          <cell r="H581" t="str">
            <v>PE</v>
          </cell>
          <cell r="I581" t="str">
            <v>WORKSHOP</v>
          </cell>
          <cell r="J581" t="str">
            <v>ALL</v>
          </cell>
          <cell r="K581" t="str">
            <v>ALL</v>
          </cell>
          <cell r="L581" t="str">
            <v>WORKSHOP</v>
          </cell>
          <cell r="M581" t="str">
            <v>LL</v>
          </cell>
          <cell r="N581" t="str">
            <v>FPS LL</v>
          </cell>
          <cell r="O581" t="str">
            <v>A (NS)</v>
          </cell>
        </row>
        <row r="582">
          <cell r="A582">
            <v>13344</v>
          </cell>
          <cell r="B582" t="str">
            <v>RIZKI RIYADI PUTRANTO</v>
          </cell>
          <cell r="C582" t="str">
            <v>SAMI</v>
          </cell>
          <cell r="D582" t="str">
            <v>TKN-63</v>
          </cell>
          <cell r="E582">
            <v>40924</v>
          </cell>
          <cell r="F582" t="str">
            <v>-</v>
          </cell>
          <cell r="G582" t="str">
            <v>-</v>
          </cell>
          <cell r="H582" t="str">
            <v>PE</v>
          </cell>
          <cell r="I582" t="str">
            <v>WORKSHOP</v>
          </cell>
          <cell r="J582" t="str">
            <v>ALL</v>
          </cell>
          <cell r="K582" t="str">
            <v>ALL</v>
          </cell>
          <cell r="L582" t="str">
            <v>WORKSHOP</v>
          </cell>
          <cell r="M582" t="str">
            <v>-</v>
          </cell>
          <cell r="N582" t="str">
            <v>WKS</v>
          </cell>
          <cell r="O582" t="str">
            <v>A (NS)</v>
          </cell>
        </row>
        <row r="583">
          <cell r="A583">
            <v>1076</v>
          </cell>
          <cell r="B583" t="str">
            <v>ISMIATININGSIH</v>
          </cell>
          <cell r="C583" t="str">
            <v>SAMI</v>
          </cell>
          <cell r="D583" t="str">
            <v>OPT-27</v>
          </cell>
          <cell r="E583">
            <v>37887</v>
          </cell>
          <cell r="F583" t="str">
            <v>-</v>
          </cell>
          <cell r="G583" t="str">
            <v>-</v>
          </cell>
          <cell r="H583" t="str">
            <v>PP</v>
          </cell>
          <cell r="I583" t="str">
            <v>PP-1</v>
          </cell>
          <cell r="J583" t="str">
            <v>ALL</v>
          </cell>
          <cell r="K583" t="str">
            <v>ALL</v>
          </cell>
          <cell r="L583" t="str">
            <v>PP-1</v>
          </cell>
          <cell r="M583" t="str">
            <v>ANALISYS</v>
          </cell>
          <cell r="N583" t="str">
            <v>PROCESS ENG</v>
          </cell>
          <cell r="O583" t="str">
            <v>A (NS)</v>
          </cell>
        </row>
        <row r="584">
          <cell r="A584">
            <v>5799</v>
          </cell>
          <cell r="B584" t="str">
            <v>RETNOWATI NAWANGSIH</v>
          </cell>
          <cell r="C584" t="str">
            <v>SAMI</v>
          </cell>
          <cell r="D584" t="str">
            <v>OPT-135</v>
          </cell>
          <cell r="E584">
            <v>39114</v>
          </cell>
          <cell r="F584" t="str">
            <v>-</v>
          </cell>
          <cell r="G584" t="str">
            <v>-</v>
          </cell>
          <cell r="H584" t="str">
            <v>PP</v>
          </cell>
          <cell r="I584" t="str">
            <v>PP-1</v>
          </cell>
          <cell r="J584" t="str">
            <v>ALL</v>
          </cell>
          <cell r="K584" t="str">
            <v>ALL</v>
          </cell>
          <cell r="L584" t="str">
            <v>PP-1</v>
          </cell>
          <cell r="M584" t="str">
            <v>ANALISYS</v>
          </cell>
          <cell r="N584" t="str">
            <v>PROCESS ENG</v>
          </cell>
          <cell r="O584" t="str">
            <v>A (NS)</v>
          </cell>
        </row>
        <row r="585">
          <cell r="A585">
            <v>19437</v>
          </cell>
          <cell r="B585" t="str">
            <v>HABIBUL MUHTAR</v>
          </cell>
          <cell r="C585" t="str">
            <v>SAMI</v>
          </cell>
          <cell r="D585" t="str">
            <v>OPT-481</v>
          </cell>
          <cell r="E585">
            <v>42303</v>
          </cell>
          <cell r="F585" t="str">
            <v>-</v>
          </cell>
          <cell r="G585" t="str">
            <v>-</v>
          </cell>
          <cell r="H585" t="str">
            <v>PP</v>
          </cell>
          <cell r="I585" t="str">
            <v>PP-1</v>
          </cell>
          <cell r="J585" t="str">
            <v>ALL</v>
          </cell>
          <cell r="K585" t="str">
            <v>ALL</v>
          </cell>
          <cell r="L585" t="str">
            <v>PP-1</v>
          </cell>
          <cell r="M585" t="str">
            <v>ANALISYS</v>
          </cell>
          <cell r="N585" t="str">
            <v>PROCESS ENG</v>
          </cell>
          <cell r="O585" t="str">
            <v>A (NS)</v>
          </cell>
        </row>
        <row r="586">
          <cell r="A586">
            <v>19446</v>
          </cell>
          <cell r="B586" t="str">
            <v>VIVI NURFAJRIYATI</v>
          </cell>
          <cell r="C586" t="str">
            <v>SAMI</v>
          </cell>
          <cell r="D586" t="str">
            <v>OPT-482</v>
          </cell>
          <cell r="E586">
            <v>42310</v>
          </cell>
          <cell r="F586" t="str">
            <v>-</v>
          </cell>
          <cell r="G586" t="str">
            <v>-</v>
          </cell>
          <cell r="H586" t="str">
            <v>PP</v>
          </cell>
          <cell r="I586" t="str">
            <v>PP-2</v>
          </cell>
          <cell r="J586" t="str">
            <v>ALL</v>
          </cell>
          <cell r="K586" t="str">
            <v>ALL</v>
          </cell>
          <cell r="L586" t="str">
            <v>PP-2</v>
          </cell>
          <cell r="M586" t="str">
            <v>ANALISYS</v>
          </cell>
          <cell r="N586" t="str">
            <v>PROCESS ENG</v>
          </cell>
          <cell r="O586" t="str">
            <v>A (NS)</v>
          </cell>
        </row>
        <row r="587">
          <cell r="A587">
            <v>11093</v>
          </cell>
          <cell r="B587" t="str">
            <v>YULIYAH TRI HASTUTI</v>
          </cell>
          <cell r="C587" t="str">
            <v>SAMI</v>
          </cell>
          <cell r="D587" t="str">
            <v>OPT-289</v>
          </cell>
          <cell r="E587">
            <v>40595</v>
          </cell>
          <cell r="F587" t="str">
            <v>-</v>
          </cell>
          <cell r="G587" t="str">
            <v>-</v>
          </cell>
          <cell r="H587" t="str">
            <v>PP</v>
          </cell>
          <cell r="I587" t="str">
            <v>PP-3</v>
          </cell>
          <cell r="J587" t="str">
            <v>ALL</v>
          </cell>
          <cell r="K587" t="str">
            <v>ALL</v>
          </cell>
          <cell r="L587" t="str">
            <v>PP-3</v>
          </cell>
          <cell r="M587" t="str">
            <v>ANALISYS</v>
          </cell>
          <cell r="N587" t="str">
            <v>PROCESS ENG</v>
          </cell>
          <cell r="O587" t="str">
            <v>A (NS)</v>
          </cell>
        </row>
        <row r="588">
          <cell r="A588">
            <v>11107</v>
          </cell>
          <cell r="B588" t="str">
            <v>DEWANTRI FITRI</v>
          </cell>
          <cell r="C588" t="str">
            <v>SAMI</v>
          </cell>
          <cell r="D588" t="str">
            <v>OPT-290</v>
          </cell>
          <cell r="E588">
            <v>40603</v>
          </cell>
          <cell r="F588" t="str">
            <v>-</v>
          </cell>
          <cell r="G588" t="str">
            <v>-</v>
          </cell>
          <cell r="H588" t="str">
            <v>PP</v>
          </cell>
          <cell r="I588" t="str">
            <v>PP-3</v>
          </cell>
          <cell r="J588" t="str">
            <v>ALL</v>
          </cell>
          <cell r="K588" t="str">
            <v>ALL</v>
          </cell>
          <cell r="L588" t="str">
            <v>PP-3</v>
          </cell>
          <cell r="M588" t="str">
            <v>ANALISYS</v>
          </cell>
          <cell r="N588" t="str">
            <v>PROCESS ENG</v>
          </cell>
          <cell r="O588" t="str">
            <v>A (NS)</v>
          </cell>
        </row>
        <row r="589">
          <cell r="A589">
            <v>12138</v>
          </cell>
          <cell r="B589" t="str">
            <v>ROUDLOTUN NI'MAH</v>
          </cell>
          <cell r="C589" t="str">
            <v>SAMI</v>
          </cell>
          <cell r="D589" t="str">
            <v>OPT-314</v>
          </cell>
          <cell r="E589">
            <v>40798</v>
          </cell>
          <cell r="F589" t="str">
            <v>-</v>
          </cell>
          <cell r="G589" t="str">
            <v>-</v>
          </cell>
          <cell r="H589" t="str">
            <v>PP</v>
          </cell>
          <cell r="I589" t="str">
            <v>PP-3</v>
          </cell>
          <cell r="J589" t="str">
            <v>ALL</v>
          </cell>
          <cell r="K589" t="str">
            <v>ALL</v>
          </cell>
          <cell r="L589" t="str">
            <v>PP-3</v>
          </cell>
          <cell r="M589" t="str">
            <v>ANALISYS</v>
          </cell>
          <cell r="N589" t="str">
            <v>PROCESS ENG</v>
          </cell>
          <cell r="O589" t="str">
            <v>A (NS)</v>
          </cell>
        </row>
        <row r="590">
          <cell r="A590">
            <v>5690</v>
          </cell>
          <cell r="B590" t="str">
            <v>BEKTI RAHAYU</v>
          </cell>
          <cell r="C590" t="str">
            <v>SAMI</v>
          </cell>
          <cell r="D590" t="str">
            <v>OPT-134</v>
          </cell>
          <cell r="E590">
            <v>39098</v>
          </cell>
          <cell r="F590" t="str">
            <v>-</v>
          </cell>
          <cell r="G590" t="str">
            <v>-</v>
          </cell>
          <cell r="H590" t="str">
            <v>PP</v>
          </cell>
          <cell r="I590" t="str">
            <v>PP-1</v>
          </cell>
          <cell r="J590" t="str">
            <v>ALL</v>
          </cell>
          <cell r="K590" t="str">
            <v>ALL</v>
          </cell>
          <cell r="L590" t="str">
            <v>PROTOTYPE-1</v>
          </cell>
          <cell r="M590" t="str">
            <v>GL ASSEMBLY</v>
          </cell>
          <cell r="N590" t="str">
            <v>PROTO</v>
          </cell>
          <cell r="O590" t="str">
            <v>A (NS)</v>
          </cell>
        </row>
        <row r="591">
          <cell r="A591">
            <v>871</v>
          </cell>
          <cell r="B591" t="str">
            <v>KHOLILAH</v>
          </cell>
          <cell r="C591" t="str">
            <v>SAMI</v>
          </cell>
          <cell r="D591" t="str">
            <v>OPT-22</v>
          </cell>
          <cell r="E591">
            <v>37852</v>
          </cell>
          <cell r="F591" t="str">
            <v>-</v>
          </cell>
          <cell r="G591" t="str">
            <v>-</v>
          </cell>
          <cell r="H591" t="str">
            <v>PP</v>
          </cell>
          <cell r="I591" t="str">
            <v>PP-2</v>
          </cell>
          <cell r="J591" t="str">
            <v>ALL</v>
          </cell>
          <cell r="K591" t="str">
            <v>ALL</v>
          </cell>
          <cell r="L591" t="str">
            <v>PROTOTYPE-2</v>
          </cell>
          <cell r="M591" t="str">
            <v>GL ASSEMBLY</v>
          </cell>
          <cell r="N591" t="str">
            <v>PROTO</v>
          </cell>
          <cell r="O591" t="str">
            <v>A (NS)</v>
          </cell>
        </row>
        <row r="592">
          <cell r="A592">
            <v>6357</v>
          </cell>
          <cell r="B592" t="str">
            <v>ALI SANTOSO</v>
          </cell>
          <cell r="C592" t="str">
            <v>SAMI</v>
          </cell>
          <cell r="D592" t="str">
            <v>OPT-148</v>
          </cell>
          <cell r="E592">
            <v>39279</v>
          </cell>
          <cell r="F592" t="str">
            <v>-</v>
          </cell>
          <cell r="G592" t="str">
            <v>-</v>
          </cell>
          <cell r="H592" t="str">
            <v>PP</v>
          </cell>
          <cell r="I592" t="str">
            <v>PP-2</v>
          </cell>
          <cell r="J592" t="str">
            <v>ALL</v>
          </cell>
          <cell r="K592" t="str">
            <v>ALL</v>
          </cell>
          <cell r="L592" t="str">
            <v>PROTOTYPE-2</v>
          </cell>
          <cell r="M592" t="str">
            <v>GL ASSEMBLY</v>
          </cell>
          <cell r="N592" t="str">
            <v>PROTO</v>
          </cell>
          <cell r="O592" t="str">
            <v>A (NS)</v>
          </cell>
        </row>
        <row r="593">
          <cell r="A593">
            <v>10470</v>
          </cell>
          <cell r="B593" t="str">
            <v>RATNA FURI WIDYANINGRUM</v>
          </cell>
          <cell r="C593" t="str">
            <v>SAMI</v>
          </cell>
          <cell r="D593" t="str">
            <v>OPT-270</v>
          </cell>
          <cell r="E593">
            <v>40524</v>
          </cell>
          <cell r="F593" t="str">
            <v>-</v>
          </cell>
          <cell r="G593" t="str">
            <v>-</v>
          </cell>
          <cell r="H593" t="str">
            <v>PP</v>
          </cell>
          <cell r="I593" t="str">
            <v>PP-2</v>
          </cell>
          <cell r="J593" t="str">
            <v>ALL</v>
          </cell>
          <cell r="K593" t="str">
            <v>ALL</v>
          </cell>
          <cell r="L593" t="str">
            <v>PROTOTYPE-2</v>
          </cell>
          <cell r="M593" t="str">
            <v>ASSEMBLY</v>
          </cell>
          <cell r="N593" t="str">
            <v>PROTO</v>
          </cell>
          <cell r="O593" t="str">
            <v>A (NS)</v>
          </cell>
        </row>
        <row r="594">
          <cell r="A594">
            <v>13065</v>
          </cell>
          <cell r="B594" t="str">
            <v>SITI KHOIRIYAH</v>
          </cell>
          <cell r="C594" t="str">
            <v>SAMI</v>
          </cell>
          <cell r="D594" t="str">
            <v>OPT-326</v>
          </cell>
          <cell r="E594">
            <v>40854</v>
          </cell>
          <cell r="F594" t="str">
            <v>-</v>
          </cell>
          <cell r="G594" t="str">
            <v>-</v>
          </cell>
          <cell r="H594" t="str">
            <v>PP</v>
          </cell>
          <cell r="I594" t="str">
            <v>PP-2</v>
          </cell>
          <cell r="J594" t="str">
            <v>ALL</v>
          </cell>
          <cell r="K594" t="str">
            <v>ALL</v>
          </cell>
          <cell r="L594" t="str">
            <v>PROTOTYPE-2</v>
          </cell>
          <cell r="M594" t="str">
            <v>INSPECTION</v>
          </cell>
          <cell r="N594" t="str">
            <v>PROTO</v>
          </cell>
          <cell r="O594" t="str">
            <v>A (NS)</v>
          </cell>
        </row>
        <row r="595">
          <cell r="A595">
            <v>5887</v>
          </cell>
          <cell r="B595" t="str">
            <v>DEWI JAMIAH</v>
          </cell>
          <cell r="C595" t="str">
            <v>SAMI</v>
          </cell>
          <cell r="D595" t="str">
            <v>OPT-137</v>
          </cell>
          <cell r="E595">
            <v>39129</v>
          </cell>
          <cell r="F595" t="str">
            <v>-</v>
          </cell>
          <cell r="G595" t="str">
            <v>-</v>
          </cell>
          <cell r="H595" t="str">
            <v>PP</v>
          </cell>
          <cell r="I595" t="str">
            <v>PP-3</v>
          </cell>
          <cell r="J595" t="str">
            <v>ALL</v>
          </cell>
          <cell r="K595" t="str">
            <v>ALL</v>
          </cell>
          <cell r="L595" t="str">
            <v>PROTOTYPE-3</v>
          </cell>
          <cell r="M595" t="str">
            <v>GL ASSEMBLY</v>
          </cell>
          <cell r="N595" t="str">
            <v>PROTO</v>
          </cell>
          <cell r="O595" t="str">
            <v>A (NS)</v>
          </cell>
        </row>
        <row r="596">
          <cell r="A596">
            <v>9310</v>
          </cell>
          <cell r="B596" t="str">
            <v>NUR FITRIANI</v>
          </cell>
          <cell r="C596" t="str">
            <v>SAMI</v>
          </cell>
          <cell r="D596" t="str">
            <v>OPT-216</v>
          </cell>
          <cell r="E596">
            <v>40148</v>
          </cell>
          <cell r="F596" t="str">
            <v>-</v>
          </cell>
          <cell r="G596" t="str">
            <v>-</v>
          </cell>
          <cell r="H596" t="str">
            <v>PP</v>
          </cell>
          <cell r="I596" t="str">
            <v>PP-3</v>
          </cell>
          <cell r="J596" t="str">
            <v>ALL</v>
          </cell>
          <cell r="K596" t="str">
            <v>ALL</v>
          </cell>
          <cell r="L596" t="str">
            <v>PROTOTYPE-3</v>
          </cell>
          <cell r="M596" t="str">
            <v>ASSEMBLY</v>
          </cell>
          <cell r="N596" t="str">
            <v>PROTO</v>
          </cell>
          <cell r="O596" t="str">
            <v>A (NS)</v>
          </cell>
        </row>
        <row r="597">
          <cell r="A597">
            <v>13283</v>
          </cell>
          <cell r="B597" t="str">
            <v>JOKO SANTOSO</v>
          </cell>
          <cell r="C597" t="str">
            <v>SAMI</v>
          </cell>
          <cell r="D597" t="str">
            <v>TKN-62</v>
          </cell>
          <cell r="E597">
            <v>40917</v>
          </cell>
          <cell r="F597" t="str">
            <v>-</v>
          </cell>
          <cell r="G597" t="str">
            <v>-</v>
          </cell>
          <cell r="H597" t="str">
            <v>PP</v>
          </cell>
          <cell r="I597" t="str">
            <v>PP-3</v>
          </cell>
          <cell r="J597" t="str">
            <v>ALL</v>
          </cell>
          <cell r="K597" t="str">
            <v>ALL</v>
          </cell>
          <cell r="L597" t="str">
            <v>PROTOTYPE-3</v>
          </cell>
          <cell r="M597" t="str">
            <v>EQUIPMENT</v>
          </cell>
          <cell r="N597" t="str">
            <v>PROTO</v>
          </cell>
          <cell r="O597" t="str">
            <v>A (NS)</v>
          </cell>
        </row>
        <row r="598">
          <cell r="A598">
            <v>1153</v>
          </cell>
          <cell r="B598" t="str">
            <v>SRI REJEKI</v>
          </cell>
          <cell r="C598" t="str">
            <v>SAMI</v>
          </cell>
          <cell r="D598" t="str">
            <v>OPT-28</v>
          </cell>
          <cell r="E598">
            <v>37900</v>
          </cell>
          <cell r="F598" t="str">
            <v>-</v>
          </cell>
          <cell r="G598" t="str">
            <v>-</v>
          </cell>
          <cell r="H598" t="str">
            <v>PP</v>
          </cell>
          <cell r="I598" t="str">
            <v>OS &amp; IMPR</v>
          </cell>
          <cell r="J598" t="str">
            <v>ALL</v>
          </cell>
          <cell r="K598" t="str">
            <v>ALL</v>
          </cell>
          <cell r="L598" t="str">
            <v>OS &amp; IMPR</v>
          </cell>
          <cell r="M598" t="str">
            <v>ALL OS</v>
          </cell>
          <cell r="N598" t="str">
            <v>PROCESS ENG</v>
          </cell>
          <cell r="O598" t="str">
            <v>A (NS)</v>
          </cell>
        </row>
        <row r="599">
          <cell r="A599">
            <v>9690</v>
          </cell>
          <cell r="B599" t="str">
            <v>RANNY PRI AGUSTIANI</v>
          </cell>
          <cell r="C599" t="str">
            <v>SAMI</v>
          </cell>
          <cell r="D599" t="str">
            <v>OPT-222</v>
          </cell>
          <cell r="E599">
            <v>40297</v>
          </cell>
          <cell r="F599" t="str">
            <v>-</v>
          </cell>
          <cell r="G599" t="str">
            <v>-</v>
          </cell>
          <cell r="H599" t="str">
            <v>PP</v>
          </cell>
          <cell r="I599" t="str">
            <v>OS &amp; IMPR</v>
          </cell>
          <cell r="J599" t="str">
            <v>ALL</v>
          </cell>
          <cell r="K599" t="str">
            <v>ALL</v>
          </cell>
          <cell r="L599" t="str">
            <v>OS &amp; IMPR</v>
          </cell>
          <cell r="M599" t="str">
            <v>ALL OS</v>
          </cell>
          <cell r="N599" t="str">
            <v>PROCESS ENG</v>
          </cell>
          <cell r="O599" t="str">
            <v>A (NS)</v>
          </cell>
        </row>
        <row r="600">
          <cell r="A600">
            <v>19461</v>
          </cell>
          <cell r="B600" t="str">
            <v>NAILIL FARH</v>
          </cell>
          <cell r="C600" t="str">
            <v>SAMI</v>
          </cell>
          <cell r="D600" t="str">
            <v>OPT-486</v>
          </cell>
          <cell r="E600">
            <v>42422</v>
          </cell>
          <cell r="F600" t="str">
            <v>-</v>
          </cell>
          <cell r="G600" t="str">
            <v>-</v>
          </cell>
          <cell r="H600" t="str">
            <v>PP</v>
          </cell>
          <cell r="I600" t="str">
            <v>OS &amp; IMPR</v>
          </cell>
          <cell r="J600" t="str">
            <v>ALL</v>
          </cell>
          <cell r="K600" t="str">
            <v>ALL</v>
          </cell>
          <cell r="L600" t="str">
            <v>OS &amp; IMPR</v>
          </cell>
          <cell r="M600" t="str">
            <v>ALL OS</v>
          </cell>
          <cell r="N600" t="str">
            <v>PROCESS ENG</v>
          </cell>
          <cell r="O600" t="str">
            <v>A (NS)</v>
          </cell>
        </row>
        <row r="601">
          <cell r="A601">
            <v>241</v>
          </cell>
          <cell r="B601" t="str">
            <v>LINA MARGIYANTI</v>
          </cell>
          <cell r="C601" t="str">
            <v>SAMI</v>
          </cell>
          <cell r="D601" t="str">
            <v>OPT-7</v>
          </cell>
          <cell r="E601">
            <v>37704</v>
          </cell>
          <cell r="F601" t="str">
            <v>-</v>
          </cell>
          <cell r="G601" t="str">
            <v>-</v>
          </cell>
          <cell r="H601" t="str">
            <v>PP</v>
          </cell>
          <cell r="I601" t="str">
            <v>PP-1</v>
          </cell>
          <cell r="J601" t="str">
            <v>ALL</v>
          </cell>
          <cell r="K601" t="str">
            <v>ALL</v>
          </cell>
          <cell r="L601" t="str">
            <v>PP-1</v>
          </cell>
          <cell r="M601" t="str">
            <v>ANALISYS</v>
          </cell>
          <cell r="N601" t="str">
            <v>PROCESS ENG</v>
          </cell>
          <cell r="O601" t="str">
            <v>A (NS)</v>
          </cell>
        </row>
        <row r="602">
          <cell r="A602">
            <v>3640</v>
          </cell>
          <cell r="B602" t="str">
            <v>AGUS NANANG SETYAWAN</v>
          </cell>
          <cell r="C602" t="str">
            <v>SAMI</v>
          </cell>
          <cell r="D602" t="str">
            <v>SPV UP</v>
          </cell>
          <cell r="E602">
            <v>38285</v>
          </cell>
          <cell r="F602" t="str">
            <v>-</v>
          </cell>
          <cell r="G602" t="str">
            <v>-</v>
          </cell>
          <cell r="H602" t="str">
            <v>PP</v>
          </cell>
          <cell r="I602" t="str">
            <v>PP-1</v>
          </cell>
          <cell r="J602" t="str">
            <v>ALL</v>
          </cell>
          <cell r="K602" t="str">
            <v>ALL</v>
          </cell>
          <cell r="L602" t="str">
            <v>PP-1</v>
          </cell>
          <cell r="M602" t="str">
            <v>-</v>
          </cell>
          <cell r="N602" t="str">
            <v>FPS SPV</v>
          </cell>
          <cell r="O602" t="str">
            <v>A (NS)</v>
          </cell>
        </row>
        <row r="603">
          <cell r="A603">
            <v>7782</v>
          </cell>
          <cell r="B603" t="str">
            <v>ROZIKIN</v>
          </cell>
          <cell r="C603" t="str">
            <v>SAMI</v>
          </cell>
          <cell r="D603" t="str">
            <v>ADM-36</v>
          </cell>
          <cell r="E603">
            <v>39630</v>
          </cell>
          <cell r="F603" t="str">
            <v>-</v>
          </cell>
          <cell r="G603" t="str">
            <v>-</v>
          </cell>
          <cell r="H603" t="str">
            <v>PP</v>
          </cell>
          <cell r="I603" t="str">
            <v>PP-1</v>
          </cell>
          <cell r="J603" t="str">
            <v>ALL</v>
          </cell>
          <cell r="K603" t="str">
            <v>ALL</v>
          </cell>
          <cell r="L603" t="str">
            <v>PP-1</v>
          </cell>
          <cell r="M603" t="str">
            <v>-</v>
          </cell>
          <cell r="N603" t="str">
            <v>FPS LL</v>
          </cell>
          <cell r="O603" t="str">
            <v>A (NS)</v>
          </cell>
        </row>
        <row r="604">
          <cell r="A604">
            <v>9275</v>
          </cell>
          <cell r="B604" t="str">
            <v>ERNI ERIYANTI</v>
          </cell>
          <cell r="C604" t="str">
            <v>SAMI</v>
          </cell>
          <cell r="D604" t="str">
            <v>OPT-216</v>
          </cell>
          <cell r="E604">
            <v>40148</v>
          </cell>
          <cell r="F604" t="str">
            <v>-</v>
          </cell>
          <cell r="G604" t="str">
            <v>-</v>
          </cell>
          <cell r="H604" t="str">
            <v>PP</v>
          </cell>
          <cell r="I604" t="str">
            <v>PP-1</v>
          </cell>
          <cell r="J604" t="str">
            <v>ALL</v>
          </cell>
          <cell r="K604" t="str">
            <v>ALL</v>
          </cell>
          <cell r="L604" t="str">
            <v>PP-1</v>
          </cell>
          <cell r="M604" t="str">
            <v>GL PREP.</v>
          </cell>
          <cell r="N604" t="str">
            <v>PROCESS ENG</v>
          </cell>
          <cell r="O604" t="str">
            <v>A (NS)</v>
          </cell>
        </row>
        <row r="605">
          <cell r="A605">
            <v>10510</v>
          </cell>
          <cell r="B605" t="str">
            <v>MIFTAKHATUN NIKMAH</v>
          </cell>
          <cell r="C605" t="str">
            <v>SAMI</v>
          </cell>
          <cell r="D605" t="str">
            <v>OPT-273</v>
          </cell>
          <cell r="E605">
            <v>40535</v>
          </cell>
          <cell r="F605" t="str">
            <v>-</v>
          </cell>
          <cell r="G605" t="str">
            <v>-</v>
          </cell>
          <cell r="H605" t="str">
            <v>PP</v>
          </cell>
          <cell r="I605" t="str">
            <v>PP-1</v>
          </cell>
          <cell r="J605" t="str">
            <v>ALL</v>
          </cell>
          <cell r="K605" t="str">
            <v>ALL</v>
          </cell>
          <cell r="L605" t="str">
            <v>PP-1</v>
          </cell>
          <cell r="M605" t="str">
            <v>ANALISYS</v>
          </cell>
          <cell r="N605" t="str">
            <v>PROCESS ENG</v>
          </cell>
          <cell r="O605" t="str">
            <v>A (NS)</v>
          </cell>
        </row>
        <row r="606">
          <cell r="A606">
            <v>11094</v>
          </cell>
          <cell r="B606" t="str">
            <v>BUDI PRIYANTO</v>
          </cell>
          <cell r="C606" t="str">
            <v>SAMI</v>
          </cell>
          <cell r="D606" t="str">
            <v>INT</v>
          </cell>
          <cell r="E606">
            <v>40597</v>
          </cell>
          <cell r="F606" t="str">
            <v>-</v>
          </cell>
          <cell r="G606" t="str">
            <v>-</v>
          </cell>
          <cell r="H606" t="str">
            <v>PP</v>
          </cell>
          <cell r="I606" t="str">
            <v>PP-1</v>
          </cell>
          <cell r="J606" t="str">
            <v>ALL</v>
          </cell>
          <cell r="K606" t="str">
            <v>ALL</v>
          </cell>
          <cell r="L606" t="str">
            <v>PP-1</v>
          </cell>
          <cell r="M606" t="str">
            <v>-</v>
          </cell>
          <cell r="N606" t="str">
            <v>FPS LL</v>
          </cell>
          <cell r="O606" t="str">
            <v>A (NS)</v>
          </cell>
        </row>
        <row r="607">
          <cell r="A607">
            <v>14039</v>
          </cell>
          <cell r="B607" t="str">
            <v>IWAN ARYANTA</v>
          </cell>
          <cell r="C607" t="str">
            <v>SAMI</v>
          </cell>
          <cell r="D607" t="str">
            <v>TKN-71</v>
          </cell>
          <cell r="E607">
            <v>41302</v>
          </cell>
          <cell r="F607" t="str">
            <v>-</v>
          </cell>
          <cell r="G607" t="str">
            <v>-</v>
          </cell>
          <cell r="H607" t="str">
            <v>PP</v>
          </cell>
          <cell r="I607" t="str">
            <v>PP-3</v>
          </cell>
          <cell r="J607" t="str">
            <v>ALL</v>
          </cell>
          <cell r="K607" t="str">
            <v>ALL</v>
          </cell>
          <cell r="L607" t="str">
            <v>PP-3</v>
          </cell>
          <cell r="M607" t="str">
            <v>EQUIPMENT</v>
          </cell>
          <cell r="N607" t="str">
            <v>PROCESS ENG</v>
          </cell>
          <cell r="O607" t="str">
            <v>A (NS)</v>
          </cell>
        </row>
        <row r="608">
          <cell r="A608">
            <v>16853</v>
          </cell>
          <cell r="B608" t="str">
            <v>NADIA WINDA MARGA AYU</v>
          </cell>
          <cell r="C608" t="str">
            <v>SAMI</v>
          </cell>
          <cell r="D608" t="str">
            <v>ES-54</v>
          </cell>
          <cell r="E608">
            <v>41701</v>
          </cell>
          <cell r="F608" t="str">
            <v>-</v>
          </cell>
          <cell r="G608" t="str">
            <v>-</v>
          </cell>
          <cell r="H608" t="str">
            <v>PP</v>
          </cell>
          <cell r="I608" t="str">
            <v>PP-1</v>
          </cell>
          <cell r="J608" t="str">
            <v>ALL</v>
          </cell>
          <cell r="K608" t="str">
            <v>ALL</v>
          </cell>
          <cell r="L608" t="str">
            <v>PP-1</v>
          </cell>
          <cell r="M608" t="str">
            <v>-</v>
          </cell>
          <cell r="N608" t="str">
            <v>FPS LL</v>
          </cell>
          <cell r="O608" t="str">
            <v>A (NS)</v>
          </cell>
        </row>
        <row r="609">
          <cell r="A609">
            <v>1021</v>
          </cell>
          <cell r="B609" t="str">
            <v>WIWIN OKTAVIARY</v>
          </cell>
          <cell r="C609" t="str">
            <v>SAMI</v>
          </cell>
          <cell r="D609" t="str">
            <v>OPT-26</v>
          </cell>
          <cell r="E609">
            <v>37879</v>
          </cell>
          <cell r="F609" t="str">
            <v>-</v>
          </cell>
          <cell r="G609" t="str">
            <v>-</v>
          </cell>
          <cell r="H609" t="str">
            <v>PP</v>
          </cell>
          <cell r="I609" t="str">
            <v>PP-1</v>
          </cell>
          <cell r="J609" t="str">
            <v>ALL</v>
          </cell>
          <cell r="K609" t="str">
            <v>ALL</v>
          </cell>
          <cell r="L609" t="str">
            <v>PROTOTYPE-1</v>
          </cell>
          <cell r="M609" t="str">
            <v>INSPECTION</v>
          </cell>
          <cell r="N609" t="str">
            <v>PROTO</v>
          </cell>
          <cell r="O609" t="str">
            <v>A (NS)</v>
          </cell>
        </row>
        <row r="610">
          <cell r="A610">
            <v>1269</v>
          </cell>
          <cell r="B610" t="str">
            <v>WIWIN INDRIYANI</v>
          </cell>
          <cell r="C610" t="str">
            <v>SAMI</v>
          </cell>
          <cell r="D610" t="str">
            <v>OPT-31</v>
          </cell>
          <cell r="E610">
            <v>37921</v>
          </cell>
          <cell r="F610" t="str">
            <v>-</v>
          </cell>
          <cell r="G610" t="str">
            <v>-</v>
          </cell>
          <cell r="H610" t="str">
            <v>PP</v>
          </cell>
          <cell r="I610" t="str">
            <v>PP-2</v>
          </cell>
          <cell r="J610" t="str">
            <v>ALL</v>
          </cell>
          <cell r="K610" t="str">
            <v>ALL</v>
          </cell>
          <cell r="L610" t="str">
            <v>PP-2</v>
          </cell>
          <cell r="M610" t="str">
            <v>ANALISYS</v>
          </cell>
          <cell r="N610" t="str">
            <v>PROCESS ENG</v>
          </cell>
          <cell r="O610" t="str">
            <v>A (NS)</v>
          </cell>
        </row>
        <row r="611">
          <cell r="A611">
            <v>5467</v>
          </cell>
          <cell r="B611" t="str">
            <v>WAHYU NUR DIYANINGSIH</v>
          </cell>
          <cell r="C611" t="str">
            <v>SAMI</v>
          </cell>
          <cell r="D611" t="str">
            <v>OPT-128</v>
          </cell>
          <cell r="E611">
            <v>38991</v>
          </cell>
          <cell r="F611" t="str">
            <v>-</v>
          </cell>
          <cell r="G611" t="str">
            <v>-</v>
          </cell>
          <cell r="H611" t="str">
            <v>PP</v>
          </cell>
          <cell r="I611" t="str">
            <v>PP-1</v>
          </cell>
          <cell r="J611" t="str">
            <v>ALL</v>
          </cell>
          <cell r="K611" t="str">
            <v>ALL</v>
          </cell>
          <cell r="L611" t="str">
            <v>PROTOTYPE-1</v>
          </cell>
          <cell r="M611" t="str">
            <v>INSPECTION</v>
          </cell>
          <cell r="N611" t="str">
            <v>PROTO</v>
          </cell>
          <cell r="O611" t="str">
            <v>A (NS)</v>
          </cell>
        </row>
        <row r="612">
          <cell r="A612">
            <v>7434</v>
          </cell>
          <cell r="B612" t="str">
            <v>ANIK MAWARTI</v>
          </cell>
          <cell r="C612" t="str">
            <v>SAMI</v>
          </cell>
          <cell r="D612" t="str">
            <v>OPT-173</v>
          </cell>
          <cell r="E612">
            <v>39600</v>
          </cell>
          <cell r="F612" t="str">
            <v>-</v>
          </cell>
          <cell r="G612" t="str">
            <v>-</v>
          </cell>
          <cell r="H612" t="str">
            <v>PP</v>
          </cell>
          <cell r="I612" t="str">
            <v>PP-1</v>
          </cell>
          <cell r="J612" t="str">
            <v>ALL</v>
          </cell>
          <cell r="K612" t="str">
            <v>ALL</v>
          </cell>
          <cell r="L612" t="str">
            <v>PROTOTYPE-1</v>
          </cell>
          <cell r="M612" t="str">
            <v>GL INSP.</v>
          </cell>
          <cell r="N612" t="str">
            <v>PROTO</v>
          </cell>
          <cell r="O612" t="str">
            <v>A (NS)</v>
          </cell>
        </row>
        <row r="613">
          <cell r="A613">
            <v>8877</v>
          </cell>
          <cell r="B613" t="str">
            <v>WISNU WARDANI</v>
          </cell>
          <cell r="C613" t="str">
            <v>SAMI</v>
          </cell>
          <cell r="D613" t="str">
            <v>OPT-195</v>
          </cell>
          <cell r="E613">
            <v>39937</v>
          </cell>
          <cell r="F613" t="str">
            <v>-</v>
          </cell>
          <cell r="G613" t="str">
            <v>-</v>
          </cell>
          <cell r="H613" t="str">
            <v>PP</v>
          </cell>
          <cell r="I613" t="str">
            <v>PP-1</v>
          </cell>
          <cell r="J613" t="str">
            <v>ALL</v>
          </cell>
          <cell r="K613" t="str">
            <v>ALL</v>
          </cell>
          <cell r="L613" t="str">
            <v>PROTOTYPE-1</v>
          </cell>
          <cell r="M613" t="str">
            <v>INSPECTION</v>
          </cell>
          <cell r="N613" t="str">
            <v>PROTO</v>
          </cell>
          <cell r="O613" t="str">
            <v>A (NS)</v>
          </cell>
        </row>
        <row r="614">
          <cell r="A614">
            <v>19611</v>
          </cell>
          <cell r="B614" t="str">
            <v>AGUSTINA RASDIYANI</v>
          </cell>
          <cell r="C614" t="str">
            <v>SAMI</v>
          </cell>
          <cell r="D614" t="str">
            <v>OPT-490</v>
          </cell>
          <cell r="E614">
            <v>42475</v>
          </cell>
          <cell r="F614" t="str">
            <v>-</v>
          </cell>
          <cell r="G614" t="str">
            <v>-</v>
          </cell>
          <cell r="H614" t="str">
            <v>PP</v>
          </cell>
          <cell r="I614" t="str">
            <v>PP-1</v>
          </cell>
          <cell r="J614" t="str">
            <v>ALL</v>
          </cell>
          <cell r="K614" t="str">
            <v>ALL</v>
          </cell>
          <cell r="L614" t="str">
            <v>PROTOTYPE-1</v>
          </cell>
          <cell r="M614" t="str">
            <v>ASSEMBLY</v>
          </cell>
          <cell r="N614" t="str">
            <v>PROTO</v>
          </cell>
          <cell r="O614" t="str">
            <v>A (NS)</v>
          </cell>
        </row>
        <row r="615">
          <cell r="A615">
            <v>541</v>
          </cell>
          <cell r="B615" t="str">
            <v>YUS SANTI</v>
          </cell>
          <cell r="C615" t="str">
            <v>SAMI</v>
          </cell>
          <cell r="D615" t="str">
            <v>OPT-14</v>
          </cell>
          <cell r="E615">
            <v>37767</v>
          </cell>
          <cell r="F615" t="str">
            <v>-</v>
          </cell>
          <cell r="G615" t="str">
            <v>-</v>
          </cell>
          <cell r="H615" t="str">
            <v>PP</v>
          </cell>
          <cell r="I615" t="str">
            <v>PP-2</v>
          </cell>
          <cell r="J615" t="str">
            <v>ALL</v>
          </cell>
          <cell r="K615" t="str">
            <v>ALL</v>
          </cell>
          <cell r="L615" t="str">
            <v>PP-2</v>
          </cell>
          <cell r="M615" t="str">
            <v>ANALISYS</v>
          </cell>
          <cell r="N615" t="str">
            <v>PROCESS ENG</v>
          </cell>
          <cell r="O615" t="str">
            <v>A (NS)</v>
          </cell>
        </row>
        <row r="616">
          <cell r="A616">
            <v>974</v>
          </cell>
          <cell r="B616" t="str">
            <v>ENDANG MARGIYATI</v>
          </cell>
          <cell r="C616" t="str">
            <v>SAMI</v>
          </cell>
          <cell r="D616" t="str">
            <v>OPT-25</v>
          </cell>
          <cell r="E616">
            <v>37872</v>
          </cell>
          <cell r="F616" t="str">
            <v>-</v>
          </cell>
          <cell r="G616" t="str">
            <v>-</v>
          </cell>
          <cell r="H616" t="str">
            <v>PP</v>
          </cell>
          <cell r="I616" t="str">
            <v>PP-2</v>
          </cell>
          <cell r="J616" t="str">
            <v>ALL</v>
          </cell>
          <cell r="K616" t="str">
            <v>ALL</v>
          </cell>
          <cell r="L616" t="str">
            <v>PP-2</v>
          </cell>
          <cell r="M616" t="str">
            <v>ANALISYS</v>
          </cell>
          <cell r="N616" t="str">
            <v>PROCESS ENG</v>
          </cell>
          <cell r="O616" t="str">
            <v>A (NS)</v>
          </cell>
        </row>
        <row r="617">
          <cell r="A617">
            <v>1193</v>
          </cell>
          <cell r="B617" t="str">
            <v>EXI MULYATI</v>
          </cell>
          <cell r="C617" t="str">
            <v>SAMI</v>
          </cell>
          <cell r="D617" t="str">
            <v>OPT-29</v>
          </cell>
          <cell r="E617">
            <v>37907</v>
          </cell>
          <cell r="F617" t="str">
            <v>-</v>
          </cell>
          <cell r="G617" t="str">
            <v>-</v>
          </cell>
          <cell r="H617" t="str">
            <v>PP</v>
          </cell>
          <cell r="I617" t="str">
            <v>PP-2</v>
          </cell>
          <cell r="J617" t="str">
            <v>ALL</v>
          </cell>
          <cell r="K617" t="str">
            <v>ALL</v>
          </cell>
          <cell r="L617" t="str">
            <v>PP-2</v>
          </cell>
          <cell r="M617" t="str">
            <v>GL PREP.</v>
          </cell>
          <cell r="N617" t="str">
            <v>PROCESS ENG</v>
          </cell>
          <cell r="O617" t="str">
            <v>A (NS)</v>
          </cell>
        </row>
        <row r="618">
          <cell r="A618">
            <v>4356</v>
          </cell>
          <cell r="B618" t="str">
            <v>KUS HERYYONO</v>
          </cell>
          <cell r="C618" t="str">
            <v>SAMI</v>
          </cell>
          <cell r="D618" t="str">
            <v>SPV UP</v>
          </cell>
          <cell r="E618">
            <v>38741</v>
          </cell>
          <cell r="F618" t="str">
            <v>-</v>
          </cell>
          <cell r="G618" t="str">
            <v>-</v>
          </cell>
          <cell r="H618" t="str">
            <v>PP</v>
          </cell>
          <cell r="I618" t="str">
            <v>PP-2</v>
          </cell>
          <cell r="J618" t="str">
            <v>ALL</v>
          </cell>
          <cell r="K618" t="str">
            <v>ALL</v>
          </cell>
          <cell r="L618" t="str">
            <v>PP-2</v>
          </cell>
          <cell r="M618" t="str">
            <v>-</v>
          </cell>
          <cell r="N618" t="str">
            <v>FPS SPV</v>
          </cell>
          <cell r="O618" t="str">
            <v>A (NS)</v>
          </cell>
        </row>
        <row r="619">
          <cell r="A619">
            <v>5465</v>
          </cell>
          <cell r="B619" t="str">
            <v>TITIK WAHYUNI</v>
          </cell>
          <cell r="C619" t="str">
            <v>SAMI</v>
          </cell>
          <cell r="D619" t="str">
            <v>OPT-128</v>
          </cell>
          <cell r="E619">
            <v>38991</v>
          </cell>
          <cell r="F619" t="str">
            <v>-</v>
          </cell>
          <cell r="G619" t="str">
            <v>-</v>
          </cell>
          <cell r="H619" t="str">
            <v>PP</v>
          </cell>
          <cell r="I619" t="str">
            <v>PP-2</v>
          </cell>
          <cell r="J619" t="str">
            <v>ALL</v>
          </cell>
          <cell r="K619" t="str">
            <v>ALL</v>
          </cell>
          <cell r="L619" t="str">
            <v>PP-2</v>
          </cell>
          <cell r="M619" t="str">
            <v>ANALISYS</v>
          </cell>
          <cell r="N619" t="str">
            <v>PROCESS ENG</v>
          </cell>
          <cell r="O619" t="str">
            <v>A (NS)</v>
          </cell>
        </row>
        <row r="620">
          <cell r="A620">
            <v>7091</v>
          </cell>
          <cell r="B620" t="str">
            <v>M.HUSNUL MUBAROK</v>
          </cell>
          <cell r="C620" t="str">
            <v>SAMI</v>
          </cell>
          <cell r="D620" t="str">
            <v>OPT-161</v>
          </cell>
          <cell r="E620">
            <v>39479</v>
          </cell>
          <cell r="F620" t="str">
            <v>-</v>
          </cell>
          <cell r="G620" t="str">
            <v>-</v>
          </cell>
          <cell r="H620" t="str">
            <v>PP</v>
          </cell>
          <cell r="I620" t="str">
            <v>PP-2</v>
          </cell>
          <cell r="J620" t="str">
            <v>ALL</v>
          </cell>
          <cell r="K620" t="str">
            <v>ALL</v>
          </cell>
          <cell r="L620" t="str">
            <v>PP-2</v>
          </cell>
          <cell r="M620" t="str">
            <v>-</v>
          </cell>
          <cell r="N620" t="str">
            <v>FPS LL</v>
          </cell>
          <cell r="O620" t="str">
            <v>A (NS)</v>
          </cell>
        </row>
        <row r="621">
          <cell r="A621">
            <v>11293</v>
          </cell>
          <cell r="B621" t="str">
            <v>WIDODO</v>
          </cell>
          <cell r="C621" t="str">
            <v>SAMI</v>
          </cell>
          <cell r="D621" t="str">
            <v>TKN-53</v>
          </cell>
          <cell r="E621">
            <v>40634</v>
          </cell>
          <cell r="F621" t="str">
            <v>-</v>
          </cell>
          <cell r="G621" t="str">
            <v>-</v>
          </cell>
          <cell r="H621" t="str">
            <v>PP</v>
          </cell>
          <cell r="I621" t="str">
            <v>PP-2</v>
          </cell>
          <cell r="J621" t="str">
            <v>ALL</v>
          </cell>
          <cell r="K621" t="str">
            <v>ALL</v>
          </cell>
          <cell r="L621" t="str">
            <v>PP-2</v>
          </cell>
          <cell r="M621" t="str">
            <v>EQUIPMENT</v>
          </cell>
          <cell r="N621" t="str">
            <v>PROCESS ENG</v>
          </cell>
          <cell r="O621" t="str">
            <v>A (NS)</v>
          </cell>
        </row>
        <row r="622">
          <cell r="A622">
            <v>1122</v>
          </cell>
          <cell r="B622" t="str">
            <v>RINA RUKMI RAHMAWATI</v>
          </cell>
          <cell r="C622" t="str">
            <v>SAMI</v>
          </cell>
          <cell r="D622" t="str">
            <v>OPT-28</v>
          </cell>
          <cell r="E622">
            <v>37900</v>
          </cell>
          <cell r="F622" t="str">
            <v>-</v>
          </cell>
          <cell r="G622" t="str">
            <v>-</v>
          </cell>
          <cell r="H622" t="str">
            <v>PP</v>
          </cell>
          <cell r="I622" t="str">
            <v>PP-2</v>
          </cell>
          <cell r="J622" t="str">
            <v>ALL</v>
          </cell>
          <cell r="K622" t="str">
            <v>ALL</v>
          </cell>
          <cell r="L622" t="str">
            <v>PROTOTYPE-2</v>
          </cell>
          <cell r="M622" t="str">
            <v>INSPECTION</v>
          </cell>
          <cell r="N622" t="str">
            <v>PROTO</v>
          </cell>
          <cell r="O622" t="str">
            <v>A (NS)</v>
          </cell>
        </row>
        <row r="623">
          <cell r="A623">
            <v>4655</v>
          </cell>
          <cell r="B623" t="str">
            <v>BUDI HARTONO</v>
          </cell>
          <cell r="C623" t="str">
            <v>SAMI</v>
          </cell>
          <cell r="D623" t="str">
            <v>OPT-115</v>
          </cell>
          <cell r="E623">
            <v>38901</v>
          </cell>
          <cell r="F623" t="str">
            <v>-</v>
          </cell>
          <cell r="G623" t="str">
            <v>-</v>
          </cell>
          <cell r="H623" t="str">
            <v>PP</v>
          </cell>
          <cell r="I623" t="str">
            <v>PP-2</v>
          </cell>
          <cell r="J623" t="str">
            <v>ALL</v>
          </cell>
          <cell r="K623" t="str">
            <v>ALL</v>
          </cell>
          <cell r="L623" t="str">
            <v>PROTOTYPE-2</v>
          </cell>
          <cell r="M623" t="str">
            <v>INSPECTION</v>
          </cell>
          <cell r="N623" t="str">
            <v>PROTO</v>
          </cell>
          <cell r="O623" t="str">
            <v>A (NS)</v>
          </cell>
        </row>
        <row r="624">
          <cell r="A624">
            <v>10087</v>
          </cell>
          <cell r="B624" t="str">
            <v>FATIKHATUL AFIDAH</v>
          </cell>
          <cell r="C624" t="str">
            <v>SAMI</v>
          </cell>
          <cell r="D624" t="str">
            <v>OPT-248</v>
          </cell>
          <cell r="E624">
            <v>40444</v>
          </cell>
          <cell r="F624" t="str">
            <v>-</v>
          </cell>
          <cell r="G624" t="str">
            <v>-</v>
          </cell>
          <cell r="H624" t="str">
            <v>PP</v>
          </cell>
          <cell r="I624" t="str">
            <v>PP-2</v>
          </cell>
          <cell r="J624" t="str">
            <v>ALL</v>
          </cell>
          <cell r="K624" t="str">
            <v>ALL</v>
          </cell>
          <cell r="L624" t="str">
            <v>PROTOTYPE-2</v>
          </cell>
          <cell r="M624" t="str">
            <v>INSPECTION</v>
          </cell>
          <cell r="N624" t="str">
            <v>PROTO</v>
          </cell>
          <cell r="O624" t="str">
            <v>A (NS)</v>
          </cell>
        </row>
        <row r="625">
          <cell r="A625">
            <v>1064</v>
          </cell>
          <cell r="B625" t="str">
            <v>SEPTIAN ANDRIANTO</v>
          </cell>
          <cell r="C625" t="str">
            <v>SAMI</v>
          </cell>
          <cell r="D625" t="str">
            <v>SPV UP</v>
          </cell>
          <cell r="E625">
            <v>37879</v>
          </cell>
          <cell r="F625" t="str">
            <v>-</v>
          </cell>
          <cell r="G625" t="str">
            <v>-</v>
          </cell>
          <cell r="H625" t="str">
            <v>PP</v>
          </cell>
          <cell r="I625" t="str">
            <v>PP-3</v>
          </cell>
          <cell r="J625" t="str">
            <v>ALL</v>
          </cell>
          <cell r="K625" t="str">
            <v>ALL</v>
          </cell>
          <cell r="L625" t="str">
            <v>PP-3</v>
          </cell>
          <cell r="M625" t="str">
            <v>-</v>
          </cell>
          <cell r="N625" t="str">
            <v>FPS SPV</v>
          </cell>
          <cell r="O625" t="str">
            <v>A (NS)</v>
          </cell>
        </row>
        <row r="626">
          <cell r="A626">
            <v>5684</v>
          </cell>
          <cell r="B626" t="str">
            <v>ABDUL AZIS AL HUDHA</v>
          </cell>
          <cell r="C626" t="str">
            <v>SAMI</v>
          </cell>
          <cell r="D626" t="str">
            <v>OPT-134</v>
          </cell>
          <cell r="E626">
            <v>39098</v>
          </cell>
          <cell r="F626" t="str">
            <v>-</v>
          </cell>
          <cell r="G626" t="str">
            <v>-</v>
          </cell>
          <cell r="H626" t="str">
            <v>PP</v>
          </cell>
          <cell r="I626" t="str">
            <v>PP-3</v>
          </cell>
          <cell r="J626" t="str">
            <v>ALL</v>
          </cell>
          <cell r="K626" t="str">
            <v>ALL</v>
          </cell>
          <cell r="L626" t="str">
            <v>PP-3</v>
          </cell>
          <cell r="M626" t="str">
            <v>-</v>
          </cell>
          <cell r="N626" t="str">
            <v>FPS LL</v>
          </cell>
          <cell r="O626" t="str">
            <v>A (NS)</v>
          </cell>
        </row>
        <row r="627">
          <cell r="A627">
            <v>8874</v>
          </cell>
          <cell r="B627" t="str">
            <v>UMI SOLICHATUN</v>
          </cell>
          <cell r="C627" t="str">
            <v>SAMI</v>
          </cell>
          <cell r="D627" t="str">
            <v>OPT-195</v>
          </cell>
          <cell r="E627">
            <v>39937</v>
          </cell>
          <cell r="F627" t="str">
            <v>-</v>
          </cell>
          <cell r="G627" t="str">
            <v>-</v>
          </cell>
          <cell r="H627" t="str">
            <v>PP</v>
          </cell>
          <cell r="I627" t="str">
            <v>PP-3</v>
          </cell>
          <cell r="J627" t="str">
            <v>ALL</v>
          </cell>
          <cell r="K627" t="str">
            <v>ALL</v>
          </cell>
          <cell r="L627" t="str">
            <v>PP-3</v>
          </cell>
          <cell r="M627" t="str">
            <v>GL PREP.</v>
          </cell>
          <cell r="N627" t="str">
            <v>PROCESS ENG</v>
          </cell>
          <cell r="O627" t="str">
            <v>A (NS)</v>
          </cell>
        </row>
        <row r="628">
          <cell r="A628">
            <v>9951</v>
          </cell>
          <cell r="B628" t="str">
            <v>NUR LATIFAH</v>
          </cell>
          <cell r="C628" t="str">
            <v>SAMI</v>
          </cell>
          <cell r="D628" t="str">
            <v>OPT-246</v>
          </cell>
          <cell r="E628">
            <v>40431</v>
          </cell>
          <cell r="F628" t="str">
            <v>-</v>
          </cell>
          <cell r="G628" t="str">
            <v>-</v>
          </cell>
          <cell r="H628" t="str">
            <v>PP</v>
          </cell>
          <cell r="I628" t="str">
            <v>PP-3</v>
          </cell>
          <cell r="J628" t="str">
            <v>ALL</v>
          </cell>
          <cell r="K628" t="str">
            <v>ALL</v>
          </cell>
          <cell r="L628" t="str">
            <v>PP-3</v>
          </cell>
          <cell r="M628" t="str">
            <v>ANALISYS</v>
          </cell>
          <cell r="N628" t="str">
            <v>PROCESS ENG</v>
          </cell>
          <cell r="O628" t="str">
            <v>A (NS)</v>
          </cell>
        </row>
        <row r="629">
          <cell r="A629">
            <v>10126</v>
          </cell>
          <cell r="B629" t="str">
            <v>TRI UTARI</v>
          </cell>
          <cell r="C629" t="str">
            <v>SAMI</v>
          </cell>
          <cell r="D629" t="str">
            <v>OPT-248</v>
          </cell>
          <cell r="E629">
            <v>40444</v>
          </cell>
          <cell r="F629" t="str">
            <v>-</v>
          </cell>
          <cell r="G629" t="str">
            <v>-</v>
          </cell>
          <cell r="H629" t="str">
            <v>PP</v>
          </cell>
          <cell r="I629" t="str">
            <v>PP-3</v>
          </cell>
          <cell r="J629" t="str">
            <v>ALL</v>
          </cell>
          <cell r="K629" t="str">
            <v>ALL</v>
          </cell>
          <cell r="L629" t="str">
            <v>PP-3</v>
          </cell>
          <cell r="M629" t="str">
            <v>ANALISYS</v>
          </cell>
          <cell r="N629" t="str">
            <v>PROCESS ENG</v>
          </cell>
          <cell r="O629" t="str">
            <v>A (NS)</v>
          </cell>
        </row>
        <row r="630">
          <cell r="A630">
            <v>811</v>
          </cell>
          <cell r="B630" t="str">
            <v>TITIN CATUR MEIWATI</v>
          </cell>
          <cell r="C630" t="str">
            <v>SAMI</v>
          </cell>
          <cell r="D630" t="str">
            <v>OPT-21</v>
          </cell>
          <cell r="E630">
            <v>37837</v>
          </cell>
          <cell r="F630" t="str">
            <v>-</v>
          </cell>
          <cell r="G630" t="str">
            <v>-</v>
          </cell>
          <cell r="H630" t="str">
            <v>PP</v>
          </cell>
          <cell r="I630" t="str">
            <v>PP-3</v>
          </cell>
          <cell r="J630" t="str">
            <v>ALL</v>
          </cell>
          <cell r="K630" t="str">
            <v>ALL</v>
          </cell>
          <cell r="L630" t="str">
            <v>PROTOTYPE-3</v>
          </cell>
          <cell r="M630" t="str">
            <v>ASSEMBLY</v>
          </cell>
          <cell r="N630" t="str">
            <v>PROTO</v>
          </cell>
          <cell r="O630" t="str">
            <v>A (NS)</v>
          </cell>
        </row>
        <row r="631">
          <cell r="A631">
            <v>6150</v>
          </cell>
          <cell r="B631" t="str">
            <v>NURUL LATIFAH</v>
          </cell>
          <cell r="C631" t="str">
            <v>SAMI</v>
          </cell>
          <cell r="D631" t="str">
            <v>OPT-140</v>
          </cell>
          <cell r="E631">
            <v>39157</v>
          </cell>
          <cell r="F631" t="str">
            <v>-</v>
          </cell>
          <cell r="G631" t="str">
            <v>-</v>
          </cell>
          <cell r="H631" t="str">
            <v>PP</v>
          </cell>
          <cell r="I631" t="str">
            <v>PP-3</v>
          </cell>
          <cell r="J631" t="str">
            <v>ALL</v>
          </cell>
          <cell r="K631" t="str">
            <v>ALL</v>
          </cell>
          <cell r="L631" t="str">
            <v>PROTOTYPE-3</v>
          </cell>
          <cell r="M631" t="str">
            <v>GL INSP.</v>
          </cell>
          <cell r="N631" t="str">
            <v>PROTO</v>
          </cell>
          <cell r="O631" t="str">
            <v>A (NS)</v>
          </cell>
        </row>
        <row r="632">
          <cell r="A632">
            <v>10338</v>
          </cell>
          <cell r="B632" t="str">
            <v>SITI FARIDAH</v>
          </cell>
          <cell r="C632" t="str">
            <v>SAMI</v>
          </cell>
          <cell r="D632" t="str">
            <v>OPT-265</v>
          </cell>
          <cell r="E632">
            <v>40511</v>
          </cell>
          <cell r="F632" t="str">
            <v>-</v>
          </cell>
          <cell r="G632" t="str">
            <v>-</v>
          </cell>
          <cell r="H632" t="str">
            <v>PP</v>
          </cell>
          <cell r="I632" t="str">
            <v>PP-3</v>
          </cell>
          <cell r="J632" t="str">
            <v>ALL</v>
          </cell>
          <cell r="K632" t="str">
            <v>ALL</v>
          </cell>
          <cell r="L632" t="str">
            <v>PROTOTYPE-3</v>
          </cell>
          <cell r="M632" t="str">
            <v>INSPECTION</v>
          </cell>
          <cell r="N632" t="str">
            <v>PROTO</v>
          </cell>
          <cell r="O632" t="str">
            <v>A (NS)</v>
          </cell>
        </row>
        <row r="633">
          <cell r="A633">
            <v>11966</v>
          </cell>
          <cell r="B633" t="str">
            <v>TITIK ZULIATI</v>
          </cell>
          <cell r="C633" t="str">
            <v>SAMI</v>
          </cell>
          <cell r="D633" t="str">
            <v>OPT-311</v>
          </cell>
          <cell r="E633">
            <v>40770</v>
          </cell>
          <cell r="F633" t="str">
            <v>-</v>
          </cell>
          <cell r="G633" t="str">
            <v>-</v>
          </cell>
          <cell r="H633" t="str">
            <v>PP</v>
          </cell>
          <cell r="I633" t="str">
            <v>PP-3</v>
          </cell>
          <cell r="J633" t="str">
            <v>ALL</v>
          </cell>
          <cell r="K633" t="str">
            <v>ALL</v>
          </cell>
          <cell r="L633" t="str">
            <v>PROTOTYPE-3</v>
          </cell>
          <cell r="M633" t="str">
            <v>ASSEMBLY</v>
          </cell>
          <cell r="N633" t="str">
            <v>PROTO</v>
          </cell>
          <cell r="O633" t="str">
            <v>A (NS)</v>
          </cell>
        </row>
        <row r="634">
          <cell r="A634">
            <v>13145</v>
          </cell>
          <cell r="B634" t="str">
            <v>RETNANINGTYAS CANDRA K.</v>
          </cell>
          <cell r="C634" t="str">
            <v>SAMI</v>
          </cell>
          <cell r="D634" t="str">
            <v>OPT-331</v>
          </cell>
          <cell r="E634">
            <v>40889</v>
          </cell>
          <cell r="F634" t="str">
            <v>-</v>
          </cell>
          <cell r="G634" t="str">
            <v>-</v>
          </cell>
          <cell r="H634" t="str">
            <v>PP</v>
          </cell>
          <cell r="I634" t="str">
            <v>PP-3</v>
          </cell>
          <cell r="J634" t="str">
            <v>ALL</v>
          </cell>
          <cell r="K634" t="str">
            <v>ALL</v>
          </cell>
          <cell r="L634" t="str">
            <v>PROTOTYPE-3</v>
          </cell>
          <cell r="M634" t="str">
            <v>INSPECTION</v>
          </cell>
          <cell r="N634" t="str">
            <v>PROTO</v>
          </cell>
          <cell r="O634" t="str">
            <v>A (NS)</v>
          </cell>
        </row>
        <row r="635">
          <cell r="A635">
            <v>1220</v>
          </cell>
          <cell r="B635" t="str">
            <v>SURYANI</v>
          </cell>
          <cell r="C635" t="str">
            <v>SAMI</v>
          </cell>
          <cell r="D635" t="str">
            <v>OPT-30</v>
          </cell>
          <cell r="E635">
            <v>37914</v>
          </cell>
          <cell r="F635" t="str">
            <v>-</v>
          </cell>
          <cell r="G635" t="str">
            <v>-</v>
          </cell>
          <cell r="H635" t="str">
            <v>PP</v>
          </cell>
          <cell r="I635" t="str">
            <v>SWCT</v>
          </cell>
          <cell r="J635" t="str">
            <v>ALL</v>
          </cell>
          <cell r="K635" t="str">
            <v>ALL</v>
          </cell>
          <cell r="L635" t="str">
            <v>SWCT</v>
          </cell>
          <cell r="M635" t="str">
            <v>GL ANALISYS</v>
          </cell>
          <cell r="N635" t="str">
            <v>PROCESS ENG</v>
          </cell>
          <cell r="O635" t="str">
            <v>A (NS)</v>
          </cell>
        </row>
        <row r="636">
          <cell r="A636">
            <v>5770</v>
          </cell>
          <cell r="B636" t="str">
            <v>FITRI AMALIA</v>
          </cell>
          <cell r="C636" t="str">
            <v>SAMI</v>
          </cell>
          <cell r="D636" t="str">
            <v>OPT-135</v>
          </cell>
          <cell r="E636">
            <v>39114</v>
          </cell>
          <cell r="F636" t="str">
            <v>-</v>
          </cell>
          <cell r="G636" t="str">
            <v>-</v>
          </cell>
          <cell r="H636" t="str">
            <v>PP</v>
          </cell>
          <cell r="I636" t="str">
            <v>SWCT</v>
          </cell>
          <cell r="J636" t="str">
            <v>ALL</v>
          </cell>
          <cell r="K636" t="str">
            <v>ALL</v>
          </cell>
          <cell r="L636" t="str">
            <v>SWCT</v>
          </cell>
          <cell r="M636" t="str">
            <v>PATROLI</v>
          </cell>
          <cell r="N636" t="str">
            <v>PROCESS ENG</v>
          </cell>
          <cell r="O636" t="str">
            <v>A (NS)</v>
          </cell>
        </row>
        <row r="637">
          <cell r="A637">
            <v>8647</v>
          </cell>
          <cell r="B637" t="str">
            <v>LILIS SULASIH</v>
          </cell>
          <cell r="C637" t="str">
            <v>SAMI</v>
          </cell>
          <cell r="D637" t="str">
            <v>OPT-189</v>
          </cell>
          <cell r="E637">
            <v>39878</v>
          </cell>
          <cell r="F637" t="str">
            <v>-</v>
          </cell>
          <cell r="G637" t="str">
            <v>-</v>
          </cell>
          <cell r="H637" t="str">
            <v>PP</v>
          </cell>
          <cell r="I637" t="str">
            <v>SWCT</v>
          </cell>
          <cell r="J637" t="str">
            <v>ALL</v>
          </cell>
          <cell r="K637" t="str">
            <v>ALL</v>
          </cell>
          <cell r="L637" t="str">
            <v>SWCT</v>
          </cell>
          <cell r="M637" t="str">
            <v>DOKUMEN</v>
          </cell>
          <cell r="N637" t="str">
            <v>PROCESS ENG</v>
          </cell>
          <cell r="O637" t="str">
            <v>A (NS)</v>
          </cell>
        </row>
        <row r="638">
          <cell r="A638">
            <v>10185</v>
          </cell>
          <cell r="B638" t="str">
            <v>LINDA MUSTIKA SARI</v>
          </cell>
          <cell r="C638" t="str">
            <v>SAMI</v>
          </cell>
          <cell r="D638" t="str">
            <v>OPT-253</v>
          </cell>
          <cell r="E638">
            <v>40458</v>
          </cell>
          <cell r="F638" t="str">
            <v>-</v>
          </cell>
          <cell r="G638" t="str">
            <v>-</v>
          </cell>
          <cell r="H638" t="str">
            <v>PP</v>
          </cell>
          <cell r="I638" t="str">
            <v>SWCT</v>
          </cell>
          <cell r="J638" t="str">
            <v>ALL</v>
          </cell>
          <cell r="K638" t="str">
            <v>ALL</v>
          </cell>
          <cell r="L638" t="str">
            <v>SWCT</v>
          </cell>
          <cell r="M638" t="str">
            <v>ADM, DOKUMEN</v>
          </cell>
          <cell r="N638" t="str">
            <v>PROCESS ENG</v>
          </cell>
          <cell r="O638" t="str">
            <v>A (NS)</v>
          </cell>
        </row>
        <row r="639">
          <cell r="A639">
            <v>10376</v>
          </cell>
          <cell r="B639" t="str">
            <v>LILIS SURYANTI</v>
          </cell>
          <cell r="C639" t="str">
            <v>SAMI</v>
          </cell>
          <cell r="D639" t="str">
            <v>OPT-267</v>
          </cell>
          <cell r="E639">
            <v>40513</v>
          </cell>
          <cell r="F639" t="str">
            <v>-</v>
          </cell>
          <cell r="G639" t="str">
            <v>-</v>
          </cell>
          <cell r="H639" t="str">
            <v>PP</v>
          </cell>
          <cell r="I639" t="str">
            <v>SWCT</v>
          </cell>
          <cell r="J639" t="str">
            <v>ALL</v>
          </cell>
          <cell r="K639" t="str">
            <v>ALL</v>
          </cell>
          <cell r="L639" t="str">
            <v>SWCT</v>
          </cell>
          <cell r="M639" t="str">
            <v>ADM, DOKUMEN</v>
          </cell>
          <cell r="N639" t="str">
            <v>PROCESS ENG</v>
          </cell>
          <cell r="O639" t="str">
            <v>A (NS)</v>
          </cell>
        </row>
        <row r="640">
          <cell r="A640">
            <v>11352</v>
          </cell>
          <cell r="B640" t="str">
            <v>DEWI YULIANTI</v>
          </cell>
          <cell r="C640" t="str">
            <v>SAMI</v>
          </cell>
          <cell r="D640" t="str">
            <v>OPT-301</v>
          </cell>
          <cell r="E640">
            <v>40672</v>
          </cell>
          <cell r="F640" t="str">
            <v>-</v>
          </cell>
          <cell r="G640" t="str">
            <v>-</v>
          </cell>
          <cell r="H640" t="str">
            <v>PP</v>
          </cell>
          <cell r="I640" t="str">
            <v>SWCT</v>
          </cell>
          <cell r="J640" t="str">
            <v>ALL</v>
          </cell>
          <cell r="K640" t="str">
            <v>ALL</v>
          </cell>
          <cell r="L640" t="str">
            <v>SWCT</v>
          </cell>
          <cell r="M640" t="str">
            <v>PATROLI</v>
          </cell>
          <cell r="N640" t="str">
            <v>PROCESS ENG</v>
          </cell>
          <cell r="O640" t="str">
            <v>A (NS)</v>
          </cell>
        </row>
        <row r="641">
          <cell r="A641">
            <v>11794</v>
          </cell>
          <cell r="B641" t="str">
            <v>DEASI ARIYANI</v>
          </cell>
          <cell r="C641" t="str">
            <v>SAMI</v>
          </cell>
          <cell r="D641" t="str">
            <v>OPT-309</v>
          </cell>
          <cell r="E641">
            <v>40721</v>
          </cell>
          <cell r="F641" t="str">
            <v>-</v>
          </cell>
          <cell r="G641" t="str">
            <v>-</v>
          </cell>
          <cell r="H641" t="str">
            <v>PP</v>
          </cell>
          <cell r="I641" t="str">
            <v>SWCT</v>
          </cell>
          <cell r="J641" t="str">
            <v>ALL</v>
          </cell>
          <cell r="K641" t="str">
            <v>ALL</v>
          </cell>
          <cell r="L641" t="str">
            <v>SWCT</v>
          </cell>
          <cell r="M641" t="str">
            <v>DOKUMEN</v>
          </cell>
          <cell r="N641" t="str">
            <v>PROCESS ENG</v>
          </cell>
          <cell r="O641" t="str">
            <v>A (NS)</v>
          </cell>
        </row>
        <row r="642">
          <cell r="A642">
            <v>11824</v>
          </cell>
          <cell r="B642" t="str">
            <v>NIKEN RAHAYU</v>
          </cell>
          <cell r="C642" t="str">
            <v>SAMI</v>
          </cell>
          <cell r="D642" t="str">
            <v>OPT-309</v>
          </cell>
          <cell r="E642">
            <v>40721</v>
          </cell>
          <cell r="F642" t="str">
            <v>-</v>
          </cell>
          <cell r="G642" t="str">
            <v>-</v>
          </cell>
          <cell r="H642" t="str">
            <v>PP</v>
          </cell>
          <cell r="I642" t="str">
            <v>SWCT</v>
          </cell>
          <cell r="J642" t="str">
            <v>ALL</v>
          </cell>
          <cell r="K642" t="str">
            <v>ALL</v>
          </cell>
          <cell r="L642" t="str">
            <v>SWCT</v>
          </cell>
          <cell r="M642" t="str">
            <v>ADM, DOKUMEN</v>
          </cell>
          <cell r="N642" t="str">
            <v>PROCESS ENG</v>
          </cell>
          <cell r="O642" t="str">
            <v>A (NS)</v>
          </cell>
        </row>
        <row r="643">
          <cell r="A643">
            <v>11863</v>
          </cell>
          <cell r="B643" t="str">
            <v>UMI LAELIYAH</v>
          </cell>
          <cell r="C643" t="str">
            <v>SAMI</v>
          </cell>
          <cell r="D643" t="str">
            <v>OPT-309</v>
          </cell>
          <cell r="E643">
            <v>40721</v>
          </cell>
          <cell r="F643" t="str">
            <v>-</v>
          </cell>
          <cell r="G643" t="str">
            <v>-</v>
          </cell>
          <cell r="H643" t="str">
            <v>PP</v>
          </cell>
          <cell r="I643" t="str">
            <v>SWCT</v>
          </cell>
          <cell r="J643" t="str">
            <v>ALL</v>
          </cell>
          <cell r="K643" t="str">
            <v>ALL</v>
          </cell>
          <cell r="L643" t="str">
            <v>SWCT</v>
          </cell>
          <cell r="M643" t="str">
            <v>ANALISYS</v>
          </cell>
          <cell r="N643" t="str">
            <v>PROCESS ENG</v>
          </cell>
          <cell r="O643" t="str">
            <v>A (NS)</v>
          </cell>
        </row>
        <row r="644">
          <cell r="A644">
            <v>11878</v>
          </cell>
          <cell r="B644" t="str">
            <v>MEGA SETIYANINGSIH</v>
          </cell>
          <cell r="C644" t="str">
            <v>SAMI</v>
          </cell>
          <cell r="D644" t="str">
            <v>OPT-310</v>
          </cell>
          <cell r="E644">
            <v>40735</v>
          </cell>
          <cell r="F644" t="str">
            <v>-</v>
          </cell>
          <cell r="G644" t="str">
            <v>-</v>
          </cell>
          <cell r="H644" t="str">
            <v>PP</v>
          </cell>
          <cell r="I644" t="str">
            <v>SWCT</v>
          </cell>
          <cell r="J644" t="str">
            <v>ALL</v>
          </cell>
          <cell r="K644" t="str">
            <v>ALL</v>
          </cell>
          <cell r="L644" t="str">
            <v>SWCT</v>
          </cell>
          <cell r="M644" t="str">
            <v>ANALISYS</v>
          </cell>
          <cell r="N644" t="str">
            <v>PROCESS ENG</v>
          </cell>
          <cell r="O644" t="str">
            <v>A (NS)</v>
          </cell>
        </row>
        <row r="645">
          <cell r="A645">
            <v>13587</v>
          </cell>
          <cell r="B645" t="str">
            <v>AFIT RIYANI</v>
          </cell>
          <cell r="C645" t="str">
            <v>SAMI</v>
          </cell>
          <cell r="D645" t="str">
            <v>OPT-344</v>
          </cell>
          <cell r="E645">
            <v>40962</v>
          </cell>
          <cell r="F645" t="str">
            <v>-</v>
          </cell>
          <cell r="G645" t="str">
            <v>-</v>
          </cell>
          <cell r="H645" t="str">
            <v>PP</v>
          </cell>
          <cell r="I645" t="str">
            <v>SWCT</v>
          </cell>
          <cell r="J645" t="str">
            <v>ALL</v>
          </cell>
          <cell r="K645" t="str">
            <v>ALL</v>
          </cell>
          <cell r="L645" t="str">
            <v>SWCT</v>
          </cell>
          <cell r="M645" t="str">
            <v>DOKUMEN</v>
          </cell>
          <cell r="N645" t="str">
            <v>PROCESS ENG</v>
          </cell>
          <cell r="O645" t="str">
            <v>A (NS)</v>
          </cell>
        </row>
        <row r="646">
          <cell r="A646">
            <v>13592</v>
          </cell>
          <cell r="B646" t="str">
            <v>KIRNA PUJI UTAMI</v>
          </cell>
          <cell r="C646" t="str">
            <v>SAMI</v>
          </cell>
          <cell r="D646" t="str">
            <v>OPT-344</v>
          </cell>
          <cell r="E646">
            <v>40962</v>
          </cell>
          <cell r="F646" t="str">
            <v>-</v>
          </cell>
          <cell r="G646" t="str">
            <v>-</v>
          </cell>
          <cell r="H646" t="str">
            <v>PP</v>
          </cell>
          <cell r="I646" t="str">
            <v>PP-2</v>
          </cell>
          <cell r="J646" t="str">
            <v>ALL</v>
          </cell>
          <cell r="K646" t="str">
            <v>ALL</v>
          </cell>
          <cell r="L646" t="str">
            <v>PROTOTYPE-2</v>
          </cell>
          <cell r="M646" t="str">
            <v>INSPECTION</v>
          </cell>
          <cell r="N646" t="str">
            <v>PROTO</v>
          </cell>
          <cell r="O646" t="str">
            <v>A (NS)</v>
          </cell>
        </row>
        <row r="647">
          <cell r="A647">
            <v>5702</v>
          </cell>
          <cell r="B647" t="str">
            <v>FURSIAM</v>
          </cell>
          <cell r="C647" t="str">
            <v>SAMI</v>
          </cell>
          <cell r="D647" t="str">
            <v>OPT-134</v>
          </cell>
          <cell r="E647">
            <v>39098</v>
          </cell>
          <cell r="F647" t="str">
            <v>-</v>
          </cell>
          <cell r="G647" t="str">
            <v>-</v>
          </cell>
          <cell r="H647" t="str">
            <v>PP</v>
          </cell>
          <cell r="I647" t="str">
            <v>PP-1</v>
          </cell>
          <cell r="J647" t="str">
            <v>ALL</v>
          </cell>
          <cell r="K647" t="str">
            <v>ALL</v>
          </cell>
          <cell r="L647" t="str">
            <v>PP-1</v>
          </cell>
          <cell r="M647" t="str">
            <v>ANALISYS</v>
          </cell>
          <cell r="N647" t="str">
            <v>PROCESS ENG</v>
          </cell>
          <cell r="O647" t="str">
            <v>A (NS)</v>
          </cell>
        </row>
        <row r="648">
          <cell r="A648">
            <v>5710</v>
          </cell>
          <cell r="B648" t="str">
            <v>KHUTMAWATI</v>
          </cell>
          <cell r="C648" t="str">
            <v>SAMI</v>
          </cell>
          <cell r="D648" t="str">
            <v>OPT-134</v>
          </cell>
          <cell r="E648">
            <v>39098</v>
          </cell>
          <cell r="F648" t="str">
            <v>-</v>
          </cell>
          <cell r="G648" t="str">
            <v>-</v>
          </cell>
          <cell r="H648" t="str">
            <v>PRD</v>
          </cell>
          <cell r="I648" t="str">
            <v>PRD</v>
          </cell>
          <cell r="J648" t="str">
            <v>DYNA</v>
          </cell>
          <cell r="K648" t="str">
            <v>DYNA</v>
          </cell>
          <cell r="L648" t="str">
            <v>AIRBAG DYNA PA</v>
          </cell>
          <cell r="M648" t="str">
            <v>MC1-AB-01</v>
          </cell>
          <cell r="N648" t="str">
            <v>WFAP 2.1</v>
          </cell>
          <cell r="O648" t="str">
            <v>A</v>
          </cell>
        </row>
        <row r="649">
          <cell r="A649">
            <v>8683</v>
          </cell>
          <cell r="B649" t="str">
            <v>FITRI FATIKAH</v>
          </cell>
          <cell r="C649" t="str">
            <v>SAMI</v>
          </cell>
          <cell r="D649" t="str">
            <v>OPT-190</v>
          </cell>
          <cell r="E649">
            <v>39888</v>
          </cell>
          <cell r="F649" t="str">
            <v>-</v>
          </cell>
          <cell r="G649" t="str">
            <v>-</v>
          </cell>
          <cell r="H649" t="str">
            <v>PRD</v>
          </cell>
          <cell r="I649" t="str">
            <v>PRD</v>
          </cell>
          <cell r="J649" t="str">
            <v>DYNA</v>
          </cell>
          <cell r="K649" t="str">
            <v>DYNA</v>
          </cell>
          <cell r="L649" t="str">
            <v>AIRBAG DYNA PA</v>
          </cell>
          <cell r="M649" t="str">
            <v>INSP CUTTING</v>
          </cell>
          <cell r="N649" t="str">
            <v>P/A INSPECTOR</v>
          </cell>
          <cell r="O649" t="str">
            <v>A</v>
          </cell>
        </row>
        <row r="650">
          <cell r="A650">
            <v>11026</v>
          </cell>
          <cell r="B650" t="str">
            <v>SITI NURHIDAYATI EVY ANISA</v>
          </cell>
          <cell r="C650" t="str">
            <v>SAMI</v>
          </cell>
          <cell r="D650" t="str">
            <v>OPT-287</v>
          </cell>
          <cell r="E650">
            <v>40585</v>
          </cell>
          <cell r="F650" t="str">
            <v>-</v>
          </cell>
          <cell r="G650" t="str">
            <v>-</v>
          </cell>
          <cell r="H650" t="str">
            <v>PRD</v>
          </cell>
          <cell r="I650" t="str">
            <v>PRD</v>
          </cell>
          <cell r="J650" t="str">
            <v>DYNA</v>
          </cell>
          <cell r="K650" t="str">
            <v>DYNA</v>
          </cell>
          <cell r="L650" t="str">
            <v>AIRBAG DYNA PA</v>
          </cell>
          <cell r="M650" t="str">
            <v>AC90-AB-01</v>
          </cell>
          <cell r="N650" t="str">
            <v>CUTTING WIRE</v>
          </cell>
          <cell r="O650" t="str">
            <v>A</v>
          </cell>
        </row>
        <row r="651">
          <cell r="A651">
            <v>21731</v>
          </cell>
          <cell r="B651" t="str">
            <v>MIFTACHUL ANWAR</v>
          </cell>
          <cell r="C651" t="str">
            <v>SAMI</v>
          </cell>
          <cell r="D651" t="str">
            <v>OPT-539</v>
          </cell>
          <cell r="E651">
            <v>43087</v>
          </cell>
          <cell r="F651">
            <v>43118</v>
          </cell>
          <cell r="G651">
            <v>43496</v>
          </cell>
          <cell r="H651" t="str">
            <v>PRD</v>
          </cell>
          <cell r="I651" t="str">
            <v>PRD</v>
          </cell>
          <cell r="J651" t="str">
            <v>DYNA</v>
          </cell>
          <cell r="K651" t="str">
            <v>DYNA</v>
          </cell>
          <cell r="L651" t="str">
            <v>AIRBAG DYNA PA</v>
          </cell>
          <cell r="M651" t="str">
            <v>HELPER CUTTING</v>
          </cell>
          <cell r="N651" t="str">
            <v>F/A CONTROLLER</v>
          </cell>
          <cell r="O651" t="str">
            <v>A</v>
          </cell>
        </row>
        <row r="652">
          <cell r="A652">
            <v>23107</v>
          </cell>
          <cell r="B652" t="str">
            <v>DIAH AINUROHMAH</v>
          </cell>
          <cell r="C652" t="str">
            <v>SAMI</v>
          </cell>
          <cell r="D652" t="str">
            <v>OPT-570</v>
          </cell>
          <cell r="E652">
            <v>43369</v>
          </cell>
          <cell r="F652">
            <v>43399</v>
          </cell>
          <cell r="G652">
            <v>43769</v>
          </cell>
          <cell r="H652" t="str">
            <v>PRD</v>
          </cell>
          <cell r="I652" t="str">
            <v>PRD</v>
          </cell>
          <cell r="J652" t="str">
            <v>DYNA</v>
          </cell>
          <cell r="K652" t="str">
            <v>DYNA</v>
          </cell>
          <cell r="L652" t="str">
            <v>AIRBAG DYNA PA</v>
          </cell>
          <cell r="M652" t="str">
            <v>TWS-AB-04</v>
          </cell>
          <cell r="N652" t="str">
            <v>WFAP 2.2</v>
          </cell>
          <cell r="O652" t="str">
            <v>A</v>
          </cell>
        </row>
        <row r="653">
          <cell r="A653">
            <v>23331</v>
          </cell>
          <cell r="B653" t="str">
            <v>MAGHFIROTUN KHASANAH</v>
          </cell>
          <cell r="C653" t="str">
            <v>SAMI</v>
          </cell>
          <cell r="D653" t="str">
            <v>OPT-574</v>
          </cell>
          <cell r="E653">
            <v>43427</v>
          </cell>
          <cell r="F653">
            <v>43457</v>
          </cell>
          <cell r="G653">
            <v>43830</v>
          </cell>
          <cell r="H653" t="str">
            <v>PRD</v>
          </cell>
          <cell r="I653" t="str">
            <v>PRD</v>
          </cell>
          <cell r="J653" t="str">
            <v>DYNA</v>
          </cell>
          <cell r="K653" t="str">
            <v>DYNA</v>
          </cell>
          <cell r="L653" t="str">
            <v>AIRBAG DYNA PA</v>
          </cell>
          <cell r="M653" t="str">
            <v>MC1-AB-01</v>
          </cell>
          <cell r="N653" t="str">
            <v>WFAP 2.1</v>
          </cell>
          <cell r="O653" t="str">
            <v>A</v>
          </cell>
        </row>
        <row r="654">
          <cell r="A654">
            <v>365</v>
          </cell>
          <cell r="B654" t="str">
            <v>DWI FAJAR RINI</v>
          </cell>
          <cell r="C654" t="str">
            <v>SAMI</v>
          </cell>
          <cell r="D654" t="str">
            <v>OPT-10</v>
          </cell>
          <cell r="E654">
            <v>37732</v>
          </cell>
          <cell r="F654" t="str">
            <v>-</v>
          </cell>
          <cell r="G654" t="str">
            <v>-</v>
          </cell>
          <cell r="H654" t="str">
            <v>PRD</v>
          </cell>
          <cell r="I654" t="str">
            <v>PRD</v>
          </cell>
          <cell r="J654" t="str">
            <v>DYNA</v>
          </cell>
          <cell r="K654" t="str">
            <v>DYNA</v>
          </cell>
          <cell r="L654" t="str">
            <v>AIRBAG DYNA PA</v>
          </cell>
          <cell r="M654" t="str">
            <v>TWS-AB-01, 02</v>
          </cell>
          <cell r="N654" t="str">
            <v>WFAP 2.2</v>
          </cell>
          <cell r="O654" t="str">
            <v>B</v>
          </cell>
        </row>
        <row r="655">
          <cell r="A655">
            <v>9912</v>
          </cell>
          <cell r="B655" t="str">
            <v>AMALIYAH RIZQI</v>
          </cell>
          <cell r="C655" t="str">
            <v>SAMI</v>
          </cell>
          <cell r="D655" t="str">
            <v>OPT-246</v>
          </cell>
          <cell r="E655">
            <v>40431</v>
          </cell>
          <cell r="F655" t="str">
            <v>-</v>
          </cell>
          <cell r="G655" t="str">
            <v>-</v>
          </cell>
          <cell r="H655" t="str">
            <v>PRD</v>
          </cell>
          <cell r="I655" t="str">
            <v>PRD</v>
          </cell>
          <cell r="J655" t="str">
            <v>DYNA</v>
          </cell>
          <cell r="K655" t="str">
            <v>DYNA</v>
          </cell>
          <cell r="L655" t="str">
            <v>AIRBAG DYNA PA</v>
          </cell>
          <cell r="M655" t="str">
            <v>MC1-AB-02</v>
          </cell>
          <cell r="N655" t="str">
            <v>WFAP 2.1</v>
          </cell>
          <cell r="O655" t="str">
            <v>B</v>
          </cell>
        </row>
        <row r="656">
          <cell r="A656">
            <v>11393</v>
          </cell>
          <cell r="B656" t="str">
            <v>SOFIYAH</v>
          </cell>
          <cell r="C656" t="str">
            <v>SAMI</v>
          </cell>
          <cell r="D656" t="str">
            <v>OPT-305</v>
          </cell>
          <cell r="E656">
            <v>40700</v>
          </cell>
          <cell r="F656" t="str">
            <v>-</v>
          </cell>
          <cell r="G656" t="str">
            <v>-</v>
          </cell>
          <cell r="H656" t="str">
            <v>PRD</v>
          </cell>
          <cell r="I656" t="str">
            <v>PRD</v>
          </cell>
          <cell r="J656" t="str">
            <v>DYNA</v>
          </cell>
          <cell r="K656" t="str">
            <v>DYNA</v>
          </cell>
          <cell r="L656" t="str">
            <v>AIRBAG DYNA PA</v>
          </cell>
          <cell r="M656" t="str">
            <v>INSP PRE ASSY</v>
          </cell>
          <cell r="N656" t="str">
            <v>P/A INSPECTOR</v>
          </cell>
          <cell r="O656" t="str">
            <v>B</v>
          </cell>
        </row>
        <row r="657">
          <cell r="A657">
            <v>13078</v>
          </cell>
          <cell r="B657" t="str">
            <v>EKA DESYANA</v>
          </cell>
          <cell r="C657" t="str">
            <v>SAMI</v>
          </cell>
          <cell r="D657" t="str">
            <v>OPT-327</v>
          </cell>
          <cell r="E657">
            <v>40861</v>
          </cell>
          <cell r="F657" t="str">
            <v>-</v>
          </cell>
          <cell r="G657" t="str">
            <v>-</v>
          </cell>
          <cell r="H657" t="str">
            <v>PRD</v>
          </cell>
          <cell r="I657" t="str">
            <v>PRD</v>
          </cell>
          <cell r="J657" t="str">
            <v>DYNA</v>
          </cell>
          <cell r="K657" t="str">
            <v>DYNA</v>
          </cell>
          <cell r="L657" t="str">
            <v>AIRBAG DYNA PA</v>
          </cell>
          <cell r="M657" t="str">
            <v>AC90-AB-03</v>
          </cell>
          <cell r="N657" t="str">
            <v>CUTTING WIRE</v>
          </cell>
          <cell r="O657" t="str">
            <v>B</v>
          </cell>
        </row>
        <row r="658">
          <cell r="A658">
            <v>20559</v>
          </cell>
          <cell r="B658" t="str">
            <v>ANITA WAHYUNINGRUM</v>
          </cell>
          <cell r="C658" t="str">
            <v>SAMI</v>
          </cell>
          <cell r="D658" t="str">
            <v>OPT-505</v>
          </cell>
          <cell r="E658">
            <v>42639</v>
          </cell>
          <cell r="F658">
            <v>43132</v>
          </cell>
          <cell r="G658">
            <v>43496</v>
          </cell>
          <cell r="H658" t="str">
            <v>PRD</v>
          </cell>
          <cell r="I658" t="str">
            <v>PRD</v>
          </cell>
          <cell r="J658" t="str">
            <v>DYNA</v>
          </cell>
          <cell r="K658" t="str">
            <v>DYNA</v>
          </cell>
          <cell r="L658" t="str">
            <v>AIRBAG DYNA PA</v>
          </cell>
          <cell r="M658" t="str">
            <v>TWS-AB-01</v>
          </cell>
          <cell r="N658" t="str">
            <v>WFAP 2.2</v>
          </cell>
          <cell r="O658" t="str">
            <v>B</v>
          </cell>
        </row>
        <row r="659">
          <cell r="A659">
            <v>22201</v>
          </cell>
          <cell r="B659" t="str">
            <v>SLAMET SUBKHI</v>
          </cell>
          <cell r="C659" t="str">
            <v>SAMI</v>
          </cell>
          <cell r="D659" t="str">
            <v>OPT-550</v>
          </cell>
          <cell r="E659">
            <v>43158</v>
          </cell>
          <cell r="F659">
            <v>43186</v>
          </cell>
          <cell r="G659">
            <v>43555</v>
          </cell>
          <cell r="H659" t="str">
            <v>PRD</v>
          </cell>
          <cell r="I659" t="str">
            <v>PRD</v>
          </cell>
          <cell r="J659" t="str">
            <v>DYNA</v>
          </cell>
          <cell r="K659" t="str">
            <v>DYNA</v>
          </cell>
          <cell r="L659" t="str">
            <v>AIRBAG DYNA PA</v>
          </cell>
          <cell r="M659" t="str">
            <v>HELPER CUTTING</v>
          </cell>
          <cell r="N659" t="str">
            <v>P/A CONTROLLER</v>
          </cell>
          <cell r="O659" t="str">
            <v>B</v>
          </cell>
        </row>
        <row r="660">
          <cell r="A660">
            <v>23475</v>
          </cell>
          <cell r="B660" t="str">
            <v>TRI OKTAVIYANA</v>
          </cell>
          <cell r="C660" t="str">
            <v>SAMI</v>
          </cell>
          <cell r="D660" t="str">
            <v>OPT-575</v>
          </cell>
          <cell r="E660">
            <v>43434</v>
          </cell>
          <cell r="F660">
            <v>43464</v>
          </cell>
          <cell r="G660">
            <v>43830</v>
          </cell>
          <cell r="H660" t="str">
            <v>PRD</v>
          </cell>
          <cell r="I660" t="str">
            <v>PRD</v>
          </cell>
          <cell r="J660" t="str">
            <v>DYNA</v>
          </cell>
          <cell r="K660" t="str">
            <v>DYNA</v>
          </cell>
          <cell r="L660" t="str">
            <v>AIRBAG DYNA PA</v>
          </cell>
          <cell r="M660" t="str">
            <v>WT</v>
          </cell>
          <cell r="N660" t="str">
            <v>P/A CONTROLLER</v>
          </cell>
          <cell r="O660" t="str">
            <v>B</v>
          </cell>
        </row>
        <row r="661">
          <cell r="A661">
            <v>263</v>
          </cell>
          <cell r="B661" t="str">
            <v>RIRIN ARIYANTI</v>
          </cell>
          <cell r="C661" t="str">
            <v>SAMI</v>
          </cell>
          <cell r="D661" t="str">
            <v>OPT-7</v>
          </cell>
          <cell r="E661">
            <v>37704</v>
          </cell>
          <cell r="F661" t="str">
            <v>-</v>
          </cell>
          <cell r="G661" t="str">
            <v>-</v>
          </cell>
          <cell r="H661" t="str">
            <v>PRD</v>
          </cell>
          <cell r="I661" t="str">
            <v>PRD</v>
          </cell>
          <cell r="J661" t="str">
            <v>BATTERY CABLE</v>
          </cell>
          <cell r="K661" t="str">
            <v>BATTERY CABLE</v>
          </cell>
          <cell r="L661" t="str">
            <v>BATTERY CABLE NEW</v>
          </cell>
          <cell r="M661" t="str">
            <v>INSP CUTTING</v>
          </cell>
          <cell r="N661" t="str">
            <v>P/A INSPECTOR</v>
          </cell>
          <cell r="O661" t="str">
            <v>A</v>
          </cell>
        </row>
        <row r="662">
          <cell r="A662">
            <v>10688</v>
          </cell>
          <cell r="B662" t="str">
            <v>TAUFIK PAMUJI R.</v>
          </cell>
          <cell r="C662" t="str">
            <v>SAMI</v>
          </cell>
          <cell r="D662" t="str">
            <v>OPT-279</v>
          </cell>
          <cell r="E662">
            <v>40553</v>
          </cell>
          <cell r="F662" t="str">
            <v>-</v>
          </cell>
          <cell r="G662" t="str">
            <v>-</v>
          </cell>
          <cell r="H662" t="str">
            <v>PRD</v>
          </cell>
          <cell r="I662" t="str">
            <v>PRD</v>
          </cell>
          <cell r="J662" t="str">
            <v>BATTERY CABLE</v>
          </cell>
          <cell r="K662" t="str">
            <v>BATTERY CABLE</v>
          </cell>
          <cell r="L662" t="str">
            <v>BATTERY CABLE NEW</v>
          </cell>
          <cell r="M662" t="str">
            <v>KDR-BC-03</v>
          </cell>
          <cell r="N662" t="str">
            <v>CUTTING WIRE</v>
          </cell>
          <cell r="O662" t="str">
            <v>A</v>
          </cell>
        </row>
        <row r="663">
          <cell r="A663">
            <v>12477</v>
          </cell>
          <cell r="B663" t="str">
            <v>JAYANTO</v>
          </cell>
          <cell r="C663" t="str">
            <v>SAMI</v>
          </cell>
          <cell r="D663" t="str">
            <v>OPT-318</v>
          </cell>
          <cell r="E663">
            <v>40812</v>
          </cell>
          <cell r="F663" t="str">
            <v>-</v>
          </cell>
          <cell r="G663" t="str">
            <v>-</v>
          </cell>
          <cell r="H663" t="str">
            <v>PRD</v>
          </cell>
          <cell r="I663" t="str">
            <v>PRD</v>
          </cell>
          <cell r="J663" t="str">
            <v>BATTERY CABLE</v>
          </cell>
          <cell r="K663" t="str">
            <v>BATTERY CABLE</v>
          </cell>
          <cell r="L663" t="str">
            <v>BATTERY CABLE NEW</v>
          </cell>
          <cell r="M663" t="str">
            <v>SUB LINE CHO</v>
          </cell>
          <cell r="N663" t="str">
            <v>GL</v>
          </cell>
          <cell r="O663" t="str">
            <v>A</v>
          </cell>
        </row>
        <row r="664">
          <cell r="A664">
            <v>12565</v>
          </cell>
          <cell r="B664" t="str">
            <v>VIVIN KUSTANTIAH</v>
          </cell>
          <cell r="C664" t="str">
            <v>SAMI</v>
          </cell>
          <cell r="D664" t="str">
            <v>OPT-318</v>
          </cell>
          <cell r="E664">
            <v>40812</v>
          </cell>
          <cell r="F664" t="str">
            <v>-</v>
          </cell>
          <cell r="G664" t="str">
            <v>-</v>
          </cell>
          <cell r="H664" t="str">
            <v>PRD</v>
          </cell>
          <cell r="I664" t="str">
            <v>PRD</v>
          </cell>
          <cell r="J664" t="str">
            <v>BATTERY CABLE</v>
          </cell>
          <cell r="K664" t="str">
            <v>BATTERY CABLE</v>
          </cell>
          <cell r="L664" t="str">
            <v>BATTERY CABLE NEW</v>
          </cell>
          <cell r="M664" t="str">
            <v>INSP PRE ASSY</v>
          </cell>
          <cell r="N664" t="str">
            <v>P/A INSPECTOR</v>
          </cell>
          <cell r="O664" t="str">
            <v>A</v>
          </cell>
        </row>
        <row r="665">
          <cell r="A665">
            <v>14896</v>
          </cell>
          <cell r="B665" t="str">
            <v>ARI WAHYUDI</v>
          </cell>
          <cell r="C665" t="str">
            <v>SAMI</v>
          </cell>
          <cell r="D665" t="str">
            <v>OPT-379</v>
          </cell>
          <cell r="E665">
            <v>41407</v>
          </cell>
          <cell r="F665" t="str">
            <v>-</v>
          </cell>
          <cell r="G665" t="str">
            <v>-</v>
          </cell>
          <cell r="H665" t="str">
            <v>PRD</v>
          </cell>
          <cell r="I665" t="str">
            <v>PRD</v>
          </cell>
          <cell r="J665" t="str">
            <v>BATTERY CABLE</v>
          </cell>
          <cell r="K665" t="str">
            <v>BATTERY CABLE</v>
          </cell>
          <cell r="L665" t="str">
            <v>BATTERY CABLE NEW</v>
          </cell>
          <cell r="M665" t="str">
            <v>MEC-BC-01</v>
          </cell>
          <cell r="N665" t="str">
            <v>WFAP 2.2</v>
          </cell>
          <cell r="O665" t="str">
            <v>A</v>
          </cell>
        </row>
        <row r="666">
          <cell r="A666">
            <v>16561</v>
          </cell>
          <cell r="B666" t="str">
            <v xml:space="preserve">MUHAMAD TOHA </v>
          </cell>
          <cell r="C666" t="str">
            <v>SAMI</v>
          </cell>
          <cell r="D666" t="str">
            <v>OPT-421</v>
          </cell>
          <cell r="E666">
            <v>41667</v>
          </cell>
          <cell r="F666" t="str">
            <v>-</v>
          </cell>
          <cell r="G666" t="str">
            <v>-</v>
          </cell>
          <cell r="H666" t="str">
            <v>PRD</v>
          </cell>
          <cell r="I666" t="str">
            <v>PRD</v>
          </cell>
          <cell r="J666" t="str">
            <v>BATTERY CABLE</v>
          </cell>
          <cell r="K666" t="str">
            <v>BATTERY CABLE</v>
          </cell>
          <cell r="L666" t="str">
            <v>BATTERY CABLE NEW</v>
          </cell>
          <cell r="M666" t="str">
            <v xml:space="preserve"> MS-BC-01</v>
          </cell>
          <cell r="N666" t="str">
            <v>CUTTING WIRE</v>
          </cell>
          <cell r="O666" t="str">
            <v>A</v>
          </cell>
        </row>
        <row r="667">
          <cell r="A667">
            <v>16908</v>
          </cell>
          <cell r="B667" t="str">
            <v>NUR WAHYUDI</v>
          </cell>
          <cell r="C667" t="str">
            <v>SAMI</v>
          </cell>
          <cell r="D667" t="str">
            <v>OPT-431</v>
          </cell>
          <cell r="E667">
            <v>41710</v>
          </cell>
          <cell r="F667" t="str">
            <v>-</v>
          </cell>
          <cell r="G667" t="str">
            <v>-</v>
          </cell>
          <cell r="H667" t="str">
            <v>PRD</v>
          </cell>
          <cell r="I667" t="str">
            <v>PRD</v>
          </cell>
          <cell r="J667" t="str">
            <v>BATTERY CABLE</v>
          </cell>
          <cell r="K667" t="str">
            <v>BATTERY CABLE</v>
          </cell>
          <cell r="L667" t="str">
            <v>BATTERY CABLE NEW</v>
          </cell>
          <cell r="M667" t="str">
            <v>MC3-BC-01,02</v>
          </cell>
          <cell r="N667" t="str">
            <v>WFAP 2.1</v>
          </cell>
          <cell r="O667" t="str">
            <v>A</v>
          </cell>
        </row>
        <row r="668">
          <cell r="A668">
            <v>16978</v>
          </cell>
          <cell r="B668" t="str">
            <v>ARI YULIYANTO</v>
          </cell>
          <cell r="C668" t="str">
            <v>SAMI</v>
          </cell>
          <cell r="D668" t="str">
            <v>OPT-437</v>
          </cell>
          <cell r="E668">
            <v>41744</v>
          </cell>
          <cell r="F668" t="str">
            <v>-</v>
          </cell>
          <cell r="G668" t="str">
            <v>-</v>
          </cell>
          <cell r="H668" t="str">
            <v>PRD</v>
          </cell>
          <cell r="I668" t="str">
            <v>PRD</v>
          </cell>
          <cell r="J668" t="str">
            <v>BATTERY CABLE</v>
          </cell>
          <cell r="K668" t="str">
            <v>BATTERY CABLE</v>
          </cell>
          <cell r="L668" t="str">
            <v>BATTERY CABLE NEW</v>
          </cell>
          <cell r="M668" t="str">
            <v>P-BC-03</v>
          </cell>
          <cell r="N668" t="str">
            <v>WFAP 2.1</v>
          </cell>
          <cell r="O668" t="str">
            <v>A</v>
          </cell>
        </row>
        <row r="669">
          <cell r="A669">
            <v>19063</v>
          </cell>
          <cell r="B669" t="str">
            <v>MUHAMMAD AINUR ROFIQ</v>
          </cell>
          <cell r="C669" t="str">
            <v>SAMI</v>
          </cell>
          <cell r="D669" t="str">
            <v>OPT-473</v>
          </cell>
          <cell r="E669">
            <v>42226</v>
          </cell>
          <cell r="F669" t="str">
            <v>-</v>
          </cell>
          <cell r="G669" t="str">
            <v>-</v>
          </cell>
          <cell r="H669" t="str">
            <v>PRD</v>
          </cell>
          <cell r="I669" t="str">
            <v>PRD</v>
          </cell>
          <cell r="J669" t="str">
            <v>BATTERY CABLE</v>
          </cell>
          <cell r="K669" t="str">
            <v>BATTERY CABLE</v>
          </cell>
          <cell r="L669" t="str">
            <v>BATTERY CABLE NEW</v>
          </cell>
          <cell r="M669" t="str">
            <v>P-BC-02</v>
          </cell>
          <cell r="N669" t="str">
            <v>WFAP 2.1</v>
          </cell>
          <cell r="O669" t="str">
            <v>A</v>
          </cell>
        </row>
        <row r="670">
          <cell r="A670">
            <v>19137</v>
          </cell>
          <cell r="B670" t="str">
            <v>MUHAMMAD AZIS</v>
          </cell>
          <cell r="C670" t="str">
            <v>SAMI</v>
          </cell>
          <cell r="D670" t="str">
            <v>OPT-475</v>
          </cell>
          <cell r="E670">
            <v>42254</v>
          </cell>
          <cell r="F670" t="str">
            <v>-</v>
          </cell>
          <cell r="G670" t="str">
            <v>-</v>
          </cell>
          <cell r="H670" t="str">
            <v>PRD</v>
          </cell>
          <cell r="I670" t="str">
            <v>PRD</v>
          </cell>
          <cell r="J670" t="str">
            <v>BATTERY CABLE</v>
          </cell>
          <cell r="K670" t="str">
            <v>BATTERY CABLE</v>
          </cell>
          <cell r="L670" t="str">
            <v>BATTERY CABLE NEW</v>
          </cell>
          <cell r="M670" t="str">
            <v>P-BC-01</v>
          </cell>
          <cell r="N670" t="str">
            <v>WFAP 2.1</v>
          </cell>
          <cell r="O670" t="str">
            <v>A</v>
          </cell>
        </row>
        <row r="671">
          <cell r="A671">
            <v>20594</v>
          </cell>
          <cell r="B671" t="str">
            <v>ICHA THARYIKYAH HIKMAH</v>
          </cell>
          <cell r="C671" t="str">
            <v>SAMI</v>
          </cell>
          <cell r="D671" t="str">
            <v>OPT-505</v>
          </cell>
          <cell r="E671">
            <v>42639</v>
          </cell>
          <cell r="F671">
            <v>43132</v>
          </cell>
          <cell r="G671">
            <v>43496</v>
          </cell>
          <cell r="H671" t="str">
            <v>PRD</v>
          </cell>
          <cell r="I671" t="str">
            <v>PRD</v>
          </cell>
          <cell r="J671" t="str">
            <v>BATTERY CABLE</v>
          </cell>
          <cell r="K671" t="str">
            <v>BATTERY CABLE</v>
          </cell>
          <cell r="L671" t="str">
            <v>BATTERY CABLE NEW</v>
          </cell>
          <cell r="M671" t="str">
            <v>INSP PRE ASSY</v>
          </cell>
          <cell r="N671" t="str">
            <v>P/A INSPECTOR</v>
          </cell>
          <cell r="O671" t="str">
            <v>A</v>
          </cell>
        </row>
        <row r="672">
          <cell r="A672">
            <v>20614</v>
          </cell>
          <cell r="B672" t="str">
            <v>MINAKHUS TSANIA</v>
          </cell>
          <cell r="C672" t="str">
            <v>SAMI</v>
          </cell>
          <cell r="D672" t="str">
            <v>OPT-505</v>
          </cell>
          <cell r="E672">
            <v>42639</v>
          </cell>
          <cell r="F672">
            <v>43132</v>
          </cell>
          <cell r="G672">
            <v>43496</v>
          </cell>
          <cell r="H672" t="str">
            <v>PRD</v>
          </cell>
          <cell r="I672" t="str">
            <v>PRD</v>
          </cell>
          <cell r="J672" t="str">
            <v>BATTERY CABLE</v>
          </cell>
          <cell r="K672" t="str">
            <v>BATTERY CABLE</v>
          </cell>
          <cell r="L672" t="str">
            <v>BATTERY CABLE NEW</v>
          </cell>
          <cell r="M672" t="str">
            <v>ASM</v>
          </cell>
          <cell r="N672" t="str">
            <v>ASSEMBLY</v>
          </cell>
          <cell r="O672" t="str">
            <v>A</v>
          </cell>
        </row>
        <row r="673">
          <cell r="A673">
            <v>20656</v>
          </cell>
          <cell r="B673" t="str">
            <v xml:space="preserve">SITI INAYATI </v>
          </cell>
          <cell r="C673" t="str">
            <v>SAMI</v>
          </cell>
          <cell r="D673" t="str">
            <v>OPT-505</v>
          </cell>
          <cell r="E673">
            <v>42639</v>
          </cell>
          <cell r="F673">
            <v>43132</v>
          </cell>
          <cell r="G673">
            <v>43496</v>
          </cell>
          <cell r="H673" t="str">
            <v>PRD</v>
          </cell>
          <cell r="I673" t="str">
            <v>PRD</v>
          </cell>
          <cell r="J673" t="str">
            <v>BATTERY CABLE</v>
          </cell>
          <cell r="K673" t="str">
            <v>BATTERY CABLE</v>
          </cell>
          <cell r="L673" t="str">
            <v>BATTERY CABLE NEW</v>
          </cell>
          <cell r="M673" t="str">
            <v>RYC-BC-01, DRY-BC-01</v>
          </cell>
          <cell r="N673" t="str">
            <v>WFAP 2.2</v>
          </cell>
          <cell r="O673" t="str">
            <v>A</v>
          </cell>
        </row>
        <row r="674">
          <cell r="A674">
            <v>21674</v>
          </cell>
          <cell r="B674" t="str">
            <v>RISKIA YULIAWANTI</v>
          </cell>
          <cell r="C674" t="str">
            <v>SAMI</v>
          </cell>
          <cell r="D674" t="str">
            <v>OPT-537</v>
          </cell>
          <cell r="E674">
            <v>43055</v>
          </cell>
          <cell r="F674">
            <v>43466</v>
          </cell>
          <cell r="G674">
            <v>43830</v>
          </cell>
          <cell r="H674" t="str">
            <v>PRD</v>
          </cell>
          <cell r="I674" t="str">
            <v>PRD</v>
          </cell>
          <cell r="J674" t="str">
            <v>BATTERY CABLE</v>
          </cell>
          <cell r="K674" t="str">
            <v>BATTERY CABLE</v>
          </cell>
          <cell r="L674" t="str">
            <v>BATTERY CABLE NEW</v>
          </cell>
          <cell r="M674" t="str">
            <v>JC-BC-01, MC3-BC-03</v>
          </cell>
          <cell r="N674" t="str">
            <v>WFAP 2.2</v>
          </cell>
          <cell r="O674" t="str">
            <v>A</v>
          </cell>
        </row>
        <row r="675">
          <cell r="A675">
            <v>21748</v>
          </cell>
          <cell r="B675" t="str">
            <v>SYAHRUL HASAN BISRI</v>
          </cell>
          <cell r="C675" t="str">
            <v>SAMI</v>
          </cell>
          <cell r="D675" t="str">
            <v>OPT-539</v>
          </cell>
          <cell r="E675">
            <v>43087</v>
          </cell>
          <cell r="F675">
            <v>43118</v>
          </cell>
          <cell r="G675">
            <v>43496</v>
          </cell>
          <cell r="H675" t="str">
            <v>PRD</v>
          </cell>
          <cell r="I675" t="str">
            <v>PRD</v>
          </cell>
          <cell r="J675" t="str">
            <v>BATTERY CABLE</v>
          </cell>
          <cell r="K675" t="str">
            <v>BATTERY CABLE</v>
          </cell>
          <cell r="L675" t="str">
            <v>BATTERY CABLE NEW</v>
          </cell>
          <cell r="M675" t="str">
            <v>KDR-BC-02</v>
          </cell>
          <cell r="N675" t="str">
            <v>CUTTING WIRE</v>
          </cell>
          <cell r="O675" t="str">
            <v>A</v>
          </cell>
        </row>
        <row r="676">
          <cell r="A676">
            <v>21974</v>
          </cell>
          <cell r="B676" t="str">
            <v>NURUL DWI SETIORINI</v>
          </cell>
          <cell r="C676" t="str">
            <v>SAMI</v>
          </cell>
          <cell r="D676" t="str">
            <v>OPT-545</v>
          </cell>
          <cell r="E676">
            <v>43116</v>
          </cell>
          <cell r="F676">
            <v>43147</v>
          </cell>
          <cell r="G676">
            <v>43524</v>
          </cell>
          <cell r="H676" t="str">
            <v>PRD</v>
          </cell>
          <cell r="I676" t="str">
            <v>PRD</v>
          </cell>
          <cell r="J676" t="str">
            <v>BATTERY CABLE</v>
          </cell>
          <cell r="K676" t="str">
            <v>BATTERY CABLE</v>
          </cell>
          <cell r="L676" t="str">
            <v>BATTERY CABLE NEW</v>
          </cell>
          <cell r="M676" t="str">
            <v>AI-01, DRY-BC-01</v>
          </cell>
          <cell r="N676" t="str">
            <v>WFAP 2.1</v>
          </cell>
          <cell r="O676" t="str">
            <v>A</v>
          </cell>
        </row>
        <row r="677">
          <cell r="A677">
            <v>22134</v>
          </cell>
          <cell r="B677" t="str">
            <v>MUHAMMAD SAEFUDIN</v>
          </cell>
          <cell r="C677" t="str">
            <v>SAMI</v>
          </cell>
          <cell r="D677" t="str">
            <v>OPT-549</v>
          </cell>
          <cell r="E677">
            <v>43153</v>
          </cell>
          <cell r="F677">
            <v>43181</v>
          </cell>
          <cell r="G677">
            <v>43555</v>
          </cell>
          <cell r="H677" t="str">
            <v>PRD</v>
          </cell>
          <cell r="I677" t="str">
            <v>PRD</v>
          </cell>
          <cell r="J677" t="str">
            <v>BATTERY CABLE</v>
          </cell>
          <cell r="K677" t="str">
            <v>BATTERY CABLE</v>
          </cell>
          <cell r="L677" t="str">
            <v>BATTERY CABLE NEW</v>
          </cell>
          <cell r="M677" t="str">
            <v>P-BC-04</v>
          </cell>
          <cell r="N677" t="str">
            <v>WFAP 2.1</v>
          </cell>
          <cell r="O677" t="str">
            <v>A</v>
          </cell>
        </row>
        <row r="678">
          <cell r="A678">
            <v>22470</v>
          </cell>
          <cell r="B678" t="str">
            <v>SITI INDAH LESTARI</v>
          </cell>
          <cell r="C678" t="str">
            <v>SAMI</v>
          </cell>
          <cell r="D678" t="str">
            <v>OPT-559</v>
          </cell>
          <cell r="E678">
            <v>43220</v>
          </cell>
          <cell r="F678">
            <v>43250</v>
          </cell>
          <cell r="G678">
            <v>43616</v>
          </cell>
          <cell r="H678" t="str">
            <v>PRD</v>
          </cell>
          <cell r="I678" t="str">
            <v>PRD</v>
          </cell>
          <cell r="J678" t="str">
            <v>BATTERY CABLE</v>
          </cell>
          <cell r="K678" t="str">
            <v>BATTERY CABLE</v>
          </cell>
          <cell r="L678" t="str">
            <v>BATTERY CABLE NEW</v>
          </cell>
          <cell r="M678" t="str">
            <v>ASM</v>
          </cell>
          <cell r="N678" t="str">
            <v>ASSEMBLY</v>
          </cell>
          <cell r="O678" t="str">
            <v>A</v>
          </cell>
        </row>
        <row r="679">
          <cell r="A679">
            <v>22660</v>
          </cell>
          <cell r="B679" t="str">
            <v>MIFTAH HIDAYAT</v>
          </cell>
          <cell r="C679" t="str">
            <v>SAMI</v>
          </cell>
          <cell r="D679" t="str">
            <v>OPT-562</v>
          </cell>
          <cell r="E679">
            <v>43241</v>
          </cell>
          <cell r="F679">
            <v>43272</v>
          </cell>
          <cell r="G679">
            <v>43646</v>
          </cell>
          <cell r="H679" t="str">
            <v>PRD</v>
          </cell>
          <cell r="I679" t="str">
            <v>PRD</v>
          </cell>
          <cell r="J679" t="str">
            <v>BATTERY CABLE</v>
          </cell>
          <cell r="K679" t="str">
            <v>BATTERY CABLE</v>
          </cell>
          <cell r="L679" t="str">
            <v>BATTERY CABLE NEW</v>
          </cell>
          <cell r="M679" t="str">
            <v>KDR-BC-01</v>
          </cell>
          <cell r="N679" t="str">
            <v>CUTTING WIRE</v>
          </cell>
          <cell r="O679" t="str">
            <v>A</v>
          </cell>
        </row>
        <row r="680">
          <cell r="A680">
            <v>23139</v>
          </cell>
          <cell r="B680" t="str">
            <v>MUHAMMAD RAIS AMINUDIN</v>
          </cell>
          <cell r="C680" t="str">
            <v>SAMI</v>
          </cell>
          <cell r="D680" t="str">
            <v>OPT-570</v>
          </cell>
          <cell r="E680">
            <v>43369</v>
          </cell>
          <cell r="F680">
            <v>43399</v>
          </cell>
          <cell r="G680">
            <v>43769</v>
          </cell>
          <cell r="H680" t="str">
            <v>PRD</v>
          </cell>
          <cell r="I680" t="str">
            <v>PRD</v>
          </cell>
          <cell r="J680" t="str">
            <v>BATTERY CABLE</v>
          </cell>
          <cell r="K680" t="str">
            <v>BATTERY CABLE</v>
          </cell>
          <cell r="L680" t="str">
            <v>BATTERY CABLE NEW</v>
          </cell>
          <cell r="M680" t="str">
            <v>WT</v>
          </cell>
          <cell r="N680" t="str">
            <v>P/A CONTROLLER</v>
          </cell>
          <cell r="O680" t="str">
            <v>A</v>
          </cell>
        </row>
        <row r="681">
          <cell r="A681">
            <v>23236</v>
          </cell>
          <cell r="B681" t="str">
            <v>KUSUMA WARDANI</v>
          </cell>
          <cell r="C681" t="str">
            <v>SAMI</v>
          </cell>
          <cell r="D681" t="str">
            <v>OPT-573</v>
          </cell>
          <cell r="E681">
            <v>43421</v>
          </cell>
          <cell r="F681">
            <v>43451</v>
          </cell>
          <cell r="G681">
            <v>43830</v>
          </cell>
          <cell r="H681" t="str">
            <v>PRD</v>
          </cell>
          <cell r="I681" t="str">
            <v>PRD</v>
          </cell>
          <cell r="J681" t="str">
            <v>BATTERY CABLE</v>
          </cell>
          <cell r="K681" t="str">
            <v>BATTERY CABLE</v>
          </cell>
          <cell r="L681" t="str">
            <v>BATTERY CABLE NEW</v>
          </cell>
          <cell r="M681" t="str">
            <v>JS-BC-02</v>
          </cell>
          <cell r="N681" t="str">
            <v>WFAP 2.2</v>
          </cell>
          <cell r="O681" t="str">
            <v>A</v>
          </cell>
        </row>
        <row r="682">
          <cell r="A682">
            <v>23319</v>
          </cell>
          <cell r="B682" t="str">
            <v xml:space="preserve">ISNAINI ARISANTI </v>
          </cell>
          <cell r="C682" t="str">
            <v>SAMI</v>
          </cell>
          <cell r="D682" t="str">
            <v>OPT-574</v>
          </cell>
          <cell r="E682">
            <v>43427</v>
          </cell>
          <cell r="F682">
            <v>43457</v>
          </cell>
          <cell r="G682">
            <v>43830</v>
          </cell>
          <cell r="H682" t="str">
            <v>PRD</v>
          </cell>
          <cell r="I682" t="str">
            <v>PRD</v>
          </cell>
          <cell r="J682" t="str">
            <v>BATTERY CABLE</v>
          </cell>
          <cell r="K682" t="str">
            <v>BATTERY CABLE</v>
          </cell>
          <cell r="L682" t="str">
            <v>BATTERY CABLE NEW</v>
          </cell>
          <cell r="M682" t="str">
            <v>OJT JC-BC-01,MC3-BC-03</v>
          </cell>
          <cell r="N682" t="str">
            <v>INTERNAL TRIAL</v>
          </cell>
          <cell r="O682" t="str">
            <v>A</v>
          </cell>
        </row>
        <row r="683">
          <cell r="A683">
            <v>23502</v>
          </cell>
          <cell r="B683" t="str">
            <v xml:space="preserve">HANITA AYU AJRINA </v>
          </cell>
          <cell r="C683" t="str">
            <v>SAMI</v>
          </cell>
          <cell r="D683" t="str">
            <v>OPT-576</v>
          </cell>
          <cell r="E683">
            <v>43441</v>
          </cell>
          <cell r="F683">
            <v>43472</v>
          </cell>
          <cell r="G683">
            <v>43830</v>
          </cell>
          <cell r="H683" t="str">
            <v>PRD</v>
          </cell>
          <cell r="I683" t="str">
            <v>PRD</v>
          </cell>
          <cell r="J683" t="str">
            <v>BATTERY CABLE</v>
          </cell>
          <cell r="K683" t="str">
            <v>BATTERY CABLE</v>
          </cell>
          <cell r="L683" t="str">
            <v>BATTERY CABLE NEW</v>
          </cell>
          <cell r="M683" t="str">
            <v>OJT DRY</v>
          </cell>
          <cell r="N683" t="str">
            <v>INTERNAL TRIAL</v>
          </cell>
          <cell r="O683" t="str">
            <v>A</v>
          </cell>
        </row>
        <row r="684">
          <cell r="A684">
            <v>23503</v>
          </cell>
          <cell r="B684" t="str">
            <v>HANYVAHTISNA YOLAIKA</v>
          </cell>
          <cell r="C684" t="str">
            <v>SAMI</v>
          </cell>
          <cell r="D684" t="str">
            <v>OPT-576</v>
          </cell>
          <cell r="E684">
            <v>43441</v>
          </cell>
          <cell r="F684">
            <v>43472</v>
          </cell>
          <cell r="G684">
            <v>43830</v>
          </cell>
          <cell r="H684" t="str">
            <v>PRD</v>
          </cell>
          <cell r="I684" t="str">
            <v>PRD</v>
          </cell>
          <cell r="J684" t="str">
            <v>BATTERY CABLE</v>
          </cell>
          <cell r="K684" t="str">
            <v>BATTERY CABLE</v>
          </cell>
          <cell r="L684" t="str">
            <v>BATTERY CABLE NEW</v>
          </cell>
          <cell r="M684" t="str">
            <v>OJT ASM 1</v>
          </cell>
          <cell r="N684" t="str">
            <v>INTERNAL TRIAL</v>
          </cell>
          <cell r="O684" t="str">
            <v>A</v>
          </cell>
        </row>
        <row r="685">
          <cell r="A685">
            <v>23606</v>
          </cell>
          <cell r="B685" t="str">
            <v>WILLY SUSENO</v>
          </cell>
          <cell r="C685" t="str">
            <v>SAMI</v>
          </cell>
          <cell r="D685" t="str">
            <v>OPT-577</v>
          </cell>
          <cell r="E685">
            <v>43452</v>
          </cell>
          <cell r="F685">
            <v>43483</v>
          </cell>
          <cell r="G685">
            <v>43861</v>
          </cell>
          <cell r="H685" t="str">
            <v>PRD</v>
          </cell>
          <cell r="I685" t="str">
            <v>PRD</v>
          </cell>
          <cell r="J685" t="str">
            <v>BATTERY CABLE</v>
          </cell>
          <cell r="K685" t="str">
            <v>BATTERY CABLE</v>
          </cell>
          <cell r="L685" t="str">
            <v>BATTERY CABLE NEW</v>
          </cell>
          <cell r="M685" t="str">
            <v>OJT</v>
          </cell>
          <cell r="N685" t="str">
            <v>INTERNAL TRIAL</v>
          </cell>
          <cell r="O685" t="str">
            <v>A</v>
          </cell>
        </row>
        <row r="686">
          <cell r="A686">
            <v>21314</v>
          </cell>
          <cell r="B686" t="str">
            <v>SEPTYA NINGRUM</v>
          </cell>
          <cell r="C686" t="str">
            <v>SAMI</v>
          </cell>
          <cell r="D686" t="str">
            <v>OPT-530</v>
          </cell>
          <cell r="E686">
            <v>43010</v>
          </cell>
          <cell r="F686">
            <v>43405</v>
          </cell>
          <cell r="G686">
            <v>43769</v>
          </cell>
          <cell r="H686" t="str">
            <v>PRD</v>
          </cell>
          <cell r="I686" t="str">
            <v>PRD</v>
          </cell>
          <cell r="J686" t="str">
            <v>BATTERY CABLE</v>
          </cell>
          <cell r="K686" t="str">
            <v>BATTERY CABLE</v>
          </cell>
          <cell r="L686" t="str">
            <v>BATTERY CABLE NEW</v>
          </cell>
          <cell r="M686" t="str">
            <v>AI (Y0C)</v>
          </cell>
          <cell r="N686" t="str">
            <v>WFAP 2.1</v>
          </cell>
          <cell r="O686" t="str">
            <v>A (NS)</v>
          </cell>
        </row>
        <row r="687">
          <cell r="A687">
            <v>9574</v>
          </cell>
          <cell r="B687" t="str">
            <v>ACHMAD HANAFI</v>
          </cell>
          <cell r="C687" t="str">
            <v>SAMI</v>
          </cell>
          <cell r="D687" t="str">
            <v>OPT-218</v>
          </cell>
          <cell r="E687">
            <v>40179</v>
          </cell>
          <cell r="F687" t="str">
            <v>-</v>
          </cell>
          <cell r="G687" t="str">
            <v>-</v>
          </cell>
          <cell r="H687" t="str">
            <v>PRD</v>
          </cell>
          <cell r="I687" t="str">
            <v>PRD</v>
          </cell>
          <cell r="J687" t="str">
            <v>BATTERY CABLE</v>
          </cell>
          <cell r="K687" t="str">
            <v>BATTERY CABLE</v>
          </cell>
          <cell r="L687" t="str">
            <v>BATTERY CABLE NEW</v>
          </cell>
          <cell r="M687" t="str">
            <v>SUB LINE CHO</v>
          </cell>
          <cell r="N687" t="str">
            <v>GL</v>
          </cell>
          <cell r="O687" t="str">
            <v>B</v>
          </cell>
        </row>
        <row r="688">
          <cell r="A688">
            <v>10821</v>
          </cell>
          <cell r="B688" t="str">
            <v>AKHMAD BISRI</v>
          </cell>
          <cell r="C688" t="str">
            <v>SAMI</v>
          </cell>
          <cell r="D688" t="str">
            <v>OPT-283</v>
          </cell>
          <cell r="E688">
            <v>40572</v>
          </cell>
          <cell r="F688" t="str">
            <v>-</v>
          </cell>
          <cell r="G688" t="str">
            <v>-</v>
          </cell>
          <cell r="H688" t="str">
            <v>PRD</v>
          </cell>
          <cell r="I688" t="str">
            <v>PRD</v>
          </cell>
          <cell r="J688" t="str">
            <v>BATTERY CABLE</v>
          </cell>
          <cell r="K688" t="str">
            <v>BATTERY CABLE</v>
          </cell>
          <cell r="L688" t="str">
            <v>BATTERY CABLE NEW</v>
          </cell>
          <cell r="M688" t="str">
            <v>KDR-BC-03</v>
          </cell>
          <cell r="N688" t="str">
            <v>CUTTING WIRE</v>
          </cell>
          <cell r="O688" t="str">
            <v>B</v>
          </cell>
        </row>
        <row r="689">
          <cell r="A689">
            <v>20776</v>
          </cell>
          <cell r="B689" t="str">
            <v>WINDY PARAMITA SUSILOWATI</v>
          </cell>
          <cell r="C689" t="str">
            <v>SAMI</v>
          </cell>
          <cell r="D689" t="str">
            <v>OPT-506</v>
          </cell>
          <cell r="E689">
            <v>42642</v>
          </cell>
          <cell r="F689">
            <v>43132</v>
          </cell>
          <cell r="G689">
            <v>43496</v>
          </cell>
          <cell r="H689" t="str">
            <v>PRD</v>
          </cell>
          <cell r="I689" t="str">
            <v>PRD</v>
          </cell>
          <cell r="J689" t="str">
            <v>BATTERY CABLE</v>
          </cell>
          <cell r="K689" t="str">
            <v>BATTERY CABLE</v>
          </cell>
          <cell r="L689" t="str">
            <v>BATTERY CABLE NEW</v>
          </cell>
          <cell r="M689" t="str">
            <v>ASM-BC-01</v>
          </cell>
          <cell r="N689" t="str">
            <v>ASSEMBLY</v>
          </cell>
          <cell r="O689" t="str">
            <v>B</v>
          </cell>
        </row>
        <row r="690">
          <cell r="A690">
            <v>20901</v>
          </cell>
          <cell r="B690" t="str">
            <v>SOFIAN ARIES</v>
          </cell>
          <cell r="C690" t="str">
            <v>SAMI</v>
          </cell>
          <cell r="D690" t="str">
            <v>OPT-510</v>
          </cell>
          <cell r="E690">
            <v>42660</v>
          </cell>
          <cell r="F690">
            <v>43160</v>
          </cell>
          <cell r="G690">
            <v>43524</v>
          </cell>
          <cell r="H690" t="str">
            <v>PRD</v>
          </cell>
          <cell r="I690" t="str">
            <v>PRD</v>
          </cell>
          <cell r="J690" t="str">
            <v>BATTERY CABLE</v>
          </cell>
          <cell r="K690" t="str">
            <v>BATTERY CABLE</v>
          </cell>
          <cell r="L690" t="str">
            <v>BATTERY CABLE NEW</v>
          </cell>
          <cell r="M690" t="str">
            <v>MS-BC-01</v>
          </cell>
          <cell r="N690" t="str">
            <v>CUTTING WIRE</v>
          </cell>
          <cell r="O690" t="str">
            <v>B</v>
          </cell>
        </row>
        <row r="691">
          <cell r="A691">
            <v>21591</v>
          </cell>
          <cell r="B691" t="str">
            <v>IKHFAR AL AVIST</v>
          </cell>
          <cell r="C691" t="str">
            <v>SAMI</v>
          </cell>
          <cell r="D691" t="str">
            <v>OPT-536</v>
          </cell>
          <cell r="E691">
            <v>43048</v>
          </cell>
          <cell r="F691">
            <v>43435</v>
          </cell>
          <cell r="G691">
            <v>43799</v>
          </cell>
          <cell r="H691" t="str">
            <v>PRD</v>
          </cell>
          <cell r="I691" t="str">
            <v>PRD</v>
          </cell>
          <cell r="J691" t="str">
            <v>BATTERY CABLE</v>
          </cell>
          <cell r="K691" t="str">
            <v>BATTERY CABLE</v>
          </cell>
          <cell r="L691" t="str">
            <v>BATTERY CABLE NEW</v>
          </cell>
          <cell r="M691" t="str">
            <v>P-BC-04</v>
          </cell>
          <cell r="N691" t="str">
            <v>WFAP 2.1</v>
          </cell>
          <cell r="O691" t="str">
            <v>B</v>
          </cell>
        </row>
        <row r="692">
          <cell r="A692">
            <v>21682</v>
          </cell>
          <cell r="B692" t="str">
            <v>SUSI LISMAWATI</v>
          </cell>
          <cell r="C692" t="str">
            <v>SAMI</v>
          </cell>
          <cell r="D692" t="str">
            <v>OPT-537</v>
          </cell>
          <cell r="E692">
            <v>43055</v>
          </cell>
          <cell r="F692">
            <v>43466</v>
          </cell>
          <cell r="G692">
            <v>43830</v>
          </cell>
          <cell r="H692" t="str">
            <v>PRD</v>
          </cell>
          <cell r="I692" t="str">
            <v>PRD</v>
          </cell>
          <cell r="J692" t="str">
            <v>BATTERY CABLE</v>
          </cell>
          <cell r="K692" t="str">
            <v>BATTERY CABLE</v>
          </cell>
          <cell r="L692" t="str">
            <v>BATTERY CABLE NEW</v>
          </cell>
          <cell r="M692" t="str">
            <v>AI-BC-01</v>
          </cell>
          <cell r="N692" t="str">
            <v>WFAP 2.1</v>
          </cell>
          <cell r="O692" t="str">
            <v>B</v>
          </cell>
        </row>
        <row r="693">
          <cell r="A693">
            <v>21700</v>
          </cell>
          <cell r="B693" t="str">
            <v>ADITYA NILAWATI</v>
          </cell>
          <cell r="C693" t="str">
            <v>SAMI</v>
          </cell>
          <cell r="D693" t="str">
            <v>OPT-539</v>
          </cell>
          <cell r="E693">
            <v>43087</v>
          </cell>
          <cell r="F693">
            <v>43118</v>
          </cell>
          <cell r="G693">
            <v>43496</v>
          </cell>
          <cell r="H693" t="str">
            <v>PRD</v>
          </cell>
          <cell r="I693" t="str">
            <v>PRD</v>
          </cell>
          <cell r="J693" t="str">
            <v>BATTERY CABLE</v>
          </cell>
          <cell r="K693" t="str">
            <v>BATTERY CABLE</v>
          </cell>
          <cell r="L693" t="str">
            <v>BATTERY CABLE NEW</v>
          </cell>
          <cell r="M693" t="str">
            <v>JC3-BC-01</v>
          </cell>
          <cell r="N693" t="str">
            <v>WFAP 2.2</v>
          </cell>
          <cell r="O693" t="str">
            <v>B</v>
          </cell>
        </row>
        <row r="694">
          <cell r="A694">
            <v>21706</v>
          </cell>
          <cell r="B694" t="str">
            <v>BOY ISA ISKHANDAR</v>
          </cell>
          <cell r="C694" t="str">
            <v>SAMI</v>
          </cell>
          <cell r="D694" t="str">
            <v>OPT-539</v>
          </cell>
          <cell r="E694">
            <v>43087</v>
          </cell>
          <cell r="F694">
            <v>43118</v>
          </cell>
          <cell r="G694">
            <v>43496</v>
          </cell>
          <cell r="H694" t="str">
            <v>PRD</v>
          </cell>
          <cell r="I694" t="str">
            <v>PRD</v>
          </cell>
          <cell r="J694" t="str">
            <v>BATTERY CABLE</v>
          </cell>
          <cell r="K694" t="str">
            <v>BATTERY CABLE</v>
          </cell>
          <cell r="L694" t="str">
            <v>BATTERY CABLE NEW</v>
          </cell>
          <cell r="M694" t="str">
            <v>P-BC-03</v>
          </cell>
          <cell r="N694" t="str">
            <v>WFAP 2.1</v>
          </cell>
          <cell r="O694" t="str">
            <v>B</v>
          </cell>
        </row>
        <row r="695">
          <cell r="A695">
            <v>21735</v>
          </cell>
          <cell r="B695" t="str">
            <v>MUSTAQIM</v>
          </cell>
          <cell r="C695" t="str">
            <v>SAMI</v>
          </cell>
          <cell r="D695" t="str">
            <v>OPT-539</v>
          </cell>
          <cell r="E695">
            <v>43087</v>
          </cell>
          <cell r="F695">
            <v>43118</v>
          </cell>
          <cell r="G695">
            <v>43496</v>
          </cell>
          <cell r="H695" t="str">
            <v>PRD</v>
          </cell>
          <cell r="I695" t="str">
            <v>PRD</v>
          </cell>
          <cell r="J695" t="str">
            <v>BATTERY CABLE</v>
          </cell>
          <cell r="K695" t="str">
            <v>BATTERY CABLE</v>
          </cell>
          <cell r="L695" t="str">
            <v>BATTERY CABLE NEW</v>
          </cell>
          <cell r="M695" t="str">
            <v>MECALL</v>
          </cell>
          <cell r="N695" t="str">
            <v>WFAP 2.1</v>
          </cell>
          <cell r="O695" t="str">
            <v>B</v>
          </cell>
        </row>
        <row r="696">
          <cell r="A696">
            <v>21804</v>
          </cell>
          <cell r="B696" t="str">
            <v>TRI DIAN NOFIYANTI</v>
          </cell>
          <cell r="C696" t="str">
            <v>SAMI</v>
          </cell>
          <cell r="D696" t="str">
            <v>OPT-540</v>
          </cell>
          <cell r="E696">
            <v>43090</v>
          </cell>
          <cell r="F696">
            <v>43121</v>
          </cell>
          <cell r="G696">
            <v>43496</v>
          </cell>
          <cell r="H696" t="str">
            <v>PRD</v>
          </cell>
          <cell r="I696" t="str">
            <v>PRD</v>
          </cell>
          <cell r="J696" t="str">
            <v>BATTERY CABLE</v>
          </cell>
          <cell r="K696" t="str">
            <v>BATTERY CABLE</v>
          </cell>
          <cell r="L696" t="str">
            <v>BATTERY CABLE NEW</v>
          </cell>
          <cell r="M696" t="str">
            <v>MC3-BC-03</v>
          </cell>
          <cell r="N696" t="str">
            <v>WFAP 2.1</v>
          </cell>
          <cell r="O696" t="str">
            <v>B</v>
          </cell>
        </row>
        <row r="697">
          <cell r="A697">
            <v>21822</v>
          </cell>
          <cell r="B697" t="str">
            <v>ASA KUNTI ROSYDA</v>
          </cell>
          <cell r="C697" t="str">
            <v>SAMI</v>
          </cell>
          <cell r="D697" t="str">
            <v>OPT-541</v>
          </cell>
          <cell r="E697">
            <v>43098</v>
          </cell>
          <cell r="F697">
            <v>43129</v>
          </cell>
          <cell r="G697">
            <v>43496</v>
          </cell>
          <cell r="H697" t="str">
            <v>PRD</v>
          </cell>
          <cell r="I697" t="str">
            <v>PRD</v>
          </cell>
          <cell r="J697" t="str">
            <v>BATTERY CABLE</v>
          </cell>
          <cell r="K697" t="str">
            <v>BATTERY CABLE</v>
          </cell>
          <cell r="L697" t="str">
            <v>BATTERY CABLE NEW</v>
          </cell>
          <cell r="M697" t="str">
            <v>INSP PRE ASSY</v>
          </cell>
          <cell r="N697" t="str">
            <v>P/A INSPECTOR</v>
          </cell>
          <cell r="O697" t="str">
            <v>B</v>
          </cell>
        </row>
        <row r="698">
          <cell r="A698">
            <v>22256</v>
          </cell>
          <cell r="B698" t="str">
            <v>SULISTYO URIPIN</v>
          </cell>
          <cell r="C698" t="str">
            <v>SAMI</v>
          </cell>
          <cell r="D698" t="str">
            <v>OPT-552</v>
          </cell>
          <cell r="E698">
            <v>43171</v>
          </cell>
          <cell r="F698">
            <v>43202</v>
          </cell>
          <cell r="G698">
            <v>43555</v>
          </cell>
          <cell r="H698" t="str">
            <v>PRD</v>
          </cell>
          <cell r="I698" t="str">
            <v>PRD</v>
          </cell>
          <cell r="J698" t="str">
            <v>BATTERY CABLE</v>
          </cell>
          <cell r="K698" t="str">
            <v>BATTERY CABLE</v>
          </cell>
          <cell r="L698" t="str">
            <v>BATTERY CABLE NEW</v>
          </cell>
          <cell r="M698" t="str">
            <v>KDR-BC-01</v>
          </cell>
          <cell r="N698" t="str">
            <v>CUTTING WIRE</v>
          </cell>
          <cell r="O698" t="str">
            <v>B</v>
          </cell>
        </row>
        <row r="699">
          <cell r="A699">
            <v>22427</v>
          </cell>
          <cell r="B699" t="str">
            <v>SITI WAHYU UTAMI</v>
          </cell>
          <cell r="C699" t="str">
            <v>SAMI</v>
          </cell>
          <cell r="D699" t="str">
            <v>OPT-558</v>
          </cell>
          <cell r="E699">
            <v>43213</v>
          </cell>
          <cell r="F699">
            <v>43243</v>
          </cell>
          <cell r="G699">
            <v>43616</v>
          </cell>
          <cell r="H699" t="str">
            <v>PRD</v>
          </cell>
          <cell r="I699" t="str">
            <v>PRD</v>
          </cell>
          <cell r="J699" t="str">
            <v>BATTERY CABLE</v>
          </cell>
          <cell r="K699" t="str">
            <v>BATTERY CABLE</v>
          </cell>
          <cell r="L699" t="str">
            <v>BATTERY CABLE NEW</v>
          </cell>
          <cell r="M699" t="str">
            <v>INSP CUTTING</v>
          </cell>
          <cell r="N699" t="str">
            <v>P/A INSPECTOR</v>
          </cell>
          <cell r="O699" t="str">
            <v>B</v>
          </cell>
        </row>
        <row r="700">
          <cell r="A700">
            <v>22791</v>
          </cell>
          <cell r="B700" t="str">
            <v>MUHAMMAD IQSAN NOOR</v>
          </cell>
          <cell r="C700" t="str">
            <v>SAMI</v>
          </cell>
          <cell r="D700" t="str">
            <v>OPT-565</v>
          </cell>
          <cell r="E700">
            <v>43283</v>
          </cell>
          <cell r="F700">
            <v>43314</v>
          </cell>
          <cell r="G700">
            <v>43677</v>
          </cell>
          <cell r="H700" t="str">
            <v>PRD</v>
          </cell>
          <cell r="I700" t="str">
            <v>PRD</v>
          </cell>
          <cell r="J700" t="str">
            <v>BATTERY CABLE</v>
          </cell>
          <cell r="K700" t="str">
            <v>BATTERY CABLE</v>
          </cell>
          <cell r="L700" t="str">
            <v>BATTERY CABLE NEW</v>
          </cell>
          <cell r="M700" t="str">
            <v>KDR-BC-02</v>
          </cell>
          <cell r="N700" t="str">
            <v>CUTTING WIRE</v>
          </cell>
          <cell r="O700" t="str">
            <v>B</v>
          </cell>
        </row>
        <row r="701">
          <cell r="A701">
            <v>22793</v>
          </cell>
          <cell r="B701" t="str">
            <v xml:space="preserve">RISKI MUSTOFA </v>
          </cell>
          <cell r="C701" t="str">
            <v>SAMI</v>
          </cell>
          <cell r="D701" t="str">
            <v>OPT-565</v>
          </cell>
          <cell r="E701">
            <v>43283</v>
          </cell>
          <cell r="F701">
            <v>43314</v>
          </cell>
          <cell r="G701">
            <v>43677</v>
          </cell>
          <cell r="H701" t="str">
            <v>PRD</v>
          </cell>
          <cell r="I701" t="str">
            <v>PRD</v>
          </cell>
          <cell r="J701" t="str">
            <v>BATTERY CABLE</v>
          </cell>
          <cell r="K701" t="str">
            <v>BATTERY CABLE</v>
          </cell>
          <cell r="L701" t="str">
            <v>BATTERY CABLE NEW</v>
          </cell>
          <cell r="M701" t="str">
            <v>P-BC-01</v>
          </cell>
          <cell r="N701" t="str">
            <v>WFAP 2.1</v>
          </cell>
          <cell r="O701" t="str">
            <v>B</v>
          </cell>
        </row>
        <row r="702">
          <cell r="A702">
            <v>22826</v>
          </cell>
          <cell r="B702" t="str">
            <v>DWI ADE PRAYOGA</v>
          </cell>
          <cell r="C702" t="str">
            <v>SAMI</v>
          </cell>
          <cell r="D702" t="str">
            <v>OPT-567</v>
          </cell>
          <cell r="E702">
            <v>43333</v>
          </cell>
          <cell r="F702">
            <v>43364</v>
          </cell>
          <cell r="G702">
            <v>43738</v>
          </cell>
          <cell r="H702" t="str">
            <v>PRD</v>
          </cell>
          <cell r="I702" t="str">
            <v>PRD</v>
          </cell>
          <cell r="J702" t="str">
            <v>BATTERY CABLE</v>
          </cell>
          <cell r="K702" t="str">
            <v>BATTERY CABLE</v>
          </cell>
          <cell r="L702" t="str">
            <v>BATTERY CABLE NEW</v>
          </cell>
          <cell r="M702" t="str">
            <v>WT</v>
          </cell>
          <cell r="N702" t="str">
            <v>P/A CONTROLLER</v>
          </cell>
          <cell r="O702" t="str">
            <v>B</v>
          </cell>
        </row>
        <row r="703">
          <cell r="A703">
            <v>23225</v>
          </cell>
          <cell r="B703" t="str">
            <v>ILHAM MA'RUF</v>
          </cell>
          <cell r="C703" t="str">
            <v>SAMI</v>
          </cell>
          <cell r="D703" t="str">
            <v>OPT-573</v>
          </cell>
          <cell r="E703">
            <v>43421</v>
          </cell>
          <cell r="F703">
            <v>43451</v>
          </cell>
          <cell r="G703">
            <v>43830</v>
          </cell>
          <cell r="H703" t="str">
            <v>PRD</v>
          </cell>
          <cell r="I703" t="str">
            <v>PRD</v>
          </cell>
          <cell r="J703" t="str">
            <v>BATTERY CABLE</v>
          </cell>
          <cell r="K703" t="str">
            <v>BATTERY CABLE</v>
          </cell>
          <cell r="L703" t="str">
            <v>BATTERY CABLE NEW</v>
          </cell>
          <cell r="M703" t="str">
            <v>P-BC-02</v>
          </cell>
          <cell r="N703" t="str">
            <v>WFAP 2.1</v>
          </cell>
          <cell r="O703" t="str">
            <v>B</v>
          </cell>
        </row>
        <row r="704">
          <cell r="A704">
            <v>23231</v>
          </cell>
          <cell r="B704" t="str">
            <v>KEVIN ARIANSYAH</v>
          </cell>
          <cell r="C704" t="str">
            <v>SAMI</v>
          </cell>
          <cell r="D704" t="str">
            <v>OPT-573</v>
          </cell>
          <cell r="E704">
            <v>43421</v>
          </cell>
          <cell r="F704">
            <v>43451</v>
          </cell>
          <cell r="G704">
            <v>43830</v>
          </cell>
          <cell r="H704" t="str">
            <v>PRD</v>
          </cell>
          <cell r="I704" t="str">
            <v>PRD</v>
          </cell>
          <cell r="J704" t="str">
            <v>BATTERY CABLE</v>
          </cell>
          <cell r="K704" t="str">
            <v>BATTERY CABLE</v>
          </cell>
          <cell r="L704" t="str">
            <v>BATTERY CABLE NEW</v>
          </cell>
          <cell r="M704" t="str">
            <v>MC3-BC-01,02</v>
          </cell>
          <cell r="N704" t="str">
            <v>WFAP 2.1</v>
          </cell>
          <cell r="O704" t="str">
            <v>B</v>
          </cell>
        </row>
        <row r="705">
          <cell r="A705">
            <v>23426</v>
          </cell>
          <cell r="B705" t="str">
            <v>LEILANI EKA LARISA</v>
          </cell>
          <cell r="C705" t="str">
            <v>SAMI</v>
          </cell>
          <cell r="D705" t="str">
            <v>OPT-575</v>
          </cell>
          <cell r="E705">
            <v>43434</v>
          </cell>
          <cell r="F705">
            <v>43464</v>
          </cell>
          <cell r="G705">
            <v>43830</v>
          </cell>
          <cell r="H705" t="str">
            <v>PRD</v>
          </cell>
          <cell r="I705" t="str">
            <v>PRD</v>
          </cell>
          <cell r="J705" t="str">
            <v>BATTERY CABLE</v>
          </cell>
          <cell r="K705" t="str">
            <v>BATTERY CABLE</v>
          </cell>
          <cell r="L705" t="str">
            <v>BATTERY CABLE NEW</v>
          </cell>
          <cell r="M705" t="str">
            <v>JS-BC-01</v>
          </cell>
          <cell r="N705" t="str">
            <v>WFAP 2.2</v>
          </cell>
          <cell r="O705" t="str">
            <v>B</v>
          </cell>
        </row>
        <row r="706">
          <cell r="A706">
            <v>23429</v>
          </cell>
          <cell r="B706" t="str">
            <v>LINA NUR IMAMA</v>
          </cell>
          <cell r="C706" t="str">
            <v>SAMI</v>
          </cell>
          <cell r="D706" t="str">
            <v>OPT-575</v>
          </cell>
          <cell r="E706">
            <v>43434</v>
          </cell>
          <cell r="F706">
            <v>43464</v>
          </cell>
          <cell r="G706">
            <v>43830</v>
          </cell>
          <cell r="H706" t="str">
            <v>PRD</v>
          </cell>
          <cell r="I706" t="str">
            <v>PRD</v>
          </cell>
          <cell r="J706" t="str">
            <v>BATTERY CABLE</v>
          </cell>
          <cell r="K706" t="str">
            <v>BATTERY CABLE</v>
          </cell>
          <cell r="L706" t="str">
            <v>BATTERY CABLE NEW</v>
          </cell>
          <cell r="M706" t="str">
            <v>DRY-BC-01</v>
          </cell>
          <cell r="N706" t="str">
            <v>WFAP 2.2</v>
          </cell>
          <cell r="O706" t="str">
            <v>B</v>
          </cell>
        </row>
        <row r="707">
          <cell r="A707" t="str">
            <v>B00630</v>
          </cell>
          <cell r="B707" t="str">
            <v>NOVINA TRISNA SAPUTRI</v>
          </cell>
          <cell r="C707" t="str">
            <v>SAMI</v>
          </cell>
          <cell r="D707" t="str">
            <v>BBF-010</v>
          </cell>
          <cell r="E707">
            <v>40889</v>
          </cell>
          <cell r="F707" t="str">
            <v>-</v>
          </cell>
          <cell r="G707" t="str">
            <v>-</v>
          </cell>
          <cell r="H707" t="str">
            <v>PRD</v>
          </cell>
          <cell r="I707" t="str">
            <v>PRD</v>
          </cell>
          <cell r="J707" t="str">
            <v>BATTERY CABLE</v>
          </cell>
          <cell r="K707" t="str">
            <v>BATTERY CABLE</v>
          </cell>
          <cell r="L707" t="str">
            <v>BATTERY CABLE NEW</v>
          </cell>
          <cell r="M707" t="str">
            <v>INSP PRE ASSY</v>
          </cell>
          <cell r="N707" t="str">
            <v>P/A INSPECTOR</v>
          </cell>
          <cell r="O707" t="str">
            <v>B</v>
          </cell>
        </row>
        <row r="708">
          <cell r="A708">
            <v>23556</v>
          </cell>
          <cell r="B708" t="str">
            <v>IKA PREHATENNIGSIH</v>
          </cell>
          <cell r="C708" t="str">
            <v>SAMI</v>
          </cell>
          <cell r="D708" t="str">
            <v>OPT-577</v>
          </cell>
          <cell r="E708">
            <v>43452</v>
          </cell>
          <cell r="F708">
            <v>43483</v>
          </cell>
          <cell r="G708">
            <v>43861</v>
          </cell>
          <cell r="H708" t="str">
            <v>PRD</v>
          </cell>
          <cell r="I708" t="str">
            <v>PRD</v>
          </cell>
          <cell r="J708" t="str">
            <v>BATTERY CABLE</v>
          </cell>
          <cell r="K708" t="str">
            <v>BATTERY CABLE</v>
          </cell>
          <cell r="L708" t="str">
            <v>BATTERY CABLE NEW</v>
          </cell>
          <cell r="M708" t="str">
            <v>OJT ASM</v>
          </cell>
          <cell r="N708" t="str">
            <v>INTERNAL TRIAL</v>
          </cell>
          <cell r="O708" t="str">
            <v>B</v>
          </cell>
        </row>
        <row r="709">
          <cell r="A709">
            <v>994</v>
          </cell>
          <cell r="B709" t="str">
            <v>REJEKI HANDAYANI</v>
          </cell>
          <cell r="C709" t="str">
            <v>SAMI</v>
          </cell>
          <cell r="D709" t="str">
            <v>OPT-25</v>
          </cell>
          <cell r="E709">
            <v>37872</v>
          </cell>
          <cell r="F709" t="str">
            <v>-</v>
          </cell>
          <cell r="G709" t="str">
            <v>-</v>
          </cell>
          <cell r="H709" t="str">
            <v>PRD</v>
          </cell>
          <cell r="I709" t="str">
            <v>PRD</v>
          </cell>
          <cell r="J709" t="str">
            <v>DYNA</v>
          </cell>
          <cell r="K709" t="str">
            <v>DYNA</v>
          </cell>
          <cell r="L709" t="str">
            <v>CUTTING HINO DYNA</v>
          </cell>
          <cell r="M709" t="str">
            <v>INSP CUTTING</v>
          </cell>
          <cell r="N709" t="str">
            <v>P/A INSPECTOR</v>
          </cell>
          <cell r="O709" t="str">
            <v>A</v>
          </cell>
        </row>
        <row r="710">
          <cell r="A710">
            <v>5683</v>
          </cell>
          <cell r="B710" t="str">
            <v>ABAL MUGHOFAR</v>
          </cell>
          <cell r="C710" t="str">
            <v>SAMI</v>
          </cell>
          <cell r="D710" t="str">
            <v>OPT-134</v>
          </cell>
          <cell r="E710">
            <v>39098</v>
          </cell>
          <cell r="F710" t="str">
            <v>-</v>
          </cell>
          <cell r="G710" t="str">
            <v>-</v>
          </cell>
          <cell r="H710" t="str">
            <v>PRD</v>
          </cell>
          <cell r="I710" t="str">
            <v>PRD</v>
          </cell>
          <cell r="J710" t="str">
            <v>DYNA</v>
          </cell>
          <cell r="K710" t="str">
            <v>DYNA</v>
          </cell>
          <cell r="L710" t="str">
            <v>CUTTING HINO DYNA</v>
          </cell>
          <cell r="M710" t="str">
            <v>HELPER CUTTING</v>
          </cell>
          <cell r="N710" t="str">
            <v>P/A CONTROLLER</v>
          </cell>
          <cell r="O710" t="str">
            <v>A</v>
          </cell>
        </row>
        <row r="711">
          <cell r="A711">
            <v>10258</v>
          </cell>
          <cell r="B711" t="str">
            <v>SARIYATI</v>
          </cell>
          <cell r="C711" t="str">
            <v>SAMI</v>
          </cell>
          <cell r="D711" t="str">
            <v>OPT-261</v>
          </cell>
          <cell r="E711">
            <v>40497</v>
          </cell>
          <cell r="F711" t="str">
            <v>-</v>
          </cell>
          <cell r="G711" t="str">
            <v>-</v>
          </cell>
          <cell r="H711" t="str">
            <v>PRD</v>
          </cell>
          <cell r="I711" t="str">
            <v>PRD</v>
          </cell>
          <cell r="J711" t="str">
            <v>DYNA</v>
          </cell>
          <cell r="K711" t="str">
            <v>DYNA</v>
          </cell>
          <cell r="L711" t="str">
            <v>CUTTING HINO DYNA</v>
          </cell>
          <cell r="M711" t="str">
            <v>AC90-HIN-03</v>
          </cell>
          <cell r="N711" t="str">
            <v>CUTTING WIRE</v>
          </cell>
          <cell r="O711" t="str">
            <v>A</v>
          </cell>
        </row>
        <row r="712">
          <cell r="A712">
            <v>10310</v>
          </cell>
          <cell r="B712" t="str">
            <v>JUWARMI</v>
          </cell>
          <cell r="C712" t="str">
            <v>SAMI</v>
          </cell>
          <cell r="D712" t="str">
            <v>OPT-265</v>
          </cell>
          <cell r="E712">
            <v>40511</v>
          </cell>
          <cell r="F712" t="str">
            <v>-</v>
          </cell>
          <cell r="G712" t="str">
            <v>-</v>
          </cell>
          <cell r="H712" t="str">
            <v>PRD</v>
          </cell>
          <cell r="I712" t="str">
            <v>PRD</v>
          </cell>
          <cell r="J712" t="str">
            <v>DYNA</v>
          </cell>
          <cell r="K712" t="str">
            <v>DYNA</v>
          </cell>
          <cell r="L712" t="str">
            <v>CUTTING HINO DYNA</v>
          </cell>
          <cell r="M712" t="str">
            <v>AC90-HIN-02</v>
          </cell>
          <cell r="N712" t="str">
            <v>CUTTING WIRE</v>
          </cell>
          <cell r="O712" t="str">
            <v>A</v>
          </cell>
        </row>
        <row r="713">
          <cell r="A713">
            <v>10870</v>
          </cell>
          <cell r="B713" t="str">
            <v>WATI NURJANAH</v>
          </cell>
          <cell r="C713" t="str">
            <v>SAMI</v>
          </cell>
          <cell r="D713" t="str">
            <v>OPT-283</v>
          </cell>
          <cell r="E713">
            <v>40572</v>
          </cell>
          <cell r="F713" t="str">
            <v>-</v>
          </cell>
          <cell r="G713" t="str">
            <v>-</v>
          </cell>
          <cell r="H713" t="str">
            <v>PRD</v>
          </cell>
          <cell r="I713" t="str">
            <v>PRD</v>
          </cell>
          <cell r="J713" t="str">
            <v>DYNA</v>
          </cell>
          <cell r="K713" t="str">
            <v>DYNA</v>
          </cell>
          <cell r="L713" t="str">
            <v>CUTTING HINO DYNA</v>
          </cell>
          <cell r="M713" t="str">
            <v>INSP CUTTING</v>
          </cell>
          <cell r="N713" t="str">
            <v>P/A INSPECTOR</v>
          </cell>
          <cell r="O713" t="str">
            <v>A</v>
          </cell>
        </row>
        <row r="714">
          <cell r="A714">
            <v>11243</v>
          </cell>
          <cell r="B714" t="str">
            <v>ANIK EKA HARYANTI</v>
          </cell>
          <cell r="C714" t="str">
            <v>SAMI</v>
          </cell>
          <cell r="D714" t="str">
            <v>OPT-294</v>
          </cell>
          <cell r="E714">
            <v>40617</v>
          </cell>
          <cell r="F714" t="str">
            <v>-</v>
          </cell>
          <cell r="G714" t="str">
            <v>-</v>
          </cell>
          <cell r="H714" t="str">
            <v>PRD</v>
          </cell>
          <cell r="I714" t="str">
            <v>PRD</v>
          </cell>
          <cell r="J714" t="str">
            <v>DYNA</v>
          </cell>
          <cell r="K714" t="str">
            <v>DYNA</v>
          </cell>
          <cell r="L714" t="str">
            <v>CUTTING HINO DYNA</v>
          </cell>
          <cell r="M714" t="str">
            <v>AC90-HIN-01</v>
          </cell>
          <cell r="N714" t="str">
            <v>CUTTING WIRE</v>
          </cell>
          <cell r="O714" t="str">
            <v>A</v>
          </cell>
        </row>
        <row r="715">
          <cell r="A715">
            <v>11372</v>
          </cell>
          <cell r="B715" t="str">
            <v>MASTIK</v>
          </cell>
          <cell r="C715" t="str">
            <v>SAMI</v>
          </cell>
          <cell r="D715" t="str">
            <v>OPT-304</v>
          </cell>
          <cell r="E715">
            <v>40696</v>
          </cell>
          <cell r="F715" t="str">
            <v>-</v>
          </cell>
          <cell r="G715" t="str">
            <v>-</v>
          </cell>
          <cell r="H715" t="str">
            <v>PRD</v>
          </cell>
          <cell r="I715" t="str">
            <v>PRD</v>
          </cell>
          <cell r="J715" t="str">
            <v>DYNA</v>
          </cell>
          <cell r="K715" t="str">
            <v>DYNA</v>
          </cell>
          <cell r="L715" t="str">
            <v>CUTTING HINO DYNA</v>
          </cell>
          <cell r="M715" t="str">
            <v>AC 8-HIN-1</v>
          </cell>
          <cell r="N715" t="str">
            <v>CUTTING WIRE</v>
          </cell>
          <cell r="O715" t="str">
            <v>A</v>
          </cell>
        </row>
        <row r="716">
          <cell r="A716">
            <v>12372</v>
          </cell>
          <cell r="B716" t="str">
            <v>INNAYATUL ROHMANIYAH</v>
          </cell>
          <cell r="C716" t="str">
            <v>SAMI</v>
          </cell>
          <cell r="D716" t="str">
            <v>OPT-317</v>
          </cell>
          <cell r="E716">
            <v>40809</v>
          </cell>
          <cell r="F716" t="str">
            <v>-</v>
          </cell>
          <cell r="G716" t="str">
            <v>-</v>
          </cell>
          <cell r="H716" t="str">
            <v>PRD</v>
          </cell>
          <cell r="I716" t="str">
            <v>PRD</v>
          </cell>
          <cell r="J716" t="str">
            <v>DYNA</v>
          </cell>
          <cell r="K716" t="str">
            <v>DYNA</v>
          </cell>
          <cell r="L716" t="str">
            <v>CUTTING HINO DYNA</v>
          </cell>
          <cell r="M716" t="str">
            <v>AC81-HIN-01</v>
          </cell>
          <cell r="N716" t="str">
            <v>CUTTING WIRE</v>
          </cell>
          <cell r="O716" t="str">
            <v>A</v>
          </cell>
        </row>
        <row r="717">
          <cell r="A717">
            <v>20453</v>
          </cell>
          <cell r="B717" t="str">
            <v>ELIS YULIANTI</v>
          </cell>
          <cell r="C717" t="str">
            <v>SAMI</v>
          </cell>
          <cell r="D717" t="str">
            <v>OPT-504</v>
          </cell>
          <cell r="E717">
            <v>42634</v>
          </cell>
          <cell r="F717">
            <v>43132</v>
          </cell>
          <cell r="G717">
            <v>43496</v>
          </cell>
          <cell r="H717" t="str">
            <v>PRD</v>
          </cell>
          <cell r="I717" t="str">
            <v>PRD</v>
          </cell>
          <cell r="J717" t="str">
            <v>DYNA</v>
          </cell>
          <cell r="K717" t="str">
            <v>DYNA</v>
          </cell>
          <cell r="L717" t="str">
            <v>CUTTING HINO DYNA</v>
          </cell>
          <cell r="M717" t="str">
            <v>AC90-HIN-04</v>
          </cell>
          <cell r="N717" t="str">
            <v>CUTTING WIRE</v>
          </cell>
          <cell r="O717" t="str">
            <v>A</v>
          </cell>
        </row>
        <row r="718">
          <cell r="A718">
            <v>468</v>
          </cell>
          <cell r="B718" t="str">
            <v>EMY APRIYANTI</v>
          </cell>
          <cell r="C718" t="str">
            <v>SAMI</v>
          </cell>
          <cell r="D718" t="str">
            <v>OPT-13</v>
          </cell>
          <cell r="E718">
            <v>37760</v>
          </cell>
          <cell r="F718" t="str">
            <v>-</v>
          </cell>
          <cell r="G718" t="str">
            <v>-</v>
          </cell>
          <cell r="H718" t="str">
            <v>PRD</v>
          </cell>
          <cell r="I718" t="str">
            <v>PRD</v>
          </cell>
          <cell r="J718" t="str">
            <v>DYNA</v>
          </cell>
          <cell r="K718" t="str">
            <v>DYNA</v>
          </cell>
          <cell r="L718" t="str">
            <v>CUTTING HINO DYNA</v>
          </cell>
          <cell r="M718" t="str">
            <v>INSP CUTTING</v>
          </cell>
          <cell r="N718" t="str">
            <v>P/A INSPECTOR</v>
          </cell>
          <cell r="O718" t="str">
            <v>B</v>
          </cell>
        </row>
        <row r="719">
          <cell r="A719">
            <v>969</v>
          </cell>
          <cell r="B719" t="str">
            <v>SEVI DIAH MAYASARI</v>
          </cell>
          <cell r="C719" t="str">
            <v>SAMI</v>
          </cell>
          <cell r="D719" t="str">
            <v>OPT-25</v>
          </cell>
          <cell r="E719">
            <v>37872</v>
          </cell>
          <cell r="F719" t="str">
            <v>-</v>
          </cell>
          <cell r="G719" t="str">
            <v>-</v>
          </cell>
          <cell r="H719" t="str">
            <v>PRD</v>
          </cell>
          <cell r="I719" t="str">
            <v>PRD</v>
          </cell>
          <cell r="J719" t="str">
            <v>DYNA</v>
          </cell>
          <cell r="K719" t="str">
            <v>DYNA</v>
          </cell>
          <cell r="L719" t="str">
            <v>CUTTING HINO DYNA</v>
          </cell>
          <cell r="M719" t="str">
            <v>AC90-HIN-02</v>
          </cell>
          <cell r="N719" t="str">
            <v>CUTTING WIRE</v>
          </cell>
          <cell r="O719" t="str">
            <v>B</v>
          </cell>
        </row>
        <row r="720">
          <cell r="A720">
            <v>1286</v>
          </cell>
          <cell r="B720" t="str">
            <v>SITI TRISNAWATI</v>
          </cell>
          <cell r="C720" t="str">
            <v>SAMI</v>
          </cell>
          <cell r="D720" t="str">
            <v>OPT-31</v>
          </cell>
          <cell r="E720">
            <v>37921</v>
          </cell>
          <cell r="F720" t="str">
            <v>-</v>
          </cell>
          <cell r="G720" t="str">
            <v>-</v>
          </cell>
          <cell r="H720" t="str">
            <v>PRD</v>
          </cell>
          <cell r="I720" t="str">
            <v>PRD</v>
          </cell>
          <cell r="J720" t="str">
            <v>DYNA</v>
          </cell>
          <cell r="K720" t="str">
            <v>DYNA</v>
          </cell>
          <cell r="L720" t="str">
            <v>CUTTING HINO DYNA</v>
          </cell>
          <cell r="M720" t="str">
            <v>INSP CUTTING</v>
          </cell>
          <cell r="N720" t="str">
            <v>P/A INSPECTOR</v>
          </cell>
          <cell r="O720" t="str">
            <v>B</v>
          </cell>
        </row>
        <row r="721">
          <cell r="A721">
            <v>5249</v>
          </cell>
          <cell r="B721" t="str">
            <v>RINA KURNIASARI</v>
          </cell>
          <cell r="C721" t="str">
            <v>SAMI</v>
          </cell>
          <cell r="D721" t="str">
            <v>OPT-125</v>
          </cell>
          <cell r="E721">
            <v>38961</v>
          </cell>
          <cell r="F721" t="str">
            <v>-</v>
          </cell>
          <cell r="G721" t="str">
            <v>-</v>
          </cell>
          <cell r="H721" t="str">
            <v>PRD</v>
          </cell>
          <cell r="I721" t="str">
            <v>PRD</v>
          </cell>
          <cell r="J721" t="str">
            <v>DYNA</v>
          </cell>
          <cell r="K721" t="str">
            <v>DYNA</v>
          </cell>
          <cell r="L721" t="str">
            <v>CUTTING HINO DYNA</v>
          </cell>
          <cell r="M721" t="str">
            <v>INSP CUTTING</v>
          </cell>
          <cell r="N721" t="str">
            <v>P/A INSPECTOR</v>
          </cell>
          <cell r="O721" t="str">
            <v>B</v>
          </cell>
        </row>
        <row r="722">
          <cell r="A722">
            <v>10108</v>
          </cell>
          <cell r="B722" t="str">
            <v>NURJANAH</v>
          </cell>
          <cell r="C722" t="str">
            <v>SAMI</v>
          </cell>
          <cell r="D722" t="str">
            <v>OPT-248</v>
          </cell>
          <cell r="E722">
            <v>40444</v>
          </cell>
          <cell r="F722" t="str">
            <v>-</v>
          </cell>
          <cell r="G722" t="str">
            <v>-</v>
          </cell>
          <cell r="H722" t="str">
            <v>PRD</v>
          </cell>
          <cell r="I722" t="str">
            <v>PRD</v>
          </cell>
          <cell r="J722" t="str">
            <v>DYNA</v>
          </cell>
          <cell r="K722" t="str">
            <v>DYNA</v>
          </cell>
          <cell r="L722" t="str">
            <v>CUTTING HINO DYNA</v>
          </cell>
          <cell r="M722" t="str">
            <v>AC81-HIN-01</v>
          </cell>
          <cell r="N722" t="str">
            <v>CUTTING WIRE</v>
          </cell>
          <cell r="O722" t="str">
            <v>B</v>
          </cell>
        </row>
        <row r="723">
          <cell r="A723">
            <v>10530</v>
          </cell>
          <cell r="B723" t="str">
            <v>SITI MUSTAQFIROH</v>
          </cell>
          <cell r="C723" t="str">
            <v>SAMI</v>
          </cell>
          <cell r="D723" t="str">
            <v>OPT-273</v>
          </cell>
          <cell r="E723">
            <v>40535</v>
          </cell>
          <cell r="F723" t="str">
            <v>-</v>
          </cell>
          <cell r="G723" t="str">
            <v>-</v>
          </cell>
          <cell r="H723" t="str">
            <v>PRD</v>
          </cell>
          <cell r="I723" t="str">
            <v>PRD</v>
          </cell>
          <cell r="J723" t="str">
            <v>DYNA</v>
          </cell>
          <cell r="K723" t="str">
            <v>DYNA</v>
          </cell>
          <cell r="L723" t="str">
            <v>CUTTING HINO DYNA</v>
          </cell>
          <cell r="M723" t="str">
            <v>AC90-HIN-01</v>
          </cell>
          <cell r="N723" t="str">
            <v>CUTTING WIRE</v>
          </cell>
          <cell r="O723" t="str">
            <v>B</v>
          </cell>
        </row>
        <row r="724">
          <cell r="A724">
            <v>20512</v>
          </cell>
          <cell r="B724" t="str">
            <v>NOVITA</v>
          </cell>
          <cell r="C724" t="str">
            <v>SAMI</v>
          </cell>
          <cell r="D724" t="str">
            <v>OPT-504</v>
          </cell>
          <cell r="E724">
            <v>42634</v>
          </cell>
          <cell r="F724">
            <v>43132</v>
          </cell>
          <cell r="G724">
            <v>43496</v>
          </cell>
          <cell r="H724" t="str">
            <v>PRD</v>
          </cell>
          <cell r="I724" t="str">
            <v>PRD</v>
          </cell>
          <cell r="J724" t="str">
            <v>DYNA</v>
          </cell>
          <cell r="K724" t="str">
            <v>DYNA</v>
          </cell>
          <cell r="L724" t="str">
            <v>CUTTING HINO DYNA</v>
          </cell>
          <cell r="M724" t="str">
            <v>AC90-HIN-03</v>
          </cell>
          <cell r="N724" t="str">
            <v>CUTTING WIRE</v>
          </cell>
          <cell r="O724" t="str">
            <v>B</v>
          </cell>
        </row>
        <row r="725">
          <cell r="A725">
            <v>20593</v>
          </cell>
          <cell r="B725" t="str">
            <v>HIMMATUL ULVA</v>
          </cell>
          <cell r="C725" t="str">
            <v>SAMI</v>
          </cell>
          <cell r="D725" t="str">
            <v>OPT-505</v>
          </cell>
          <cell r="E725">
            <v>42639</v>
          </cell>
          <cell r="F725">
            <v>43132</v>
          </cell>
          <cell r="G725">
            <v>43496</v>
          </cell>
          <cell r="H725" t="str">
            <v>PRD</v>
          </cell>
          <cell r="I725" t="str">
            <v>PRD</v>
          </cell>
          <cell r="J725" t="str">
            <v>DYNA</v>
          </cell>
          <cell r="K725" t="str">
            <v>DYNA</v>
          </cell>
          <cell r="L725" t="str">
            <v>CUTTING HINO DYNA</v>
          </cell>
          <cell r="M725" t="str">
            <v>AC90-HIN-04</v>
          </cell>
          <cell r="N725" t="str">
            <v>CUTTING WIRE</v>
          </cell>
          <cell r="O725" t="str">
            <v>B</v>
          </cell>
        </row>
        <row r="726">
          <cell r="A726">
            <v>5461</v>
          </cell>
          <cell r="B726" t="str">
            <v>SUSILO DWI SUWARNI</v>
          </cell>
          <cell r="C726" t="str">
            <v>SAMI</v>
          </cell>
          <cell r="D726" t="str">
            <v>OPT-128</v>
          </cell>
          <cell r="E726">
            <v>38991</v>
          </cell>
          <cell r="F726" t="str">
            <v>-</v>
          </cell>
          <cell r="G726" t="str">
            <v>-</v>
          </cell>
          <cell r="H726" t="str">
            <v>PRD</v>
          </cell>
          <cell r="I726" t="str">
            <v>PRD</v>
          </cell>
          <cell r="J726" t="str">
            <v>HONDA BBP</v>
          </cell>
          <cell r="K726" t="str">
            <v>HONDA 36 CELL</v>
          </cell>
          <cell r="L726" t="str">
            <v>CUTTING HONDA 36 CELL</v>
          </cell>
          <cell r="M726" t="str">
            <v>AC90-H-02, MC2-H-04, 05</v>
          </cell>
          <cell r="N726" t="str">
            <v>CUTTING WIRE</v>
          </cell>
          <cell r="O726" t="str">
            <v>A (NS)</v>
          </cell>
        </row>
        <row r="727">
          <cell r="A727">
            <v>12100</v>
          </cell>
          <cell r="B727" t="str">
            <v>FITRIA HANDAHAYANI</v>
          </cell>
          <cell r="C727" t="str">
            <v>SAMI</v>
          </cell>
          <cell r="D727" t="str">
            <v>OPT-314</v>
          </cell>
          <cell r="E727">
            <v>40798</v>
          </cell>
          <cell r="F727" t="str">
            <v>-</v>
          </cell>
          <cell r="G727" t="str">
            <v>-</v>
          </cell>
          <cell r="H727" t="str">
            <v>PRD</v>
          </cell>
          <cell r="I727" t="str">
            <v>PRD</v>
          </cell>
          <cell r="J727" t="str">
            <v>HONDA BBP</v>
          </cell>
          <cell r="K727" t="str">
            <v>HONDA 36 CELL</v>
          </cell>
          <cell r="L727" t="str">
            <v>CUTTING HONDA 36 CELL</v>
          </cell>
          <cell r="M727" t="str">
            <v>INSP CUTTING</v>
          </cell>
          <cell r="N727" t="str">
            <v>P/A INSPECTOR</v>
          </cell>
          <cell r="O727" t="str">
            <v>A (NS)</v>
          </cell>
        </row>
        <row r="728">
          <cell r="A728">
            <v>20577</v>
          </cell>
          <cell r="B728" t="str">
            <v>ELMA MEILANY</v>
          </cell>
          <cell r="C728" t="str">
            <v>SAMI</v>
          </cell>
          <cell r="D728" t="str">
            <v>OPT-505</v>
          </cell>
          <cell r="E728">
            <v>42639</v>
          </cell>
          <cell r="F728">
            <v>43132</v>
          </cell>
          <cell r="G728">
            <v>43496</v>
          </cell>
          <cell r="H728" t="str">
            <v>PRD</v>
          </cell>
          <cell r="I728" t="str">
            <v>PRD</v>
          </cell>
          <cell r="J728" t="str">
            <v>HONDA BBP</v>
          </cell>
          <cell r="K728" t="str">
            <v>HONDA 36 CELL</v>
          </cell>
          <cell r="L728" t="str">
            <v>CUTTING HONDA 36 CELL</v>
          </cell>
          <cell r="M728" t="str">
            <v>AC90-H-01</v>
          </cell>
          <cell r="N728" t="str">
            <v>CUTTING WIRE</v>
          </cell>
          <cell r="O728" t="str">
            <v>A (NS)</v>
          </cell>
        </row>
        <row r="729">
          <cell r="A729">
            <v>454</v>
          </cell>
          <cell r="B729" t="str">
            <v>NUR QOMARIYAH</v>
          </cell>
          <cell r="C729" t="str">
            <v>SAMI</v>
          </cell>
          <cell r="D729" t="str">
            <v>OPT-12</v>
          </cell>
          <cell r="E729">
            <v>37746</v>
          </cell>
          <cell r="F729" t="str">
            <v>-</v>
          </cell>
          <cell r="G729" t="str">
            <v>-</v>
          </cell>
          <cell r="H729" t="str">
            <v>PRD</v>
          </cell>
          <cell r="I729" t="str">
            <v>PRD</v>
          </cell>
          <cell r="J729" t="str">
            <v>HONDA CRV</v>
          </cell>
          <cell r="K729" t="str">
            <v>HONDA CRV</v>
          </cell>
          <cell r="L729" t="str">
            <v>CUTTING HONDA CRV</v>
          </cell>
          <cell r="M729" t="str">
            <v>INSP CUTTING</v>
          </cell>
          <cell r="N729" t="str">
            <v>P/A INSPECTOR</v>
          </cell>
          <cell r="O729" t="str">
            <v>A</v>
          </cell>
        </row>
        <row r="730">
          <cell r="A730">
            <v>1314</v>
          </cell>
          <cell r="B730" t="str">
            <v>DARYATI</v>
          </cell>
          <cell r="C730" t="str">
            <v>SAMI</v>
          </cell>
          <cell r="D730" t="str">
            <v>OPT-32</v>
          </cell>
          <cell r="E730">
            <v>37928</v>
          </cell>
          <cell r="F730" t="str">
            <v>-</v>
          </cell>
          <cell r="G730" t="str">
            <v>-</v>
          </cell>
          <cell r="H730" t="str">
            <v>PRD</v>
          </cell>
          <cell r="I730" t="str">
            <v>PRD</v>
          </cell>
          <cell r="J730" t="str">
            <v>HONDA CRV</v>
          </cell>
          <cell r="K730" t="str">
            <v>HONDA CRV</v>
          </cell>
          <cell r="L730" t="str">
            <v>CUTTING HONDA CRV</v>
          </cell>
          <cell r="M730" t="str">
            <v>AC90-CRV-03</v>
          </cell>
          <cell r="N730" t="str">
            <v>CUTTING WIRE</v>
          </cell>
          <cell r="O730" t="str">
            <v>A</v>
          </cell>
        </row>
        <row r="731">
          <cell r="A731">
            <v>5935</v>
          </cell>
          <cell r="B731" t="str">
            <v>RAGA TRI RAHAYU</v>
          </cell>
          <cell r="C731" t="str">
            <v>SAMI</v>
          </cell>
          <cell r="D731" t="str">
            <v>OPT-137</v>
          </cell>
          <cell r="E731">
            <v>39129</v>
          </cell>
          <cell r="F731" t="str">
            <v>-</v>
          </cell>
          <cell r="G731" t="str">
            <v>-</v>
          </cell>
          <cell r="H731" t="str">
            <v>PRD</v>
          </cell>
          <cell r="I731" t="str">
            <v>PRD</v>
          </cell>
          <cell r="J731" t="str">
            <v>HONDA CRV</v>
          </cell>
          <cell r="K731" t="str">
            <v>HONDA CRV</v>
          </cell>
          <cell r="L731" t="str">
            <v>CUTTING HONDA CRV</v>
          </cell>
          <cell r="M731" t="str">
            <v>INSP CUTTING</v>
          </cell>
          <cell r="N731" t="str">
            <v>P/A INSPECTOR</v>
          </cell>
          <cell r="O731" t="str">
            <v>A</v>
          </cell>
        </row>
        <row r="732">
          <cell r="A732">
            <v>9462</v>
          </cell>
          <cell r="B732" t="str">
            <v>NUR ANGGRAINI</v>
          </cell>
          <cell r="C732" t="str">
            <v>SAMI</v>
          </cell>
          <cell r="D732" t="str">
            <v>OPT-216</v>
          </cell>
          <cell r="E732">
            <v>40148</v>
          </cell>
          <cell r="F732" t="str">
            <v>-</v>
          </cell>
          <cell r="G732" t="str">
            <v>-</v>
          </cell>
          <cell r="H732" t="str">
            <v>PRD</v>
          </cell>
          <cell r="I732" t="str">
            <v>PRD</v>
          </cell>
          <cell r="J732" t="str">
            <v>HONDA CRV</v>
          </cell>
          <cell r="K732" t="str">
            <v>HONDA CRV</v>
          </cell>
          <cell r="L732" t="str">
            <v>CUTTING HONDA CRV</v>
          </cell>
          <cell r="M732" t="str">
            <v>AC90-CRV-01</v>
          </cell>
          <cell r="N732" t="str">
            <v>CUTTING WIRE</v>
          </cell>
          <cell r="O732" t="str">
            <v>A</v>
          </cell>
        </row>
        <row r="733">
          <cell r="A733">
            <v>9579</v>
          </cell>
          <cell r="B733" t="str">
            <v>ANDYNI NILAM SARI</v>
          </cell>
          <cell r="C733" t="str">
            <v>SAMI</v>
          </cell>
          <cell r="D733" t="str">
            <v>OPT-218</v>
          </cell>
          <cell r="E733">
            <v>40179</v>
          </cell>
          <cell r="F733" t="str">
            <v>-</v>
          </cell>
          <cell r="G733" t="str">
            <v>-</v>
          </cell>
          <cell r="H733" t="str">
            <v>PRD</v>
          </cell>
          <cell r="I733" t="str">
            <v>PRD</v>
          </cell>
          <cell r="J733" t="str">
            <v>HONDA CRV</v>
          </cell>
          <cell r="K733" t="str">
            <v>HONDA CRV</v>
          </cell>
          <cell r="L733" t="str">
            <v>CUTTING HONDA CRV</v>
          </cell>
          <cell r="M733" t="str">
            <v>AC81-CRV-01</v>
          </cell>
          <cell r="N733" t="str">
            <v>CUTTING WIRE</v>
          </cell>
          <cell r="O733" t="str">
            <v>A</v>
          </cell>
        </row>
        <row r="734">
          <cell r="A734">
            <v>10541</v>
          </cell>
          <cell r="B734" t="str">
            <v>ANI ROHMANIYAH</v>
          </cell>
          <cell r="C734" t="str">
            <v>SAMI</v>
          </cell>
          <cell r="D734" t="str">
            <v>OPT-275</v>
          </cell>
          <cell r="E734">
            <v>40542</v>
          </cell>
          <cell r="F734" t="str">
            <v>-</v>
          </cell>
          <cell r="G734" t="str">
            <v>-</v>
          </cell>
          <cell r="H734" t="str">
            <v>PRD</v>
          </cell>
          <cell r="I734" t="str">
            <v>PRD</v>
          </cell>
          <cell r="J734" t="str">
            <v>HONDA CRV</v>
          </cell>
          <cell r="K734" t="str">
            <v>HONDA CRV</v>
          </cell>
          <cell r="L734" t="str">
            <v>CUTTING HONDA CRV</v>
          </cell>
          <cell r="M734" t="str">
            <v>AC90-CRV-02</v>
          </cell>
          <cell r="N734" t="str">
            <v>CUTTING WIRE</v>
          </cell>
          <cell r="O734" t="str">
            <v>A</v>
          </cell>
        </row>
        <row r="735">
          <cell r="A735">
            <v>11965</v>
          </cell>
          <cell r="B735" t="str">
            <v>SRI WAHYUNI</v>
          </cell>
          <cell r="C735" t="str">
            <v>SAMI</v>
          </cell>
          <cell r="D735" t="str">
            <v>OPT-311</v>
          </cell>
          <cell r="E735">
            <v>40770</v>
          </cell>
          <cell r="F735" t="str">
            <v>-</v>
          </cell>
          <cell r="G735" t="str">
            <v>-</v>
          </cell>
          <cell r="H735" t="str">
            <v>PRD</v>
          </cell>
          <cell r="I735" t="str">
            <v>PRD</v>
          </cell>
          <cell r="J735" t="str">
            <v>HONDA CRV</v>
          </cell>
          <cell r="K735" t="str">
            <v>HONDA CRV</v>
          </cell>
          <cell r="L735" t="str">
            <v>CUTTING HONDA CRV</v>
          </cell>
          <cell r="M735" t="str">
            <v>AC90-CRV-04</v>
          </cell>
          <cell r="N735" t="str">
            <v>CUTTING WIRE</v>
          </cell>
          <cell r="O735" t="str">
            <v>A</v>
          </cell>
        </row>
        <row r="736">
          <cell r="A736">
            <v>21149</v>
          </cell>
          <cell r="B736" t="str">
            <v>DIAN NOVITA NILA MINA</v>
          </cell>
          <cell r="C736" t="str">
            <v>SAMI</v>
          </cell>
          <cell r="D736" t="str">
            <v>OPT-522</v>
          </cell>
          <cell r="E736">
            <v>42871</v>
          </cell>
          <cell r="F736">
            <v>43374</v>
          </cell>
          <cell r="G736">
            <v>43738</v>
          </cell>
          <cell r="H736" t="str">
            <v>PRD</v>
          </cell>
          <cell r="I736" t="str">
            <v>PRD</v>
          </cell>
          <cell r="J736" t="str">
            <v>HONDA CRV</v>
          </cell>
          <cell r="K736" t="str">
            <v>HONDA CRV</v>
          </cell>
          <cell r="L736" t="str">
            <v>CUTTING HONDA CRV</v>
          </cell>
          <cell r="M736" t="str">
            <v>INSP CUTTING</v>
          </cell>
          <cell r="N736" t="str">
            <v>P/A INSPECTOR</v>
          </cell>
          <cell r="O736" t="str">
            <v>A</v>
          </cell>
        </row>
        <row r="737">
          <cell r="A737">
            <v>21626</v>
          </cell>
          <cell r="B737" t="str">
            <v>TRI OFTAFIANI</v>
          </cell>
          <cell r="C737" t="str">
            <v>SAMI</v>
          </cell>
          <cell r="D737" t="str">
            <v>OPT-536</v>
          </cell>
          <cell r="E737">
            <v>43048</v>
          </cell>
          <cell r="F737">
            <v>43435</v>
          </cell>
          <cell r="G737">
            <v>43799</v>
          </cell>
          <cell r="H737" t="str">
            <v>PRD</v>
          </cell>
          <cell r="I737" t="str">
            <v>PRD</v>
          </cell>
          <cell r="J737" t="str">
            <v>HONDA CRV</v>
          </cell>
          <cell r="K737" t="str">
            <v>HONDA CRV</v>
          </cell>
          <cell r="L737" t="str">
            <v>CUTTING HONDA CRV</v>
          </cell>
          <cell r="M737" t="str">
            <v>INSP CUTTING</v>
          </cell>
          <cell r="N737" t="str">
            <v>P/A INSPECTOR</v>
          </cell>
          <cell r="O737" t="str">
            <v>A</v>
          </cell>
        </row>
        <row r="738">
          <cell r="A738">
            <v>23105</v>
          </cell>
          <cell r="B738" t="str">
            <v>DEDE ANDRI IRAWAN</v>
          </cell>
          <cell r="C738" t="str">
            <v>SAMI</v>
          </cell>
          <cell r="D738" t="str">
            <v>OPT-570</v>
          </cell>
          <cell r="E738">
            <v>43369</v>
          </cell>
          <cell r="F738">
            <v>43399</v>
          </cell>
          <cell r="G738">
            <v>43769</v>
          </cell>
          <cell r="H738" t="str">
            <v>PRD</v>
          </cell>
          <cell r="I738" t="str">
            <v>PRD</v>
          </cell>
          <cell r="J738" t="str">
            <v>HONDA CRV</v>
          </cell>
          <cell r="K738" t="str">
            <v>HONDA CRV</v>
          </cell>
          <cell r="L738" t="str">
            <v>CUTTING HONDA CRV</v>
          </cell>
          <cell r="M738" t="str">
            <v>HELPER CUTTING</v>
          </cell>
          <cell r="N738" t="str">
            <v>P/A CONTROLLER</v>
          </cell>
          <cell r="O738" t="str">
            <v>A</v>
          </cell>
        </row>
        <row r="739">
          <cell r="A739">
            <v>609</v>
          </cell>
          <cell r="B739" t="str">
            <v>DWI DESYIANAWATI</v>
          </cell>
          <cell r="C739" t="str">
            <v>SAMI</v>
          </cell>
          <cell r="D739" t="str">
            <v>OPT-16</v>
          </cell>
          <cell r="E739">
            <v>37781</v>
          </cell>
          <cell r="F739" t="str">
            <v>-</v>
          </cell>
          <cell r="G739" t="str">
            <v>-</v>
          </cell>
          <cell r="H739" t="str">
            <v>PRD</v>
          </cell>
          <cell r="I739" t="str">
            <v>PRD</v>
          </cell>
          <cell r="J739" t="str">
            <v>HONDA CRV</v>
          </cell>
          <cell r="K739" t="str">
            <v>HONDA CRV</v>
          </cell>
          <cell r="L739" t="str">
            <v>CUTTING HONDA CRV</v>
          </cell>
          <cell r="M739" t="str">
            <v>AC90-CRV-01</v>
          </cell>
          <cell r="N739" t="str">
            <v>CUTTING WIRE</v>
          </cell>
          <cell r="O739" t="str">
            <v>B</v>
          </cell>
        </row>
        <row r="740">
          <cell r="A740">
            <v>5797</v>
          </cell>
          <cell r="B740" t="str">
            <v>PURWANTI</v>
          </cell>
          <cell r="C740" t="str">
            <v>SAMI</v>
          </cell>
          <cell r="D740" t="str">
            <v>OPT-135</v>
          </cell>
          <cell r="E740">
            <v>39114</v>
          </cell>
          <cell r="F740" t="str">
            <v>-</v>
          </cell>
          <cell r="G740" t="str">
            <v>-</v>
          </cell>
          <cell r="H740" t="str">
            <v>PRD</v>
          </cell>
          <cell r="I740" t="str">
            <v>PRD</v>
          </cell>
          <cell r="J740" t="str">
            <v>HONDA CRV</v>
          </cell>
          <cell r="K740" t="str">
            <v>HONDA CRV</v>
          </cell>
          <cell r="L740" t="str">
            <v>CUTTING HONDA CRV</v>
          </cell>
          <cell r="M740" t="str">
            <v>AC90-CRV-04</v>
          </cell>
          <cell r="N740" t="str">
            <v>CUTTING WIRE</v>
          </cell>
          <cell r="O740" t="str">
            <v>B</v>
          </cell>
        </row>
        <row r="741">
          <cell r="A741">
            <v>12285</v>
          </cell>
          <cell r="B741" t="str">
            <v>INAYAH</v>
          </cell>
          <cell r="C741" t="str">
            <v>SAMI</v>
          </cell>
          <cell r="D741" t="str">
            <v>OPT-316</v>
          </cell>
          <cell r="E741">
            <v>40805</v>
          </cell>
          <cell r="F741" t="str">
            <v>-</v>
          </cell>
          <cell r="G741" t="str">
            <v>-</v>
          </cell>
          <cell r="H741" t="str">
            <v>PRD</v>
          </cell>
          <cell r="I741" t="str">
            <v>PRD</v>
          </cell>
          <cell r="J741" t="str">
            <v>HONDA CRV</v>
          </cell>
          <cell r="K741" t="str">
            <v>HONDA CRV</v>
          </cell>
          <cell r="L741" t="str">
            <v>CUTTING HONDA CRV</v>
          </cell>
          <cell r="M741" t="str">
            <v>INSP CUTTING</v>
          </cell>
          <cell r="N741" t="str">
            <v>P/A INSPECTOR</v>
          </cell>
          <cell r="O741" t="str">
            <v>B</v>
          </cell>
        </row>
        <row r="742">
          <cell r="A742">
            <v>20507</v>
          </cell>
          <cell r="B742" t="str">
            <v>NINDI IRCHAMNI</v>
          </cell>
          <cell r="C742" t="str">
            <v>SAMI</v>
          </cell>
          <cell r="D742" t="str">
            <v>OPT-504</v>
          </cell>
          <cell r="E742">
            <v>42634</v>
          </cell>
          <cell r="F742">
            <v>43132</v>
          </cell>
          <cell r="G742">
            <v>43496</v>
          </cell>
          <cell r="H742" t="str">
            <v>PRD</v>
          </cell>
          <cell r="I742" t="str">
            <v>PRD</v>
          </cell>
          <cell r="J742" t="str">
            <v>HONDA CRV</v>
          </cell>
          <cell r="K742" t="str">
            <v>HONDA CRV</v>
          </cell>
          <cell r="L742" t="str">
            <v>CUTTING HONDA CRV</v>
          </cell>
          <cell r="M742" t="str">
            <v>INSP CUTTING</v>
          </cell>
          <cell r="N742" t="str">
            <v>P/A INSPECTOR</v>
          </cell>
          <cell r="O742" t="str">
            <v>B</v>
          </cell>
        </row>
        <row r="743">
          <cell r="A743">
            <v>20794</v>
          </cell>
          <cell r="B743" t="str">
            <v>KHOIROTUL MUNIROH</v>
          </cell>
          <cell r="C743" t="str">
            <v>SAMI</v>
          </cell>
          <cell r="D743" t="str">
            <v>OPT-508</v>
          </cell>
          <cell r="E743">
            <v>42649</v>
          </cell>
          <cell r="F743">
            <v>43132</v>
          </cell>
          <cell r="G743">
            <v>43496</v>
          </cell>
          <cell r="H743" t="str">
            <v>PRD</v>
          </cell>
          <cell r="I743" t="str">
            <v>PRD</v>
          </cell>
          <cell r="J743" t="str">
            <v>HONDA CRV</v>
          </cell>
          <cell r="K743" t="str">
            <v>HONDA CRV</v>
          </cell>
          <cell r="L743" t="str">
            <v>CUTTING HONDA CRV</v>
          </cell>
          <cell r="M743" t="str">
            <v>INSP CUTTING</v>
          </cell>
          <cell r="N743" t="str">
            <v>P/A INSPECTOR</v>
          </cell>
          <cell r="O743" t="str">
            <v>B</v>
          </cell>
        </row>
        <row r="744">
          <cell r="A744">
            <v>21117</v>
          </cell>
          <cell r="B744" t="str">
            <v>LULUK FAUZIYAH</v>
          </cell>
          <cell r="C744" t="str">
            <v>SAMI</v>
          </cell>
          <cell r="D744" t="str">
            <v>OPT-521</v>
          </cell>
          <cell r="E744">
            <v>42867</v>
          </cell>
          <cell r="F744">
            <v>43344</v>
          </cell>
          <cell r="G744">
            <v>43708</v>
          </cell>
          <cell r="H744" t="str">
            <v>PRD</v>
          </cell>
          <cell r="I744" t="str">
            <v>PRD</v>
          </cell>
          <cell r="J744" t="str">
            <v>HONDA CRV</v>
          </cell>
          <cell r="K744" t="str">
            <v>HONDA CRV</v>
          </cell>
          <cell r="L744" t="str">
            <v>CUTTING HONDA CRV</v>
          </cell>
          <cell r="M744" t="str">
            <v>AC81-CRV-01</v>
          </cell>
          <cell r="N744" t="str">
            <v>CUTTING WIRE</v>
          </cell>
          <cell r="O744" t="str">
            <v>B</v>
          </cell>
        </row>
        <row r="745">
          <cell r="A745">
            <v>21161</v>
          </cell>
          <cell r="B745" t="str">
            <v>ILHAM HADI WIJAYA</v>
          </cell>
          <cell r="C745" t="str">
            <v>SAMI</v>
          </cell>
          <cell r="D745" t="str">
            <v>OPT-522</v>
          </cell>
          <cell r="E745">
            <v>42871</v>
          </cell>
          <cell r="F745">
            <v>43374</v>
          </cell>
          <cell r="G745">
            <v>43738</v>
          </cell>
          <cell r="H745" t="str">
            <v>PRD</v>
          </cell>
          <cell r="I745" t="str">
            <v>PRD</v>
          </cell>
          <cell r="J745" t="str">
            <v>HONDA CRV</v>
          </cell>
          <cell r="K745" t="str">
            <v>HONDA CRV</v>
          </cell>
          <cell r="L745" t="str">
            <v>CUTTING HONDA CRV</v>
          </cell>
          <cell r="M745" t="str">
            <v>AC90-CRV-02</v>
          </cell>
          <cell r="N745" t="str">
            <v>CUTTING WIRE</v>
          </cell>
          <cell r="O745" t="str">
            <v>B</v>
          </cell>
        </row>
        <row r="746">
          <cell r="A746">
            <v>21793</v>
          </cell>
          <cell r="B746" t="str">
            <v>SITI MARYAM</v>
          </cell>
          <cell r="C746" t="str">
            <v>SAMI</v>
          </cell>
          <cell r="D746" t="str">
            <v>OPT-540</v>
          </cell>
          <cell r="E746">
            <v>43090</v>
          </cell>
          <cell r="F746">
            <v>43121</v>
          </cell>
          <cell r="G746">
            <v>43496</v>
          </cell>
          <cell r="H746" t="str">
            <v>PRD</v>
          </cell>
          <cell r="I746" t="str">
            <v>PRD</v>
          </cell>
          <cell r="J746" t="str">
            <v>HONDA CRV</v>
          </cell>
          <cell r="K746" t="str">
            <v>HONDA CRV</v>
          </cell>
          <cell r="L746" t="str">
            <v>CUTTING HONDA CRV</v>
          </cell>
          <cell r="M746" t="str">
            <v>AC90-CRV-03</v>
          </cell>
          <cell r="N746" t="str">
            <v>CUTTING WIRE</v>
          </cell>
          <cell r="O746" t="str">
            <v>B</v>
          </cell>
        </row>
        <row r="747">
          <cell r="A747">
            <v>21972</v>
          </cell>
          <cell r="B747" t="str">
            <v>NUR HIDAYATI</v>
          </cell>
          <cell r="C747" t="str">
            <v>SAMI</v>
          </cell>
          <cell r="D747" t="str">
            <v>OPT-545</v>
          </cell>
          <cell r="E747">
            <v>43116</v>
          </cell>
          <cell r="F747">
            <v>43147</v>
          </cell>
          <cell r="G747">
            <v>43524</v>
          </cell>
          <cell r="H747" t="str">
            <v>PRD</v>
          </cell>
          <cell r="I747" t="str">
            <v>PRD</v>
          </cell>
          <cell r="J747" t="str">
            <v>HONDA CRV</v>
          </cell>
          <cell r="K747" t="str">
            <v>HONDA CRV</v>
          </cell>
          <cell r="L747" t="str">
            <v>CUTTING HONDA CRV</v>
          </cell>
          <cell r="M747" t="str">
            <v>INSP CUTTING</v>
          </cell>
          <cell r="N747" t="str">
            <v>P/A INSPECTOR</v>
          </cell>
          <cell r="O747" t="str">
            <v>B</v>
          </cell>
        </row>
        <row r="748">
          <cell r="A748">
            <v>22158</v>
          </cell>
          <cell r="B748" t="str">
            <v>TRI MUHAMAD ADIB</v>
          </cell>
          <cell r="C748" t="str">
            <v>SAMI</v>
          </cell>
          <cell r="D748" t="str">
            <v>OPT-549</v>
          </cell>
          <cell r="E748">
            <v>43153</v>
          </cell>
          <cell r="F748">
            <v>43181</v>
          </cell>
          <cell r="G748">
            <v>43555</v>
          </cell>
          <cell r="H748" t="str">
            <v>PRD</v>
          </cell>
          <cell r="I748" t="str">
            <v>PRD</v>
          </cell>
          <cell r="J748" t="str">
            <v>HONDA CRV</v>
          </cell>
          <cell r="K748" t="str">
            <v>HONDA CRV</v>
          </cell>
          <cell r="L748" t="str">
            <v>CUTTING HONDA CRV</v>
          </cell>
          <cell r="M748" t="str">
            <v>HELPER CUTTING</v>
          </cell>
          <cell r="N748" t="str">
            <v>P/A CONTROLLER</v>
          </cell>
          <cell r="O748" t="str">
            <v>B</v>
          </cell>
        </row>
        <row r="749">
          <cell r="A749">
            <v>22855</v>
          </cell>
          <cell r="B749" t="str">
            <v>MILDA LAILATUS SYARIFAH</v>
          </cell>
          <cell r="C749" t="str">
            <v>SAMI</v>
          </cell>
          <cell r="D749" t="str">
            <v>OPT-567</v>
          </cell>
          <cell r="E749">
            <v>43333</v>
          </cell>
          <cell r="F749">
            <v>43364</v>
          </cell>
          <cell r="G749">
            <v>43738</v>
          </cell>
          <cell r="H749" t="str">
            <v>PRD</v>
          </cell>
          <cell r="I749" t="str">
            <v>PRD</v>
          </cell>
          <cell r="J749" t="str">
            <v>HONDA CRV</v>
          </cell>
          <cell r="K749" t="str">
            <v>HONDA CRV</v>
          </cell>
          <cell r="L749" t="str">
            <v>CUTTING HONDA CRV</v>
          </cell>
          <cell r="M749" t="str">
            <v>OJT INS CUTTING</v>
          </cell>
          <cell r="N749" t="str">
            <v>OTHERS</v>
          </cell>
          <cell r="O749" t="str">
            <v>B</v>
          </cell>
        </row>
        <row r="750">
          <cell r="A750">
            <v>317</v>
          </cell>
          <cell r="B750" t="str">
            <v>NURHUDA</v>
          </cell>
          <cell r="C750" t="str">
            <v>SAMI</v>
          </cell>
          <cell r="D750" t="str">
            <v>OPT-9</v>
          </cell>
          <cell r="E750">
            <v>37725</v>
          </cell>
          <cell r="F750" t="str">
            <v>-</v>
          </cell>
          <cell r="G750" t="str">
            <v>-</v>
          </cell>
          <cell r="H750" t="str">
            <v>PRD</v>
          </cell>
          <cell r="I750" t="str">
            <v>PRD</v>
          </cell>
          <cell r="J750" t="str">
            <v>HONDA EXPORT</v>
          </cell>
          <cell r="K750" t="str">
            <v>HONDA EXPORT</v>
          </cell>
          <cell r="L750" t="str">
            <v>CUTTING HONDA EXPORT 1</v>
          </cell>
          <cell r="M750" t="str">
            <v>INSP CUTTING</v>
          </cell>
          <cell r="N750" t="str">
            <v>P/A INSPECTOR</v>
          </cell>
          <cell r="O750" t="str">
            <v>A</v>
          </cell>
        </row>
        <row r="751">
          <cell r="A751">
            <v>5493</v>
          </cell>
          <cell r="B751" t="str">
            <v>DWI FAJAR RIYANTI</v>
          </cell>
          <cell r="C751" t="str">
            <v>SAMI</v>
          </cell>
          <cell r="D751" t="str">
            <v>OPT-129</v>
          </cell>
          <cell r="E751">
            <v>39022</v>
          </cell>
          <cell r="F751" t="str">
            <v>-</v>
          </cell>
          <cell r="G751" t="str">
            <v>-</v>
          </cell>
          <cell r="H751" t="str">
            <v>PRD</v>
          </cell>
          <cell r="I751" t="str">
            <v>PRD</v>
          </cell>
          <cell r="J751" t="str">
            <v>HONDA EXPORT</v>
          </cell>
          <cell r="K751" t="str">
            <v>HONDA EXPORT</v>
          </cell>
          <cell r="L751" t="str">
            <v>CUTTING HONDA EXPORT 1</v>
          </cell>
          <cell r="M751" t="str">
            <v>INSP CUTTING</v>
          </cell>
          <cell r="N751" t="str">
            <v>P/A INSPECTOR</v>
          </cell>
          <cell r="O751" t="str">
            <v>A</v>
          </cell>
        </row>
        <row r="752">
          <cell r="A752">
            <v>6034</v>
          </cell>
          <cell r="B752" t="str">
            <v>ARI PRAMUDYA WARDANI</v>
          </cell>
          <cell r="C752" t="str">
            <v>SAMI</v>
          </cell>
          <cell r="D752" t="str">
            <v>OPT-139</v>
          </cell>
          <cell r="E752">
            <v>39142</v>
          </cell>
          <cell r="F752" t="str">
            <v>-</v>
          </cell>
          <cell r="G752" t="str">
            <v>-</v>
          </cell>
          <cell r="H752" t="str">
            <v>PRD</v>
          </cell>
          <cell r="I752" t="str">
            <v>PRD</v>
          </cell>
          <cell r="J752" t="str">
            <v>HONDA EXPORT</v>
          </cell>
          <cell r="K752" t="str">
            <v>HONDA EXPORT</v>
          </cell>
          <cell r="L752" t="str">
            <v>CUTTING HONDA EXPORT 1</v>
          </cell>
          <cell r="M752" t="str">
            <v>INSP CUTTING</v>
          </cell>
          <cell r="N752" t="str">
            <v>P/A INSPECTOR</v>
          </cell>
          <cell r="O752" t="str">
            <v>A</v>
          </cell>
        </row>
        <row r="753">
          <cell r="A753">
            <v>8680</v>
          </cell>
          <cell r="B753" t="str">
            <v>ANA YULIYANA</v>
          </cell>
          <cell r="C753" t="str">
            <v>SAMI</v>
          </cell>
          <cell r="D753" t="str">
            <v>OPT-190</v>
          </cell>
          <cell r="E753">
            <v>39888</v>
          </cell>
          <cell r="F753" t="str">
            <v>-</v>
          </cell>
          <cell r="G753" t="str">
            <v>-</v>
          </cell>
          <cell r="H753" t="str">
            <v>PRD</v>
          </cell>
          <cell r="I753" t="str">
            <v>PRD</v>
          </cell>
          <cell r="J753" t="str">
            <v>HONDA EXPORT</v>
          </cell>
          <cell r="K753" t="str">
            <v>HONDA EXPORT</v>
          </cell>
          <cell r="L753" t="str">
            <v>CUTTING HONDA EXPORT 1</v>
          </cell>
          <cell r="M753" t="str">
            <v>INSP CUTTING</v>
          </cell>
          <cell r="N753" t="str">
            <v>P/A INSPECTOR</v>
          </cell>
          <cell r="O753" t="str">
            <v>A</v>
          </cell>
        </row>
        <row r="754">
          <cell r="A754">
            <v>9319</v>
          </cell>
          <cell r="B754" t="str">
            <v>RISA PUJIANTI</v>
          </cell>
          <cell r="C754" t="str">
            <v>SAMI</v>
          </cell>
          <cell r="D754" t="str">
            <v>OPT-216</v>
          </cell>
          <cell r="E754">
            <v>40148</v>
          </cell>
          <cell r="F754" t="str">
            <v>-</v>
          </cell>
          <cell r="G754" t="str">
            <v>-</v>
          </cell>
          <cell r="H754" t="str">
            <v>PRD</v>
          </cell>
          <cell r="I754" t="str">
            <v>PRD</v>
          </cell>
          <cell r="J754" t="str">
            <v>HONDA EXPORT</v>
          </cell>
          <cell r="K754" t="str">
            <v>HONDA EXPORT</v>
          </cell>
          <cell r="L754" t="str">
            <v>CUTTING HONDA EXPORT 1</v>
          </cell>
          <cell r="M754" t="str">
            <v>INSP CUTTING</v>
          </cell>
          <cell r="N754" t="str">
            <v>P/A INSPECTOR</v>
          </cell>
          <cell r="O754" t="str">
            <v>A</v>
          </cell>
        </row>
        <row r="755">
          <cell r="A755">
            <v>10136</v>
          </cell>
          <cell r="B755" t="str">
            <v>YUTIKA TRI LISTIYA</v>
          </cell>
          <cell r="C755" t="str">
            <v>SAMI</v>
          </cell>
          <cell r="D755" t="str">
            <v>OPT-248</v>
          </cell>
          <cell r="E755">
            <v>40444</v>
          </cell>
          <cell r="F755" t="str">
            <v>-</v>
          </cell>
          <cell r="G755" t="str">
            <v>-</v>
          </cell>
          <cell r="H755" t="str">
            <v>PRD</v>
          </cell>
          <cell r="I755" t="str">
            <v>PRD</v>
          </cell>
          <cell r="J755" t="str">
            <v>HONDA EXPORT</v>
          </cell>
          <cell r="K755" t="str">
            <v>HONDA EXPORT</v>
          </cell>
          <cell r="L755" t="str">
            <v>CUTTING HONDA EXPORT 1</v>
          </cell>
          <cell r="M755" t="str">
            <v>INSP CUTTING</v>
          </cell>
          <cell r="N755" t="str">
            <v>P/A INSPECTOR</v>
          </cell>
          <cell r="O755" t="str">
            <v>A</v>
          </cell>
        </row>
        <row r="756">
          <cell r="A756">
            <v>20989</v>
          </cell>
          <cell r="B756" t="str">
            <v>NURUL ARRIZKI</v>
          </cell>
          <cell r="C756" t="str">
            <v>SAMI</v>
          </cell>
          <cell r="D756" t="str">
            <v>OPT-513</v>
          </cell>
          <cell r="E756">
            <v>42674</v>
          </cell>
          <cell r="F756">
            <v>43160</v>
          </cell>
          <cell r="G756">
            <v>43524</v>
          </cell>
          <cell r="H756" t="str">
            <v>PRD</v>
          </cell>
          <cell r="I756" t="str">
            <v>PRD</v>
          </cell>
          <cell r="J756" t="str">
            <v>HONDA EXPORT</v>
          </cell>
          <cell r="K756" t="str">
            <v>HONDA EXPORT</v>
          </cell>
          <cell r="L756" t="str">
            <v>CUTTING HONDA EXPORT 1</v>
          </cell>
          <cell r="M756" t="str">
            <v>INSP CUTTING</v>
          </cell>
          <cell r="N756" t="str">
            <v>P/A INSPECTOR</v>
          </cell>
          <cell r="O756" t="str">
            <v>A</v>
          </cell>
        </row>
        <row r="757">
          <cell r="A757">
            <v>21297</v>
          </cell>
          <cell r="B757" t="str">
            <v>ITA LISTIYANA</v>
          </cell>
          <cell r="C757" t="str">
            <v>SAMI</v>
          </cell>
          <cell r="D757" t="str">
            <v>OPT-530</v>
          </cell>
          <cell r="E757">
            <v>43010</v>
          </cell>
          <cell r="F757">
            <v>43405</v>
          </cell>
          <cell r="G757">
            <v>43769</v>
          </cell>
          <cell r="H757" t="str">
            <v>PRD</v>
          </cell>
          <cell r="I757" t="str">
            <v>PRD</v>
          </cell>
          <cell r="J757" t="str">
            <v>HONDA EXPORT</v>
          </cell>
          <cell r="K757" t="str">
            <v>HONDA EXPORT</v>
          </cell>
          <cell r="L757" t="str">
            <v>CUTTING HONDA EXPORT 1</v>
          </cell>
          <cell r="M757" t="str">
            <v>INSP CUTTING</v>
          </cell>
          <cell r="N757" t="str">
            <v>P/A INSPECTOR</v>
          </cell>
          <cell r="O757" t="str">
            <v>A</v>
          </cell>
        </row>
        <row r="758">
          <cell r="A758">
            <v>21802</v>
          </cell>
          <cell r="B758" t="str">
            <v>SRI WAHYUNI</v>
          </cell>
          <cell r="C758" t="str">
            <v>SAMI</v>
          </cell>
          <cell r="D758" t="str">
            <v>OPT-540</v>
          </cell>
          <cell r="E758">
            <v>43090</v>
          </cell>
          <cell r="F758">
            <v>43121</v>
          </cell>
          <cell r="G758">
            <v>43496</v>
          </cell>
          <cell r="H758" t="str">
            <v>PRD</v>
          </cell>
          <cell r="I758" t="str">
            <v>PRD</v>
          </cell>
          <cell r="J758" t="str">
            <v>HONDA EXPORT</v>
          </cell>
          <cell r="K758" t="str">
            <v>HONDA EXPORT</v>
          </cell>
          <cell r="L758" t="str">
            <v>CUTTING HONDA EXPORT 1</v>
          </cell>
          <cell r="M758" t="str">
            <v>INSP CUTTING</v>
          </cell>
          <cell r="N758" t="str">
            <v>P/A INSPECTOR</v>
          </cell>
          <cell r="O758" t="str">
            <v>A</v>
          </cell>
        </row>
        <row r="759">
          <cell r="A759">
            <v>22435</v>
          </cell>
          <cell r="B759" t="str">
            <v>YULI MULYANI</v>
          </cell>
          <cell r="C759" t="str">
            <v>SAMI</v>
          </cell>
          <cell r="D759" t="str">
            <v>OPT-558</v>
          </cell>
          <cell r="E759">
            <v>43213</v>
          </cell>
          <cell r="F759">
            <v>43243</v>
          </cell>
          <cell r="G759">
            <v>43616</v>
          </cell>
          <cell r="H759" t="str">
            <v>PRD</v>
          </cell>
          <cell r="I759" t="str">
            <v>PRD</v>
          </cell>
          <cell r="J759" t="str">
            <v>HONDA EXPORT</v>
          </cell>
          <cell r="K759" t="str">
            <v>HONDA EXPORT</v>
          </cell>
          <cell r="L759" t="str">
            <v>CUTTING HONDA EXPORT 1</v>
          </cell>
          <cell r="M759" t="str">
            <v>INSP CUTTING</v>
          </cell>
          <cell r="N759" t="str">
            <v>P/A INSPECTOR</v>
          </cell>
          <cell r="O759" t="str">
            <v>A</v>
          </cell>
        </row>
        <row r="760">
          <cell r="A760">
            <v>22869</v>
          </cell>
          <cell r="B760" t="str">
            <v>NURITA</v>
          </cell>
          <cell r="C760" t="str">
            <v>SAMI</v>
          </cell>
          <cell r="D760" t="str">
            <v>OPT-567</v>
          </cell>
          <cell r="E760">
            <v>43333</v>
          </cell>
          <cell r="F760">
            <v>43364</v>
          </cell>
          <cell r="G760">
            <v>43738</v>
          </cell>
          <cell r="H760" t="str">
            <v>PRD</v>
          </cell>
          <cell r="I760" t="str">
            <v>PRD</v>
          </cell>
          <cell r="J760" t="str">
            <v>HONDA EXPORT</v>
          </cell>
          <cell r="K760" t="str">
            <v>HONDA EXPORT</v>
          </cell>
          <cell r="L760" t="str">
            <v>CUTTING HONDA EXPORT 1</v>
          </cell>
          <cell r="M760" t="str">
            <v>INSP CUTTING</v>
          </cell>
          <cell r="N760" t="str">
            <v>P/A INSPECTOR</v>
          </cell>
          <cell r="O760" t="str">
            <v>A</v>
          </cell>
        </row>
        <row r="761">
          <cell r="A761" t="str">
            <v>B01763</v>
          </cell>
          <cell r="B761" t="str">
            <v>AISAH NUR UMIYATI</v>
          </cell>
          <cell r="C761" t="str">
            <v>SAMI</v>
          </cell>
          <cell r="D761" t="str">
            <v>BBF-066</v>
          </cell>
          <cell r="E761">
            <v>41435</v>
          </cell>
          <cell r="F761" t="str">
            <v>-</v>
          </cell>
          <cell r="G761" t="str">
            <v>-</v>
          </cell>
          <cell r="H761" t="str">
            <v>PRD</v>
          </cell>
          <cell r="I761" t="str">
            <v>PRD</v>
          </cell>
          <cell r="J761" t="str">
            <v>HONDA EXPORT</v>
          </cell>
          <cell r="K761" t="str">
            <v>HONDA EXPORT</v>
          </cell>
          <cell r="L761" t="str">
            <v>CUTTING HONDA EXPORT 1</v>
          </cell>
          <cell r="M761" t="str">
            <v>INSP CUTTING</v>
          </cell>
          <cell r="N761" t="str">
            <v>P/A INSPECTOR</v>
          </cell>
          <cell r="O761" t="str">
            <v>A</v>
          </cell>
        </row>
        <row r="762">
          <cell r="A762">
            <v>329</v>
          </cell>
          <cell r="B762" t="str">
            <v>ISNAINI</v>
          </cell>
          <cell r="C762" t="str">
            <v>SAMI</v>
          </cell>
          <cell r="D762" t="str">
            <v>OPT-9</v>
          </cell>
          <cell r="E762">
            <v>37725</v>
          </cell>
          <cell r="F762" t="str">
            <v>-</v>
          </cell>
          <cell r="G762" t="str">
            <v>-</v>
          </cell>
          <cell r="H762" t="str">
            <v>PRD</v>
          </cell>
          <cell r="I762" t="str">
            <v>PRD</v>
          </cell>
          <cell r="J762" t="str">
            <v>HONDA EXPORT</v>
          </cell>
          <cell r="K762" t="str">
            <v>HONDA EXPORT</v>
          </cell>
          <cell r="L762" t="str">
            <v>CUTTING HONDA EXPORT 1</v>
          </cell>
          <cell r="M762" t="str">
            <v>INSP CUTTING</v>
          </cell>
          <cell r="N762" t="str">
            <v>P/A INSPECTOR</v>
          </cell>
          <cell r="O762" t="str">
            <v>B</v>
          </cell>
        </row>
        <row r="763">
          <cell r="A763">
            <v>5803</v>
          </cell>
          <cell r="B763" t="str">
            <v>RINI ROHKAYATI</v>
          </cell>
          <cell r="C763" t="str">
            <v>SAMI</v>
          </cell>
          <cell r="D763" t="str">
            <v>OPT-135</v>
          </cell>
          <cell r="E763">
            <v>39114</v>
          </cell>
          <cell r="F763" t="str">
            <v>-</v>
          </cell>
          <cell r="G763" t="str">
            <v>-</v>
          </cell>
          <cell r="H763" t="str">
            <v>PRD</v>
          </cell>
          <cell r="I763" t="str">
            <v>PRD</v>
          </cell>
          <cell r="J763" t="str">
            <v>HONDA EXPORT</v>
          </cell>
          <cell r="K763" t="str">
            <v>HONDA EXPORT</v>
          </cell>
          <cell r="L763" t="str">
            <v>CUTTING HONDA EXPORT 1</v>
          </cell>
          <cell r="M763" t="str">
            <v>INSP CUTTING</v>
          </cell>
          <cell r="N763" t="str">
            <v>P/A INSPECTOR</v>
          </cell>
          <cell r="O763" t="str">
            <v>B</v>
          </cell>
        </row>
        <row r="764">
          <cell r="A764">
            <v>5963</v>
          </cell>
          <cell r="B764" t="str">
            <v>WIJI LESTARI</v>
          </cell>
          <cell r="C764" t="str">
            <v>SAMI</v>
          </cell>
          <cell r="D764" t="str">
            <v>OPT-137</v>
          </cell>
          <cell r="E764">
            <v>39129</v>
          </cell>
          <cell r="F764" t="str">
            <v>-</v>
          </cell>
          <cell r="G764" t="str">
            <v>-</v>
          </cell>
          <cell r="H764" t="str">
            <v>PRD</v>
          </cell>
          <cell r="I764" t="str">
            <v>PRD</v>
          </cell>
          <cell r="J764" t="str">
            <v>HONDA EXPORT</v>
          </cell>
          <cell r="K764" t="str">
            <v>HONDA EXPORT</v>
          </cell>
          <cell r="L764" t="str">
            <v>CUTTING HONDA EXPORT 1</v>
          </cell>
          <cell r="M764" t="str">
            <v>INSP CUTTING</v>
          </cell>
          <cell r="N764" t="str">
            <v>P/A INSPECTOR</v>
          </cell>
          <cell r="O764" t="str">
            <v>B</v>
          </cell>
        </row>
        <row r="765">
          <cell r="A765">
            <v>6163</v>
          </cell>
          <cell r="B765" t="str">
            <v>SRI LESTARI</v>
          </cell>
          <cell r="C765" t="str">
            <v>SAMI</v>
          </cell>
          <cell r="D765" t="str">
            <v>OPT-140</v>
          </cell>
          <cell r="E765">
            <v>39157</v>
          </cell>
          <cell r="F765" t="str">
            <v>-</v>
          </cell>
          <cell r="G765" t="str">
            <v>-</v>
          </cell>
          <cell r="H765" t="str">
            <v>PRD</v>
          </cell>
          <cell r="I765" t="str">
            <v>PRD</v>
          </cell>
          <cell r="J765" t="str">
            <v>HONDA EXPORT</v>
          </cell>
          <cell r="K765" t="str">
            <v>HONDA EXPORT</v>
          </cell>
          <cell r="L765" t="str">
            <v>CUTTING HONDA EXPORT 1</v>
          </cell>
          <cell r="M765" t="str">
            <v>INSP CUTTING</v>
          </cell>
          <cell r="N765" t="str">
            <v>P/A INSPECTOR</v>
          </cell>
          <cell r="O765" t="str">
            <v>B</v>
          </cell>
        </row>
        <row r="766">
          <cell r="A766">
            <v>8819</v>
          </cell>
          <cell r="B766" t="str">
            <v>DWI ARYANTI</v>
          </cell>
          <cell r="C766" t="str">
            <v>SAMI</v>
          </cell>
          <cell r="D766" t="str">
            <v>OPT-195</v>
          </cell>
          <cell r="E766">
            <v>39937</v>
          </cell>
          <cell r="F766" t="str">
            <v>-</v>
          </cell>
          <cell r="G766" t="str">
            <v>-</v>
          </cell>
          <cell r="H766" t="str">
            <v>PRD</v>
          </cell>
          <cell r="I766" t="str">
            <v>PRD</v>
          </cell>
          <cell r="J766" t="str">
            <v>HONDA EXPORT</v>
          </cell>
          <cell r="K766" t="str">
            <v>HONDA EXPORT</v>
          </cell>
          <cell r="L766" t="str">
            <v>CUTTING HONDA EXPORT 1</v>
          </cell>
          <cell r="M766" t="str">
            <v>INSP CUTTING</v>
          </cell>
          <cell r="N766" t="str">
            <v>P/A INSPECTOR</v>
          </cell>
          <cell r="O766" t="str">
            <v>B</v>
          </cell>
        </row>
        <row r="767">
          <cell r="A767">
            <v>9358</v>
          </cell>
          <cell r="B767" t="str">
            <v>WIWIK HIDAYATI</v>
          </cell>
          <cell r="C767" t="str">
            <v>SAMI</v>
          </cell>
          <cell r="D767" t="str">
            <v>OPT-216</v>
          </cell>
          <cell r="E767">
            <v>40148</v>
          </cell>
          <cell r="F767" t="str">
            <v>-</v>
          </cell>
          <cell r="G767" t="str">
            <v>-</v>
          </cell>
          <cell r="H767" t="str">
            <v>PRD</v>
          </cell>
          <cell r="I767" t="str">
            <v>PRD</v>
          </cell>
          <cell r="J767" t="str">
            <v>HONDA EXPORT</v>
          </cell>
          <cell r="K767" t="str">
            <v>HONDA EXPORT</v>
          </cell>
          <cell r="L767" t="str">
            <v>CUTTING HONDA EXPORT 1</v>
          </cell>
          <cell r="M767" t="str">
            <v>INSP CUTTING</v>
          </cell>
          <cell r="N767" t="str">
            <v>P/A INSPECTOR</v>
          </cell>
          <cell r="O767" t="str">
            <v>B</v>
          </cell>
        </row>
        <row r="768">
          <cell r="A768">
            <v>9521</v>
          </cell>
          <cell r="B768" t="str">
            <v>NITA PURNAMA SARI</v>
          </cell>
          <cell r="C768" t="str">
            <v>SAMI</v>
          </cell>
          <cell r="D768" t="str">
            <v>OPT-216</v>
          </cell>
          <cell r="E768">
            <v>40148</v>
          </cell>
          <cell r="F768" t="str">
            <v>-</v>
          </cell>
          <cell r="G768" t="str">
            <v>-</v>
          </cell>
          <cell r="H768" t="str">
            <v>PRD</v>
          </cell>
          <cell r="I768" t="str">
            <v>PRD</v>
          </cell>
          <cell r="J768" t="str">
            <v>HONDA EXPORT</v>
          </cell>
          <cell r="K768" t="str">
            <v>HONDA EXPORT</v>
          </cell>
          <cell r="L768" t="str">
            <v>CUTTING HONDA EXPORT 1</v>
          </cell>
          <cell r="M768" t="str">
            <v>INSP CUTTING</v>
          </cell>
          <cell r="N768" t="str">
            <v>P/A INSPECTOR</v>
          </cell>
          <cell r="O768" t="str">
            <v>B</v>
          </cell>
        </row>
        <row r="769">
          <cell r="A769">
            <v>9952</v>
          </cell>
          <cell r="B769" t="str">
            <v>NURUL HIDAYATI</v>
          </cell>
          <cell r="C769" t="str">
            <v>SAMI</v>
          </cell>
          <cell r="D769" t="str">
            <v>OPT-246</v>
          </cell>
          <cell r="E769">
            <v>40431</v>
          </cell>
          <cell r="F769" t="str">
            <v>-</v>
          </cell>
          <cell r="G769" t="str">
            <v>-</v>
          </cell>
          <cell r="H769" t="str">
            <v>PRD</v>
          </cell>
          <cell r="I769" t="str">
            <v>PRD</v>
          </cell>
          <cell r="J769" t="str">
            <v>HONDA EXPORT</v>
          </cell>
          <cell r="K769" t="str">
            <v>HONDA EXPORT</v>
          </cell>
          <cell r="L769" t="str">
            <v>CUTTING HONDA EXPORT 1</v>
          </cell>
          <cell r="M769" t="str">
            <v>INSP CUTTING</v>
          </cell>
          <cell r="N769" t="str">
            <v>P/A INSPECTOR</v>
          </cell>
          <cell r="O769" t="str">
            <v>B</v>
          </cell>
        </row>
        <row r="770">
          <cell r="A770">
            <v>10319</v>
          </cell>
          <cell r="B770" t="str">
            <v>MUFLIKHATUL FAUZIYAH</v>
          </cell>
          <cell r="C770" t="str">
            <v>SAMI</v>
          </cell>
          <cell r="D770" t="str">
            <v>OPT-265</v>
          </cell>
          <cell r="E770">
            <v>40511</v>
          </cell>
          <cell r="F770" t="str">
            <v>-</v>
          </cell>
          <cell r="G770" t="str">
            <v>-</v>
          </cell>
          <cell r="H770" t="str">
            <v>PRD</v>
          </cell>
          <cell r="I770" t="str">
            <v>PRD</v>
          </cell>
          <cell r="J770" t="str">
            <v>HONDA EXPORT</v>
          </cell>
          <cell r="K770" t="str">
            <v>HONDA EXPORT</v>
          </cell>
          <cell r="L770" t="str">
            <v>CUTTING HONDA EXPORT 1</v>
          </cell>
          <cell r="M770" t="str">
            <v>INSP CUTTING</v>
          </cell>
          <cell r="N770" t="str">
            <v>P/A INSPECTOR</v>
          </cell>
          <cell r="O770" t="str">
            <v>B</v>
          </cell>
        </row>
        <row r="771">
          <cell r="A771">
            <v>10514</v>
          </cell>
          <cell r="B771" t="str">
            <v>NOOR LAELY</v>
          </cell>
          <cell r="C771" t="str">
            <v>SAMI</v>
          </cell>
          <cell r="D771" t="str">
            <v>OPT-273</v>
          </cell>
          <cell r="E771">
            <v>40535</v>
          </cell>
          <cell r="F771" t="str">
            <v>-</v>
          </cell>
          <cell r="G771" t="str">
            <v>-</v>
          </cell>
          <cell r="H771" t="str">
            <v>PRD</v>
          </cell>
          <cell r="I771" t="str">
            <v>PRD</v>
          </cell>
          <cell r="J771" t="str">
            <v>HONDA EXPORT</v>
          </cell>
          <cell r="K771" t="str">
            <v>HONDA EXPORT</v>
          </cell>
          <cell r="L771" t="str">
            <v>CUTTING HONDA EXPORT 1</v>
          </cell>
          <cell r="M771" t="str">
            <v>INSP CUTTING</v>
          </cell>
          <cell r="N771" t="str">
            <v>P/A INSPECTOR</v>
          </cell>
          <cell r="O771" t="str">
            <v>B</v>
          </cell>
        </row>
        <row r="772">
          <cell r="A772">
            <v>12462</v>
          </cell>
          <cell r="B772" t="str">
            <v>FITRI LESTARI</v>
          </cell>
          <cell r="C772" t="str">
            <v>SAMI</v>
          </cell>
          <cell r="D772" t="str">
            <v>OPT-318</v>
          </cell>
          <cell r="E772">
            <v>40812</v>
          </cell>
          <cell r="F772" t="str">
            <v>-</v>
          </cell>
          <cell r="G772" t="str">
            <v>-</v>
          </cell>
          <cell r="H772" t="str">
            <v>PRD</v>
          </cell>
          <cell r="I772" t="str">
            <v>PRD</v>
          </cell>
          <cell r="J772" t="str">
            <v>HONDA EXPORT</v>
          </cell>
          <cell r="K772" t="str">
            <v>HONDA EXPORT</v>
          </cell>
          <cell r="L772" t="str">
            <v>CUTTING HONDA EXPORT 1</v>
          </cell>
          <cell r="M772" t="str">
            <v>INSP CUTTING</v>
          </cell>
          <cell r="N772" t="str">
            <v>P/A INSPECTOR</v>
          </cell>
          <cell r="O772" t="str">
            <v>B</v>
          </cell>
        </row>
        <row r="773">
          <cell r="A773">
            <v>21788</v>
          </cell>
          <cell r="B773" t="str">
            <v>SEFI DWI JAYANTI</v>
          </cell>
          <cell r="C773" t="str">
            <v>SAMI</v>
          </cell>
          <cell r="D773" t="str">
            <v>OPT-540</v>
          </cell>
          <cell r="E773">
            <v>43090</v>
          </cell>
          <cell r="F773">
            <v>43121</v>
          </cell>
          <cell r="G773">
            <v>43496</v>
          </cell>
          <cell r="H773" t="str">
            <v>PRD</v>
          </cell>
          <cell r="I773" t="str">
            <v>PRD</v>
          </cell>
          <cell r="J773" t="str">
            <v>HONDA EXPORT</v>
          </cell>
          <cell r="K773" t="str">
            <v>HONDA EXPORT</v>
          </cell>
          <cell r="L773" t="str">
            <v>CUTTING HONDA EXPORT 1</v>
          </cell>
          <cell r="M773" t="str">
            <v>INSP CUTTING</v>
          </cell>
          <cell r="N773" t="str">
            <v>P/A INSPECTOR</v>
          </cell>
          <cell r="O773" t="str">
            <v>B</v>
          </cell>
        </row>
        <row r="774">
          <cell r="A774">
            <v>22831</v>
          </cell>
          <cell r="B774" t="str">
            <v>FEBRIANA FINA LORESTA</v>
          </cell>
          <cell r="C774" t="str">
            <v>SAMI</v>
          </cell>
          <cell r="D774" t="str">
            <v>OPT-567</v>
          </cell>
          <cell r="E774">
            <v>43333</v>
          </cell>
          <cell r="F774">
            <v>43364</v>
          </cell>
          <cell r="G774">
            <v>43738</v>
          </cell>
          <cell r="H774" t="str">
            <v>PRD</v>
          </cell>
          <cell r="I774" t="str">
            <v>PRD</v>
          </cell>
          <cell r="J774" t="str">
            <v>HONDA EXPORT</v>
          </cell>
          <cell r="K774" t="str">
            <v>HONDA EXPORT</v>
          </cell>
          <cell r="L774" t="str">
            <v>CUTTING HONDA EXPORT 1</v>
          </cell>
          <cell r="M774" t="str">
            <v>INSP CUTTING</v>
          </cell>
          <cell r="N774" t="str">
            <v>P/A INSPECTOR</v>
          </cell>
          <cell r="O774" t="str">
            <v>B</v>
          </cell>
        </row>
        <row r="775">
          <cell r="A775" t="str">
            <v>B00282</v>
          </cell>
          <cell r="B775" t="str">
            <v>EMI APRIANTI</v>
          </cell>
          <cell r="C775" t="str">
            <v>SAMI</v>
          </cell>
          <cell r="D775" t="str">
            <v>BBF-005</v>
          </cell>
          <cell r="E775">
            <v>40854</v>
          </cell>
          <cell r="F775" t="str">
            <v>-</v>
          </cell>
          <cell r="G775" t="str">
            <v>-</v>
          </cell>
          <cell r="H775" t="str">
            <v>PRD</v>
          </cell>
          <cell r="I775" t="str">
            <v>PRD</v>
          </cell>
          <cell r="J775" t="str">
            <v>HONDA EXPORT</v>
          </cell>
          <cell r="K775" t="str">
            <v>HONDA EXPORT</v>
          </cell>
          <cell r="L775" t="str">
            <v>CUTTING HONDA EXPORT 1</v>
          </cell>
          <cell r="M775" t="str">
            <v>INSP CUTTING</v>
          </cell>
          <cell r="N775" t="str">
            <v>P/A INSPECTOR</v>
          </cell>
          <cell r="O775" t="str">
            <v>B</v>
          </cell>
        </row>
        <row r="776">
          <cell r="A776">
            <v>4521</v>
          </cell>
          <cell r="B776" t="str">
            <v>INDAH MAWADDAH</v>
          </cell>
          <cell r="C776" t="str">
            <v>SAMI</v>
          </cell>
          <cell r="D776" t="str">
            <v>OPT-111</v>
          </cell>
          <cell r="E776">
            <v>38789</v>
          </cell>
          <cell r="F776" t="str">
            <v>-</v>
          </cell>
          <cell r="G776" t="str">
            <v>-</v>
          </cell>
          <cell r="H776" t="str">
            <v>PRD</v>
          </cell>
          <cell r="I776" t="str">
            <v>PRD</v>
          </cell>
          <cell r="J776" t="str">
            <v>HONDA EXPORT</v>
          </cell>
          <cell r="K776" t="str">
            <v>HONDA EXPORT</v>
          </cell>
          <cell r="L776" t="str">
            <v>CUTTING HONDA EXPORT 2</v>
          </cell>
          <cell r="M776" t="str">
            <v>AC90-HDA-18</v>
          </cell>
          <cell r="N776" t="str">
            <v>CUTTING WIRE</v>
          </cell>
          <cell r="O776" t="str">
            <v>A</v>
          </cell>
        </row>
        <row r="777">
          <cell r="A777">
            <v>5248</v>
          </cell>
          <cell r="B777" t="str">
            <v>SEPTI HANDAYANI</v>
          </cell>
          <cell r="C777" t="str">
            <v>SAMI</v>
          </cell>
          <cell r="D777" t="str">
            <v>OPT-125</v>
          </cell>
          <cell r="E777">
            <v>38961</v>
          </cell>
          <cell r="F777" t="str">
            <v>-</v>
          </cell>
          <cell r="G777" t="str">
            <v>-</v>
          </cell>
          <cell r="H777" t="str">
            <v>PRD</v>
          </cell>
          <cell r="I777" t="str">
            <v>PRD</v>
          </cell>
          <cell r="J777" t="str">
            <v>HONDA EXPORT</v>
          </cell>
          <cell r="K777" t="str">
            <v>HONDA EXPORT</v>
          </cell>
          <cell r="L777" t="str">
            <v>CUTTING HONDA EXPORT 2</v>
          </cell>
          <cell r="M777" t="str">
            <v>AC90-HDA-14</v>
          </cell>
          <cell r="N777" t="str">
            <v>CUTTING WIRE</v>
          </cell>
          <cell r="O777" t="str">
            <v>A</v>
          </cell>
        </row>
        <row r="778">
          <cell r="A778">
            <v>5705</v>
          </cell>
          <cell r="B778" t="str">
            <v>INDRI SETIYOWATI</v>
          </cell>
          <cell r="C778" t="str">
            <v>SAMI</v>
          </cell>
          <cell r="D778" t="str">
            <v>OPT-134</v>
          </cell>
          <cell r="E778">
            <v>39098</v>
          </cell>
          <cell r="F778" t="str">
            <v>-</v>
          </cell>
          <cell r="G778" t="str">
            <v>-</v>
          </cell>
          <cell r="H778" t="str">
            <v>PRD</v>
          </cell>
          <cell r="I778" t="str">
            <v>PRD</v>
          </cell>
          <cell r="J778" t="str">
            <v>HONDA EXPORT</v>
          </cell>
          <cell r="K778" t="str">
            <v>HONDA EXPORT</v>
          </cell>
          <cell r="L778" t="str">
            <v>CUTTING HONDA EXPORT 2</v>
          </cell>
          <cell r="M778" t="str">
            <v>AC90-HDA-19</v>
          </cell>
          <cell r="N778" t="str">
            <v>CUTTING WIRE</v>
          </cell>
          <cell r="O778" t="str">
            <v>A</v>
          </cell>
        </row>
        <row r="779">
          <cell r="A779">
            <v>11252</v>
          </cell>
          <cell r="B779" t="str">
            <v>ENDANG SAYUTI</v>
          </cell>
          <cell r="C779" t="str">
            <v>SAMI</v>
          </cell>
          <cell r="D779" t="str">
            <v>OPT-294</v>
          </cell>
          <cell r="E779">
            <v>40617</v>
          </cell>
          <cell r="F779" t="str">
            <v>-</v>
          </cell>
          <cell r="G779" t="str">
            <v>-</v>
          </cell>
          <cell r="H779" t="str">
            <v>PRD</v>
          </cell>
          <cell r="I779" t="str">
            <v>PRD</v>
          </cell>
          <cell r="J779" t="str">
            <v>HONDA EXPORT</v>
          </cell>
          <cell r="K779" t="str">
            <v>HONDA EXPORT</v>
          </cell>
          <cell r="L779" t="str">
            <v>CUTTING HONDA EXPORT 2</v>
          </cell>
          <cell r="M779" t="str">
            <v>AC81-HDA-03</v>
          </cell>
          <cell r="N779" t="str">
            <v>CUTTING WIRE</v>
          </cell>
          <cell r="O779" t="str">
            <v>A</v>
          </cell>
        </row>
        <row r="780">
          <cell r="A780">
            <v>11610</v>
          </cell>
          <cell r="B780" t="str">
            <v>SITI AISYAH</v>
          </cell>
          <cell r="C780" t="str">
            <v>SAMI</v>
          </cell>
          <cell r="D780" t="str">
            <v>OPT-307</v>
          </cell>
          <cell r="E780">
            <v>40707</v>
          </cell>
          <cell r="F780" t="str">
            <v>-</v>
          </cell>
          <cell r="G780" t="str">
            <v>-</v>
          </cell>
          <cell r="H780" t="str">
            <v>PRD</v>
          </cell>
          <cell r="I780" t="str">
            <v>PRD</v>
          </cell>
          <cell r="J780" t="str">
            <v>HONDA EXPORT</v>
          </cell>
          <cell r="K780" t="str">
            <v>HONDA EXPORT</v>
          </cell>
          <cell r="L780" t="str">
            <v>CUTTING HONDA EXPORT 2</v>
          </cell>
          <cell r="M780" t="str">
            <v>AC90-HDA-03</v>
          </cell>
          <cell r="N780" t="str">
            <v>CUTTING WIRE</v>
          </cell>
          <cell r="O780" t="str">
            <v>A</v>
          </cell>
        </row>
        <row r="781">
          <cell r="A781">
            <v>187</v>
          </cell>
          <cell r="B781" t="str">
            <v>SUKOWATI</v>
          </cell>
          <cell r="C781" t="str">
            <v>SAMI</v>
          </cell>
          <cell r="D781" t="str">
            <v>OPT-5</v>
          </cell>
          <cell r="E781">
            <v>37679</v>
          </cell>
          <cell r="F781" t="str">
            <v>-</v>
          </cell>
          <cell r="G781" t="str">
            <v>-</v>
          </cell>
          <cell r="H781" t="str">
            <v>PRD</v>
          </cell>
          <cell r="I781" t="str">
            <v>PRD</v>
          </cell>
          <cell r="J781" t="str">
            <v>HONDA EXPORT</v>
          </cell>
          <cell r="K781" t="str">
            <v>HONDA EXPORT</v>
          </cell>
          <cell r="L781" t="str">
            <v>CUTTING HONDA EXPORT 2</v>
          </cell>
          <cell r="M781" t="str">
            <v>SUB LINE CHO</v>
          </cell>
          <cell r="N781" t="str">
            <v>GL</v>
          </cell>
          <cell r="O781" t="str">
            <v>B</v>
          </cell>
        </row>
        <row r="782">
          <cell r="A782">
            <v>1315</v>
          </cell>
          <cell r="B782" t="str">
            <v>ENDANG KUSFIATI</v>
          </cell>
          <cell r="C782" t="str">
            <v>SAMI</v>
          </cell>
          <cell r="D782" t="str">
            <v>OPT-32</v>
          </cell>
          <cell r="E782">
            <v>37928</v>
          </cell>
          <cell r="F782" t="str">
            <v>-</v>
          </cell>
          <cell r="G782" t="str">
            <v>-</v>
          </cell>
          <cell r="H782" t="str">
            <v>PRD</v>
          </cell>
          <cell r="I782" t="str">
            <v>PRD</v>
          </cell>
          <cell r="J782" t="str">
            <v>HONDA EXPORT</v>
          </cell>
          <cell r="K782" t="str">
            <v>HONDA EXPORT</v>
          </cell>
          <cell r="L782" t="str">
            <v>CUTTING HONDA EXPORT 2</v>
          </cell>
          <cell r="M782" t="str">
            <v>AC81-HDA-03</v>
          </cell>
          <cell r="N782" t="str">
            <v>CUTTING WIRE</v>
          </cell>
          <cell r="O782" t="str">
            <v>B</v>
          </cell>
        </row>
        <row r="783">
          <cell r="A783">
            <v>9716</v>
          </cell>
          <cell r="B783" t="str">
            <v>SOLEKHAH TUNGGAL D.</v>
          </cell>
          <cell r="C783" t="str">
            <v>SAMI</v>
          </cell>
          <cell r="D783" t="str">
            <v>OPT-223</v>
          </cell>
          <cell r="E783">
            <v>40299</v>
          </cell>
          <cell r="F783" t="str">
            <v>-</v>
          </cell>
          <cell r="G783" t="str">
            <v>-</v>
          </cell>
          <cell r="H783" t="str">
            <v>PRD</v>
          </cell>
          <cell r="I783" t="str">
            <v>PRD</v>
          </cell>
          <cell r="J783" t="str">
            <v>HONDA EXPORT</v>
          </cell>
          <cell r="K783" t="str">
            <v>HONDA EXPORT</v>
          </cell>
          <cell r="L783" t="str">
            <v>CUTTING HONDA EXPORT 2</v>
          </cell>
          <cell r="M783" t="str">
            <v>AC90-HDA-03</v>
          </cell>
          <cell r="N783" t="str">
            <v>CUTTING WIRE</v>
          </cell>
          <cell r="O783" t="str">
            <v>B</v>
          </cell>
        </row>
        <row r="784">
          <cell r="A784">
            <v>10540</v>
          </cell>
          <cell r="B784" t="str">
            <v>ANA RAHAYU</v>
          </cell>
          <cell r="C784" t="str">
            <v>SAMI</v>
          </cell>
          <cell r="D784" t="str">
            <v>OPT-275</v>
          </cell>
          <cell r="E784">
            <v>40542</v>
          </cell>
          <cell r="F784" t="str">
            <v>-</v>
          </cell>
          <cell r="G784" t="str">
            <v>-</v>
          </cell>
          <cell r="H784" t="str">
            <v>PRD</v>
          </cell>
          <cell r="I784" t="str">
            <v>PRD</v>
          </cell>
          <cell r="J784" t="str">
            <v>HONDA EXPORT</v>
          </cell>
          <cell r="K784" t="str">
            <v>HONDA EXPORT</v>
          </cell>
          <cell r="L784" t="str">
            <v>CUTTING HONDA EXPORT 2</v>
          </cell>
          <cell r="M784" t="str">
            <v>AC90-HDA-14</v>
          </cell>
          <cell r="N784" t="str">
            <v>CUTTING WIRE</v>
          </cell>
          <cell r="O784" t="str">
            <v>B</v>
          </cell>
        </row>
        <row r="785">
          <cell r="A785">
            <v>12683</v>
          </cell>
          <cell r="B785" t="str">
            <v>MUJIBUROKHMAN</v>
          </cell>
          <cell r="C785" t="str">
            <v>SAMI</v>
          </cell>
          <cell r="D785" t="str">
            <v>OPT-320</v>
          </cell>
          <cell r="E785">
            <v>40819</v>
          </cell>
          <cell r="F785" t="str">
            <v>-</v>
          </cell>
          <cell r="G785" t="str">
            <v>-</v>
          </cell>
          <cell r="H785" t="str">
            <v>PRD</v>
          </cell>
          <cell r="I785" t="str">
            <v>PRD</v>
          </cell>
          <cell r="J785" t="str">
            <v>HONDA EXPORT</v>
          </cell>
          <cell r="K785" t="str">
            <v>HONDA EXPORT</v>
          </cell>
          <cell r="L785" t="str">
            <v>CUTTING HONDA EXPORT 2</v>
          </cell>
          <cell r="M785" t="str">
            <v>KODERA</v>
          </cell>
          <cell r="N785" t="str">
            <v>CUTTING WIRE</v>
          </cell>
          <cell r="O785" t="str">
            <v>B</v>
          </cell>
        </row>
        <row r="786">
          <cell r="A786">
            <v>12743</v>
          </cell>
          <cell r="B786" t="str">
            <v>SITI KHADARIYAH</v>
          </cell>
          <cell r="C786" t="str">
            <v>SAMI</v>
          </cell>
          <cell r="D786" t="str">
            <v>OPT-320</v>
          </cell>
          <cell r="E786">
            <v>40819</v>
          </cell>
          <cell r="F786" t="str">
            <v>-</v>
          </cell>
          <cell r="G786" t="str">
            <v>-</v>
          </cell>
          <cell r="H786" t="str">
            <v>PRD</v>
          </cell>
          <cell r="I786" t="str">
            <v>PRD</v>
          </cell>
          <cell r="J786" t="str">
            <v>HONDA EXPORT</v>
          </cell>
          <cell r="K786" t="str">
            <v>HONDA EXPORT</v>
          </cell>
          <cell r="L786" t="str">
            <v>CUTTING HONDA EXPORT 2</v>
          </cell>
          <cell r="M786" t="str">
            <v>AC90-HDA-18</v>
          </cell>
          <cell r="N786" t="str">
            <v>CUTTING WIRE</v>
          </cell>
          <cell r="O786" t="str">
            <v>B</v>
          </cell>
        </row>
        <row r="787">
          <cell r="A787">
            <v>12757</v>
          </cell>
          <cell r="B787" t="str">
            <v>SOLEKAH</v>
          </cell>
          <cell r="C787" t="str">
            <v>SAMI</v>
          </cell>
          <cell r="D787" t="str">
            <v>OPT-320</v>
          </cell>
          <cell r="E787">
            <v>40819</v>
          </cell>
          <cell r="F787" t="str">
            <v>-</v>
          </cell>
          <cell r="G787" t="str">
            <v>-</v>
          </cell>
          <cell r="H787" t="str">
            <v>PRD</v>
          </cell>
          <cell r="I787" t="str">
            <v>PRD</v>
          </cell>
          <cell r="J787" t="str">
            <v>HONDA EXPORT</v>
          </cell>
          <cell r="K787" t="str">
            <v>HONDA EXPORT</v>
          </cell>
          <cell r="L787" t="str">
            <v>CUTTING HONDA EXPORT 2</v>
          </cell>
          <cell r="M787" t="str">
            <v>AC90-HDA-16</v>
          </cell>
          <cell r="N787" t="str">
            <v>CUTTING WIRE</v>
          </cell>
          <cell r="O787" t="str">
            <v>B</v>
          </cell>
        </row>
        <row r="788">
          <cell r="A788">
            <v>5733</v>
          </cell>
          <cell r="B788" t="str">
            <v>SRI MULYANI</v>
          </cell>
          <cell r="C788" t="str">
            <v>SAMI</v>
          </cell>
          <cell r="D788" t="str">
            <v>OPT-134</v>
          </cell>
          <cell r="E788">
            <v>39098</v>
          </cell>
          <cell r="F788" t="str">
            <v>-</v>
          </cell>
          <cell r="G788" t="str">
            <v>-</v>
          </cell>
          <cell r="H788" t="str">
            <v>PRD</v>
          </cell>
          <cell r="I788" t="str">
            <v>PRD</v>
          </cell>
          <cell r="J788" t="str">
            <v>HONDA EXPORT</v>
          </cell>
          <cell r="K788" t="str">
            <v>HONDA EXPORT</v>
          </cell>
          <cell r="L788" t="str">
            <v>CUTTING HONDA EXPORT 3</v>
          </cell>
          <cell r="M788" t="str">
            <v>AC90-HDA-06</v>
          </cell>
          <cell r="N788" t="str">
            <v>CUTTING WIRE</v>
          </cell>
          <cell r="O788" t="str">
            <v>A</v>
          </cell>
        </row>
        <row r="789">
          <cell r="A789">
            <v>9890</v>
          </cell>
          <cell r="B789" t="str">
            <v>GADISTI NUR INDRASARI</v>
          </cell>
          <cell r="C789" t="str">
            <v>SAMI</v>
          </cell>
          <cell r="D789" t="str">
            <v>OPT-244</v>
          </cell>
          <cell r="E789">
            <v>40424</v>
          </cell>
          <cell r="F789" t="str">
            <v>-</v>
          </cell>
          <cell r="G789" t="str">
            <v>-</v>
          </cell>
          <cell r="H789" t="str">
            <v>PRD</v>
          </cell>
          <cell r="I789" t="str">
            <v>PRD</v>
          </cell>
          <cell r="J789" t="str">
            <v>HONDA EXPORT</v>
          </cell>
          <cell r="K789" t="str">
            <v>HONDA EXPORT</v>
          </cell>
          <cell r="L789" t="str">
            <v>CUTTING HONDA EXPORT 3</v>
          </cell>
          <cell r="M789" t="str">
            <v>AC90-HDA-11</v>
          </cell>
          <cell r="N789" t="str">
            <v>CUTTING WIRE</v>
          </cell>
          <cell r="O789" t="str">
            <v>A</v>
          </cell>
        </row>
        <row r="790">
          <cell r="A790">
            <v>10228</v>
          </cell>
          <cell r="B790" t="str">
            <v>SITI HIDAYATI</v>
          </cell>
          <cell r="C790" t="str">
            <v>SAMI</v>
          </cell>
          <cell r="D790" t="str">
            <v>OPT-259</v>
          </cell>
          <cell r="E790">
            <v>40489</v>
          </cell>
          <cell r="F790" t="str">
            <v>-</v>
          </cell>
          <cell r="G790" t="str">
            <v>-</v>
          </cell>
          <cell r="H790" t="str">
            <v>PRD</v>
          </cell>
          <cell r="I790" t="str">
            <v>PRD</v>
          </cell>
          <cell r="J790" t="str">
            <v>HONDA EXPORT</v>
          </cell>
          <cell r="K790" t="str">
            <v>HONDA EXPORT</v>
          </cell>
          <cell r="L790" t="str">
            <v>CUTTING HONDA EXPORT 3</v>
          </cell>
          <cell r="M790" t="str">
            <v>AC90-HDA-10</v>
          </cell>
          <cell r="N790" t="str">
            <v>CUTTING WIRE</v>
          </cell>
          <cell r="O790" t="str">
            <v>A</v>
          </cell>
        </row>
        <row r="791">
          <cell r="A791">
            <v>10316</v>
          </cell>
          <cell r="B791" t="str">
            <v>MARTA MEILANI</v>
          </cell>
          <cell r="C791" t="str">
            <v>SAMI</v>
          </cell>
          <cell r="D791" t="str">
            <v>OPT-265</v>
          </cell>
          <cell r="E791">
            <v>40511</v>
          </cell>
          <cell r="F791" t="str">
            <v>-</v>
          </cell>
          <cell r="G791" t="str">
            <v>-</v>
          </cell>
          <cell r="H791" t="str">
            <v>PRD</v>
          </cell>
          <cell r="I791" t="str">
            <v>PRD</v>
          </cell>
          <cell r="J791" t="str">
            <v>HONDA EXPORT</v>
          </cell>
          <cell r="K791" t="str">
            <v>HONDA EXPORT</v>
          </cell>
          <cell r="L791" t="str">
            <v>CUTTING HONDA EXPORT 3</v>
          </cell>
          <cell r="M791" t="str">
            <v>AC90-HDA-01</v>
          </cell>
          <cell r="N791" t="str">
            <v>CUTTING WIRE</v>
          </cell>
          <cell r="O791" t="str">
            <v>A</v>
          </cell>
        </row>
        <row r="792">
          <cell r="A792">
            <v>11881</v>
          </cell>
          <cell r="B792" t="str">
            <v>NIHAYATUL CHASANAH</v>
          </cell>
          <cell r="C792" t="str">
            <v>SAMI</v>
          </cell>
          <cell r="D792" t="str">
            <v>OPT-310</v>
          </cell>
          <cell r="E792">
            <v>40735</v>
          </cell>
          <cell r="F792" t="str">
            <v>-</v>
          </cell>
          <cell r="G792" t="str">
            <v>-</v>
          </cell>
          <cell r="H792" t="str">
            <v>PRD</v>
          </cell>
          <cell r="I792" t="str">
            <v>PRD</v>
          </cell>
          <cell r="J792" t="str">
            <v>HONDA EXPORT</v>
          </cell>
          <cell r="K792" t="str">
            <v>HONDA EXPORT</v>
          </cell>
          <cell r="L792" t="str">
            <v>CUTTING HONDA EXPORT 3</v>
          </cell>
          <cell r="M792" t="str">
            <v>AC90-HAD-13</v>
          </cell>
          <cell r="N792" t="str">
            <v>CUTTING WIRE</v>
          </cell>
          <cell r="O792" t="str">
            <v>A</v>
          </cell>
        </row>
        <row r="793">
          <cell r="A793">
            <v>12714</v>
          </cell>
          <cell r="B793" t="str">
            <v>PURWANTI</v>
          </cell>
          <cell r="C793" t="str">
            <v>SAMI</v>
          </cell>
          <cell r="D793" t="str">
            <v>OPT-320</v>
          </cell>
          <cell r="E793">
            <v>40819</v>
          </cell>
          <cell r="F793" t="str">
            <v>-</v>
          </cell>
          <cell r="G793" t="str">
            <v>-</v>
          </cell>
          <cell r="H793" t="str">
            <v>PRD</v>
          </cell>
          <cell r="I793" t="str">
            <v>PRD</v>
          </cell>
          <cell r="J793" t="str">
            <v>HONDA EXPORT</v>
          </cell>
          <cell r="K793" t="str">
            <v>HONDA EXPORT</v>
          </cell>
          <cell r="L793" t="str">
            <v>CUTTING HONDA EXPORT 3</v>
          </cell>
          <cell r="M793" t="str">
            <v>AC90-HDA-04</v>
          </cell>
          <cell r="N793" t="str">
            <v>CUTTING WIRE</v>
          </cell>
          <cell r="O793" t="str">
            <v>A</v>
          </cell>
        </row>
        <row r="794">
          <cell r="A794">
            <v>20919</v>
          </cell>
          <cell r="B794" t="str">
            <v>MUHAMMAD NUJUM</v>
          </cell>
          <cell r="C794" t="str">
            <v>SAMI</v>
          </cell>
          <cell r="D794" t="str">
            <v>OPT-510</v>
          </cell>
          <cell r="E794">
            <v>42660</v>
          </cell>
          <cell r="F794">
            <v>43160</v>
          </cell>
          <cell r="G794">
            <v>43524</v>
          </cell>
          <cell r="H794" t="str">
            <v>PRD</v>
          </cell>
          <cell r="I794" t="str">
            <v>PRD</v>
          </cell>
          <cell r="J794" t="str">
            <v>HONDA EXPORT</v>
          </cell>
          <cell r="K794" t="str">
            <v>HONDA EXPORT</v>
          </cell>
          <cell r="L794" t="str">
            <v>CUTTING HONDA EXPORT 3</v>
          </cell>
          <cell r="M794" t="str">
            <v>HELPER CUTTING</v>
          </cell>
          <cell r="N794" t="str">
            <v>P/A CONTROLLER</v>
          </cell>
          <cell r="O794" t="str">
            <v>A</v>
          </cell>
        </row>
        <row r="795">
          <cell r="A795">
            <v>20924</v>
          </cell>
          <cell r="B795" t="str">
            <v>AHMAD MAULANA ARINAL HAQ</v>
          </cell>
          <cell r="C795" t="str">
            <v>SAMI</v>
          </cell>
          <cell r="D795" t="str">
            <v>OPT-511</v>
          </cell>
          <cell r="E795">
            <v>42667</v>
          </cell>
          <cell r="F795">
            <v>43160</v>
          </cell>
          <cell r="G795">
            <v>43524</v>
          </cell>
          <cell r="H795" t="str">
            <v>PRD</v>
          </cell>
          <cell r="I795" t="str">
            <v>PRD</v>
          </cell>
          <cell r="J795" t="str">
            <v>HONDA EXPORT</v>
          </cell>
          <cell r="K795" t="str">
            <v>HONDA EXPORT</v>
          </cell>
          <cell r="L795" t="str">
            <v>CUTTING HONDA EXPORT 3</v>
          </cell>
          <cell r="M795" t="str">
            <v>HELPER CUTTING</v>
          </cell>
          <cell r="N795" t="str">
            <v>P/A CONTROLLER</v>
          </cell>
          <cell r="O795" t="str">
            <v>A</v>
          </cell>
        </row>
        <row r="796">
          <cell r="A796">
            <v>21541</v>
          </cell>
          <cell r="B796" t="str">
            <v>NABEL MAKAREM</v>
          </cell>
          <cell r="C796" t="str">
            <v>SAMI</v>
          </cell>
          <cell r="D796" t="str">
            <v>OPT-535</v>
          </cell>
          <cell r="E796">
            <v>43045</v>
          </cell>
          <cell r="F796">
            <v>43435</v>
          </cell>
          <cell r="G796">
            <v>43799</v>
          </cell>
          <cell r="H796" t="str">
            <v>PRD</v>
          </cell>
          <cell r="I796" t="str">
            <v>PRD</v>
          </cell>
          <cell r="J796" t="str">
            <v>HONDA EXPORT</v>
          </cell>
          <cell r="K796" t="str">
            <v>HONDA EXPORT</v>
          </cell>
          <cell r="L796" t="str">
            <v>CUTTING HONDA EXPORT 3</v>
          </cell>
          <cell r="M796" t="str">
            <v>HELPER CUTTING</v>
          </cell>
          <cell r="N796" t="str">
            <v>P/A CONTROLLER</v>
          </cell>
          <cell r="O796" t="str">
            <v>A</v>
          </cell>
        </row>
        <row r="797">
          <cell r="A797">
            <v>21753</v>
          </cell>
          <cell r="B797" t="str">
            <v>YOGA ANANDA</v>
          </cell>
          <cell r="C797" t="str">
            <v>SAMI</v>
          </cell>
          <cell r="D797" t="str">
            <v>OPT-539</v>
          </cell>
          <cell r="E797">
            <v>43087</v>
          </cell>
          <cell r="F797">
            <v>43118</v>
          </cell>
          <cell r="G797">
            <v>43496</v>
          </cell>
          <cell r="H797" t="str">
            <v>PRD</v>
          </cell>
          <cell r="I797" t="str">
            <v>PRD</v>
          </cell>
          <cell r="J797" t="str">
            <v>HONDA EXPORT</v>
          </cell>
          <cell r="K797" t="str">
            <v>HONDA EXPORT</v>
          </cell>
          <cell r="L797" t="str">
            <v>CUTTING HONDA EXPORT 3</v>
          </cell>
          <cell r="M797" t="str">
            <v>HELPER CUTTING</v>
          </cell>
          <cell r="N797" t="str">
            <v>P/A CONTROLLER</v>
          </cell>
          <cell r="O797" t="str">
            <v>A</v>
          </cell>
        </row>
        <row r="798">
          <cell r="A798">
            <v>22061</v>
          </cell>
          <cell r="B798" t="str">
            <v>ALDI PUTRA SETYAWAN</v>
          </cell>
          <cell r="C798" t="str">
            <v>SAMI</v>
          </cell>
          <cell r="D798" t="str">
            <v>OPT-548</v>
          </cell>
          <cell r="E798">
            <v>43150</v>
          </cell>
          <cell r="F798">
            <v>43178</v>
          </cell>
          <cell r="G798">
            <v>43555</v>
          </cell>
          <cell r="H798" t="str">
            <v>PRD</v>
          </cell>
          <cell r="I798" t="str">
            <v>PRD</v>
          </cell>
          <cell r="J798" t="str">
            <v>HONDA EXPORT</v>
          </cell>
          <cell r="K798" t="str">
            <v>HONDA EXPORT</v>
          </cell>
          <cell r="L798" t="str">
            <v>CUTTING HONDA EXPORT 3</v>
          </cell>
          <cell r="M798" t="str">
            <v>HELPER CUTTING</v>
          </cell>
          <cell r="N798" t="str">
            <v>P/A CONTROLLER</v>
          </cell>
          <cell r="O798" t="str">
            <v>A</v>
          </cell>
        </row>
        <row r="799">
          <cell r="A799">
            <v>1045</v>
          </cell>
          <cell r="B799" t="str">
            <v>ENI DWI PURYANTI</v>
          </cell>
          <cell r="C799" t="str">
            <v>SAMI</v>
          </cell>
          <cell r="D799" t="str">
            <v>OPT-26</v>
          </cell>
          <cell r="E799">
            <v>37879</v>
          </cell>
          <cell r="F799" t="str">
            <v>-</v>
          </cell>
          <cell r="G799" t="str">
            <v>-</v>
          </cell>
          <cell r="H799" t="str">
            <v>PRD</v>
          </cell>
          <cell r="I799" t="str">
            <v>PRD</v>
          </cell>
          <cell r="J799" t="str">
            <v>HONDA EXPORT</v>
          </cell>
          <cell r="K799" t="str">
            <v>HONDA EXPORT</v>
          </cell>
          <cell r="L799" t="str">
            <v>CUTTING HONDA EXPORT 3</v>
          </cell>
          <cell r="M799" t="str">
            <v>AC90-HDA-11</v>
          </cell>
          <cell r="N799" t="str">
            <v>CUTTING WIRE</v>
          </cell>
          <cell r="O799" t="str">
            <v>B</v>
          </cell>
        </row>
        <row r="800">
          <cell r="A800">
            <v>1086</v>
          </cell>
          <cell r="B800" t="str">
            <v>EKA SEFIANI</v>
          </cell>
          <cell r="C800" t="str">
            <v>SAMI</v>
          </cell>
          <cell r="D800" t="str">
            <v>OPT-27</v>
          </cell>
          <cell r="E800">
            <v>37887</v>
          </cell>
          <cell r="F800" t="str">
            <v>-</v>
          </cell>
          <cell r="G800" t="str">
            <v>-</v>
          </cell>
          <cell r="H800" t="str">
            <v>PRD</v>
          </cell>
          <cell r="I800" t="str">
            <v>PRD</v>
          </cell>
          <cell r="J800" t="str">
            <v>HONDA EXPORT</v>
          </cell>
          <cell r="K800" t="str">
            <v>HONDA EXPORT</v>
          </cell>
          <cell r="L800" t="str">
            <v>CUTTING HONDA EXPORT 3</v>
          </cell>
          <cell r="M800" t="str">
            <v>AC90-HDA-04</v>
          </cell>
          <cell r="N800" t="str">
            <v>CUTTING WIRE</v>
          </cell>
          <cell r="O800" t="str">
            <v>B</v>
          </cell>
        </row>
        <row r="801">
          <cell r="A801">
            <v>8864</v>
          </cell>
          <cell r="B801" t="str">
            <v>SITI YULI ANI</v>
          </cell>
          <cell r="C801" t="str">
            <v>SAMI</v>
          </cell>
          <cell r="D801" t="str">
            <v>OPT-195</v>
          </cell>
          <cell r="E801">
            <v>39937</v>
          </cell>
          <cell r="F801" t="str">
            <v>-</v>
          </cell>
          <cell r="G801" t="str">
            <v>-</v>
          </cell>
          <cell r="H801" t="str">
            <v>PRD</v>
          </cell>
          <cell r="I801" t="str">
            <v>PRD</v>
          </cell>
          <cell r="J801" t="str">
            <v>HONDA EXPORT</v>
          </cell>
          <cell r="K801" t="str">
            <v>HONDA EXPORT</v>
          </cell>
          <cell r="L801" t="str">
            <v>CUTTING HONDA EXPORT 3</v>
          </cell>
          <cell r="M801" t="str">
            <v>AC90-HDA-01</v>
          </cell>
          <cell r="N801" t="str">
            <v>CUTTING WIRE</v>
          </cell>
          <cell r="O801" t="str">
            <v>B</v>
          </cell>
        </row>
        <row r="802">
          <cell r="A802">
            <v>9305</v>
          </cell>
          <cell r="B802" t="str">
            <v>NOAH NUR KHASANAH</v>
          </cell>
          <cell r="C802" t="str">
            <v>SAMI</v>
          </cell>
          <cell r="D802" t="str">
            <v>OPT-216</v>
          </cell>
          <cell r="E802">
            <v>40148</v>
          </cell>
          <cell r="F802" t="str">
            <v>-</v>
          </cell>
          <cell r="G802" t="str">
            <v>-</v>
          </cell>
          <cell r="H802" t="str">
            <v>PRD</v>
          </cell>
          <cell r="I802" t="str">
            <v>PRD</v>
          </cell>
          <cell r="J802" t="str">
            <v>HONDA EXPORT</v>
          </cell>
          <cell r="K802" t="str">
            <v>HONDA EXPORT</v>
          </cell>
          <cell r="L802" t="str">
            <v>CUTTING HONDA EXPORT 3</v>
          </cell>
          <cell r="M802" t="str">
            <v>AC90-HDA-10</v>
          </cell>
          <cell r="N802" t="str">
            <v>CUTTING WIRE</v>
          </cell>
          <cell r="O802" t="str">
            <v>B</v>
          </cell>
        </row>
        <row r="803">
          <cell r="A803">
            <v>10156</v>
          </cell>
          <cell r="B803" t="str">
            <v>SRI KUSTIYAH</v>
          </cell>
          <cell r="C803" t="str">
            <v>SAMI</v>
          </cell>
          <cell r="D803" t="str">
            <v>OPT-251</v>
          </cell>
          <cell r="E803">
            <v>40452</v>
          </cell>
          <cell r="F803" t="str">
            <v>-</v>
          </cell>
          <cell r="G803" t="str">
            <v>-</v>
          </cell>
          <cell r="H803" t="str">
            <v>PRD</v>
          </cell>
          <cell r="I803" t="str">
            <v>PRD</v>
          </cell>
          <cell r="J803" t="str">
            <v>HONDA EXPORT</v>
          </cell>
          <cell r="K803" t="str">
            <v>HONDA EXPORT</v>
          </cell>
          <cell r="L803" t="str">
            <v>CUTTING HONDA EXPORT 3</v>
          </cell>
          <cell r="M803" t="str">
            <v>AC90-HDA-06</v>
          </cell>
          <cell r="N803" t="str">
            <v>CUTTING WIRE</v>
          </cell>
          <cell r="O803" t="str">
            <v>B</v>
          </cell>
        </row>
        <row r="804">
          <cell r="A804">
            <v>11046</v>
          </cell>
          <cell r="B804" t="str">
            <v>NUR FATIMAH</v>
          </cell>
          <cell r="C804" t="str">
            <v>SAMI</v>
          </cell>
          <cell r="D804" t="str">
            <v>OPT-288</v>
          </cell>
          <cell r="E804">
            <v>40592</v>
          </cell>
          <cell r="F804" t="str">
            <v>-</v>
          </cell>
          <cell r="G804" t="str">
            <v>-</v>
          </cell>
          <cell r="H804" t="str">
            <v>PRD</v>
          </cell>
          <cell r="I804" t="str">
            <v>PRD</v>
          </cell>
          <cell r="J804" t="str">
            <v>HONDA EXPORT</v>
          </cell>
          <cell r="K804" t="str">
            <v>HONDA EXPORT</v>
          </cell>
          <cell r="L804" t="str">
            <v>CUTTING HONDA EXPORT 3</v>
          </cell>
          <cell r="M804" t="str">
            <v>AC90-HDA-13</v>
          </cell>
          <cell r="N804" t="str">
            <v>CUTTING WIRE</v>
          </cell>
          <cell r="O804" t="str">
            <v>B</v>
          </cell>
        </row>
        <row r="805">
          <cell r="A805">
            <v>678</v>
          </cell>
          <cell r="B805" t="str">
            <v>SITI NURAINI</v>
          </cell>
          <cell r="C805" t="str">
            <v>SAMI</v>
          </cell>
          <cell r="D805" t="str">
            <v>OPT-18</v>
          </cell>
          <cell r="E805">
            <v>37795</v>
          </cell>
          <cell r="F805" t="str">
            <v>-</v>
          </cell>
          <cell r="G805" t="str">
            <v>-</v>
          </cell>
          <cell r="H805" t="str">
            <v>PRD</v>
          </cell>
          <cell r="I805" t="str">
            <v>PRD</v>
          </cell>
          <cell r="J805" t="str">
            <v>HONDA EXPORT</v>
          </cell>
          <cell r="K805" t="str">
            <v>HONDA EXPORT</v>
          </cell>
          <cell r="L805" t="str">
            <v>CUTTING HONDA EXPORT 4</v>
          </cell>
          <cell r="M805" t="str">
            <v>AC90-HDA-31</v>
          </cell>
          <cell r="N805" t="str">
            <v>CUTTING WIRE</v>
          </cell>
          <cell r="O805" t="str">
            <v>A</v>
          </cell>
        </row>
        <row r="806">
          <cell r="A806">
            <v>1229</v>
          </cell>
          <cell r="B806" t="str">
            <v>SULIYANINGSIH</v>
          </cell>
          <cell r="C806" t="str">
            <v>SAMI</v>
          </cell>
          <cell r="D806" t="str">
            <v>OPT-30</v>
          </cell>
          <cell r="E806">
            <v>37914</v>
          </cell>
          <cell r="F806" t="str">
            <v>-</v>
          </cell>
          <cell r="G806" t="str">
            <v>-</v>
          </cell>
          <cell r="H806" t="str">
            <v>PRD</v>
          </cell>
          <cell r="I806" t="str">
            <v>PRD</v>
          </cell>
          <cell r="J806" t="str">
            <v>HONDA EXPORT</v>
          </cell>
          <cell r="K806" t="str">
            <v>HONDA EXPORT</v>
          </cell>
          <cell r="L806" t="str">
            <v>CUTTING HONDA EXPORT 4</v>
          </cell>
          <cell r="M806" t="str">
            <v>AC90-HDA-21</v>
          </cell>
          <cell r="N806" t="str">
            <v>CUTTING WIRE</v>
          </cell>
          <cell r="O806" t="str">
            <v>A</v>
          </cell>
        </row>
        <row r="807">
          <cell r="A807">
            <v>4531</v>
          </cell>
          <cell r="B807" t="str">
            <v>TUTIK</v>
          </cell>
          <cell r="C807" t="str">
            <v>SAMI</v>
          </cell>
          <cell r="D807" t="str">
            <v>OPT-111</v>
          </cell>
          <cell r="E807">
            <v>38789</v>
          </cell>
          <cell r="F807" t="str">
            <v>-</v>
          </cell>
          <cell r="G807" t="str">
            <v>-</v>
          </cell>
          <cell r="H807" t="str">
            <v>PRD</v>
          </cell>
          <cell r="I807" t="str">
            <v>PRD</v>
          </cell>
          <cell r="J807" t="str">
            <v>HONDA EXPORT</v>
          </cell>
          <cell r="K807" t="str">
            <v>HONDA EXPORT</v>
          </cell>
          <cell r="L807" t="str">
            <v>CUTTING HONDA EXPORT 4</v>
          </cell>
          <cell r="M807" t="str">
            <v>AC90-HDA-30</v>
          </cell>
          <cell r="N807" t="str">
            <v>CUTTING WIRE</v>
          </cell>
          <cell r="O807" t="str">
            <v>A</v>
          </cell>
        </row>
        <row r="808">
          <cell r="A808">
            <v>5737</v>
          </cell>
          <cell r="B808" t="str">
            <v>SULISTIYANI</v>
          </cell>
          <cell r="C808" t="str">
            <v>SAMI</v>
          </cell>
          <cell r="D808" t="str">
            <v>OPT-134</v>
          </cell>
          <cell r="E808">
            <v>39098</v>
          </cell>
          <cell r="F808" t="str">
            <v>-</v>
          </cell>
          <cell r="G808" t="str">
            <v>-</v>
          </cell>
          <cell r="H808" t="str">
            <v>PRD</v>
          </cell>
          <cell r="I808" t="str">
            <v>PRD</v>
          </cell>
          <cell r="J808" t="str">
            <v>HONDA EXPORT</v>
          </cell>
          <cell r="K808" t="str">
            <v>HONDA EXPORT</v>
          </cell>
          <cell r="L808" t="str">
            <v>CUTTING HONDA EXPORT 4</v>
          </cell>
          <cell r="M808" t="str">
            <v>AC90-HDA-23</v>
          </cell>
          <cell r="N808" t="str">
            <v>CUTTING WIRE</v>
          </cell>
          <cell r="O808" t="str">
            <v>A</v>
          </cell>
        </row>
        <row r="809">
          <cell r="A809">
            <v>9679</v>
          </cell>
          <cell r="B809" t="str">
            <v>AAM KHALAMAH</v>
          </cell>
          <cell r="C809" t="str">
            <v>SAMI</v>
          </cell>
          <cell r="D809" t="str">
            <v>OPT-222</v>
          </cell>
          <cell r="E809">
            <v>40297</v>
          </cell>
          <cell r="F809" t="str">
            <v>-</v>
          </cell>
          <cell r="G809" t="str">
            <v>-</v>
          </cell>
          <cell r="H809" t="str">
            <v>PRD</v>
          </cell>
          <cell r="I809" t="str">
            <v>PRD</v>
          </cell>
          <cell r="J809" t="str">
            <v>HONDA EXPORT</v>
          </cell>
          <cell r="K809" t="str">
            <v>HONDA EXPORT</v>
          </cell>
          <cell r="L809" t="str">
            <v>CUTTING HONDA EXPORT 4</v>
          </cell>
          <cell r="M809" t="str">
            <v>AC90-HDA-25</v>
          </cell>
          <cell r="N809" t="str">
            <v>CUTTING WIRE</v>
          </cell>
          <cell r="O809" t="str">
            <v>A</v>
          </cell>
        </row>
        <row r="810">
          <cell r="A810">
            <v>10390</v>
          </cell>
          <cell r="B810" t="str">
            <v>TYAS AYU CHOLISNASARI</v>
          </cell>
          <cell r="C810" t="str">
            <v>SAMI</v>
          </cell>
          <cell r="D810" t="str">
            <v>OPT-267</v>
          </cell>
          <cell r="E810">
            <v>40513</v>
          </cell>
          <cell r="F810" t="str">
            <v>-</v>
          </cell>
          <cell r="G810" t="str">
            <v>-</v>
          </cell>
          <cell r="H810" t="str">
            <v>PRD</v>
          </cell>
          <cell r="I810" t="str">
            <v>PRD</v>
          </cell>
          <cell r="J810" t="str">
            <v>HONDA EXPORT</v>
          </cell>
          <cell r="K810" t="str">
            <v>HONDA EXPORT</v>
          </cell>
          <cell r="L810" t="str">
            <v>CUTTING HONDA EXPORT 4</v>
          </cell>
          <cell r="M810" t="str">
            <v>AC90-HDA-27</v>
          </cell>
          <cell r="N810" t="str">
            <v>CUTTING WIRE</v>
          </cell>
          <cell r="O810" t="str">
            <v>A</v>
          </cell>
        </row>
        <row r="811">
          <cell r="A811">
            <v>204</v>
          </cell>
          <cell r="B811" t="str">
            <v>DWI SRI RAHAYU</v>
          </cell>
          <cell r="C811" t="str">
            <v>SAMI</v>
          </cell>
          <cell r="D811" t="str">
            <v>OPT-6</v>
          </cell>
          <cell r="E811">
            <v>37697</v>
          </cell>
          <cell r="F811" t="str">
            <v>-</v>
          </cell>
          <cell r="G811" t="str">
            <v>-</v>
          </cell>
          <cell r="H811" t="str">
            <v>PRD</v>
          </cell>
          <cell r="I811" t="str">
            <v>PRD</v>
          </cell>
          <cell r="J811" t="str">
            <v>HONDA EXPORT</v>
          </cell>
          <cell r="K811" t="str">
            <v>HONDA EXPORT</v>
          </cell>
          <cell r="L811" t="str">
            <v>CUTTING HONDA EXPORT 4</v>
          </cell>
          <cell r="M811" t="str">
            <v>AC90-HDA-23</v>
          </cell>
          <cell r="N811" t="str">
            <v>CUTTING WIRE</v>
          </cell>
          <cell r="O811" t="str">
            <v>B</v>
          </cell>
        </row>
        <row r="812">
          <cell r="A812">
            <v>439</v>
          </cell>
          <cell r="B812" t="str">
            <v>IDA NASRIA</v>
          </cell>
          <cell r="C812" t="str">
            <v>SAMI</v>
          </cell>
          <cell r="D812" t="str">
            <v>OPT-12</v>
          </cell>
          <cell r="E812">
            <v>37746</v>
          </cell>
          <cell r="F812" t="str">
            <v>-</v>
          </cell>
          <cell r="G812" t="str">
            <v>-</v>
          </cell>
          <cell r="H812" t="str">
            <v>PRD</v>
          </cell>
          <cell r="I812" t="str">
            <v>PRD</v>
          </cell>
          <cell r="J812" t="str">
            <v>HONDA EXPORT</v>
          </cell>
          <cell r="K812" t="str">
            <v>HONDA EXPORT</v>
          </cell>
          <cell r="L812" t="str">
            <v>CUTTING HONDA EXPORT 4</v>
          </cell>
          <cell r="M812" t="str">
            <v>AC90-HDA-27</v>
          </cell>
          <cell r="N812" t="str">
            <v>CUTTING WIRE</v>
          </cell>
          <cell r="O812" t="str">
            <v>B</v>
          </cell>
        </row>
        <row r="813">
          <cell r="A813">
            <v>1058</v>
          </cell>
          <cell r="B813" t="str">
            <v>SIGIT WIJANARKO</v>
          </cell>
          <cell r="C813" t="str">
            <v>SAMI</v>
          </cell>
          <cell r="D813" t="str">
            <v>OPT-26</v>
          </cell>
          <cell r="E813">
            <v>37879</v>
          </cell>
          <cell r="F813" t="str">
            <v>-</v>
          </cell>
          <cell r="G813" t="str">
            <v>-</v>
          </cell>
          <cell r="H813" t="str">
            <v>PRD</v>
          </cell>
          <cell r="I813" t="str">
            <v>PRD</v>
          </cell>
          <cell r="J813" t="str">
            <v>HONDA EXPORT</v>
          </cell>
          <cell r="K813" t="str">
            <v>HONDA EXPORT</v>
          </cell>
          <cell r="L813" t="str">
            <v>CUTTING HONDA EXPORT 4</v>
          </cell>
          <cell r="M813" t="str">
            <v>AC90-HDA-31</v>
          </cell>
          <cell r="N813" t="str">
            <v>CUTTING WIRE</v>
          </cell>
          <cell r="O813" t="str">
            <v>B</v>
          </cell>
        </row>
        <row r="814">
          <cell r="A814">
            <v>1098</v>
          </cell>
          <cell r="B814" t="str">
            <v>YULI ASTUTI</v>
          </cell>
          <cell r="C814" t="str">
            <v>SAMI</v>
          </cell>
          <cell r="D814" t="str">
            <v>OPT-27</v>
          </cell>
          <cell r="E814">
            <v>37887</v>
          </cell>
          <cell r="F814" t="str">
            <v>-</v>
          </cell>
          <cell r="G814" t="str">
            <v>-</v>
          </cell>
          <cell r="H814" t="str">
            <v>PRD</v>
          </cell>
          <cell r="I814" t="str">
            <v>PRD</v>
          </cell>
          <cell r="J814" t="str">
            <v>HONDA EXPORT</v>
          </cell>
          <cell r="K814" t="str">
            <v>HONDA EXPORT</v>
          </cell>
          <cell r="L814" t="str">
            <v>CUTTING HONDA EXPORT 4</v>
          </cell>
          <cell r="M814" t="str">
            <v>AC90-HDA-30</v>
          </cell>
          <cell r="N814" t="str">
            <v>CUTTING WIRE</v>
          </cell>
          <cell r="O814" t="str">
            <v>B</v>
          </cell>
        </row>
        <row r="815">
          <cell r="A815">
            <v>1205</v>
          </cell>
          <cell r="B815" t="str">
            <v>AULIYA RAHMAN</v>
          </cell>
          <cell r="C815" t="str">
            <v>SAMI</v>
          </cell>
          <cell r="D815" t="str">
            <v>OPT-29</v>
          </cell>
          <cell r="E815">
            <v>37907</v>
          </cell>
          <cell r="F815" t="str">
            <v>-</v>
          </cell>
          <cell r="G815" t="str">
            <v>-</v>
          </cell>
          <cell r="H815" t="str">
            <v>PRD</v>
          </cell>
          <cell r="I815" t="str">
            <v>PRD</v>
          </cell>
          <cell r="J815" t="str">
            <v>HONDA EXPORT</v>
          </cell>
          <cell r="K815" t="str">
            <v>HONDA EXPORT</v>
          </cell>
          <cell r="L815" t="str">
            <v>CUTTING HONDA EXPORT 4</v>
          </cell>
          <cell r="M815" t="str">
            <v>HELPER CUTTING</v>
          </cell>
          <cell r="N815" t="str">
            <v>P/A CONTROLLER</v>
          </cell>
          <cell r="O815" t="str">
            <v>B</v>
          </cell>
        </row>
        <row r="816">
          <cell r="A816">
            <v>10974</v>
          </cell>
          <cell r="B816" t="str">
            <v>ANNA FAIZAH</v>
          </cell>
          <cell r="C816" t="str">
            <v>SAMI</v>
          </cell>
          <cell r="D816" t="str">
            <v>OPT-286</v>
          </cell>
          <cell r="E816">
            <v>40582</v>
          </cell>
          <cell r="F816" t="str">
            <v>-</v>
          </cell>
          <cell r="G816" t="str">
            <v>-</v>
          </cell>
          <cell r="H816" t="str">
            <v>PRD</v>
          </cell>
          <cell r="I816" t="str">
            <v>PRD</v>
          </cell>
          <cell r="J816" t="str">
            <v>HONDA EXPORT</v>
          </cell>
          <cell r="K816" t="str">
            <v>HONDA EXPORT</v>
          </cell>
          <cell r="L816" t="str">
            <v>CUTTING HONDA EXPORT 4</v>
          </cell>
          <cell r="M816" t="str">
            <v>AC90-HDA-25</v>
          </cell>
          <cell r="N816" t="str">
            <v>CUTTING WIRE</v>
          </cell>
          <cell r="O816" t="str">
            <v>B</v>
          </cell>
        </row>
        <row r="817">
          <cell r="A817">
            <v>21539</v>
          </cell>
          <cell r="B817" t="str">
            <v>MUHAMAD NAJIKHUN</v>
          </cell>
          <cell r="C817" t="str">
            <v>SAMI</v>
          </cell>
          <cell r="D817" t="str">
            <v>OPT-535</v>
          </cell>
          <cell r="E817">
            <v>43045</v>
          </cell>
          <cell r="F817">
            <v>43435</v>
          </cell>
          <cell r="G817">
            <v>43799</v>
          </cell>
          <cell r="H817" t="str">
            <v>PRD</v>
          </cell>
          <cell r="I817" t="str">
            <v>PRD</v>
          </cell>
          <cell r="J817" t="str">
            <v>HONDA EXPORT</v>
          </cell>
          <cell r="K817" t="str">
            <v>HONDA EXPORT</v>
          </cell>
          <cell r="L817" t="str">
            <v>CUTTING HONDA EXPORT 4</v>
          </cell>
          <cell r="M817" t="str">
            <v>HELPER CUTTING</v>
          </cell>
          <cell r="N817" t="str">
            <v>P/A CONTROLLER</v>
          </cell>
          <cell r="O817" t="str">
            <v>B</v>
          </cell>
        </row>
        <row r="818">
          <cell r="A818">
            <v>21737</v>
          </cell>
          <cell r="B818" t="str">
            <v>NIZAR KHAFIDHOL MURIYADI</v>
          </cell>
          <cell r="C818" t="str">
            <v>SAMI</v>
          </cell>
          <cell r="D818" t="str">
            <v>OPT-539</v>
          </cell>
          <cell r="E818">
            <v>43087</v>
          </cell>
          <cell r="F818">
            <v>43118</v>
          </cell>
          <cell r="G818">
            <v>43496</v>
          </cell>
          <cell r="H818" t="str">
            <v>PRD</v>
          </cell>
          <cell r="I818" t="str">
            <v>PRD</v>
          </cell>
          <cell r="J818" t="str">
            <v>HONDA EXPORT</v>
          </cell>
          <cell r="K818" t="str">
            <v>HONDA EXPORT</v>
          </cell>
          <cell r="L818" t="str">
            <v>CUTTING HONDA EXPORT 4</v>
          </cell>
          <cell r="M818" t="str">
            <v>HELPER CUTTING</v>
          </cell>
          <cell r="N818" t="str">
            <v>P/A CONTROLLER</v>
          </cell>
          <cell r="O818" t="str">
            <v>B</v>
          </cell>
        </row>
        <row r="819">
          <cell r="A819">
            <v>22226</v>
          </cell>
          <cell r="B819" t="str">
            <v>MAMIK NOVITA SARI</v>
          </cell>
          <cell r="C819" t="str">
            <v>SAMI</v>
          </cell>
          <cell r="D819" t="str">
            <v>OPT-551</v>
          </cell>
          <cell r="E819">
            <v>43161</v>
          </cell>
          <cell r="F819">
            <v>43192</v>
          </cell>
          <cell r="G819">
            <v>43555</v>
          </cell>
          <cell r="H819" t="str">
            <v>PRD</v>
          </cell>
          <cell r="I819" t="str">
            <v>PRD</v>
          </cell>
          <cell r="J819" t="str">
            <v>HONDA EXPORT</v>
          </cell>
          <cell r="K819" t="str">
            <v>HONDA EXPORT</v>
          </cell>
          <cell r="L819" t="str">
            <v>CUTTING HONDA EXPORT 4</v>
          </cell>
          <cell r="M819" t="str">
            <v>AC90-HDA-21</v>
          </cell>
          <cell r="N819" t="str">
            <v>CUTTING WIRE</v>
          </cell>
          <cell r="O819" t="str">
            <v>B</v>
          </cell>
        </row>
        <row r="820">
          <cell r="A820">
            <v>22798</v>
          </cell>
          <cell r="B820" t="str">
            <v>TRI WIBOWO</v>
          </cell>
          <cell r="C820" t="str">
            <v>SAMI</v>
          </cell>
          <cell r="D820" t="str">
            <v>OPT-565</v>
          </cell>
          <cell r="E820">
            <v>43283</v>
          </cell>
          <cell r="F820">
            <v>43314</v>
          </cell>
          <cell r="G820">
            <v>43677</v>
          </cell>
          <cell r="H820" t="str">
            <v>PRD</v>
          </cell>
          <cell r="I820" t="str">
            <v>PRD</v>
          </cell>
          <cell r="J820" t="str">
            <v>HONDA EXPORT</v>
          </cell>
          <cell r="K820" t="str">
            <v>HONDA EXPORT</v>
          </cell>
          <cell r="L820" t="str">
            <v>CUTTING HONDA EXPORT 4</v>
          </cell>
          <cell r="M820" t="str">
            <v>HELPER CUTTING</v>
          </cell>
          <cell r="N820" t="str">
            <v>P/A CONTROLLER</v>
          </cell>
          <cell r="O820" t="str">
            <v>B</v>
          </cell>
        </row>
        <row r="821">
          <cell r="A821">
            <v>1455</v>
          </cell>
          <cell r="B821" t="str">
            <v>NUR BAETI</v>
          </cell>
          <cell r="C821" t="str">
            <v>SAMI</v>
          </cell>
          <cell r="D821" t="str">
            <v>OPT-36</v>
          </cell>
          <cell r="E821">
            <v>37977</v>
          </cell>
          <cell r="F821" t="str">
            <v>-</v>
          </cell>
          <cell r="G821" t="str">
            <v>-</v>
          </cell>
          <cell r="H821" t="str">
            <v>PRD</v>
          </cell>
          <cell r="I821" t="str">
            <v>PRD</v>
          </cell>
          <cell r="J821" t="str">
            <v>HONDA BBP</v>
          </cell>
          <cell r="K821" t="str">
            <v>HV HONDA 5JLA BBP</v>
          </cell>
          <cell r="L821" t="str">
            <v>CUTTING HONDA HV</v>
          </cell>
          <cell r="M821" t="str">
            <v xml:space="preserve">AC81-H-02, MC2-H-01 </v>
          </cell>
          <cell r="N821" t="str">
            <v>CUTTING WIRE</v>
          </cell>
          <cell r="O821" t="str">
            <v>A</v>
          </cell>
        </row>
        <row r="822">
          <cell r="A822">
            <v>21490</v>
          </cell>
          <cell r="B822" t="str">
            <v>NIHAYATUL ULIYA</v>
          </cell>
          <cell r="C822" t="str">
            <v>SAMI</v>
          </cell>
          <cell r="D822" t="str">
            <v>OPT-534</v>
          </cell>
          <cell r="E822">
            <v>43031</v>
          </cell>
          <cell r="F822">
            <v>43435</v>
          </cell>
          <cell r="G822">
            <v>43799</v>
          </cell>
          <cell r="H822" t="str">
            <v>PRD</v>
          </cell>
          <cell r="I822" t="str">
            <v>PRD</v>
          </cell>
          <cell r="J822" t="str">
            <v>HONDA BBP</v>
          </cell>
          <cell r="K822" t="str">
            <v>HV HONDA 5JLA BBP</v>
          </cell>
          <cell r="L822" t="str">
            <v>CUTTING HONDA HV</v>
          </cell>
          <cell r="M822" t="str">
            <v>AC81-H-01</v>
          </cell>
          <cell r="N822" t="str">
            <v>CUTTING WIRE</v>
          </cell>
          <cell r="O822" t="str">
            <v>A</v>
          </cell>
        </row>
        <row r="823">
          <cell r="A823">
            <v>21665</v>
          </cell>
          <cell r="B823" t="str">
            <v>MAHLIA SARI</v>
          </cell>
          <cell r="C823" t="str">
            <v>SAMI</v>
          </cell>
          <cell r="D823" t="str">
            <v>OPT-537</v>
          </cell>
          <cell r="E823">
            <v>43055</v>
          </cell>
          <cell r="F823">
            <v>43466</v>
          </cell>
          <cell r="G823">
            <v>43830</v>
          </cell>
          <cell r="H823" t="str">
            <v>PRD</v>
          </cell>
          <cell r="I823" t="str">
            <v>PRD</v>
          </cell>
          <cell r="J823" t="str">
            <v>HONDA BBP</v>
          </cell>
          <cell r="K823" t="str">
            <v>HV HONDA 5JLA BBP</v>
          </cell>
          <cell r="L823" t="str">
            <v>CUTTING HONDA HV</v>
          </cell>
          <cell r="M823" t="str">
            <v>AC81-H-03, MC2-H-02</v>
          </cell>
          <cell r="N823" t="str">
            <v>CUTTING WIRE</v>
          </cell>
          <cell r="O823" t="str">
            <v>A</v>
          </cell>
        </row>
        <row r="824">
          <cell r="A824">
            <v>1235</v>
          </cell>
          <cell r="B824" t="str">
            <v>NOVI KRISTIANA</v>
          </cell>
          <cell r="C824" t="str">
            <v>SAMI</v>
          </cell>
          <cell r="D824" t="str">
            <v>OPT-30</v>
          </cell>
          <cell r="E824">
            <v>37914</v>
          </cell>
          <cell r="F824" t="str">
            <v>-</v>
          </cell>
          <cell r="G824" t="str">
            <v>-</v>
          </cell>
          <cell r="H824" t="str">
            <v>PRD</v>
          </cell>
          <cell r="I824" t="str">
            <v>PRD</v>
          </cell>
          <cell r="J824" t="str">
            <v>HONDA BBP</v>
          </cell>
          <cell r="K824" t="str">
            <v>HV HONDA 5JLA BBP</v>
          </cell>
          <cell r="L824" t="str">
            <v>CUTTING HONDA HV</v>
          </cell>
          <cell r="M824" t="str">
            <v>AC81-H-01, AC81-H-03</v>
          </cell>
          <cell r="N824" t="str">
            <v>CUTTING WIRE</v>
          </cell>
          <cell r="O824" t="str">
            <v>B</v>
          </cell>
        </row>
        <row r="825">
          <cell r="A825">
            <v>10192</v>
          </cell>
          <cell r="B825" t="str">
            <v>NINGTYAS ARYASTUTI</v>
          </cell>
          <cell r="C825" t="str">
            <v>SAMI</v>
          </cell>
          <cell r="D825" t="str">
            <v>OPT-253</v>
          </cell>
          <cell r="E825">
            <v>40458</v>
          </cell>
          <cell r="F825" t="str">
            <v>-</v>
          </cell>
          <cell r="G825" t="str">
            <v>-</v>
          </cell>
          <cell r="H825" t="str">
            <v>PRD</v>
          </cell>
          <cell r="I825" t="str">
            <v>PRD</v>
          </cell>
          <cell r="J825" t="str">
            <v>HONDA BBP</v>
          </cell>
          <cell r="K825" t="str">
            <v>HV HONDA 5JLA BBP</v>
          </cell>
          <cell r="L825" t="str">
            <v>CUTTING HONDA HV</v>
          </cell>
          <cell r="M825" t="str">
            <v>AC81-H-02, MC2-H-01, 02</v>
          </cell>
          <cell r="N825" t="str">
            <v>CUTTING WIRE</v>
          </cell>
          <cell r="O825" t="str">
            <v>B</v>
          </cell>
        </row>
        <row r="826">
          <cell r="A826">
            <v>20828</v>
          </cell>
          <cell r="B826" t="str">
            <v xml:space="preserve">ZULFA </v>
          </cell>
          <cell r="C826" t="str">
            <v>SAMI</v>
          </cell>
          <cell r="D826" t="str">
            <v>OPT-508</v>
          </cell>
          <cell r="E826">
            <v>42649</v>
          </cell>
          <cell r="F826">
            <v>43132</v>
          </cell>
          <cell r="G826">
            <v>43496</v>
          </cell>
          <cell r="H826" t="str">
            <v>PRD</v>
          </cell>
          <cell r="I826" t="str">
            <v>PRD</v>
          </cell>
          <cell r="J826" t="str">
            <v>HONDA BBP</v>
          </cell>
          <cell r="K826" t="str">
            <v>HV HONDA 5JLA BBP</v>
          </cell>
          <cell r="L826" t="str">
            <v>CUTTING HONDA HV</v>
          </cell>
          <cell r="M826" t="str">
            <v>INSP CUTTING</v>
          </cell>
          <cell r="N826" t="str">
            <v>P/A INSPECTOR</v>
          </cell>
          <cell r="O826" t="str">
            <v>B</v>
          </cell>
        </row>
        <row r="827">
          <cell r="A827">
            <v>10059</v>
          </cell>
          <cell r="B827" t="str">
            <v>TRI YUNIARTI</v>
          </cell>
          <cell r="C827" t="str">
            <v>SAMI</v>
          </cell>
          <cell r="D827" t="str">
            <v>OPT-247</v>
          </cell>
          <cell r="E827">
            <v>40438</v>
          </cell>
          <cell r="F827" t="str">
            <v>-</v>
          </cell>
          <cell r="G827" t="str">
            <v>-</v>
          </cell>
          <cell r="H827" t="str">
            <v>PRD</v>
          </cell>
          <cell r="I827" t="str">
            <v>PRD</v>
          </cell>
          <cell r="J827" t="str">
            <v>HONDA SOLENOID</v>
          </cell>
          <cell r="K827" t="str">
            <v>HONDA SOLENOID</v>
          </cell>
          <cell r="L827" t="str">
            <v>CUTTING HONDA SOLENOID</v>
          </cell>
          <cell r="M827" t="str">
            <v>AC90-HDS-01</v>
          </cell>
          <cell r="N827" t="str">
            <v>CUTTING WIRE</v>
          </cell>
          <cell r="O827" t="str">
            <v>A</v>
          </cell>
        </row>
        <row r="828">
          <cell r="A828">
            <v>21545</v>
          </cell>
          <cell r="B828" t="str">
            <v>NOVITA SARI</v>
          </cell>
          <cell r="C828" t="str">
            <v>SAMI</v>
          </cell>
          <cell r="D828" t="str">
            <v>OPT-535</v>
          </cell>
          <cell r="E828">
            <v>43045</v>
          </cell>
          <cell r="F828">
            <v>43435</v>
          </cell>
          <cell r="G828">
            <v>43799</v>
          </cell>
          <cell r="H828" t="str">
            <v>PRD</v>
          </cell>
          <cell r="I828" t="str">
            <v>PRD</v>
          </cell>
          <cell r="J828" t="str">
            <v>HONDA SOLENOID</v>
          </cell>
          <cell r="K828" t="str">
            <v>HONDA SOLENOID</v>
          </cell>
          <cell r="L828" t="str">
            <v>CUTTING HONDA SOLENOID</v>
          </cell>
          <cell r="M828" t="str">
            <v>INSP CUTTING</v>
          </cell>
          <cell r="N828" t="str">
            <v>P/A INSPECTOR</v>
          </cell>
          <cell r="O828" t="str">
            <v>A</v>
          </cell>
        </row>
        <row r="829">
          <cell r="A829">
            <v>21796</v>
          </cell>
          <cell r="B829" t="str">
            <v>SITI PUJI LESTARI</v>
          </cell>
          <cell r="C829" t="str">
            <v>SAMI</v>
          </cell>
          <cell r="D829" t="str">
            <v>OPT-540</v>
          </cell>
          <cell r="E829">
            <v>43090</v>
          </cell>
          <cell r="F829">
            <v>43121</v>
          </cell>
          <cell r="G829">
            <v>43496</v>
          </cell>
          <cell r="H829" t="str">
            <v>PRD</v>
          </cell>
          <cell r="I829" t="str">
            <v>PRD</v>
          </cell>
          <cell r="J829" t="str">
            <v>HONDA SOLENOID</v>
          </cell>
          <cell r="K829" t="str">
            <v>HONDA SOLENOID</v>
          </cell>
          <cell r="L829" t="str">
            <v>CUTTING HONDA SOLENOID</v>
          </cell>
          <cell r="M829" t="str">
            <v>INSP CUTTING</v>
          </cell>
          <cell r="N829" t="str">
            <v>P/A INSPECTOR</v>
          </cell>
          <cell r="O829" t="str">
            <v>A</v>
          </cell>
        </row>
        <row r="830">
          <cell r="A830">
            <v>22593</v>
          </cell>
          <cell r="B830" t="str">
            <v>ERY SULISTIYANI</v>
          </cell>
          <cell r="C830" t="str">
            <v>SAMI</v>
          </cell>
          <cell r="D830" t="str">
            <v>OPT-561</v>
          </cell>
          <cell r="E830">
            <v>43236</v>
          </cell>
          <cell r="F830">
            <v>43267</v>
          </cell>
          <cell r="G830">
            <v>43646</v>
          </cell>
          <cell r="H830" t="str">
            <v>PRD</v>
          </cell>
          <cell r="I830" t="str">
            <v>PRD</v>
          </cell>
          <cell r="J830" t="str">
            <v>HONDA SOLENOID</v>
          </cell>
          <cell r="K830" t="str">
            <v>HONDA SOLENOID</v>
          </cell>
          <cell r="L830" t="str">
            <v>CUTTING HONDA SOLENOID</v>
          </cell>
          <cell r="M830" t="str">
            <v>AC90-HDS-02</v>
          </cell>
          <cell r="N830" t="str">
            <v>CUTTING WIRE</v>
          </cell>
          <cell r="O830" t="str">
            <v>A</v>
          </cell>
        </row>
        <row r="831">
          <cell r="A831">
            <v>8682</v>
          </cell>
          <cell r="B831" t="str">
            <v>ENY KUMAESAROCH</v>
          </cell>
          <cell r="C831" t="str">
            <v>SAMI</v>
          </cell>
          <cell r="D831" t="str">
            <v>OPT-190</v>
          </cell>
          <cell r="E831">
            <v>39888</v>
          </cell>
          <cell r="F831" t="str">
            <v>-</v>
          </cell>
          <cell r="G831" t="str">
            <v>-</v>
          </cell>
          <cell r="H831" t="str">
            <v>PRD</v>
          </cell>
          <cell r="I831" t="str">
            <v>PRD</v>
          </cell>
          <cell r="J831" t="str">
            <v>HONDA SOLENOID</v>
          </cell>
          <cell r="K831" t="str">
            <v>HONDA SOLENOID</v>
          </cell>
          <cell r="L831" t="str">
            <v>CUTTING HONDA SOLENOID</v>
          </cell>
          <cell r="M831" t="str">
            <v>INSP CUTTING</v>
          </cell>
          <cell r="N831" t="str">
            <v>P/A INSPECTOR</v>
          </cell>
          <cell r="O831" t="str">
            <v>B</v>
          </cell>
        </row>
        <row r="832">
          <cell r="A832">
            <v>12460</v>
          </cell>
          <cell r="B832" t="str">
            <v>FITA RATNAWATI</v>
          </cell>
          <cell r="C832" t="str">
            <v>SAMI</v>
          </cell>
          <cell r="D832" t="str">
            <v>OPT-318</v>
          </cell>
          <cell r="E832">
            <v>40812</v>
          </cell>
          <cell r="F832" t="str">
            <v>-</v>
          </cell>
          <cell r="G832" t="str">
            <v>-</v>
          </cell>
          <cell r="H832" t="str">
            <v>PRD</v>
          </cell>
          <cell r="I832" t="str">
            <v>PRD</v>
          </cell>
          <cell r="J832" t="str">
            <v>HONDA SOLENOID</v>
          </cell>
          <cell r="K832" t="str">
            <v>HONDA SOLENOID</v>
          </cell>
          <cell r="L832" t="str">
            <v>CUTTING HONDA SOLENOID</v>
          </cell>
          <cell r="M832" t="str">
            <v>INSP CUTTING</v>
          </cell>
          <cell r="N832" t="str">
            <v>P/A INSPECTOR</v>
          </cell>
          <cell r="O832" t="str">
            <v>B</v>
          </cell>
        </row>
        <row r="833">
          <cell r="A833">
            <v>22204</v>
          </cell>
          <cell r="B833" t="str">
            <v>SYAKIROTUN NISA</v>
          </cell>
          <cell r="C833" t="str">
            <v>SAMI</v>
          </cell>
          <cell r="D833" t="str">
            <v>OPT-550</v>
          </cell>
          <cell r="E833">
            <v>43158</v>
          </cell>
          <cell r="F833">
            <v>43186</v>
          </cell>
          <cell r="G833">
            <v>43555</v>
          </cell>
          <cell r="H833" t="str">
            <v>PRD</v>
          </cell>
          <cell r="I833" t="str">
            <v>PRD</v>
          </cell>
          <cell r="J833" t="str">
            <v>HONDA SOLENOID</v>
          </cell>
          <cell r="K833" t="str">
            <v>HONDA SOLENOID</v>
          </cell>
          <cell r="L833" t="str">
            <v>CUTTING HONDA SOLENOID</v>
          </cell>
          <cell r="M833" t="str">
            <v>OJT AC90-HDS-01</v>
          </cell>
          <cell r="N833" t="str">
            <v>INTERNAL TRIAL</v>
          </cell>
          <cell r="O833" t="str">
            <v>B</v>
          </cell>
        </row>
        <row r="834">
          <cell r="A834">
            <v>22804</v>
          </cell>
          <cell r="B834" t="str">
            <v>AJI RAHMAT HUSEIN</v>
          </cell>
          <cell r="C834" t="str">
            <v>SAMI</v>
          </cell>
          <cell r="D834" t="str">
            <v>OPT-567</v>
          </cell>
          <cell r="E834">
            <v>43333</v>
          </cell>
          <cell r="F834">
            <v>43364</v>
          </cell>
          <cell r="G834">
            <v>43738</v>
          </cell>
          <cell r="H834" t="str">
            <v>PRD</v>
          </cell>
          <cell r="I834" t="str">
            <v>PRD</v>
          </cell>
          <cell r="J834" t="str">
            <v>HONDA SOLENOID</v>
          </cell>
          <cell r="K834" t="str">
            <v>HONDA SOLENOID</v>
          </cell>
          <cell r="L834" t="str">
            <v>CUTTING HONDA SOLENOID</v>
          </cell>
          <cell r="M834" t="str">
            <v>AC90-HDS-02</v>
          </cell>
          <cell r="N834" t="str">
            <v>CUTTING WIRE</v>
          </cell>
          <cell r="O834" t="str">
            <v>B</v>
          </cell>
        </row>
        <row r="835">
          <cell r="A835">
            <v>1226</v>
          </cell>
          <cell r="B835" t="str">
            <v>NADIATUS SOLIKHAH</v>
          </cell>
          <cell r="C835" t="str">
            <v>SAMI</v>
          </cell>
          <cell r="D835" t="str">
            <v>OPT-30</v>
          </cell>
          <cell r="E835">
            <v>37914</v>
          </cell>
          <cell r="F835" t="str">
            <v>-</v>
          </cell>
          <cell r="G835" t="str">
            <v>-</v>
          </cell>
          <cell r="H835" t="str">
            <v>PRD</v>
          </cell>
          <cell r="I835" t="str">
            <v>PRD</v>
          </cell>
          <cell r="J835" t="str">
            <v>MAZDA ATENZA</v>
          </cell>
          <cell r="K835" t="str">
            <v>MAZDA ATENZA</v>
          </cell>
          <cell r="L835" t="str">
            <v>CUTTING MAZDA ATENZA</v>
          </cell>
          <cell r="M835" t="str">
            <v>AC90-MZD-08</v>
          </cell>
          <cell r="N835" t="str">
            <v>CUTTING WIRE</v>
          </cell>
          <cell r="O835" t="str">
            <v>A</v>
          </cell>
        </row>
        <row r="836">
          <cell r="A836">
            <v>1498</v>
          </cell>
          <cell r="B836" t="str">
            <v>APRILIA SULISTIYOWATI</v>
          </cell>
          <cell r="C836" t="str">
            <v>SAMI</v>
          </cell>
          <cell r="D836" t="str">
            <v>OPT-37</v>
          </cell>
          <cell r="E836">
            <v>37984</v>
          </cell>
          <cell r="F836" t="str">
            <v>-</v>
          </cell>
          <cell r="G836" t="str">
            <v>-</v>
          </cell>
          <cell r="H836" t="str">
            <v>PRD</v>
          </cell>
          <cell r="I836" t="str">
            <v>PRD</v>
          </cell>
          <cell r="J836" t="str">
            <v>MAZDA ATENZA</v>
          </cell>
          <cell r="K836" t="str">
            <v>MAZDA ATENZA</v>
          </cell>
          <cell r="L836" t="str">
            <v>CUTTING MAZDA ATENZA</v>
          </cell>
          <cell r="M836" t="str">
            <v>AC81-MZD-01</v>
          </cell>
          <cell r="N836" t="str">
            <v>CUTTING WIRE</v>
          </cell>
          <cell r="O836" t="str">
            <v>A</v>
          </cell>
        </row>
        <row r="837">
          <cell r="A837">
            <v>5233</v>
          </cell>
          <cell r="B837" t="str">
            <v>SUS MULYANI</v>
          </cell>
          <cell r="C837" t="str">
            <v>SAMI</v>
          </cell>
          <cell r="D837" t="str">
            <v>OPT-125</v>
          </cell>
          <cell r="E837">
            <v>38961</v>
          </cell>
          <cell r="F837" t="str">
            <v>-</v>
          </cell>
          <cell r="G837" t="str">
            <v>-</v>
          </cell>
          <cell r="H837" t="str">
            <v>PRD</v>
          </cell>
          <cell r="I837" t="str">
            <v>PRD</v>
          </cell>
          <cell r="J837" t="str">
            <v>MAZDA ATENZA</v>
          </cell>
          <cell r="K837" t="str">
            <v>MAZDA ATENZA</v>
          </cell>
          <cell r="L837" t="str">
            <v>CUTTING MAZDA ATENZA</v>
          </cell>
          <cell r="M837" t="str">
            <v>INSP CUTTING</v>
          </cell>
          <cell r="N837" t="str">
            <v>P/A INSPECTOR</v>
          </cell>
          <cell r="O837" t="str">
            <v>A</v>
          </cell>
        </row>
        <row r="838">
          <cell r="A838">
            <v>5698</v>
          </cell>
          <cell r="B838" t="str">
            <v>EDY PURWITO</v>
          </cell>
          <cell r="C838" t="str">
            <v>SAMI</v>
          </cell>
          <cell r="D838" t="str">
            <v>OPT-134</v>
          </cell>
          <cell r="E838">
            <v>39098</v>
          </cell>
          <cell r="F838" t="str">
            <v>-</v>
          </cell>
          <cell r="G838" t="str">
            <v>-</v>
          </cell>
          <cell r="H838" t="str">
            <v>PRD</v>
          </cell>
          <cell r="I838" t="str">
            <v>PRD</v>
          </cell>
          <cell r="J838" t="str">
            <v>MAZDA ATENZA</v>
          </cell>
          <cell r="K838" t="str">
            <v>MAZDA ATENZA</v>
          </cell>
          <cell r="L838" t="str">
            <v>CUTTING MAZDA ATENZA</v>
          </cell>
          <cell r="M838" t="str">
            <v>AC90-MZD-02</v>
          </cell>
          <cell r="N838" t="str">
            <v>CUTTING WIRE</v>
          </cell>
          <cell r="O838" t="str">
            <v>A</v>
          </cell>
        </row>
        <row r="839">
          <cell r="A839">
            <v>8845</v>
          </cell>
          <cell r="B839" t="str">
            <v>NUR TIAS MAHARDIKA</v>
          </cell>
          <cell r="C839" t="str">
            <v>SAMI</v>
          </cell>
          <cell r="D839" t="str">
            <v>OPT-195</v>
          </cell>
          <cell r="E839">
            <v>39937</v>
          </cell>
          <cell r="F839" t="str">
            <v>-</v>
          </cell>
          <cell r="G839" t="str">
            <v>-</v>
          </cell>
          <cell r="H839" t="str">
            <v>PRD</v>
          </cell>
          <cell r="I839" t="str">
            <v>PRD</v>
          </cell>
          <cell r="J839" t="str">
            <v>MAZDA ATENZA</v>
          </cell>
          <cell r="K839" t="str">
            <v>MAZDA ATENZA</v>
          </cell>
          <cell r="L839" t="str">
            <v>CUTTING MAZDA ATENZA</v>
          </cell>
          <cell r="M839" t="str">
            <v>AC81-MZD-04</v>
          </cell>
          <cell r="N839" t="str">
            <v>CUTTING WIRE</v>
          </cell>
          <cell r="O839" t="str">
            <v>A</v>
          </cell>
        </row>
        <row r="840">
          <cell r="A840">
            <v>9693</v>
          </cell>
          <cell r="B840" t="str">
            <v>YUDA ROHMAULLAH</v>
          </cell>
          <cell r="C840" t="str">
            <v>SAMI</v>
          </cell>
          <cell r="D840" t="str">
            <v>OPT-222</v>
          </cell>
          <cell r="E840">
            <v>40297</v>
          </cell>
          <cell r="F840" t="str">
            <v>-</v>
          </cell>
          <cell r="G840" t="str">
            <v>-</v>
          </cell>
          <cell r="H840" t="str">
            <v>PRD</v>
          </cell>
          <cell r="I840" t="str">
            <v>PRD</v>
          </cell>
          <cell r="J840" t="str">
            <v>MAZDA ATENZA</v>
          </cell>
          <cell r="K840" t="str">
            <v>MAZDA ATENZA</v>
          </cell>
          <cell r="L840" t="str">
            <v>CUTTING MAZDA ATENZA</v>
          </cell>
          <cell r="M840" t="str">
            <v>INSP CUTTING</v>
          </cell>
          <cell r="N840" t="str">
            <v>P/A INSPECTOR</v>
          </cell>
          <cell r="O840" t="str">
            <v>A</v>
          </cell>
        </row>
        <row r="841">
          <cell r="A841">
            <v>21001</v>
          </cell>
          <cell r="B841" t="str">
            <v>DINA SAPTAINA</v>
          </cell>
          <cell r="C841" t="str">
            <v>SAMI</v>
          </cell>
          <cell r="D841" t="str">
            <v>OPT-513</v>
          </cell>
          <cell r="E841">
            <v>42674</v>
          </cell>
          <cell r="F841">
            <v>43160</v>
          </cell>
          <cell r="G841">
            <v>43524</v>
          </cell>
          <cell r="H841" t="str">
            <v>PRD</v>
          </cell>
          <cell r="I841" t="str">
            <v>PRD</v>
          </cell>
          <cell r="J841" t="str">
            <v>MAZDA ATENZA</v>
          </cell>
          <cell r="K841" t="str">
            <v>MAZDA ATENZA</v>
          </cell>
          <cell r="L841" t="str">
            <v>CUTTING MAZDA ATENZA</v>
          </cell>
          <cell r="M841" t="str">
            <v>AC90-MZD-07</v>
          </cell>
          <cell r="N841" t="str">
            <v>CUTTING WIRE</v>
          </cell>
          <cell r="O841" t="str">
            <v>A</v>
          </cell>
        </row>
        <row r="842">
          <cell r="A842">
            <v>21290</v>
          </cell>
          <cell r="B842" t="str">
            <v xml:space="preserve">FITRI PURNIATUN </v>
          </cell>
          <cell r="C842" t="str">
            <v>SAMI</v>
          </cell>
          <cell r="D842" t="str">
            <v>OPT-530</v>
          </cell>
          <cell r="E842">
            <v>43010</v>
          </cell>
          <cell r="F842">
            <v>43405</v>
          </cell>
          <cell r="G842">
            <v>43769</v>
          </cell>
          <cell r="H842" t="str">
            <v>PRD</v>
          </cell>
          <cell r="I842" t="str">
            <v>PRD</v>
          </cell>
          <cell r="J842" t="str">
            <v>MAZDA ATENZA</v>
          </cell>
          <cell r="K842" t="str">
            <v>MAZDA ATENZA</v>
          </cell>
          <cell r="L842" t="str">
            <v>CUTTING MAZDA ATENZA</v>
          </cell>
          <cell r="M842" t="str">
            <v>AC90-MZD-05</v>
          </cell>
          <cell r="N842" t="str">
            <v>CUTTING WIRE</v>
          </cell>
          <cell r="O842" t="str">
            <v>A</v>
          </cell>
        </row>
        <row r="843">
          <cell r="A843">
            <v>22332</v>
          </cell>
          <cell r="B843" t="str">
            <v>DIAH DWIDAYANTI</v>
          </cell>
          <cell r="C843" t="str">
            <v>SAMI</v>
          </cell>
          <cell r="D843" t="str">
            <v>OPT-556</v>
          </cell>
          <cell r="E843">
            <v>43195</v>
          </cell>
          <cell r="F843">
            <v>43225</v>
          </cell>
          <cell r="G843">
            <v>43585</v>
          </cell>
          <cell r="H843" t="str">
            <v>PRD</v>
          </cell>
          <cell r="I843" t="str">
            <v>PRD</v>
          </cell>
          <cell r="J843" t="str">
            <v>MAZDA ATENZA</v>
          </cell>
          <cell r="K843" t="str">
            <v>MAZDA ATENZA</v>
          </cell>
          <cell r="L843" t="str">
            <v>CUTTING MAZDA ATENZA</v>
          </cell>
          <cell r="M843" t="str">
            <v>INSP CUTTING</v>
          </cell>
          <cell r="N843" t="str">
            <v>P/A INSPECTOR</v>
          </cell>
          <cell r="O843" t="str">
            <v>A</v>
          </cell>
        </row>
        <row r="844">
          <cell r="A844">
            <v>22377</v>
          </cell>
          <cell r="B844" t="str">
            <v>DA'I BAKTIAR</v>
          </cell>
          <cell r="C844" t="str">
            <v>SAMI</v>
          </cell>
          <cell r="D844" t="str">
            <v>OPT-558</v>
          </cell>
          <cell r="E844">
            <v>43213</v>
          </cell>
          <cell r="F844">
            <v>43243</v>
          </cell>
          <cell r="G844">
            <v>43616</v>
          </cell>
          <cell r="H844" t="str">
            <v>PRD</v>
          </cell>
          <cell r="I844" t="str">
            <v>PRD</v>
          </cell>
          <cell r="J844" t="str">
            <v>MAZDA ATENZA</v>
          </cell>
          <cell r="K844" t="str">
            <v>MAZDA ATENZA</v>
          </cell>
          <cell r="L844" t="str">
            <v>CUTTING MAZDA ATENZA</v>
          </cell>
          <cell r="M844" t="str">
            <v>HELPER CUTTING</v>
          </cell>
          <cell r="N844" t="str">
            <v>P/A CONTROLLER</v>
          </cell>
          <cell r="O844" t="str">
            <v>A</v>
          </cell>
        </row>
        <row r="845">
          <cell r="A845">
            <v>22428</v>
          </cell>
          <cell r="B845" t="str">
            <v>SRI MAHMUDAH</v>
          </cell>
          <cell r="C845" t="str">
            <v>SAMI</v>
          </cell>
          <cell r="D845" t="str">
            <v>OPT-558</v>
          </cell>
          <cell r="E845">
            <v>43213</v>
          </cell>
          <cell r="F845">
            <v>43243</v>
          </cell>
          <cell r="G845">
            <v>43616</v>
          </cell>
          <cell r="H845" t="str">
            <v>PRD</v>
          </cell>
          <cell r="I845" t="str">
            <v>PRD</v>
          </cell>
          <cell r="J845" t="str">
            <v>MAZDA ATENZA</v>
          </cell>
          <cell r="K845" t="str">
            <v>MAZDA ATENZA</v>
          </cell>
          <cell r="L845" t="str">
            <v>CUTTING MAZDA ATENZA</v>
          </cell>
          <cell r="M845" t="str">
            <v>INSP CUTTING</v>
          </cell>
          <cell r="N845" t="str">
            <v>P/A INSPECTOR</v>
          </cell>
          <cell r="O845" t="str">
            <v>A</v>
          </cell>
        </row>
        <row r="846">
          <cell r="A846">
            <v>23145</v>
          </cell>
          <cell r="B846" t="str">
            <v>NOER MAHFUDDIN</v>
          </cell>
          <cell r="C846" t="str">
            <v>SAMI</v>
          </cell>
          <cell r="D846" t="str">
            <v>OPT-570</v>
          </cell>
          <cell r="E846">
            <v>43369</v>
          </cell>
          <cell r="F846">
            <v>43399</v>
          </cell>
          <cell r="G846">
            <v>43769</v>
          </cell>
          <cell r="H846" t="str">
            <v>PRD</v>
          </cell>
          <cell r="I846" t="str">
            <v>PRD</v>
          </cell>
          <cell r="J846" t="str">
            <v>MAZDA ATENZA</v>
          </cell>
          <cell r="K846" t="str">
            <v>MAZDA ATENZA</v>
          </cell>
          <cell r="L846" t="str">
            <v>CUTTING MAZDA ATENZA</v>
          </cell>
          <cell r="M846" t="str">
            <v>HELPER CUTTING</v>
          </cell>
          <cell r="N846" t="str">
            <v>P/A CONTROLLER</v>
          </cell>
          <cell r="O846" t="str">
            <v>A</v>
          </cell>
        </row>
        <row r="847">
          <cell r="A847" t="str">
            <v>B00142</v>
          </cell>
          <cell r="B847" t="str">
            <v>KALIMATU SA'ADAH</v>
          </cell>
          <cell r="C847" t="str">
            <v>SAMI</v>
          </cell>
          <cell r="D847" t="str">
            <v>BBF-003</v>
          </cell>
          <cell r="E847">
            <v>40840</v>
          </cell>
          <cell r="F847" t="str">
            <v>-</v>
          </cell>
          <cell r="G847" t="str">
            <v>-</v>
          </cell>
          <cell r="H847" t="str">
            <v>PRD</v>
          </cell>
          <cell r="I847" t="str">
            <v>PRD</v>
          </cell>
          <cell r="J847" t="str">
            <v>MAZDA ATENZA</v>
          </cell>
          <cell r="K847" t="str">
            <v>MAZDA ATENZA</v>
          </cell>
          <cell r="L847" t="str">
            <v>CUTTING MAZDA ATENZA</v>
          </cell>
          <cell r="M847" t="str">
            <v>AC81-MZD-03</v>
          </cell>
          <cell r="N847" t="str">
            <v>CUTTING WIRE</v>
          </cell>
          <cell r="O847" t="str">
            <v>A</v>
          </cell>
        </row>
        <row r="848">
          <cell r="A848" t="str">
            <v>B00153</v>
          </cell>
          <cell r="B848" t="str">
            <v>NUR HIDAYAH</v>
          </cell>
          <cell r="C848" t="str">
            <v>SAMI</v>
          </cell>
          <cell r="D848" t="str">
            <v>BBF-003</v>
          </cell>
          <cell r="E848">
            <v>40840</v>
          </cell>
          <cell r="F848" t="str">
            <v>-</v>
          </cell>
          <cell r="G848" t="str">
            <v>-</v>
          </cell>
          <cell r="H848" t="str">
            <v>PRD</v>
          </cell>
          <cell r="I848" t="str">
            <v>PRD</v>
          </cell>
          <cell r="J848" t="str">
            <v>MAZDA ATENZA</v>
          </cell>
          <cell r="K848" t="str">
            <v>MAZDA ATENZA</v>
          </cell>
          <cell r="L848" t="str">
            <v>CUTTING MAZDA ATENZA</v>
          </cell>
          <cell r="M848" t="str">
            <v>AC90-MZD-04</v>
          </cell>
          <cell r="N848" t="str">
            <v>CUTTING WIRE</v>
          </cell>
          <cell r="O848" t="str">
            <v>A</v>
          </cell>
        </row>
        <row r="849">
          <cell r="A849" t="str">
            <v>B00672</v>
          </cell>
          <cell r="B849" t="str">
            <v>HEQMATUL KASANAH</v>
          </cell>
          <cell r="C849" t="str">
            <v>SAMI</v>
          </cell>
          <cell r="D849" t="str">
            <v>BBF-011</v>
          </cell>
          <cell r="E849">
            <v>40896</v>
          </cell>
          <cell r="F849" t="str">
            <v>-</v>
          </cell>
          <cell r="G849" t="str">
            <v>-</v>
          </cell>
          <cell r="H849" t="str">
            <v>PRD</v>
          </cell>
          <cell r="I849" t="str">
            <v>PRD</v>
          </cell>
          <cell r="J849" t="str">
            <v>MAZDA ATENZA</v>
          </cell>
          <cell r="K849" t="str">
            <v>MAZDA ATENZA</v>
          </cell>
          <cell r="L849" t="str">
            <v>CUTTING MAZDA ATENZA</v>
          </cell>
          <cell r="M849" t="str">
            <v>AC90-MZD-03</v>
          </cell>
          <cell r="N849" t="str">
            <v>CUTTING WIRE</v>
          </cell>
          <cell r="O849" t="str">
            <v>A</v>
          </cell>
        </row>
        <row r="850">
          <cell r="A850" t="str">
            <v>B00932</v>
          </cell>
          <cell r="B850" t="str">
            <v>SRI LESTARI</v>
          </cell>
          <cell r="C850" t="str">
            <v>SAMI</v>
          </cell>
          <cell r="D850" t="str">
            <v>BBF-020</v>
          </cell>
          <cell r="E850">
            <v>40955</v>
          </cell>
          <cell r="F850" t="str">
            <v>-</v>
          </cell>
          <cell r="G850" t="str">
            <v>-</v>
          </cell>
          <cell r="H850" t="str">
            <v>PRD</v>
          </cell>
          <cell r="I850" t="str">
            <v>PRD</v>
          </cell>
          <cell r="J850" t="str">
            <v>MAZDA ATENZA</v>
          </cell>
          <cell r="K850" t="str">
            <v>MAZDA ATENZA</v>
          </cell>
          <cell r="L850" t="str">
            <v>CUTTING MAZDA ATENZA</v>
          </cell>
          <cell r="M850" t="str">
            <v>INSP CUTTING</v>
          </cell>
          <cell r="N850" t="str">
            <v>P/A INSPECTOR</v>
          </cell>
          <cell r="O850" t="str">
            <v>A</v>
          </cell>
        </row>
        <row r="851">
          <cell r="A851" t="str">
            <v>B00962</v>
          </cell>
          <cell r="B851" t="str">
            <v>LISA DEWI AMINATI</v>
          </cell>
          <cell r="C851" t="str">
            <v>SAMI</v>
          </cell>
          <cell r="D851" t="str">
            <v>BBF-023</v>
          </cell>
          <cell r="E851">
            <v>41015</v>
          </cell>
          <cell r="F851" t="str">
            <v>-</v>
          </cell>
          <cell r="G851" t="str">
            <v>-</v>
          </cell>
          <cell r="H851" t="str">
            <v>PRD</v>
          </cell>
          <cell r="I851" t="str">
            <v>PRD</v>
          </cell>
          <cell r="J851" t="str">
            <v>MAZDA ATENZA</v>
          </cell>
          <cell r="K851" t="str">
            <v>MAZDA ATENZA</v>
          </cell>
          <cell r="L851" t="str">
            <v>CUTTING MAZDA ATENZA</v>
          </cell>
          <cell r="M851" t="str">
            <v>INSP CUTTING</v>
          </cell>
          <cell r="N851" t="str">
            <v>P/A INSPECTOR</v>
          </cell>
          <cell r="O851" t="str">
            <v>A</v>
          </cell>
        </row>
        <row r="852">
          <cell r="A852" t="str">
            <v>B01276</v>
          </cell>
          <cell r="B852" t="str">
            <v>SUNARTI</v>
          </cell>
          <cell r="C852" t="str">
            <v>SAMI</v>
          </cell>
          <cell r="D852" t="str">
            <v>BBF-036</v>
          </cell>
          <cell r="E852">
            <v>41205</v>
          </cell>
          <cell r="F852" t="str">
            <v>-</v>
          </cell>
          <cell r="G852" t="str">
            <v>-</v>
          </cell>
          <cell r="H852" t="str">
            <v>PRD</v>
          </cell>
          <cell r="I852" t="str">
            <v>PRD</v>
          </cell>
          <cell r="J852" t="str">
            <v>MAZDA ATENZA</v>
          </cell>
          <cell r="K852" t="str">
            <v>MAZDA ATENZA</v>
          </cell>
          <cell r="L852" t="str">
            <v>CUTTING MAZDA ATENZA</v>
          </cell>
          <cell r="M852" t="str">
            <v>AC81-MZD-02</v>
          </cell>
          <cell r="N852" t="str">
            <v>CUTTING WIRE</v>
          </cell>
          <cell r="O852" t="str">
            <v>A</v>
          </cell>
        </row>
        <row r="853">
          <cell r="A853" t="str">
            <v>B01433</v>
          </cell>
          <cell r="B853" t="str">
            <v>UMI ATIKA</v>
          </cell>
          <cell r="C853" t="str">
            <v>SAMI</v>
          </cell>
          <cell r="D853" t="str">
            <v>BBF-047</v>
          </cell>
          <cell r="E853">
            <v>41295</v>
          </cell>
          <cell r="F853" t="str">
            <v>-</v>
          </cell>
          <cell r="G853" t="str">
            <v>-</v>
          </cell>
          <cell r="H853" t="str">
            <v>PRD</v>
          </cell>
          <cell r="I853" t="str">
            <v>PRD</v>
          </cell>
          <cell r="J853" t="str">
            <v>MAZDA ATENZA</v>
          </cell>
          <cell r="K853" t="str">
            <v>MAZDA ATENZA</v>
          </cell>
          <cell r="L853" t="str">
            <v>CUTTING MAZDA ATENZA</v>
          </cell>
          <cell r="M853" t="str">
            <v>AC90-MZD-06</v>
          </cell>
          <cell r="N853" t="str">
            <v>CUTTING WIRE</v>
          </cell>
          <cell r="O853" t="str">
            <v>A</v>
          </cell>
        </row>
        <row r="854">
          <cell r="A854">
            <v>21274</v>
          </cell>
          <cell r="B854" t="str">
            <v>ALFIYAH</v>
          </cell>
          <cell r="C854" t="str">
            <v>SAMI</v>
          </cell>
          <cell r="D854" t="str">
            <v>OPT-530</v>
          </cell>
          <cell r="E854">
            <v>43010</v>
          </cell>
          <cell r="F854">
            <v>43405</v>
          </cell>
          <cell r="G854">
            <v>43769</v>
          </cell>
          <cell r="H854" t="str">
            <v>PRD</v>
          </cell>
          <cell r="I854" t="str">
            <v>PRD</v>
          </cell>
          <cell r="J854" t="str">
            <v>MAZDA ATENZA</v>
          </cell>
          <cell r="K854" t="str">
            <v>MAZDA ATENZA</v>
          </cell>
          <cell r="L854" t="str">
            <v>CUTTING MAZDA ATENZA</v>
          </cell>
          <cell r="M854" t="str">
            <v>INSP CUTTING</v>
          </cell>
          <cell r="N854" t="str">
            <v>P/A INSPECTOR</v>
          </cell>
          <cell r="O854" t="str">
            <v>A (NS)</v>
          </cell>
        </row>
        <row r="855">
          <cell r="A855">
            <v>21880</v>
          </cell>
          <cell r="B855" t="str">
            <v>HARI WIDIANTORO</v>
          </cell>
          <cell r="C855" t="str">
            <v>SAMI</v>
          </cell>
          <cell r="D855" t="str">
            <v>OPT-542</v>
          </cell>
          <cell r="E855">
            <v>43103</v>
          </cell>
          <cell r="F855">
            <v>43134</v>
          </cell>
          <cell r="G855">
            <v>43496</v>
          </cell>
          <cell r="H855" t="str">
            <v>PRD</v>
          </cell>
          <cell r="I855" t="str">
            <v>PRD</v>
          </cell>
          <cell r="J855" t="str">
            <v>MAZDA ATENZA</v>
          </cell>
          <cell r="K855" t="str">
            <v>MAZDA ATENZA</v>
          </cell>
          <cell r="L855" t="str">
            <v>CUTTING MAZDA ATENZA</v>
          </cell>
          <cell r="M855" t="str">
            <v>HELPER CUTTING</v>
          </cell>
          <cell r="N855" t="str">
            <v>P/A CONTROLLER</v>
          </cell>
          <cell r="O855" t="str">
            <v>A (NS)</v>
          </cell>
        </row>
        <row r="856">
          <cell r="A856">
            <v>23032</v>
          </cell>
          <cell r="B856" t="str">
            <v>IRMA MULIAFANI</v>
          </cell>
          <cell r="C856" t="str">
            <v>SAMI</v>
          </cell>
          <cell r="D856" t="str">
            <v>OPT-569</v>
          </cell>
          <cell r="E856">
            <v>43361</v>
          </cell>
          <cell r="F856">
            <v>43391</v>
          </cell>
          <cell r="G856">
            <v>43769</v>
          </cell>
          <cell r="H856" t="str">
            <v>PRD</v>
          </cell>
          <cell r="I856" t="str">
            <v>PRD</v>
          </cell>
          <cell r="J856" t="str">
            <v>MAZDA ATENZA</v>
          </cell>
          <cell r="K856" t="str">
            <v>MAZDA ATENZA</v>
          </cell>
          <cell r="L856" t="str">
            <v>CUTTING MAZDA ATENZA</v>
          </cell>
          <cell r="M856" t="str">
            <v>AC90-MZD-01</v>
          </cell>
          <cell r="N856" t="str">
            <v>CUTTING WIRE</v>
          </cell>
          <cell r="O856" t="str">
            <v>A (NS)</v>
          </cell>
        </row>
        <row r="857">
          <cell r="A857">
            <v>466</v>
          </cell>
          <cell r="B857" t="str">
            <v>RINI FAJARSARI</v>
          </cell>
          <cell r="C857" t="str">
            <v>SAMI</v>
          </cell>
          <cell r="D857" t="str">
            <v>OPT-13</v>
          </cell>
          <cell r="E857">
            <v>37760</v>
          </cell>
          <cell r="F857" t="str">
            <v>-</v>
          </cell>
          <cell r="G857" t="str">
            <v>-</v>
          </cell>
          <cell r="H857" t="str">
            <v>PRD</v>
          </cell>
          <cell r="I857" t="str">
            <v>PRD</v>
          </cell>
          <cell r="J857" t="str">
            <v>MAZDA ATENZA</v>
          </cell>
          <cell r="K857" t="str">
            <v>MAZDA ATENZA</v>
          </cell>
          <cell r="L857" t="str">
            <v>CUTTING MAZDA ATENZA</v>
          </cell>
          <cell r="M857" t="str">
            <v>AC81-MZD-01</v>
          </cell>
          <cell r="N857" t="str">
            <v>CUTTING WIRE</v>
          </cell>
          <cell r="O857" t="str">
            <v>B</v>
          </cell>
        </row>
        <row r="858">
          <cell r="A858">
            <v>5764</v>
          </cell>
          <cell r="B858" t="str">
            <v>ENDANG SAYEKTI</v>
          </cell>
          <cell r="C858" t="str">
            <v>SAMI</v>
          </cell>
          <cell r="D858" t="str">
            <v>OPT-135</v>
          </cell>
          <cell r="E858">
            <v>39114</v>
          </cell>
          <cell r="F858" t="str">
            <v>-</v>
          </cell>
          <cell r="G858" t="str">
            <v>-</v>
          </cell>
          <cell r="H858" t="str">
            <v>PRD</v>
          </cell>
          <cell r="I858" t="str">
            <v>PRD</v>
          </cell>
          <cell r="J858" t="str">
            <v>MAZDA ATENZA</v>
          </cell>
          <cell r="K858" t="str">
            <v>MAZDA ATENZA</v>
          </cell>
          <cell r="L858" t="str">
            <v>CUTTING MAZDA ATENZA</v>
          </cell>
          <cell r="M858" t="str">
            <v>AC90-MZD-04</v>
          </cell>
          <cell r="N858" t="str">
            <v>CUTTING WIRE</v>
          </cell>
          <cell r="O858" t="str">
            <v>B</v>
          </cell>
        </row>
        <row r="859">
          <cell r="A859">
            <v>5923</v>
          </cell>
          <cell r="B859" t="str">
            <v>NUGRAHA</v>
          </cell>
          <cell r="C859" t="str">
            <v>SAMI</v>
          </cell>
          <cell r="D859" t="str">
            <v>OPT-137</v>
          </cell>
          <cell r="E859">
            <v>39129</v>
          </cell>
          <cell r="F859" t="str">
            <v>-</v>
          </cell>
          <cell r="G859" t="str">
            <v>-</v>
          </cell>
          <cell r="H859" t="str">
            <v>PRD</v>
          </cell>
          <cell r="I859" t="str">
            <v>PRD</v>
          </cell>
          <cell r="J859" t="str">
            <v>MAZDA ATENZA</v>
          </cell>
          <cell r="K859" t="str">
            <v>MAZDA ATENZA</v>
          </cell>
          <cell r="L859" t="str">
            <v>CUTTING MAZDA ATENZA</v>
          </cell>
          <cell r="M859" t="str">
            <v>AC90-MZD-05</v>
          </cell>
          <cell r="N859" t="str">
            <v>CUTTING WIRE</v>
          </cell>
          <cell r="O859" t="str">
            <v>B</v>
          </cell>
        </row>
        <row r="860">
          <cell r="A860">
            <v>10934</v>
          </cell>
          <cell r="B860" t="str">
            <v>MAHMUDAH</v>
          </cell>
          <cell r="C860" t="str">
            <v>SAMI</v>
          </cell>
          <cell r="D860" t="str">
            <v>OPT-285</v>
          </cell>
          <cell r="E860">
            <v>40578</v>
          </cell>
          <cell r="F860" t="str">
            <v>-</v>
          </cell>
          <cell r="G860" t="str">
            <v>-</v>
          </cell>
          <cell r="H860" t="str">
            <v>PRD</v>
          </cell>
          <cell r="I860" t="str">
            <v>PRD</v>
          </cell>
          <cell r="J860" t="str">
            <v>MAZDA ATENZA</v>
          </cell>
          <cell r="K860" t="str">
            <v>MAZDA ATENZA</v>
          </cell>
          <cell r="L860" t="str">
            <v>CUTTING MAZDA ATENZA</v>
          </cell>
          <cell r="M860" t="str">
            <v>AC81-MZD-02</v>
          </cell>
          <cell r="N860" t="str">
            <v>CUTTING WIRE</v>
          </cell>
          <cell r="O860" t="str">
            <v>B</v>
          </cell>
        </row>
        <row r="861">
          <cell r="A861">
            <v>11645</v>
          </cell>
          <cell r="B861" t="str">
            <v>YETTI APRILLIANINGSIH</v>
          </cell>
          <cell r="C861" t="str">
            <v>SAMI</v>
          </cell>
          <cell r="D861" t="str">
            <v>OPT-307</v>
          </cell>
          <cell r="E861">
            <v>40707</v>
          </cell>
          <cell r="F861" t="str">
            <v>-</v>
          </cell>
          <cell r="G861" t="str">
            <v>-</v>
          </cell>
          <cell r="H861" t="str">
            <v>PRD</v>
          </cell>
          <cell r="I861" t="str">
            <v>PRD</v>
          </cell>
          <cell r="J861" t="str">
            <v>MAZDA ATENZA</v>
          </cell>
          <cell r="K861" t="str">
            <v>MAZDA ATENZA</v>
          </cell>
          <cell r="L861" t="str">
            <v>CUTTING MAZDA ATENZA</v>
          </cell>
          <cell r="M861" t="str">
            <v>AC90-MZD-03</v>
          </cell>
          <cell r="N861" t="str">
            <v>CUTTING WIRE</v>
          </cell>
          <cell r="O861" t="str">
            <v>B</v>
          </cell>
        </row>
        <row r="862">
          <cell r="A862">
            <v>11947</v>
          </cell>
          <cell r="B862" t="str">
            <v>NEILIS SA'ADATUSSANIYAH</v>
          </cell>
          <cell r="C862" t="str">
            <v>SAMI</v>
          </cell>
          <cell r="D862" t="str">
            <v>OPT-311</v>
          </cell>
          <cell r="E862">
            <v>40770</v>
          </cell>
          <cell r="F862" t="str">
            <v>-</v>
          </cell>
          <cell r="G862" t="str">
            <v>-</v>
          </cell>
          <cell r="H862" t="str">
            <v>PRD</v>
          </cell>
          <cell r="I862" t="str">
            <v>PRD</v>
          </cell>
          <cell r="J862" t="str">
            <v>MAZDA ATENZA</v>
          </cell>
          <cell r="K862" t="str">
            <v>MAZDA ATENZA</v>
          </cell>
          <cell r="L862" t="str">
            <v>CUTTING MAZDA ATENZA</v>
          </cell>
          <cell r="M862" t="str">
            <v>AC90-MZD-08</v>
          </cell>
          <cell r="N862" t="str">
            <v>CUTTING WIRE</v>
          </cell>
          <cell r="O862" t="str">
            <v>B</v>
          </cell>
        </row>
        <row r="863">
          <cell r="A863">
            <v>20676</v>
          </cell>
          <cell r="B863" t="str">
            <v xml:space="preserve">WAHYU AJI J.R </v>
          </cell>
          <cell r="C863" t="str">
            <v>SAMI</v>
          </cell>
          <cell r="D863" t="str">
            <v>OPT-505</v>
          </cell>
          <cell r="E863">
            <v>42639</v>
          </cell>
          <cell r="F863">
            <v>43132</v>
          </cell>
          <cell r="G863">
            <v>43496</v>
          </cell>
          <cell r="H863" t="str">
            <v>PRD</v>
          </cell>
          <cell r="I863" t="str">
            <v>PRD</v>
          </cell>
          <cell r="J863" t="str">
            <v>MAZDA ATENZA</v>
          </cell>
          <cell r="K863" t="str">
            <v>MAZDA ATENZA</v>
          </cell>
          <cell r="L863" t="str">
            <v>CUTTING MAZDA ATENZA</v>
          </cell>
          <cell r="M863" t="str">
            <v>HELPER CUTTING</v>
          </cell>
          <cell r="N863" t="str">
            <v>P/A CONTROLLER</v>
          </cell>
          <cell r="O863" t="str">
            <v>B</v>
          </cell>
        </row>
        <row r="864">
          <cell r="A864">
            <v>22214</v>
          </cell>
          <cell r="B864" t="str">
            <v>ANAWAQIDATUN ANNISA</v>
          </cell>
          <cell r="C864" t="str">
            <v>SAMI</v>
          </cell>
          <cell r="D864" t="str">
            <v>OPT-551</v>
          </cell>
          <cell r="E864">
            <v>43161</v>
          </cell>
          <cell r="F864">
            <v>43192</v>
          </cell>
          <cell r="G864">
            <v>43555</v>
          </cell>
          <cell r="H864" t="str">
            <v>PRD</v>
          </cell>
          <cell r="I864" t="str">
            <v>PRD</v>
          </cell>
          <cell r="J864" t="str">
            <v>MAZDA ATENZA</v>
          </cell>
          <cell r="K864" t="str">
            <v>MAZDA ATENZA</v>
          </cell>
          <cell r="L864" t="str">
            <v>CUTTING MAZDA ATENZA</v>
          </cell>
          <cell r="M864" t="str">
            <v>INSP CUTTING</v>
          </cell>
          <cell r="N864" t="str">
            <v>P/A INSPECTOR</v>
          </cell>
          <cell r="O864" t="str">
            <v>B</v>
          </cell>
        </row>
        <row r="865">
          <cell r="A865">
            <v>22810</v>
          </cell>
          <cell r="B865" t="str">
            <v>ARDELIA AMANDA</v>
          </cell>
          <cell r="C865" t="str">
            <v>SAMI</v>
          </cell>
          <cell r="D865" t="str">
            <v>OPT-567</v>
          </cell>
          <cell r="E865">
            <v>43333</v>
          </cell>
          <cell r="F865">
            <v>43364</v>
          </cell>
          <cell r="G865">
            <v>43738</v>
          </cell>
          <cell r="H865" t="str">
            <v>PRD</v>
          </cell>
          <cell r="I865" t="str">
            <v>PRD</v>
          </cell>
          <cell r="J865" t="str">
            <v>MAZDA ATENZA</v>
          </cell>
          <cell r="K865" t="str">
            <v>MAZDA ATENZA</v>
          </cell>
          <cell r="L865" t="str">
            <v>CUTTING MAZDA ATENZA</v>
          </cell>
          <cell r="M865" t="str">
            <v>AC8-MZD-03</v>
          </cell>
          <cell r="N865" t="str">
            <v>CUTTING WIRE</v>
          </cell>
          <cell r="O865" t="str">
            <v>B</v>
          </cell>
        </row>
        <row r="866">
          <cell r="A866">
            <v>23268</v>
          </cell>
          <cell r="B866" t="str">
            <v>SIGIT ISKANDAR</v>
          </cell>
          <cell r="C866" t="str">
            <v>SAMI</v>
          </cell>
          <cell r="D866" t="str">
            <v>OPT-573</v>
          </cell>
          <cell r="E866">
            <v>43421</v>
          </cell>
          <cell r="F866">
            <v>43451</v>
          </cell>
          <cell r="G866">
            <v>43830</v>
          </cell>
          <cell r="H866" t="str">
            <v>PRD</v>
          </cell>
          <cell r="I866" t="str">
            <v>PRD</v>
          </cell>
          <cell r="J866" t="str">
            <v>MAZDA ATENZA</v>
          </cell>
          <cell r="K866" t="str">
            <v>MAZDA ATENZA</v>
          </cell>
          <cell r="L866" t="str">
            <v>CUTTING MAZDA ATENZA</v>
          </cell>
          <cell r="M866" t="str">
            <v>HELPER CUTTING</v>
          </cell>
          <cell r="N866" t="str">
            <v>P/A CONTROLLER</v>
          </cell>
          <cell r="O866" t="str">
            <v>B</v>
          </cell>
        </row>
        <row r="867">
          <cell r="A867">
            <v>23402</v>
          </cell>
          <cell r="B867" t="str">
            <v>DANI KURNIAWAN</v>
          </cell>
          <cell r="C867" t="str">
            <v>SAMI</v>
          </cell>
          <cell r="D867" t="str">
            <v>OPT-575</v>
          </cell>
          <cell r="E867">
            <v>43434</v>
          </cell>
          <cell r="F867">
            <v>43464</v>
          </cell>
          <cell r="G867">
            <v>43830</v>
          </cell>
          <cell r="H867" t="str">
            <v>PRD</v>
          </cell>
          <cell r="I867" t="str">
            <v>PRD</v>
          </cell>
          <cell r="J867" t="str">
            <v>MAZDA ATENZA</v>
          </cell>
          <cell r="K867" t="str">
            <v>MAZDA ATENZA</v>
          </cell>
          <cell r="L867" t="str">
            <v>CUTTING MAZDA ATENZA</v>
          </cell>
          <cell r="M867" t="str">
            <v>OJT HELPER CUTTING</v>
          </cell>
          <cell r="N867" t="str">
            <v>INTERNAL TRIAL</v>
          </cell>
          <cell r="O867" t="str">
            <v>B</v>
          </cell>
        </row>
        <row r="868">
          <cell r="A868" t="str">
            <v>B00677</v>
          </cell>
          <cell r="B868" t="str">
            <v>INAYATUN NURHIKMAWATI</v>
          </cell>
          <cell r="C868" t="str">
            <v>SAMI</v>
          </cell>
          <cell r="D868" t="str">
            <v>BBF-011</v>
          </cell>
          <cell r="E868">
            <v>40896</v>
          </cell>
          <cell r="F868" t="str">
            <v>-</v>
          </cell>
          <cell r="G868" t="str">
            <v>-</v>
          </cell>
          <cell r="H868" t="str">
            <v>PRD</v>
          </cell>
          <cell r="I868" t="str">
            <v>PRD</v>
          </cell>
          <cell r="J868" t="str">
            <v>MAZDA ATENZA</v>
          </cell>
          <cell r="K868" t="str">
            <v>MAZDA ATENZA</v>
          </cell>
          <cell r="L868" t="str">
            <v>CUTTING MAZDA ATENZA</v>
          </cell>
          <cell r="M868" t="str">
            <v>INSP CUTTING</v>
          </cell>
          <cell r="N868" t="str">
            <v>P/A INSPECTOR</v>
          </cell>
          <cell r="O868" t="str">
            <v>B</v>
          </cell>
        </row>
        <row r="869">
          <cell r="A869" t="str">
            <v>B00741</v>
          </cell>
          <cell r="B869" t="str">
            <v>NURHAYATI</v>
          </cell>
          <cell r="C869" t="str">
            <v>SAMI</v>
          </cell>
          <cell r="D869" t="str">
            <v>BBF-012</v>
          </cell>
          <cell r="E869">
            <v>40904</v>
          </cell>
          <cell r="F869" t="str">
            <v>-</v>
          </cell>
          <cell r="G869" t="str">
            <v>-</v>
          </cell>
          <cell r="H869" t="str">
            <v>PRD</v>
          </cell>
          <cell r="I869" t="str">
            <v>PRD</v>
          </cell>
          <cell r="J869" t="str">
            <v>MAZDA ATENZA</v>
          </cell>
          <cell r="K869" t="str">
            <v>MAZDA ATENZA</v>
          </cell>
          <cell r="L869" t="str">
            <v>CUTTING MAZDA ATENZA</v>
          </cell>
          <cell r="M869" t="str">
            <v>AC90-MZD-06</v>
          </cell>
          <cell r="N869" t="str">
            <v>CUTTING WIRE</v>
          </cell>
          <cell r="O869" t="str">
            <v>B</v>
          </cell>
        </row>
        <row r="870">
          <cell r="A870" t="str">
            <v>B00759</v>
          </cell>
          <cell r="B870" t="str">
            <v>ALFIATU ROCHMANIA</v>
          </cell>
          <cell r="C870" t="str">
            <v>SAMI</v>
          </cell>
          <cell r="D870" t="str">
            <v>BBF-013</v>
          </cell>
          <cell r="E870">
            <v>40910</v>
          </cell>
          <cell r="F870" t="str">
            <v>-</v>
          </cell>
          <cell r="G870" t="str">
            <v>-</v>
          </cell>
          <cell r="H870" t="str">
            <v>PRD</v>
          </cell>
          <cell r="I870" t="str">
            <v>PRD</v>
          </cell>
          <cell r="J870" t="str">
            <v>MAZDA ATENZA</v>
          </cell>
          <cell r="K870" t="str">
            <v>MAZDA ATENZA</v>
          </cell>
          <cell r="L870" t="str">
            <v>CUTTING MAZDA ATENZA</v>
          </cell>
          <cell r="M870" t="str">
            <v>INSP CUTTING</v>
          </cell>
          <cell r="N870" t="str">
            <v>P/A INSPECTOR</v>
          </cell>
          <cell r="O870" t="str">
            <v>B</v>
          </cell>
        </row>
        <row r="871">
          <cell r="A871">
            <v>1104</v>
          </cell>
          <cell r="B871" t="str">
            <v>KHODIJAH</v>
          </cell>
          <cell r="C871" t="str">
            <v>SAMI</v>
          </cell>
          <cell r="D871" t="str">
            <v>OPT-27</v>
          </cell>
          <cell r="E871">
            <v>37887</v>
          </cell>
          <cell r="F871" t="str">
            <v>-</v>
          </cell>
          <cell r="G871" t="str">
            <v>-</v>
          </cell>
          <cell r="H871" t="str">
            <v>PRD</v>
          </cell>
          <cell r="I871" t="str">
            <v>PRD</v>
          </cell>
          <cell r="J871" t="str">
            <v>MAZDA ATENZA</v>
          </cell>
          <cell r="K871" t="str">
            <v>MAZDA ATENZA</v>
          </cell>
          <cell r="L871" t="str">
            <v>CUTTING MAZDA ATENZA CX-5</v>
          </cell>
          <cell r="M871" t="str">
            <v>AC90-MZD-07</v>
          </cell>
          <cell r="N871" t="str">
            <v>CUTTING WIRE</v>
          </cell>
          <cell r="O871" t="str">
            <v>B</v>
          </cell>
        </row>
        <row r="872">
          <cell r="A872">
            <v>1106</v>
          </cell>
          <cell r="B872" t="str">
            <v>KHUSWATUN KHASANAH</v>
          </cell>
          <cell r="C872" t="str">
            <v>SAMI</v>
          </cell>
          <cell r="D872" t="str">
            <v>OPT-27</v>
          </cell>
          <cell r="E872">
            <v>37887</v>
          </cell>
          <cell r="F872" t="str">
            <v>-</v>
          </cell>
          <cell r="G872" t="str">
            <v>-</v>
          </cell>
          <cell r="H872" t="str">
            <v>PRD</v>
          </cell>
          <cell r="I872" t="str">
            <v>PRD</v>
          </cell>
          <cell r="J872" t="str">
            <v>MAZDA ATENZA</v>
          </cell>
          <cell r="K872" t="str">
            <v>MAZDA ATENZA</v>
          </cell>
          <cell r="L872" t="str">
            <v>CUTTING MAZDA ATENZA CX-5</v>
          </cell>
          <cell r="M872" t="str">
            <v>INSP CUTTING</v>
          </cell>
          <cell r="N872" t="str">
            <v>P/A INSPECTOR</v>
          </cell>
          <cell r="O872" t="str">
            <v>B</v>
          </cell>
        </row>
        <row r="873">
          <cell r="A873">
            <v>5463</v>
          </cell>
          <cell r="B873" t="str">
            <v>SUTARTI</v>
          </cell>
          <cell r="C873" t="str">
            <v>SAMI</v>
          </cell>
          <cell r="D873" t="str">
            <v>OPT-128</v>
          </cell>
          <cell r="E873">
            <v>38991</v>
          </cell>
          <cell r="F873" t="str">
            <v>-</v>
          </cell>
          <cell r="G873" t="str">
            <v>-</v>
          </cell>
          <cell r="H873" t="str">
            <v>PRD</v>
          </cell>
          <cell r="I873" t="str">
            <v>PRD</v>
          </cell>
          <cell r="J873" t="str">
            <v>MAZDA ATENZA</v>
          </cell>
          <cell r="K873" t="str">
            <v>MAZDA ATENZA</v>
          </cell>
          <cell r="L873" t="str">
            <v>CUTTING MAZDA ATENZA CX-5</v>
          </cell>
          <cell r="M873" t="str">
            <v>INSP CUTTING</v>
          </cell>
          <cell r="N873" t="str">
            <v>P/A INSPECTOR</v>
          </cell>
          <cell r="O873" t="str">
            <v>B</v>
          </cell>
        </row>
        <row r="874">
          <cell r="A874">
            <v>11942</v>
          </cell>
          <cell r="B874" t="str">
            <v>MUALIFAH</v>
          </cell>
          <cell r="C874" t="str">
            <v>SAMI</v>
          </cell>
          <cell r="D874" t="str">
            <v>OPT-311</v>
          </cell>
          <cell r="E874">
            <v>40770</v>
          </cell>
          <cell r="F874" t="str">
            <v>-</v>
          </cell>
          <cell r="G874" t="str">
            <v>-</v>
          </cell>
          <cell r="H874" t="str">
            <v>PRD</v>
          </cell>
          <cell r="I874" t="str">
            <v>PRD</v>
          </cell>
          <cell r="J874" t="str">
            <v>MAZDA ATENZA</v>
          </cell>
          <cell r="K874" t="str">
            <v>MAZDA ATENZA</v>
          </cell>
          <cell r="L874" t="str">
            <v>CUTTING MAZDA ATENZA CX-5</v>
          </cell>
          <cell r="M874" t="str">
            <v>AC90-MZD-02</v>
          </cell>
          <cell r="N874" t="str">
            <v>CUTTING WIRE</v>
          </cell>
          <cell r="O874" t="str">
            <v>B</v>
          </cell>
        </row>
        <row r="875">
          <cell r="A875">
            <v>22454</v>
          </cell>
          <cell r="B875" t="str">
            <v>JONI PRASTYO</v>
          </cell>
          <cell r="C875" t="str">
            <v>SAMI</v>
          </cell>
          <cell r="D875" t="str">
            <v>OPT-559</v>
          </cell>
          <cell r="E875">
            <v>43220</v>
          </cell>
          <cell r="F875">
            <v>43250</v>
          </cell>
          <cell r="G875">
            <v>43616</v>
          </cell>
          <cell r="H875" t="str">
            <v>PRD</v>
          </cell>
          <cell r="I875" t="str">
            <v>PRD</v>
          </cell>
          <cell r="J875" t="str">
            <v>MAZDA ATENZA</v>
          </cell>
          <cell r="K875" t="str">
            <v>MAZDA ATENZA</v>
          </cell>
          <cell r="L875" t="str">
            <v>CUTTING MAZDA ATENZA CX-5</v>
          </cell>
          <cell r="M875" t="str">
            <v>HELPER CUTTING</v>
          </cell>
          <cell r="N875" t="str">
            <v>P/A CONTROLLER</v>
          </cell>
          <cell r="O875" t="str">
            <v>B</v>
          </cell>
        </row>
        <row r="876">
          <cell r="A876">
            <v>22552</v>
          </cell>
          <cell r="B876" t="str">
            <v>NURUL AINI</v>
          </cell>
          <cell r="C876" t="str">
            <v>SAMI</v>
          </cell>
          <cell r="D876" t="str">
            <v>OPT-560</v>
          </cell>
          <cell r="E876">
            <v>43224</v>
          </cell>
          <cell r="F876">
            <v>43255</v>
          </cell>
          <cell r="G876">
            <v>43616</v>
          </cell>
          <cell r="H876" t="str">
            <v>PRD</v>
          </cell>
          <cell r="I876" t="str">
            <v>PRD</v>
          </cell>
          <cell r="J876" t="str">
            <v>MAZDA ATENZA</v>
          </cell>
          <cell r="K876" t="str">
            <v>MAZDA ATENZA</v>
          </cell>
          <cell r="L876" t="str">
            <v>CUTTING MAZDA ATENZA CX-5</v>
          </cell>
          <cell r="M876" t="str">
            <v>AC81-MZD-04</v>
          </cell>
          <cell r="N876" t="str">
            <v>CUTTING WIRE</v>
          </cell>
          <cell r="O876" t="str">
            <v>B</v>
          </cell>
        </row>
        <row r="877">
          <cell r="A877">
            <v>4530</v>
          </cell>
          <cell r="B877" t="str">
            <v>SRI MULYANI</v>
          </cell>
          <cell r="C877" t="str">
            <v>SAMI</v>
          </cell>
          <cell r="D877" t="str">
            <v>OPT-111</v>
          </cell>
          <cell r="E877">
            <v>38789</v>
          </cell>
          <cell r="F877" t="str">
            <v>-</v>
          </cell>
          <cell r="G877" t="str">
            <v>-</v>
          </cell>
          <cell r="H877" t="str">
            <v>PRD</v>
          </cell>
          <cell r="I877" t="str">
            <v>PRD</v>
          </cell>
          <cell r="J877" t="str">
            <v>SUZUKI WAGON R</v>
          </cell>
          <cell r="K877" t="str">
            <v>SUZUKI YW0</v>
          </cell>
          <cell r="L877" t="str">
            <v>CUTTING SUZUKI YW0</v>
          </cell>
          <cell r="M877" t="str">
            <v>INSP CUTTING</v>
          </cell>
          <cell r="N877" t="str">
            <v>P/A INSPECTOR</v>
          </cell>
          <cell r="O877" t="str">
            <v>A</v>
          </cell>
        </row>
        <row r="878">
          <cell r="A878">
            <v>8885</v>
          </cell>
          <cell r="B878" t="str">
            <v>MUNASIYAH</v>
          </cell>
          <cell r="C878" t="str">
            <v>SAMI</v>
          </cell>
          <cell r="D878" t="str">
            <v>OPT-196</v>
          </cell>
          <cell r="E878">
            <v>39961</v>
          </cell>
          <cell r="F878" t="str">
            <v>-</v>
          </cell>
          <cell r="G878" t="str">
            <v>-</v>
          </cell>
          <cell r="H878" t="str">
            <v>PRD</v>
          </cell>
          <cell r="I878" t="str">
            <v>PRD</v>
          </cell>
          <cell r="J878" t="str">
            <v>SUZUKI WAGON R</v>
          </cell>
          <cell r="K878" t="str">
            <v>SUZUKI YW0</v>
          </cell>
          <cell r="L878" t="str">
            <v>CUTTING SUZUKI YW0</v>
          </cell>
          <cell r="M878" t="str">
            <v>AC90-SZK-03</v>
          </cell>
          <cell r="N878" t="str">
            <v>CUTTING WIRE</v>
          </cell>
          <cell r="O878" t="str">
            <v>A</v>
          </cell>
        </row>
        <row r="879">
          <cell r="A879">
            <v>9074</v>
          </cell>
          <cell r="B879" t="str">
            <v>ISTIANI AGUSTINA</v>
          </cell>
          <cell r="C879" t="str">
            <v>SAMI</v>
          </cell>
          <cell r="D879" t="str">
            <v>OPT-203</v>
          </cell>
          <cell r="E879">
            <v>39993</v>
          </cell>
          <cell r="F879" t="str">
            <v>-</v>
          </cell>
          <cell r="G879" t="str">
            <v>-</v>
          </cell>
          <cell r="H879" t="str">
            <v>PRD</v>
          </cell>
          <cell r="I879" t="str">
            <v>PRD</v>
          </cell>
          <cell r="J879" t="str">
            <v>SUZUKI WAGON R</v>
          </cell>
          <cell r="K879" t="str">
            <v>SUZUKI YW0</v>
          </cell>
          <cell r="L879" t="str">
            <v>CUTTING SUZUKI YW0</v>
          </cell>
          <cell r="M879" t="str">
            <v>INSP CUTTING</v>
          </cell>
          <cell r="N879" t="str">
            <v>P/A INSPECTOR</v>
          </cell>
          <cell r="O879" t="str">
            <v>A</v>
          </cell>
        </row>
        <row r="880">
          <cell r="A880">
            <v>9646</v>
          </cell>
          <cell r="B880" t="str">
            <v>WAHYUDI</v>
          </cell>
          <cell r="C880" t="str">
            <v>SAMI</v>
          </cell>
          <cell r="D880" t="str">
            <v>OPT-218</v>
          </cell>
          <cell r="E880">
            <v>40179</v>
          </cell>
          <cell r="F880" t="str">
            <v>-</v>
          </cell>
          <cell r="G880" t="str">
            <v>-</v>
          </cell>
          <cell r="H880" t="str">
            <v>PRD</v>
          </cell>
          <cell r="I880" t="str">
            <v>PRD</v>
          </cell>
          <cell r="J880" t="str">
            <v>SUZUKI WAGON R</v>
          </cell>
          <cell r="K880" t="str">
            <v>SUZUKI YW0</v>
          </cell>
          <cell r="L880" t="str">
            <v>CUTTING SUZUKI YW0</v>
          </cell>
          <cell r="M880" t="str">
            <v>KMX-SZK-01,MC3-SZK-03</v>
          </cell>
          <cell r="N880" t="str">
            <v>CUTTING WIRE</v>
          </cell>
          <cell r="O880" t="str">
            <v>A</v>
          </cell>
        </row>
        <row r="881">
          <cell r="A881">
            <v>10096</v>
          </cell>
          <cell r="B881" t="str">
            <v>KHONITA FAUZIYAH</v>
          </cell>
          <cell r="C881" t="str">
            <v>SAMI</v>
          </cell>
          <cell r="D881" t="str">
            <v>OPT-248</v>
          </cell>
          <cell r="E881">
            <v>40444</v>
          </cell>
          <cell r="F881" t="str">
            <v>-</v>
          </cell>
          <cell r="G881" t="str">
            <v>-</v>
          </cell>
          <cell r="H881" t="str">
            <v>PRD</v>
          </cell>
          <cell r="I881" t="str">
            <v>PRD</v>
          </cell>
          <cell r="J881" t="str">
            <v>SUZUKI WAGON R</v>
          </cell>
          <cell r="K881" t="str">
            <v>SUZUKI YW0</v>
          </cell>
          <cell r="L881" t="str">
            <v>CUTTING SUZUKI YW0</v>
          </cell>
          <cell r="M881" t="str">
            <v>AC90-SZK-05</v>
          </cell>
          <cell r="N881" t="str">
            <v>CUTTING WIRE</v>
          </cell>
          <cell r="O881" t="str">
            <v>A</v>
          </cell>
        </row>
        <row r="882">
          <cell r="A882">
            <v>10496</v>
          </cell>
          <cell r="B882" t="str">
            <v>BETI WIDIYASTUTI</v>
          </cell>
          <cell r="C882" t="str">
            <v>SAMI</v>
          </cell>
          <cell r="D882" t="str">
            <v>OPT-273</v>
          </cell>
          <cell r="E882">
            <v>40535</v>
          </cell>
          <cell r="F882" t="str">
            <v>-</v>
          </cell>
          <cell r="G882" t="str">
            <v>-</v>
          </cell>
          <cell r="H882" t="str">
            <v>PRD</v>
          </cell>
          <cell r="I882" t="str">
            <v>PRD</v>
          </cell>
          <cell r="J882" t="str">
            <v>SUZUKI WAGON R</v>
          </cell>
          <cell r="K882" t="str">
            <v>SUZUKI YW0</v>
          </cell>
          <cell r="L882" t="str">
            <v>CUTTING SUZUKI YW0</v>
          </cell>
          <cell r="M882" t="str">
            <v>AC90-SZK-01</v>
          </cell>
          <cell r="N882" t="str">
            <v>CUTTING WIRE</v>
          </cell>
          <cell r="O882" t="str">
            <v>A</v>
          </cell>
        </row>
        <row r="883">
          <cell r="A883">
            <v>11095</v>
          </cell>
          <cell r="B883" t="str">
            <v>AGUSTIN PUSPITASARI</v>
          </cell>
          <cell r="C883" t="str">
            <v>SAMI</v>
          </cell>
          <cell r="D883" t="str">
            <v>OPT-290</v>
          </cell>
          <cell r="E883">
            <v>40603</v>
          </cell>
          <cell r="F883" t="str">
            <v>-</v>
          </cell>
          <cell r="G883" t="str">
            <v>-</v>
          </cell>
          <cell r="H883" t="str">
            <v>PRD</v>
          </cell>
          <cell r="I883" t="str">
            <v>PRD</v>
          </cell>
          <cell r="J883" t="str">
            <v>SUZUKI WAGON R</v>
          </cell>
          <cell r="K883" t="str">
            <v>SUZUKI YW0</v>
          </cell>
          <cell r="L883" t="str">
            <v>CUTTING SUZUKI YW0</v>
          </cell>
          <cell r="M883" t="str">
            <v>AC90-SZK-02</v>
          </cell>
          <cell r="N883" t="str">
            <v>CUTTING WIRE</v>
          </cell>
          <cell r="O883" t="str">
            <v>A</v>
          </cell>
        </row>
        <row r="884">
          <cell r="A884">
            <v>11905</v>
          </cell>
          <cell r="B884" t="str">
            <v>VITASARI</v>
          </cell>
          <cell r="C884" t="str">
            <v>SAMI</v>
          </cell>
          <cell r="D884" t="str">
            <v>OPT-310</v>
          </cell>
          <cell r="E884">
            <v>40735</v>
          </cell>
          <cell r="F884" t="str">
            <v>-</v>
          </cell>
          <cell r="G884" t="str">
            <v>-</v>
          </cell>
          <cell r="H884" t="str">
            <v>PRD</v>
          </cell>
          <cell r="I884" t="str">
            <v>PRD</v>
          </cell>
          <cell r="J884" t="str">
            <v>SUZUKI WAGON R</v>
          </cell>
          <cell r="K884" t="str">
            <v>SUZUKI YW0</v>
          </cell>
          <cell r="L884" t="str">
            <v>CUTTING SUZUKI YW0</v>
          </cell>
          <cell r="M884" t="str">
            <v>AC90-SZK-07</v>
          </cell>
          <cell r="N884" t="str">
            <v>CUTTING WIRE</v>
          </cell>
          <cell r="O884" t="str">
            <v>A</v>
          </cell>
        </row>
        <row r="885">
          <cell r="A885">
            <v>22730</v>
          </cell>
          <cell r="B885" t="str">
            <v>DITA LAYYINATUL HASANAH</v>
          </cell>
          <cell r="C885" t="str">
            <v>SAMI</v>
          </cell>
          <cell r="D885" t="str">
            <v>OPT-564</v>
          </cell>
          <cell r="E885">
            <v>43255</v>
          </cell>
          <cell r="F885">
            <v>43285</v>
          </cell>
          <cell r="G885">
            <v>43646</v>
          </cell>
          <cell r="H885" t="str">
            <v>PRD</v>
          </cell>
          <cell r="I885" t="str">
            <v>PRD</v>
          </cell>
          <cell r="J885" t="str">
            <v>SUZUKI WAGON R</v>
          </cell>
          <cell r="K885" t="str">
            <v>SUZUKI YW0</v>
          </cell>
          <cell r="L885" t="str">
            <v>CUTTING SUZUKI YW0</v>
          </cell>
          <cell r="M885" t="str">
            <v>INSP CUTTING</v>
          </cell>
          <cell r="N885" t="str">
            <v>P/A INSPECTOR</v>
          </cell>
          <cell r="O885" t="str">
            <v>A</v>
          </cell>
        </row>
        <row r="886">
          <cell r="A886">
            <v>23049</v>
          </cell>
          <cell r="B886" t="str">
            <v>MUHAMMAD ABDUL MUNIB</v>
          </cell>
          <cell r="C886" t="str">
            <v>SAMI</v>
          </cell>
          <cell r="D886" t="str">
            <v>OPT-569</v>
          </cell>
          <cell r="E886">
            <v>43361</v>
          </cell>
          <cell r="F886">
            <v>43391</v>
          </cell>
          <cell r="G886">
            <v>43769</v>
          </cell>
          <cell r="H886" t="str">
            <v>PRD</v>
          </cell>
          <cell r="I886" t="str">
            <v>PRD</v>
          </cell>
          <cell r="J886" t="str">
            <v>SUZUKI WAGON R</v>
          </cell>
          <cell r="K886" t="str">
            <v>SUZUKI YW0</v>
          </cell>
          <cell r="L886" t="str">
            <v>CUTTING SUZUKI YW0</v>
          </cell>
          <cell r="M886" t="str">
            <v>HELPER CUTTING</v>
          </cell>
          <cell r="N886" t="str">
            <v>P/A CONTROLLER</v>
          </cell>
          <cell r="O886" t="str">
            <v>A</v>
          </cell>
        </row>
        <row r="887">
          <cell r="A887">
            <v>939</v>
          </cell>
          <cell r="B887" t="str">
            <v>FARIDA HIKMAWATI</v>
          </cell>
          <cell r="C887" t="str">
            <v>SAMI</v>
          </cell>
          <cell r="D887" t="str">
            <v>OPT-24</v>
          </cell>
          <cell r="E887">
            <v>37865</v>
          </cell>
          <cell r="F887" t="str">
            <v>-</v>
          </cell>
          <cell r="G887" t="str">
            <v>-</v>
          </cell>
          <cell r="H887" t="str">
            <v>PRD</v>
          </cell>
          <cell r="I887" t="str">
            <v>PRD</v>
          </cell>
          <cell r="J887" t="str">
            <v>SUZUKI WAGON R</v>
          </cell>
          <cell r="K887" t="str">
            <v>SUZUKI YW0</v>
          </cell>
          <cell r="L887" t="str">
            <v>CUTTING SUZUKI YW0</v>
          </cell>
          <cell r="M887" t="str">
            <v>AC90-SZK-01</v>
          </cell>
          <cell r="N887" t="str">
            <v>CUTTING WIRE</v>
          </cell>
          <cell r="O887" t="str">
            <v>B</v>
          </cell>
        </row>
        <row r="888">
          <cell r="A888">
            <v>9021</v>
          </cell>
          <cell r="B888" t="str">
            <v>RINI RETNOWATI</v>
          </cell>
          <cell r="C888" t="str">
            <v>SAMI</v>
          </cell>
          <cell r="D888" t="str">
            <v>OPT-201</v>
          </cell>
          <cell r="E888">
            <v>39975</v>
          </cell>
          <cell r="F888" t="str">
            <v>-</v>
          </cell>
          <cell r="G888" t="str">
            <v>-</v>
          </cell>
          <cell r="H888" t="str">
            <v>PRD</v>
          </cell>
          <cell r="I888" t="str">
            <v>PRD</v>
          </cell>
          <cell r="J888" t="str">
            <v>SUZUKI WAGON R</v>
          </cell>
          <cell r="K888" t="str">
            <v>SUZUKI YW0</v>
          </cell>
          <cell r="L888" t="str">
            <v>CUTTING SUZUKI YW0</v>
          </cell>
          <cell r="M888" t="str">
            <v>AC90-SZK-02</v>
          </cell>
          <cell r="N888" t="str">
            <v>CUTTING WIRE</v>
          </cell>
          <cell r="O888" t="str">
            <v>B</v>
          </cell>
        </row>
        <row r="889">
          <cell r="A889">
            <v>9560</v>
          </cell>
          <cell r="B889" t="str">
            <v>NUR KHADHIROH</v>
          </cell>
          <cell r="C889" t="str">
            <v>SAMI</v>
          </cell>
          <cell r="D889" t="str">
            <v>OPT-217</v>
          </cell>
          <cell r="E889">
            <v>40179</v>
          </cell>
          <cell r="F889" t="str">
            <v>-</v>
          </cell>
          <cell r="G889" t="str">
            <v>-</v>
          </cell>
          <cell r="H889" t="str">
            <v>PRD</v>
          </cell>
          <cell r="I889" t="str">
            <v>PRD</v>
          </cell>
          <cell r="J889" t="str">
            <v>SUZUKI WAGON R</v>
          </cell>
          <cell r="K889" t="str">
            <v>SUZUKI YW0</v>
          </cell>
          <cell r="L889" t="str">
            <v>CUTTING SUZUKI YW0</v>
          </cell>
          <cell r="M889" t="str">
            <v>KMX-SZK-01</v>
          </cell>
          <cell r="N889" t="str">
            <v>CUTTING WIRE</v>
          </cell>
          <cell r="O889" t="str">
            <v>B</v>
          </cell>
        </row>
        <row r="890">
          <cell r="A890">
            <v>9615</v>
          </cell>
          <cell r="B890" t="str">
            <v>NANING HASANAH</v>
          </cell>
          <cell r="C890" t="str">
            <v>SAMI</v>
          </cell>
          <cell r="D890" t="str">
            <v>OPT-218</v>
          </cell>
          <cell r="E890">
            <v>40179</v>
          </cell>
          <cell r="F890" t="str">
            <v>-</v>
          </cell>
          <cell r="G890" t="str">
            <v>-</v>
          </cell>
          <cell r="H890" t="str">
            <v>PRD</v>
          </cell>
          <cell r="I890" t="str">
            <v>PRD</v>
          </cell>
          <cell r="J890" t="str">
            <v>SUZUKI WAGON R</v>
          </cell>
          <cell r="K890" t="str">
            <v>SUZUKI YW0</v>
          </cell>
          <cell r="L890" t="str">
            <v>CUTTING SUZUKI YW0</v>
          </cell>
          <cell r="M890" t="str">
            <v>INSP CUTTING</v>
          </cell>
          <cell r="N890" t="str">
            <v>P/A INSPECTOR</v>
          </cell>
          <cell r="O890" t="str">
            <v>B</v>
          </cell>
        </row>
        <row r="891">
          <cell r="A891">
            <v>9683</v>
          </cell>
          <cell r="B891" t="str">
            <v>FENTI WULANDARI</v>
          </cell>
          <cell r="C891" t="str">
            <v>SAMI</v>
          </cell>
          <cell r="D891" t="str">
            <v>OPT-222</v>
          </cell>
          <cell r="E891">
            <v>40297</v>
          </cell>
          <cell r="F891" t="str">
            <v>-</v>
          </cell>
          <cell r="G891" t="str">
            <v>-</v>
          </cell>
          <cell r="H891" t="str">
            <v>PRD</v>
          </cell>
          <cell r="I891" t="str">
            <v>PRD</v>
          </cell>
          <cell r="J891" t="str">
            <v>SUZUKI WAGON R</v>
          </cell>
          <cell r="K891" t="str">
            <v>SUZUKI YW0</v>
          </cell>
          <cell r="L891" t="str">
            <v>CUTTING SUZUKI YW0</v>
          </cell>
          <cell r="M891" t="str">
            <v>AC90-SZK-05</v>
          </cell>
          <cell r="N891" t="str">
            <v>CUTTING WIRE</v>
          </cell>
          <cell r="O891" t="str">
            <v>B</v>
          </cell>
        </row>
        <row r="892">
          <cell r="A892">
            <v>10077</v>
          </cell>
          <cell r="B892" t="str">
            <v>AYU CAHYANI</v>
          </cell>
          <cell r="C892" t="str">
            <v>SAMI</v>
          </cell>
          <cell r="D892" t="str">
            <v>OPT-248</v>
          </cell>
          <cell r="E892">
            <v>40444</v>
          </cell>
          <cell r="F892" t="str">
            <v>-</v>
          </cell>
          <cell r="G892" t="str">
            <v>-</v>
          </cell>
          <cell r="H892" t="str">
            <v>PRD</v>
          </cell>
          <cell r="I892" t="str">
            <v>PRD</v>
          </cell>
          <cell r="J892" t="str">
            <v>SUZUKI WAGON R</v>
          </cell>
          <cell r="K892" t="str">
            <v>SUZUKI YW0</v>
          </cell>
          <cell r="L892" t="str">
            <v>CUTTING SUZUKI YW0</v>
          </cell>
          <cell r="M892" t="str">
            <v>AC90-SZK-07</v>
          </cell>
          <cell r="N892" t="str">
            <v>CUTTING WIRE</v>
          </cell>
          <cell r="O892" t="str">
            <v>B</v>
          </cell>
        </row>
        <row r="893">
          <cell r="A893">
            <v>20629</v>
          </cell>
          <cell r="B893" t="str">
            <v>NUR ZULAEKAH</v>
          </cell>
          <cell r="C893" t="str">
            <v>SAMI</v>
          </cell>
          <cell r="D893" t="str">
            <v>OPT-505</v>
          </cell>
          <cell r="E893">
            <v>42639</v>
          </cell>
          <cell r="F893">
            <v>43132</v>
          </cell>
          <cell r="G893">
            <v>43496</v>
          </cell>
          <cell r="H893" t="str">
            <v>PRD</v>
          </cell>
          <cell r="I893" t="str">
            <v>PRD</v>
          </cell>
          <cell r="J893" t="str">
            <v>SUZUKI WAGON R</v>
          </cell>
          <cell r="K893" t="str">
            <v>SUZUKI YW0</v>
          </cell>
          <cell r="L893" t="str">
            <v>CUTTING SUZUKI YW0</v>
          </cell>
          <cell r="M893" t="str">
            <v>AC90-SZK-03</v>
          </cell>
          <cell r="N893" t="str">
            <v>CUTTING WIRE</v>
          </cell>
          <cell r="O893" t="str">
            <v>B</v>
          </cell>
        </row>
        <row r="894">
          <cell r="A894">
            <v>20697</v>
          </cell>
          <cell r="B894" t="str">
            <v>ANA KHIKMATUL MAULA</v>
          </cell>
          <cell r="C894" t="str">
            <v>SAMI</v>
          </cell>
          <cell r="D894" t="str">
            <v>OPT-506</v>
          </cell>
          <cell r="E894">
            <v>42642</v>
          </cell>
          <cell r="F894">
            <v>43132</v>
          </cell>
          <cell r="G894">
            <v>43496</v>
          </cell>
          <cell r="H894" t="str">
            <v>PRD</v>
          </cell>
          <cell r="I894" t="str">
            <v>PRD</v>
          </cell>
          <cell r="J894" t="str">
            <v>SUZUKI WAGON R</v>
          </cell>
          <cell r="K894" t="str">
            <v>SUZUKI YW0</v>
          </cell>
          <cell r="L894" t="str">
            <v>CUTTING SUZUKI YW0</v>
          </cell>
          <cell r="M894" t="str">
            <v>INSP CUTTING</v>
          </cell>
          <cell r="N894" t="str">
            <v>P/A INSPECTOR</v>
          </cell>
          <cell r="O894" t="str">
            <v>B</v>
          </cell>
        </row>
        <row r="895">
          <cell r="A895">
            <v>21702</v>
          </cell>
          <cell r="B895" t="str">
            <v>ALIFUDIN MAULANA</v>
          </cell>
          <cell r="C895" t="str">
            <v>SAMI</v>
          </cell>
          <cell r="D895" t="str">
            <v>OPT-539</v>
          </cell>
          <cell r="E895">
            <v>43087</v>
          </cell>
          <cell r="F895">
            <v>43118</v>
          </cell>
          <cell r="G895">
            <v>43496</v>
          </cell>
          <cell r="H895" t="str">
            <v>PRD</v>
          </cell>
          <cell r="I895" t="str">
            <v>PRD</v>
          </cell>
          <cell r="J895" t="str">
            <v>SUZUKI WAGON R</v>
          </cell>
          <cell r="K895" t="str">
            <v>SUZUKI YW0</v>
          </cell>
          <cell r="L895" t="str">
            <v>CUTTING SUZUKI YW0</v>
          </cell>
          <cell r="M895" t="str">
            <v>HELPER CUTTING</v>
          </cell>
          <cell r="N895" t="str">
            <v>P/A CONTROLLER</v>
          </cell>
          <cell r="O895" t="str">
            <v>B</v>
          </cell>
        </row>
        <row r="896">
          <cell r="A896">
            <v>23025</v>
          </cell>
          <cell r="B896" t="str">
            <v>HIMAWAN BAYU PRASETIYO AJI</v>
          </cell>
          <cell r="C896" t="str">
            <v>SAMI</v>
          </cell>
          <cell r="D896" t="str">
            <v>OPT-569</v>
          </cell>
          <cell r="E896">
            <v>43361</v>
          </cell>
          <cell r="F896">
            <v>43391</v>
          </cell>
          <cell r="G896">
            <v>43769</v>
          </cell>
          <cell r="H896" t="str">
            <v>PRD</v>
          </cell>
          <cell r="I896" t="str">
            <v>PRD</v>
          </cell>
          <cell r="J896" t="str">
            <v>SUZUKI WAGON R</v>
          </cell>
          <cell r="K896" t="str">
            <v>SUZUKI YW0</v>
          </cell>
          <cell r="L896" t="str">
            <v>CUTTING SUZUKI YW0</v>
          </cell>
          <cell r="M896" t="str">
            <v>HELPER CUTTING</v>
          </cell>
          <cell r="N896" t="str">
            <v>P/A CONTROLLER</v>
          </cell>
          <cell r="O896" t="str">
            <v>B</v>
          </cell>
        </row>
        <row r="897">
          <cell r="A897">
            <v>328</v>
          </cell>
          <cell r="B897" t="str">
            <v>IDA ASTUTIK</v>
          </cell>
          <cell r="C897" t="str">
            <v>SAMI</v>
          </cell>
          <cell r="D897" t="str">
            <v>OPT-9</v>
          </cell>
          <cell r="E897">
            <v>37725</v>
          </cell>
          <cell r="F897" t="str">
            <v>-</v>
          </cell>
          <cell r="G897" t="str">
            <v>-</v>
          </cell>
          <cell r="H897" t="str">
            <v>PRD</v>
          </cell>
          <cell r="I897" t="str">
            <v>PRD</v>
          </cell>
          <cell r="J897" t="str">
            <v>HV TOYOTA</v>
          </cell>
          <cell r="K897" t="str">
            <v>HV TOYOTA</v>
          </cell>
          <cell r="L897" t="str">
            <v>CUTTING TOYOTA HV</v>
          </cell>
          <cell r="M897" t="str">
            <v>INSP CUTTING</v>
          </cell>
          <cell r="N897" t="str">
            <v>P/A INSPECTOR</v>
          </cell>
          <cell r="O897" t="str">
            <v>A</v>
          </cell>
        </row>
        <row r="898">
          <cell r="A898">
            <v>9899</v>
          </cell>
          <cell r="B898" t="str">
            <v>NOFI MUAFIYAH</v>
          </cell>
          <cell r="C898" t="str">
            <v>SAMI</v>
          </cell>
          <cell r="D898" t="str">
            <v>OPT-244</v>
          </cell>
          <cell r="E898">
            <v>40424</v>
          </cell>
          <cell r="F898" t="str">
            <v>-</v>
          </cell>
          <cell r="G898" t="str">
            <v>-</v>
          </cell>
          <cell r="H898" t="str">
            <v>PRD</v>
          </cell>
          <cell r="I898" t="str">
            <v>PRD</v>
          </cell>
          <cell r="J898" t="str">
            <v>HV TOYOTA</v>
          </cell>
          <cell r="K898" t="str">
            <v>HV TOYOTA</v>
          </cell>
          <cell r="L898" t="str">
            <v>CUTTING TOYOTA HV</v>
          </cell>
          <cell r="M898" t="str">
            <v>AC90-T-02</v>
          </cell>
          <cell r="N898" t="str">
            <v>CUTTING WIRE</v>
          </cell>
          <cell r="O898" t="str">
            <v>A</v>
          </cell>
        </row>
        <row r="899">
          <cell r="A899">
            <v>10512</v>
          </cell>
          <cell r="B899" t="str">
            <v>MUASSAMAH</v>
          </cell>
          <cell r="C899" t="str">
            <v>SAMI</v>
          </cell>
          <cell r="D899" t="str">
            <v>OPT-273</v>
          </cell>
          <cell r="E899">
            <v>40535</v>
          </cell>
          <cell r="F899" t="str">
            <v>-</v>
          </cell>
          <cell r="G899" t="str">
            <v>-</v>
          </cell>
          <cell r="H899" t="str">
            <v>PRD</v>
          </cell>
          <cell r="I899" t="str">
            <v>PRD</v>
          </cell>
          <cell r="J899" t="str">
            <v>HV TOYOTA</v>
          </cell>
          <cell r="K899" t="str">
            <v>HV TOYOTA</v>
          </cell>
          <cell r="L899" t="str">
            <v>CUTTING TOYOTA HV</v>
          </cell>
          <cell r="M899" t="str">
            <v>AC90-T-03</v>
          </cell>
          <cell r="N899" t="str">
            <v>CUTTING WIRE</v>
          </cell>
          <cell r="O899" t="str">
            <v>A</v>
          </cell>
        </row>
        <row r="900">
          <cell r="A900">
            <v>12641</v>
          </cell>
          <cell r="B900" t="str">
            <v>DWI ARIYANTI</v>
          </cell>
          <cell r="C900" t="str">
            <v>SAMI</v>
          </cell>
          <cell r="D900" t="str">
            <v>OPT-320</v>
          </cell>
          <cell r="E900">
            <v>40819</v>
          </cell>
          <cell r="F900" t="str">
            <v>-</v>
          </cell>
          <cell r="G900" t="str">
            <v>-</v>
          </cell>
          <cell r="H900" t="str">
            <v>PRD</v>
          </cell>
          <cell r="I900" t="str">
            <v>PRD</v>
          </cell>
          <cell r="J900" t="str">
            <v>HV TOYOTA</v>
          </cell>
          <cell r="K900" t="str">
            <v>HV TOYOTA</v>
          </cell>
          <cell r="L900" t="str">
            <v>CUTTING TOYOTA HV</v>
          </cell>
          <cell r="M900" t="str">
            <v>INSP CUTTING</v>
          </cell>
          <cell r="N900" t="str">
            <v>P/A INSPECTOR</v>
          </cell>
          <cell r="O900" t="str">
            <v>A</v>
          </cell>
        </row>
        <row r="901">
          <cell r="A901">
            <v>20876</v>
          </cell>
          <cell r="B901" t="str">
            <v>MOCHAMMAD ARIS MUNANDAR</v>
          </cell>
          <cell r="C901" t="str">
            <v>SAMI</v>
          </cell>
          <cell r="D901" t="str">
            <v>OPT-510</v>
          </cell>
          <cell r="E901">
            <v>42660</v>
          </cell>
          <cell r="F901">
            <v>43160</v>
          </cell>
          <cell r="G901">
            <v>43524</v>
          </cell>
          <cell r="H901" t="str">
            <v>PRD</v>
          </cell>
          <cell r="I901" t="str">
            <v>PRD</v>
          </cell>
          <cell r="J901" t="str">
            <v>HV TOYOTA</v>
          </cell>
          <cell r="K901" t="str">
            <v>HV TOYOTA</v>
          </cell>
          <cell r="L901" t="str">
            <v>CUTTING TOYOTA HV</v>
          </cell>
          <cell r="M901" t="str">
            <v>HELPER CUTTING</v>
          </cell>
          <cell r="N901" t="str">
            <v>P/A CONTROLLER</v>
          </cell>
          <cell r="O901" t="str">
            <v>A</v>
          </cell>
        </row>
        <row r="902">
          <cell r="A902">
            <v>21859</v>
          </cell>
          <cell r="B902" t="str">
            <v>TRIANI AGUSTINA</v>
          </cell>
          <cell r="C902" t="str">
            <v>SAMI</v>
          </cell>
          <cell r="D902" t="str">
            <v>OPT-541</v>
          </cell>
          <cell r="E902">
            <v>43098</v>
          </cell>
          <cell r="F902">
            <v>43129</v>
          </cell>
          <cell r="G902">
            <v>43496</v>
          </cell>
          <cell r="H902" t="str">
            <v>PRD</v>
          </cell>
          <cell r="I902" t="str">
            <v>PRD</v>
          </cell>
          <cell r="J902" t="str">
            <v>HV TOYOTA</v>
          </cell>
          <cell r="K902" t="str">
            <v>HV TOYOTA</v>
          </cell>
          <cell r="L902" t="str">
            <v>CUTTING TOYOTA HV</v>
          </cell>
          <cell r="M902" t="str">
            <v>AC90-T-04</v>
          </cell>
          <cell r="N902" t="str">
            <v>CUTTING WIRE</v>
          </cell>
          <cell r="O902" t="str">
            <v>A</v>
          </cell>
        </row>
        <row r="903">
          <cell r="A903">
            <v>22304</v>
          </cell>
          <cell r="B903" t="str">
            <v>NUR ISNAINI AWALIYAH</v>
          </cell>
          <cell r="C903" t="str">
            <v>SAMI</v>
          </cell>
          <cell r="D903" t="str">
            <v>OPT-555</v>
          </cell>
          <cell r="E903">
            <v>43192</v>
          </cell>
          <cell r="F903">
            <v>43222</v>
          </cell>
          <cell r="G903">
            <v>43585</v>
          </cell>
          <cell r="H903" t="str">
            <v>PRD</v>
          </cell>
          <cell r="I903" t="str">
            <v>PRD</v>
          </cell>
          <cell r="J903" t="str">
            <v>HV TOYOTA</v>
          </cell>
          <cell r="K903" t="str">
            <v>HV TOYOTA</v>
          </cell>
          <cell r="L903" t="str">
            <v>CUTTING TOYOTA HV</v>
          </cell>
          <cell r="M903" t="str">
            <v>INSP CUTTING</v>
          </cell>
          <cell r="N903" t="str">
            <v>P/A INSPECTOR</v>
          </cell>
          <cell r="O903" t="str">
            <v>A</v>
          </cell>
        </row>
        <row r="904">
          <cell r="A904">
            <v>23227</v>
          </cell>
          <cell r="B904" t="str">
            <v>INDAH NUR LAELY</v>
          </cell>
          <cell r="C904" t="str">
            <v>SAMI</v>
          </cell>
          <cell r="D904" t="str">
            <v>OPT-573</v>
          </cell>
          <cell r="E904">
            <v>43421</v>
          </cell>
          <cell r="F904">
            <v>43451</v>
          </cell>
          <cell r="G904">
            <v>43830</v>
          </cell>
          <cell r="H904" t="str">
            <v>PRD</v>
          </cell>
          <cell r="I904" t="str">
            <v>PRD</v>
          </cell>
          <cell r="J904" t="str">
            <v>HV TOYOTA</v>
          </cell>
          <cell r="K904" t="str">
            <v>HV TOYOTA</v>
          </cell>
          <cell r="L904" t="str">
            <v>CUTTING TOYOTA HV</v>
          </cell>
          <cell r="M904" t="str">
            <v>AC90-T-01</v>
          </cell>
          <cell r="N904" t="str">
            <v>WFAP 2.1</v>
          </cell>
          <cell r="O904" t="str">
            <v>A</v>
          </cell>
        </row>
        <row r="905">
          <cell r="A905">
            <v>1090</v>
          </cell>
          <cell r="B905" t="str">
            <v>NUR KHOTIMAH</v>
          </cell>
          <cell r="C905" t="str">
            <v>SAMI</v>
          </cell>
          <cell r="D905" t="str">
            <v>OPT-27</v>
          </cell>
          <cell r="E905">
            <v>37887</v>
          </cell>
          <cell r="F905" t="str">
            <v>-</v>
          </cell>
          <cell r="G905" t="str">
            <v>-</v>
          </cell>
          <cell r="H905" t="str">
            <v>PRD</v>
          </cell>
          <cell r="I905" t="str">
            <v>PRD</v>
          </cell>
          <cell r="J905" t="str">
            <v>HV TOYOTA</v>
          </cell>
          <cell r="K905" t="str">
            <v>HV TOYOTA</v>
          </cell>
          <cell r="L905" t="str">
            <v>CUTTING TOYOTA HV</v>
          </cell>
          <cell r="M905" t="str">
            <v>INSP CUTTING</v>
          </cell>
          <cell r="N905" t="str">
            <v>P/A INSPECTOR</v>
          </cell>
          <cell r="O905" t="str">
            <v>B</v>
          </cell>
        </row>
        <row r="906">
          <cell r="A906">
            <v>5695</v>
          </cell>
          <cell r="B906" t="str">
            <v>DWI APRILANI</v>
          </cell>
          <cell r="C906" t="str">
            <v>SAMI</v>
          </cell>
          <cell r="D906" t="str">
            <v>OPT-134</v>
          </cell>
          <cell r="E906">
            <v>39098</v>
          </cell>
          <cell r="F906" t="str">
            <v>-</v>
          </cell>
          <cell r="G906" t="str">
            <v>-</v>
          </cell>
          <cell r="H906" t="str">
            <v>PRD</v>
          </cell>
          <cell r="I906" t="str">
            <v>PRD</v>
          </cell>
          <cell r="J906" t="str">
            <v>HV TOYOTA</v>
          </cell>
          <cell r="K906" t="str">
            <v>HV TOYOTA</v>
          </cell>
          <cell r="L906" t="str">
            <v>CUTTING TOYOTA HV</v>
          </cell>
          <cell r="M906" t="str">
            <v>AC90-T-01, 02</v>
          </cell>
          <cell r="N906" t="str">
            <v>CUTTING WIRE</v>
          </cell>
          <cell r="O906" t="str">
            <v>B</v>
          </cell>
        </row>
        <row r="907">
          <cell r="A907">
            <v>8988</v>
          </cell>
          <cell r="B907" t="str">
            <v>ALFI MAYASARI</v>
          </cell>
          <cell r="C907" t="str">
            <v>SAMI</v>
          </cell>
          <cell r="D907" t="str">
            <v>OPT-201</v>
          </cell>
          <cell r="E907">
            <v>39975</v>
          </cell>
          <cell r="F907" t="str">
            <v>-</v>
          </cell>
          <cell r="G907" t="str">
            <v>-</v>
          </cell>
          <cell r="H907" t="str">
            <v>PRD</v>
          </cell>
          <cell r="I907" t="str">
            <v>PRD</v>
          </cell>
          <cell r="J907" t="str">
            <v>HV TOYOTA</v>
          </cell>
          <cell r="K907" t="str">
            <v>HV TOYOTA</v>
          </cell>
          <cell r="L907" t="str">
            <v>CUTTING TOYOTA HV</v>
          </cell>
          <cell r="M907" t="str">
            <v>AC90-T-03, MC1-T-03</v>
          </cell>
          <cell r="N907" t="str">
            <v>CUTTING WIRE</v>
          </cell>
          <cell r="O907" t="str">
            <v>B</v>
          </cell>
        </row>
        <row r="908">
          <cell r="A908">
            <v>13268</v>
          </cell>
          <cell r="B908" t="str">
            <v>SITI AF'IDAH</v>
          </cell>
          <cell r="C908" t="str">
            <v>SAMI</v>
          </cell>
          <cell r="D908" t="str">
            <v>OPT-335</v>
          </cell>
          <cell r="E908">
            <v>40917</v>
          </cell>
          <cell r="F908" t="str">
            <v>-</v>
          </cell>
          <cell r="G908" t="str">
            <v>-</v>
          </cell>
          <cell r="H908" t="str">
            <v>PRD</v>
          </cell>
          <cell r="I908" t="str">
            <v>PRD</v>
          </cell>
          <cell r="J908" t="str">
            <v>HV TOYOTA</v>
          </cell>
          <cell r="K908" t="str">
            <v>HV TOYOTA</v>
          </cell>
          <cell r="L908" t="str">
            <v>CUTTING TOYOTA HV</v>
          </cell>
          <cell r="M908" t="str">
            <v>INSP CUTTING</v>
          </cell>
          <cell r="N908" t="str">
            <v>P/A INSPECTOR</v>
          </cell>
          <cell r="O908" t="str">
            <v>B</v>
          </cell>
        </row>
        <row r="909">
          <cell r="A909">
            <v>20569</v>
          </cell>
          <cell r="B909" t="str">
            <v>DIANA FARIDA FATCHA</v>
          </cell>
          <cell r="C909" t="str">
            <v>SAMI</v>
          </cell>
          <cell r="D909" t="str">
            <v>OPT-505</v>
          </cell>
          <cell r="E909">
            <v>42639</v>
          </cell>
          <cell r="F909">
            <v>43132</v>
          </cell>
          <cell r="G909">
            <v>43496</v>
          </cell>
          <cell r="H909" t="str">
            <v>PRD</v>
          </cell>
          <cell r="I909" t="str">
            <v>PRD</v>
          </cell>
          <cell r="J909" t="str">
            <v>HV TOYOTA</v>
          </cell>
          <cell r="K909" t="str">
            <v>HV TOYOTA</v>
          </cell>
          <cell r="L909" t="str">
            <v>CUTTING TOYOTA HV</v>
          </cell>
          <cell r="M909" t="str">
            <v>INSP CUTTING</v>
          </cell>
          <cell r="N909" t="str">
            <v>P/A INSPECTOR</v>
          </cell>
          <cell r="O909" t="str">
            <v>B</v>
          </cell>
        </row>
        <row r="910">
          <cell r="A910">
            <v>20701</v>
          </cell>
          <cell r="B910" t="str">
            <v>DEVI RATNANING TYAS</v>
          </cell>
          <cell r="C910" t="str">
            <v>SAMI</v>
          </cell>
          <cell r="D910" t="str">
            <v>OPT-506</v>
          </cell>
          <cell r="E910">
            <v>42642</v>
          </cell>
          <cell r="F910">
            <v>43132</v>
          </cell>
          <cell r="G910">
            <v>43496</v>
          </cell>
          <cell r="H910" t="str">
            <v>PRD</v>
          </cell>
          <cell r="I910" t="str">
            <v>PRD</v>
          </cell>
          <cell r="J910" t="str">
            <v>HV TOYOTA</v>
          </cell>
          <cell r="K910" t="str">
            <v>HV TOYOTA</v>
          </cell>
          <cell r="L910" t="str">
            <v>CUTTING TOYOTA HV</v>
          </cell>
          <cell r="M910" t="str">
            <v>AC90-T-04, US-T-02</v>
          </cell>
          <cell r="N910" t="str">
            <v>CUTTING WIRE</v>
          </cell>
          <cell r="O910" t="str">
            <v>B</v>
          </cell>
        </row>
        <row r="911">
          <cell r="A911">
            <v>20846</v>
          </cell>
          <cell r="B911" t="str">
            <v>ALYA IQLIMA MIFTAKHURROHMAH</v>
          </cell>
          <cell r="C911" t="str">
            <v>SAMI</v>
          </cell>
          <cell r="D911" t="str">
            <v>OPT-510</v>
          </cell>
          <cell r="E911">
            <v>42660</v>
          </cell>
          <cell r="F911">
            <v>43160</v>
          </cell>
          <cell r="G911">
            <v>43524</v>
          </cell>
          <cell r="H911" t="str">
            <v>PRD</v>
          </cell>
          <cell r="I911" t="str">
            <v>PRD</v>
          </cell>
          <cell r="J911" t="str">
            <v>HV TOYOTA</v>
          </cell>
          <cell r="K911" t="str">
            <v>HV TOYOTA</v>
          </cell>
          <cell r="L911" t="str">
            <v>CUTTING TOYOTA HV</v>
          </cell>
          <cell r="M911" t="str">
            <v>INSP CUTTING</v>
          </cell>
          <cell r="N911" t="str">
            <v>P/A INSPECTOR</v>
          </cell>
          <cell r="O911" t="str">
            <v>B</v>
          </cell>
        </row>
        <row r="912">
          <cell r="A912">
            <v>21745</v>
          </cell>
          <cell r="B912" t="str">
            <v>RAGIL BAGUS SAPUTRO</v>
          </cell>
          <cell r="C912" t="str">
            <v>SAMI</v>
          </cell>
          <cell r="D912" t="str">
            <v>OPT-539</v>
          </cell>
          <cell r="E912">
            <v>43087</v>
          </cell>
          <cell r="F912">
            <v>43118</v>
          </cell>
          <cell r="G912">
            <v>43496</v>
          </cell>
          <cell r="H912" t="str">
            <v>PRD</v>
          </cell>
          <cell r="I912" t="str">
            <v>PRD</v>
          </cell>
          <cell r="J912" t="str">
            <v>HV TOYOTA</v>
          </cell>
          <cell r="K912" t="str">
            <v>HV TOYOTA</v>
          </cell>
          <cell r="L912" t="str">
            <v>CUTTING TOYOTA HV</v>
          </cell>
          <cell r="M912" t="str">
            <v>HELPER CUTTING</v>
          </cell>
          <cell r="N912" t="str">
            <v>P/A CONTROLLER</v>
          </cell>
          <cell r="O912" t="str">
            <v>B</v>
          </cell>
        </row>
        <row r="913">
          <cell r="A913">
            <v>5835</v>
          </cell>
          <cell r="B913" t="str">
            <v>TRI SUNARTI</v>
          </cell>
          <cell r="C913" t="str">
            <v>SAMI</v>
          </cell>
          <cell r="D913" t="str">
            <v>OPT-135</v>
          </cell>
          <cell r="E913">
            <v>39114</v>
          </cell>
          <cell r="F913" t="str">
            <v>-</v>
          </cell>
          <cell r="G913" t="str">
            <v>-</v>
          </cell>
          <cell r="H913" t="str">
            <v>PRD</v>
          </cell>
          <cell r="I913" t="str">
            <v>PRD</v>
          </cell>
          <cell r="J913" t="str">
            <v>HV TOYOTA</v>
          </cell>
          <cell r="K913" t="str">
            <v>HV TOYOTA</v>
          </cell>
          <cell r="L913" t="str">
            <v>CUTTING TOYOTA PRIUS</v>
          </cell>
          <cell r="M913" t="str">
            <v>AC81-T-01</v>
          </cell>
          <cell r="N913" t="str">
            <v>CUTTING WIRE</v>
          </cell>
          <cell r="O913" t="str">
            <v>A</v>
          </cell>
        </row>
        <row r="914">
          <cell r="A914">
            <v>13871</v>
          </cell>
          <cell r="B914" t="str">
            <v>MAHFIROH</v>
          </cell>
          <cell r="C914" t="str">
            <v>SAMI</v>
          </cell>
          <cell r="D914" t="str">
            <v>OPT-356</v>
          </cell>
          <cell r="E914">
            <v>41250</v>
          </cell>
          <cell r="F914" t="str">
            <v>-</v>
          </cell>
          <cell r="G914" t="str">
            <v>-</v>
          </cell>
          <cell r="H914" t="str">
            <v>PRD</v>
          </cell>
          <cell r="I914" t="str">
            <v>PRD</v>
          </cell>
          <cell r="J914" t="str">
            <v>HV TOYOTA</v>
          </cell>
          <cell r="K914" t="str">
            <v>HV TOYOTA</v>
          </cell>
          <cell r="L914" t="str">
            <v>CUTTING TOYOTA PRIUS</v>
          </cell>
          <cell r="M914" t="str">
            <v>INSP CUTTING</v>
          </cell>
          <cell r="N914" t="str">
            <v>P/A INSPECTOR</v>
          </cell>
          <cell r="O914" t="str">
            <v>A</v>
          </cell>
        </row>
        <row r="915">
          <cell r="A915">
            <v>22402</v>
          </cell>
          <cell r="B915" t="str">
            <v>MUHAMMAD FAIZ DHULFIKAR</v>
          </cell>
          <cell r="C915" t="str">
            <v>SAMI</v>
          </cell>
          <cell r="D915" t="str">
            <v>OPT-558</v>
          </cell>
          <cell r="E915">
            <v>43213</v>
          </cell>
          <cell r="F915">
            <v>43243</v>
          </cell>
          <cell r="G915">
            <v>43616</v>
          </cell>
          <cell r="H915" t="str">
            <v>PRD</v>
          </cell>
          <cell r="I915" t="str">
            <v>PRD</v>
          </cell>
          <cell r="J915" t="str">
            <v>HV TOYOTA</v>
          </cell>
          <cell r="K915" t="str">
            <v>HV TOYOTA</v>
          </cell>
          <cell r="L915" t="str">
            <v>CUTTING TOYOTA PRIUS</v>
          </cell>
          <cell r="M915" t="str">
            <v>HELPER CUTTING</v>
          </cell>
          <cell r="N915" t="str">
            <v>P/A CONTROLLER</v>
          </cell>
          <cell r="O915" t="str">
            <v>A</v>
          </cell>
        </row>
        <row r="916">
          <cell r="A916">
            <v>22946</v>
          </cell>
          <cell r="B916" t="str">
            <v>IZAFATIN AZIFAH</v>
          </cell>
          <cell r="C916" t="str">
            <v>SAMI</v>
          </cell>
          <cell r="D916" t="str">
            <v>OPT-568</v>
          </cell>
          <cell r="E916">
            <v>43343</v>
          </cell>
          <cell r="F916">
            <v>43374</v>
          </cell>
          <cell r="G916">
            <v>43738</v>
          </cell>
          <cell r="H916" t="str">
            <v>PRD</v>
          </cell>
          <cell r="I916" t="str">
            <v>PRD</v>
          </cell>
          <cell r="J916" t="str">
            <v>HV TOYOTA</v>
          </cell>
          <cell r="K916" t="str">
            <v>HV TOYOTA</v>
          </cell>
          <cell r="L916" t="str">
            <v>CUTTING TOYOTA PRIUS</v>
          </cell>
          <cell r="M916" t="str">
            <v>AC90-T-06</v>
          </cell>
          <cell r="N916" t="str">
            <v>CUTTING WIRE</v>
          </cell>
          <cell r="O916" t="str">
            <v>A</v>
          </cell>
        </row>
        <row r="917">
          <cell r="A917">
            <v>22956</v>
          </cell>
          <cell r="B917" t="str">
            <v>MUHAMMAD LATIF HIDAYAT</v>
          </cell>
          <cell r="C917" t="str">
            <v>SAMI</v>
          </cell>
          <cell r="D917" t="str">
            <v>OPT-568</v>
          </cell>
          <cell r="E917">
            <v>43343</v>
          </cell>
          <cell r="F917">
            <v>43374</v>
          </cell>
          <cell r="G917">
            <v>43738</v>
          </cell>
          <cell r="H917" t="str">
            <v>PRD</v>
          </cell>
          <cell r="I917" t="str">
            <v>PRD</v>
          </cell>
          <cell r="J917" t="str">
            <v>HV TOYOTA</v>
          </cell>
          <cell r="K917" t="str">
            <v>HV TOYOTA</v>
          </cell>
          <cell r="L917" t="str">
            <v>CUTTING TOYOTA PRIUS</v>
          </cell>
          <cell r="M917" t="str">
            <v>AC90-T-05</v>
          </cell>
          <cell r="N917" t="str">
            <v>CUTTING WIRE</v>
          </cell>
          <cell r="O917" t="str">
            <v>A</v>
          </cell>
        </row>
        <row r="918">
          <cell r="A918">
            <v>13249</v>
          </cell>
          <cell r="B918" t="str">
            <v>NASEHAH</v>
          </cell>
          <cell r="C918" t="str">
            <v>SAMI</v>
          </cell>
          <cell r="D918" t="str">
            <v>OPT-335</v>
          </cell>
          <cell r="E918">
            <v>40917</v>
          </cell>
          <cell r="F918" t="str">
            <v>-</v>
          </cell>
          <cell r="G918" t="str">
            <v>-</v>
          </cell>
          <cell r="H918" t="str">
            <v>PRD</v>
          </cell>
          <cell r="I918" t="str">
            <v>PRD</v>
          </cell>
          <cell r="J918" t="str">
            <v>HV TOYOTA</v>
          </cell>
          <cell r="K918" t="str">
            <v>HV TOYOTA</v>
          </cell>
          <cell r="L918" t="str">
            <v>CUTTING TOYOTA PRIUS</v>
          </cell>
          <cell r="M918" t="str">
            <v>AC90-T-06</v>
          </cell>
          <cell r="N918" t="str">
            <v>CUTTING WIRE</v>
          </cell>
          <cell r="O918" t="str">
            <v>B</v>
          </cell>
        </row>
        <row r="919">
          <cell r="A919">
            <v>22461</v>
          </cell>
          <cell r="B919" t="str">
            <v>OKTAVIANA LAELI MAJID</v>
          </cell>
          <cell r="C919" t="str">
            <v>SAMI</v>
          </cell>
          <cell r="D919" t="str">
            <v>OPT-559</v>
          </cell>
          <cell r="E919">
            <v>43220</v>
          </cell>
          <cell r="F919">
            <v>43250</v>
          </cell>
          <cell r="G919">
            <v>43616</v>
          </cell>
          <cell r="H919" t="str">
            <v>PRD</v>
          </cell>
          <cell r="I919" t="str">
            <v>PRD</v>
          </cell>
          <cell r="J919" t="str">
            <v>HV TOYOTA</v>
          </cell>
          <cell r="K919" t="str">
            <v>HV TOYOTA</v>
          </cell>
          <cell r="L919" t="str">
            <v>CUTTING TOYOTA PRIUS</v>
          </cell>
          <cell r="M919" t="str">
            <v>AC8-T-01</v>
          </cell>
          <cell r="N919" t="str">
            <v>CUTTING WIRE</v>
          </cell>
          <cell r="O919" t="str">
            <v>B</v>
          </cell>
        </row>
        <row r="920">
          <cell r="A920">
            <v>22962</v>
          </cell>
          <cell r="B920" t="str">
            <v>NUR FAIZIN</v>
          </cell>
          <cell r="C920" t="str">
            <v>SAMI</v>
          </cell>
          <cell r="D920" t="str">
            <v>OPT-568</v>
          </cell>
          <cell r="E920">
            <v>43343</v>
          </cell>
          <cell r="F920">
            <v>43374</v>
          </cell>
          <cell r="G920">
            <v>43738</v>
          </cell>
          <cell r="H920" t="str">
            <v>PRD</v>
          </cell>
          <cell r="I920" t="str">
            <v>PRD</v>
          </cell>
          <cell r="J920" t="str">
            <v>HV TOYOTA</v>
          </cell>
          <cell r="K920" t="str">
            <v>HV TOYOTA</v>
          </cell>
          <cell r="L920" t="str">
            <v>CUTTING TOYOTA PRIUS</v>
          </cell>
          <cell r="M920" t="str">
            <v>HELPER CUTTING</v>
          </cell>
          <cell r="N920" t="str">
            <v>P/A CONTROLLER</v>
          </cell>
          <cell r="O920" t="str">
            <v>B</v>
          </cell>
        </row>
        <row r="921">
          <cell r="A921">
            <v>22967</v>
          </cell>
          <cell r="B921" t="str">
            <v>NURUL AINI</v>
          </cell>
          <cell r="C921" t="str">
            <v>SAMI</v>
          </cell>
          <cell r="D921" t="str">
            <v>OPT-568</v>
          </cell>
          <cell r="E921">
            <v>43343</v>
          </cell>
          <cell r="F921">
            <v>43374</v>
          </cell>
          <cell r="G921">
            <v>43738</v>
          </cell>
          <cell r="H921" t="str">
            <v>PRD</v>
          </cell>
          <cell r="I921" t="str">
            <v>PRD</v>
          </cell>
          <cell r="J921" t="str">
            <v>HV TOYOTA</v>
          </cell>
          <cell r="K921" t="str">
            <v>HV TOYOTA</v>
          </cell>
          <cell r="L921" t="str">
            <v>CUTTING TOYOTA PRIUS</v>
          </cell>
          <cell r="M921" t="str">
            <v>AC90-T-05</v>
          </cell>
          <cell r="N921" t="str">
            <v>CUTTING WIRE</v>
          </cell>
          <cell r="O921" t="str">
            <v>B</v>
          </cell>
        </row>
        <row r="922">
          <cell r="A922">
            <v>9050</v>
          </cell>
          <cell r="B922" t="str">
            <v>SITI QOTIJAH</v>
          </cell>
          <cell r="C922" t="str">
            <v>SAMI</v>
          </cell>
          <cell r="D922" t="str">
            <v>OPT-202</v>
          </cell>
          <cell r="E922">
            <v>39979</v>
          </cell>
          <cell r="F922" t="str">
            <v>-</v>
          </cell>
          <cell r="G922" t="str">
            <v>-</v>
          </cell>
          <cell r="H922" t="str">
            <v>PRD</v>
          </cell>
          <cell r="I922" t="str">
            <v>PRD</v>
          </cell>
          <cell r="J922" t="str">
            <v>CUTTING TUBE</v>
          </cell>
          <cell r="K922" t="str">
            <v>CUTTING TUBE</v>
          </cell>
          <cell r="L922" t="str">
            <v>CUTTING TUBE</v>
          </cell>
          <cell r="M922" t="str">
            <v>SUB LINE CHO</v>
          </cell>
          <cell r="N922" t="str">
            <v>GL</v>
          </cell>
          <cell r="O922" t="str">
            <v>A</v>
          </cell>
        </row>
        <row r="923">
          <cell r="A923">
            <v>12878</v>
          </cell>
          <cell r="B923" t="str">
            <v>IDA YATI</v>
          </cell>
          <cell r="C923" t="str">
            <v>SAMI</v>
          </cell>
          <cell r="D923" t="str">
            <v>OPT-322</v>
          </cell>
          <cell r="E923">
            <v>40833</v>
          </cell>
          <cell r="F923" t="str">
            <v>-</v>
          </cell>
          <cell r="G923" t="str">
            <v>-</v>
          </cell>
          <cell r="H923" t="str">
            <v>PRD</v>
          </cell>
          <cell r="I923" t="str">
            <v>PRD</v>
          </cell>
          <cell r="J923" t="str">
            <v>CUTTING TUBE</v>
          </cell>
          <cell r="K923" t="str">
            <v>CUTTING TUBE</v>
          </cell>
          <cell r="L923" t="str">
            <v>CUTTING TUBE</v>
          </cell>
          <cell r="M923" t="str">
            <v>KDA-01,FAC-02</v>
          </cell>
          <cell r="N923" t="str">
            <v>CUTTING TUBE</v>
          </cell>
          <cell r="O923" t="str">
            <v>A</v>
          </cell>
        </row>
        <row r="924">
          <cell r="A924">
            <v>20584</v>
          </cell>
          <cell r="B924" t="str">
            <v xml:space="preserve">FEBRY HARJANTO </v>
          </cell>
          <cell r="C924" t="str">
            <v>SAMI</v>
          </cell>
          <cell r="D924" t="str">
            <v>OPT-505</v>
          </cell>
          <cell r="E924">
            <v>42639</v>
          </cell>
          <cell r="F924">
            <v>43132</v>
          </cell>
          <cell r="G924">
            <v>43496</v>
          </cell>
          <cell r="H924" t="str">
            <v>PRD</v>
          </cell>
          <cell r="I924" t="str">
            <v>PRD</v>
          </cell>
          <cell r="J924" t="str">
            <v>CUTTING TUBE</v>
          </cell>
          <cell r="K924" t="str">
            <v>CUTTING TUBE</v>
          </cell>
          <cell r="L924" t="str">
            <v>CUTTING TUBE</v>
          </cell>
          <cell r="M924" t="str">
            <v>HANDLING TUBE</v>
          </cell>
          <cell r="N924" t="str">
            <v>P/A CONTROLLER</v>
          </cell>
          <cell r="O924" t="str">
            <v>A</v>
          </cell>
        </row>
        <row r="925">
          <cell r="A925">
            <v>21019</v>
          </cell>
          <cell r="B925" t="str">
            <v>MUHAMMAD RIZQI SAPUTRA</v>
          </cell>
          <cell r="C925" t="str">
            <v>SAMI</v>
          </cell>
          <cell r="D925" t="str">
            <v>OPT-515</v>
          </cell>
          <cell r="E925">
            <v>42702</v>
          </cell>
          <cell r="F925">
            <v>43191</v>
          </cell>
          <cell r="G925">
            <v>43555</v>
          </cell>
          <cell r="H925" t="str">
            <v>PRD</v>
          </cell>
          <cell r="I925" t="str">
            <v>PRD</v>
          </cell>
          <cell r="J925" t="str">
            <v>CUTTING TUBE</v>
          </cell>
          <cell r="K925" t="str">
            <v>CUTTING TUBE</v>
          </cell>
          <cell r="L925" t="str">
            <v>CUTTING TUBE</v>
          </cell>
          <cell r="M925" t="str">
            <v>OTHERS ( NIMBANG WIRE ) ( DIFABLE )</v>
          </cell>
          <cell r="N925" t="str">
            <v>OTHERS</v>
          </cell>
          <cell r="O925" t="str">
            <v>A</v>
          </cell>
        </row>
        <row r="926">
          <cell r="A926">
            <v>21704</v>
          </cell>
          <cell r="B926" t="str">
            <v>ANDREYANI</v>
          </cell>
          <cell r="C926" t="str">
            <v>SAMI</v>
          </cell>
          <cell r="D926" t="str">
            <v>OPT-539</v>
          </cell>
          <cell r="E926">
            <v>43087</v>
          </cell>
          <cell r="F926">
            <v>43118</v>
          </cell>
          <cell r="G926">
            <v>43496</v>
          </cell>
          <cell r="H926" t="str">
            <v>PRD</v>
          </cell>
          <cell r="I926" t="str">
            <v>PRD</v>
          </cell>
          <cell r="J926" t="str">
            <v>CUTTING TUBE</v>
          </cell>
          <cell r="K926" t="str">
            <v>CUTTING TUBE</v>
          </cell>
          <cell r="L926" t="str">
            <v>CUTTING TUBE</v>
          </cell>
          <cell r="M926" t="str">
            <v>FAC-05,GC-01,FAC-07</v>
          </cell>
          <cell r="N926" t="str">
            <v>CUTTING TUBE</v>
          </cell>
          <cell r="O926" t="str">
            <v>A</v>
          </cell>
        </row>
        <row r="927">
          <cell r="A927">
            <v>21893</v>
          </cell>
          <cell r="B927" t="str">
            <v>MOH FERRY ARDIYANTO</v>
          </cell>
          <cell r="C927" t="str">
            <v>SAMI</v>
          </cell>
          <cell r="D927" t="str">
            <v>OPT-542</v>
          </cell>
          <cell r="E927">
            <v>43103</v>
          </cell>
          <cell r="F927">
            <v>43134</v>
          </cell>
          <cell r="G927">
            <v>43496</v>
          </cell>
          <cell r="H927" t="str">
            <v>PRD</v>
          </cell>
          <cell r="I927" t="str">
            <v>PRD</v>
          </cell>
          <cell r="J927" t="str">
            <v>CUTTING TUBE</v>
          </cell>
          <cell r="K927" t="str">
            <v>CUTTING TUBE</v>
          </cell>
          <cell r="L927" t="str">
            <v>CUTTING TUBE</v>
          </cell>
          <cell r="M927" t="str">
            <v>HANDLING TUBE</v>
          </cell>
          <cell r="N927" t="str">
            <v>P/A CONTROLLER</v>
          </cell>
          <cell r="O927" t="str">
            <v>A</v>
          </cell>
        </row>
        <row r="928">
          <cell r="A928">
            <v>21966</v>
          </cell>
          <cell r="B928" t="str">
            <v>NIDAUS SIDQIYAH</v>
          </cell>
          <cell r="C928" t="str">
            <v>SAMI</v>
          </cell>
          <cell r="D928" t="str">
            <v>OPT-545</v>
          </cell>
          <cell r="E928">
            <v>43116</v>
          </cell>
          <cell r="F928">
            <v>43147</v>
          </cell>
          <cell r="G928">
            <v>43524</v>
          </cell>
          <cell r="H928" t="str">
            <v>PRD</v>
          </cell>
          <cell r="I928" t="str">
            <v>PRD</v>
          </cell>
          <cell r="J928" t="str">
            <v>CUTTING TUBE</v>
          </cell>
          <cell r="K928" t="str">
            <v>CUTTING TUBE</v>
          </cell>
          <cell r="L928" t="str">
            <v>CUTTING TUBE</v>
          </cell>
          <cell r="M928" t="str">
            <v>INSP PRE ASSY</v>
          </cell>
          <cell r="N928" t="str">
            <v>P/A INSPECTOR</v>
          </cell>
          <cell r="O928" t="str">
            <v>A</v>
          </cell>
        </row>
        <row r="929">
          <cell r="A929">
            <v>22066</v>
          </cell>
          <cell r="B929" t="str">
            <v>CATUR SUSILO ZAMRONI</v>
          </cell>
          <cell r="C929" t="str">
            <v>SAMI</v>
          </cell>
          <cell r="D929" t="str">
            <v>OPT-548</v>
          </cell>
          <cell r="E929">
            <v>43150</v>
          </cell>
          <cell r="F929">
            <v>43178</v>
          </cell>
          <cell r="G929">
            <v>43555</v>
          </cell>
          <cell r="H929" t="str">
            <v>PRD</v>
          </cell>
          <cell r="I929" t="str">
            <v>PRD</v>
          </cell>
          <cell r="J929" t="str">
            <v>CUTTING TUBE</v>
          </cell>
          <cell r="K929" t="str">
            <v>CUTTING TUBE</v>
          </cell>
          <cell r="L929" t="str">
            <v>CUTTING TUBE</v>
          </cell>
          <cell r="M929" t="str">
            <v>HANDLING TUBE</v>
          </cell>
          <cell r="N929" t="str">
            <v>P/A CONTROLLER</v>
          </cell>
          <cell r="O929" t="str">
            <v>A</v>
          </cell>
        </row>
        <row r="930">
          <cell r="A930">
            <v>22391</v>
          </cell>
          <cell r="B930" t="str">
            <v>HANIS MELLY DAYANTI</v>
          </cell>
          <cell r="C930" t="str">
            <v>SAMI</v>
          </cell>
          <cell r="D930" t="str">
            <v>OPT-558</v>
          </cell>
          <cell r="E930">
            <v>43213</v>
          </cell>
          <cell r="F930">
            <v>43243</v>
          </cell>
          <cell r="G930">
            <v>43616</v>
          </cell>
          <cell r="H930" t="str">
            <v>PRD</v>
          </cell>
          <cell r="I930" t="str">
            <v>PRD</v>
          </cell>
          <cell r="J930" t="str">
            <v>CUTTING TUBE</v>
          </cell>
          <cell r="K930" t="str">
            <v>CUTTING TUBE</v>
          </cell>
          <cell r="L930" t="str">
            <v>CUTTING TUBE</v>
          </cell>
          <cell r="M930" t="str">
            <v>FAC-03,COTO</v>
          </cell>
          <cell r="N930" t="str">
            <v>CUTTING TUBE</v>
          </cell>
          <cell r="O930" t="str">
            <v>A</v>
          </cell>
        </row>
        <row r="931">
          <cell r="A931">
            <v>22446</v>
          </cell>
          <cell r="B931" t="str">
            <v>CHOIRUL ANAM</v>
          </cell>
          <cell r="C931" t="str">
            <v>SAMI</v>
          </cell>
          <cell r="D931" t="str">
            <v>OPT-559</v>
          </cell>
          <cell r="E931">
            <v>43220</v>
          </cell>
          <cell r="F931">
            <v>43250</v>
          </cell>
          <cell r="G931">
            <v>43616</v>
          </cell>
          <cell r="H931" t="str">
            <v>PRD</v>
          </cell>
          <cell r="I931" t="str">
            <v>PRD</v>
          </cell>
          <cell r="J931" t="str">
            <v>CUTTING TUBE</v>
          </cell>
          <cell r="K931" t="str">
            <v>CUTTING TUBE</v>
          </cell>
          <cell r="L931" t="str">
            <v>CUTTING TUBE</v>
          </cell>
          <cell r="M931" t="str">
            <v>HANDLING TUBE</v>
          </cell>
          <cell r="N931" t="str">
            <v>P/A CONTROLLER</v>
          </cell>
          <cell r="O931" t="str">
            <v>A</v>
          </cell>
        </row>
        <row r="932">
          <cell r="A932">
            <v>22513</v>
          </cell>
          <cell r="B932" t="str">
            <v>ANISA NUR AMALIA</v>
          </cell>
          <cell r="C932" t="str">
            <v>SAMI</v>
          </cell>
          <cell r="D932" t="str">
            <v>OPT-560</v>
          </cell>
          <cell r="E932">
            <v>43224</v>
          </cell>
          <cell r="F932">
            <v>43255</v>
          </cell>
          <cell r="G932">
            <v>43616</v>
          </cell>
          <cell r="H932" t="str">
            <v>PRD</v>
          </cell>
          <cell r="I932" t="str">
            <v>PRD</v>
          </cell>
          <cell r="J932" t="str">
            <v>CUTTING TUBE</v>
          </cell>
          <cell r="K932" t="str">
            <v>CUTTING TUBE</v>
          </cell>
          <cell r="L932" t="str">
            <v>CUTTING TUBE</v>
          </cell>
          <cell r="M932" t="str">
            <v>FAC-01, KDA-03</v>
          </cell>
          <cell r="N932" t="str">
            <v>CUTTING TUBE</v>
          </cell>
          <cell r="O932" t="str">
            <v>A</v>
          </cell>
        </row>
        <row r="933">
          <cell r="A933">
            <v>22645</v>
          </cell>
          <cell r="B933" t="str">
            <v>AZIS PUJIANTO</v>
          </cell>
          <cell r="C933" t="str">
            <v>SAMI</v>
          </cell>
          <cell r="D933" t="str">
            <v>OPT-562</v>
          </cell>
          <cell r="E933">
            <v>43241</v>
          </cell>
          <cell r="F933">
            <v>43272</v>
          </cell>
          <cell r="G933">
            <v>43646</v>
          </cell>
          <cell r="H933" t="str">
            <v>PRD</v>
          </cell>
          <cell r="I933" t="str">
            <v>PRD</v>
          </cell>
          <cell r="J933" t="str">
            <v>CUTTING TUBE</v>
          </cell>
          <cell r="K933" t="str">
            <v>CUTTING TUBE</v>
          </cell>
          <cell r="L933" t="str">
            <v>CUTTING TUBE</v>
          </cell>
          <cell r="M933" t="str">
            <v>HANDLING TUBE</v>
          </cell>
          <cell r="N933" t="str">
            <v>P/A CONTROLLER</v>
          </cell>
          <cell r="O933" t="str">
            <v>A</v>
          </cell>
        </row>
        <row r="934">
          <cell r="A934">
            <v>22789</v>
          </cell>
          <cell r="B934" t="str">
            <v>M LABIB DWIKA S</v>
          </cell>
          <cell r="C934" t="str">
            <v>SAMI</v>
          </cell>
          <cell r="D934" t="str">
            <v>OPT-565</v>
          </cell>
          <cell r="E934">
            <v>43283</v>
          </cell>
          <cell r="F934">
            <v>43314</v>
          </cell>
          <cell r="G934">
            <v>43677</v>
          </cell>
          <cell r="H934" t="str">
            <v>PRD</v>
          </cell>
          <cell r="I934" t="str">
            <v>PRD</v>
          </cell>
          <cell r="J934" t="str">
            <v>CUTTING TUBE</v>
          </cell>
          <cell r="K934" t="str">
            <v>CUTTING TUBE</v>
          </cell>
          <cell r="L934" t="str">
            <v>CUTTING TUBE</v>
          </cell>
          <cell r="M934" t="str">
            <v>HANDLING TUBE</v>
          </cell>
          <cell r="N934" t="str">
            <v>P/A CONTROLLER</v>
          </cell>
          <cell r="O934" t="str">
            <v>A</v>
          </cell>
        </row>
        <row r="935">
          <cell r="A935">
            <v>22820</v>
          </cell>
          <cell r="B935" t="str">
            <v>DIAN ADE NOVITA</v>
          </cell>
          <cell r="C935" t="str">
            <v>SAMI</v>
          </cell>
          <cell r="D935" t="str">
            <v>OPT-567</v>
          </cell>
          <cell r="E935">
            <v>43333</v>
          </cell>
          <cell r="F935">
            <v>43364</v>
          </cell>
          <cell r="G935">
            <v>43738</v>
          </cell>
          <cell r="H935" t="str">
            <v>PRD</v>
          </cell>
          <cell r="I935" t="str">
            <v>PRD</v>
          </cell>
          <cell r="J935" t="str">
            <v>CUTTING TUBE</v>
          </cell>
          <cell r="K935" t="str">
            <v>CUTTING TUBE</v>
          </cell>
          <cell r="L935" t="str">
            <v>CUTTING TUBE</v>
          </cell>
          <cell r="M935" t="str">
            <v>FAC-04</v>
          </cell>
          <cell r="N935" t="str">
            <v>CUTTING WIRE</v>
          </cell>
          <cell r="O935" t="str">
            <v>A</v>
          </cell>
        </row>
        <row r="936">
          <cell r="A936">
            <v>22839</v>
          </cell>
          <cell r="B936" t="str">
            <v>JUHARTI</v>
          </cell>
          <cell r="C936" t="str">
            <v>SAMI</v>
          </cell>
          <cell r="D936" t="str">
            <v>OPT-567</v>
          </cell>
          <cell r="E936">
            <v>43333</v>
          </cell>
          <cell r="F936">
            <v>43364</v>
          </cell>
          <cell r="G936">
            <v>43738</v>
          </cell>
          <cell r="H936" t="str">
            <v>PRD</v>
          </cell>
          <cell r="I936" t="str">
            <v>PRD</v>
          </cell>
          <cell r="J936" t="str">
            <v>CUTTING TUBE</v>
          </cell>
          <cell r="K936" t="str">
            <v>CUTTING TUBE</v>
          </cell>
          <cell r="L936" t="str">
            <v>CUTTING TUBE</v>
          </cell>
          <cell r="M936" t="str">
            <v>OJT KDA</v>
          </cell>
          <cell r="N936" t="str">
            <v>INTERNAL TRIAL</v>
          </cell>
          <cell r="O936" t="str">
            <v>A</v>
          </cell>
        </row>
        <row r="937">
          <cell r="A937">
            <v>23203</v>
          </cell>
          <cell r="B937" t="str">
            <v>CHOLIFAH INTAN RAHMASARI</v>
          </cell>
          <cell r="C937" t="str">
            <v>SAMI</v>
          </cell>
          <cell r="D937" t="str">
            <v>OPT-573</v>
          </cell>
          <cell r="E937">
            <v>43421</v>
          </cell>
          <cell r="F937">
            <v>43451</v>
          </cell>
          <cell r="G937">
            <v>43830</v>
          </cell>
          <cell r="H937" t="str">
            <v>PRD</v>
          </cell>
          <cell r="I937" t="str">
            <v>PRD</v>
          </cell>
          <cell r="J937" t="str">
            <v>CUTTING TUBE</v>
          </cell>
          <cell r="K937" t="str">
            <v>CUTTING TUBE</v>
          </cell>
          <cell r="L937" t="str">
            <v>CUTTING TUBE</v>
          </cell>
          <cell r="M937" t="str">
            <v>GC-02,KDA-02</v>
          </cell>
          <cell r="N937" t="str">
            <v>CUTTING WIRE</v>
          </cell>
          <cell r="O937" t="str">
            <v>A</v>
          </cell>
        </row>
        <row r="938">
          <cell r="A938">
            <v>23537</v>
          </cell>
          <cell r="B938" t="str">
            <v>AHMAD RIZQIN</v>
          </cell>
          <cell r="C938" t="str">
            <v>SAMI</v>
          </cell>
          <cell r="D938" t="str">
            <v>OPT-577</v>
          </cell>
          <cell r="E938">
            <v>43452</v>
          </cell>
          <cell r="F938">
            <v>43483</v>
          </cell>
          <cell r="G938">
            <v>43861</v>
          </cell>
          <cell r="H938" t="str">
            <v>PRD</v>
          </cell>
          <cell r="I938" t="str">
            <v>PRD</v>
          </cell>
          <cell r="J938" t="str">
            <v>CUTTING TUBE</v>
          </cell>
          <cell r="K938" t="str">
            <v>CUTTING TUBE</v>
          </cell>
          <cell r="L938" t="str">
            <v>CUTTING TUBE</v>
          </cell>
          <cell r="M938" t="str">
            <v>OJT HTU</v>
          </cell>
          <cell r="N938" t="str">
            <v>INTERNAL TRIAL</v>
          </cell>
          <cell r="O938" t="str">
            <v>A</v>
          </cell>
        </row>
        <row r="939">
          <cell r="A939">
            <v>9624</v>
          </cell>
          <cell r="B939" t="str">
            <v>PRATOMO HADINATA</v>
          </cell>
          <cell r="C939" t="str">
            <v>SAMI</v>
          </cell>
          <cell r="D939" t="str">
            <v>OPT-218</v>
          </cell>
          <cell r="E939">
            <v>40179</v>
          </cell>
          <cell r="F939" t="str">
            <v>-</v>
          </cell>
          <cell r="G939" t="str">
            <v>-</v>
          </cell>
          <cell r="H939" t="str">
            <v>PRD</v>
          </cell>
          <cell r="I939" t="str">
            <v>PRD</v>
          </cell>
          <cell r="J939" t="str">
            <v>CUTTING TUBE</v>
          </cell>
          <cell r="K939" t="str">
            <v>CUTTING TUBE</v>
          </cell>
          <cell r="L939" t="str">
            <v>CUTTING TUBE</v>
          </cell>
          <cell r="M939" t="str">
            <v>SUB LINE CHO</v>
          </cell>
          <cell r="N939" t="str">
            <v>GL</v>
          </cell>
          <cell r="O939" t="str">
            <v>B</v>
          </cell>
        </row>
        <row r="940">
          <cell r="A940">
            <v>21029</v>
          </cell>
          <cell r="B940" t="str">
            <v>IMAM SYAFI'I</v>
          </cell>
          <cell r="C940" t="str">
            <v>SAMI</v>
          </cell>
          <cell r="D940" t="str">
            <v>OPT-516</v>
          </cell>
          <cell r="E940">
            <v>42724</v>
          </cell>
          <cell r="F940">
            <v>43221</v>
          </cell>
          <cell r="G940">
            <v>43585</v>
          </cell>
          <cell r="H940" t="str">
            <v>PRD</v>
          </cell>
          <cell r="I940" t="str">
            <v>PRD</v>
          </cell>
          <cell r="J940" t="str">
            <v>CUTTING TUBE</v>
          </cell>
          <cell r="K940" t="str">
            <v>CUTTING TUBE</v>
          </cell>
          <cell r="L940" t="str">
            <v>CUTTING TUBE</v>
          </cell>
          <cell r="M940" t="str">
            <v>OTHERS ( NIMBANG WIRE ) ( DIFABLE )</v>
          </cell>
          <cell r="N940" t="str">
            <v>OTHERS</v>
          </cell>
          <cell r="O940" t="str">
            <v>B</v>
          </cell>
        </row>
        <row r="941">
          <cell r="A941">
            <v>21295</v>
          </cell>
          <cell r="B941" t="str">
            <v>INDRIANI</v>
          </cell>
          <cell r="C941" t="str">
            <v>SAMI</v>
          </cell>
          <cell r="D941" t="str">
            <v>OPT-530</v>
          </cell>
          <cell r="E941">
            <v>43010</v>
          </cell>
          <cell r="F941">
            <v>43405</v>
          </cell>
          <cell r="G941">
            <v>43769</v>
          </cell>
          <cell r="H941" t="str">
            <v>PRD</v>
          </cell>
          <cell r="I941" t="str">
            <v>PRD</v>
          </cell>
          <cell r="J941" t="str">
            <v>CUTTING TUBE</v>
          </cell>
          <cell r="K941" t="str">
            <v>CUTTING TUBE</v>
          </cell>
          <cell r="L941" t="str">
            <v>CUTTING TUBE</v>
          </cell>
          <cell r="M941" t="str">
            <v>FAC-04</v>
          </cell>
          <cell r="N941" t="str">
            <v>CUTTING TUBE</v>
          </cell>
          <cell r="O941" t="str">
            <v>B</v>
          </cell>
        </row>
        <row r="942">
          <cell r="A942">
            <v>22073</v>
          </cell>
          <cell r="B942" t="str">
            <v>GALIH SETIAWAN</v>
          </cell>
          <cell r="C942" t="str">
            <v>SAMI</v>
          </cell>
          <cell r="D942" t="str">
            <v>OPT-548</v>
          </cell>
          <cell r="E942">
            <v>43150</v>
          </cell>
          <cell r="F942">
            <v>43178</v>
          </cell>
          <cell r="G942">
            <v>43555</v>
          </cell>
          <cell r="H942" t="str">
            <v>PRD</v>
          </cell>
          <cell r="I942" t="str">
            <v>PRD</v>
          </cell>
          <cell r="J942" t="str">
            <v>CUTTING TUBE</v>
          </cell>
          <cell r="K942" t="str">
            <v>CUTTING TUBE</v>
          </cell>
          <cell r="L942" t="str">
            <v>CUTTING TUBE</v>
          </cell>
          <cell r="M942" t="str">
            <v>HANDLING TUBE</v>
          </cell>
          <cell r="N942" t="str">
            <v>P/A CONTROLLER</v>
          </cell>
          <cell r="O942" t="str">
            <v>B</v>
          </cell>
        </row>
        <row r="943">
          <cell r="A943">
            <v>22212</v>
          </cell>
          <cell r="B943" t="str">
            <v>AGUNG FITRIYAH</v>
          </cell>
          <cell r="C943" t="str">
            <v>SAMI</v>
          </cell>
          <cell r="D943" t="str">
            <v>OPT-551</v>
          </cell>
          <cell r="E943">
            <v>43161</v>
          </cell>
          <cell r="F943">
            <v>43192</v>
          </cell>
          <cell r="G943">
            <v>43555</v>
          </cell>
          <cell r="H943" t="str">
            <v>PRD</v>
          </cell>
          <cell r="I943" t="str">
            <v>PRD</v>
          </cell>
          <cell r="J943" t="str">
            <v>CUTTING TUBE</v>
          </cell>
          <cell r="K943" t="str">
            <v>CUTTING TUBE</v>
          </cell>
          <cell r="L943" t="str">
            <v>CUTTING TUBE</v>
          </cell>
          <cell r="M943" t="str">
            <v>FAC-01, KDA-03</v>
          </cell>
          <cell r="N943" t="str">
            <v>CUTTING TUBE</v>
          </cell>
          <cell r="O943" t="str">
            <v>B</v>
          </cell>
        </row>
        <row r="944">
          <cell r="A944">
            <v>22306</v>
          </cell>
          <cell r="B944" t="str">
            <v>PUTRI DWI LESTARI</v>
          </cell>
          <cell r="C944" t="str">
            <v>SAMI</v>
          </cell>
          <cell r="D944" t="str">
            <v>OPT-555</v>
          </cell>
          <cell r="E944">
            <v>43192</v>
          </cell>
          <cell r="F944">
            <v>43222</v>
          </cell>
          <cell r="G944">
            <v>43585</v>
          </cell>
          <cell r="H944" t="str">
            <v>PRD</v>
          </cell>
          <cell r="I944" t="str">
            <v>PRD</v>
          </cell>
          <cell r="J944" t="str">
            <v>CUTTING TUBE</v>
          </cell>
          <cell r="K944" t="str">
            <v>CUTTING TUBE</v>
          </cell>
          <cell r="L944" t="str">
            <v>CUTTING TUBE</v>
          </cell>
          <cell r="M944" t="str">
            <v>GC-01, 02</v>
          </cell>
          <cell r="N944" t="str">
            <v>CUTTING TUBE</v>
          </cell>
          <cell r="O944" t="str">
            <v>B</v>
          </cell>
        </row>
        <row r="945">
          <cell r="A945">
            <v>22433</v>
          </cell>
          <cell r="B945" t="str">
            <v>USA CHOLIVIANA</v>
          </cell>
          <cell r="C945" t="str">
            <v>SAMI</v>
          </cell>
          <cell r="D945" t="str">
            <v>OPT-558</v>
          </cell>
          <cell r="E945">
            <v>43213</v>
          </cell>
          <cell r="F945">
            <v>43243</v>
          </cell>
          <cell r="G945">
            <v>43616</v>
          </cell>
          <cell r="H945" t="str">
            <v>PRD</v>
          </cell>
          <cell r="I945" t="str">
            <v>PRD</v>
          </cell>
          <cell r="J945" t="str">
            <v>CUTTING TUBE</v>
          </cell>
          <cell r="K945" t="str">
            <v>CUTTING TUBE</v>
          </cell>
          <cell r="L945" t="str">
            <v>CUTTING TUBE</v>
          </cell>
          <cell r="M945" t="str">
            <v>INSP CUTTING TUBE</v>
          </cell>
          <cell r="N945" t="str">
            <v>P/A INSPECTOR</v>
          </cell>
          <cell r="O945" t="str">
            <v>B</v>
          </cell>
        </row>
        <row r="946">
          <cell r="A946">
            <v>22450</v>
          </cell>
          <cell r="B946" t="str">
            <v>ERIC NUR SETIAWAN</v>
          </cell>
          <cell r="C946" t="str">
            <v>SAMI</v>
          </cell>
          <cell r="D946" t="str">
            <v>OPT-559</v>
          </cell>
          <cell r="E946">
            <v>43220</v>
          </cell>
          <cell r="F946">
            <v>43250</v>
          </cell>
          <cell r="G946">
            <v>43616</v>
          </cell>
          <cell r="H946" t="str">
            <v>PRD</v>
          </cell>
          <cell r="I946" t="str">
            <v>PRD</v>
          </cell>
          <cell r="J946" t="str">
            <v>CUTTING TUBE</v>
          </cell>
          <cell r="K946" t="str">
            <v>CUTTING TUBE</v>
          </cell>
          <cell r="L946" t="str">
            <v>CUTTING TUBE</v>
          </cell>
          <cell r="M946" t="str">
            <v>HANDLING TUBE</v>
          </cell>
          <cell r="N946" t="str">
            <v>P/A CONTROLLER</v>
          </cell>
          <cell r="O946" t="str">
            <v>B</v>
          </cell>
        </row>
        <row r="947">
          <cell r="A947">
            <v>22643</v>
          </cell>
          <cell r="B947" t="str">
            <v>AGUNG SACTA PERMANA</v>
          </cell>
          <cell r="C947" t="str">
            <v>SAMI</v>
          </cell>
          <cell r="D947" t="str">
            <v>OPT-562</v>
          </cell>
          <cell r="E947">
            <v>43241</v>
          </cell>
          <cell r="F947">
            <v>43272</v>
          </cell>
          <cell r="G947">
            <v>43646</v>
          </cell>
          <cell r="H947" t="str">
            <v>PRD</v>
          </cell>
          <cell r="I947" t="str">
            <v>PRD</v>
          </cell>
          <cell r="J947" t="str">
            <v>CUTTING TUBE</v>
          </cell>
          <cell r="K947" t="str">
            <v>CUTTING TUBE</v>
          </cell>
          <cell r="L947" t="str">
            <v>CUTTING TUBE</v>
          </cell>
          <cell r="M947" t="str">
            <v>HANDLING TUBE</v>
          </cell>
          <cell r="N947" t="str">
            <v>P/A CONTROLLER</v>
          </cell>
          <cell r="O947" t="str">
            <v>B</v>
          </cell>
        </row>
        <row r="948">
          <cell r="A948">
            <v>22686</v>
          </cell>
          <cell r="B948" t="str">
            <v>YANIS KARTIKA SARI</v>
          </cell>
          <cell r="C948" t="str">
            <v>SAMI</v>
          </cell>
          <cell r="D948" t="str">
            <v>OPT-562</v>
          </cell>
          <cell r="E948">
            <v>43241</v>
          </cell>
          <cell r="F948">
            <v>43272</v>
          </cell>
          <cell r="G948">
            <v>43646</v>
          </cell>
          <cell r="H948" t="str">
            <v>PRD</v>
          </cell>
          <cell r="I948" t="str">
            <v>PRD</v>
          </cell>
          <cell r="J948" t="str">
            <v>CUTTING TUBE</v>
          </cell>
          <cell r="K948" t="str">
            <v>CUTTING TUBE</v>
          </cell>
          <cell r="L948" t="str">
            <v>CUTTING TUBE</v>
          </cell>
          <cell r="M948" t="str">
            <v>FAC-05</v>
          </cell>
          <cell r="N948" t="str">
            <v>CUTTING TUBE</v>
          </cell>
          <cell r="O948" t="str">
            <v>B</v>
          </cell>
        </row>
        <row r="949">
          <cell r="A949">
            <v>22913</v>
          </cell>
          <cell r="B949" t="str">
            <v>BAHRUL ULUM</v>
          </cell>
          <cell r="C949" t="str">
            <v>SAMI</v>
          </cell>
          <cell r="D949" t="str">
            <v>OPT-568</v>
          </cell>
          <cell r="E949">
            <v>43343</v>
          </cell>
          <cell r="F949">
            <v>43374</v>
          </cell>
          <cell r="G949">
            <v>43738</v>
          </cell>
          <cell r="H949" t="str">
            <v>PRD</v>
          </cell>
          <cell r="I949" t="str">
            <v>PRD</v>
          </cell>
          <cell r="J949" t="str">
            <v>CUTTING TUBE</v>
          </cell>
          <cell r="K949" t="str">
            <v>CUTTING TUBE</v>
          </cell>
          <cell r="L949" t="str">
            <v>CUTTING TUBE</v>
          </cell>
          <cell r="M949" t="str">
            <v>KDA-01,FAC-02</v>
          </cell>
          <cell r="N949" t="str">
            <v>CUTTING TUBE</v>
          </cell>
          <cell r="O949" t="str">
            <v>B</v>
          </cell>
        </row>
        <row r="950">
          <cell r="A950">
            <v>23022</v>
          </cell>
          <cell r="B950" t="str">
            <v>GUGUT PRATOMO</v>
          </cell>
          <cell r="C950" t="str">
            <v>SAMI</v>
          </cell>
          <cell r="D950" t="str">
            <v>OPT-569</v>
          </cell>
          <cell r="E950">
            <v>43361</v>
          </cell>
          <cell r="F950">
            <v>43391</v>
          </cell>
          <cell r="G950">
            <v>43769</v>
          </cell>
          <cell r="H950" t="str">
            <v>PRD</v>
          </cell>
          <cell r="I950" t="str">
            <v>PRD</v>
          </cell>
          <cell r="J950" t="str">
            <v>CUTTING TUBE</v>
          </cell>
          <cell r="K950" t="str">
            <v>CUTTING TUBE</v>
          </cell>
          <cell r="L950" t="str">
            <v>CUTTING TUBE</v>
          </cell>
          <cell r="M950" t="str">
            <v>HANDLING TUBE</v>
          </cell>
          <cell r="N950" t="str">
            <v>P/A CONTROLLER</v>
          </cell>
          <cell r="O950" t="str">
            <v>B</v>
          </cell>
        </row>
        <row r="951">
          <cell r="A951">
            <v>23205</v>
          </cell>
          <cell r="B951" t="str">
            <v>DESI NUZULIA ROSYIDAH</v>
          </cell>
          <cell r="C951" t="str">
            <v>SAMI</v>
          </cell>
          <cell r="D951" t="str">
            <v>OPT-573</v>
          </cell>
          <cell r="E951">
            <v>43421</v>
          </cell>
          <cell r="F951">
            <v>43451</v>
          </cell>
          <cell r="G951">
            <v>43830</v>
          </cell>
          <cell r="H951" t="str">
            <v>PRD</v>
          </cell>
          <cell r="I951" t="str">
            <v>PRD</v>
          </cell>
          <cell r="J951" t="str">
            <v>CUTTING TUBE</v>
          </cell>
          <cell r="K951" t="str">
            <v>CUTTING TUBE</v>
          </cell>
          <cell r="L951" t="str">
            <v>CUTTING TUBE</v>
          </cell>
          <cell r="M951" t="str">
            <v>FAC-03,COTO</v>
          </cell>
          <cell r="N951" t="str">
            <v>CUTTING TUBE</v>
          </cell>
          <cell r="O951" t="str">
            <v>B</v>
          </cell>
        </row>
        <row r="952">
          <cell r="A952">
            <v>23257</v>
          </cell>
          <cell r="B952" t="str">
            <v>RIBUT SLAMET RAHARJO</v>
          </cell>
          <cell r="C952" t="str">
            <v>SAMI</v>
          </cell>
          <cell r="D952" t="str">
            <v>OPT-573</v>
          </cell>
          <cell r="E952">
            <v>43421</v>
          </cell>
          <cell r="F952">
            <v>43451</v>
          </cell>
          <cell r="G952">
            <v>43830</v>
          </cell>
          <cell r="H952" t="str">
            <v>PRD</v>
          </cell>
          <cell r="I952" t="str">
            <v>PRD</v>
          </cell>
          <cell r="J952" t="str">
            <v>CUTTING TUBE</v>
          </cell>
          <cell r="K952" t="str">
            <v>CUTTING TUBE</v>
          </cell>
          <cell r="L952" t="str">
            <v>CUTTING TUBE</v>
          </cell>
          <cell r="M952" t="str">
            <v>HANDLING TUBE</v>
          </cell>
          <cell r="N952" t="str">
            <v>P/A CONTROLLER</v>
          </cell>
          <cell r="O952" t="str">
            <v>B</v>
          </cell>
        </row>
        <row r="953">
          <cell r="A953">
            <v>23434</v>
          </cell>
          <cell r="B953" t="str">
            <v>MELIKA</v>
          </cell>
          <cell r="C953" t="str">
            <v>SAMI</v>
          </cell>
          <cell r="D953" t="str">
            <v>OPT-575</v>
          </cell>
          <cell r="E953">
            <v>43434</v>
          </cell>
          <cell r="F953">
            <v>43464</v>
          </cell>
          <cell r="G953">
            <v>43830</v>
          </cell>
          <cell r="H953" t="str">
            <v>PRD</v>
          </cell>
          <cell r="I953" t="str">
            <v>PRD</v>
          </cell>
          <cell r="J953" t="str">
            <v>CUTTING TUBE</v>
          </cell>
          <cell r="K953" t="str">
            <v>CUTTING TUBE</v>
          </cell>
          <cell r="L953" t="str">
            <v>CUTTING TUBE</v>
          </cell>
          <cell r="M953" t="str">
            <v>GC-02,KDA-02</v>
          </cell>
          <cell r="N953" t="str">
            <v>CUTTING WIRE</v>
          </cell>
          <cell r="O953" t="str">
            <v>B</v>
          </cell>
        </row>
        <row r="954">
          <cell r="A954">
            <v>23438</v>
          </cell>
          <cell r="B954" t="str">
            <v>MUHAMMAD FAJAR HIDAYATULLAH</v>
          </cell>
          <cell r="C954" t="str">
            <v>SAMI</v>
          </cell>
          <cell r="D954" t="str">
            <v>OPT-575</v>
          </cell>
          <cell r="E954">
            <v>43434</v>
          </cell>
          <cell r="F954">
            <v>43464</v>
          </cell>
          <cell r="G954">
            <v>43830</v>
          </cell>
          <cell r="H954" t="str">
            <v>PRD</v>
          </cell>
          <cell r="I954" t="str">
            <v>PRD</v>
          </cell>
          <cell r="J954" t="str">
            <v>CUTTING TUBE</v>
          </cell>
          <cell r="K954" t="str">
            <v>CUTTING TUBE</v>
          </cell>
          <cell r="L954" t="str">
            <v>CUTTING TUBE</v>
          </cell>
          <cell r="M954" t="str">
            <v>HANDLING TUBE</v>
          </cell>
          <cell r="N954" t="str">
            <v>P/A CONTROLLER</v>
          </cell>
          <cell r="O954" t="str">
            <v>B</v>
          </cell>
        </row>
        <row r="955">
          <cell r="A955" t="str">
            <v>M23641</v>
          </cell>
          <cell r="B955" t="str">
            <v xml:space="preserve">TIO SAPUTRA PRADANA </v>
          </cell>
          <cell r="C955" t="str">
            <v>SAMI</v>
          </cell>
          <cell r="D955" t="str">
            <v>OPT-578</v>
          </cell>
          <cell r="E955">
            <v>43467</v>
          </cell>
          <cell r="F955">
            <v>43467</v>
          </cell>
          <cell r="G955">
            <v>43497</v>
          </cell>
          <cell r="H955" t="str">
            <v>PRD</v>
          </cell>
          <cell r="I955" t="str">
            <v>PRD</v>
          </cell>
          <cell r="J955" t="str">
            <v>CUTTING TUBE</v>
          </cell>
          <cell r="K955" t="str">
            <v>CUTTING TUBE</v>
          </cell>
          <cell r="L955" t="str">
            <v>CUTTING TUBE</v>
          </cell>
          <cell r="M955" t="str">
            <v>OJT</v>
          </cell>
          <cell r="N955" t="str">
            <v>INTERNAL TRIAL</v>
          </cell>
          <cell r="O955" t="str">
            <v>B</v>
          </cell>
        </row>
        <row r="956">
          <cell r="A956">
            <v>5772</v>
          </cell>
          <cell r="B956" t="str">
            <v>HANY RAHAYU</v>
          </cell>
          <cell r="C956" t="str">
            <v>SAMI</v>
          </cell>
          <cell r="D956" t="str">
            <v>OPT-135</v>
          </cell>
          <cell r="E956">
            <v>39114</v>
          </cell>
          <cell r="F956" t="str">
            <v>-</v>
          </cell>
          <cell r="G956" t="str">
            <v>-</v>
          </cell>
          <cell r="H956" t="str">
            <v>PRD</v>
          </cell>
          <cell r="I956" t="str">
            <v>PRD</v>
          </cell>
          <cell r="J956" t="str">
            <v>SUZUKI WAGON R</v>
          </cell>
          <cell r="K956" t="str">
            <v>SUZUKI YW0</v>
          </cell>
          <cell r="L956" t="str">
            <v>CV 1</v>
          </cell>
          <cell r="M956" t="str">
            <v>EMDEP</v>
          </cell>
          <cell r="N956" t="str">
            <v>ELECTRICAL INSPECTION</v>
          </cell>
          <cell r="O956" t="str">
            <v>A</v>
          </cell>
        </row>
        <row r="957">
          <cell r="A957">
            <v>8638</v>
          </cell>
          <cell r="B957" t="str">
            <v>DIAN PURWANTARI</v>
          </cell>
          <cell r="C957" t="str">
            <v>SAMI</v>
          </cell>
          <cell r="D957" t="str">
            <v>OPT-189</v>
          </cell>
          <cell r="E957">
            <v>39878</v>
          </cell>
          <cell r="F957" t="str">
            <v>-</v>
          </cell>
          <cell r="G957" t="str">
            <v>-</v>
          </cell>
          <cell r="H957" t="str">
            <v>PRD</v>
          </cell>
          <cell r="I957" t="str">
            <v>PRD</v>
          </cell>
          <cell r="J957" t="str">
            <v>SUZUKI WAGON R</v>
          </cell>
          <cell r="K957" t="str">
            <v>SUZUKI YW0</v>
          </cell>
          <cell r="L957" t="str">
            <v>CV 1</v>
          </cell>
          <cell r="M957" t="str">
            <v>LQC</v>
          </cell>
          <cell r="N957" t="str">
            <v>RELIEF</v>
          </cell>
          <cell r="O957" t="str">
            <v>A</v>
          </cell>
        </row>
        <row r="958">
          <cell r="A958">
            <v>9895</v>
          </cell>
          <cell r="B958" t="str">
            <v>MARIANAH</v>
          </cell>
          <cell r="C958" t="str">
            <v>SAMI</v>
          </cell>
          <cell r="D958" t="str">
            <v>OPT-244</v>
          </cell>
          <cell r="E958">
            <v>40424</v>
          </cell>
          <cell r="F958" t="str">
            <v>-</v>
          </cell>
          <cell r="G958" t="str">
            <v>-</v>
          </cell>
          <cell r="H958" t="str">
            <v>PRD</v>
          </cell>
          <cell r="I958" t="str">
            <v>PRD</v>
          </cell>
          <cell r="J958" t="str">
            <v>SUZUKI WAGON R</v>
          </cell>
          <cell r="K958" t="str">
            <v>SUZUKI YW0</v>
          </cell>
          <cell r="L958" t="str">
            <v>CV 1</v>
          </cell>
          <cell r="M958" t="str">
            <v>S/T 2.2</v>
          </cell>
          <cell r="N958" t="str">
            <v>ASSEMBLY</v>
          </cell>
          <cell r="O958" t="str">
            <v>A</v>
          </cell>
        </row>
        <row r="959">
          <cell r="A959">
            <v>10604</v>
          </cell>
          <cell r="B959" t="str">
            <v>RETNO WULANDARI</v>
          </cell>
          <cell r="C959" t="str">
            <v>SAMI</v>
          </cell>
          <cell r="D959" t="str">
            <v>OPT-276</v>
          </cell>
          <cell r="E959">
            <v>40544</v>
          </cell>
          <cell r="F959" t="str">
            <v>-</v>
          </cell>
          <cell r="G959" t="str">
            <v>-</v>
          </cell>
          <cell r="H959" t="str">
            <v>PRD</v>
          </cell>
          <cell r="I959" t="str">
            <v>PRD</v>
          </cell>
          <cell r="J959" t="str">
            <v>SUZUKI WAGON R</v>
          </cell>
          <cell r="K959" t="str">
            <v>SUZUKI YW0</v>
          </cell>
          <cell r="L959" t="str">
            <v>CV 1</v>
          </cell>
          <cell r="M959" t="str">
            <v>VISUAL</v>
          </cell>
          <cell r="N959" t="str">
            <v>VISUAL INSPECTION</v>
          </cell>
          <cell r="O959" t="str">
            <v>A</v>
          </cell>
        </row>
        <row r="960">
          <cell r="A960">
            <v>10986</v>
          </cell>
          <cell r="B960" t="str">
            <v>NUNIK SURYATI</v>
          </cell>
          <cell r="C960" t="str">
            <v>SAMI</v>
          </cell>
          <cell r="D960" t="str">
            <v>OPT-286</v>
          </cell>
          <cell r="E960">
            <v>40582</v>
          </cell>
          <cell r="F960" t="str">
            <v>-</v>
          </cell>
          <cell r="G960" t="str">
            <v>-</v>
          </cell>
          <cell r="H960" t="str">
            <v>PRD</v>
          </cell>
          <cell r="I960" t="str">
            <v>PRD</v>
          </cell>
          <cell r="J960" t="str">
            <v>SUZUKI WAGON R</v>
          </cell>
          <cell r="K960" t="str">
            <v>SUZUKI YW0</v>
          </cell>
          <cell r="L960" t="str">
            <v>CV 1</v>
          </cell>
          <cell r="M960" t="str">
            <v>CHECKER ARUS + INSERT FUSE</v>
          </cell>
          <cell r="N960" t="str">
            <v>ELECTRICAL INSPECTION</v>
          </cell>
          <cell r="O960" t="str">
            <v>A</v>
          </cell>
        </row>
        <row r="961">
          <cell r="A961">
            <v>11113</v>
          </cell>
          <cell r="B961" t="str">
            <v>IMA ZULFA</v>
          </cell>
          <cell r="C961" t="str">
            <v>SAMI</v>
          </cell>
          <cell r="D961" t="str">
            <v>OPT-290</v>
          </cell>
          <cell r="E961">
            <v>40603</v>
          </cell>
          <cell r="F961" t="str">
            <v>-</v>
          </cell>
          <cell r="G961" t="str">
            <v>-</v>
          </cell>
          <cell r="H961" t="str">
            <v>PRD</v>
          </cell>
          <cell r="I961" t="str">
            <v>PRD</v>
          </cell>
          <cell r="J961" t="str">
            <v>SUZUKI WAGON R</v>
          </cell>
          <cell r="K961" t="str">
            <v>SUZUKI YW0</v>
          </cell>
          <cell r="L961" t="str">
            <v>CV 1</v>
          </cell>
          <cell r="M961" t="str">
            <v>T/P 5.1</v>
          </cell>
          <cell r="N961" t="str">
            <v>ASSEMBLY</v>
          </cell>
          <cell r="O961" t="str">
            <v>A</v>
          </cell>
        </row>
        <row r="962">
          <cell r="A962">
            <v>11191</v>
          </cell>
          <cell r="B962" t="str">
            <v>AMBAR RIANAWATI</v>
          </cell>
          <cell r="C962" t="str">
            <v>SAMI</v>
          </cell>
          <cell r="D962" t="str">
            <v>OPT-293</v>
          </cell>
          <cell r="E962">
            <v>40609</v>
          </cell>
          <cell r="F962" t="str">
            <v>-</v>
          </cell>
          <cell r="G962" t="str">
            <v>-</v>
          </cell>
          <cell r="H962" t="str">
            <v>PRD</v>
          </cell>
          <cell r="I962" t="str">
            <v>PRD</v>
          </cell>
          <cell r="J962" t="str">
            <v>SUZUKI WAGON R</v>
          </cell>
          <cell r="K962" t="str">
            <v>SUZUKI YW0</v>
          </cell>
          <cell r="L962" t="str">
            <v>CV 1</v>
          </cell>
          <cell r="M962" t="str">
            <v>CHECKER CLIP + INSERT RELAY</v>
          </cell>
          <cell r="N962" t="str">
            <v>ELECTRICAL INSPECTION</v>
          </cell>
          <cell r="O962" t="str">
            <v>A</v>
          </cell>
        </row>
        <row r="963">
          <cell r="A963">
            <v>12080</v>
          </cell>
          <cell r="B963" t="str">
            <v>DESI APRIYANI</v>
          </cell>
          <cell r="C963" t="str">
            <v>SAMI</v>
          </cell>
          <cell r="D963" t="str">
            <v>OPT-314</v>
          </cell>
          <cell r="E963">
            <v>40798</v>
          </cell>
          <cell r="F963" t="str">
            <v>-</v>
          </cell>
          <cell r="G963" t="str">
            <v>-</v>
          </cell>
          <cell r="H963" t="str">
            <v>PRD</v>
          </cell>
          <cell r="I963" t="str">
            <v>PRD</v>
          </cell>
          <cell r="J963" t="str">
            <v>SUZUKI WAGON R</v>
          </cell>
          <cell r="K963" t="str">
            <v>SUZUKI YW0</v>
          </cell>
          <cell r="L963" t="str">
            <v>CV 1</v>
          </cell>
          <cell r="M963" t="str">
            <v>S/A 6</v>
          </cell>
          <cell r="N963" t="str">
            <v>SUB ASSY</v>
          </cell>
          <cell r="O963" t="str">
            <v>A</v>
          </cell>
        </row>
        <row r="964">
          <cell r="A964">
            <v>12549</v>
          </cell>
          <cell r="B964" t="str">
            <v>SULIFAH</v>
          </cell>
          <cell r="C964" t="str">
            <v>SAMI</v>
          </cell>
          <cell r="D964" t="str">
            <v>OPT-318</v>
          </cell>
          <cell r="E964">
            <v>40812</v>
          </cell>
          <cell r="F964" t="str">
            <v>-</v>
          </cell>
          <cell r="G964" t="str">
            <v>-</v>
          </cell>
          <cell r="H964" t="str">
            <v>PRD</v>
          </cell>
          <cell r="I964" t="str">
            <v>PRD</v>
          </cell>
          <cell r="J964" t="str">
            <v>SUZUKI WAGON R</v>
          </cell>
          <cell r="K964" t="str">
            <v>SUZUKI YW0</v>
          </cell>
          <cell r="L964" t="str">
            <v>CV 1</v>
          </cell>
          <cell r="M964" t="str">
            <v>S/A 7</v>
          </cell>
          <cell r="N964" t="str">
            <v>SUB ASSY</v>
          </cell>
          <cell r="O964" t="str">
            <v>A</v>
          </cell>
        </row>
        <row r="965">
          <cell r="A965">
            <v>12580</v>
          </cell>
          <cell r="B965" t="str">
            <v>YUNITA FITRIANI</v>
          </cell>
          <cell r="C965" t="str">
            <v>SAMI</v>
          </cell>
          <cell r="D965" t="str">
            <v>OPT-318</v>
          </cell>
          <cell r="E965">
            <v>40812</v>
          </cell>
          <cell r="F965" t="str">
            <v>-</v>
          </cell>
          <cell r="G965" t="str">
            <v>-</v>
          </cell>
          <cell r="H965" t="str">
            <v>PRD</v>
          </cell>
          <cell r="I965" t="str">
            <v>PRD</v>
          </cell>
          <cell r="J965" t="str">
            <v>SUZUKI WAGON R</v>
          </cell>
          <cell r="K965" t="str">
            <v>SUZUKI YW0</v>
          </cell>
          <cell r="L965" t="str">
            <v>CV 1</v>
          </cell>
          <cell r="M965" t="str">
            <v>SUB LINE CHO</v>
          </cell>
          <cell r="N965" t="str">
            <v>GL</v>
          </cell>
          <cell r="O965" t="str">
            <v>A</v>
          </cell>
        </row>
        <row r="966">
          <cell r="A966">
            <v>12969</v>
          </cell>
          <cell r="B966" t="str">
            <v>CITRA SUSILOWATI</v>
          </cell>
          <cell r="C966" t="str">
            <v>SAMI</v>
          </cell>
          <cell r="D966" t="str">
            <v>OPT-323</v>
          </cell>
          <cell r="E966">
            <v>40840</v>
          </cell>
          <cell r="F966" t="str">
            <v>-</v>
          </cell>
          <cell r="G966" t="str">
            <v>-</v>
          </cell>
          <cell r="H966" t="str">
            <v>PRD</v>
          </cell>
          <cell r="I966" t="str">
            <v>PRD</v>
          </cell>
          <cell r="J966" t="str">
            <v>SUZUKI WAGON R</v>
          </cell>
          <cell r="K966" t="str">
            <v>SUZUKI YW0</v>
          </cell>
          <cell r="L966" t="str">
            <v>CV 1</v>
          </cell>
          <cell r="M966" t="str">
            <v>VISUAL</v>
          </cell>
          <cell r="N966" t="str">
            <v>VISUAL INSPECTION</v>
          </cell>
          <cell r="O966" t="str">
            <v>A</v>
          </cell>
        </row>
        <row r="967">
          <cell r="A967">
            <v>17846</v>
          </cell>
          <cell r="B967" t="str">
            <v>EKA AGUSTINA</v>
          </cell>
          <cell r="C967" t="str">
            <v>SAMI</v>
          </cell>
          <cell r="D967" t="str">
            <v>OPT-449</v>
          </cell>
          <cell r="E967">
            <v>41820</v>
          </cell>
          <cell r="F967" t="str">
            <v>-</v>
          </cell>
          <cell r="G967" t="str">
            <v>-</v>
          </cell>
          <cell r="H967" t="str">
            <v>PRD</v>
          </cell>
          <cell r="I967" t="str">
            <v>PRD</v>
          </cell>
          <cell r="J967" t="str">
            <v>SUZUKI WAGON R</v>
          </cell>
          <cell r="K967" t="str">
            <v>SUZUKI YW0</v>
          </cell>
          <cell r="L967" t="str">
            <v>CV 1</v>
          </cell>
          <cell r="M967" t="str">
            <v>T/P 3.1</v>
          </cell>
          <cell r="N967" t="str">
            <v>ASSEMBLY</v>
          </cell>
          <cell r="O967" t="str">
            <v>A</v>
          </cell>
        </row>
        <row r="968">
          <cell r="A968">
            <v>18681</v>
          </cell>
          <cell r="B968" t="str">
            <v>AYU WULANDARI</v>
          </cell>
          <cell r="C968" t="str">
            <v>SAMI</v>
          </cell>
          <cell r="D968" t="str">
            <v>OPT-468</v>
          </cell>
          <cell r="E968">
            <v>42142</v>
          </cell>
          <cell r="F968" t="str">
            <v>-</v>
          </cell>
          <cell r="G968" t="str">
            <v>-</v>
          </cell>
          <cell r="H968" t="str">
            <v>PRD</v>
          </cell>
          <cell r="I968" t="str">
            <v>PRD</v>
          </cell>
          <cell r="J968" t="str">
            <v>SUZUKI WAGON R</v>
          </cell>
          <cell r="K968" t="str">
            <v>SUZUKI YW0</v>
          </cell>
          <cell r="L968" t="str">
            <v>CV 1</v>
          </cell>
          <cell r="M968" t="str">
            <v>T/P 6</v>
          </cell>
          <cell r="N968" t="str">
            <v>ASSEMBLY</v>
          </cell>
          <cell r="O968" t="str">
            <v>A</v>
          </cell>
        </row>
        <row r="969">
          <cell r="A969">
            <v>19643</v>
          </cell>
          <cell r="B969" t="str">
            <v>KURNIA DEWI LESTARI</v>
          </cell>
          <cell r="C969" t="str">
            <v>SAMI</v>
          </cell>
          <cell r="D969" t="str">
            <v>OPT-490</v>
          </cell>
          <cell r="E969">
            <v>42475</v>
          </cell>
          <cell r="F969" t="str">
            <v>-</v>
          </cell>
          <cell r="G969" t="str">
            <v>-</v>
          </cell>
          <cell r="H969" t="str">
            <v>PRD</v>
          </cell>
          <cell r="I969" t="str">
            <v>PRD</v>
          </cell>
          <cell r="J969" t="str">
            <v>SUZUKI WAGON R</v>
          </cell>
          <cell r="K969" t="str">
            <v>SUZUKI YW0</v>
          </cell>
          <cell r="L969" t="str">
            <v>CV 1</v>
          </cell>
          <cell r="M969" t="str">
            <v>S/A 4</v>
          </cell>
          <cell r="N969" t="str">
            <v>SUB ASSY</v>
          </cell>
          <cell r="O969" t="str">
            <v>A</v>
          </cell>
        </row>
        <row r="970">
          <cell r="A970">
            <v>20015</v>
          </cell>
          <cell r="B970" t="str">
            <v>LENI PUTRIYANI</v>
          </cell>
          <cell r="C970" t="str">
            <v>SAMI</v>
          </cell>
          <cell r="D970" t="str">
            <v>OPT-493</v>
          </cell>
          <cell r="E970">
            <v>42506</v>
          </cell>
          <cell r="F970" t="str">
            <v>-</v>
          </cell>
          <cell r="G970" t="str">
            <v>-</v>
          </cell>
          <cell r="H970" t="str">
            <v>PRD</v>
          </cell>
          <cell r="I970" t="str">
            <v>PRD</v>
          </cell>
          <cell r="J970" t="str">
            <v>SUZUKI WAGON R</v>
          </cell>
          <cell r="K970" t="str">
            <v>SUZUKI YW0</v>
          </cell>
          <cell r="L970" t="str">
            <v>CV 1</v>
          </cell>
          <cell r="M970" t="str">
            <v>T/P 4.1</v>
          </cell>
          <cell r="N970" t="str">
            <v>ASSEMBLY</v>
          </cell>
          <cell r="O970" t="str">
            <v>A</v>
          </cell>
        </row>
        <row r="971">
          <cell r="A971">
            <v>20625</v>
          </cell>
          <cell r="B971" t="str">
            <v>NORMA YURITA S</v>
          </cell>
          <cell r="C971" t="str">
            <v>SAMI</v>
          </cell>
          <cell r="D971" t="str">
            <v>OPT-505</v>
          </cell>
          <cell r="E971">
            <v>42639</v>
          </cell>
          <cell r="F971">
            <v>43132</v>
          </cell>
          <cell r="G971">
            <v>43496</v>
          </cell>
          <cell r="H971" t="str">
            <v>PRD</v>
          </cell>
          <cell r="I971" t="str">
            <v>PRD</v>
          </cell>
          <cell r="J971" t="str">
            <v>SUZUKI WAGON R</v>
          </cell>
          <cell r="K971" t="str">
            <v>SUZUKI YW0</v>
          </cell>
          <cell r="L971" t="str">
            <v>CV 1</v>
          </cell>
          <cell r="M971" t="str">
            <v>S/A 2</v>
          </cell>
          <cell r="N971" t="str">
            <v>SUB ASSY</v>
          </cell>
          <cell r="O971" t="str">
            <v>A</v>
          </cell>
        </row>
        <row r="972">
          <cell r="A972">
            <v>20632</v>
          </cell>
          <cell r="B972" t="str">
            <v>NURUL FAJJRIYATUS SOLIHAH</v>
          </cell>
          <cell r="C972" t="str">
            <v>SAMI</v>
          </cell>
          <cell r="D972" t="str">
            <v>OPT-505</v>
          </cell>
          <cell r="E972">
            <v>42639</v>
          </cell>
          <cell r="F972">
            <v>43132</v>
          </cell>
          <cell r="G972">
            <v>43496</v>
          </cell>
          <cell r="H972" t="str">
            <v>PRD</v>
          </cell>
          <cell r="I972" t="str">
            <v>PRD</v>
          </cell>
          <cell r="J972" t="str">
            <v>SUZUKI WAGON R</v>
          </cell>
          <cell r="K972" t="str">
            <v>SUZUKI YW0</v>
          </cell>
          <cell r="L972" t="str">
            <v>CV 1</v>
          </cell>
          <cell r="M972" t="str">
            <v>S/T 4.3</v>
          </cell>
          <cell r="N972" t="str">
            <v>ASSEMBLY</v>
          </cell>
          <cell r="O972" t="str">
            <v>A</v>
          </cell>
        </row>
        <row r="973">
          <cell r="A973">
            <v>20633</v>
          </cell>
          <cell r="B973" t="str">
            <v>OKTAVIANI PUSPITA SARI</v>
          </cell>
          <cell r="C973" t="str">
            <v>SAMI</v>
          </cell>
          <cell r="D973" t="str">
            <v>OPT-505</v>
          </cell>
          <cell r="E973">
            <v>42639</v>
          </cell>
          <cell r="F973">
            <v>43132</v>
          </cell>
          <cell r="G973">
            <v>43496</v>
          </cell>
          <cell r="H973" t="str">
            <v>PRD</v>
          </cell>
          <cell r="I973" t="str">
            <v>PRD</v>
          </cell>
          <cell r="J973" t="str">
            <v>SUZUKI WAGON R</v>
          </cell>
          <cell r="K973" t="str">
            <v>SUZUKI YW0</v>
          </cell>
          <cell r="L973" t="str">
            <v>CV 1</v>
          </cell>
          <cell r="M973" t="str">
            <v>S/A 1</v>
          </cell>
          <cell r="N973" t="str">
            <v>SUB ASSY</v>
          </cell>
          <cell r="O973" t="str">
            <v>A</v>
          </cell>
        </row>
        <row r="974">
          <cell r="A974">
            <v>20673</v>
          </cell>
          <cell r="B974" t="str">
            <v>USWATUN NUR KHASANAH</v>
          </cell>
          <cell r="C974" t="str">
            <v>SAMI</v>
          </cell>
          <cell r="D974" t="str">
            <v>OPT-505</v>
          </cell>
          <cell r="E974">
            <v>42639</v>
          </cell>
          <cell r="F974">
            <v>43132</v>
          </cell>
          <cell r="G974">
            <v>43496</v>
          </cell>
          <cell r="H974" t="str">
            <v>PRD</v>
          </cell>
          <cell r="I974" t="str">
            <v>PRD</v>
          </cell>
          <cell r="J974" t="str">
            <v>SUZUKI WAGON R</v>
          </cell>
          <cell r="K974" t="str">
            <v>SUZUKI YW0</v>
          </cell>
          <cell r="L974" t="str">
            <v>CV 1</v>
          </cell>
          <cell r="M974" t="str">
            <v>S/A 8</v>
          </cell>
          <cell r="N974" t="str">
            <v>SUB ASSY</v>
          </cell>
          <cell r="O974" t="str">
            <v>A</v>
          </cell>
        </row>
        <row r="975">
          <cell r="A975">
            <v>20785</v>
          </cell>
          <cell r="B975" t="str">
            <v>RIZKI ULFA QOMARIYAH</v>
          </cell>
          <cell r="C975" t="str">
            <v>SAMI</v>
          </cell>
          <cell r="D975" t="str">
            <v>OPT-506</v>
          </cell>
          <cell r="E975">
            <v>42642</v>
          </cell>
          <cell r="F975">
            <v>43132</v>
          </cell>
          <cell r="G975">
            <v>43496</v>
          </cell>
          <cell r="H975" t="str">
            <v>PRD</v>
          </cell>
          <cell r="I975" t="str">
            <v>PRD</v>
          </cell>
          <cell r="J975" t="str">
            <v>SUZUKI WAGON R</v>
          </cell>
          <cell r="K975" t="str">
            <v>SUZUKI YW0</v>
          </cell>
          <cell r="L975" t="str">
            <v>CV 1</v>
          </cell>
          <cell r="M975" t="str">
            <v>S/A 3</v>
          </cell>
          <cell r="N975" t="str">
            <v>SUB ASSY</v>
          </cell>
          <cell r="O975" t="str">
            <v>A</v>
          </cell>
        </row>
        <row r="976">
          <cell r="A976">
            <v>20843</v>
          </cell>
          <cell r="B976" t="str">
            <v>AFIDATUL MUSTAQIMAH</v>
          </cell>
          <cell r="C976" t="str">
            <v>SAMI</v>
          </cell>
          <cell r="D976" t="str">
            <v>OPT-510</v>
          </cell>
          <cell r="E976">
            <v>42660</v>
          </cell>
          <cell r="F976">
            <v>43160</v>
          </cell>
          <cell r="G976">
            <v>43524</v>
          </cell>
          <cell r="H976" t="str">
            <v>PRD</v>
          </cell>
          <cell r="I976" t="str">
            <v>PRD</v>
          </cell>
          <cell r="J976" t="str">
            <v>SUZUKI WAGON R</v>
          </cell>
          <cell r="K976" t="str">
            <v>SUZUKI YW0</v>
          </cell>
          <cell r="L976" t="str">
            <v>CV 1</v>
          </cell>
          <cell r="M976" t="str">
            <v>VISUAL</v>
          </cell>
          <cell r="N976" t="str">
            <v>VISUAL INSPECTION</v>
          </cell>
          <cell r="O976" t="str">
            <v>A</v>
          </cell>
        </row>
        <row r="977">
          <cell r="A977">
            <v>21531</v>
          </cell>
          <cell r="B977" t="str">
            <v>IIN AGUSTIN</v>
          </cell>
          <cell r="C977" t="str">
            <v>SAMI</v>
          </cell>
          <cell r="D977" t="str">
            <v>OPT-535</v>
          </cell>
          <cell r="E977">
            <v>43045</v>
          </cell>
          <cell r="F977">
            <v>43435</v>
          </cell>
          <cell r="G977">
            <v>43799</v>
          </cell>
          <cell r="H977" t="str">
            <v>PRD</v>
          </cell>
          <cell r="I977" t="str">
            <v>PRD</v>
          </cell>
          <cell r="J977" t="str">
            <v>SUZUKI WAGON R</v>
          </cell>
          <cell r="K977" t="str">
            <v>SUZUKI YW0</v>
          </cell>
          <cell r="L977" t="str">
            <v>CV 1</v>
          </cell>
          <cell r="M977" t="str">
            <v>T/P 4.2</v>
          </cell>
          <cell r="N977" t="str">
            <v>ASSEMBLY</v>
          </cell>
          <cell r="O977" t="str">
            <v>A</v>
          </cell>
        </row>
        <row r="978">
          <cell r="A978">
            <v>21538</v>
          </cell>
          <cell r="B978" t="str">
            <v>MIKE SARI</v>
          </cell>
          <cell r="C978" t="str">
            <v>SAMI</v>
          </cell>
          <cell r="D978" t="str">
            <v>OPT-535</v>
          </cell>
          <cell r="E978">
            <v>43045</v>
          </cell>
          <cell r="F978">
            <v>43435</v>
          </cell>
          <cell r="G978">
            <v>43799</v>
          </cell>
          <cell r="H978" t="str">
            <v>PRD</v>
          </cell>
          <cell r="I978" t="str">
            <v>PRD</v>
          </cell>
          <cell r="J978" t="str">
            <v>SUZUKI WAGON R</v>
          </cell>
          <cell r="K978" t="str">
            <v>SUZUKI YW0</v>
          </cell>
          <cell r="L978" t="str">
            <v>CV 1</v>
          </cell>
          <cell r="M978" t="str">
            <v>S/T 4.2</v>
          </cell>
          <cell r="N978" t="str">
            <v>ASSEMBLY</v>
          </cell>
          <cell r="O978" t="str">
            <v>A</v>
          </cell>
        </row>
        <row r="979">
          <cell r="A979">
            <v>21694</v>
          </cell>
          <cell r="B979" t="str">
            <v>PUTRI SUCI SETIYOWATI</v>
          </cell>
          <cell r="C979" t="str">
            <v>SAMI</v>
          </cell>
          <cell r="D979" t="str">
            <v>OPT-538</v>
          </cell>
          <cell r="E979">
            <v>43073</v>
          </cell>
          <cell r="F979">
            <v>43466</v>
          </cell>
          <cell r="G979">
            <v>43830</v>
          </cell>
          <cell r="H979" t="str">
            <v>PRD</v>
          </cell>
          <cell r="I979" t="str">
            <v>PRD</v>
          </cell>
          <cell r="J979" t="str">
            <v>SUZUKI WAGON R</v>
          </cell>
          <cell r="K979" t="str">
            <v>SUZUKI YW0</v>
          </cell>
          <cell r="L979" t="str">
            <v>CV 1</v>
          </cell>
          <cell r="M979" t="str">
            <v>T/P 1.1</v>
          </cell>
          <cell r="N979" t="str">
            <v>ASSEMBLY</v>
          </cell>
          <cell r="O979" t="str">
            <v>A</v>
          </cell>
        </row>
        <row r="980">
          <cell r="A980">
            <v>21742</v>
          </cell>
          <cell r="B980" t="str">
            <v>PUTRI INDAH SWARI W P</v>
          </cell>
          <cell r="C980" t="str">
            <v>SAMI</v>
          </cell>
          <cell r="D980" t="str">
            <v>OPT-539</v>
          </cell>
          <cell r="E980">
            <v>43087</v>
          </cell>
          <cell r="F980">
            <v>43118</v>
          </cell>
          <cell r="G980">
            <v>43496</v>
          </cell>
          <cell r="H980" t="str">
            <v>PRD</v>
          </cell>
          <cell r="I980" t="str">
            <v>PRD</v>
          </cell>
          <cell r="J980" t="str">
            <v>SUZUKI WAGON R</v>
          </cell>
          <cell r="K980" t="str">
            <v>SUZUKI YW0</v>
          </cell>
          <cell r="L980" t="str">
            <v>CV 1</v>
          </cell>
          <cell r="M980" t="str">
            <v>T/P 2.1</v>
          </cell>
          <cell r="N980" t="str">
            <v>ASSEMBLY</v>
          </cell>
          <cell r="O980" t="str">
            <v>A</v>
          </cell>
        </row>
        <row r="981">
          <cell r="A981">
            <v>21767</v>
          </cell>
          <cell r="B981" t="str">
            <v>EKA NUR FITRIANI</v>
          </cell>
          <cell r="C981" t="str">
            <v>SAMI</v>
          </cell>
          <cell r="D981" t="str">
            <v>OPT-540</v>
          </cell>
          <cell r="E981">
            <v>43090</v>
          </cell>
          <cell r="F981">
            <v>43121</v>
          </cell>
          <cell r="G981">
            <v>43496</v>
          </cell>
          <cell r="H981" t="str">
            <v>PRD</v>
          </cell>
          <cell r="I981" t="str">
            <v>PRD</v>
          </cell>
          <cell r="J981" t="str">
            <v>SUZUKI WAGON R</v>
          </cell>
          <cell r="K981" t="str">
            <v>SUZUKI YW0</v>
          </cell>
          <cell r="L981" t="str">
            <v>CV 1</v>
          </cell>
          <cell r="M981" t="str">
            <v>CHECKER ARUS + INSERT FUSE</v>
          </cell>
          <cell r="N981" t="str">
            <v>ELECTRICAL INSPECTION</v>
          </cell>
          <cell r="O981" t="str">
            <v>A</v>
          </cell>
        </row>
        <row r="982">
          <cell r="A982">
            <v>21854</v>
          </cell>
          <cell r="B982" t="str">
            <v>SITI MUTOHAROH</v>
          </cell>
          <cell r="C982" t="str">
            <v>SAMI</v>
          </cell>
          <cell r="D982" t="str">
            <v>OPT-541</v>
          </cell>
          <cell r="E982">
            <v>43098</v>
          </cell>
          <cell r="F982">
            <v>43129</v>
          </cell>
          <cell r="G982">
            <v>43496</v>
          </cell>
          <cell r="H982" t="str">
            <v>PRD</v>
          </cell>
          <cell r="I982" t="str">
            <v>PRD</v>
          </cell>
          <cell r="J982" t="str">
            <v>SUZUKI WAGON R</v>
          </cell>
          <cell r="K982" t="str">
            <v>SUZUKI YW0</v>
          </cell>
          <cell r="L982" t="str">
            <v>CV 1</v>
          </cell>
          <cell r="M982" t="str">
            <v>MATERIAL SUPPLY</v>
          </cell>
          <cell r="N982" t="str">
            <v>MATERIAL SUPPLY</v>
          </cell>
          <cell r="O982" t="str">
            <v>A</v>
          </cell>
        </row>
        <row r="983">
          <cell r="A983">
            <v>21863</v>
          </cell>
          <cell r="B983" t="str">
            <v>WAHYU MIN SHOLIKAH</v>
          </cell>
          <cell r="C983" t="str">
            <v>SAMI</v>
          </cell>
          <cell r="D983" t="str">
            <v>OPT-541</v>
          </cell>
          <cell r="E983">
            <v>43098</v>
          </cell>
          <cell r="F983">
            <v>43129</v>
          </cell>
          <cell r="G983">
            <v>43496</v>
          </cell>
          <cell r="H983" t="str">
            <v>PRD</v>
          </cell>
          <cell r="I983" t="str">
            <v>PRD</v>
          </cell>
          <cell r="J983" t="str">
            <v>SUZUKI WAGON R</v>
          </cell>
          <cell r="K983" t="str">
            <v>SUZUKI YW0</v>
          </cell>
          <cell r="L983" t="str">
            <v>CV 1</v>
          </cell>
          <cell r="M983" t="str">
            <v>CIRCUIT SUPPLIER</v>
          </cell>
          <cell r="N983" t="str">
            <v>CIRCUIT SUPPLY</v>
          </cell>
          <cell r="O983" t="str">
            <v>A</v>
          </cell>
        </row>
        <row r="984">
          <cell r="A984">
            <v>21947</v>
          </cell>
          <cell r="B984" t="str">
            <v>DEWI KURNIA SAFITRI</v>
          </cell>
          <cell r="C984" t="str">
            <v>SAMI</v>
          </cell>
          <cell r="D984" t="str">
            <v>OPT-545</v>
          </cell>
          <cell r="E984">
            <v>43116</v>
          </cell>
          <cell r="F984">
            <v>43147</v>
          </cell>
          <cell r="G984">
            <v>43524</v>
          </cell>
          <cell r="H984" t="str">
            <v>PRD</v>
          </cell>
          <cell r="I984" t="str">
            <v>PRD</v>
          </cell>
          <cell r="J984" t="str">
            <v>SUZUKI WAGON R</v>
          </cell>
          <cell r="K984" t="str">
            <v>SUZUKI YW0</v>
          </cell>
          <cell r="L984" t="str">
            <v>CV 1</v>
          </cell>
          <cell r="M984" t="str">
            <v>S/T 2.1</v>
          </cell>
          <cell r="N984" t="str">
            <v>ASSEMBLY</v>
          </cell>
          <cell r="O984" t="str">
            <v>A</v>
          </cell>
        </row>
        <row r="985">
          <cell r="A985">
            <v>22020</v>
          </cell>
          <cell r="B985" t="str">
            <v>DWI SETIANINGRUM</v>
          </cell>
          <cell r="C985" t="str">
            <v>SAMI</v>
          </cell>
          <cell r="D985" t="str">
            <v>OPT-547</v>
          </cell>
          <cell r="E985">
            <v>43144</v>
          </cell>
          <cell r="F985">
            <v>43172</v>
          </cell>
          <cell r="G985">
            <v>43524</v>
          </cell>
          <cell r="H985" t="str">
            <v>PRD</v>
          </cell>
          <cell r="I985" t="str">
            <v>PRD</v>
          </cell>
          <cell r="J985" t="str">
            <v>SUZUKI WAGON R</v>
          </cell>
          <cell r="K985" t="str">
            <v>SUZUKI YW0</v>
          </cell>
          <cell r="L985" t="str">
            <v>CV 1</v>
          </cell>
          <cell r="M985" t="str">
            <v>T/P 1.2</v>
          </cell>
          <cell r="N985" t="str">
            <v>ASSEMBLY</v>
          </cell>
          <cell r="O985" t="str">
            <v>A</v>
          </cell>
        </row>
        <row r="986">
          <cell r="A986">
            <v>22142</v>
          </cell>
          <cell r="B986" t="str">
            <v>PUJI ASTUTI</v>
          </cell>
          <cell r="C986" t="str">
            <v>SAMI</v>
          </cell>
          <cell r="D986" t="str">
            <v>OPT-549</v>
          </cell>
          <cell r="E986">
            <v>43153</v>
          </cell>
          <cell r="F986">
            <v>43181</v>
          </cell>
          <cell r="G986">
            <v>43555</v>
          </cell>
          <cell r="H986" t="str">
            <v>PRD</v>
          </cell>
          <cell r="I986" t="str">
            <v>PRD</v>
          </cell>
          <cell r="J986" t="str">
            <v>SUZUKI WAGON R</v>
          </cell>
          <cell r="K986" t="str">
            <v>SUZUKI YW0</v>
          </cell>
          <cell r="L986" t="str">
            <v>CV 1</v>
          </cell>
          <cell r="M986" t="str">
            <v>S/T 1.1</v>
          </cell>
          <cell r="N986" t="str">
            <v>ASSEMBLY</v>
          </cell>
          <cell r="O986" t="str">
            <v>A</v>
          </cell>
        </row>
        <row r="987">
          <cell r="A987">
            <v>22194</v>
          </cell>
          <cell r="B987" t="str">
            <v>PINGKI FACHRIYANI</v>
          </cell>
          <cell r="C987" t="str">
            <v>SAMI</v>
          </cell>
          <cell r="D987" t="str">
            <v>OPT-550</v>
          </cell>
          <cell r="E987">
            <v>43158</v>
          </cell>
          <cell r="F987">
            <v>43186</v>
          </cell>
          <cell r="G987">
            <v>43555</v>
          </cell>
          <cell r="H987" t="str">
            <v>PRD</v>
          </cell>
          <cell r="I987" t="str">
            <v>PRD</v>
          </cell>
          <cell r="J987" t="str">
            <v>SUZUKI WAGON R</v>
          </cell>
          <cell r="K987" t="str">
            <v>SUZUKI YW0</v>
          </cell>
          <cell r="L987" t="str">
            <v>CV 1</v>
          </cell>
          <cell r="M987" t="str">
            <v>S/T 3.1</v>
          </cell>
          <cell r="N987" t="str">
            <v>ASSEMBLY</v>
          </cell>
          <cell r="O987" t="str">
            <v>A</v>
          </cell>
        </row>
        <row r="988">
          <cell r="A988">
            <v>22291</v>
          </cell>
          <cell r="B988" t="str">
            <v>HILMI ICHWANUDDIN</v>
          </cell>
          <cell r="C988" t="str">
            <v>SAMI</v>
          </cell>
          <cell r="D988" t="str">
            <v>OPT-555</v>
          </cell>
          <cell r="E988">
            <v>43192</v>
          </cell>
          <cell r="F988">
            <v>43222</v>
          </cell>
          <cell r="G988">
            <v>43585</v>
          </cell>
          <cell r="H988" t="str">
            <v>PRD</v>
          </cell>
          <cell r="I988" t="str">
            <v>PRD</v>
          </cell>
          <cell r="J988" t="str">
            <v>SUZUKI WAGON R</v>
          </cell>
          <cell r="K988" t="str">
            <v>SUZUKI YW0</v>
          </cell>
          <cell r="L988" t="str">
            <v>CV 1</v>
          </cell>
          <cell r="M988" t="str">
            <v>EXPANDER GROMMET</v>
          </cell>
          <cell r="N988" t="str">
            <v>FINISHING &amp; GROMMET INJECTION</v>
          </cell>
          <cell r="O988" t="str">
            <v>A</v>
          </cell>
        </row>
        <row r="989">
          <cell r="A989">
            <v>22359</v>
          </cell>
          <cell r="B989" t="str">
            <v>YUNITA IRANI</v>
          </cell>
          <cell r="C989" t="str">
            <v>SAMI</v>
          </cell>
          <cell r="D989" t="str">
            <v>OPT-556</v>
          </cell>
          <cell r="E989">
            <v>43195</v>
          </cell>
          <cell r="F989">
            <v>43225</v>
          </cell>
          <cell r="G989">
            <v>43585</v>
          </cell>
          <cell r="H989" t="str">
            <v>PRD</v>
          </cell>
          <cell r="I989" t="str">
            <v>PRD</v>
          </cell>
          <cell r="J989" t="str">
            <v>SUZUKI WAGON R</v>
          </cell>
          <cell r="K989" t="str">
            <v>SUZUKI YW0</v>
          </cell>
          <cell r="L989" t="str">
            <v>CV 1</v>
          </cell>
          <cell r="M989" t="str">
            <v>S/A 5</v>
          </cell>
          <cell r="N989" t="str">
            <v>SUB ASSY</v>
          </cell>
          <cell r="O989" t="str">
            <v>A</v>
          </cell>
        </row>
        <row r="990">
          <cell r="A990">
            <v>22420</v>
          </cell>
          <cell r="B990" t="str">
            <v>SHOLEKHATUL FARIKAH</v>
          </cell>
          <cell r="C990" t="str">
            <v>SAMI</v>
          </cell>
          <cell r="D990" t="str">
            <v>OPT-558</v>
          </cell>
          <cell r="E990">
            <v>43213</v>
          </cell>
          <cell r="F990">
            <v>43243</v>
          </cell>
          <cell r="G990">
            <v>43616</v>
          </cell>
          <cell r="H990" t="str">
            <v>PRD</v>
          </cell>
          <cell r="I990" t="str">
            <v>PRD</v>
          </cell>
          <cell r="J990" t="str">
            <v>SUZUKI WAGON R</v>
          </cell>
          <cell r="K990" t="str">
            <v>SUZUKI YW0</v>
          </cell>
          <cell r="L990" t="str">
            <v>CV 1</v>
          </cell>
          <cell r="M990" t="str">
            <v>T/P 3.2</v>
          </cell>
          <cell r="N990" t="str">
            <v>ASSEMBLY</v>
          </cell>
          <cell r="O990" t="str">
            <v>A</v>
          </cell>
        </row>
        <row r="991">
          <cell r="A991">
            <v>22517</v>
          </cell>
          <cell r="B991" t="str">
            <v>ARINDA AMBAR IRIYANTI</v>
          </cell>
          <cell r="C991" t="str">
            <v>SAMI</v>
          </cell>
          <cell r="D991" t="str">
            <v>OPT-560</v>
          </cell>
          <cell r="E991">
            <v>43224</v>
          </cell>
          <cell r="F991">
            <v>43255</v>
          </cell>
          <cell r="G991">
            <v>43616</v>
          </cell>
          <cell r="H991" t="str">
            <v>PRD</v>
          </cell>
          <cell r="I991" t="str">
            <v>PRD</v>
          </cell>
          <cell r="J991" t="str">
            <v>SUZUKI WAGON R</v>
          </cell>
          <cell r="K991" t="str">
            <v>SUZUKI YW0</v>
          </cell>
          <cell r="L991" t="str">
            <v>CV 1</v>
          </cell>
          <cell r="M991" t="str">
            <v>S/T 3.2</v>
          </cell>
          <cell r="N991" t="str">
            <v>ASSEMBLY</v>
          </cell>
          <cell r="O991" t="str">
            <v>A</v>
          </cell>
        </row>
        <row r="992">
          <cell r="A992">
            <v>22526</v>
          </cell>
          <cell r="B992" t="str">
            <v>DINDA RISMA SUCITRA</v>
          </cell>
          <cell r="C992" t="str">
            <v>SAMI</v>
          </cell>
          <cell r="D992" t="str">
            <v>OPT-560</v>
          </cell>
          <cell r="E992">
            <v>43224</v>
          </cell>
          <cell r="F992">
            <v>43255</v>
          </cell>
          <cell r="G992">
            <v>43616</v>
          </cell>
          <cell r="H992" t="str">
            <v>PRD</v>
          </cell>
          <cell r="I992" t="str">
            <v>PRD</v>
          </cell>
          <cell r="J992" t="str">
            <v>SUZUKI WAGON R</v>
          </cell>
          <cell r="K992" t="str">
            <v>SUZUKI YW0</v>
          </cell>
          <cell r="L992" t="str">
            <v>CV 1</v>
          </cell>
          <cell r="M992" t="str">
            <v>CIRCUIT SUPPIER 02</v>
          </cell>
          <cell r="N992" t="str">
            <v>CIRCUIT SUPPLY</v>
          </cell>
          <cell r="O992" t="str">
            <v>A</v>
          </cell>
        </row>
        <row r="993">
          <cell r="A993">
            <v>22535</v>
          </cell>
          <cell r="B993" t="str">
            <v>INTAN GAYATRI</v>
          </cell>
          <cell r="C993" t="str">
            <v>SAMI</v>
          </cell>
          <cell r="D993" t="str">
            <v>OPT-560</v>
          </cell>
          <cell r="E993">
            <v>43224</v>
          </cell>
          <cell r="F993">
            <v>43255</v>
          </cell>
          <cell r="G993">
            <v>43616</v>
          </cell>
          <cell r="H993" t="str">
            <v>PRD</v>
          </cell>
          <cell r="I993" t="str">
            <v>PRD</v>
          </cell>
          <cell r="J993" t="str">
            <v>SUZUKI WAGON R</v>
          </cell>
          <cell r="K993" t="str">
            <v>SUZUKI YW0</v>
          </cell>
          <cell r="L993" t="str">
            <v>CV 1</v>
          </cell>
          <cell r="M993" t="str">
            <v>TPO</v>
          </cell>
          <cell r="N993" t="str">
            <v>VISUAL INSPECTION</v>
          </cell>
          <cell r="O993" t="str">
            <v>A</v>
          </cell>
        </row>
        <row r="994">
          <cell r="A994">
            <v>22601</v>
          </cell>
          <cell r="B994" t="str">
            <v>INDRIYANI</v>
          </cell>
          <cell r="C994" t="str">
            <v>SAMI</v>
          </cell>
          <cell r="D994" t="str">
            <v>OPT-561</v>
          </cell>
          <cell r="E994">
            <v>43236</v>
          </cell>
          <cell r="F994">
            <v>43267</v>
          </cell>
          <cell r="G994">
            <v>43646</v>
          </cell>
          <cell r="H994" t="str">
            <v>PRD</v>
          </cell>
          <cell r="I994" t="str">
            <v>PRD</v>
          </cell>
          <cell r="J994" t="str">
            <v>SUZUKI WAGON R</v>
          </cell>
          <cell r="K994" t="str">
            <v>SUZUKI YW0</v>
          </cell>
          <cell r="L994" t="str">
            <v>CV 1</v>
          </cell>
          <cell r="M994" t="str">
            <v>T/ P 2.2</v>
          </cell>
          <cell r="N994" t="str">
            <v>ASSEMBLY</v>
          </cell>
          <cell r="O994" t="str">
            <v>A</v>
          </cell>
        </row>
        <row r="995">
          <cell r="A995">
            <v>22612</v>
          </cell>
          <cell r="B995" t="str">
            <v>MIMI NURFAMI</v>
          </cell>
          <cell r="C995" t="str">
            <v>SAMI</v>
          </cell>
          <cell r="D995" t="str">
            <v>OPT-561</v>
          </cell>
          <cell r="E995">
            <v>43236</v>
          </cell>
          <cell r="F995">
            <v>43267</v>
          </cell>
          <cell r="G995">
            <v>43646</v>
          </cell>
          <cell r="H995" t="str">
            <v>PRD</v>
          </cell>
          <cell r="I995" t="str">
            <v>PRD</v>
          </cell>
          <cell r="J995" t="str">
            <v>SUZUKI WAGON R</v>
          </cell>
          <cell r="K995" t="str">
            <v>SUZUKI YW0</v>
          </cell>
          <cell r="L995" t="str">
            <v>CV 1</v>
          </cell>
          <cell r="M995" t="str">
            <v>S/T 4.1</v>
          </cell>
          <cell r="N995" t="str">
            <v>ASSEMBLY</v>
          </cell>
          <cell r="O995" t="str">
            <v>A</v>
          </cell>
        </row>
        <row r="996">
          <cell r="A996">
            <v>22631</v>
          </cell>
          <cell r="B996" t="str">
            <v>SUPARTININGSIH</v>
          </cell>
          <cell r="C996" t="str">
            <v>SAMI</v>
          </cell>
          <cell r="D996" t="str">
            <v>OPT-561</v>
          </cell>
          <cell r="E996">
            <v>43236</v>
          </cell>
          <cell r="F996">
            <v>43267</v>
          </cell>
          <cell r="G996">
            <v>43646</v>
          </cell>
          <cell r="H996" t="str">
            <v>PRD</v>
          </cell>
          <cell r="I996" t="str">
            <v>PRD</v>
          </cell>
          <cell r="J996" t="str">
            <v>SUZUKI WAGON R</v>
          </cell>
          <cell r="K996" t="str">
            <v>SUZUKI YW0</v>
          </cell>
          <cell r="L996" t="str">
            <v>CV 1</v>
          </cell>
          <cell r="M996" t="str">
            <v>T/P 5.2</v>
          </cell>
          <cell r="N996" t="str">
            <v>ASSEMBLY</v>
          </cell>
          <cell r="O996" t="str">
            <v>A</v>
          </cell>
        </row>
        <row r="997">
          <cell r="A997">
            <v>22656</v>
          </cell>
          <cell r="B997" t="str">
            <v>IKA MAYDA ARIYANI</v>
          </cell>
          <cell r="C997" t="str">
            <v>SAMI</v>
          </cell>
          <cell r="D997" t="str">
            <v>OPT-562</v>
          </cell>
          <cell r="E997">
            <v>43241</v>
          </cell>
          <cell r="F997">
            <v>43272</v>
          </cell>
          <cell r="G997">
            <v>43646</v>
          </cell>
          <cell r="H997" t="str">
            <v>PRD</v>
          </cell>
          <cell r="I997" t="str">
            <v>PRD</v>
          </cell>
          <cell r="J997" t="str">
            <v>SUZUKI WAGON R</v>
          </cell>
          <cell r="K997" t="str">
            <v>SUZUKI YW0</v>
          </cell>
          <cell r="L997" t="str">
            <v>CV 1</v>
          </cell>
          <cell r="M997" t="str">
            <v>S/A 9</v>
          </cell>
          <cell r="N997" t="str">
            <v>SUB ASSY</v>
          </cell>
          <cell r="O997" t="str">
            <v>A</v>
          </cell>
        </row>
        <row r="998">
          <cell r="A998">
            <v>22691</v>
          </cell>
          <cell r="B998" t="str">
            <v>AULIA RIZKI AMALIAH</v>
          </cell>
          <cell r="C998" t="str">
            <v>SAMI</v>
          </cell>
          <cell r="D998" t="str">
            <v>OPT-563</v>
          </cell>
          <cell r="E998">
            <v>43244</v>
          </cell>
          <cell r="F998">
            <v>43275</v>
          </cell>
          <cell r="G998">
            <v>43646</v>
          </cell>
          <cell r="H998" t="str">
            <v>PRD</v>
          </cell>
          <cell r="I998" t="str">
            <v>PRD</v>
          </cell>
          <cell r="J998" t="str">
            <v>SUZUKI WAGON R</v>
          </cell>
          <cell r="K998" t="str">
            <v>SUZUKI YW0</v>
          </cell>
          <cell r="L998" t="str">
            <v>CV 1</v>
          </cell>
          <cell r="M998" t="str">
            <v>SHIAGE</v>
          </cell>
          <cell r="N998" t="str">
            <v>ASSEMBLY</v>
          </cell>
          <cell r="O998" t="str">
            <v>A</v>
          </cell>
        </row>
        <row r="999">
          <cell r="A999">
            <v>22711</v>
          </cell>
          <cell r="B999" t="str">
            <v>PUTRINITA SEKAR YANTI</v>
          </cell>
          <cell r="C999" t="str">
            <v>SAMI</v>
          </cell>
          <cell r="D999" t="str">
            <v>OPT-563</v>
          </cell>
          <cell r="E999">
            <v>43244</v>
          </cell>
          <cell r="F999">
            <v>43275</v>
          </cell>
          <cell r="G999">
            <v>43646</v>
          </cell>
          <cell r="H999" t="str">
            <v>PRD</v>
          </cell>
          <cell r="I999" t="str">
            <v>PRD</v>
          </cell>
          <cell r="J999" t="str">
            <v>SUZUKI WAGON R</v>
          </cell>
          <cell r="K999" t="str">
            <v>SUZUKI YW0</v>
          </cell>
          <cell r="L999" t="str">
            <v>CV 1</v>
          </cell>
          <cell r="M999" t="str">
            <v>OJT T/P 2.1</v>
          </cell>
          <cell r="N999" t="str">
            <v>INTERNAL TRIAL</v>
          </cell>
          <cell r="O999" t="str">
            <v>A</v>
          </cell>
        </row>
        <row r="1000">
          <cell r="A1000">
            <v>22731</v>
          </cell>
          <cell r="B1000" t="str">
            <v>DYAH PUTRI LESTARI</v>
          </cell>
          <cell r="C1000" t="str">
            <v>SAMI</v>
          </cell>
          <cell r="D1000" t="str">
            <v>OPT-564</v>
          </cell>
          <cell r="E1000">
            <v>43255</v>
          </cell>
          <cell r="F1000">
            <v>43285</v>
          </cell>
          <cell r="G1000">
            <v>43646</v>
          </cell>
          <cell r="H1000" t="str">
            <v>PRD</v>
          </cell>
          <cell r="I1000" t="str">
            <v>PRD</v>
          </cell>
          <cell r="J1000" t="str">
            <v>SUZUKI WAGON R</v>
          </cell>
          <cell r="K1000" t="str">
            <v>SUZUKI YW0</v>
          </cell>
          <cell r="L1000" t="str">
            <v>CV 1</v>
          </cell>
          <cell r="M1000" t="str">
            <v>CHECKER ARUS X1</v>
          </cell>
          <cell r="N1000" t="str">
            <v>ELECTRICAL INSPECTION</v>
          </cell>
          <cell r="O1000" t="str">
            <v>A</v>
          </cell>
        </row>
        <row r="1001">
          <cell r="A1001">
            <v>22744</v>
          </cell>
          <cell r="B1001" t="str">
            <v>LYDIA NATALIA</v>
          </cell>
          <cell r="C1001" t="str">
            <v>SAMI</v>
          </cell>
          <cell r="D1001" t="str">
            <v>OPT-564</v>
          </cell>
          <cell r="E1001">
            <v>43255</v>
          </cell>
          <cell r="F1001">
            <v>43285</v>
          </cell>
          <cell r="G1001">
            <v>43646</v>
          </cell>
          <cell r="H1001" t="str">
            <v>PRD</v>
          </cell>
          <cell r="I1001" t="str">
            <v>PRD</v>
          </cell>
          <cell r="J1001" t="str">
            <v>SUZUKI WAGON R</v>
          </cell>
          <cell r="K1001" t="str">
            <v>SUZUKI YW0</v>
          </cell>
          <cell r="L1001" t="str">
            <v>CV 1</v>
          </cell>
          <cell r="M1001" t="str">
            <v>OJT CHECKER ARUS 2</v>
          </cell>
          <cell r="N1001" t="str">
            <v>INTERNAL TRIAL</v>
          </cell>
          <cell r="O1001" t="str">
            <v>A</v>
          </cell>
        </row>
        <row r="1002">
          <cell r="A1002">
            <v>22757</v>
          </cell>
          <cell r="B1002" t="str">
            <v>RISMA ARDIANA</v>
          </cell>
          <cell r="C1002" t="str">
            <v>SAMI</v>
          </cell>
          <cell r="D1002" t="str">
            <v>OPT-564</v>
          </cell>
          <cell r="E1002">
            <v>43255</v>
          </cell>
          <cell r="F1002">
            <v>43285</v>
          </cell>
          <cell r="G1002">
            <v>43646</v>
          </cell>
          <cell r="H1002" t="str">
            <v>PRD</v>
          </cell>
          <cell r="I1002" t="str">
            <v>PRD</v>
          </cell>
          <cell r="J1002" t="str">
            <v>SUZUKI WAGON R</v>
          </cell>
          <cell r="K1002" t="str">
            <v>SUZUKI YW0</v>
          </cell>
          <cell r="L1002" t="str">
            <v>CV 1</v>
          </cell>
          <cell r="M1002" t="str">
            <v>INSERTION GROUP</v>
          </cell>
          <cell r="N1002" t="str">
            <v>SUB ASSY</v>
          </cell>
          <cell r="O1002" t="str">
            <v>A</v>
          </cell>
        </row>
        <row r="1003">
          <cell r="A1003">
            <v>22894</v>
          </cell>
          <cell r="B1003" t="str">
            <v>SRI RONDASIH</v>
          </cell>
          <cell r="C1003" t="str">
            <v>SAMI</v>
          </cell>
          <cell r="D1003" t="str">
            <v>OPT-567</v>
          </cell>
          <cell r="E1003">
            <v>43333</v>
          </cell>
          <cell r="F1003">
            <v>43364</v>
          </cell>
          <cell r="G1003">
            <v>43738</v>
          </cell>
          <cell r="H1003" t="str">
            <v>PRD</v>
          </cell>
          <cell r="I1003" t="str">
            <v>PRD</v>
          </cell>
          <cell r="J1003" t="str">
            <v>SUZUKI WAGON R</v>
          </cell>
          <cell r="K1003" t="str">
            <v>SUZUKI YW0</v>
          </cell>
          <cell r="L1003" t="str">
            <v>CV 1</v>
          </cell>
          <cell r="M1003" t="str">
            <v>S/T 1.2</v>
          </cell>
          <cell r="N1003" t="str">
            <v>ASSEMBLY</v>
          </cell>
          <cell r="O1003" t="str">
            <v>A</v>
          </cell>
        </row>
        <row r="1004">
          <cell r="A1004">
            <v>23053</v>
          </cell>
          <cell r="B1004" t="str">
            <v>NIA RAHAYUNINGSIH</v>
          </cell>
          <cell r="C1004" t="str">
            <v>SAMI</v>
          </cell>
          <cell r="D1004" t="str">
            <v>OPT-569</v>
          </cell>
          <cell r="E1004">
            <v>43361</v>
          </cell>
          <cell r="F1004">
            <v>43391</v>
          </cell>
          <cell r="G1004">
            <v>43769</v>
          </cell>
          <cell r="H1004" t="str">
            <v>PRD</v>
          </cell>
          <cell r="I1004" t="str">
            <v>PRD</v>
          </cell>
          <cell r="J1004" t="str">
            <v>SUZUKI WAGON R</v>
          </cell>
          <cell r="K1004" t="str">
            <v>SUZUKI YW0</v>
          </cell>
          <cell r="L1004" t="str">
            <v>CV 1</v>
          </cell>
          <cell r="M1004" t="str">
            <v>CHECKER CLIP</v>
          </cell>
          <cell r="N1004" t="str">
            <v>ELECTRICAL INSPECTION</v>
          </cell>
          <cell r="O1004" t="str">
            <v>A</v>
          </cell>
        </row>
        <row r="1005">
          <cell r="A1005">
            <v>23292</v>
          </cell>
          <cell r="B1005" t="str">
            <v>AKHYA MUNNA</v>
          </cell>
          <cell r="C1005" t="str">
            <v>SAMI</v>
          </cell>
          <cell r="D1005" t="str">
            <v>OPT-574</v>
          </cell>
          <cell r="E1005">
            <v>43427</v>
          </cell>
          <cell r="F1005">
            <v>43457</v>
          </cell>
          <cell r="G1005">
            <v>43830</v>
          </cell>
          <cell r="H1005" t="str">
            <v>PRD</v>
          </cell>
          <cell r="I1005" t="str">
            <v>PRD</v>
          </cell>
          <cell r="J1005" t="str">
            <v>SUZUKI WAGON R</v>
          </cell>
          <cell r="K1005" t="str">
            <v>SUZUKI YW0</v>
          </cell>
          <cell r="L1005" t="str">
            <v>CV 1</v>
          </cell>
          <cell r="M1005" t="str">
            <v xml:space="preserve">OJT S/A 1 </v>
          </cell>
          <cell r="N1005" t="str">
            <v>INTERNAL TRIAL</v>
          </cell>
          <cell r="O1005" t="str">
            <v>A</v>
          </cell>
        </row>
        <row r="1006">
          <cell r="A1006">
            <v>23357</v>
          </cell>
          <cell r="B1006" t="str">
            <v>SEPTYA LARASATI</v>
          </cell>
          <cell r="C1006" t="str">
            <v>SAMI</v>
          </cell>
          <cell r="D1006" t="str">
            <v>OPT-574</v>
          </cell>
          <cell r="E1006">
            <v>43427</v>
          </cell>
          <cell r="F1006">
            <v>43457</v>
          </cell>
          <cell r="G1006">
            <v>43830</v>
          </cell>
          <cell r="H1006" t="str">
            <v>PRD</v>
          </cell>
          <cell r="I1006" t="str">
            <v>PRD</v>
          </cell>
          <cell r="J1006" t="str">
            <v>SUZUKI WAGON R</v>
          </cell>
          <cell r="K1006" t="str">
            <v>SUZUKI YW0</v>
          </cell>
          <cell r="L1006" t="str">
            <v>CV 1</v>
          </cell>
          <cell r="M1006" t="str">
            <v>OJT CIRCUIT SUPPLIER 01</v>
          </cell>
          <cell r="N1006" t="str">
            <v>INTERNAL TRIAL</v>
          </cell>
          <cell r="O1006" t="str">
            <v>A</v>
          </cell>
        </row>
        <row r="1007">
          <cell r="A1007">
            <v>23380</v>
          </cell>
          <cell r="B1007" t="str">
            <v>WAHYU BUDI ASTUTI</v>
          </cell>
          <cell r="C1007" t="str">
            <v>SAMI</v>
          </cell>
          <cell r="D1007" t="str">
            <v>OPT-574</v>
          </cell>
          <cell r="E1007">
            <v>43427</v>
          </cell>
          <cell r="F1007">
            <v>43457</v>
          </cell>
          <cell r="G1007">
            <v>43830</v>
          </cell>
          <cell r="H1007" t="str">
            <v>PRD</v>
          </cell>
          <cell r="I1007" t="str">
            <v>PRD</v>
          </cell>
          <cell r="J1007" t="str">
            <v>SUZUKI WAGON R</v>
          </cell>
          <cell r="K1007" t="str">
            <v>SUZUKI YW0</v>
          </cell>
          <cell r="L1007" t="str">
            <v>CV 1</v>
          </cell>
          <cell r="M1007" t="str">
            <v>OJT S/A 2</v>
          </cell>
          <cell r="N1007" t="str">
            <v>INTERNAL TRIAL</v>
          </cell>
          <cell r="O1007" t="str">
            <v>A</v>
          </cell>
        </row>
        <row r="1008">
          <cell r="A1008">
            <v>23416</v>
          </cell>
          <cell r="B1008" t="str">
            <v>FITRI NUR AISYAH</v>
          </cell>
          <cell r="C1008" t="str">
            <v>SAMI</v>
          </cell>
          <cell r="D1008" t="str">
            <v>OPT-575</v>
          </cell>
          <cell r="E1008">
            <v>43434</v>
          </cell>
          <cell r="F1008">
            <v>43464</v>
          </cell>
          <cell r="G1008">
            <v>43830</v>
          </cell>
          <cell r="H1008" t="str">
            <v>PRD</v>
          </cell>
          <cell r="I1008" t="str">
            <v>PRD</v>
          </cell>
          <cell r="J1008" t="str">
            <v>SUZUKI HUSTLER</v>
          </cell>
          <cell r="K1008" t="str">
            <v>SUZUKI Y0C</v>
          </cell>
          <cell r="L1008" t="str">
            <v>CV 1</v>
          </cell>
          <cell r="M1008" t="str">
            <v>MATERIAL SUPPLY</v>
          </cell>
          <cell r="N1008" t="str">
            <v>MATERIAL SUPPLY</v>
          </cell>
          <cell r="O1008" t="str">
            <v>A</v>
          </cell>
        </row>
        <row r="1009">
          <cell r="A1009">
            <v>23505</v>
          </cell>
          <cell r="B1009" t="str">
            <v>INDAH YULIANTI</v>
          </cell>
          <cell r="C1009" t="str">
            <v>SAMI</v>
          </cell>
          <cell r="D1009" t="str">
            <v>OPT-576</v>
          </cell>
          <cell r="E1009">
            <v>43441</v>
          </cell>
          <cell r="F1009">
            <v>43472</v>
          </cell>
          <cell r="G1009">
            <v>43830</v>
          </cell>
          <cell r="H1009" t="str">
            <v>PRD</v>
          </cell>
          <cell r="I1009" t="str">
            <v>PRD</v>
          </cell>
          <cell r="J1009" t="str">
            <v>SUZUKI WAGON R</v>
          </cell>
          <cell r="K1009" t="str">
            <v>SUZUKI YW0</v>
          </cell>
          <cell r="L1009" t="str">
            <v>CV 1</v>
          </cell>
          <cell r="M1009" t="str">
            <v>OJT S/T 4.3</v>
          </cell>
          <cell r="N1009" t="str">
            <v>INTERNAL TRIAL</v>
          </cell>
          <cell r="O1009" t="str">
            <v>A</v>
          </cell>
        </row>
        <row r="1010">
          <cell r="A1010">
            <v>23559</v>
          </cell>
          <cell r="B1010" t="str">
            <v>ISOBAH FATICHA AL'ARIEF</v>
          </cell>
          <cell r="C1010" t="str">
            <v>SAMI</v>
          </cell>
          <cell r="D1010" t="str">
            <v>OPT-577</v>
          </cell>
          <cell r="E1010">
            <v>43452</v>
          </cell>
          <cell r="F1010">
            <v>43483</v>
          </cell>
          <cell r="G1010">
            <v>43861</v>
          </cell>
          <cell r="H1010" t="str">
            <v>PRD</v>
          </cell>
          <cell r="I1010" t="str">
            <v>PRD</v>
          </cell>
          <cell r="J1010" t="str">
            <v>SUZUKI WAGON R</v>
          </cell>
          <cell r="K1010" t="str">
            <v>SUZUKI YW0</v>
          </cell>
          <cell r="L1010" t="str">
            <v>CV 1</v>
          </cell>
          <cell r="M1010" t="str">
            <v>OJT S/A 8</v>
          </cell>
          <cell r="N1010" t="str">
            <v>INTERNAL TRIAL</v>
          </cell>
          <cell r="O1010" t="str">
            <v>A</v>
          </cell>
        </row>
        <row r="1011">
          <cell r="A1011">
            <v>4651</v>
          </cell>
          <cell r="B1011" t="str">
            <v>SRI SULASMI</v>
          </cell>
          <cell r="C1011" t="str">
            <v>SAMI</v>
          </cell>
          <cell r="D1011" t="str">
            <v>OPT-115</v>
          </cell>
          <cell r="E1011">
            <v>38901</v>
          </cell>
          <cell r="F1011" t="str">
            <v>-</v>
          </cell>
          <cell r="G1011" t="str">
            <v>-</v>
          </cell>
          <cell r="H1011" t="str">
            <v>PRD</v>
          </cell>
          <cell r="I1011" t="str">
            <v>PRD</v>
          </cell>
          <cell r="J1011" t="str">
            <v>SUZUKI WAGON R</v>
          </cell>
          <cell r="K1011" t="str">
            <v>SUZUKI YW0</v>
          </cell>
          <cell r="L1011" t="str">
            <v>CV 1</v>
          </cell>
          <cell r="M1011" t="str">
            <v>LQC</v>
          </cell>
          <cell r="N1011" t="str">
            <v>RELIEF</v>
          </cell>
          <cell r="O1011" t="str">
            <v>B</v>
          </cell>
        </row>
        <row r="1012">
          <cell r="A1012">
            <v>9591</v>
          </cell>
          <cell r="B1012" t="str">
            <v>EFA YUNI SETIANI</v>
          </cell>
          <cell r="C1012" t="str">
            <v>SAMI</v>
          </cell>
          <cell r="D1012" t="str">
            <v>OPT-218</v>
          </cell>
          <cell r="E1012">
            <v>40179</v>
          </cell>
          <cell r="F1012" t="str">
            <v>-</v>
          </cell>
          <cell r="G1012" t="str">
            <v>-</v>
          </cell>
          <cell r="H1012" t="str">
            <v>PRD</v>
          </cell>
          <cell r="I1012" t="str">
            <v>PRD</v>
          </cell>
          <cell r="J1012" t="str">
            <v>SUZUKI WAGON R</v>
          </cell>
          <cell r="K1012" t="str">
            <v>SUZUKI YW0</v>
          </cell>
          <cell r="L1012" t="str">
            <v>CV 1</v>
          </cell>
          <cell r="M1012" t="str">
            <v>T/P 3.2</v>
          </cell>
          <cell r="N1012" t="str">
            <v>ASSEMBLY</v>
          </cell>
          <cell r="O1012" t="str">
            <v>B</v>
          </cell>
        </row>
        <row r="1013">
          <cell r="A1013">
            <v>10361</v>
          </cell>
          <cell r="B1013" t="str">
            <v>DARMINI</v>
          </cell>
          <cell r="C1013" t="str">
            <v>SAMI</v>
          </cell>
          <cell r="D1013" t="str">
            <v>OPT-267</v>
          </cell>
          <cell r="E1013">
            <v>40513</v>
          </cell>
          <cell r="F1013" t="str">
            <v>-</v>
          </cell>
          <cell r="G1013" t="str">
            <v>-</v>
          </cell>
          <cell r="H1013" t="str">
            <v>PRD</v>
          </cell>
          <cell r="I1013" t="str">
            <v>PRD</v>
          </cell>
          <cell r="J1013" t="str">
            <v>SUZUKI WAGON R</v>
          </cell>
          <cell r="K1013" t="str">
            <v>SUZUKI YW0</v>
          </cell>
          <cell r="L1013" t="str">
            <v>CV 1</v>
          </cell>
          <cell r="M1013" t="str">
            <v>SUB LINE CHO</v>
          </cell>
          <cell r="N1013" t="str">
            <v>GL</v>
          </cell>
          <cell r="O1013" t="str">
            <v>B</v>
          </cell>
        </row>
        <row r="1014">
          <cell r="A1014">
            <v>11036</v>
          </cell>
          <cell r="B1014" t="str">
            <v>WIWIN ERMIDAH</v>
          </cell>
          <cell r="C1014" t="str">
            <v>SAMI</v>
          </cell>
          <cell r="D1014" t="str">
            <v>OPT-287</v>
          </cell>
          <cell r="E1014">
            <v>40585</v>
          </cell>
          <cell r="F1014" t="str">
            <v>-</v>
          </cell>
          <cell r="G1014" t="str">
            <v>-</v>
          </cell>
          <cell r="H1014" t="str">
            <v>PRD</v>
          </cell>
          <cell r="I1014" t="str">
            <v>PRD</v>
          </cell>
          <cell r="J1014" t="str">
            <v>SUZUKI WAGON R</v>
          </cell>
          <cell r="K1014" t="str">
            <v>SUZUKI YW0</v>
          </cell>
          <cell r="L1014" t="str">
            <v>CV 1</v>
          </cell>
          <cell r="M1014" t="str">
            <v>T/P 1.1</v>
          </cell>
          <cell r="N1014" t="str">
            <v>ASSEMBLY</v>
          </cell>
          <cell r="O1014" t="str">
            <v>B</v>
          </cell>
        </row>
        <row r="1015">
          <cell r="A1015">
            <v>11633</v>
          </cell>
          <cell r="B1015" t="str">
            <v>TIKA MAHARANI</v>
          </cell>
          <cell r="C1015" t="str">
            <v>SAMI</v>
          </cell>
          <cell r="D1015" t="str">
            <v>OPT-307</v>
          </cell>
          <cell r="E1015">
            <v>40707</v>
          </cell>
          <cell r="F1015" t="str">
            <v>-</v>
          </cell>
          <cell r="G1015" t="str">
            <v>-</v>
          </cell>
          <cell r="H1015" t="str">
            <v>PRD</v>
          </cell>
          <cell r="I1015" t="str">
            <v>PRD</v>
          </cell>
          <cell r="J1015" t="str">
            <v>SUZUKI WAGON R</v>
          </cell>
          <cell r="K1015" t="str">
            <v>SUZUKI YW0</v>
          </cell>
          <cell r="L1015" t="str">
            <v>CV 1</v>
          </cell>
          <cell r="M1015" t="str">
            <v>VISUAL 1</v>
          </cell>
          <cell r="N1015" t="str">
            <v>VISUAL INSPECTION</v>
          </cell>
          <cell r="O1015" t="str">
            <v>B</v>
          </cell>
        </row>
        <row r="1016">
          <cell r="A1016">
            <v>11647</v>
          </cell>
          <cell r="B1016" t="str">
            <v>YUNITA APRIYANI</v>
          </cell>
          <cell r="C1016" t="str">
            <v>SAMI</v>
          </cell>
          <cell r="D1016" t="str">
            <v>OPT-307</v>
          </cell>
          <cell r="E1016">
            <v>40707</v>
          </cell>
          <cell r="F1016" t="str">
            <v>-</v>
          </cell>
          <cell r="G1016" t="str">
            <v>-</v>
          </cell>
          <cell r="H1016" t="str">
            <v>PRD</v>
          </cell>
          <cell r="I1016" t="str">
            <v>PRD</v>
          </cell>
          <cell r="J1016" t="str">
            <v>SUZUKI WAGON R</v>
          </cell>
          <cell r="K1016" t="str">
            <v>SUZUKI YW0</v>
          </cell>
          <cell r="L1016" t="str">
            <v>CV 1</v>
          </cell>
          <cell r="M1016" t="str">
            <v>S/A 8</v>
          </cell>
          <cell r="N1016" t="str">
            <v>SUB ASSY</v>
          </cell>
          <cell r="O1016" t="str">
            <v>B</v>
          </cell>
        </row>
        <row r="1017">
          <cell r="A1017">
            <v>12514</v>
          </cell>
          <cell r="B1017" t="str">
            <v>OKTAVIA IKA SUDARWATI</v>
          </cell>
          <cell r="C1017" t="str">
            <v>SAMI</v>
          </cell>
          <cell r="D1017" t="str">
            <v>OPT-318</v>
          </cell>
          <cell r="E1017">
            <v>40812</v>
          </cell>
          <cell r="F1017" t="str">
            <v>-</v>
          </cell>
          <cell r="G1017" t="str">
            <v>-</v>
          </cell>
          <cell r="H1017" t="str">
            <v>PRD</v>
          </cell>
          <cell r="I1017" t="str">
            <v>PRD</v>
          </cell>
          <cell r="J1017" t="str">
            <v>SUZUKI WAGON R</v>
          </cell>
          <cell r="K1017" t="str">
            <v>SUZUKI YW0</v>
          </cell>
          <cell r="L1017" t="str">
            <v>CV 1</v>
          </cell>
          <cell r="M1017" t="str">
            <v>T/P 5.2</v>
          </cell>
          <cell r="N1017" t="str">
            <v>ASSEMBLY</v>
          </cell>
          <cell r="O1017" t="str">
            <v>B</v>
          </cell>
        </row>
        <row r="1018">
          <cell r="A1018">
            <v>12769</v>
          </cell>
          <cell r="B1018" t="str">
            <v>SUSIANA</v>
          </cell>
          <cell r="C1018" t="str">
            <v>SAMI</v>
          </cell>
          <cell r="D1018" t="str">
            <v>OPT-320</v>
          </cell>
          <cell r="E1018">
            <v>40819</v>
          </cell>
          <cell r="F1018" t="str">
            <v>-</v>
          </cell>
          <cell r="G1018" t="str">
            <v>-</v>
          </cell>
          <cell r="H1018" t="str">
            <v>PRD</v>
          </cell>
          <cell r="I1018" t="str">
            <v>PRD</v>
          </cell>
          <cell r="J1018" t="str">
            <v>SUZUKI WAGON R</v>
          </cell>
          <cell r="K1018" t="str">
            <v>SUZUKI YW0</v>
          </cell>
          <cell r="L1018" t="str">
            <v>CV 1</v>
          </cell>
          <cell r="M1018" t="str">
            <v>T/P 5.1</v>
          </cell>
          <cell r="N1018" t="str">
            <v>ASSEMBLY</v>
          </cell>
          <cell r="O1018" t="str">
            <v>B</v>
          </cell>
        </row>
        <row r="1019">
          <cell r="A1019">
            <v>12972</v>
          </cell>
          <cell r="B1019" t="str">
            <v>ERMA SULISTIANINGSIH</v>
          </cell>
          <cell r="C1019" t="str">
            <v>SAMI</v>
          </cell>
          <cell r="D1019" t="str">
            <v>OPT-323</v>
          </cell>
          <cell r="E1019">
            <v>40840</v>
          </cell>
          <cell r="F1019" t="str">
            <v>-</v>
          </cell>
          <cell r="G1019" t="str">
            <v>-</v>
          </cell>
          <cell r="H1019" t="str">
            <v>PRD</v>
          </cell>
          <cell r="I1019" t="str">
            <v>PRD</v>
          </cell>
          <cell r="J1019" t="str">
            <v>SUZUKI WAGON R</v>
          </cell>
          <cell r="K1019" t="str">
            <v>SUZUKI YW0</v>
          </cell>
          <cell r="L1019" t="str">
            <v>CV 1</v>
          </cell>
          <cell r="M1019" t="str">
            <v>T/P 3.1</v>
          </cell>
          <cell r="N1019" t="str">
            <v>ASSEMBLY</v>
          </cell>
          <cell r="O1019" t="str">
            <v>B</v>
          </cell>
        </row>
        <row r="1020">
          <cell r="A1020">
            <v>19661</v>
          </cell>
          <cell r="B1020" t="str">
            <v>NUR FAIZAH</v>
          </cell>
          <cell r="C1020" t="str">
            <v>SAMI</v>
          </cell>
          <cell r="D1020" t="str">
            <v>OPT-490</v>
          </cell>
          <cell r="E1020">
            <v>42475</v>
          </cell>
          <cell r="F1020" t="str">
            <v>-</v>
          </cell>
          <cell r="G1020" t="str">
            <v>-</v>
          </cell>
          <cell r="H1020" t="str">
            <v>PRD</v>
          </cell>
          <cell r="I1020" t="str">
            <v>PRD</v>
          </cell>
          <cell r="J1020" t="str">
            <v>SUZUKI WAGON R</v>
          </cell>
          <cell r="K1020" t="str">
            <v>SUZUKI YW0</v>
          </cell>
          <cell r="L1020" t="str">
            <v>CV 1</v>
          </cell>
          <cell r="M1020" t="str">
            <v>T/P 4.2</v>
          </cell>
          <cell r="N1020" t="str">
            <v>ASSEMBLY</v>
          </cell>
          <cell r="O1020" t="str">
            <v>B</v>
          </cell>
        </row>
        <row r="1021">
          <cell r="A1021">
            <v>19762</v>
          </cell>
          <cell r="B1021" t="str">
            <v>FAIKHATUN NIKMAH</v>
          </cell>
          <cell r="C1021" t="str">
            <v>SAMI</v>
          </cell>
          <cell r="D1021" t="str">
            <v>OPT-492</v>
          </cell>
          <cell r="E1021">
            <v>42499</v>
          </cell>
          <cell r="F1021" t="str">
            <v>-</v>
          </cell>
          <cell r="G1021" t="str">
            <v>-</v>
          </cell>
          <cell r="H1021" t="str">
            <v>PRD</v>
          </cell>
          <cell r="I1021" t="str">
            <v>PRD</v>
          </cell>
          <cell r="J1021" t="str">
            <v>SUZUKI WAGON R</v>
          </cell>
          <cell r="K1021" t="str">
            <v>SUZUKI YW0</v>
          </cell>
          <cell r="L1021" t="str">
            <v>CV 1</v>
          </cell>
          <cell r="M1021" t="str">
            <v>S/T 3.2</v>
          </cell>
          <cell r="N1021" t="str">
            <v>ASSEMBLY</v>
          </cell>
          <cell r="O1021" t="str">
            <v>B</v>
          </cell>
        </row>
        <row r="1022">
          <cell r="A1022">
            <v>20434</v>
          </cell>
          <cell r="B1022" t="str">
            <v>ALIFIKA MUSRIANA</v>
          </cell>
          <cell r="C1022" t="str">
            <v>SAMI</v>
          </cell>
          <cell r="D1022" t="str">
            <v>OPT-504</v>
          </cell>
          <cell r="E1022">
            <v>42634</v>
          </cell>
          <cell r="F1022">
            <v>43132</v>
          </cell>
          <cell r="G1022">
            <v>43496</v>
          </cell>
          <cell r="H1022" t="str">
            <v>PRD</v>
          </cell>
          <cell r="I1022" t="str">
            <v>PRD</v>
          </cell>
          <cell r="J1022" t="str">
            <v>SUZUKI WAGON R</v>
          </cell>
          <cell r="K1022" t="str">
            <v>SUZUKI YW0</v>
          </cell>
          <cell r="L1022" t="str">
            <v>CV 1</v>
          </cell>
          <cell r="M1022" t="str">
            <v>S/A 4</v>
          </cell>
          <cell r="N1022" t="str">
            <v>SUB ASSY</v>
          </cell>
          <cell r="O1022" t="str">
            <v>B</v>
          </cell>
        </row>
        <row r="1023">
          <cell r="A1023">
            <v>20531</v>
          </cell>
          <cell r="B1023" t="str">
            <v>RUJIATI</v>
          </cell>
          <cell r="C1023" t="str">
            <v>SAMI</v>
          </cell>
          <cell r="D1023" t="str">
            <v>OPT-504</v>
          </cell>
          <cell r="E1023">
            <v>42634</v>
          </cell>
          <cell r="F1023">
            <v>43132</v>
          </cell>
          <cell r="G1023">
            <v>43496</v>
          </cell>
          <cell r="H1023" t="str">
            <v>PRD</v>
          </cell>
          <cell r="I1023" t="str">
            <v>PRD</v>
          </cell>
          <cell r="J1023" t="str">
            <v>SUZUKI WAGON R</v>
          </cell>
          <cell r="K1023" t="str">
            <v>SUZUKI YW0</v>
          </cell>
          <cell r="L1023" t="str">
            <v>CV 1</v>
          </cell>
          <cell r="M1023" t="str">
            <v>S/A 9</v>
          </cell>
          <cell r="N1023" t="str">
            <v>SUB ASSY</v>
          </cell>
          <cell r="O1023" t="str">
            <v>B</v>
          </cell>
        </row>
        <row r="1024">
          <cell r="A1024">
            <v>20641</v>
          </cell>
          <cell r="B1024" t="str">
            <v>RIYA YULIANI</v>
          </cell>
          <cell r="C1024" t="str">
            <v>SAMI</v>
          </cell>
          <cell r="D1024" t="str">
            <v>OPT-505</v>
          </cell>
          <cell r="E1024">
            <v>42639</v>
          </cell>
          <cell r="F1024">
            <v>43132</v>
          </cell>
          <cell r="G1024">
            <v>43496</v>
          </cell>
          <cell r="H1024" t="str">
            <v>PRD</v>
          </cell>
          <cell r="I1024" t="str">
            <v>PRD</v>
          </cell>
          <cell r="J1024" t="str">
            <v>SUZUKI WAGON R</v>
          </cell>
          <cell r="K1024" t="str">
            <v>SUZUKI YW0</v>
          </cell>
          <cell r="L1024" t="str">
            <v>CV 1</v>
          </cell>
          <cell r="M1024" t="str">
            <v>S/A 3</v>
          </cell>
          <cell r="N1024" t="str">
            <v>SUB ASSY</v>
          </cell>
          <cell r="O1024" t="str">
            <v>B</v>
          </cell>
        </row>
        <row r="1025">
          <cell r="A1025">
            <v>20654</v>
          </cell>
          <cell r="B1025" t="str">
            <v xml:space="preserve">SINTA RAHMAWATI </v>
          </cell>
          <cell r="C1025" t="str">
            <v>SAMI</v>
          </cell>
          <cell r="D1025" t="str">
            <v>OPT-505</v>
          </cell>
          <cell r="E1025">
            <v>42639</v>
          </cell>
          <cell r="F1025">
            <v>43132</v>
          </cell>
          <cell r="G1025">
            <v>43496</v>
          </cell>
          <cell r="H1025" t="str">
            <v>PRD</v>
          </cell>
          <cell r="I1025" t="str">
            <v>PRD</v>
          </cell>
          <cell r="J1025" t="str">
            <v>SUZUKI WAGON R</v>
          </cell>
          <cell r="K1025" t="str">
            <v>SUZUKI YW0</v>
          </cell>
          <cell r="L1025" t="str">
            <v>CV 1</v>
          </cell>
          <cell r="M1025" t="str">
            <v>S/T 1.2</v>
          </cell>
          <cell r="N1025" t="str">
            <v>ASSEMBLY</v>
          </cell>
          <cell r="O1025" t="str">
            <v>B</v>
          </cell>
        </row>
        <row r="1026">
          <cell r="A1026">
            <v>20695</v>
          </cell>
          <cell r="B1026" t="str">
            <v>AFRIA PRAMESWARI KINASIH</v>
          </cell>
          <cell r="C1026" t="str">
            <v>SAMI</v>
          </cell>
          <cell r="D1026" t="str">
            <v>OPT-506</v>
          </cell>
          <cell r="E1026">
            <v>42642</v>
          </cell>
          <cell r="F1026">
            <v>43132</v>
          </cell>
          <cell r="G1026">
            <v>43496</v>
          </cell>
          <cell r="H1026" t="str">
            <v>PRD</v>
          </cell>
          <cell r="I1026" t="str">
            <v>PRD</v>
          </cell>
          <cell r="J1026" t="str">
            <v>SUZUKI WAGON R</v>
          </cell>
          <cell r="K1026" t="str">
            <v>SUZUKI YW0</v>
          </cell>
          <cell r="L1026" t="str">
            <v>CV 1</v>
          </cell>
          <cell r="M1026" t="str">
            <v>S/A 1</v>
          </cell>
          <cell r="N1026" t="str">
            <v>SUB ASSY</v>
          </cell>
          <cell r="O1026" t="str">
            <v>B</v>
          </cell>
        </row>
        <row r="1027">
          <cell r="A1027">
            <v>20745</v>
          </cell>
          <cell r="B1027" t="str">
            <v>RIZQIYATUL WAHIDAH</v>
          </cell>
          <cell r="C1027" t="str">
            <v>SAMI</v>
          </cell>
          <cell r="D1027" t="str">
            <v>OPT-506</v>
          </cell>
          <cell r="E1027">
            <v>42642</v>
          </cell>
          <cell r="F1027">
            <v>43132</v>
          </cell>
          <cell r="G1027">
            <v>43496</v>
          </cell>
          <cell r="H1027" t="str">
            <v>PRD</v>
          </cell>
          <cell r="I1027" t="str">
            <v>PRD</v>
          </cell>
          <cell r="J1027" t="str">
            <v>SUZUKI WAGON R</v>
          </cell>
          <cell r="K1027" t="str">
            <v>SUZUKI YW0</v>
          </cell>
          <cell r="L1027" t="str">
            <v>CV 1</v>
          </cell>
          <cell r="M1027" t="str">
            <v>T/P 4.1</v>
          </cell>
          <cell r="N1027" t="str">
            <v>ASSEMBLY</v>
          </cell>
          <cell r="O1027" t="str">
            <v>B</v>
          </cell>
        </row>
        <row r="1028">
          <cell r="A1028">
            <v>20761</v>
          </cell>
          <cell r="B1028" t="str">
            <v>SOLIKHAH FITRIYANI</v>
          </cell>
          <cell r="C1028" t="str">
            <v>SAMI</v>
          </cell>
          <cell r="D1028" t="str">
            <v>OPT-506</v>
          </cell>
          <cell r="E1028">
            <v>42642</v>
          </cell>
          <cell r="F1028">
            <v>43132</v>
          </cell>
          <cell r="G1028">
            <v>43496</v>
          </cell>
          <cell r="H1028" t="str">
            <v>PRD</v>
          </cell>
          <cell r="I1028" t="str">
            <v>PRD</v>
          </cell>
          <cell r="J1028" t="str">
            <v>SUZUKI WAGON R</v>
          </cell>
          <cell r="K1028" t="str">
            <v>SUZUKI YW0</v>
          </cell>
          <cell r="L1028" t="str">
            <v>CV 1</v>
          </cell>
          <cell r="M1028" t="str">
            <v>S/A 5</v>
          </cell>
          <cell r="N1028" t="str">
            <v>SUB ASSY</v>
          </cell>
          <cell r="O1028" t="str">
            <v>B</v>
          </cell>
        </row>
        <row r="1029">
          <cell r="A1029">
            <v>20847</v>
          </cell>
          <cell r="B1029" t="str">
            <v>ANI SUSANTI</v>
          </cell>
          <cell r="C1029" t="str">
            <v>SAMI</v>
          </cell>
          <cell r="D1029" t="str">
            <v>OPT-510</v>
          </cell>
          <cell r="E1029">
            <v>42660</v>
          </cell>
          <cell r="F1029">
            <v>43160</v>
          </cell>
          <cell r="G1029">
            <v>43524</v>
          </cell>
          <cell r="H1029" t="str">
            <v>PRD</v>
          </cell>
          <cell r="I1029" t="str">
            <v>PRD</v>
          </cell>
          <cell r="J1029" t="str">
            <v>SUZUKI WAGON R</v>
          </cell>
          <cell r="K1029" t="str">
            <v>SUZUKI YW0</v>
          </cell>
          <cell r="L1029" t="str">
            <v>CV 1</v>
          </cell>
          <cell r="M1029" t="str">
            <v>CHECKER ARUS 1</v>
          </cell>
          <cell r="N1029" t="str">
            <v>ELECTRICAL INSPECTION</v>
          </cell>
          <cell r="O1029" t="str">
            <v>B</v>
          </cell>
        </row>
        <row r="1030">
          <cell r="A1030">
            <v>20964</v>
          </cell>
          <cell r="B1030" t="str">
            <v>USNUL KHOTIMAH</v>
          </cell>
          <cell r="C1030" t="str">
            <v>SAMI</v>
          </cell>
          <cell r="D1030" t="str">
            <v>OPT-511</v>
          </cell>
          <cell r="E1030">
            <v>42667</v>
          </cell>
          <cell r="F1030">
            <v>43160</v>
          </cell>
          <cell r="G1030">
            <v>43524</v>
          </cell>
          <cell r="H1030" t="str">
            <v>PRD</v>
          </cell>
          <cell r="I1030" t="str">
            <v>PRD</v>
          </cell>
          <cell r="J1030" t="str">
            <v>SUZUKI WAGON R</v>
          </cell>
          <cell r="K1030" t="str">
            <v>SUZUKI YW0</v>
          </cell>
          <cell r="L1030" t="str">
            <v>CV 1</v>
          </cell>
          <cell r="M1030" t="str">
            <v>T/P 6</v>
          </cell>
          <cell r="N1030" t="str">
            <v>ASSEMBLY</v>
          </cell>
          <cell r="O1030" t="str">
            <v>B</v>
          </cell>
        </row>
        <row r="1031">
          <cell r="A1031">
            <v>21104</v>
          </cell>
          <cell r="B1031" t="str">
            <v>EVA NURYANI</v>
          </cell>
          <cell r="C1031" t="str">
            <v>SAMI</v>
          </cell>
          <cell r="D1031" t="str">
            <v>OPT-521</v>
          </cell>
          <cell r="E1031">
            <v>42867</v>
          </cell>
          <cell r="F1031">
            <v>43344</v>
          </cell>
          <cell r="G1031">
            <v>43708</v>
          </cell>
          <cell r="H1031" t="str">
            <v>PRD</v>
          </cell>
          <cell r="I1031" t="str">
            <v>PRD</v>
          </cell>
          <cell r="J1031" t="str">
            <v>SUZUKI WAGON R</v>
          </cell>
          <cell r="K1031" t="str">
            <v>SUZUKI YW0</v>
          </cell>
          <cell r="L1031" t="str">
            <v>CV 1</v>
          </cell>
          <cell r="M1031" t="str">
            <v>S/T 2.1</v>
          </cell>
          <cell r="N1031" t="str">
            <v>ASSEMBLY</v>
          </cell>
          <cell r="O1031" t="str">
            <v>B</v>
          </cell>
        </row>
        <row r="1032">
          <cell r="A1032">
            <v>21153</v>
          </cell>
          <cell r="B1032" t="str">
            <v>ESTY WIDYAWATI</v>
          </cell>
          <cell r="C1032" t="str">
            <v>SAMI</v>
          </cell>
          <cell r="D1032" t="str">
            <v>OPT-522</v>
          </cell>
          <cell r="E1032">
            <v>42871</v>
          </cell>
          <cell r="F1032">
            <v>43374</v>
          </cell>
          <cell r="G1032">
            <v>43738</v>
          </cell>
          <cell r="H1032" t="str">
            <v>PRD</v>
          </cell>
          <cell r="I1032" t="str">
            <v>PRD</v>
          </cell>
          <cell r="J1032" t="str">
            <v>SUZUKI WAGON R</v>
          </cell>
          <cell r="K1032" t="str">
            <v>SUZUKI YW0</v>
          </cell>
          <cell r="L1032" t="str">
            <v>CV 1</v>
          </cell>
          <cell r="M1032" t="str">
            <v>S/A 4</v>
          </cell>
          <cell r="N1032" t="str">
            <v>SUB ASSY</v>
          </cell>
          <cell r="O1032" t="str">
            <v>B</v>
          </cell>
        </row>
        <row r="1033">
          <cell r="A1033">
            <v>21366</v>
          </cell>
          <cell r="B1033" t="str">
            <v>SILMA FITRIANA</v>
          </cell>
          <cell r="C1033" t="str">
            <v>SAMI</v>
          </cell>
          <cell r="D1033" t="str">
            <v>OPT-531</v>
          </cell>
          <cell r="E1033">
            <v>43013</v>
          </cell>
          <cell r="F1033">
            <v>43405</v>
          </cell>
          <cell r="G1033">
            <v>43769</v>
          </cell>
          <cell r="H1033" t="str">
            <v>PRD</v>
          </cell>
          <cell r="I1033" t="str">
            <v>PRD</v>
          </cell>
          <cell r="J1033" t="str">
            <v>SUZUKI WAGON R</v>
          </cell>
          <cell r="K1033" t="str">
            <v>SUZUKI YW0</v>
          </cell>
          <cell r="L1033" t="str">
            <v>CV 1</v>
          </cell>
          <cell r="M1033" t="str">
            <v>CIRCUIT SUPPLIER 2</v>
          </cell>
          <cell r="N1033" t="str">
            <v>CIRCUIT SUPPLY</v>
          </cell>
          <cell r="O1033" t="str">
            <v>B</v>
          </cell>
        </row>
        <row r="1034">
          <cell r="A1034">
            <v>21371</v>
          </cell>
          <cell r="B1034" t="str">
            <v>SRI MAWADAH</v>
          </cell>
          <cell r="C1034" t="str">
            <v>SAMI</v>
          </cell>
          <cell r="D1034" t="str">
            <v>OPT-531</v>
          </cell>
          <cell r="E1034">
            <v>43013</v>
          </cell>
          <cell r="F1034">
            <v>43405</v>
          </cell>
          <cell r="G1034">
            <v>43769</v>
          </cell>
          <cell r="H1034" t="str">
            <v>PRD</v>
          </cell>
          <cell r="I1034" t="str">
            <v>PRD</v>
          </cell>
          <cell r="J1034" t="str">
            <v>SUZUKI WAGON R</v>
          </cell>
          <cell r="K1034" t="str">
            <v>SUZUKI YW0</v>
          </cell>
          <cell r="L1034" t="str">
            <v>CV 1</v>
          </cell>
          <cell r="M1034" t="str">
            <v>T/P 1.2</v>
          </cell>
          <cell r="N1034" t="str">
            <v>ASSEMBLY</v>
          </cell>
          <cell r="O1034" t="str">
            <v>B</v>
          </cell>
        </row>
        <row r="1035">
          <cell r="A1035">
            <v>21429</v>
          </cell>
          <cell r="B1035" t="str">
            <v>AYU SAFIRA</v>
          </cell>
          <cell r="C1035" t="str">
            <v>SAMI</v>
          </cell>
          <cell r="D1035" t="str">
            <v>OPT-533</v>
          </cell>
          <cell r="E1035">
            <v>43024</v>
          </cell>
          <cell r="F1035">
            <v>43435</v>
          </cell>
          <cell r="G1035">
            <v>43799</v>
          </cell>
          <cell r="H1035" t="str">
            <v>PRD</v>
          </cell>
          <cell r="I1035" t="str">
            <v>PRD</v>
          </cell>
          <cell r="J1035" t="str">
            <v>SUZUKI WAGON R</v>
          </cell>
          <cell r="K1035" t="str">
            <v>SUZUKI YW0</v>
          </cell>
          <cell r="L1035" t="str">
            <v>CV 1</v>
          </cell>
          <cell r="M1035" t="str">
            <v>OJT S/T 1.2</v>
          </cell>
          <cell r="N1035" t="str">
            <v>INTERNAL TRIAL</v>
          </cell>
          <cell r="O1035" t="str">
            <v>B</v>
          </cell>
        </row>
        <row r="1036">
          <cell r="A1036">
            <v>21466</v>
          </cell>
          <cell r="B1036" t="str">
            <v>SOFIYANI</v>
          </cell>
          <cell r="C1036" t="str">
            <v>SAMI</v>
          </cell>
          <cell r="D1036" t="str">
            <v>OPT-533</v>
          </cell>
          <cell r="E1036">
            <v>43024</v>
          </cell>
          <cell r="F1036">
            <v>43435</v>
          </cell>
          <cell r="G1036">
            <v>43799</v>
          </cell>
          <cell r="H1036" t="str">
            <v>PRD</v>
          </cell>
          <cell r="I1036" t="str">
            <v>PRD</v>
          </cell>
          <cell r="J1036" t="str">
            <v>SUZUKI WAGON R</v>
          </cell>
          <cell r="K1036" t="str">
            <v>SUZUKI YW0</v>
          </cell>
          <cell r="L1036" t="str">
            <v>CV 1</v>
          </cell>
          <cell r="M1036" t="str">
            <v>S/T 2.2</v>
          </cell>
          <cell r="N1036" t="str">
            <v>ASSEMBLY</v>
          </cell>
          <cell r="O1036" t="str">
            <v>B</v>
          </cell>
        </row>
        <row r="1037">
          <cell r="A1037">
            <v>21514</v>
          </cell>
          <cell r="B1037" t="str">
            <v>AMELIA ZUMARNIS</v>
          </cell>
          <cell r="C1037" t="str">
            <v>SAMI</v>
          </cell>
          <cell r="D1037" t="str">
            <v>OPT-535</v>
          </cell>
          <cell r="E1037">
            <v>43045</v>
          </cell>
          <cell r="F1037">
            <v>43435</v>
          </cell>
          <cell r="G1037">
            <v>43799</v>
          </cell>
          <cell r="H1037" t="str">
            <v>PRD</v>
          </cell>
          <cell r="I1037" t="str">
            <v>PRD</v>
          </cell>
          <cell r="J1037" t="str">
            <v>SUZUKI WAGON R</v>
          </cell>
          <cell r="K1037" t="str">
            <v>SUZUKI YW0</v>
          </cell>
          <cell r="L1037" t="str">
            <v>CV 1</v>
          </cell>
          <cell r="M1037" t="str">
            <v>S/T 4.2</v>
          </cell>
          <cell r="N1037" t="str">
            <v>ASSEMBLY</v>
          </cell>
          <cell r="O1037" t="str">
            <v>B</v>
          </cell>
        </row>
        <row r="1038">
          <cell r="A1038">
            <v>21530</v>
          </cell>
          <cell r="B1038" t="str">
            <v>HILMA DIANA</v>
          </cell>
          <cell r="C1038" t="str">
            <v>SAMI</v>
          </cell>
          <cell r="D1038" t="str">
            <v>OPT-535</v>
          </cell>
          <cell r="E1038">
            <v>43045</v>
          </cell>
          <cell r="F1038">
            <v>43435</v>
          </cell>
          <cell r="G1038">
            <v>43799</v>
          </cell>
          <cell r="H1038" t="str">
            <v>PRD</v>
          </cell>
          <cell r="I1038" t="str">
            <v>PRD</v>
          </cell>
          <cell r="J1038" t="str">
            <v>SUZUKI WAGON R</v>
          </cell>
          <cell r="K1038" t="str">
            <v>SUZUKI YW0</v>
          </cell>
          <cell r="L1038" t="str">
            <v>CV 1</v>
          </cell>
          <cell r="M1038" t="str">
            <v>CHECKER CLIP 2</v>
          </cell>
          <cell r="N1038" t="str">
            <v>ELECTRICAL INSPECTION</v>
          </cell>
          <cell r="O1038" t="str">
            <v>B</v>
          </cell>
        </row>
        <row r="1039">
          <cell r="A1039">
            <v>21578</v>
          </cell>
          <cell r="B1039" t="str">
            <v>DEWI SYUKUR ROHMAH</v>
          </cell>
          <cell r="C1039" t="str">
            <v>SAMI</v>
          </cell>
          <cell r="D1039" t="str">
            <v>OPT-536</v>
          </cell>
          <cell r="E1039">
            <v>43048</v>
          </cell>
          <cell r="F1039">
            <v>43435</v>
          </cell>
          <cell r="G1039">
            <v>43799</v>
          </cell>
          <cell r="H1039" t="str">
            <v>PRD</v>
          </cell>
          <cell r="I1039" t="str">
            <v>PRD</v>
          </cell>
          <cell r="J1039" t="str">
            <v>SUZUKI WAGON R</v>
          </cell>
          <cell r="K1039" t="str">
            <v>SUZUKI YW0</v>
          </cell>
          <cell r="L1039" t="str">
            <v>CV 1</v>
          </cell>
          <cell r="M1039" t="str">
            <v>S/A 6</v>
          </cell>
          <cell r="N1039" t="str">
            <v>SUB ASSY</v>
          </cell>
          <cell r="O1039" t="str">
            <v>B</v>
          </cell>
        </row>
        <row r="1040">
          <cell r="A1040">
            <v>21785</v>
          </cell>
          <cell r="B1040" t="str">
            <v>RITA PUSPITANINGTYAS</v>
          </cell>
          <cell r="C1040" t="str">
            <v>SAMI</v>
          </cell>
          <cell r="D1040" t="str">
            <v>OPT-540</v>
          </cell>
          <cell r="E1040">
            <v>43090</v>
          </cell>
          <cell r="F1040">
            <v>43121</v>
          </cell>
          <cell r="G1040">
            <v>43496</v>
          </cell>
          <cell r="H1040" t="str">
            <v>PRD</v>
          </cell>
          <cell r="I1040" t="str">
            <v>PRD</v>
          </cell>
          <cell r="J1040" t="str">
            <v>SUZUKI WAGON R</v>
          </cell>
          <cell r="K1040" t="str">
            <v>SUZUKI YW0</v>
          </cell>
          <cell r="L1040" t="str">
            <v>CV 1</v>
          </cell>
          <cell r="M1040" t="str">
            <v>CHECKER ARUS 3</v>
          </cell>
          <cell r="N1040" t="str">
            <v>ELECTRICAL INSPECTION</v>
          </cell>
          <cell r="O1040" t="str">
            <v>B</v>
          </cell>
        </row>
        <row r="1041">
          <cell r="A1041">
            <v>21842</v>
          </cell>
          <cell r="B1041" t="str">
            <v>NINNA LISTYANA</v>
          </cell>
          <cell r="C1041" t="str">
            <v>SAMI</v>
          </cell>
          <cell r="D1041" t="str">
            <v>OPT-541</v>
          </cell>
          <cell r="E1041">
            <v>43098</v>
          </cell>
          <cell r="F1041">
            <v>43129</v>
          </cell>
          <cell r="G1041">
            <v>43496</v>
          </cell>
          <cell r="H1041" t="str">
            <v>PRD</v>
          </cell>
          <cell r="I1041" t="str">
            <v>PRD</v>
          </cell>
          <cell r="J1041" t="str">
            <v>SUZUKI WAGON R</v>
          </cell>
          <cell r="K1041" t="str">
            <v>SUZUKI YW0</v>
          </cell>
          <cell r="L1041" t="str">
            <v>CV 1</v>
          </cell>
          <cell r="M1041" t="str">
            <v>S/T 3.1</v>
          </cell>
          <cell r="N1041" t="str">
            <v>ASSEMBLY</v>
          </cell>
          <cell r="O1041" t="str">
            <v>B</v>
          </cell>
        </row>
        <row r="1042">
          <cell r="A1042">
            <v>21916</v>
          </cell>
          <cell r="B1042" t="str">
            <v>EVA SARI KURNIAWATI</v>
          </cell>
          <cell r="C1042" t="str">
            <v>SAMI</v>
          </cell>
          <cell r="D1042" t="str">
            <v>OPT-543</v>
          </cell>
          <cell r="E1042">
            <v>43108</v>
          </cell>
          <cell r="F1042">
            <v>43139</v>
          </cell>
          <cell r="G1042">
            <v>43496</v>
          </cell>
          <cell r="H1042" t="str">
            <v>PRD</v>
          </cell>
          <cell r="I1042" t="str">
            <v>PRD</v>
          </cell>
          <cell r="J1042" t="str">
            <v>SUZUKI WAGON R</v>
          </cell>
          <cell r="K1042" t="str">
            <v>SUZUKI YW0</v>
          </cell>
          <cell r="L1042" t="str">
            <v>CV 1</v>
          </cell>
          <cell r="M1042" t="str">
            <v>S/T 1.1</v>
          </cell>
          <cell r="N1042" t="str">
            <v>ASSEMBLY</v>
          </cell>
          <cell r="O1042" t="str">
            <v>B</v>
          </cell>
        </row>
        <row r="1043">
          <cell r="A1043">
            <v>22059</v>
          </cell>
          <cell r="B1043" t="str">
            <v>MOHAMAD ILHAM</v>
          </cell>
          <cell r="C1043" t="str">
            <v>SAMI</v>
          </cell>
          <cell r="D1043" t="str">
            <v>OPT-547</v>
          </cell>
          <cell r="E1043">
            <v>43144</v>
          </cell>
          <cell r="F1043">
            <v>43172</v>
          </cell>
          <cell r="G1043">
            <v>43524</v>
          </cell>
          <cell r="H1043" t="str">
            <v>PRD</v>
          </cell>
          <cell r="I1043" t="str">
            <v>PRD</v>
          </cell>
          <cell r="J1043" t="str">
            <v>SUZUKI WAGON R</v>
          </cell>
          <cell r="K1043" t="str">
            <v>SUZUKI YW0</v>
          </cell>
          <cell r="L1043" t="str">
            <v>CV 1</v>
          </cell>
          <cell r="M1043" t="str">
            <v>EXPANDER GROMMET</v>
          </cell>
          <cell r="N1043" t="str">
            <v>FINISHING &amp; GROMMET INJECTION</v>
          </cell>
          <cell r="O1043" t="str">
            <v>B</v>
          </cell>
        </row>
        <row r="1044">
          <cell r="A1044">
            <v>22074</v>
          </cell>
          <cell r="B1044" t="str">
            <v>GITA NURCAHYANI</v>
          </cell>
          <cell r="C1044" t="str">
            <v>SAMI</v>
          </cell>
          <cell r="D1044" t="str">
            <v>OPT-548</v>
          </cell>
          <cell r="E1044">
            <v>43150</v>
          </cell>
          <cell r="F1044">
            <v>43178</v>
          </cell>
          <cell r="G1044">
            <v>43555</v>
          </cell>
          <cell r="H1044" t="str">
            <v>PRD</v>
          </cell>
          <cell r="I1044" t="str">
            <v>PRD</v>
          </cell>
          <cell r="J1044" t="str">
            <v>SUZUKI WAGON R</v>
          </cell>
          <cell r="K1044" t="str">
            <v>SUZUKI YW0</v>
          </cell>
          <cell r="L1044" t="str">
            <v>CV 1</v>
          </cell>
          <cell r="M1044" t="str">
            <v>S/A 7</v>
          </cell>
          <cell r="N1044" t="str">
            <v>SUB ASSY</v>
          </cell>
          <cell r="O1044" t="str">
            <v>B</v>
          </cell>
        </row>
        <row r="1045">
          <cell r="A1045">
            <v>22079</v>
          </cell>
          <cell r="B1045" t="str">
            <v>KUNI HABIBAH</v>
          </cell>
          <cell r="C1045" t="str">
            <v>SAMI</v>
          </cell>
          <cell r="D1045" t="str">
            <v>OPT-548</v>
          </cell>
          <cell r="E1045">
            <v>43150</v>
          </cell>
          <cell r="F1045">
            <v>43178</v>
          </cell>
          <cell r="G1045">
            <v>43555</v>
          </cell>
          <cell r="H1045" t="str">
            <v>PRD</v>
          </cell>
          <cell r="I1045" t="str">
            <v>PRD</v>
          </cell>
          <cell r="J1045" t="str">
            <v>SUZUKI WAGON R</v>
          </cell>
          <cell r="K1045" t="str">
            <v>SUZUKI YW0</v>
          </cell>
          <cell r="L1045" t="str">
            <v>CV 1</v>
          </cell>
          <cell r="M1045" t="str">
            <v>INSERTION GROUP</v>
          </cell>
          <cell r="N1045" t="str">
            <v>SUB ASSY</v>
          </cell>
          <cell r="O1045" t="str">
            <v>B</v>
          </cell>
        </row>
        <row r="1046">
          <cell r="A1046">
            <v>22089</v>
          </cell>
          <cell r="B1046" t="str">
            <v>NURUL VIDYA NINGRUM</v>
          </cell>
          <cell r="C1046" t="str">
            <v>SAMI</v>
          </cell>
          <cell r="D1046" t="str">
            <v>OPT-548</v>
          </cell>
          <cell r="E1046">
            <v>43150</v>
          </cell>
          <cell r="F1046">
            <v>43178</v>
          </cell>
          <cell r="G1046">
            <v>43555</v>
          </cell>
          <cell r="H1046" t="str">
            <v>PRD</v>
          </cell>
          <cell r="I1046" t="str">
            <v>PRD</v>
          </cell>
          <cell r="J1046" t="str">
            <v>SUZUKI WAGON R</v>
          </cell>
          <cell r="K1046" t="str">
            <v>SUZUKI YW0</v>
          </cell>
          <cell r="L1046" t="str">
            <v>CV 1</v>
          </cell>
          <cell r="M1046" t="str">
            <v>CIRCUIT SUPPLIER 1</v>
          </cell>
          <cell r="N1046" t="str">
            <v>CIRCUIT SUPPLY</v>
          </cell>
          <cell r="O1046" t="str">
            <v>B</v>
          </cell>
        </row>
        <row r="1047">
          <cell r="A1047">
            <v>22207</v>
          </cell>
          <cell r="B1047" t="str">
            <v>UMI KHAFIDHOH</v>
          </cell>
          <cell r="C1047" t="str">
            <v>SAMI</v>
          </cell>
          <cell r="D1047" t="str">
            <v>OPT-550</v>
          </cell>
          <cell r="E1047">
            <v>43158</v>
          </cell>
          <cell r="F1047">
            <v>43186</v>
          </cell>
          <cell r="G1047">
            <v>43555</v>
          </cell>
          <cell r="H1047" t="str">
            <v>PRD</v>
          </cell>
          <cell r="I1047" t="str">
            <v>PRD</v>
          </cell>
          <cell r="J1047" t="str">
            <v>SUZUKI WAGON R</v>
          </cell>
          <cell r="K1047" t="str">
            <v>SUZUKI YW0</v>
          </cell>
          <cell r="L1047" t="str">
            <v>CV 1</v>
          </cell>
          <cell r="M1047" t="str">
            <v>T/P 2.2</v>
          </cell>
          <cell r="N1047" t="str">
            <v>ASSEMBLY</v>
          </cell>
          <cell r="O1047" t="str">
            <v>B</v>
          </cell>
        </row>
        <row r="1048">
          <cell r="A1048">
            <v>22211</v>
          </cell>
          <cell r="B1048" t="str">
            <v>YULI USLINA</v>
          </cell>
          <cell r="C1048" t="str">
            <v>SAMI</v>
          </cell>
          <cell r="D1048" t="str">
            <v>OPT-550</v>
          </cell>
          <cell r="E1048">
            <v>43158</v>
          </cell>
          <cell r="F1048">
            <v>43186</v>
          </cell>
          <cell r="G1048">
            <v>43555</v>
          </cell>
          <cell r="H1048" t="str">
            <v>PRD</v>
          </cell>
          <cell r="I1048" t="str">
            <v>PRD</v>
          </cell>
          <cell r="J1048" t="str">
            <v>SUZUKI WAGON R</v>
          </cell>
          <cell r="K1048" t="str">
            <v>SUZUKI YW0</v>
          </cell>
          <cell r="L1048" t="str">
            <v>CV 1</v>
          </cell>
          <cell r="M1048" t="str">
            <v>S/T 4.3</v>
          </cell>
          <cell r="N1048" t="str">
            <v>ASSEMBLY</v>
          </cell>
          <cell r="O1048" t="str">
            <v>B</v>
          </cell>
        </row>
        <row r="1049">
          <cell r="A1049">
            <v>22246</v>
          </cell>
          <cell r="B1049" t="str">
            <v>WAHYU PRATIWI</v>
          </cell>
          <cell r="C1049" t="str">
            <v>SAMI</v>
          </cell>
          <cell r="D1049" t="str">
            <v>OPT-551</v>
          </cell>
          <cell r="E1049">
            <v>43161</v>
          </cell>
          <cell r="F1049">
            <v>43192</v>
          </cell>
          <cell r="G1049">
            <v>43555</v>
          </cell>
          <cell r="H1049" t="str">
            <v>PRD</v>
          </cell>
          <cell r="I1049" t="str">
            <v>PRD</v>
          </cell>
          <cell r="J1049" t="str">
            <v>SUZUKI WAGON R</v>
          </cell>
          <cell r="K1049" t="str">
            <v>SUZUKI YW0</v>
          </cell>
          <cell r="L1049" t="str">
            <v>CV 1</v>
          </cell>
          <cell r="M1049" t="str">
            <v>EMDEP</v>
          </cell>
          <cell r="N1049" t="str">
            <v>ELECTRICAL INSPECTION</v>
          </cell>
          <cell r="O1049" t="str">
            <v>B</v>
          </cell>
        </row>
        <row r="1050">
          <cell r="A1050">
            <v>22367</v>
          </cell>
          <cell r="B1050" t="str">
            <v>AGENG LESTARI</v>
          </cell>
          <cell r="C1050" t="str">
            <v>SAMI</v>
          </cell>
          <cell r="D1050" t="str">
            <v>OPT-558</v>
          </cell>
          <cell r="E1050">
            <v>43213</v>
          </cell>
          <cell r="F1050">
            <v>43243</v>
          </cell>
          <cell r="G1050">
            <v>43616</v>
          </cell>
          <cell r="H1050" t="str">
            <v>PRD</v>
          </cell>
          <cell r="I1050" t="str">
            <v>PRD</v>
          </cell>
          <cell r="J1050" t="str">
            <v>SUZUKI WAGON R</v>
          </cell>
          <cell r="K1050" t="str">
            <v>SUZUKI YW0</v>
          </cell>
          <cell r="L1050" t="str">
            <v>CV 1</v>
          </cell>
          <cell r="M1050" t="str">
            <v>CHECKER CLIP 1</v>
          </cell>
          <cell r="N1050" t="str">
            <v>ELECTRICAL INSPECTION</v>
          </cell>
          <cell r="O1050" t="str">
            <v>B</v>
          </cell>
        </row>
        <row r="1051">
          <cell r="A1051">
            <v>22415</v>
          </cell>
          <cell r="B1051" t="str">
            <v>RIRIN YULIANA</v>
          </cell>
          <cell r="C1051" t="str">
            <v>SAMI</v>
          </cell>
          <cell r="D1051" t="str">
            <v>OPT-558</v>
          </cell>
          <cell r="E1051">
            <v>43213</v>
          </cell>
          <cell r="F1051">
            <v>43243</v>
          </cell>
          <cell r="G1051">
            <v>43616</v>
          </cell>
          <cell r="H1051" t="str">
            <v>PRD</v>
          </cell>
          <cell r="I1051" t="str">
            <v>PRD</v>
          </cell>
          <cell r="J1051" t="str">
            <v>SUZUKI WAGON R</v>
          </cell>
          <cell r="K1051" t="str">
            <v>SUZUKI YW0</v>
          </cell>
          <cell r="L1051" t="str">
            <v>CV 1</v>
          </cell>
          <cell r="M1051" t="str">
            <v>OJT S/A 1</v>
          </cell>
          <cell r="N1051" t="str">
            <v>INTERNAL TRIAL</v>
          </cell>
          <cell r="O1051" t="str">
            <v>B</v>
          </cell>
        </row>
        <row r="1052">
          <cell r="A1052">
            <v>22452</v>
          </cell>
          <cell r="B1052" t="str">
            <v>INDAH DWI DAYATI</v>
          </cell>
          <cell r="C1052" t="str">
            <v>SAMI</v>
          </cell>
          <cell r="D1052" t="str">
            <v>OPT-559</v>
          </cell>
          <cell r="E1052">
            <v>43220</v>
          </cell>
          <cell r="F1052">
            <v>43250</v>
          </cell>
          <cell r="G1052">
            <v>43616</v>
          </cell>
          <cell r="H1052" t="str">
            <v>PRD</v>
          </cell>
          <cell r="I1052" t="str">
            <v>PRD</v>
          </cell>
          <cell r="J1052" t="str">
            <v>SUZUKI WAGON R</v>
          </cell>
          <cell r="K1052" t="str">
            <v>SUZUKI YW0</v>
          </cell>
          <cell r="L1052" t="str">
            <v>CV 1</v>
          </cell>
          <cell r="M1052" t="str">
            <v>MATERIAL SUPPLY</v>
          </cell>
          <cell r="N1052" t="str">
            <v>MATERIAL SUPPLY</v>
          </cell>
          <cell r="O1052" t="str">
            <v>B</v>
          </cell>
        </row>
        <row r="1053">
          <cell r="A1053">
            <v>22563</v>
          </cell>
          <cell r="B1053" t="str">
            <v>RIRIN DWI WIJAYANTI</v>
          </cell>
          <cell r="C1053" t="str">
            <v>SAMI</v>
          </cell>
          <cell r="D1053" t="str">
            <v>OPT-560</v>
          </cell>
          <cell r="E1053">
            <v>43224</v>
          </cell>
          <cell r="F1053">
            <v>43255</v>
          </cell>
          <cell r="G1053">
            <v>43616</v>
          </cell>
          <cell r="H1053" t="str">
            <v>PRD</v>
          </cell>
          <cell r="I1053" t="str">
            <v>PRD</v>
          </cell>
          <cell r="J1053" t="str">
            <v>SUZUKI WAGON R</v>
          </cell>
          <cell r="K1053" t="str">
            <v>SUZUKI YW0</v>
          </cell>
          <cell r="L1053" t="str">
            <v>CV 1</v>
          </cell>
          <cell r="M1053" t="str">
            <v>VISUAL 3</v>
          </cell>
          <cell r="N1053" t="str">
            <v>VISUAL INSPECTION</v>
          </cell>
          <cell r="O1053" t="str">
            <v>B</v>
          </cell>
        </row>
        <row r="1054">
          <cell r="A1054">
            <v>22623</v>
          </cell>
          <cell r="B1054" t="str">
            <v>NURUL LAILIYAH</v>
          </cell>
          <cell r="C1054" t="str">
            <v>SAMI</v>
          </cell>
          <cell r="D1054" t="str">
            <v>OPT-561</v>
          </cell>
          <cell r="E1054">
            <v>43236</v>
          </cell>
          <cell r="F1054">
            <v>43267</v>
          </cell>
          <cell r="G1054">
            <v>43646</v>
          </cell>
          <cell r="H1054" t="str">
            <v>PRD</v>
          </cell>
          <cell r="I1054" t="str">
            <v>PRD</v>
          </cell>
          <cell r="J1054" t="str">
            <v>SUZUKI WAGON R</v>
          </cell>
          <cell r="K1054" t="str">
            <v>SUZUKI YW0</v>
          </cell>
          <cell r="L1054" t="str">
            <v>CV 1</v>
          </cell>
          <cell r="M1054" t="str">
            <v>S/T</v>
          </cell>
          <cell r="N1054" t="str">
            <v>INTERNAL TRIAL</v>
          </cell>
          <cell r="O1054" t="str">
            <v>B</v>
          </cell>
        </row>
        <row r="1055">
          <cell r="A1055">
            <v>22651</v>
          </cell>
          <cell r="B1055" t="str">
            <v>EVA MUSTIYAN</v>
          </cell>
          <cell r="C1055" t="str">
            <v>SAMI</v>
          </cell>
          <cell r="D1055" t="str">
            <v>OPT-562</v>
          </cell>
          <cell r="E1055">
            <v>43241</v>
          </cell>
          <cell r="F1055">
            <v>43272</v>
          </cell>
          <cell r="G1055">
            <v>43646</v>
          </cell>
          <cell r="H1055" t="str">
            <v>PRD</v>
          </cell>
          <cell r="I1055" t="str">
            <v>PRD</v>
          </cell>
          <cell r="J1055" t="str">
            <v>SUZUKI WAGON R</v>
          </cell>
          <cell r="K1055" t="str">
            <v>SUZUKI YW0</v>
          </cell>
          <cell r="L1055" t="str">
            <v>CV 1</v>
          </cell>
          <cell r="M1055" t="str">
            <v>SHIAGE</v>
          </cell>
          <cell r="N1055" t="str">
            <v>ASSEMBLY</v>
          </cell>
          <cell r="O1055" t="str">
            <v>B</v>
          </cell>
        </row>
        <row r="1056">
          <cell r="A1056">
            <v>22689</v>
          </cell>
          <cell r="B1056" t="str">
            <v>ANIS AMMA LUTFI</v>
          </cell>
          <cell r="C1056" t="str">
            <v>SAMI</v>
          </cell>
          <cell r="D1056" t="str">
            <v>OPT-563</v>
          </cell>
          <cell r="E1056">
            <v>43244</v>
          </cell>
          <cell r="F1056">
            <v>43275</v>
          </cell>
          <cell r="G1056">
            <v>43646</v>
          </cell>
          <cell r="H1056" t="str">
            <v>PRD</v>
          </cell>
          <cell r="I1056" t="str">
            <v>PRD</v>
          </cell>
          <cell r="J1056" t="str">
            <v>SUZUKI WAGON R</v>
          </cell>
          <cell r="K1056" t="str">
            <v>SUZUKI YW0</v>
          </cell>
          <cell r="L1056" t="str">
            <v>CV 1</v>
          </cell>
          <cell r="M1056" t="str">
            <v>VISUAL 2</v>
          </cell>
          <cell r="N1056" t="str">
            <v>VISUAL INSPECTION</v>
          </cell>
          <cell r="O1056" t="str">
            <v>B</v>
          </cell>
        </row>
        <row r="1057">
          <cell r="A1057">
            <v>22764</v>
          </cell>
          <cell r="B1057" t="str">
            <v>ROSIYANA DEWI</v>
          </cell>
          <cell r="C1057" t="str">
            <v>SAMI</v>
          </cell>
          <cell r="D1057" t="str">
            <v>OPT-564</v>
          </cell>
          <cell r="E1057">
            <v>43255</v>
          </cell>
          <cell r="F1057">
            <v>43285</v>
          </cell>
          <cell r="G1057">
            <v>43646</v>
          </cell>
          <cell r="H1057" t="str">
            <v>PRD</v>
          </cell>
          <cell r="I1057" t="str">
            <v>PRD</v>
          </cell>
          <cell r="J1057" t="str">
            <v>SUZUKI WAGON R</v>
          </cell>
          <cell r="K1057" t="str">
            <v>SUZUKI YW0</v>
          </cell>
          <cell r="L1057" t="str">
            <v>CV 1</v>
          </cell>
          <cell r="M1057" t="str">
            <v>CHECKER ARUS 2</v>
          </cell>
          <cell r="N1057" t="str">
            <v>ELECTRICAL INSPECTION</v>
          </cell>
          <cell r="O1057" t="str">
            <v>B</v>
          </cell>
        </row>
        <row r="1058">
          <cell r="A1058">
            <v>22936</v>
          </cell>
          <cell r="B1058" t="str">
            <v>HENI WIDYANINGRUM</v>
          </cell>
          <cell r="C1058" t="str">
            <v>SAMI</v>
          </cell>
          <cell r="D1058" t="str">
            <v>OPT-568</v>
          </cell>
          <cell r="E1058">
            <v>43343</v>
          </cell>
          <cell r="F1058">
            <v>43374</v>
          </cell>
          <cell r="G1058">
            <v>43738</v>
          </cell>
          <cell r="H1058" t="str">
            <v>PRD</v>
          </cell>
          <cell r="I1058" t="str">
            <v>PRD</v>
          </cell>
          <cell r="J1058" t="str">
            <v>SUZUKI WAGON R</v>
          </cell>
          <cell r="K1058" t="str">
            <v>SUZUKI YW0</v>
          </cell>
          <cell r="L1058" t="str">
            <v>CV 1</v>
          </cell>
          <cell r="M1058" t="str">
            <v>S/T 4.1</v>
          </cell>
          <cell r="N1058" t="str">
            <v>ASSEMBLY</v>
          </cell>
          <cell r="O1058" t="str">
            <v>B</v>
          </cell>
        </row>
        <row r="1059">
          <cell r="A1059">
            <v>23206</v>
          </cell>
          <cell r="B1059" t="str">
            <v>DESIH HIDAYAH</v>
          </cell>
          <cell r="C1059" t="str">
            <v>SAMI</v>
          </cell>
          <cell r="D1059" t="str">
            <v>OPT-573</v>
          </cell>
          <cell r="E1059">
            <v>43421</v>
          </cell>
          <cell r="F1059">
            <v>43451</v>
          </cell>
          <cell r="G1059">
            <v>43830</v>
          </cell>
          <cell r="H1059" t="str">
            <v>PRD</v>
          </cell>
          <cell r="I1059" t="str">
            <v>PRD</v>
          </cell>
          <cell r="J1059" t="str">
            <v>SUZUKI WAGON R</v>
          </cell>
          <cell r="K1059" t="str">
            <v>SUZUKI YW0</v>
          </cell>
          <cell r="L1059" t="str">
            <v>CV 1</v>
          </cell>
          <cell r="M1059" t="str">
            <v>S/A 2</v>
          </cell>
          <cell r="N1059" t="str">
            <v>SUB ASSY</v>
          </cell>
          <cell r="O1059" t="str">
            <v>B</v>
          </cell>
        </row>
        <row r="1060">
          <cell r="A1060">
            <v>23314</v>
          </cell>
          <cell r="B1060" t="str">
            <v>HENY SULISTIYANINGSIH</v>
          </cell>
          <cell r="C1060" t="str">
            <v>SAMI</v>
          </cell>
          <cell r="D1060" t="str">
            <v>OPT-574</v>
          </cell>
          <cell r="E1060">
            <v>43427</v>
          </cell>
          <cell r="F1060">
            <v>43457</v>
          </cell>
          <cell r="G1060">
            <v>43830</v>
          </cell>
          <cell r="H1060" t="str">
            <v>PRD</v>
          </cell>
          <cell r="I1060" t="str">
            <v>PRD</v>
          </cell>
          <cell r="J1060" t="str">
            <v>SUZUKI WAGON R</v>
          </cell>
          <cell r="K1060" t="str">
            <v>SUZUKI YW0</v>
          </cell>
          <cell r="L1060" t="str">
            <v>CV 1</v>
          </cell>
          <cell r="M1060" t="str">
            <v>T/P 2.1</v>
          </cell>
          <cell r="N1060" t="str">
            <v>ASSEMBLY</v>
          </cell>
          <cell r="O1060" t="str">
            <v>B</v>
          </cell>
        </row>
        <row r="1061">
          <cell r="A1061">
            <v>23459</v>
          </cell>
          <cell r="B1061" t="str">
            <v>RITA OKTAVIA</v>
          </cell>
          <cell r="C1061" t="str">
            <v>SAMI</v>
          </cell>
          <cell r="D1061" t="str">
            <v>OPT-575</v>
          </cell>
          <cell r="E1061">
            <v>43434</v>
          </cell>
          <cell r="F1061">
            <v>43464</v>
          </cell>
          <cell r="G1061">
            <v>43830</v>
          </cell>
          <cell r="H1061" t="str">
            <v>PRD</v>
          </cell>
          <cell r="I1061" t="str">
            <v>PRD</v>
          </cell>
          <cell r="J1061" t="str">
            <v>SUZUKI WAGON R</v>
          </cell>
          <cell r="K1061" t="str">
            <v>SUZUKI YW0</v>
          </cell>
          <cell r="L1061" t="str">
            <v>CV 1</v>
          </cell>
          <cell r="M1061" t="str">
            <v>MATERIAL SUPPLY</v>
          </cell>
          <cell r="N1061" t="str">
            <v>MATERIAL SUPPLY</v>
          </cell>
          <cell r="O1061" t="str">
            <v>B</v>
          </cell>
        </row>
        <row r="1062">
          <cell r="A1062">
            <v>23473</v>
          </cell>
          <cell r="B1062" t="str">
            <v>TAMBENG LESTARI</v>
          </cell>
          <cell r="C1062" t="str">
            <v>SAMI</v>
          </cell>
          <cell r="D1062" t="str">
            <v>OPT-575</v>
          </cell>
          <cell r="E1062">
            <v>43434</v>
          </cell>
          <cell r="F1062">
            <v>43464</v>
          </cell>
          <cell r="G1062">
            <v>43830</v>
          </cell>
          <cell r="H1062" t="str">
            <v>PRD</v>
          </cell>
          <cell r="I1062" t="str">
            <v>PRD</v>
          </cell>
          <cell r="J1062" t="str">
            <v>SUZUKI WAGON R</v>
          </cell>
          <cell r="K1062" t="str">
            <v>SUZUKI YW0</v>
          </cell>
          <cell r="L1062" t="str">
            <v>CV 1</v>
          </cell>
          <cell r="M1062" t="str">
            <v>S/A 8</v>
          </cell>
          <cell r="N1062" t="str">
            <v>SUB ASSY</v>
          </cell>
          <cell r="O1062" t="str">
            <v>B</v>
          </cell>
        </row>
        <row r="1063">
          <cell r="A1063">
            <v>23474</v>
          </cell>
          <cell r="B1063" t="str">
            <v>TINFAROTUL FATINA</v>
          </cell>
          <cell r="C1063" t="str">
            <v>SAMI</v>
          </cell>
          <cell r="D1063" t="str">
            <v>OPT-575</v>
          </cell>
          <cell r="E1063">
            <v>43434</v>
          </cell>
          <cell r="F1063">
            <v>43464</v>
          </cell>
          <cell r="G1063">
            <v>43830</v>
          </cell>
          <cell r="H1063" t="str">
            <v>PRD</v>
          </cell>
          <cell r="I1063" t="str">
            <v>PRD</v>
          </cell>
          <cell r="J1063" t="str">
            <v>SUZUKI WAGON R</v>
          </cell>
          <cell r="K1063" t="str">
            <v>SUZUKI YW0</v>
          </cell>
          <cell r="L1063" t="str">
            <v>CV 1</v>
          </cell>
          <cell r="M1063" t="str">
            <v>OJT S/A</v>
          </cell>
          <cell r="N1063" t="str">
            <v>INTERNAL TRIAL</v>
          </cell>
          <cell r="O1063" t="str">
            <v>B</v>
          </cell>
        </row>
        <row r="1064">
          <cell r="A1064">
            <v>1126</v>
          </cell>
          <cell r="B1064" t="str">
            <v>SITI KHOLIFAH</v>
          </cell>
          <cell r="C1064" t="str">
            <v>SAMI</v>
          </cell>
          <cell r="D1064" t="str">
            <v>OPT-28</v>
          </cell>
          <cell r="E1064">
            <v>37900</v>
          </cell>
          <cell r="F1064" t="str">
            <v>-</v>
          </cell>
          <cell r="G1064" t="str">
            <v>-</v>
          </cell>
          <cell r="H1064" t="str">
            <v>PRD</v>
          </cell>
          <cell r="I1064" t="str">
            <v>PRD</v>
          </cell>
          <cell r="J1064" t="str">
            <v>HONDA MOTORBIKE</v>
          </cell>
          <cell r="K1064" t="str">
            <v>HONDA HARNESS WIRE</v>
          </cell>
          <cell r="L1064" t="str">
            <v>CV 10</v>
          </cell>
          <cell r="M1064" t="str">
            <v>SUB LINE CHO</v>
          </cell>
          <cell r="N1064" t="str">
            <v>GL</v>
          </cell>
          <cell r="O1064" t="str">
            <v>A</v>
          </cell>
        </row>
        <row r="1065">
          <cell r="A1065">
            <v>8643</v>
          </cell>
          <cell r="B1065" t="str">
            <v>IDA SOPIANA</v>
          </cell>
          <cell r="C1065" t="str">
            <v>SAMI</v>
          </cell>
          <cell r="D1065" t="str">
            <v>OPT-189</v>
          </cell>
          <cell r="E1065">
            <v>39878</v>
          </cell>
          <cell r="F1065" t="str">
            <v>-</v>
          </cell>
          <cell r="G1065" t="str">
            <v>-</v>
          </cell>
          <cell r="H1065" t="str">
            <v>PRD</v>
          </cell>
          <cell r="I1065" t="str">
            <v>PRD</v>
          </cell>
          <cell r="J1065" t="str">
            <v>HONDA MOTORBIKE</v>
          </cell>
          <cell r="K1065" t="str">
            <v>HONDA HARNESS WIRE</v>
          </cell>
          <cell r="L1065" t="str">
            <v>CV 10</v>
          </cell>
          <cell r="M1065" t="str">
            <v>LQC</v>
          </cell>
          <cell r="N1065" t="str">
            <v>RELIEF</v>
          </cell>
          <cell r="O1065" t="str">
            <v>A</v>
          </cell>
        </row>
        <row r="1066">
          <cell r="A1066">
            <v>9455</v>
          </cell>
          <cell r="B1066" t="str">
            <v>MUKHLIKHAH AL MAZDKUROH</v>
          </cell>
          <cell r="C1066" t="str">
            <v>SAMI</v>
          </cell>
          <cell r="D1066" t="str">
            <v>OPT-216</v>
          </cell>
          <cell r="E1066">
            <v>40148</v>
          </cell>
          <cell r="F1066" t="str">
            <v>-</v>
          </cell>
          <cell r="G1066" t="str">
            <v>-</v>
          </cell>
          <cell r="H1066" t="str">
            <v>PRD</v>
          </cell>
          <cell r="I1066" t="str">
            <v>PRD</v>
          </cell>
          <cell r="J1066" t="str">
            <v>HONDA MOTORBIKE</v>
          </cell>
          <cell r="K1066" t="str">
            <v>HONDA HARNESS WIRE</v>
          </cell>
          <cell r="L1066" t="str">
            <v>CV 10</v>
          </cell>
          <cell r="M1066" t="str">
            <v>VISUAL</v>
          </cell>
          <cell r="N1066" t="str">
            <v>VISUAL INSPECTION</v>
          </cell>
          <cell r="O1066" t="str">
            <v>A</v>
          </cell>
        </row>
        <row r="1067">
          <cell r="A1067">
            <v>9618</v>
          </cell>
          <cell r="B1067" t="str">
            <v>NUR AWALIYAH</v>
          </cell>
          <cell r="C1067" t="str">
            <v>SAMI</v>
          </cell>
          <cell r="D1067" t="str">
            <v>OPT-218</v>
          </cell>
          <cell r="E1067">
            <v>40179</v>
          </cell>
          <cell r="F1067" t="str">
            <v>-</v>
          </cell>
          <cell r="G1067" t="str">
            <v>-</v>
          </cell>
          <cell r="H1067" t="str">
            <v>PRD</v>
          </cell>
          <cell r="I1067" t="str">
            <v>PRD</v>
          </cell>
          <cell r="J1067" t="str">
            <v>HONDA MOTORBIKE</v>
          </cell>
          <cell r="K1067" t="str">
            <v>HONDA HARNESS WIRE</v>
          </cell>
          <cell r="L1067" t="str">
            <v>CV 10</v>
          </cell>
          <cell r="M1067" t="str">
            <v>T/P 3.1</v>
          </cell>
          <cell r="N1067" t="str">
            <v>ASSEMBLY</v>
          </cell>
          <cell r="O1067" t="str">
            <v>A</v>
          </cell>
        </row>
        <row r="1068">
          <cell r="A1068">
            <v>9917</v>
          </cell>
          <cell r="B1068" t="str">
            <v>BIATUN</v>
          </cell>
          <cell r="C1068" t="str">
            <v>SAMI</v>
          </cell>
          <cell r="D1068" t="str">
            <v>OPT-246</v>
          </cell>
          <cell r="E1068">
            <v>40431</v>
          </cell>
          <cell r="F1068" t="str">
            <v>-</v>
          </cell>
          <cell r="G1068" t="str">
            <v>-</v>
          </cell>
          <cell r="H1068" t="str">
            <v>PRD</v>
          </cell>
          <cell r="I1068" t="str">
            <v>PRD</v>
          </cell>
          <cell r="J1068" t="str">
            <v>HONDA MOTORBIKE</v>
          </cell>
          <cell r="K1068" t="str">
            <v>HONDA HARNESS WIRE</v>
          </cell>
          <cell r="L1068" t="str">
            <v>CV 10</v>
          </cell>
          <cell r="M1068" t="str">
            <v>T/P 5</v>
          </cell>
          <cell r="N1068" t="str">
            <v>ASSEMBLY</v>
          </cell>
          <cell r="O1068" t="str">
            <v>A</v>
          </cell>
        </row>
        <row r="1069">
          <cell r="A1069">
            <v>9942</v>
          </cell>
          <cell r="B1069" t="str">
            <v>KUSUMIARTI</v>
          </cell>
          <cell r="C1069" t="str">
            <v>SAMI</v>
          </cell>
          <cell r="D1069" t="str">
            <v>OPT-246</v>
          </cell>
          <cell r="E1069">
            <v>40431</v>
          </cell>
          <cell r="F1069" t="str">
            <v>-</v>
          </cell>
          <cell r="G1069" t="str">
            <v>-</v>
          </cell>
          <cell r="H1069" t="str">
            <v>PRD</v>
          </cell>
          <cell r="I1069" t="str">
            <v>PRD</v>
          </cell>
          <cell r="J1069" t="str">
            <v>HONDA MOTORBIKE</v>
          </cell>
          <cell r="K1069" t="str">
            <v>HONDA HARNESS WIRE</v>
          </cell>
          <cell r="L1069" t="str">
            <v>CV 10</v>
          </cell>
          <cell r="M1069" t="str">
            <v>T/P 2.2</v>
          </cell>
          <cell r="N1069" t="str">
            <v>ASSEMBLY</v>
          </cell>
          <cell r="O1069" t="str">
            <v>A</v>
          </cell>
        </row>
        <row r="1070">
          <cell r="A1070">
            <v>10118</v>
          </cell>
          <cell r="B1070" t="str">
            <v>SITI MUCHASANAH</v>
          </cell>
          <cell r="C1070" t="str">
            <v>SAMI</v>
          </cell>
          <cell r="D1070" t="str">
            <v>OPT-248</v>
          </cell>
          <cell r="E1070">
            <v>40444</v>
          </cell>
          <cell r="F1070" t="str">
            <v>-</v>
          </cell>
          <cell r="G1070" t="str">
            <v>-</v>
          </cell>
          <cell r="H1070" t="str">
            <v>PRD</v>
          </cell>
          <cell r="I1070" t="str">
            <v>PRD</v>
          </cell>
          <cell r="J1070" t="str">
            <v>HONDA MOTORBIKE</v>
          </cell>
          <cell r="K1070" t="str">
            <v>HONDA HARNESS WIRE</v>
          </cell>
          <cell r="L1070" t="str">
            <v>CV 10</v>
          </cell>
          <cell r="M1070" t="str">
            <v>S/A 1</v>
          </cell>
          <cell r="N1070" t="str">
            <v>SUB ASSY</v>
          </cell>
          <cell r="O1070" t="str">
            <v>A</v>
          </cell>
        </row>
        <row r="1071">
          <cell r="A1071">
            <v>10326</v>
          </cell>
          <cell r="B1071" t="str">
            <v>PITA NURCHOERIYAH</v>
          </cell>
          <cell r="C1071" t="str">
            <v>SAMI</v>
          </cell>
          <cell r="D1071" t="str">
            <v>OPT-265</v>
          </cell>
          <cell r="E1071">
            <v>40511</v>
          </cell>
          <cell r="F1071" t="str">
            <v>-</v>
          </cell>
          <cell r="G1071" t="str">
            <v>-</v>
          </cell>
          <cell r="H1071" t="str">
            <v>PRD</v>
          </cell>
          <cell r="I1071" t="str">
            <v>PRD</v>
          </cell>
          <cell r="J1071" t="str">
            <v>HONDA MOTORBIKE</v>
          </cell>
          <cell r="K1071" t="str">
            <v>HONDA HARNESS WIRE</v>
          </cell>
          <cell r="L1071" t="str">
            <v>CV 10</v>
          </cell>
          <cell r="M1071" t="str">
            <v>S/T 2.2</v>
          </cell>
          <cell r="N1071" t="str">
            <v>ASSEMBLY</v>
          </cell>
          <cell r="O1071" t="str">
            <v>A</v>
          </cell>
        </row>
        <row r="1072">
          <cell r="A1072">
            <v>11090</v>
          </cell>
          <cell r="B1072" t="str">
            <v>SUSI ANGGRAINI</v>
          </cell>
          <cell r="C1072" t="str">
            <v>SAMI</v>
          </cell>
          <cell r="D1072" t="str">
            <v>OPT-289</v>
          </cell>
          <cell r="E1072">
            <v>40595</v>
          </cell>
          <cell r="F1072" t="str">
            <v>-</v>
          </cell>
          <cell r="G1072" t="str">
            <v>-</v>
          </cell>
          <cell r="H1072" t="str">
            <v>PRD</v>
          </cell>
          <cell r="I1072" t="str">
            <v>PRD</v>
          </cell>
          <cell r="J1072" t="str">
            <v>HONDA MOTORBIKE</v>
          </cell>
          <cell r="K1072" t="str">
            <v>HONDA HARNESS WIRE</v>
          </cell>
          <cell r="L1072" t="str">
            <v>CV 10</v>
          </cell>
          <cell r="M1072" t="str">
            <v>S/T 3.3</v>
          </cell>
          <cell r="N1072" t="str">
            <v>ASSEMBLY</v>
          </cell>
          <cell r="O1072" t="str">
            <v>A</v>
          </cell>
        </row>
        <row r="1073">
          <cell r="A1073">
            <v>11295</v>
          </cell>
          <cell r="B1073" t="str">
            <v>ANNA OCTAVIANI NUR HALIMAH</v>
          </cell>
          <cell r="C1073" t="str">
            <v>SAMI</v>
          </cell>
          <cell r="D1073" t="str">
            <v>OPT-297</v>
          </cell>
          <cell r="E1073">
            <v>40646</v>
          </cell>
          <cell r="F1073" t="str">
            <v>-</v>
          </cell>
          <cell r="G1073" t="str">
            <v>-</v>
          </cell>
          <cell r="H1073" t="str">
            <v>PRD</v>
          </cell>
          <cell r="I1073" t="str">
            <v>PRD</v>
          </cell>
          <cell r="J1073" t="str">
            <v>HONDA MOTORBIKE</v>
          </cell>
          <cell r="K1073" t="str">
            <v>HONDA HARNESS WIRE</v>
          </cell>
          <cell r="L1073" t="str">
            <v>CV 10</v>
          </cell>
          <cell r="M1073" t="str">
            <v>CHECKER</v>
          </cell>
          <cell r="N1073" t="str">
            <v>ELECTRICAL INSPECTION</v>
          </cell>
          <cell r="O1073" t="str">
            <v>A</v>
          </cell>
        </row>
        <row r="1074">
          <cell r="A1074">
            <v>12447</v>
          </cell>
          <cell r="B1074" t="str">
            <v>ELI DWI ERSANTI</v>
          </cell>
          <cell r="C1074" t="str">
            <v>SAMI</v>
          </cell>
          <cell r="D1074" t="str">
            <v>OPT-318</v>
          </cell>
          <cell r="E1074">
            <v>40812</v>
          </cell>
          <cell r="F1074" t="str">
            <v>-</v>
          </cell>
          <cell r="G1074" t="str">
            <v>-</v>
          </cell>
          <cell r="H1074" t="str">
            <v>PRD</v>
          </cell>
          <cell r="I1074" t="str">
            <v>PRD</v>
          </cell>
          <cell r="J1074" t="str">
            <v>HONDA MOTORBIKE</v>
          </cell>
          <cell r="K1074" t="str">
            <v>HONDA HARNESS WIRE</v>
          </cell>
          <cell r="L1074" t="str">
            <v>CV 10</v>
          </cell>
          <cell r="M1074" t="str">
            <v>S/A 2</v>
          </cell>
          <cell r="N1074" t="str">
            <v>SUB ASSY</v>
          </cell>
          <cell r="O1074" t="str">
            <v>A</v>
          </cell>
        </row>
        <row r="1075">
          <cell r="A1075">
            <v>12632</v>
          </cell>
          <cell r="B1075" t="str">
            <v>ARGO WINARSIH PRATIWI</v>
          </cell>
          <cell r="C1075" t="str">
            <v>SAMI</v>
          </cell>
          <cell r="D1075" t="str">
            <v>OPT-320</v>
          </cell>
          <cell r="E1075">
            <v>40819</v>
          </cell>
          <cell r="F1075" t="str">
            <v>-</v>
          </cell>
          <cell r="G1075" t="str">
            <v>-</v>
          </cell>
          <cell r="H1075" t="str">
            <v>PRD</v>
          </cell>
          <cell r="I1075" t="str">
            <v>PRD</v>
          </cell>
          <cell r="J1075" t="str">
            <v>HONDA MOTORBIKE</v>
          </cell>
          <cell r="K1075" t="str">
            <v>HONDA HARNESS WIRE</v>
          </cell>
          <cell r="L1075" t="str">
            <v>CV 10</v>
          </cell>
          <cell r="M1075" t="str">
            <v>SHIAGE</v>
          </cell>
          <cell r="N1075" t="str">
            <v>ASSEMBLY</v>
          </cell>
          <cell r="O1075" t="str">
            <v>A</v>
          </cell>
        </row>
        <row r="1076">
          <cell r="A1076">
            <v>19303</v>
          </cell>
          <cell r="B1076" t="str">
            <v>LUTFIANA</v>
          </cell>
          <cell r="C1076" t="str">
            <v>SAMI</v>
          </cell>
          <cell r="D1076" t="str">
            <v>OPT-478</v>
          </cell>
          <cell r="E1076">
            <v>42282</v>
          </cell>
          <cell r="F1076" t="str">
            <v>-</v>
          </cell>
          <cell r="G1076" t="str">
            <v>-</v>
          </cell>
          <cell r="H1076" t="str">
            <v>PRD</v>
          </cell>
          <cell r="I1076" t="str">
            <v>PRD</v>
          </cell>
          <cell r="J1076" t="str">
            <v>HONDA MOTORBIKE</v>
          </cell>
          <cell r="K1076" t="str">
            <v>HONDA HARNESS WIRE</v>
          </cell>
          <cell r="L1076" t="str">
            <v>CV 10</v>
          </cell>
          <cell r="M1076" t="str">
            <v>T/P 2</v>
          </cell>
          <cell r="N1076" t="str">
            <v>ASSEMBLY</v>
          </cell>
          <cell r="O1076" t="str">
            <v>A</v>
          </cell>
        </row>
        <row r="1077">
          <cell r="A1077">
            <v>19430</v>
          </cell>
          <cell r="B1077" t="str">
            <v>PURNOMO BUDI UTOMO</v>
          </cell>
          <cell r="C1077" t="str">
            <v>SAMI</v>
          </cell>
          <cell r="D1077" t="str">
            <v>OPT-480</v>
          </cell>
          <cell r="E1077">
            <v>42296</v>
          </cell>
          <cell r="F1077" t="str">
            <v>-</v>
          </cell>
          <cell r="G1077" t="str">
            <v>-</v>
          </cell>
          <cell r="H1077" t="str">
            <v>PRD</v>
          </cell>
          <cell r="I1077" t="str">
            <v>PRD</v>
          </cell>
          <cell r="J1077" t="str">
            <v>HONDA MOTORBIKE</v>
          </cell>
          <cell r="K1077" t="str">
            <v>HONDA HARNESS WIRE</v>
          </cell>
          <cell r="L1077" t="str">
            <v>CV 10</v>
          </cell>
          <cell r="M1077" t="str">
            <v>T/P 6.2</v>
          </cell>
          <cell r="N1077" t="str">
            <v>ASSEMBLY</v>
          </cell>
          <cell r="O1077" t="str">
            <v>A</v>
          </cell>
        </row>
        <row r="1078">
          <cell r="A1078">
            <v>20626</v>
          </cell>
          <cell r="B1078" t="str">
            <v>NUR DWI LESTARI</v>
          </cell>
          <cell r="C1078" t="str">
            <v>SAMI</v>
          </cell>
          <cell r="D1078" t="str">
            <v>OPT-505</v>
          </cell>
          <cell r="E1078">
            <v>42639</v>
          </cell>
          <cell r="F1078">
            <v>43132</v>
          </cell>
          <cell r="G1078">
            <v>43496</v>
          </cell>
          <cell r="H1078" t="str">
            <v>PRD</v>
          </cell>
          <cell r="I1078" t="str">
            <v>PRD</v>
          </cell>
          <cell r="J1078" t="str">
            <v>HONDA MOTORBIKE</v>
          </cell>
          <cell r="K1078" t="str">
            <v>HONDA HARNESS WIRE</v>
          </cell>
          <cell r="L1078" t="str">
            <v>CV 10</v>
          </cell>
          <cell r="M1078" t="str">
            <v>S/T 1.2</v>
          </cell>
          <cell r="N1078" t="str">
            <v>ASSEMBLY</v>
          </cell>
          <cell r="O1078" t="str">
            <v>A</v>
          </cell>
        </row>
        <row r="1079">
          <cell r="A1079">
            <v>20666</v>
          </cell>
          <cell r="B1079" t="str">
            <v>ULFA MUAFIYAH</v>
          </cell>
          <cell r="C1079" t="str">
            <v>SAMI</v>
          </cell>
          <cell r="D1079" t="str">
            <v>OPT-505</v>
          </cell>
          <cell r="E1079">
            <v>42639</v>
          </cell>
          <cell r="F1079">
            <v>43132</v>
          </cell>
          <cell r="G1079">
            <v>43496</v>
          </cell>
          <cell r="H1079" t="str">
            <v>PRD</v>
          </cell>
          <cell r="I1079" t="str">
            <v>PRD</v>
          </cell>
          <cell r="J1079" t="str">
            <v>HONDA MOTORBIKE</v>
          </cell>
          <cell r="K1079" t="str">
            <v>HONDA HARNESS WIRE</v>
          </cell>
          <cell r="L1079" t="str">
            <v>CV 10</v>
          </cell>
          <cell r="M1079" t="str">
            <v>CHECKER</v>
          </cell>
          <cell r="N1079" t="str">
            <v>ELECTRICAL INSPECTION</v>
          </cell>
          <cell r="O1079" t="str">
            <v>A</v>
          </cell>
        </row>
        <row r="1080">
          <cell r="A1080">
            <v>20953</v>
          </cell>
          <cell r="B1080" t="str">
            <v>ROKHMANIAH</v>
          </cell>
          <cell r="C1080" t="str">
            <v>SAMI</v>
          </cell>
          <cell r="D1080" t="str">
            <v>OPT-511</v>
          </cell>
          <cell r="E1080">
            <v>42667</v>
          </cell>
          <cell r="F1080">
            <v>43160</v>
          </cell>
          <cell r="G1080">
            <v>43524</v>
          </cell>
          <cell r="H1080" t="str">
            <v>PRD</v>
          </cell>
          <cell r="I1080" t="str">
            <v>PRD</v>
          </cell>
          <cell r="J1080" t="str">
            <v>HONDA MOTORBIKE</v>
          </cell>
          <cell r="K1080" t="str">
            <v>HONDA HARNESS WIRE</v>
          </cell>
          <cell r="L1080" t="str">
            <v>CV 10</v>
          </cell>
          <cell r="M1080" t="str">
            <v>CHECKER</v>
          </cell>
          <cell r="N1080" t="str">
            <v>ELECTRICAL INSPECTION</v>
          </cell>
          <cell r="O1080" t="str">
            <v>A</v>
          </cell>
        </row>
        <row r="1081">
          <cell r="A1081">
            <v>21316</v>
          </cell>
          <cell r="B1081" t="str">
            <v>SITI ZULAEKOH</v>
          </cell>
          <cell r="C1081" t="str">
            <v>SAMI</v>
          </cell>
          <cell r="D1081" t="str">
            <v>OPT-530</v>
          </cell>
          <cell r="E1081">
            <v>43010</v>
          </cell>
          <cell r="F1081">
            <v>43405</v>
          </cell>
          <cell r="G1081">
            <v>43769</v>
          </cell>
          <cell r="H1081" t="str">
            <v>PRD</v>
          </cell>
          <cell r="I1081" t="str">
            <v>PRD</v>
          </cell>
          <cell r="J1081" t="str">
            <v>HONDA MOTORBIKE</v>
          </cell>
          <cell r="K1081" t="str">
            <v>HONDA HARNESS WIRE</v>
          </cell>
          <cell r="L1081" t="str">
            <v>CV 10</v>
          </cell>
          <cell r="M1081" t="str">
            <v>ARRANGING</v>
          </cell>
          <cell r="N1081" t="str">
            <v>CIRCUIT SUPPLY</v>
          </cell>
          <cell r="O1081" t="str">
            <v>A</v>
          </cell>
        </row>
        <row r="1082">
          <cell r="A1082">
            <v>21652</v>
          </cell>
          <cell r="B1082" t="str">
            <v>ERISA OKTAFIANINGRUM</v>
          </cell>
          <cell r="C1082" t="str">
            <v>SAMI</v>
          </cell>
          <cell r="D1082" t="str">
            <v>OPT-537</v>
          </cell>
          <cell r="E1082">
            <v>43055</v>
          </cell>
          <cell r="F1082">
            <v>43466</v>
          </cell>
          <cell r="G1082">
            <v>43830</v>
          </cell>
          <cell r="H1082" t="str">
            <v>PRD</v>
          </cell>
          <cell r="I1082" t="str">
            <v>PRD</v>
          </cell>
          <cell r="J1082" t="str">
            <v>HONDA MOTORBIKE</v>
          </cell>
          <cell r="K1082" t="str">
            <v>HONDA HARNESS WIRE</v>
          </cell>
          <cell r="L1082" t="str">
            <v>CV 10</v>
          </cell>
          <cell r="M1082" t="str">
            <v>T/P 1.1</v>
          </cell>
          <cell r="N1082" t="str">
            <v>ASSEMBLY</v>
          </cell>
          <cell r="O1082" t="str">
            <v>A</v>
          </cell>
        </row>
        <row r="1083">
          <cell r="A1083">
            <v>21661</v>
          </cell>
          <cell r="B1083" t="str">
            <v>JI'RONAH</v>
          </cell>
          <cell r="C1083" t="str">
            <v>SAMI</v>
          </cell>
          <cell r="D1083" t="str">
            <v>OPT-537</v>
          </cell>
          <cell r="E1083">
            <v>43055</v>
          </cell>
          <cell r="F1083">
            <v>43466</v>
          </cell>
          <cell r="G1083">
            <v>43830</v>
          </cell>
          <cell r="H1083" t="str">
            <v>PRD</v>
          </cell>
          <cell r="I1083" t="str">
            <v>PRD</v>
          </cell>
          <cell r="J1083" t="str">
            <v>HONDA MOTORBIKE</v>
          </cell>
          <cell r="K1083" t="str">
            <v>HONDA HARNESS WIRE</v>
          </cell>
          <cell r="L1083" t="str">
            <v>CV 10</v>
          </cell>
          <cell r="M1083" t="str">
            <v>T/P 4</v>
          </cell>
          <cell r="N1083" t="str">
            <v>ASSEMBLY</v>
          </cell>
          <cell r="O1083" t="str">
            <v>A</v>
          </cell>
        </row>
        <row r="1084">
          <cell r="A1084">
            <v>21672</v>
          </cell>
          <cell r="B1084" t="str">
            <v>RINA ISMAYA</v>
          </cell>
          <cell r="C1084" t="str">
            <v>SAMI</v>
          </cell>
          <cell r="D1084" t="str">
            <v>OPT-537</v>
          </cell>
          <cell r="E1084">
            <v>43055</v>
          </cell>
          <cell r="F1084">
            <v>43466</v>
          </cell>
          <cell r="G1084">
            <v>43830</v>
          </cell>
          <cell r="H1084" t="str">
            <v>PRD</v>
          </cell>
          <cell r="I1084" t="str">
            <v>PRD</v>
          </cell>
          <cell r="J1084" t="str">
            <v>HONDA MOTORBIKE</v>
          </cell>
          <cell r="K1084" t="str">
            <v>HONDA HARNESS WIRE</v>
          </cell>
          <cell r="L1084" t="str">
            <v>CV 10</v>
          </cell>
          <cell r="M1084" t="str">
            <v>S/A 5</v>
          </cell>
          <cell r="N1084" t="str">
            <v>SUB ASSY</v>
          </cell>
          <cell r="O1084" t="str">
            <v>A</v>
          </cell>
        </row>
        <row r="1085">
          <cell r="A1085">
            <v>21725</v>
          </cell>
          <cell r="B1085" t="str">
            <v>LANAH TA'DIA ROSADA</v>
          </cell>
          <cell r="C1085" t="str">
            <v>SAMI</v>
          </cell>
          <cell r="D1085" t="str">
            <v>OPT-539</v>
          </cell>
          <cell r="E1085">
            <v>43087</v>
          </cell>
          <cell r="F1085">
            <v>43118</v>
          </cell>
          <cell r="G1085">
            <v>43496</v>
          </cell>
          <cell r="H1085" t="str">
            <v>PRD</v>
          </cell>
          <cell r="I1085" t="str">
            <v>PRD</v>
          </cell>
          <cell r="J1085" t="str">
            <v>HONDA MOTORBIKE</v>
          </cell>
          <cell r="K1085" t="str">
            <v>HONDA HARNESS WIRE</v>
          </cell>
          <cell r="L1085" t="str">
            <v>CV 10</v>
          </cell>
          <cell r="M1085" t="str">
            <v>T/P 6.1</v>
          </cell>
          <cell r="N1085" t="str">
            <v>ASSEMBLY</v>
          </cell>
          <cell r="O1085" t="str">
            <v>A</v>
          </cell>
        </row>
        <row r="1086">
          <cell r="A1086">
            <v>21736</v>
          </cell>
          <cell r="B1086" t="str">
            <v>NADYA KARISMA DEWI</v>
          </cell>
          <cell r="C1086" t="str">
            <v>SAMI</v>
          </cell>
          <cell r="D1086" t="str">
            <v>OPT-539</v>
          </cell>
          <cell r="E1086">
            <v>43087</v>
          </cell>
          <cell r="F1086">
            <v>43118</v>
          </cell>
          <cell r="G1086">
            <v>43496</v>
          </cell>
          <cell r="H1086" t="str">
            <v>PRD</v>
          </cell>
          <cell r="I1086" t="str">
            <v>PRD</v>
          </cell>
          <cell r="J1086" t="str">
            <v>HONDA MOTORBIKE</v>
          </cell>
          <cell r="K1086" t="str">
            <v>HONDA HARNESS WIRE</v>
          </cell>
          <cell r="L1086" t="str">
            <v>CV 10</v>
          </cell>
          <cell r="M1086" t="str">
            <v>S/T 2.1</v>
          </cell>
          <cell r="N1086" t="str">
            <v>ASSEMBLY</v>
          </cell>
          <cell r="O1086" t="str">
            <v>A</v>
          </cell>
        </row>
        <row r="1087">
          <cell r="A1087">
            <v>21807</v>
          </cell>
          <cell r="B1087" t="str">
            <v>VANIA SAFVITRI</v>
          </cell>
          <cell r="C1087" t="str">
            <v>SAMI</v>
          </cell>
          <cell r="D1087" t="str">
            <v>OPT-540</v>
          </cell>
          <cell r="E1087">
            <v>43090</v>
          </cell>
          <cell r="F1087">
            <v>43121</v>
          </cell>
          <cell r="G1087">
            <v>43496</v>
          </cell>
          <cell r="H1087" t="str">
            <v>PRD</v>
          </cell>
          <cell r="I1087" t="str">
            <v>PRD</v>
          </cell>
          <cell r="J1087" t="str">
            <v>HONDA MOTORBIKE</v>
          </cell>
          <cell r="K1087" t="str">
            <v>HONDA HARNESS WIRE</v>
          </cell>
          <cell r="L1087" t="str">
            <v>CV 10</v>
          </cell>
          <cell r="M1087" t="str">
            <v>CAMERA FUSE</v>
          </cell>
          <cell r="N1087" t="str">
            <v>ELECTRICAL INSPECTION</v>
          </cell>
          <cell r="O1087" t="str">
            <v>A</v>
          </cell>
        </row>
        <row r="1088">
          <cell r="A1088">
            <v>22102</v>
          </cell>
          <cell r="B1088" t="str">
            <v>SUKRISTIYANI</v>
          </cell>
          <cell r="C1088" t="str">
            <v>SAMI</v>
          </cell>
          <cell r="D1088" t="str">
            <v>OPT-548</v>
          </cell>
          <cell r="E1088">
            <v>43150</v>
          </cell>
          <cell r="F1088">
            <v>43178</v>
          </cell>
          <cell r="G1088">
            <v>43555</v>
          </cell>
          <cell r="H1088" t="str">
            <v>PRD</v>
          </cell>
          <cell r="I1088" t="str">
            <v>PRD</v>
          </cell>
          <cell r="J1088" t="str">
            <v>HONDA MOTORBIKE</v>
          </cell>
          <cell r="K1088" t="str">
            <v>HONDA HARNESS WIRE</v>
          </cell>
          <cell r="L1088" t="str">
            <v>CV 10</v>
          </cell>
          <cell r="M1088" t="str">
            <v>INSERTION GROUP</v>
          </cell>
          <cell r="N1088" t="str">
            <v>SUB ASSY</v>
          </cell>
          <cell r="O1088" t="str">
            <v>A</v>
          </cell>
        </row>
        <row r="1089">
          <cell r="A1089">
            <v>22581</v>
          </cell>
          <cell r="B1089" t="str">
            <v>ANI AFIATUL KHOFIDHO</v>
          </cell>
          <cell r="C1089" t="str">
            <v>SAMI</v>
          </cell>
          <cell r="D1089" t="str">
            <v>OPT-561</v>
          </cell>
          <cell r="E1089">
            <v>43236</v>
          </cell>
          <cell r="F1089">
            <v>43267</v>
          </cell>
          <cell r="G1089">
            <v>43646</v>
          </cell>
          <cell r="H1089" t="str">
            <v>PRD</v>
          </cell>
          <cell r="I1089" t="str">
            <v>PRD</v>
          </cell>
          <cell r="J1089" t="str">
            <v>HONDA MOTORBIKE</v>
          </cell>
          <cell r="K1089" t="str">
            <v>HONDA HARNESS WIRE</v>
          </cell>
          <cell r="L1089" t="str">
            <v>CV 10</v>
          </cell>
          <cell r="M1089" t="str">
            <v>MATERIAL SUPPLY</v>
          </cell>
          <cell r="N1089" t="str">
            <v>MATERIAL SUPPLY</v>
          </cell>
          <cell r="O1089" t="str">
            <v>A</v>
          </cell>
        </row>
        <row r="1090">
          <cell r="A1090">
            <v>22615</v>
          </cell>
          <cell r="B1090" t="str">
            <v>NAFIS SYAIFA ZUHRITA</v>
          </cell>
          <cell r="C1090" t="str">
            <v>SAMI</v>
          </cell>
          <cell r="D1090" t="str">
            <v>OPT-561</v>
          </cell>
          <cell r="E1090">
            <v>43236</v>
          </cell>
          <cell r="F1090">
            <v>43267</v>
          </cell>
          <cell r="G1090">
            <v>43646</v>
          </cell>
          <cell r="H1090" t="str">
            <v>PRD</v>
          </cell>
          <cell r="I1090" t="str">
            <v>PRD</v>
          </cell>
          <cell r="J1090" t="str">
            <v>HONDA MOTORBIKE</v>
          </cell>
          <cell r="K1090" t="str">
            <v>HONDA HARNESS WIRE</v>
          </cell>
          <cell r="L1090" t="str">
            <v>CV 10</v>
          </cell>
          <cell r="M1090" t="str">
            <v>S/T 3.2</v>
          </cell>
          <cell r="N1090" t="str">
            <v>ASSEMBLY</v>
          </cell>
          <cell r="O1090" t="str">
            <v>A</v>
          </cell>
        </row>
        <row r="1091">
          <cell r="A1091">
            <v>22884</v>
          </cell>
          <cell r="B1091" t="str">
            <v>RIZQIKA ANUNG ANINDHITA</v>
          </cell>
          <cell r="C1091" t="str">
            <v>SAMI</v>
          </cell>
          <cell r="D1091" t="str">
            <v>OPT-567</v>
          </cell>
          <cell r="E1091">
            <v>43333</v>
          </cell>
          <cell r="F1091">
            <v>43364</v>
          </cell>
          <cell r="G1091">
            <v>43738</v>
          </cell>
          <cell r="H1091" t="str">
            <v>PRD</v>
          </cell>
          <cell r="I1091" t="str">
            <v>PRD</v>
          </cell>
          <cell r="J1091" t="str">
            <v>HONDA MOTORBIKE</v>
          </cell>
          <cell r="K1091" t="str">
            <v>HONDA HARNESS WIRE</v>
          </cell>
          <cell r="L1091" t="str">
            <v>CV 10</v>
          </cell>
          <cell r="M1091" t="str">
            <v>MATAERIAL SUPLLY VO</v>
          </cell>
          <cell r="N1091" t="str">
            <v>MATERIAL SUPPLY</v>
          </cell>
          <cell r="O1091" t="str">
            <v>A</v>
          </cell>
        </row>
        <row r="1092">
          <cell r="A1092">
            <v>23004</v>
          </cell>
          <cell r="B1092" t="str">
            <v>DHINDA DHAMAYANTI</v>
          </cell>
          <cell r="C1092" t="str">
            <v>SAMI</v>
          </cell>
          <cell r="D1092" t="str">
            <v>OPT-569</v>
          </cell>
          <cell r="E1092">
            <v>43361</v>
          </cell>
          <cell r="F1092">
            <v>43391</v>
          </cell>
          <cell r="G1092">
            <v>43769</v>
          </cell>
          <cell r="H1092" t="str">
            <v>PRD</v>
          </cell>
          <cell r="I1092" t="str">
            <v>PRD</v>
          </cell>
          <cell r="J1092" t="str">
            <v>HONDA MOTORBIKE</v>
          </cell>
          <cell r="K1092" t="str">
            <v>HONDA HARNESS WIRE</v>
          </cell>
          <cell r="L1092" t="str">
            <v>CV 10</v>
          </cell>
          <cell r="M1092" t="str">
            <v>CIRCUIT SUPPLIER</v>
          </cell>
          <cell r="N1092" t="str">
            <v>CIRCUIT SUPPLY</v>
          </cell>
          <cell r="O1092" t="str">
            <v>A</v>
          </cell>
        </row>
        <row r="1093">
          <cell r="A1093">
            <v>23039</v>
          </cell>
          <cell r="B1093" t="str">
            <v>LILIK VERINA</v>
          </cell>
          <cell r="C1093" t="str">
            <v>SAMI</v>
          </cell>
          <cell r="D1093" t="str">
            <v>OPT-569</v>
          </cell>
          <cell r="E1093">
            <v>43361</v>
          </cell>
          <cell r="F1093">
            <v>43391</v>
          </cell>
          <cell r="G1093">
            <v>43769</v>
          </cell>
          <cell r="H1093" t="str">
            <v>PRD</v>
          </cell>
          <cell r="I1093" t="str">
            <v>PRD</v>
          </cell>
          <cell r="J1093" t="str">
            <v>HONDA MOTORBIKE</v>
          </cell>
          <cell r="K1093" t="str">
            <v>HONDA HARNESS WIRE</v>
          </cell>
          <cell r="L1093" t="str">
            <v>CV 10</v>
          </cell>
          <cell r="M1093" t="str">
            <v>S/A 3</v>
          </cell>
          <cell r="N1093" t="str">
            <v>SUB ASSY</v>
          </cell>
          <cell r="O1093" t="str">
            <v>A</v>
          </cell>
        </row>
        <row r="1094">
          <cell r="A1094">
            <v>23450</v>
          </cell>
          <cell r="B1094" t="str">
            <v xml:space="preserve">OKTAVIANI </v>
          </cell>
          <cell r="C1094" t="str">
            <v>SAMI</v>
          </cell>
          <cell r="D1094" t="str">
            <v>OPT-575</v>
          </cell>
          <cell r="E1094">
            <v>43434</v>
          </cell>
          <cell r="F1094">
            <v>43464</v>
          </cell>
          <cell r="G1094">
            <v>43830</v>
          </cell>
          <cell r="H1094" t="str">
            <v>PRD</v>
          </cell>
          <cell r="I1094" t="str">
            <v>PRD</v>
          </cell>
          <cell r="J1094" t="str">
            <v>HONDA MOTORBIKE</v>
          </cell>
          <cell r="K1094" t="str">
            <v>HONDA HARNESS WIRE</v>
          </cell>
          <cell r="L1094" t="str">
            <v>CV 10</v>
          </cell>
          <cell r="M1094" t="str">
            <v>S/A 4</v>
          </cell>
          <cell r="N1094" t="str">
            <v>SUB ASSY</v>
          </cell>
          <cell r="O1094" t="str">
            <v>A</v>
          </cell>
        </row>
        <row r="1095">
          <cell r="A1095">
            <v>23506</v>
          </cell>
          <cell r="B1095" t="str">
            <v>ISNA AF'IDATUN NISA'</v>
          </cell>
          <cell r="C1095" t="str">
            <v>SAMI</v>
          </cell>
          <cell r="D1095" t="str">
            <v>OPT-576</v>
          </cell>
          <cell r="E1095">
            <v>43441</v>
          </cell>
          <cell r="F1095">
            <v>43472</v>
          </cell>
          <cell r="G1095">
            <v>43830</v>
          </cell>
          <cell r="H1095" t="str">
            <v>PRD</v>
          </cell>
          <cell r="I1095" t="str">
            <v>PRD</v>
          </cell>
          <cell r="J1095" t="str">
            <v>HONDA MOTORBIKE</v>
          </cell>
          <cell r="K1095" t="str">
            <v>HONDA HARNESS WIRE</v>
          </cell>
          <cell r="L1095" t="str">
            <v>CV 10</v>
          </cell>
          <cell r="M1095" t="str">
            <v xml:space="preserve">OJT CHECKER </v>
          </cell>
          <cell r="N1095" t="str">
            <v>INTERNAL TRIAL</v>
          </cell>
          <cell r="O1095" t="str">
            <v>A</v>
          </cell>
        </row>
        <row r="1096">
          <cell r="A1096" t="str">
            <v>B00166</v>
          </cell>
          <cell r="B1096" t="str">
            <v>SETIYANINGSIH</v>
          </cell>
          <cell r="C1096" t="str">
            <v>SAMI</v>
          </cell>
          <cell r="D1096" t="str">
            <v>BBF-003</v>
          </cell>
          <cell r="E1096">
            <v>40840</v>
          </cell>
          <cell r="F1096" t="str">
            <v>-</v>
          </cell>
          <cell r="G1096" t="str">
            <v>-</v>
          </cell>
          <cell r="H1096" t="str">
            <v>PRD</v>
          </cell>
          <cell r="I1096" t="str">
            <v>PRD</v>
          </cell>
          <cell r="J1096" t="str">
            <v>HONDA MOTORBIKE</v>
          </cell>
          <cell r="K1096" t="str">
            <v>HONDA HARNESS WIRE</v>
          </cell>
          <cell r="L1096" t="str">
            <v>CV 10</v>
          </cell>
          <cell r="M1096" t="str">
            <v>T/P 1.2</v>
          </cell>
          <cell r="N1096" t="str">
            <v>ASSEMBLY</v>
          </cell>
          <cell r="O1096" t="str">
            <v>A</v>
          </cell>
        </row>
        <row r="1097">
          <cell r="A1097" t="str">
            <v>B01085</v>
          </cell>
          <cell r="B1097" t="str">
            <v>NURKHAMILIA FITRIYANI</v>
          </cell>
          <cell r="C1097" t="str">
            <v>SAMI</v>
          </cell>
          <cell r="D1097" t="str">
            <v>BBF-028</v>
          </cell>
          <cell r="E1097">
            <v>41099</v>
          </cell>
          <cell r="F1097" t="str">
            <v>-</v>
          </cell>
          <cell r="G1097" t="str">
            <v>-</v>
          </cell>
          <cell r="H1097" t="str">
            <v>PRD</v>
          </cell>
          <cell r="I1097" t="str">
            <v>PRD</v>
          </cell>
          <cell r="J1097" t="str">
            <v>HONDA MOTORBIKE</v>
          </cell>
          <cell r="K1097" t="str">
            <v>HONDA HARNESS WIRE</v>
          </cell>
          <cell r="L1097" t="str">
            <v>CV 10</v>
          </cell>
          <cell r="M1097" t="str">
            <v>T/P 2.1</v>
          </cell>
          <cell r="N1097" t="str">
            <v>ASSEMBLY</v>
          </cell>
          <cell r="O1097" t="str">
            <v>A</v>
          </cell>
        </row>
        <row r="1098">
          <cell r="A1098" t="str">
            <v>B01165</v>
          </cell>
          <cell r="B1098" t="str">
            <v>SITI NUR RIANA</v>
          </cell>
          <cell r="C1098" t="str">
            <v>SAMI</v>
          </cell>
          <cell r="D1098" t="str">
            <v>BBF-030</v>
          </cell>
          <cell r="E1098">
            <v>41165</v>
          </cell>
          <cell r="F1098" t="str">
            <v>-</v>
          </cell>
          <cell r="G1098" t="str">
            <v>-</v>
          </cell>
          <cell r="H1098" t="str">
            <v>PRD</v>
          </cell>
          <cell r="I1098" t="str">
            <v>PRD</v>
          </cell>
          <cell r="J1098" t="str">
            <v>HONDA MOTORBIKE</v>
          </cell>
          <cell r="K1098" t="str">
            <v>HONDA HARNESS WIRE</v>
          </cell>
          <cell r="L1098" t="str">
            <v>CV 10</v>
          </cell>
          <cell r="M1098" t="str">
            <v>VISUAL</v>
          </cell>
          <cell r="N1098" t="str">
            <v>VISUAL INSPECTION</v>
          </cell>
          <cell r="O1098" t="str">
            <v>A</v>
          </cell>
        </row>
        <row r="1099">
          <cell r="A1099" t="str">
            <v>B02978</v>
          </cell>
          <cell r="B1099" t="str">
            <v>DIAH AYU PANGESTIKA</v>
          </cell>
          <cell r="C1099" t="str">
            <v>SAMI</v>
          </cell>
          <cell r="D1099" t="str">
            <v>BBF-139</v>
          </cell>
          <cell r="E1099">
            <v>42282</v>
          </cell>
          <cell r="F1099" t="str">
            <v>-</v>
          </cell>
          <cell r="G1099" t="str">
            <v>-</v>
          </cell>
          <cell r="H1099" t="str">
            <v>PRD</v>
          </cell>
          <cell r="I1099" t="str">
            <v>PRD</v>
          </cell>
          <cell r="J1099" t="str">
            <v>HONDA MOTORBIKE</v>
          </cell>
          <cell r="K1099" t="str">
            <v>HONDA HARNESS WIRE</v>
          </cell>
          <cell r="L1099" t="str">
            <v>CV 10</v>
          </cell>
          <cell r="M1099" t="str">
            <v>S/T 1.1</v>
          </cell>
          <cell r="N1099" t="str">
            <v>ASSEMBLY</v>
          </cell>
          <cell r="O1099" t="str">
            <v>A</v>
          </cell>
        </row>
        <row r="1100">
          <cell r="A1100">
            <v>23560</v>
          </cell>
          <cell r="B1100" t="str">
            <v>ISTIKOMAH</v>
          </cell>
          <cell r="C1100" t="str">
            <v>SAMI</v>
          </cell>
          <cell r="D1100" t="str">
            <v>OPT-577</v>
          </cell>
          <cell r="E1100">
            <v>43452</v>
          </cell>
          <cell r="F1100">
            <v>43483</v>
          </cell>
          <cell r="G1100">
            <v>43861</v>
          </cell>
          <cell r="H1100" t="str">
            <v>PRD</v>
          </cell>
          <cell r="I1100" t="str">
            <v>PRD</v>
          </cell>
          <cell r="J1100" t="str">
            <v>HONDA MOTORBIKE</v>
          </cell>
          <cell r="K1100" t="str">
            <v>HONDA HARNESS WIRE</v>
          </cell>
          <cell r="L1100" t="str">
            <v>CV 10</v>
          </cell>
          <cell r="M1100" t="str">
            <v>OJT S/T 1.2</v>
          </cell>
          <cell r="N1100" t="str">
            <v>INTERNAL TRIAL</v>
          </cell>
          <cell r="O1100" t="str">
            <v>A</v>
          </cell>
        </row>
        <row r="1101">
          <cell r="A1101" t="str">
            <v>M23628</v>
          </cell>
          <cell r="B1101" t="str">
            <v>PIPIT BUDIARTI</v>
          </cell>
          <cell r="C1101" t="str">
            <v>SAMI</v>
          </cell>
          <cell r="D1101" t="str">
            <v>OPT-578</v>
          </cell>
          <cell r="E1101">
            <v>43467</v>
          </cell>
          <cell r="F1101">
            <v>43467</v>
          </cell>
          <cell r="G1101">
            <v>43497</v>
          </cell>
          <cell r="H1101" t="str">
            <v>PRD</v>
          </cell>
          <cell r="I1101" t="str">
            <v>PRD</v>
          </cell>
          <cell r="J1101" t="str">
            <v>HONDA MOTORBIKE</v>
          </cell>
          <cell r="K1101" t="str">
            <v>HONDA HARNESS WIRE</v>
          </cell>
          <cell r="L1101" t="str">
            <v>CV 10</v>
          </cell>
          <cell r="M1101" t="str">
            <v>S/T 1</v>
          </cell>
          <cell r="N1101" t="str">
            <v>ASSEMBLY</v>
          </cell>
          <cell r="O1101" t="str">
            <v>A (NS)</v>
          </cell>
        </row>
        <row r="1102">
          <cell r="A1102">
            <v>163</v>
          </cell>
          <cell r="B1102" t="str">
            <v>BOMI SUMARAH</v>
          </cell>
          <cell r="C1102" t="str">
            <v>SAMI</v>
          </cell>
          <cell r="D1102" t="str">
            <v>OPT-5</v>
          </cell>
          <cell r="E1102">
            <v>37679</v>
          </cell>
          <cell r="F1102" t="str">
            <v>-</v>
          </cell>
          <cell r="G1102" t="str">
            <v>-</v>
          </cell>
          <cell r="H1102" t="str">
            <v>PRD</v>
          </cell>
          <cell r="I1102" t="str">
            <v>PRD</v>
          </cell>
          <cell r="J1102" t="str">
            <v>HONDA N-WAGON</v>
          </cell>
          <cell r="K1102" t="str">
            <v>HONDA SMALL CAR W/H DOOR</v>
          </cell>
          <cell r="L1102" t="str">
            <v>CV 12</v>
          </cell>
          <cell r="M1102" t="str">
            <v>SUB LINE CHO</v>
          </cell>
          <cell r="N1102" t="str">
            <v>GL</v>
          </cell>
          <cell r="O1102" t="str">
            <v>B</v>
          </cell>
        </row>
        <row r="1103">
          <cell r="A1103">
            <v>9995</v>
          </cell>
          <cell r="B1103" t="str">
            <v>ANITA WIJI WINATA</v>
          </cell>
          <cell r="C1103" t="str">
            <v>SAMI</v>
          </cell>
          <cell r="D1103" t="str">
            <v>OPT-247</v>
          </cell>
          <cell r="E1103">
            <v>40438</v>
          </cell>
          <cell r="F1103" t="str">
            <v>-</v>
          </cell>
          <cell r="G1103" t="str">
            <v>-</v>
          </cell>
          <cell r="H1103" t="str">
            <v>PRD</v>
          </cell>
          <cell r="I1103" t="str">
            <v>PRD</v>
          </cell>
          <cell r="J1103" t="str">
            <v>HONDA N-WAGON</v>
          </cell>
          <cell r="K1103" t="str">
            <v>HONDA SMALL CAR W/H DOOR</v>
          </cell>
          <cell r="L1103" t="str">
            <v>CV 12</v>
          </cell>
          <cell r="M1103" t="str">
            <v>T/P 2</v>
          </cell>
          <cell r="N1103" t="str">
            <v>ASSEMBLY</v>
          </cell>
          <cell r="O1103" t="str">
            <v>B</v>
          </cell>
        </row>
        <row r="1104">
          <cell r="A1104">
            <v>11825</v>
          </cell>
          <cell r="B1104" t="str">
            <v>NURUL ARIFAH APRILIYANI</v>
          </cell>
          <cell r="C1104" t="str">
            <v>SAMI</v>
          </cell>
          <cell r="D1104" t="str">
            <v>OPT-309</v>
          </cell>
          <cell r="E1104">
            <v>40721</v>
          </cell>
          <cell r="F1104" t="str">
            <v>-</v>
          </cell>
          <cell r="G1104" t="str">
            <v>-</v>
          </cell>
          <cell r="H1104" t="str">
            <v>PRD</v>
          </cell>
          <cell r="I1104" t="str">
            <v>PRD</v>
          </cell>
          <cell r="J1104" t="str">
            <v>HONDA N-WAGON</v>
          </cell>
          <cell r="K1104" t="str">
            <v>HONDA SMALL CAR W/H DOOR</v>
          </cell>
          <cell r="L1104" t="str">
            <v>CV 12</v>
          </cell>
          <cell r="M1104" t="str">
            <v>S/A 3</v>
          </cell>
          <cell r="N1104" t="str">
            <v>SUB ASSY</v>
          </cell>
          <cell r="O1104" t="str">
            <v>B</v>
          </cell>
        </row>
        <row r="1105">
          <cell r="A1105">
            <v>11930</v>
          </cell>
          <cell r="B1105" t="str">
            <v>ETY NUOR RICHA</v>
          </cell>
          <cell r="C1105" t="str">
            <v>SAMI</v>
          </cell>
          <cell r="D1105" t="str">
            <v>OPT-311</v>
          </cell>
          <cell r="E1105">
            <v>40770</v>
          </cell>
          <cell r="F1105" t="str">
            <v>-</v>
          </cell>
          <cell r="G1105" t="str">
            <v>-</v>
          </cell>
          <cell r="H1105" t="str">
            <v>PRD</v>
          </cell>
          <cell r="I1105" t="str">
            <v>PRD</v>
          </cell>
          <cell r="J1105" t="str">
            <v>HONDA N-WAGON</v>
          </cell>
          <cell r="K1105" t="str">
            <v>HONDA SMALL CAR W/H DOOR</v>
          </cell>
          <cell r="L1105" t="str">
            <v>CV 12</v>
          </cell>
          <cell r="M1105" t="str">
            <v>LQC</v>
          </cell>
          <cell r="N1105" t="str">
            <v>RELIEF</v>
          </cell>
          <cell r="O1105" t="str">
            <v>B</v>
          </cell>
        </row>
        <row r="1106">
          <cell r="A1106">
            <v>12766</v>
          </cell>
          <cell r="B1106" t="str">
            <v>SULIS TYONINGSIH</v>
          </cell>
          <cell r="C1106" t="str">
            <v>SAMI</v>
          </cell>
          <cell r="D1106" t="str">
            <v>OPT-320</v>
          </cell>
          <cell r="E1106">
            <v>40819</v>
          </cell>
          <cell r="F1106" t="str">
            <v>-</v>
          </cell>
          <cell r="G1106" t="str">
            <v>-</v>
          </cell>
          <cell r="H1106" t="str">
            <v>PRD</v>
          </cell>
          <cell r="I1106" t="str">
            <v>PRD</v>
          </cell>
          <cell r="J1106" t="str">
            <v>HONDA N-WAGON</v>
          </cell>
          <cell r="K1106" t="str">
            <v>HONDA SMALL CAR W/H DOOR</v>
          </cell>
          <cell r="L1106" t="str">
            <v>CV 12</v>
          </cell>
          <cell r="M1106" t="str">
            <v>S/A 5</v>
          </cell>
          <cell r="N1106" t="str">
            <v>SUB ASSY</v>
          </cell>
          <cell r="O1106" t="str">
            <v>B</v>
          </cell>
        </row>
        <row r="1107">
          <cell r="A1107">
            <v>12923</v>
          </cell>
          <cell r="B1107" t="str">
            <v>RETNO KUMALASARI</v>
          </cell>
          <cell r="C1107" t="str">
            <v>SAMI</v>
          </cell>
          <cell r="D1107" t="str">
            <v>OPT-322</v>
          </cell>
          <cell r="E1107">
            <v>40833</v>
          </cell>
          <cell r="F1107" t="str">
            <v>-</v>
          </cell>
          <cell r="G1107" t="str">
            <v>-</v>
          </cell>
          <cell r="H1107" t="str">
            <v>PRD</v>
          </cell>
          <cell r="I1107" t="str">
            <v>PRD</v>
          </cell>
          <cell r="J1107" t="str">
            <v>HONDA N-WAGON</v>
          </cell>
          <cell r="K1107" t="str">
            <v>HONDA SMALL CAR W/H DOOR</v>
          </cell>
          <cell r="L1107" t="str">
            <v>CV 12</v>
          </cell>
          <cell r="M1107" t="str">
            <v>S/A 7</v>
          </cell>
          <cell r="N1107" t="str">
            <v>SUB ASSY</v>
          </cell>
          <cell r="O1107" t="str">
            <v>B</v>
          </cell>
        </row>
        <row r="1108">
          <cell r="A1108">
            <v>20621</v>
          </cell>
          <cell r="B1108" t="str">
            <v xml:space="preserve">NIA ERFIANA </v>
          </cell>
          <cell r="C1108" t="str">
            <v>SAMI</v>
          </cell>
          <cell r="D1108" t="str">
            <v>OPT-505</v>
          </cell>
          <cell r="E1108">
            <v>42639</v>
          </cell>
          <cell r="F1108">
            <v>43132</v>
          </cell>
          <cell r="G1108">
            <v>43496</v>
          </cell>
          <cell r="H1108" t="str">
            <v>PRD</v>
          </cell>
          <cell r="I1108" t="str">
            <v>PRD</v>
          </cell>
          <cell r="J1108" t="str">
            <v>HONDA N-WAGON</v>
          </cell>
          <cell r="K1108" t="str">
            <v>HONDA SMALL CAR W/H DOOR</v>
          </cell>
          <cell r="L1108" t="str">
            <v>CV 12</v>
          </cell>
          <cell r="M1108" t="str">
            <v>S/A 2</v>
          </cell>
          <cell r="N1108" t="str">
            <v>SUB ASSY</v>
          </cell>
          <cell r="O1108" t="str">
            <v>B</v>
          </cell>
        </row>
        <row r="1109">
          <cell r="A1109">
            <v>20728</v>
          </cell>
          <cell r="B1109" t="str">
            <v>MEISYA SYAMSIAH</v>
          </cell>
          <cell r="C1109" t="str">
            <v>SAMI</v>
          </cell>
          <cell r="D1109" t="str">
            <v>OPT-506</v>
          </cell>
          <cell r="E1109">
            <v>42642</v>
          </cell>
          <cell r="F1109">
            <v>43132</v>
          </cell>
          <cell r="G1109">
            <v>43496</v>
          </cell>
          <cell r="H1109" t="str">
            <v>PRD</v>
          </cell>
          <cell r="I1109" t="str">
            <v>PRD</v>
          </cell>
          <cell r="J1109" t="str">
            <v>HONDA N-WAGON</v>
          </cell>
          <cell r="K1109" t="str">
            <v>HONDA SMALL CAR W/H DOOR</v>
          </cell>
          <cell r="L1109" t="str">
            <v>CV 12</v>
          </cell>
          <cell r="M1109" t="str">
            <v>T/P 1</v>
          </cell>
          <cell r="N1109" t="str">
            <v>ASSEMBLY</v>
          </cell>
          <cell r="O1109" t="str">
            <v>B</v>
          </cell>
        </row>
        <row r="1110">
          <cell r="A1110">
            <v>21278</v>
          </cell>
          <cell r="B1110" t="str">
            <v>ASTUTIK</v>
          </cell>
          <cell r="C1110" t="str">
            <v>SAMI</v>
          </cell>
          <cell r="D1110" t="str">
            <v>OPT-530</v>
          </cell>
          <cell r="E1110">
            <v>43010</v>
          </cell>
          <cell r="F1110">
            <v>43405</v>
          </cell>
          <cell r="G1110">
            <v>43769</v>
          </cell>
          <cell r="H1110" t="str">
            <v>PRD</v>
          </cell>
          <cell r="I1110" t="str">
            <v>PRD</v>
          </cell>
          <cell r="J1110" t="str">
            <v>HONDA N-WAGON</v>
          </cell>
          <cell r="K1110" t="str">
            <v>HONDA SMALL CAR W/H DOOR</v>
          </cell>
          <cell r="L1110" t="str">
            <v>CV 12</v>
          </cell>
          <cell r="M1110" t="str">
            <v>S/A 1</v>
          </cell>
          <cell r="N1110" t="str">
            <v>SUB ASSY</v>
          </cell>
          <cell r="O1110" t="str">
            <v>B</v>
          </cell>
        </row>
        <row r="1111">
          <cell r="A1111">
            <v>21384</v>
          </cell>
          <cell r="B1111" t="str">
            <v xml:space="preserve">DEWI SEKAR WANGEN </v>
          </cell>
          <cell r="C1111" t="str">
            <v>SAMI</v>
          </cell>
          <cell r="D1111" t="str">
            <v>OPT-532</v>
          </cell>
          <cell r="E1111">
            <v>43018</v>
          </cell>
          <cell r="F1111">
            <v>43405</v>
          </cell>
          <cell r="G1111">
            <v>43769</v>
          </cell>
          <cell r="H1111" t="str">
            <v>PRD</v>
          </cell>
          <cell r="I1111" t="str">
            <v>PRD</v>
          </cell>
          <cell r="J1111" t="str">
            <v>HONDA N-WAGON</v>
          </cell>
          <cell r="K1111" t="str">
            <v>HONDA SMALL CAR W/H DOOR</v>
          </cell>
          <cell r="L1111" t="str">
            <v>CV 12</v>
          </cell>
          <cell r="M1111" t="str">
            <v>T/P 5</v>
          </cell>
          <cell r="N1111" t="str">
            <v>ASSEMBLY</v>
          </cell>
          <cell r="O1111" t="str">
            <v>B</v>
          </cell>
        </row>
        <row r="1112">
          <cell r="A1112">
            <v>21925</v>
          </cell>
          <cell r="B1112" t="str">
            <v>SITI IFAH NUR SAFITRI</v>
          </cell>
          <cell r="C1112" t="str">
            <v>SAMI</v>
          </cell>
          <cell r="D1112" t="str">
            <v>OPT-543</v>
          </cell>
          <cell r="E1112">
            <v>43108</v>
          </cell>
          <cell r="F1112">
            <v>43139</v>
          </cell>
          <cell r="G1112">
            <v>43496</v>
          </cell>
          <cell r="H1112" t="str">
            <v>PRD</v>
          </cell>
          <cell r="I1112" t="str">
            <v>PRD</v>
          </cell>
          <cell r="J1112" t="str">
            <v>HONDA N-WAGON</v>
          </cell>
          <cell r="K1112" t="str">
            <v>HONDA SMALL CAR W/H DOOR</v>
          </cell>
          <cell r="L1112" t="str">
            <v>CV 12</v>
          </cell>
          <cell r="M1112" t="str">
            <v>CHECKER</v>
          </cell>
          <cell r="N1112" t="str">
            <v>ELECTRICAL INSPECTION</v>
          </cell>
          <cell r="O1112" t="str">
            <v>B</v>
          </cell>
        </row>
        <row r="1113">
          <cell r="A1113">
            <v>22155</v>
          </cell>
          <cell r="B1113" t="str">
            <v>SITI YULIANTI</v>
          </cell>
          <cell r="C1113" t="str">
            <v>SAMI</v>
          </cell>
          <cell r="D1113" t="str">
            <v>OPT-549</v>
          </cell>
          <cell r="E1113">
            <v>43153</v>
          </cell>
          <cell r="F1113">
            <v>43181</v>
          </cell>
          <cell r="G1113">
            <v>43555</v>
          </cell>
          <cell r="H1113" t="str">
            <v>PRD</v>
          </cell>
          <cell r="I1113" t="str">
            <v>PRD</v>
          </cell>
          <cell r="J1113" t="str">
            <v>HONDA N-WAGON</v>
          </cell>
          <cell r="K1113" t="str">
            <v>HONDA SMALL CAR W/H DOOR</v>
          </cell>
          <cell r="L1113" t="str">
            <v>CV 12</v>
          </cell>
          <cell r="M1113" t="str">
            <v>CIRCUIT SUPPLIER</v>
          </cell>
          <cell r="N1113" t="str">
            <v>CIRCUIT SUPPLY</v>
          </cell>
          <cell r="O1113" t="str">
            <v>B</v>
          </cell>
        </row>
        <row r="1114">
          <cell r="A1114">
            <v>22202</v>
          </cell>
          <cell r="B1114" t="str">
            <v>SUSILOWATI</v>
          </cell>
          <cell r="C1114" t="str">
            <v>SAMI</v>
          </cell>
          <cell r="D1114" t="str">
            <v>OPT-550</v>
          </cell>
          <cell r="E1114">
            <v>43158</v>
          </cell>
          <cell r="F1114">
            <v>43186</v>
          </cell>
          <cell r="G1114">
            <v>43555</v>
          </cell>
          <cell r="H1114" t="str">
            <v>PRD</v>
          </cell>
          <cell r="I1114" t="str">
            <v>PRD</v>
          </cell>
          <cell r="J1114" t="str">
            <v>HONDA N-WAGON</v>
          </cell>
          <cell r="K1114" t="str">
            <v>HONDA SMALL CAR W/H DOOR</v>
          </cell>
          <cell r="L1114" t="str">
            <v>CV 12</v>
          </cell>
          <cell r="M1114" t="str">
            <v>T/P 4</v>
          </cell>
          <cell r="N1114" t="str">
            <v>ASSEMBLY</v>
          </cell>
          <cell r="O1114" t="str">
            <v>B</v>
          </cell>
        </row>
        <row r="1115">
          <cell r="A1115">
            <v>22262</v>
          </cell>
          <cell r="B1115" t="str">
            <v>FANI HANDAYANI LESTARI</v>
          </cell>
          <cell r="C1115" t="str">
            <v>SAMI</v>
          </cell>
          <cell r="D1115" t="str">
            <v>OPT-553</v>
          </cell>
          <cell r="E1115">
            <v>43175</v>
          </cell>
          <cell r="F1115">
            <v>43206</v>
          </cell>
          <cell r="G1115">
            <v>43585</v>
          </cell>
          <cell r="H1115" t="str">
            <v>PRD</v>
          </cell>
          <cell r="I1115" t="str">
            <v>PRD</v>
          </cell>
          <cell r="J1115" t="str">
            <v>HONDA N-WAGON</v>
          </cell>
          <cell r="K1115" t="str">
            <v>HONDA SMALL CAR W/H DOOR</v>
          </cell>
          <cell r="L1115" t="str">
            <v>CV 12</v>
          </cell>
          <cell r="M1115" t="str">
            <v>INSERTION GROUP</v>
          </cell>
          <cell r="N1115" t="str">
            <v>SUB ASSY</v>
          </cell>
          <cell r="O1115" t="str">
            <v>B</v>
          </cell>
        </row>
        <row r="1116">
          <cell r="A1116">
            <v>22329</v>
          </cell>
          <cell r="B1116" t="str">
            <v>DARIANA KUSWANDARI</v>
          </cell>
          <cell r="C1116" t="str">
            <v>SAMI</v>
          </cell>
          <cell r="D1116" t="str">
            <v>OPT-556</v>
          </cell>
          <cell r="E1116">
            <v>43195</v>
          </cell>
          <cell r="F1116">
            <v>43225</v>
          </cell>
          <cell r="G1116">
            <v>43585</v>
          </cell>
          <cell r="H1116" t="str">
            <v>PRD</v>
          </cell>
          <cell r="I1116" t="str">
            <v>PRD</v>
          </cell>
          <cell r="J1116" t="str">
            <v>HONDA N-WAGON</v>
          </cell>
          <cell r="K1116" t="str">
            <v>HONDA SMALL CAR W/H DOOR</v>
          </cell>
          <cell r="L1116" t="str">
            <v>CV 12</v>
          </cell>
          <cell r="M1116" t="str">
            <v>S/A 6</v>
          </cell>
          <cell r="N1116" t="str">
            <v>SUB ASSY</v>
          </cell>
          <cell r="O1116" t="str">
            <v>B</v>
          </cell>
        </row>
        <row r="1117">
          <cell r="A1117">
            <v>22892</v>
          </cell>
          <cell r="B1117" t="str">
            <v>SITI NURHASANAH</v>
          </cell>
          <cell r="C1117" t="str">
            <v>SAMI</v>
          </cell>
          <cell r="D1117" t="str">
            <v>OPT-567</v>
          </cell>
          <cell r="E1117">
            <v>43333</v>
          </cell>
          <cell r="F1117">
            <v>43364</v>
          </cell>
          <cell r="G1117">
            <v>43738</v>
          </cell>
          <cell r="H1117" t="str">
            <v>PRD</v>
          </cell>
          <cell r="I1117" t="str">
            <v>PRD</v>
          </cell>
          <cell r="J1117" t="str">
            <v>HONDA N-WAGON</v>
          </cell>
          <cell r="K1117" t="str">
            <v>HONDA SMALL CAR W/H DOOR</v>
          </cell>
          <cell r="L1117" t="str">
            <v>CV 12</v>
          </cell>
          <cell r="M1117" t="str">
            <v>MATERIAL SUPPLY</v>
          </cell>
          <cell r="N1117" t="str">
            <v>MATERIAL SUPPLY</v>
          </cell>
          <cell r="O1117" t="str">
            <v>B</v>
          </cell>
        </row>
        <row r="1118">
          <cell r="A1118">
            <v>23058</v>
          </cell>
          <cell r="B1118" t="str">
            <v>NUR FAIDAH</v>
          </cell>
          <cell r="C1118" t="str">
            <v>SAMI</v>
          </cell>
          <cell r="D1118" t="str">
            <v>OPT-569</v>
          </cell>
          <cell r="E1118">
            <v>43361</v>
          </cell>
          <cell r="F1118">
            <v>43391</v>
          </cell>
          <cell r="G1118">
            <v>43769</v>
          </cell>
          <cell r="H1118" t="str">
            <v>PRD</v>
          </cell>
          <cell r="I1118" t="str">
            <v>PRD</v>
          </cell>
          <cell r="J1118" t="str">
            <v>HONDA N-WAGON</v>
          </cell>
          <cell r="K1118" t="str">
            <v>HONDA SMALL CAR W/H DOOR</v>
          </cell>
          <cell r="L1118" t="str">
            <v>CV 12</v>
          </cell>
          <cell r="M1118" t="str">
            <v>CHECKER</v>
          </cell>
          <cell r="N1118" t="str">
            <v>ELECTRICAL INSPECTION</v>
          </cell>
          <cell r="O1118" t="str">
            <v>B</v>
          </cell>
        </row>
        <row r="1119">
          <cell r="A1119">
            <v>23115</v>
          </cell>
          <cell r="B1119" t="str">
            <v>FATIN MUFIDAH</v>
          </cell>
          <cell r="C1119" t="str">
            <v>SAMI</v>
          </cell>
          <cell r="D1119" t="str">
            <v>OPT-570</v>
          </cell>
          <cell r="E1119">
            <v>43369</v>
          </cell>
          <cell r="F1119">
            <v>43399</v>
          </cell>
          <cell r="G1119">
            <v>43769</v>
          </cell>
          <cell r="H1119" t="str">
            <v>PRD</v>
          </cell>
          <cell r="I1119" t="str">
            <v>PRD</v>
          </cell>
          <cell r="J1119" t="str">
            <v>HONDA N-WAGON</v>
          </cell>
          <cell r="K1119" t="str">
            <v>HONDA SMALL CAR W/H DOOR</v>
          </cell>
          <cell r="L1119" t="str">
            <v>CV 12</v>
          </cell>
          <cell r="M1119" t="str">
            <v>S/A 8</v>
          </cell>
          <cell r="N1119" t="str">
            <v>SUB ASSY</v>
          </cell>
          <cell r="O1119" t="str">
            <v>B</v>
          </cell>
        </row>
        <row r="1120">
          <cell r="A1120">
            <v>23232</v>
          </cell>
          <cell r="B1120" t="str">
            <v>KHARISSATUSSOGHIROH</v>
          </cell>
          <cell r="C1120" t="str">
            <v>SAMI</v>
          </cell>
          <cell r="D1120" t="str">
            <v>OPT-573</v>
          </cell>
          <cell r="E1120">
            <v>43421</v>
          </cell>
          <cell r="F1120">
            <v>43451</v>
          </cell>
          <cell r="G1120">
            <v>43830</v>
          </cell>
          <cell r="H1120" t="str">
            <v>PRD</v>
          </cell>
          <cell r="I1120" t="str">
            <v>PRD</v>
          </cell>
          <cell r="J1120" t="str">
            <v>HONDA N-WAGON</v>
          </cell>
          <cell r="K1120" t="str">
            <v>HONDA SMALL CAR W/H DOOR</v>
          </cell>
          <cell r="L1120" t="str">
            <v>CV 12</v>
          </cell>
          <cell r="M1120" t="str">
            <v>T/P 3</v>
          </cell>
          <cell r="N1120" t="str">
            <v>ASSEMBLY</v>
          </cell>
          <cell r="O1120" t="str">
            <v>B</v>
          </cell>
        </row>
        <row r="1121">
          <cell r="A1121">
            <v>23233</v>
          </cell>
          <cell r="B1121" t="str">
            <v>KHOLIDAH</v>
          </cell>
          <cell r="C1121" t="str">
            <v>SAMI</v>
          </cell>
          <cell r="D1121" t="str">
            <v>OPT-573</v>
          </cell>
          <cell r="E1121">
            <v>43421</v>
          </cell>
          <cell r="F1121">
            <v>43451</v>
          </cell>
          <cell r="G1121">
            <v>43830</v>
          </cell>
          <cell r="H1121" t="str">
            <v>PRD</v>
          </cell>
          <cell r="I1121" t="str">
            <v>PRD</v>
          </cell>
          <cell r="J1121" t="str">
            <v>HONDA N-WAGON</v>
          </cell>
          <cell r="K1121" t="str">
            <v>HONDA SMALL CAR W/H DOOR</v>
          </cell>
          <cell r="L1121" t="str">
            <v>CV 12</v>
          </cell>
          <cell r="M1121" t="str">
            <v>S/A 4</v>
          </cell>
          <cell r="N1121" t="str">
            <v>SUB ASSY</v>
          </cell>
          <cell r="O1121" t="str">
            <v>B</v>
          </cell>
        </row>
        <row r="1122">
          <cell r="A1122">
            <v>23507</v>
          </cell>
          <cell r="B1122" t="str">
            <v>ISTI BAROKAH</v>
          </cell>
          <cell r="C1122" t="str">
            <v>SAMI</v>
          </cell>
          <cell r="D1122" t="str">
            <v>OPT-576</v>
          </cell>
          <cell r="E1122">
            <v>43441</v>
          </cell>
          <cell r="F1122">
            <v>43472</v>
          </cell>
          <cell r="G1122">
            <v>43830</v>
          </cell>
          <cell r="H1122" t="str">
            <v>PRD</v>
          </cell>
          <cell r="I1122" t="str">
            <v>PRD</v>
          </cell>
          <cell r="J1122" t="str">
            <v>HONDA N-WAGON</v>
          </cell>
          <cell r="K1122" t="str">
            <v>HONDA SMALL CAR W/H DOOR</v>
          </cell>
          <cell r="L1122" t="str">
            <v>CV 12</v>
          </cell>
          <cell r="M1122" t="str">
            <v>OJT T/P 1</v>
          </cell>
          <cell r="N1122" t="str">
            <v>INTERNAL TRIAL</v>
          </cell>
          <cell r="O1122" t="str">
            <v>B</v>
          </cell>
        </row>
        <row r="1123">
          <cell r="A1123" t="str">
            <v>B02823</v>
          </cell>
          <cell r="B1123" t="str">
            <v>AHMAD GHOZALI ZULKARNAEN</v>
          </cell>
          <cell r="C1123" t="str">
            <v>SAMI</v>
          </cell>
          <cell r="D1123" t="str">
            <v>BBF-133</v>
          </cell>
          <cell r="E1123">
            <v>42226</v>
          </cell>
          <cell r="F1123" t="str">
            <v>-</v>
          </cell>
          <cell r="G1123" t="str">
            <v>-</v>
          </cell>
          <cell r="H1123" t="str">
            <v>PRD</v>
          </cell>
          <cell r="I1123" t="str">
            <v>PRD</v>
          </cell>
          <cell r="J1123" t="str">
            <v>HONDA N-WAGON</v>
          </cell>
          <cell r="K1123" t="str">
            <v>HONDA SMALL CAR W/H DOOR</v>
          </cell>
          <cell r="L1123" t="str">
            <v>CV 12</v>
          </cell>
          <cell r="M1123" t="str">
            <v>T/P 6</v>
          </cell>
          <cell r="N1123" t="str">
            <v>ASSEMBLY</v>
          </cell>
          <cell r="O1123" t="str">
            <v>B</v>
          </cell>
        </row>
        <row r="1124">
          <cell r="A1124">
            <v>23562</v>
          </cell>
          <cell r="B1124" t="str">
            <v>KHAMIDATUL MUBAROKAH</v>
          </cell>
          <cell r="C1124" t="str">
            <v>SAMI</v>
          </cell>
          <cell r="D1124" t="str">
            <v>OPT-577</v>
          </cell>
          <cell r="E1124">
            <v>43452</v>
          </cell>
          <cell r="F1124">
            <v>43483</v>
          </cell>
          <cell r="G1124">
            <v>43861</v>
          </cell>
          <cell r="H1124" t="str">
            <v>PRD</v>
          </cell>
          <cell r="I1124" t="str">
            <v>PRD</v>
          </cell>
          <cell r="J1124" t="str">
            <v>HONDA N-WAGON</v>
          </cell>
          <cell r="K1124" t="str">
            <v>HONDA SMALL CAR W/H DOOR</v>
          </cell>
          <cell r="L1124" t="str">
            <v>CV 12</v>
          </cell>
          <cell r="M1124" t="str">
            <v>OJT S/A 1</v>
          </cell>
          <cell r="N1124" t="str">
            <v>INTERNAL TRIAL</v>
          </cell>
          <cell r="O1124" t="str">
            <v>B</v>
          </cell>
        </row>
        <row r="1125">
          <cell r="A1125">
            <v>23493</v>
          </cell>
          <cell r="B1125" t="str">
            <v>BELLA OKTANITAMI</v>
          </cell>
          <cell r="C1125" t="str">
            <v>SAMI</v>
          </cell>
          <cell r="D1125" t="str">
            <v>OPT-576</v>
          </cell>
          <cell r="E1125">
            <v>43441</v>
          </cell>
          <cell r="F1125">
            <v>43472</v>
          </cell>
          <cell r="G1125">
            <v>43830</v>
          </cell>
          <cell r="H1125" t="str">
            <v>PRD</v>
          </cell>
          <cell r="I1125" t="str">
            <v>PRD</v>
          </cell>
          <cell r="J1125" t="str">
            <v>HONDA N-WAGON</v>
          </cell>
          <cell r="K1125" t="str">
            <v>HONDA SMALL CAR W/H DOOR</v>
          </cell>
          <cell r="L1125" t="str">
            <v xml:space="preserve">CV 12 </v>
          </cell>
          <cell r="M1125" t="str">
            <v>OJT</v>
          </cell>
          <cell r="N1125" t="str">
            <v>INTERNAL TRIAL</v>
          </cell>
          <cell r="O1125" t="str">
            <v>B</v>
          </cell>
        </row>
        <row r="1126">
          <cell r="A1126">
            <v>1273</v>
          </cell>
          <cell r="B1126" t="str">
            <v>ARI SETIOWATI</v>
          </cell>
          <cell r="C1126" t="str">
            <v>SAMI</v>
          </cell>
          <cell r="D1126" t="str">
            <v>OPT-31</v>
          </cell>
          <cell r="E1126">
            <v>37921</v>
          </cell>
          <cell r="F1126" t="str">
            <v>-</v>
          </cell>
          <cell r="G1126" t="str">
            <v>-</v>
          </cell>
          <cell r="H1126" t="str">
            <v>PRD</v>
          </cell>
          <cell r="I1126" t="str">
            <v>PRD</v>
          </cell>
          <cell r="J1126" t="str">
            <v>HONDA FIT</v>
          </cell>
          <cell r="K1126" t="str">
            <v>HONDA FIT W/H L CABIN</v>
          </cell>
          <cell r="L1126" t="str">
            <v>CV 13</v>
          </cell>
          <cell r="M1126" t="str">
            <v>T/P 3.2</v>
          </cell>
          <cell r="N1126" t="str">
            <v>ASSEMBLY</v>
          </cell>
          <cell r="O1126" t="str">
            <v>A</v>
          </cell>
        </row>
        <row r="1127">
          <cell r="A1127">
            <v>5747</v>
          </cell>
          <cell r="B1127" t="str">
            <v>WAHYU ANGGRAINI S.</v>
          </cell>
          <cell r="C1127" t="str">
            <v>SAMI</v>
          </cell>
          <cell r="D1127" t="str">
            <v>OPT-134</v>
          </cell>
          <cell r="E1127">
            <v>39098</v>
          </cell>
          <cell r="F1127" t="str">
            <v>-</v>
          </cell>
          <cell r="G1127" t="str">
            <v>-</v>
          </cell>
          <cell r="H1127" t="str">
            <v>PRD</v>
          </cell>
          <cell r="I1127" t="str">
            <v>PRD</v>
          </cell>
          <cell r="J1127" t="str">
            <v>HONDA FIT</v>
          </cell>
          <cell r="K1127" t="str">
            <v>HONDA FIT W/H L CABIN</v>
          </cell>
          <cell r="L1127" t="str">
            <v>CV 13</v>
          </cell>
          <cell r="M1127" t="str">
            <v>S/A AB</v>
          </cell>
          <cell r="N1127" t="str">
            <v>SUB ASSY</v>
          </cell>
          <cell r="O1127" t="str">
            <v>A</v>
          </cell>
        </row>
        <row r="1128">
          <cell r="A1128">
            <v>6139</v>
          </cell>
          <cell r="B1128" t="str">
            <v>HENI TRI HAYATI</v>
          </cell>
          <cell r="C1128" t="str">
            <v>SAMI</v>
          </cell>
          <cell r="D1128" t="str">
            <v>OPT-140</v>
          </cell>
          <cell r="E1128">
            <v>39157</v>
          </cell>
          <cell r="F1128" t="str">
            <v>-</v>
          </cell>
          <cell r="G1128" t="str">
            <v>-</v>
          </cell>
          <cell r="H1128" t="str">
            <v>PRD</v>
          </cell>
          <cell r="I1128" t="str">
            <v>PRD</v>
          </cell>
          <cell r="J1128" t="str">
            <v>HONDA FIT</v>
          </cell>
          <cell r="K1128" t="str">
            <v>HONDA FIT W/H L CABIN</v>
          </cell>
          <cell r="L1128" t="str">
            <v>CV 13</v>
          </cell>
          <cell r="M1128" t="str">
            <v>BATERAY CABLE</v>
          </cell>
          <cell r="N1128" t="str">
            <v>ASSEMBLY</v>
          </cell>
          <cell r="O1128" t="str">
            <v>A</v>
          </cell>
        </row>
        <row r="1129">
          <cell r="A1129">
            <v>9005</v>
          </cell>
          <cell r="B1129" t="str">
            <v>IKVI KHOERA ULIT T.</v>
          </cell>
          <cell r="C1129" t="str">
            <v>SAMI</v>
          </cell>
          <cell r="D1129" t="str">
            <v>OPT-201</v>
          </cell>
          <cell r="E1129">
            <v>39975</v>
          </cell>
          <cell r="F1129" t="str">
            <v>-</v>
          </cell>
          <cell r="G1129" t="str">
            <v>-</v>
          </cell>
          <cell r="H1129" t="str">
            <v>PRD</v>
          </cell>
          <cell r="I1129" t="str">
            <v>PRD</v>
          </cell>
          <cell r="J1129" t="str">
            <v>HONDA FIT</v>
          </cell>
          <cell r="K1129" t="str">
            <v>HONDA FIT W/H L CABIN</v>
          </cell>
          <cell r="L1129" t="str">
            <v>CV 13</v>
          </cell>
          <cell r="M1129" t="str">
            <v>BATERAY CABLE</v>
          </cell>
          <cell r="N1129" t="str">
            <v>ASSEMBLY</v>
          </cell>
          <cell r="O1129" t="str">
            <v>A</v>
          </cell>
        </row>
        <row r="1130">
          <cell r="A1130">
            <v>9801</v>
          </cell>
          <cell r="B1130" t="str">
            <v>SITI MAHMUDAH</v>
          </cell>
          <cell r="C1130" t="str">
            <v>SAMI</v>
          </cell>
          <cell r="D1130" t="str">
            <v>OPT-232</v>
          </cell>
          <cell r="E1130">
            <v>40360</v>
          </cell>
          <cell r="F1130" t="str">
            <v>-</v>
          </cell>
          <cell r="G1130" t="str">
            <v>-</v>
          </cell>
          <cell r="H1130" t="str">
            <v>PRD</v>
          </cell>
          <cell r="I1130" t="str">
            <v>PRD</v>
          </cell>
          <cell r="J1130" t="str">
            <v>HONDA FIT</v>
          </cell>
          <cell r="K1130" t="str">
            <v>HONDA FIT W/H L CABIN</v>
          </cell>
          <cell r="L1130" t="str">
            <v>CV 13</v>
          </cell>
          <cell r="M1130" t="str">
            <v>SUB LINE CHO</v>
          </cell>
          <cell r="N1130" t="str">
            <v>GL</v>
          </cell>
          <cell r="O1130" t="str">
            <v>A</v>
          </cell>
        </row>
        <row r="1131">
          <cell r="A1131">
            <v>10177</v>
          </cell>
          <cell r="B1131" t="str">
            <v>FIRA FIRMANILA</v>
          </cell>
          <cell r="C1131" t="str">
            <v>SAMI</v>
          </cell>
          <cell r="D1131" t="str">
            <v>OPT-253</v>
          </cell>
          <cell r="E1131">
            <v>40458</v>
          </cell>
          <cell r="F1131" t="str">
            <v>-</v>
          </cell>
          <cell r="G1131" t="str">
            <v>-</v>
          </cell>
          <cell r="H1131" t="str">
            <v>PRD</v>
          </cell>
          <cell r="I1131" t="str">
            <v>PRD</v>
          </cell>
          <cell r="J1131" t="str">
            <v>HONDA FIT</v>
          </cell>
          <cell r="K1131" t="str">
            <v>HONDA FIT W/H L CABIN</v>
          </cell>
          <cell r="L1131" t="str">
            <v>CV 13</v>
          </cell>
          <cell r="M1131" t="str">
            <v>S/A 1</v>
          </cell>
          <cell r="N1131" t="str">
            <v>SUB ASSY</v>
          </cell>
          <cell r="O1131" t="str">
            <v>A</v>
          </cell>
        </row>
        <row r="1132">
          <cell r="A1132">
            <v>11567</v>
          </cell>
          <cell r="B1132" t="str">
            <v>LATHOIFUL LATHIFAH</v>
          </cell>
          <cell r="C1132" t="str">
            <v>SAMI</v>
          </cell>
          <cell r="D1132" t="str">
            <v>OPT-307</v>
          </cell>
          <cell r="E1132">
            <v>40707</v>
          </cell>
          <cell r="F1132" t="str">
            <v>-</v>
          </cell>
          <cell r="G1132" t="str">
            <v>-</v>
          </cell>
          <cell r="H1132" t="str">
            <v>PRD</v>
          </cell>
          <cell r="I1132" t="str">
            <v>PRD</v>
          </cell>
          <cell r="J1132" t="str">
            <v>HONDA FIT</v>
          </cell>
          <cell r="K1132" t="str">
            <v>HONDA FIT W/H L CABIN</v>
          </cell>
          <cell r="L1132" t="str">
            <v>CV 13</v>
          </cell>
          <cell r="M1132" t="str">
            <v>LQC</v>
          </cell>
          <cell r="N1132" t="str">
            <v>RELIEF</v>
          </cell>
          <cell r="O1132" t="str">
            <v>A</v>
          </cell>
        </row>
        <row r="1133">
          <cell r="A1133">
            <v>11574</v>
          </cell>
          <cell r="B1133" t="str">
            <v>MALINDA</v>
          </cell>
          <cell r="C1133" t="str">
            <v>SAMI</v>
          </cell>
          <cell r="D1133" t="str">
            <v>OPT-307</v>
          </cell>
          <cell r="E1133">
            <v>40707</v>
          </cell>
          <cell r="F1133" t="str">
            <v>-</v>
          </cell>
          <cell r="G1133" t="str">
            <v>-</v>
          </cell>
          <cell r="H1133" t="str">
            <v>PRD</v>
          </cell>
          <cell r="I1133" t="str">
            <v>PRD</v>
          </cell>
          <cell r="J1133" t="str">
            <v>HONDA FIT</v>
          </cell>
          <cell r="K1133" t="str">
            <v>HONDA FIT W/H L CABIN</v>
          </cell>
          <cell r="L1133" t="str">
            <v>CV 13</v>
          </cell>
          <cell r="M1133" t="str">
            <v>VISUAL 2</v>
          </cell>
          <cell r="N1133" t="str">
            <v>VISUAL INSPECTION</v>
          </cell>
          <cell r="O1133" t="str">
            <v>A</v>
          </cell>
        </row>
        <row r="1134">
          <cell r="A1134">
            <v>12052</v>
          </cell>
          <cell r="B1134" t="str">
            <v>SOLICHAH</v>
          </cell>
          <cell r="C1134" t="str">
            <v>SAMI</v>
          </cell>
          <cell r="D1134" t="str">
            <v>OPT-313</v>
          </cell>
          <cell r="E1134">
            <v>40792</v>
          </cell>
          <cell r="F1134" t="str">
            <v>-</v>
          </cell>
          <cell r="G1134" t="str">
            <v>-</v>
          </cell>
          <cell r="H1134" t="str">
            <v>PRD</v>
          </cell>
          <cell r="I1134" t="str">
            <v>PRD</v>
          </cell>
          <cell r="J1134" t="str">
            <v>HONDA FIT</v>
          </cell>
          <cell r="K1134" t="str">
            <v>HONDA FIT W/H L CABIN</v>
          </cell>
          <cell r="L1134" t="str">
            <v>CV 13</v>
          </cell>
          <cell r="M1134" t="str">
            <v>T/P 1.2</v>
          </cell>
          <cell r="N1134" t="str">
            <v>ASSEMBLY</v>
          </cell>
          <cell r="O1134" t="str">
            <v>A</v>
          </cell>
        </row>
        <row r="1135">
          <cell r="A1135">
            <v>12109</v>
          </cell>
          <cell r="B1135" t="str">
            <v>KURNIAWATI</v>
          </cell>
          <cell r="C1135" t="str">
            <v>SAMI</v>
          </cell>
          <cell r="D1135" t="str">
            <v>OPT-314</v>
          </cell>
          <cell r="E1135">
            <v>40798</v>
          </cell>
          <cell r="F1135" t="str">
            <v>-</v>
          </cell>
          <cell r="G1135" t="str">
            <v>-</v>
          </cell>
          <cell r="H1135" t="str">
            <v>PRD</v>
          </cell>
          <cell r="I1135" t="str">
            <v>PRD</v>
          </cell>
          <cell r="J1135" t="str">
            <v>HONDA FIT</v>
          </cell>
          <cell r="K1135" t="str">
            <v>HONDA FIT W/H L CABIN</v>
          </cell>
          <cell r="L1135" t="str">
            <v>CV 13</v>
          </cell>
          <cell r="M1135" t="str">
            <v>VISUAL 1</v>
          </cell>
          <cell r="N1135" t="str">
            <v>VISUAL INSPECTION</v>
          </cell>
          <cell r="O1135" t="str">
            <v>A</v>
          </cell>
        </row>
        <row r="1136">
          <cell r="A1136">
            <v>12470</v>
          </cell>
          <cell r="B1136" t="str">
            <v>IKA PRASETIYOWATI</v>
          </cell>
          <cell r="C1136" t="str">
            <v>SAMI</v>
          </cell>
          <cell r="D1136" t="str">
            <v>OPT-318</v>
          </cell>
          <cell r="E1136">
            <v>40812</v>
          </cell>
          <cell r="F1136" t="str">
            <v>-</v>
          </cell>
          <cell r="G1136" t="str">
            <v>-</v>
          </cell>
          <cell r="H1136" t="str">
            <v>PRD</v>
          </cell>
          <cell r="I1136" t="str">
            <v>PRD</v>
          </cell>
          <cell r="J1136" t="str">
            <v>HONDA FIT</v>
          </cell>
          <cell r="K1136" t="str">
            <v>HONDA FIT W/H L CABIN</v>
          </cell>
          <cell r="L1136" t="str">
            <v>CV 13</v>
          </cell>
          <cell r="M1136" t="str">
            <v>T/P 5</v>
          </cell>
          <cell r="N1136" t="str">
            <v>ASSEMBLY</v>
          </cell>
          <cell r="O1136" t="str">
            <v>A</v>
          </cell>
        </row>
        <row r="1137">
          <cell r="A1137">
            <v>19027</v>
          </cell>
          <cell r="B1137" t="str">
            <v>TRI NOVIA DANIK</v>
          </cell>
          <cell r="C1137" t="str">
            <v>SAMI</v>
          </cell>
          <cell r="D1137" t="str">
            <v>OPT-470</v>
          </cell>
          <cell r="E1137">
            <v>42214</v>
          </cell>
          <cell r="F1137" t="str">
            <v>-</v>
          </cell>
          <cell r="G1137" t="str">
            <v>-</v>
          </cell>
          <cell r="H1137" t="str">
            <v>PRD</v>
          </cell>
          <cell r="I1137" t="str">
            <v>PRD</v>
          </cell>
          <cell r="J1137" t="str">
            <v>HONDA FIT</v>
          </cell>
          <cell r="K1137" t="str">
            <v>HONDA FIT W/H L CABIN</v>
          </cell>
          <cell r="L1137" t="str">
            <v>CV 13</v>
          </cell>
          <cell r="M1137" t="str">
            <v>S/T 1.2</v>
          </cell>
          <cell r="N1137" t="str">
            <v>ASSEMBLY</v>
          </cell>
          <cell r="O1137" t="str">
            <v>A</v>
          </cell>
        </row>
        <row r="1138">
          <cell r="A1138">
            <v>20480</v>
          </cell>
          <cell r="B1138" t="str">
            <v>ISTIKOMAH</v>
          </cell>
          <cell r="C1138" t="str">
            <v>SAMI</v>
          </cell>
          <cell r="D1138" t="str">
            <v>OPT-504</v>
          </cell>
          <cell r="E1138">
            <v>42634</v>
          </cell>
          <cell r="F1138">
            <v>43132</v>
          </cell>
          <cell r="G1138">
            <v>43496</v>
          </cell>
          <cell r="H1138" t="str">
            <v>PRD</v>
          </cell>
          <cell r="I1138" t="str">
            <v>PRD</v>
          </cell>
          <cell r="J1138" t="str">
            <v>HONDA FIT</v>
          </cell>
          <cell r="K1138" t="str">
            <v>HONDA FIT W/H L CABIN</v>
          </cell>
          <cell r="L1138" t="str">
            <v>CV 13</v>
          </cell>
          <cell r="M1138" t="str">
            <v>T/P 3.1</v>
          </cell>
          <cell r="N1138" t="str">
            <v>ASSEMBLY</v>
          </cell>
          <cell r="O1138" t="str">
            <v>A</v>
          </cell>
        </row>
        <row r="1139">
          <cell r="A1139">
            <v>20517</v>
          </cell>
          <cell r="B1139" t="str">
            <v>NURUL HIKMAH</v>
          </cell>
          <cell r="C1139" t="str">
            <v>SAMI</v>
          </cell>
          <cell r="D1139" t="str">
            <v>OPT-504</v>
          </cell>
          <cell r="E1139">
            <v>42634</v>
          </cell>
          <cell r="F1139">
            <v>43132</v>
          </cell>
          <cell r="G1139">
            <v>43496</v>
          </cell>
          <cell r="H1139" t="str">
            <v>PRD</v>
          </cell>
          <cell r="I1139" t="str">
            <v>PRD</v>
          </cell>
          <cell r="J1139" t="str">
            <v>HONDA FIT</v>
          </cell>
          <cell r="K1139" t="str">
            <v>HONDA FIT W/H L CABIN</v>
          </cell>
          <cell r="L1139" t="str">
            <v>CV 13</v>
          </cell>
          <cell r="M1139" t="str">
            <v>S/A 2</v>
          </cell>
          <cell r="N1139" t="str">
            <v>SUB ASSY</v>
          </cell>
          <cell r="O1139" t="str">
            <v>A</v>
          </cell>
        </row>
        <row r="1140">
          <cell r="A1140">
            <v>20634</v>
          </cell>
          <cell r="B1140" t="str">
            <v>OKTAVIANO CAHYA NATALIA</v>
          </cell>
          <cell r="C1140" t="str">
            <v>SAMI</v>
          </cell>
          <cell r="D1140" t="str">
            <v>OPT-505</v>
          </cell>
          <cell r="E1140">
            <v>42639</v>
          </cell>
          <cell r="F1140">
            <v>43132</v>
          </cell>
          <cell r="G1140">
            <v>43496</v>
          </cell>
          <cell r="H1140" t="str">
            <v>PRD</v>
          </cell>
          <cell r="I1140" t="str">
            <v>PRD</v>
          </cell>
          <cell r="J1140" t="str">
            <v>HONDA FIT</v>
          </cell>
          <cell r="K1140" t="str">
            <v>HONDA FIT W/H L CABIN</v>
          </cell>
          <cell r="L1140" t="str">
            <v>CV 13</v>
          </cell>
          <cell r="M1140" t="str">
            <v>S/T 2.2</v>
          </cell>
          <cell r="N1140" t="str">
            <v>ASSEMBLY</v>
          </cell>
          <cell r="O1140" t="str">
            <v>A</v>
          </cell>
        </row>
        <row r="1141">
          <cell r="A1141">
            <v>20947</v>
          </cell>
          <cell r="B1141" t="str">
            <v>MUTIARA ANGGRAENI</v>
          </cell>
          <cell r="C1141" t="str">
            <v>SAMI</v>
          </cell>
          <cell r="D1141" t="str">
            <v>OPT-511</v>
          </cell>
          <cell r="E1141">
            <v>42667</v>
          </cell>
          <cell r="F1141">
            <v>43160</v>
          </cell>
          <cell r="G1141">
            <v>43524</v>
          </cell>
          <cell r="H1141" t="str">
            <v>PRD</v>
          </cell>
          <cell r="I1141" t="str">
            <v>PRD</v>
          </cell>
          <cell r="J1141" t="str">
            <v>HONDA FIT</v>
          </cell>
          <cell r="K1141" t="str">
            <v>HONDA FIT W/H L CABIN</v>
          </cell>
          <cell r="L1141" t="str">
            <v>CV 13</v>
          </cell>
          <cell r="M1141" t="str">
            <v>CIRCUIT SUPPLIER 02</v>
          </cell>
          <cell r="N1141" t="str">
            <v>CIRCUIT SUPPLY</v>
          </cell>
          <cell r="O1141" t="str">
            <v>A</v>
          </cell>
        </row>
        <row r="1142">
          <cell r="A1142">
            <v>20978</v>
          </cell>
          <cell r="B1142" t="str">
            <v>ISTIQOMAH</v>
          </cell>
          <cell r="C1142" t="str">
            <v>SAMI</v>
          </cell>
          <cell r="D1142" t="str">
            <v>OPT-513</v>
          </cell>
          <cell r="E1142">
            <v>42674</v>
          </cell>
          <cell r="F1142">
            <v>43160</v>
          </cell>
          <cell r="G1142">
            <v>43524</v>
          </cell>
          <cell r="H1142" t="str">
            <v>PRD</v>
          </cell>
          <cell r="I1142" t="str">
            <v>PRD</v>
          </cell>
          <cell r="J1142" t="str">
            <v>HONDA FIT</v>
          </cell>
          <cell r="K1142" t="str">
            <v>HONDA FIT W/H L CABIN</v>
          </cell>
          <cell r="L1142" t="str">
            <v>CV 13</v>
          </cell>
          <cell r="M1142" t="str">
            <v>T/P 4</v>
          </cell>
          <cell r="N1142" t="str">
            <v>ASSEMBLY</v>
          </cell>
          <cell r="O1142" t="str">
            <v>A</v>
          </cell>
        </row>
        <row r="1143">
          <cell r="A1143">
            <v>21624</v>
          </cell>
          <cell r="B1143" t="str">
            <v>SITI ZUMROTUN</v>
          </cell>
          <cell r="C1143" t="str">
            <v>SAMI</v>
          </cell>
          <cell r="D1143" t="str">
            <v>OPT-536</v>
          </cell>
          <cell r="E1143">
            <v>43048</v>
          </cell>
          <cell r="F1143">
            <v>43435</v>
          </cell>
          <cell r="G1143">
            <v>43799</v>
          </cell>
          <cell r="H1143" t="str">
            <v>PRD</v>
          </cell>
          <cell r="I1143" t="str">
            <v>PRD</v>
          </cell>
          <cell r="J1143" t="str">
            <v>HONDA FIT</v>
          </cell>
          <cell r="K1143" t="str">
            <v>HONDA FIT W/H L CABIN</v>
          </cell>
          <cell r="L1143" t="str">
            <v>CV 13</v>
          </cell>
          <cell r="M1143" t="str">
            <v>CAMERA FUSE</v>
          </cell>
          <cell r="N1143" t="str">
            <v>ELECTRICAL INSPECTION</v>
          </cell>
          <cell r="O1143" t="str">
            <v>A</v>
          </cell>
        </row>
        <row r="1144">
          <cell r="A1144">
            <v>21996</v>
          </cell>
          <cell r="B1144" t="str">
            <v>LILA SANIA</v>
          </cell>
          <cell r="C1144" t="str">
            <v>SAMI</v>
          </cell>
          <cell r="D1144" t="str">
            <v>OPT-546</v>
          </cell>
          <cell r="E1144">
            <v>43139</v>
          </cell>
          <cell r="F1144">
            <v>43167</v>
          </cell>
          <cell r="G1144">
            <v>43524</v>
          </cell>
          <cell r="H1144" t="str">
            <v>PRD</v>
          </cell>
          <cell r="I1144" t="str">
            <v>PRD</v>
          </cell>
          <cell r="J1144" t="str">
            <v>HONDA FIT</v>
          </cell>
          <cell r="K1144" t="str">
            <v>HONDA FIT W/H L CABIN</v>
          </cell>
          <cell r="L1144" t="str">
            <v>CV 13</v>
          </cell>
          <cell r="M1144" t="str">
            <v>S/T 2.1</v>
          </cell>
          <cell r="N1144" t="str">
            <v>ASSEMBLY</v>
          </cell>
          <cell r="O1144" t="str">
            <v>A</v>
          </cell>
        </row>
        <row r="1145">
          <cell r="A1145">
            <v>22250</v>
          </cell>
          <cell r="B1145" t="str">
            <v>EKA DIAN PURWANINGSIH</v>
          </cell>
          <cell r="C1145" t="str">
            <v>SAMI</v>
          </cell>
          <cell r="D1145" t="str">
            <v>OPT-552</v>
          </cell>
          <cell r="E1145">
            <v>43171</v>
          </cell>
          <cell r="F1145">
            <v>43202</v>
          </cell>
          <cell r="G1145">
            <v>43555</v>
          </cell>
          <cell r="H1145" t="str">
            <v>PRD</v>
          </cell>
          <cell r="I1145" t="str">
            <v>PRD</v>
          </cell>
          <cell r="J1145" t="str">
            <v>HONDA FIT</v>
          </cell>
          <cell r="K1145" t="str">
            <v>HONDA FIT W/H L CABIN</v>
          </cell>
          <cell r="L1145" t="str">
            <v>CV 13</v>
          </cell>
          <cell r="M1145" t="str">
            <v>CIRCUIT SUPPLIER 01</v>
          </cell>
          <cell r="N1145" t="str">
            <v>CIRCUIT SUPPLY</v>
          </cell>
          <cell r="O1145" t="str">
            <v>A</v>
          </cell>
        </row>
        <row r="1146">
          <cell r="A1146">
            <v>22355</v>
          </cell>
          <cell r="B1146" t="str">
            <v>SRI WAHYUNINGSIH</v>
          </cell>
          <cell r="C1146" t="str">
            <v>SAMI</v>
          </cell>
          <cell r="D1146" t="str">
            <v>OPT-556</v>
          </cell>
          <cell r="E1146">
            <v>43195</v>
          </cell>
          <cell r="F1146">
            <v>43225</v>
          </cell>
          <cell r="G1146">
            <v>43585</v>
          </cell>
          <cell r="H1146" t="str">
            <v>PRD</v>
          </cell>
          <cell r="I1146" t="str">
            <v>PRD</v>
          </cell>
          <cell r="J1146" t="str">
            <v>HONDA FIT</v>
          </cell>
          <cell r="K1146" t="str">
            <v>HONDA FIT W/H L CABIN</v>
          </cell>
          <cell r="L1146" t="str">
            <v>CV 13</v>
          </cell>
          <cell r="M1146" t="str">
            <v>S/T 3.2</v>
          </cell>
          <cell r="N1146" t="str">
            <v>ASSEMBLY</v>
          </cell>
          <cell r="O1146" t="str">
            <v>A</v>
          </cell>
        </row>
        <row r="1147">
          <cell r="A1147">
            <v>22369</v>
          </cell>
          <cell r="B1147" t="str">
            <v>AIK RISMA SUSFARANI</v>
          </cell>
          <cell r="C1147" t="str">
            <v>SAMI</v>
          </cell>
          <cell r="D1147" t="str">
            <v>OPT-558</v>
          </cell>
          <cell r="E1147">
            <v>43213</v>
          </cell>
          <cell r="F1147">
            <v>43243</v>
          </cell>
          <cell r="G1147">
            <v>43616</v>
          </cell>
          <cell r="H1147" t="str">
            <v>PRD</v>
          </cell>
          <cell r="I1147" t="str">
            <v>PRD</v>
          </cell>
          <cell r="J1147" t="str">
            <v>HONDA FIT</v>
          </cell>
          <cell r="K1147" t="str">
            <v>HONDA FIT W/H L CABIN</v>
          </cell>
          <cell r="L1147" t="str">
            <v>CV 13</v>
          </cell>
          <cell r="M1147" t="str">
            <v>CHECKER 2</v>
          </cell>
          <cell r="N1147" t="str">
            <v>ELECTRICAL INSPECTION</v>
          </cell>
          <cell r="O1147" t="str">
            <v>A</v>
          </cell>
        </row>
        <row r="1148">
          <cell r="A1148">
            <v>22399</v>
          </cell>
          <cell r="B1148" t="str">
            <v>MIFTAHUL HASANAH</v>
          </cell>
          <cell r="C1148" t="str">
            <v>SAMI</v>
          </cell>
          <cell r="D1148" t="str">
            <v>OPT-558</v>
          </cell>
          <cell r="E1148">
            <v>43213</v>
          </cell>
          <cell r="F1148">
            <v>43243</v>
          </cell>
          <cell r="G1148">
            <v>43616</v>
          </cell>
          <cell r="H1148" t="str">
            <v>PRD</v>
          </cell>
          <cell r="I1148" t="str">
            <v>PRD</v>
          </cell>
          <cell r="J1148" t="str">
            <v>HONDA FIT</v>
          </cell>
          <cell r="K1148" t="str">
            <v>HONDA FIT W/H L CABIN</v>
          </cell>
          <cell r="L1148" t="str">
            <v>CV 13</v>
          </cell>
          <cell r="M1148" t="str">
            <v>S/A 3.2</v>
          </cell>
          <cell r="N1148" t="str">
            <v>SUB ASSY</v>
          </cell>
          <cell r="O1148" t="str">
            <v>A</v>
          </cell>
        </row>
        <row r="1149">
          <cell r="A1149">
            <v>22401</v>
          </cell>
          <cell r="B1149" t="str">
            <v>MOHAMMAD ALI RIFKI</v>
          </cell>
          <cell r="C1149" t="str">
            <v>SAMI</v>
          </cell>
          <cell r="D1149" t="str">
            <v>OPT-558</v>
          </cell>
          <cell r="E1149">
            <v>43213</v>
          </cell>
          <cell r="F1149">
            <v>43243</v>
          </cell>
          <cell r="G1149">
            <v>43616</v>
          </cell>
          <cell r="H1149" t="str">
            <v>PRD</v>
          </cell>
          <cell r="I1149" t="str">
            <v>PRD</v>
          </cell>
          <cell r="J1149" t="str">
            <v>HONDA FIT</v>
          </cell>
          <cell r="K1149" t="str">
            <v>HONDA FIT W/H L CABIN</v>
          </cell>
          <cell r="L1149" t="str">
            <v>CV 13</v>
          </cell>
          <cell r="M1149" t="str">
            <v>EXPANDER GROMMET</v>
          </cell>
          <cell r="N1149" t="str">
            <v>FINISHING &amp; GROMMET INJECTION</v>
          </cell>
          <cell r="O1149" t="str">
            <v>A</v>
          </cell>
        </row>
        <row r="1150">
          <cell r="A1150">
            <v>22404</v>
          </cell>
          <cell r="B1150" t="str">
            <v>NOVI WULANDARI</v>
          </cell>
          <cell r="C1150" t="str">
            <v>SAMI</v>
          </cell>
          <cell r="D1150" t="str">
            <v>OPT-558</v>
          </cell>
          <cell r="E1150">
            <v>43213</v>
          </cell>
          <cell r="F1150">
            <v>43243</v>
          </cell>
          <cell r="G1150">
            <v>43616</v>
          </cell>
          <cell r="H1150" t="str">
            <v>PRD</v>
          </cell>
          <cell r="I1150" t="str">
            <v>PRD</v>
          </cell>
          <cell r="J1150" t="str">
            <v>HONDA FIT</v>
          </cell>
          <cell r="K1150" t="str">
            <v>HONDA FIT W/H L CABIN</v>
          </cell>
          <cell r="L1150" t="str">
            <v>CV 13</v>
          </cell>
          <cell r="M1150" t="str">
            <v>S/A 3</v>
          </cell>
          <cell r="N1150" t="str">
            <v>SUB ASSY</v>
          </cell>
          <cell r="O1150" t="str">
            <v>A</v>
          </cell>
        </row>
        <row r="1151">
          <cell r="A1151">
            <v>22412</v>
          </cell>
          <cell r="B1151" t="str">
            <v>RETNO LIA SAFITRI</v>
          </cell>
          <cell r="C1151" t="str">
            <v>SAMI</v>
          </cell>
          <cell r="D1151" t="str">
            <v>OPT-558</v>
          </cell>
          <cell r="E1151">
            <v>43213</v>
          </cell>
          <cell r="F1151">
            <v>43243</v>
          </cell>
          <cell r="G1151">
            <v>43616</v>
          </cell>
          <cell r="H1151" t="str">
            <v>PRD</v>
          </cell>
          <cell r="I1151" t="str">
            <v>PRD</v>
          </cell>
          <cell r="J1151" t="str">
            <v>HONDA FIT</v>
          </cell>
          <cell r="K1151" t="str">
            <v>HONDA FIT W/H L CABIN</v>
          </cell>
          <cell r="L1151" t="str">
            <v>CV 13</v>
          </cell>
          <cell r="M1151" t="str">
            <v>S/T 1.1</v>
          </cell>
          <cell r="N1151" t="str">
            <v>ASSEMBLY</v>
          </cell>
          <cell r="O1151" t="str">
            <v>A</v>
          </cell>
        </row>
        <row r="1152">
          <cell r="A1152">
            <v>22447</v>
          </cell>
          <cell r="B1152" t="str">
            <v>CIPTO FATKHUROHMAN</v>
          </cell>
          <cell r="C1152" t="str">
            <v>SAMI</v>
          </cell>
          <cell r="D1152" t="str">
            <v>OPT-559</v>
          </cell>
          <cell r="E1152">
            <v>43220</v>
          </cell>
          <cell r="F1152">
            <v>43250</v>
          </cell>
          <cell r="G1152">
            <v>43616</v>
          </cell>
          <cell r="H1152" t="str">
            <v>PRD</v>
          </cell>
          <cell r="I1152" t="str">
            <v>PRD</v>
          </cell>
          <cell r="J1152" t="str">
            <v>HONDA FIT</v>
          </cell>
          <cell r="K1152" t="str">
            <v>HONDA FIT W/H L CABIN</v>
          </cell>
          <cell r="L1152" t="str">
            <v>CV 13</v>
          </cell>
          <cell r="M1152" t="str">
            <v>PROTECTOR 1</v>
          </cell>
          <cell r="N1152" t="str">
            <v>ASSEMBLY</v>
          </cell>
          <cell r="O1152" t="str">
            <v>A</v>
          </cell>
        </row>
        <row r="1153">
          <cell r="A1153">
            <v>22553</v>
          </cell>
          <cell r="B1153" t="str">
            <v>NURUL HIDAYAH</v>
          </cell>
          <cell r="C1153" t="str">
            <v>SAMI</v>
          </cell>
          <cell r="D1153" t="str">
            <v>OPT-560</v>
          </cell>
          <cell r="E1153">
            <v>43224</v>
          </cell>
          <cell r="F1153">
            <v>43255</v>
          </cell>
          <cell r="G1153">
            <v>43616</v>
          </cell>
          <cell r="H1153" t="str">
            <v>PRD</v>
          </cell>
          <cell r="I1153" t="str">
            <v>PRD</v>
          </cell>
          <cell r="J1153" t="str">
            <v>HONDA FIT</v>
          </cell>
          <cell r="K1153" t="str">
            <v>HONDA FIT W/H L CABIN</v>
          </cell>
          <cell r="L1153" t="str">
            <v>CV 13</v>
          </cell>
          <cell r="M1153" t="str">
            <v>T/P 6</v>
          </cell>
          <cell r="N1153" t="str">
            <v>ASSEMBLY</v>
          </cell>
          <cell r="O1153" t="str">
            <v>A</v>
          </cell>
        </row>
        <row r="1154">
          <cell r="A1154">
            <v>22560</v>
          </cell>
          <cell r="B1154" t="str">
            <v>RAHAYU DWI KARTIKA</v>
          </cell>
          <cell r="C1154" t="str">
            <v>SAMI</v>
          </cell>
          <cell r="D1154" t="str">
            <v>OPT-560</v>
          </cell>
          <cell r="E1154">
            <v>43224</v>
          </cell>
          <cell r="F1154">
            <v>43255</v>
          </cell>
          <cell r="G1154">
            <v>43616</v>
          </cell>
          <cell r="H1154" t="str">
            <v>PRD</v>
          </cell>
          <cell r="I1154" t="str">
            <v>PRD</v>
          </cell>
          <cell r="J1154" t="str">
            <v>HONDA FIT</v>
          </cell>
          <cell r="K1154" t="str">
            <v>HONDA FIT W/H L CABIN</v>
          </cell>
          <cell r="L1154" t="str">
            <v>CV 13</v>
          </cell>
          <cell r="M1154" t="str">
            <v>T/P 2.1</v>
          </cell>
          <cell r="N1154" t="str">
            <v>ASSEMBLY</v>
          </cell>
          <cell r="O1154" t="str">
            <v>A</v>
          </cell>
        </row>
        <row r="1155">
          <cell r="A1155">
            <v>22561</v>
          </cell>
          <cell r="B1155" t="str">
            <v>RIKE NUR SAFITRI</v>
          </cell>
          <cell r="C1155" t="str">
            <v>SAMI</v>
          </cell>
          <cell r="D1155" t="str">
            <v>OPT-560</v>
          </cell>
          <cell r="E1155">
            <v>43224</v>
          </cell>
          <cell r="F1155">
            <v>43255</v>
          </cell>
          <cell r="G1155">
            <v>43616</v>
          </cell>
          <cell r="H1155" t="str">
            <v>PRD</v>
          </cell>
          <cell r="I1155" t="str">
            <v>PRD</v>
          </cell>
          <cell r="J1155" t="str">
            <v>HONDA FIT</v>
          </cell>
          <cell r="K1155" t="str">
            <v>HONDA FIT W/H L CABIN</v>
          </cell>
          <cell r="L1155" t="str">
            <v>CV 13</v>
          </cell>
          <cell r="M1155" t="str">
            <v>S/A 3.1</v>
          </cell>
          <cell r="N1155" t="str">
            <v>SUB ASSY</v>
          </cell>
          <cell r="O1155" t="str">
            <v>A</v>
          </cell>
        </row>
        <row r="1156">
          <cell r="A1156">
            <v>22596</v>
          </cell>
          <cell r="B1156" t="str">
            <v>FATQIYATUL JANAH</v>
          </cell>
          <cell r="C1156" t="str">
            <v>SAMI</v>
          </cell>
          <cell r="D1156" t="str">
            <v>OPT-561</v>
          </cell>
          <cell r="E1156">
            <v>43236</v>
          </cell>
          <cell r="F1156">
            <v>43267</v>
          </cell>
          <cell r="G1156">
            <v>43646</v>
          </cell>
          <cell r="H1156" t="str">
            <v>PRD</v>
          </cell>
          <cell r="I1156" t="str">
            <v>PRD</v>
          </cell>
          <cell r="J1156" t="str">
            <v>HONDA FIT</v>
          </cell>
          <cell r="K1156" t="str">
            <v>HONDA FIT W/H L CABIN</v>
          </cell>
          <cell r="L1156" t="str">
            <v>CV 13</v>
          </cell>
          <cell r="M1156" t="str">
            <v>T/P 2.2</v>
          </cell>
          <cell r="N1156" t="str">
            <v>ASSEMBLY</v>
          </cell>
          <cell r="O1156" t="str">
            <v>A</v>
          </cell>
        </row>
        <row r="1157">
          <cell r="A1157">
            <v>22652</v>
          </cell>
          <cell r="B1157" t="str">
            <v>FAJAR ADI PURNOMO</v>
          </cell>
          <cell r="C1157" t="str">
            <v>SAMI</v>
          </cell>
          <cell r="D1157" t="str">
            <v>OPT-562</v>
          </cell>
          <cell r="E1157">
            <v>43241</v>
          </cell>
          <cell r="F1157">
            <v>43272</v>
          </cell>
          <cell r="G1157">
            <v>43646</v>
          </cell>
          <cell r="H1157" t="str">
            <v>PRD</v>
          </cell>
          <cell r="I1157" t="str">
            <v>PRD</v>
          </cell>
          <cell r="J1157" t="str">
            <v>HONDA FIT</v>
          </cell>
          <cell r="K1157" t="str">
            <v>HONDA FIT W/H L CABIN</v>
          </cell>
          <cell r="L1157" t="str">
            <v>CV 13</v>
          </cell>
          <cell r="M1157" t="str">
            <v>PROTECTOR 02</v>
          </cell>
          <cell r="N1157" t="str">
            <v>ASSEMBLY</v>
          </cell>
          <cell r="O1157" t="str">
            <v>A</v>
          </cell>
        </row>
        <row r="1158">
          <cell r="A1158">
            <v>22762</v>
          </cell>
          <cell r="B1158" t="str">
            <v>ROFAETIN</v>
          </cell>
          <cell r="C1158" t="str">
            <v>SAMI</v>
          </cell>
          <cell r="D1158" t="str">
            <v>OPT-564</v>
          </cell>
          <cell r="E1158">
            <v>43255</v>
          </cell>
          <cell r="F1158">
            <v>43285</v>
          </cell>
          <cell r="G1158">
            <v>43646</v>
          </cell>
          <cell r="H1158" t="str">
            <v>PRD</v>
          </cell>
          <cell r="I1158" t="str">
            <v>PRD</v>
          </cell>
          <cell r="J1158" t="str">
            <v>HONDA FIT</v>
          </cell>
          <cell r="K1158" t="str">
            <v>HONDA FIT W/H L CABIN</v>
          </cell>
          <cell r="L1158" t="str">
            <v>CV 13</v>
          </cell>
          <cell r="M1158" t="str">
            <v>S/T 3.1</v>
          </cell>
          <cell r="N1158" t="str">
            <v>ASSEMBLY</v>
          </cell>
          <cell r="O1158" t="str">
            <v>A</v>
          </cell>
        </row>
        <row r="1159">
          <cell r="A1159">
            <v>22785</v>
          </cell>
          <cell r="B1159" t="str">
            <v>DIAN NINGRUM</v>
          </cell>
          <cell r="C1159" t="str">
            <v>SAMI</v>
          </cell>
          <cell r="D1159" t="str">
            <v>OPT-565</v>
          </cell>
          <cell r="E1159">
            <v>43283</v>
          </cell>
          <cell r="F1159">
            <v>43314</v>
          </cell>
          <cell r="G1159">
            <v>43677</v>
          </cell>
          <cell r="H1159" t="str">
            <v>PRD</v>
          </cell>
          <cell r="I1159" t="str">
            <v>PRD</v>
          </cell>
          <cell r="J1159" t="str">
            <v>HONDA FIT</v>
          </cell>
          <cell r="K1159" t="str">
            <v>HONDA FIT W/H L CABIN</v>
          </cell>
          <cell r="L1159" t="str">
            <v>CV 13</v>
          </cell>
          <cell r="M1159" t="str">
            <v>T/P 1.1</v>
          </cell>
          <cell r="N1159" t="str">
            <v>ASSEMBLY</v>
          </cell>
          <cell r="O1159" t="str">
            <v>A</v>
          </cell>
        </row>
        <row r="1160">
          <cell r="A1160">
            <v>22808</v>
          </cell>
          <cell r="B1160" t="str">
            <v>ANIF QURNIA</v>
          </cell>
          <cell r="C1160" t="str">
            <v>SAMI</v>
          </cell>
          <cell r="D1160" t="str">
            <v>OPT-567</v>
          </cell>
          <cell r="E1160">
            <v>43333</v>
          </cell>
          <cell r="F1160">
            <v>43364</v>
          </cell>
          <cell r="G1160">
            <v>43738</v>
          </cell>
          <cell r="H1160" t="str">
            <v>PRD</v>
          </cell>
          <cell r="I1160" t="str">
            <v>PRD</v>
          </cell>
          <cell r="J1160" t="str">
            <v>HONDA FIT</v>
          </cell>
          <cell r="K1160" t="str">
            <v>HONDA FIT W/H L CABIN</v>
          </cell>
          <cell r="L1160" t="str">
            <v>CV 13</v>
          </cell>
          <cell r="M1160" t="str">
            <v>INSERTION GROUP</v>
          </cell>
          <cell r="N1160" t="str">
            <v>SUB ASSY</v>
          </cell>
          <cell r="O1160" t="str">
            <v>A</v>
          </cell>
        </row>
        <row r="1161">
          <cell r="A1161">
            <v>22814</v>
          </cell>
          <cell r="B1161" t="str">
            <v>BHEKTI DWI PRATIWI</v>
          </cell>
          <cell r="C1161" t="str">
            <v>SAMI</v>
          </cell>
          <cell r="D1161" t="str">
            <v>OPT-567</v>
          </cell>
          <cell r="E1161">
            <v>43333</v>
          </cell>
          <cell r="F1161">
            <v>43364</v>
          </cell>
          <cell r="G1161">
            <v>43738</v>
          </cell>
          <cell r="H1161" t="str">
            <v>PRD</v>
          </cell>
          <cell r="I1161" t="str">
            <v>PRD</v>
          </cell>
          <cell r="J1161" t="str">
            <v>HONDA FIT</v>
          </cell>
          <cell r="K1161" t="str">
            <v>HONDA FIT W/H L CABIN</v>
          </cell>
          <cell r="L1161" t="str">
            <v>CV 13</v>
          </cell>
          <cell r="M1161" t="str">
            <v>MATERIAL SUPPLY 01</v>
          </cell>
          <cell r="N1161" t="str">
            <v>MATERIAL SUPPLY</v>
          </cell>
          <cell r="O1161" t="str">
            <v>A</v>
          </cell>
        </row>
        <row r="1162">
          <cell r="A1162">
            <v>22861</v>
          </cell>
          <cell r="B1162" t="str">
            <v>NUR DIANAH AENUN HASANAH</v>
          </cell>
          <cell r="C1162" t="str">
            <v>SAMI</v>
          </cell>
          <cell r="D1162" t="str">
            <v>OPT-567</v>
          </cell>
          <cell r="E1162">
            <v>43333</v>
          </cell>
          <cell r="F1162">
            <v>43364</v>
          </cell>
          <cell r="G1162">
            <v>43738</v>
          </cell>
          <cell r="H1162" t="str">
            <v>PRD</v>
          </cell>
          <cell r="I1162" t="str">
            <v>PRD</v>
          </cell>
          <cell r="J1162" t="str">
            <v>HONDA FIT</v>
          </cell>
          <cell r="K1162" t="str">
            <v>HONDA FIT W/H L CABIN</v>
          </cell>
          <cell r="L1162" t="str">
            <v>CV 13</v>
          </cell>
          <cell r="M1162" t="str">
            <v>CHECKER 3</v>
          </cell>
          <cell r="N1162" t="str">
            <v>ELECTRICAL INSPECTION</v>
          </cell>
          <cell r="O1162" t="str">
            <v>A</v>
          </cell>
        </row>
        <row r="1163">
          <cell r="A1163">
            <v>22873</v>
          </cell>
          <cell r="B1163" t="str">
            <v>PARAMITA ISTIQOMAH</v>
          </cell>
          <cell r="C1163" t="str">
            <v>SAMI</v>
          </cell>
          <cell r="D1163" t="str">
            <v>OPT-567</v>
          </cell>
          <cell r="E1163">
            <v>43333</v>
          </cell>
          <cell r="F1163">
            <v>43364</v>
          </cell>
          <cell r="G1163">
            <v>43738</v>
          </cell>
          <cell r="H1163" t="str">
            <v>PRD</v>
          </cell>
          <cell r="I1163" t="str">
            <v>PRD</v>
          </cell>
          <cell r="J1163" t="str">
            <v>HONDA FIT</v>
          </cell>
          <cell r="K1163" t="str">
            <v>HONDA FIT W/H L CABIN</v>
          </cell>
          <cell r="L1163" t="str">
            <v>CV 13</v>
          </cell>
          <cell r="M1163" t="str">
            <v>S/T 4</v>
          </cell>
          <cell r="N1163" t="str">
            <v>ASSEMBLY</v>
          </cell>
          <cell r="O1163" t="str">
            <v>A</v>
          </cell>
        </row>
        <row r="1164">
          <cell r="A1164">
            <v>22938</v>
          </cell>
          <cell r="B1164" t="str">
            <v>IIN ANGGRAINI</v>
          </cell>
          <cell r="C1164" t="str">
            <v>SAMI</v>
          </cell>
          <cell r="D1164" t="str">
            <v>OPT-568</v>
          </cell>
          <cell r="E1164">
            <v>43343</v>
          </cell>
          <cell r="F1164">
            <v>43374</v>
          </cell>
          <cell r="G1164">
            <v>43738</v>
          </cell>
          <cell r="H1164" t="str">
            <v>PRD</v>
          </cell>
          <cell r="I1164" t="str">
            <v>PRD</v>
          </cell>
          <cell r="J1164" t="str">
            <v>HONDA FIT</v>
          </cell>
          <cell r="K1164" t="str">
            <v>HONDA FIT W/H L CABIN</v>
          </cell>
          <cell r="L1164" t="str">
            <v>CV 13</v>
          </cell>
          <cell r="M1164" t="str">
            <v>SUB ASSY</v>
          </cell>
          <cell r="N1164" t="str">
            <v>SUB ASSY</v>
          </cell>
          <cell r="O1164" t="str">
            <v>A</v>
          </cell>
        </row>
        <row r="1165">
          <cell r="A1165">
            <v>22989</v>
          </cell>
          <cell r="B1165" t="str">
            <v>WAMUAFATIM</v>
          </cell>
          <cell r="C1165" t="str">
            <v>SAMI</v>
          </cell>
          <cell r="D1165" t="str">
            <v>OPT-568</v>
          </cell>
          <cell r="E1165">
            <v>43343</v>
          </cell>
          <cell r="F1165">
            <v>43374</v>
          </cell>
          <cell r="G1165">
            <v>43738</v>
          </cell>
          <cell r="H1165" t="str">
            <v>PRD</v>
          </cell>
          <cell r="I1165" t="str">
            <v>PRD</v>
          </cell>
          <cell r="J1165" t="str">
            <v>HONDA FIT</v>
          </cell>
          <cell r="K1165" t="str">
            <v>HONDA FIT W/H L CABIN</v>
          </cell>
          <cell r="L1165" t="str">
            <v>CV 13</v>
          </cell>
          <cell r="M1165" t="str">
            <v>MATERIAL SUPPLY 02</v>
          </cell>
          <cell r="N1165" t="str">
            <v>MATERIAL SUPPLY</v>
          </cell>
          <cell r="O1165" t="str">
            <v>A</v>
          </cell>
        </row>
        <row r="1166">
          <cell r="A1166">
            <v>23297</v>
          </cell>
          <cell r="B1166" t="str">
            <v>ANISYA NARIS WARI</v>
          </cell>
          <cell r="C1166" t="str">
            <v>SAMI</v>
          </cell>
          <cell r="D1166" t="str">
            <v>OPT-574</v>
          </cell>
          <cell r="E1166">
            <v>43427</v>
          </cell>
          <cell r="F1166">
            <v>43457</v>
          </cell>
          <cell r="G1166">
            <v>43830</v>
          </cell>
          <cell r="H1166" t="str">
            <v>PRD</v>
          </cell>
          <cell r="I1166" t="str">
            <v>PRD</v>
          </cell>
          <cell r="J1166" t="str">
            <v>HONDA FIT</v>
          </cell>
          <cell r="K1166" t="str">
            <v>HONDA FIT W/H L CABIN</v>
          </cell>
          <cell r="L1166" t="str">
            <v>CV 13</v>
          </cell>
          <cell r="M1166" t="str">
            <v>OJT T/P 2.2</v>
          </cell>
          <cell r="N1166" t="str">
            <v>INTERNAL TRIAL</v>
          </cell>
          <cell r="O1166" t="str">
            <v>A</v>
          </cell>
        </row>
        <row r="1167">
          <cell r="A1167">
            <v>23464</v>
          </cell>
          <cell r="B1167" t="str">
            <v>SITI MU'ASYIROH</v>
          </cell>
          <cell r="C1167" t="str">
            <v>SAMI</v>
          </cell>
          <cell r="D1167" t="str">
            <v>OPT-575</v>
          </cell>
          <cell r="E1167">
            <v>43434</v>
          </cell>
          <cell r="F1167">
            <v>43464</v>
          </cell>
          <cell r="G1167">
            <v>43830</v>
          </cell>
          <cell r="H1167" t="str">
            <v>PRD</v>
          </cell>
          <cell r="I1167" t="str">
            <v>PRD</v>
          </cell>
          <cell r="J1167" t="str">
            <v>HONDA FIT</v>
          </cell>
          <cell r="K1167" t="str">
            <v>HONDA FIT W/H L CABIN</v>
          </cell>
          <cell r="L1167" t="str">
            <v>CV 13</v>
          </cell>
          <cell r="M1167" t="str">
            <v>OJT S/T 2.2</v>
          </cell>
          <cell r="N1167" t="str">
            <v>INTERNAL TRIAL</v>
          </cell>
          <cell r="O1167" t="str">
            <v>A</v>
          </cell>
        </row>
        <row r="1168">
          <cell r="A1168" t="str">
            <v>B00202</v>
          </cell>
          <cell r="B1168" t="str">
            <v>JUMIATUN</v>
          </cell>
          <cell r="C1168" t="str">
            <v>SAMI</v>
          </cell>
          <cell r="D1168" t="str">
            <v>BBF-004</v>
          </cell>
          <cell r="E1168">
            <v>40847</v>
          </cell>
          <cell r="F1168" t="str">
            <v>-</v>
          </cell>
          <cell r="G1168" t="str">
            <v>-</v>
          </cell>
          <cell r="H1168" t="str">
            <v>PRD</v>
          </cell>
          <cell r="I1168" t="str">
            <v>PRD</v>
          </cell>
          <cell r="J1168" t="str">
            <v>HONDA FIT</v>
          </cell>
          <cell r="K1168" t="str">
            <v>HONDA FIT W/H L CABIN</v>
          </cell>
          <cell r="L1168" t="str">
            <v>CV 13</v>
          </cell>
          <cell r="M1168" t="str">
            <v>S/A 5</v>
          </cell>
          <cell r="N1168" t="str">
            <v>SUB ASSY</v>
          </cell>
          <cell r="O1168" t="str">
            <v>A</v>
          </cell>
        </row>
        <row r="1169">
          <cell r="A1169" t="str">
            <v>B00872</v>
          </cell>
          <cell r="B1169" t="str">
            <v>DESI ISTIQOMAH LESTARI H.</v>
          </cell>
          <cell r="C1169" t="str">
            <v>SAMI</v>
          </cell>
          <cell r="D1169" t="str">
            <v>BBF-018</v>
          </cell>
          <cell r="E1169">
            <v>40948</v>
          </cell>
          <cell r="F1169" t="str">
            <v>-</v>
          </cell>
          <cell r="G1169" t="str">
            <v>-</v>
          </cell>
          <cell r="H1169" t="str">
            <v>PRD</v>
          </cell>
          <cell r="I1169" t="str">
            <v>PRD</v>
          </cell>
          <cell r="J1169" t="str">
            <v>HONDA FIT</v>
          </cell>
          <cell r="K1169" t="str">
            <v>HONDA FIT W/H L CABIN</v>
          </cell>
          <cell r="L1169" t="str">
            <v>CV 13</v>
          </cell>
          <cell r="M1169" t="str">
            <v>CHECKER 1</v>
          </cell>
          <cell r="N1169" t="str">
            <v>ELECTRICAL INSPECTION</v>
          </cell>
          <cell r="O1169" t="str">
            <v>A</v>
          </cell>
        </row>
        <row r="1170">
          <cell r="A1170">
            <v>23563</v>
          </cell>
          <cell r="B1170" t="str">
            <v>KHUMAEDATUL KURROH</v>
          </cell>
          <cell r="C1170" t="str">
            <v>SAMI</v>
          </cell>
          <cell r="D1170" t="str">
            <v>OPT-577</v>
          </cell>
          <cell r="E1170">
            <v>43452</v>
          </cell>
          <cell r="F1170">
            <v>43483</v>
          </cell>
          <cell r="G1170">
            <v>43861</v>
          </cell>
          <cell r="H1170" t="str">
            <v>PRD</v>
          </cell>
          <cell r="I1170" t="str">
            <v>PRD</v>
          </cell>
          <cell r="J1170" t="str">
            <v>HONDA FIT</v>
          </cell>
          <cell r="K1170" t="str">
            <v>HONDA FIT W/H L CABIN</v>
          </cell>
          <cell r="L1170" t="str">
            <v>CV 13</v>
          </cell>
          <cell r="M1170" t="str">
            <v>OJT S/A 2</v>
          </cell>
          <cell r="N1170" t="str">
            <v>INTERNAL TRIAL</v>
          </cell>
          <cell r="O1170" t="str">
            <v>A</v>
          </cell>
        </row>
        <row r="1171">
          <cell r="A1171">
            <v>890</v>
          </cell>
          <cell r="B1171" t="str">
            <v>SITI ROKHIMAH</v>
          </cell>
          <cell r="C1171" t="str">
            <v>SAMI</v>
          </cell>
          <cell r="D1171" t="str">
            <v>OPT-23</v>
          </cell>
          <cell r="E1171">
            <v>37858</v>
          </cell>
          <cell r="F1171" t="str">
            <v>-</v>
          </cell>
          <cell r="G1171" t="str">
            <v>-</v>
          </cell>
          <cell r="H1171" t="str">
            <v>PRD</v>
          </cell>
          <cell r="I1171" t="str">
            <v>PRD</v>
          </cell>
          <cell r="J1171" t="str">
            <v>HONDA FIT</v>
          </cell>
          <cell r="K1171" t="str">
            <v>HONDA FIT SHUTTLE WH L CABIN</v>
          </cell>
          <cell r="L1171" t="str">
            <v>CV 13B</v>
          </cell>
          <cell r="M1171" t="str">
            <v>VISUAL</v>
          </cell>
          <cell r="N1171" t="str">
            <v>VISUAL INSPECTION</v>
          </cell>
          <cell r="O1171" t="str">
            <v>B</v>
          </cell>
        </row>
        <row r="1172">
          <cell r="A1172">
            <v>1128</v>
          </cell>
          <cell r="B1172" t="str">
            <v>TUTUK APRIYANTI</v>
          </cell>
          <cell r="C1172" t="str">
            <v>SAMI</v>
          </cell>
          <cell r="D1172" t="str">
            <v>OPT-28</v>
          </cell>
          <cell r="E1172">
            <v>37900</v>
          </cell>
          <cell r="F1172" t="str">
            <v>-</v>
          </cell>
          <cell r="G1172" t="str">
            <v>-</v>
          </cell>
          <cell r="H1172" t="str">
            <v>PRD</v>
          </cell>
          <cell r="I1172" t="str">
            <v>PRD</v>
          </cell>
          <cell r="J1172" t="str">
            <v>HONDA FIT</v>
          </cell>
          <cell r="K1172" t="str">
            <v>HONDA FIT SHUTTLE WH L CABIN</v>
          </cell>
          <cell r="L1172" t="str">
            <v>CV 13B</v>
          </cell>
          <cell r="M1172" t="str">
            <v>CAMERA FUSE</v>
          </cell>
          <cell r="N1172" t="str">
            <v>ELECTRICAL INSPECTION</v>
          </cell>
          <cell r="O1172" t="str">
            <v>B</v>
          </cell>
        </row>
        <row r="1173">
          <cell r="A1173">
            <v>5545</v>
          </cell>
          <cell r="B1173" t="str">
            <v>M.LUKMAN HAKIM</v>
          </cell>
          <cell r="C1173" t="str">
            <v>SAMI</v>
          </cell>
          <cell r="D1173" t="str">
            <v>OPT-130</v>
          </cell>
          <cell r="E1173">
            <v>39052</v>
          </cell>
          <cell r="F1173" t="str">
            <v>-</v>
          </cell>
          <cell r="G1173" t="str">
            <v>-</v>
          </cell>
          <cell r="H1173" t="str">
            <v>PRD</v>
          </cell>
          <cell r="I1173" t="str">
            <v>PRD</v>
          </cell>
          <cell r="J1173" t="str">
            <v>HONDA FIT</v>
          </cell>
          <cell r="K1173" t="str">
            <v>HONDA FIT SHUTTLE WH L CABIN</v>
          </cell>
          <cell r="L1173" t="str">
            <v>CV 13B</v>
          </cell>
          <cell r="M1173" t="str">
            <v>LQC</v>
          </cell>
          <cell r="N1173" t="str">
            <v>RELIEF</v>
          </cell>
          <cell r="O1173" t="str">
            <v>B</v>
          </cell>
        </row>
        <row r="1174">
          <cell r="A1174">
            <v>8645</v>
          </cell>
          <cell r="B1174" t="str">
            <v>KHARISMAWATI</v>
          </cell>
          <cell r="C1174" t="str">
            <v>SAMI</v>
          </cell>
          <cell r="D1174" t="str">
            <v>OPT-189</v>
          </cell>
          <cell r="E1174">
            <v>39878</v>
          </cell>
          <cell r="F1174" t="str">
            <v>-</v>
          </cell>
          <cell r="G1174" t="str">
            <v>-</v>
          </cell>
          <cell r="H1174" t="str">
            <v>PRD</v>
          </cell>
          <cell r="I1174" t="str">
            <v>PRD</v>
          </cell>
          <cell r="J1174" t="str">
            <v>HONDA FIT</v>
          </cell>
          <cell r="K1174" t="str">
            <v>HONDA FIT SHUTTLE WH L CABIN</v>
          </cell>
          <cell r="L1174" t="str">
            <v>CV 13B</v>
          </cell>
          <cell r="M1174" t="str">
            <v>SUB LINE CHO</v>
          </cell>
          <cell r="N1174" t="str">
            <v>GL</v>
          </cell>
          <cell r="O1174" t="str">
            <v>B</v>
          </cell>
        </row>
        <row r="1175">
          <cell r="A1175">
            <v>9084</v>
          </cell>
          <cell r="B1175" t="str">
            <v>RINA MARYANA</v>
          </cell>
          <cell r="C1175" t="str">
            <v>SAMI</v>
          </cell>
          <cell r="D1175" t="str">
            <v>OPT-203</v>
          </cell>
          <cell r="E1175">
            <v>39993</v>
          </cell>
          <cell r="F1175" t="str">
            <v>-</v>
          </cell>
          <cell r="G1175" t="str">
            <v>-</v>
          </cell>
          <cell r="H1175" t="str">
            <v>PRD</v>
          </cell>
          <cell r="I1175" t="str">
            <v>PRD</v>
          </cell>
          <cell r="J1175" t="str">
            <v>HONDA FIT</v>
          </cell>
          <cell r="K1175" t="str">
            <v>HONDA FIT SHUTTLE WH L CABIN</v>
          </cell>
          <cell r="L1175" t="str">
            <v>CV 13B</v>
          </cell>
          <cell r="M1175" t="str">
            <v>T/P 5.1</v>
          </cell>
          <cell r="N1175" t="str">
            <v>ASSEMBLY</v>
          </cell>
          <cell r="O1175" t="str">
            <v>B</v>
          </cell>
        </row>
        <row r="1176">
          <cell r="A1176">
            <v>9928</v>
          </cell>
          <cell r="B1176" t="str">
            <v>ELEN NATANIA MANALU</v>
          </cell>
          <cell r="C1176" t="str">
            <v>SAMI</v>
          </cell>
          <cell r="D1176" t="str">
            <v>OPT-246</v>
          </cell>
          <cell r="E1176">
            <v>40431</v>
          </cell>
          <cell r="F1176" t="str">
            <v>-</v>
          </cell>
          <cell r="G1176" t="str">
            <v>-</v>
          </cell>
          <cell r="H1176" t="str">
            <v>PRD</v>
          </cell>
          <cell r="I1176" t="str">
            <v>PRD</v>
          </cell>
          <cell r="J1176" t="str">
            <v>HONDA FIT</v>
          </cell>
          <cell r="K1176" t="str">
            <v>HONDA FIT SHUTTLE WH L CABIN</v>
          </cell>
          <cell r="L1176" t="str">
            <v>CV 13B</v>
          </cell>
          <cell r="M1176" t="str">
            <v>VISUAL 2</v>
          </cell>
          <cell r="N1176" t="str">
            <v>VISUAL INSPECTION</v>
          </cell>
          <cell r="O1176" t="str">
            <v>B</v>
          </cell>
        </row>
        <row r="1177">
          <cell r="A1177">
            <v>10124</v>
          </cell>
          <cell r="B1177" t="str">
            <v>SURYO BUDI UTAMI</v>
          </cell>
          <cell r="C1177" t="str">
            <v>SAMI</v>
          </cell>
          <cell r="D1177" t="str">
            <v>OPT-248</v>
          </cell>
          <cell r="E1177">
            <v>40444</v>
          </cell>
          <cell r="F1177" t="str">
            <v>-</v>
          </cell>
          <cell r="G1177" t="str">
            <v>-</v>
          </cell>
          <cell r="H1177" t="str">
            <v>PRD</v>
          </cell>
          <cell r="I1177" t="str">
            <v>PRD</v>
          </cell>
          <cell r="J1177" t="str">
            <v>HONDA FIT</v>
          </cell>
          <cell r="K1177" t="str">
            <v>HONDA FIT SHUTTLE WH L CABIN</v>
          </cell>
          <cell r="L1177" t="str">
            <v>CV 13B</v>
          </cell>
          <cell r="M1177" t="str">
            <v>SUB LINE CHO</v>
          </cell>
          <cell r="N1177" t="str">
            <v>GL</v>
          </cell>
          <cell r="O1177" t="str">
            <v>B</v>
          </cell>
        </row>
        <row r="1178">
          <cell r="A1178">
            <v>10178</v>
          </cell>
          <cell r="B1178" t="str">
            <v>FITRI AWALIYAH</v>
          </cell>
          <cell r="C1178" t="str">
            <v>SAMI</v>
          </cell>
          <cell r="D1178" t="str">
            <v>OPT-253</v>
          </cell>
          <cell r="E1178">
            <v>40458</v>
          </cell>
          <cell r="F1178" t="str">
            <v>-</v>
          </cell>
          <cell r="G1178" t="str">
            <v>-</v>
          </cell>
          <cell r="H1178" t="str">
            <v>PRD</v>
          </cell>
          <cell r="I1178" t="str">
            <v>PRD</v>
          </cell>
          <cell r="J1178" t="str">
            <v>HONDA FIT</v>
          </cell>
          <cell r="K1178" t="str">
            <v>HONDA FIT SHUTTLE WH L CABIN</v>
          </cell>
          <cell r="L1178" t="str">
            <v>CV 13B</v>
          </cell>
          <cell r="M1178" t="str">
            <v>T/P 1.1</v>
          </cell>
          <cell r="N1178" t="str">
            <v>ASSEMBLY</v>
          </cell>
          <cell r="O1178" t="str">
            <v>B</v>
          </cell>
        </row>
        <row r="1179">
          <cell r="A1179">
            <v>10884</v>
          </cell>
          <cell r="B1179" t="str">
            <v>ELSA DIAH AYU PERTIWI</v>
          </cell>
          <cell r="C1179" t="str">
            <v>SAMI</v>
          </cell>
          <cell r="D1179" t="str">
            <v>OPT-284</v>
          </cell>
          <cell r="E1179">
            <v>40574</v>
          </cell>
          <cell r="F1179" t="str">
            <v>-</v>
          </cell>
          <cell r="G1179" t="str">
            <v>-</v>
          </cell>
          <cell r="H1179" t="str">
            <v>PRD</v>
          </cell>
          <cell r="I1179" t="str">
            <v>PRD</v>
          </cell>
          <cell r="J1179" t="str">
            <v>HONDA FIT</v>
          </cell>
          <cell r="K1179" t="str">
            <v>HONDA FIT SHUTTLE WH L CABIN</v>
          </cell>
          <cell r="L1179" t="str">
            <v>CV 13B</v>
          </cell>
          <cell r="M1179" t="str">
            <v>S/A AB</v>
          </cell>
          <cell r="N1179" t="str">
            <v>SUB ASSY</v>
          </cell>
          <cell r="O1179" t="str">
            <v>B</v>
          </cell>
        </row>
        <row r="1180">
          <cell r="A1180">
            <v>11521</v>
          </cell>
          <cell r="B1180" t="str">
            <v>ANIS WULAN NINGSIH</v>
          </cell>
          <cell r="C1180" t="str">
            <v>SAMI</v>
          </cell>
          <cell r="D1180" t="str">
            <v>OPT-307</v>
          </cell>
          <cell r="E1180">
            <v>40707</v>
          </cell>
          <cell r="F1180" t="str">
            <v>-</v>
          </cell>
          <cell r="G1180" t="str">
            <v>-</v>
          </cell>
          <cell r="H1180" t="str">
            <v>PRD</v>
          </cell>
          <cell r="I1180" t="str">
            <v>PRD</v>
          </cell>
          <cell r="J1180" t="str">
            <v>HONDA FIT</v>
          </cell>
          <cell r="K1180" t="str">
            <v>HONDA FIT SHUTTLE WH L CABIN</v>
          </cell>
          <cell r="L1180" t="str">
            <v>CV 13B</v>
          </cell>
          <cell r="M1180" t="str">
            <v>T/P 3.2</v>
          </cell>
          <cell r="N1180" t="str">
            <v>ASSEMBLY</v>
          </cell>
          <cell r="O1180" t="str">
            <v>B</v>
          </cell>
        </row>
        <row r="1181">
          <cell r="A1181">
            <v>11721</v>
          </cell>
          <cell r="B1181" t="str">
            <v>JUMALIYAH</v>
          </cell>
          <cell r="C1181" t="str">
            <v>SAMI</v>
          </cell>
          <cell r="D1181" t="str">
            <v>OPT-308</v>
          </cell>
          <cell r="E1181">
            <v>40714</v>
          </cell>
          <cell r="F1181" t="str">
            <v>-</v>
          </cell>
          <cell r="G1181" t="str">
            <v>-</v>
          </cell>
          <cell r="H1181" t="str">
            <v>PRD</v>
          </cell>
          <cell r="I1181" t="str">
            <v>PRD</v>
          </cell>
          <cell r="J1181" t="str">
            <v>HONDA FIT</v>
          </cell>
          <cell r="K1181" t="str">
            <v>HONDA FIT SHUTTLE WH L CABIN</v>
          </cell>
          <cell r="L1181" t="str">
            <v>CV 13B</v>
          </cell>
          <cell r="M1181" t="str">
            <v>S/A 3.1</v>
          </cell>
          <cell r="N1181" t="str">
            <v>SUB ASSY</v>
          </cell>
          <cell r="O1181" t="str">
            <v>B</v>
          </cell>
        </row>
        <row r="1182">
          <cell r="A1182">
            <v>12092</v>
          </cell>
          <cell r="B1182" t="str">
            <v>ENDANG ERNAWATI</v>
          </cell>
          <cell r="C1182" t="str">
            <v>SAMI</v>
          </cell>
          <cell r="D1182" t="str">
            <v>OPT-314</v>
          </cell>
          <cell r="E1182">
            <v>40798</v>
          </cell>
          <cell r="F1182" t="str">
            <v>-</v>
          </cell>
          <cell r="G1182" t="str">
            <v>-</v>
          </cell>
          <cell r="H1182" t="str">
            <v>PRD</v>
          </cell>
          <cell r="I1182" t="str">
            <v>PRD</v>
          </cell>
          <cell r="J1182" t="str">
            <v>HONDA FIT</v>
          </cell>
          <cell r="K1182" t="str">
            <v>HONDA FIT SHUTTLE WH L CABIN</v>
          </cell>
          <cell r="L1182" t="str">
            <v>CV 13B</v>
          </cell>
          <cell r="M1182" t="str">
            <v>BATERAY CABLE</v>
          </cell>
          <cell r="N1182" t="str">
            <v>ASSEMBLY</v>
          </cell>
          <cell r="O1182" t="str">
            <v>B</v>
          </cell>
        </row>
        <row r="1183">
          <cell r="A1183">
            <v>12209</v>
          </cell>
          <cell r="B1183" t="str">
            <v>ROKHIYATI</v>
          </cell>
          <cell r="C1183" t="str">
            <v>SAMI</v>
          </cell>
          <cell r="D1183" t="str">
            <v>OPT-315</v>
          </cell>
          <cell r="E1183">
            <v>40802</v>
          </cell>
          <cell r="F1183" t="str">
            <v>-</v>
          </cell>
          <cell r="G1183" t="str">
            <v>-</v>
          </cell>
          <cell r="H1183" t="str">
            <v>PRD</v>
          </cell>
          <cell r="I1183" t="str">
            <v>PRD</v>
          </cell>
          <cell r="J1183" t="str">
            <v>HONDA FIT</v>
          </cell>
          <cell r="K1183" t="str">
            <v>HONDA FIT SHUTTLE WH L CABIN</v>
          </cell>
          <cell r="L1183" t="str">
            <v>CV 13B</v>
          </cell>
          <cell r="M1183" t="str">
            <v>S/T 2.2</v>
          </cell>
          <cell r="N1183" t="str">
            <v>ASSEMBLY</v>
          </cell>
          <cell r="O1183" t="str">
            <v>B</v>
          </cell>
        </row>
        <row r="1184">
          <cell r="A1184">
            <v>19696</v>
          </cell>
          <cell r="B1184" t="str">
            <v>FAHRI KHUSAENI</v>
          </cell>
          <cell r="C1184" t="str">
            <v>SAMI</v>
          </cell>
          <cell r="D1184" t="str">
            <v>OPT-491</v>
          </cell>
          <cell r="E1184">
            <v>42481</v>
          </cell>
          <cell r="F1184" t="str">
            <v>-</v>
          </cell>
          <cell r="G1184" t="str">
            <v>-</v>
          </cell>
          <cell r="H1184" t="str">
            <v>PRD</v>
          </cell>
          <cell r="I1184" t="str">
            <v>PRD</v>
          </cell>
          <cell r="J1184" t="str">
            <v>HONDA FIT</v>
          </cell>
          <cell r="K1184" t="str">
            <v>HONDA FIT SHUTTLE WH L CABIN</v>
          </cell>
          <cell r="L1184" t="str">
            <v>CV 13B</v>
          </cell>
          <cell r="M1184" t="str">
            <v>PROTECTOR 1</v>
          </cell>
          <cell r="N1184" t="str">
            <v>ASSEMBLY</v>
          </cell>
          <cell r="O1184" t="str">
            <v>B</v>
          </cell>
        </row>
        <row r="1185">
          <cell r="A1185">
            <v>19796</v>
          </cell>
          <cell r="B1185" t="str">
            <v>MUHAMMAD AHLUN NAHZAR</v>
          </cell>
          <cell r="C1185" t="str">
            <v>SAMI</v>
          </cell>
          <cell r="D1185" t="str">
            <v>OPT-492</v>
          </cell>
          <cell r="E1185">
            <v>42499</v>
          </cell>
          <cell r="F1185" t="str">
            <v>-</v>
          </cell>
          <cell r="G1185" t="str">
            <v>-</v>
          </cell>
          <cell r="H1185" t="str">
            <v>PRD</v>
          </cell>
          <cell r="I1185" t="str">
            <v>PRD</v>
          </cell>
          <cell r="J1185" t="str">
            <v>HONDA FIT</v>
          </cell>
          <cell r="K1185" t="str">
            <v>HONDA FIT SHUTTLE WH L CABIN</v>
          </cell>
          <cell r="L1185" t="str">
            <v>CV 13B</v>
          </cell>
          <cell r="M1185" t="str">
            <v>EXPANDER GROMMET</v>
          </cell>
          <cell r="N1185" t="str">
            <v>FINISHING &amp; GROMMET INJECTION</v>
          </cell>
          <cell r="O1185" t="str">
            <v>B</v>
          </cell>
        </row>
        <row r="1186">
          <cell r="A1186">
            <v>19866</v>
          </cell>
          <cell r="B1186" t="str">
            <v>ARI EGASAPUTRA</v>
          </cell>
          <cell r="C1186" t="str">
            <v>SAMI</v>
          </cell>
          <cell r="D1186" t="str">
            <v>OPT-493</v>
          </cell>
          <cell r="E1186">
            <v>42506</v>
          </cell>
          <cell r="F1186" t="str">
            <v>-</v>
          </cell>
          <cell r="G1186" t="str">
            <v>-</v>
          </cell>
          <cell r="H1186" t="str">
            <v>PRD</v>
          </cell>
          <cell r="I1186" t="str">
            <v>PRD</v>
          </cell>
          <cell r="J1186" t="str">
            <v>HONDA FIT</v>
          </cell>
          <cell r="K1186" t="str">
            <v>HONDA FIT SHUTTLE WH L CABIN</v>
          </cell>
          <cell r="L1186" t="str">
            <v>CV 13B</v>
          </cell>
          <cell r="M1186" t="str">
            <v>T/P 6</v>
          </cell>
          <cell r="N1186" t="str">
            <v>ASSEMBLY</v>
          </cell>
          <cell r="O1186" t="str">
            <v>B</v>
          </cell>
        </row>
        <row r="1187">
          <cell r="A1187">
            <v>20450</v>
          </cell>
          <cell r="B1187" t="str">
            <v>DYAH EKA YUDIANINGSIH</v>
          </cell>
          <cell r="C1187" t="str">
            <v>SAMI</v>
          </cell>
          <cell r="D1187" t="str">
            <v>OPT-504</v>
          </cell>
          <cell r="E1187">
            <v>42634</v>
          </cell>
          <cell r="F1187">
            <v>43132</v>
          </cell>
          <cell r="G1187">
            <v>43496</v>
          </cell>
          <cell r="H1187" t="str">
            <v>PRD</v>
          </cell>
          <cell r="I1187" t="str">
            <v>PRD</v>
          </cell>
          <cell r="J1187" t="str">
            <v>HONDA FIT</v>
          </cell>
          <cell r="K1187" t="str">
            <v>HONDA FIT SHUTTLE WH L CABIN</v>
          </cell>
          <cell r="L1187" t="str">
            <v>CV 13B</v>
          </cell>
          <cell r="M1187" t="str">
            <v>S/A 5</v>
          </cell>
          <cell r="N1187" t="str">
            <v>SUB ASSY</v>
          </cell>
          <cell r="O1187" t="str">
            <v>B</v>
          </cell>
        </row>
        <row r="1188">
          <cell r="A1188">
            <v>20565</v>
          </cell>
          <cell r="B1188" t="str">
            <v xml:space="preserve">DEWI ALIATUL MUALIFAH </v>
          </cell>
          <cell r="C1188" t="str">
            <v>SAMI</v>
          </cell>
          <cell r="D1188" t="str">
            <v>OPT-505</v>
          </cell>
          <cell r="E1188">
            <v>42639</v>
          </cell>
          <cell r="F1188">
            <v>43132</v>
          </cell>
          <cell r="G1188">
            <v>43496</v>
          </cell>
          <cell r="H1188" t="str">
            <v>PRD</v>
          </cell>
          <cell r="I1188" t="str">
            <v>PRD</v>
          </cell>
          <cell r="J1188" t="str">
            <v>HONDA FIT</v>
          </cell>
          <cell r="K1188" t="str">
            <v>HONDA FIT SHUTTLE WH L CABIN</v>
          </cell>
          <cell r="L1188" t="str">
            <v>CV 13B</v>
          </cell>
          <cell r="M1188" t="str">
            <v>S/A 3.2</v>
          </cell>
          <cell r="N1188" t="str">
            <v>SUB ASSY</v>
          </cell>
          <cell r="O1188" t="str">
            <v>B</v>
          </cell>
        </row>
        <row r="1189">
          <cell r="A1189">
            <v>20672</v>
          </cell>
          <cell r="B1189" t="str">
            <v>USWATUN KHASANAH</v>
          </cell>
          <cell r="C1189" t="str">
            <v>SAMI</v>
          </cell>
          <cell r="D1189" t="str">
            <v>OPT-505</v>
          </cell>
          <cell r="E1189">
            <v>42639</v>
          </cell>
          <cell r="F1189">
            <v>43132</v>
          </cell>
          <cell r="G1189">
            <v>43496</v>
          </cell>
          <cell r="H1189" t="str">
            <v>PRD</v>
          </cell>
          <cell r="I1189" t="str">
            <v>PRD</v>
          </cell>
          <cell r="J1189" t="str">
            <v>HONDA FIT</v>
          </cell>
          <cell r="K1189" t="str">
            <v>HONDA FIT SHUTTLE WH L CABIN</v>
          </cell>
          <cell r="L1189" t="str">
            <v>CV 13B</v>
          </cell>
          <cell r="M1189" t="str">
            <v>T/P 4.1</v>
          </cell>
          <cell r="N1189" t="str">
            <v>ASSEMBLY</v>
          </cell>
          <cell r="O1189" t="str">
            <v>B</v>
          </cell>
        </row>
        <row r="1190">
          <cell r="A1190">
            <v>21292</v>
          </cell>
          <cell r="B1190" t="str">
            <v>IKA RAHMAWATI</v>
          </cell>
          <cell r="C1190" t="str">
            <v>SAMI</v>
          </cell>
          <cell r="D1190" t="str">
            <v>OPT-530</v>
          </cell>
          <cell r="E1190">
            <v>43010</v>
          </cell>
          <cell r="F1190">
            <v>43405</v>
          </cell>
          <cell r="G1190">
            <v>43769</v>
          </cell>
          <cell r="H1190" t="str">
            <v>PRD</v>
          </cell>
          <cell r="I1190" t="str">
            <v>PRD</v>
          </cell>
          <cell r="J1190" t="str">
            <v>HONDA FIT</v>
          </cell>
          <cell r="K1190" t="str">
            <v>HONDA FIT SHUTTLE WH L CABIN</v>
          </cell>
          <cell r="L1190" t="str">
            <v>CV 13B</v>
          </cell>
          <cell r="M1190" t="str">
            <v>T/P 1.2</v>
          </cell>
          <cell r="N1190" t="str">
            <v>ASSEMBLY</v>
          </cell>
          <cell r="O1190" t="str">
            <v>B</v>
          </cell>
        </row>
        <row r="1191">
          <cell r="A1191">
            <v>21332</v>
          </cell>
          <cell r="B1191" t="str">
            <v>DESY PUSPITA DEWI</v>
          </cell>
          <cell r="C1191" t="str">
            <v>SAMI</v>
          </cell>
          <cell r="D1191" t="str">
            <v>OPT-531</v>
          </cell>
          <cell r="E1191">
            <v>43013</v>
          </cell>
          <cell r="F1191">
            <v>43405</v>
          </cell>
          <cell r="G1191">
            <v>43769</v>
          </cell>
          <cell r="H1191" t="str">
            <v>PRD</v>
          </cell>
          <cell r="I1191" t="str">
            <v>PRD</v>
          </cell>
          <cell r="J1191" t="str">
            <v>HONDA FIT</v>
          </cell>
          <cell r="K1191" t="str">
            <v>HONDA FIT SHUTTLE WH L CABIN</v>
          </cell>
          <cell r="L1191" t="str">
            <v>CV 13B</v>
          </cell>
          <cell r="M1191" t="str">
            <v>S/T 1.1</v>
          </cell>
          <cell r="N1191" t="str">
            <v>ASSEMBLY</v>
          </cell>
          <cell r="O1191" t="str">
            <v>B</v>
          </cell>
        </row>
        <row r="1192">
          <cell r="A1192">
            <v>21369</v>
          </cell>
          <cell r="B1192" t="str">
            <v>SITI SUKAEDAH</v>
          </cell>
          <cell r="C1192" t="str">
            <v>SAMI</v>
          </cell>
          <cell r="D1192" t="str">
            <v>OPT-531</v>
          </cell>
          <cell r="E1192">
            <v>43013</v>
          </cell>
          <cell r="F1192">
            <v>43405</v>
          </cell>
          <cell r="G1192">
            <v>43769</v>
          </cell>
          <cell r="H1192" t="str">
            <v>PRD</v>
          </cell>
          <cell r="I1192" t="str">
            <v>PRD</v>
          </cell>
          <cell r="J1192" t="str">
            <v>HONDA FIT</v>
          </cell>
          <cell r="K1192" t="str">
            <v>HONDA FIT SHUTTLE WH L CABIN</v>
          </cell>
          <cell r="L1192" t="str">
            <v>CV 13B</v>
          </cell>
          <cell r="M1192" t="str">
            <v>S/T 2.1</v>
          </cell>
          <cell r="N1192" t="str">
            <v>ASSEMBLY</v>
          </cell>
          <cell r="O1192" t="str">
            <v>B</v>
          </cell>
        </row>
        <row r="1193">
          <cell r="A1193">
            <v>21498</v>
          </cell>
          <cell r="B1193" t="str">
            <v>SITI ZUHROTUL ISTIQOMAH</v>
          </cell>
          <cell r="C1193" t="str">
            <v>SAMI</v>
          </cell>
          <cell r="D1193" t="str">
            <v>OPT-534</v>
          </cell>
          <cell r="E1193">
            <v>43031</v>
          </cell>
          <cell r="F1193">
            <v>43435</v>
          </cell>
          <cell r="G1193">
            <v>43799</v>
          </cell>
          <cell r="H1193" t="str">
            <v>PRD</v>
          </cell>
          <cell r="I1193" t="str">
            <v>PRD</v>
          </cell>
          <cell r="J1193" t="str">
            <v>HONDA FIT</v>
          </cell>
          <cell r="K1193" t="str">
            <v>HONDA FIT SHUTTLE WH L CABIN</v>
          </cell>
          <cell r="L1193" t="str">
            <v>CV 13B</v>
          </cell>
          <cell r="M1193" t="str">
            <v>S/T 4.2</v>
          </cell>
          <cell r="N1193" t="str">
            <v>ASSEMBLY</v>
          </cell>
          <cell r="O1193" t="str">
            <v>B</v>
          </cell>
        </row>
        <row r="1194">
          <cell r="A1194">
            <v>21609</v>
          </cell>
          <cell r="B1194" t="str">
            <v>NURUL HIDAYAH</v>
          </cell>
          <cell r="C1194" t="str">
            <v>SAMI</v>
          </cell>
          <cell r="D1194" t="str">
            <v>OPT-536</v>
          </cell>
          <cell r="E1194">
            <v>43048</v>
          </cell>
          <cell r="F1194">
            <v>43435</v>
          </cell>
          <cell r="G1194">
            <v>43799</v>
          </cell>
          <cell r="H1194" t="str">
            <v>PRD</v>
          </cell>
          <cell r="I1194" t="str">
            <v>PRD</v>
          </cell>
          <cell r="J1194" t="str">
            <v>HONDA FIT</v>
          </cell>
          <cell r="K1194" t="str">
            <v>HONDA FIT SHUTTLE WH L CABIN</v>
          </cell>
          <cell r="L1194" t="str">
            <v>CV 13B</v>
          </cell>
          <cell r="M1194" t="str">
            <v>CHECKER 2</v>
          </cell>
          <cell r="N1194" t="str">
            <v>ELECTRICAL INSPECTION</v>
          </cell>
          <cell r="O1194" t="str">
            <v>B</v>
          </cell>
        </row>
        <row r="1195">
          <cell r="A1195">
            <v>21623</v>
          </cell>
          <cell r="B1195" t="str">
            <v>SITI SARTIKA</v>
          </cell>
          <cell r="C1195" t="str">
            <v>SAMI</v>
          </cell>
          <cell r="D1195" t="str">
            <v>OPT-536</v>
          </cell>
          <cell r="E1195">
            <v>43048</v>
          </cell>
          <cell r="F1195">
            <v>43435</v>
          </cell>
          <cell r="G1195">
            <v>43799</v>
          </cell>
          <cell r="H1195" t="str">
            <v>PRD</v>
          </cell>
          <cell r="I1195" t="str">
            <v>PRD</v>
          </cell>
          <cell r="J1195" t="str">
            <v>HONDA FIT</v>
          </cell>
          <cell r="K1195" t="str">
            <v>HONDA FIT SHUTTLE WH L CABIN</v>
          </cell>
          <cell r="L1195" t="str">
            <v>CV 13B</v>
          </cell>
          <cell r="M1195" t="str">
            <v>T/P 4.2</v>
          </cell>
          <cell r="N1195" t="str">
            <v>ASSEMBLY</v>
          </cell>
          <cell r="O1195" t="str">
            <v>B</v>
          </cell>
        </row>
        <row r="1196">
          <cell r="A1196">
            <v>21719</v>
          </cell>
          <cell r="B1196" t="str">
            <v>ITA USAKINAH</v>
          </cell>
          <cell r="C1196" t="str">
            <v>SAMI</v>
          </cell>
          <cell r="D1196" t="str">
            <v>OPT-539</v>
          </cell>
          <cell r="E1196">
            <v>43087</v>
          </cell>
          <cell r="F1196">
            <v>43118</v>
          </cell>
          <cell r="G1196">
            <v>43496</v>
          </cell>
          <cell r="H1196" t="str">
            <v>PRD</v>
          </cell>
          <cell r="I1196" t="str">
            <v>PRD</v>
          </cell>
          <cell r="J1196" t="str">
            <v>HONDA FIT</v>
          </cell>
          <cell r="K1196" t="str">
            <v>HONDA FIT SHUTTLE WH L CABIN</v>
          </cell>
          <cell r="L1196" t="str">
            <v>CV 13B</v>
          </cell>
          <cell r="M1196" t="str">
            <v>S/T 1.2</v>
          </cell>
          <cell r="N1196" t="str">
            <v>ASSEMBLY</v>
          </cell>
          <cell r="O1196" t="str">
            <v>B</v>
          </cell>
        </row>
        <row r="1197">
          <cell r="A1197">
            <v>21726</v>
          </cell>
          <cell r="B1197" t="str">
            <v>LINDA NOVITA DEWI</v>
          </cell>
          <cell r="C1197" t="str">
            <v>SAMI</v>
          </cell>
          <cell r="D1197" t="str">
            <v>OPT-539</v>
          </cell>
          <cell r="E1197">
            <v>43087</v>
          </cell>
          <cell r="F1197">
            <v>43118</v>
          </cell>
          <cell r="G1197">
            <v>43496</v>
          </cell>
          <cell r="H1197" t="str">
            <v>PRD</v>
          </cell>
          <cell r="I1197" t="str">
            <v>PRD</v>
          </cell>
          <cell r="J1197" t="str">
            <v>HONDA FIT</v>
          </cell>
          <cell r="K1197" t="str">
            <v>HONDA FIT SHUTTLE WH L CABIN</v>
          </cell>
          <cell r="L1197" t="str">
            <v>CV 13B</v>
          </cell>
          <cell r="M1197" t="str">
            <v>CHECKER 1</v>
          </cell>
          <cell r="N1197" t="str">
            <v>ELECTRICAL INSPECTION</v>
          </cell>
          <cell r="O1197" t="str">
            <v>B</v>
          </cell>
        </row>
        <row r="1198">
          <cell r="A1198">
            <v>21828</v>
          </cell>
          <cell r="B1198" t="str">
            <v>ERMI NUR HIDAYANI</v>
          </cell>
          <cell r="C1198" t="str">
            <v>SAMI</v>
          </cell>
          <cell r="D1198" t="str">
            <v>OPT-541</v>
          </cell>
          <cell r="E1198">
            <v>43098</v>
          </cell>
          <cell r="F1198">
            <v>43129</v>
          </cell>
          <cell r="G1198">
            <v>43496</v>
          </cell>
          <cell r="H1198" t="str">
            <v>PRD</v>
          </cell>
          <cell r="I1198" t="str">
            <v>PRD</v>
          </cell>
          <cell r="J1198" t="str">
            <v>HONDA FIT</v>
          </cell>
          <cell r="K1198" t="str">
            <v>HONDA FIT SHUTTLE WH L CABIN</v>
          </cell>
          <cell r="L1198" t="str">
            <v>CV 13B</v>
          </cell>
          <cell r="M1198" t="str">
            <v>S/T 3.1</v>
          </cell>
          <cell r="N1198" t="str">
            <v>ASSEMBLY</v>
          </cell>
          <cell r="O1198" t="str">
            <v>B</v>
          </cell>
        </row>
        <row r="1199">
          <cell r="A1199">
            <v>21906</v>
          </cell>
          <cell r="B1199" t="str">
            <v>SRI MULYANI</v>
          </cell>
          <cell r="C1199" t="str">
            <v>SAMI</v>
          </cell>
          <cell r="D1199" t="str">
            <v>OPT-542</v>
          </cell>
          <cell r="E1199">
            <v>43103</v>
          </cell>
          <cell r="F1199">
            <v>43134</v>
          </cell>
          <cell r="G1199">
            <v>43496</v>
          </cell>
          <cell r="H1199" t="str">
            <v>PRD</v>
          </cell>
          <cell r="I1199" t="str">
            <v>PRD</v>
          </cell>
          <cell r="J1199" t="str">
            <v>HONDA FIT</v>
          </cell>
          <cell r="K1199" t="str">
            <v>HONDA FIT SHUTTLE WH L CABIN</v>
          </cell>
          <cell r="L1199" t="str">
            <v>CV 13B</v>
          </cell>
          <cell r="M1199" t="str">
            <v>CHECKER 3</v>
          </cell>
          <cell r="N1199" t="str">
            <v>ELECTRICAL INSPECTION</v>
          </cell>
          <cell r="O1199" t="str">
            <v>B</v>
          </cell>
        </row>
        <row r="1200">
          <cell r="A1200">
            <v>21951</v>
          </cell>
          <cell r="B1200" t="str">
            <v>EFIK NURFIANI</v>
          </cell>
          <cell r="C1200" t="str">
            <v>SAMI</v>
          </cell>
          <cell r="D1200" t="str">
            <v>OPT-545</v>
          </cell>
          <cell r="E1200">
            <v>43116</v>
          </cell>
          <cell r="F1200">
            <v>43147</v>
          </cell>
          <cell r="G1200">
            <v>43524</v>
          </cell>
          <cell r="H1200" t="str">
            <v>PRD</v>
          </cell>
          <cell r="I1200" t="str">
            <v>PRD</v>
          </cell>
          <cell r="J1200" t="str">
            <v>HONDA FIT</v>
          </cell>
          <cell r="K1200" t="str">
            <v>HONDA FIT SHUTTLE WH L CABIN</v>
          </cell>
          <cell r="L1200" t="str">
            <v>CV 13B</v>
          </cell>
          <cell r="M1200" t="str">
            <v>MATERIAL SUPPLY</v>
          </cell>
          <cell r="N1200" t="str">
            <v>MATERIAL SUPPLY</v>
          </cell>
          <cell r="O1200" t="str">
            <v>B</v>
          </cell>
        </row>
        <row r="1201">
          <cell r="A1201">
            <v>21955</v>
          </cell>
          <cell r="B1201" t="str">
            <v>IKKE FRIDA SOFIA</v>
          </cell>
          <cell r="C1201" t="str">
            <v>SAMI</v>
          </cell>
          <cell r="D1201" t="str">
            <v>OPT-545</v>
          </cell>
          <cell r="E1201">
            <v>43116</v>
          </cell>
          <cell r="F1201">
            <v>43147</v>
          </cell>
          <cell r="G1201">
            <v>43524</v>
          </cell>
          <cell r="H1201" t="str">
            <v>PRD</v>
          </cell>
          <cell r="I1201" t="str">
            <v>PRD</v>
          </cell>
          <cell r="J1201" t="str">
            <v>HONDA FIT</v>
          </cell>
          <cell r="K1201" t="str">
            <v>HONDA FIT SHUTTLE WH L CABIN</v>
          </cell>
          <cell r="L1201" t="str">
            <v>CV 13B</v>
          </cell>
          <cell r="M1201" t="str">
            <v>MATERIAL SUPPLY</v>
          </cell>
          <cell r="N1201" t="str">
            <v>MATERIAL SUPPLY</v>
          </cell>
          <cell r="O1201" t="str">
            <v>B</v>
          </cell>
        </row>
        <row r="1202">
          <cell r="A1202">
            <v>22023</v>
          </cell>
          <cell r="B1202" t="str">
            <v>FIKA UUN ZUNAIROH</v>
          </cell>
          <cell r="C1202" t="str">
            <v>SAMI</v>
          </cell>
          <cell r="D1202" t="str">
            <v>OPT-547</v>
          </cell>
          <cell r="E1202">
            <v>43144</v>
          </cell>
          <cell r="F1202">
            <v>43172</v>
          </cell>
          <cell r="G1202">
            <v>43524</v>
          </cell>
          <cell r="H1202" t="str">
            <v>PRD</v>
          </cell>
          <cell r="I1202" t="str">
            <v>PRD</v>
          </cell>
          <cell r="J1202" t="str">
            <v>HONDA FIT</v>
          </cell>
          <cell r="K1202" t="str">
            <v>HONDA FIT SHUTTLE WH L CABIN</v>
          </cell>
          <cell r="L1202" t="str">
            <v>CV 13B</v>
          </cell>
          <cell r="M1202" t="str">
            <v>T/P 2.1</v>
          </cell>
          <cell r="N1202" t="str">
            <v>ASSEMBLY</v>
          </cell>
          <cell r="O1202" t="str">
            <v>B</v>
          </cell>
        </row>
        <row r="1203">
          <cell r="A1203">
            <v>22186</v>
          </cell>
          <cell r="B1203" t="str">
            <v>KHOIRUS SANAH</v>
          </cell>
          <cell r="C1203" t="str">
            <v>SAMI</v>
          </cell>
          <cell r="D1203" t="str">
            <v>OPT-550</v>
          </cell>
          <cell r="E1203">
            <v>43158</v>
          </cell>
          <cell r="F1203">
            <v>43186</v>
          </cell>
          <cell r="G1203">
            <v>43555</v>
          </cell>
          <cell r="H1203" t="str">
            <v>PRD</v>
          </cell>
          <cell r="I1203" t="str">
            <v>PRD</v>
          </cell>
          <cell r="J1203" t="str">
            <v>HONDA FIT</v>
          </cell>
          <cell r="K1203" t="str">
            <v>HONDA FIT SHUTTLE WH L CABIN</v>
          </cell>
          <cell r="L1203" t="str">
            <v>CV 13B</v>
          </cell>
          <cell r="M1203" t="str">
            <v>S/A 4</v>
          </cell>
          <cell r="N1203" t="str">
            <v>SUB ASSY</v>
          </cell>
          <cell r="O1203" t="str">
            <v>B</v>
          </cell>
        </row>
        <row r="1204">
          <cell r="A1204">
            <v>22373</v>
          </cell>
          <cell r="B1204" t="str">
            <v>ARIF MUNANDAR</v>
          </cell>
          <cell r="C1204" t="str">
            <v>SAMI</v>
          </cell>
          <cell r="D1204" t="str">
            <v>OPT-558</v>
          </cell>
          <cell r="E1204">
            <v>43213</v>
          </cell>
          <cell r="F1204">
            <v>43243</v>
          </cell>
          <cell r="G1204">
            <v>43616</v>
          </cell>
          <cell r="H1204" t="str">
            <v>PRD</v>
          </cell>
          <cell r="I1204" t="str">
            <v>PRD</v>
          </cell>
          <cell r="J1204" t="str">
            <v>HONDA FIT</v>
          </cell>
          <cell r="K1204" t="str">
            <v>HONDA FIT SHUTTLE WH L CABIN</v>
          </cell>
          <cell r="L1204" t="str">
            <v>CV 13B</v>
          </cell>
          <cell r="M1204" t="str">
            <v>COROBIKI</v>
          </cell>
          <cell r="N1204" t="str">
            <v>F/A CONTROLLER</v>
          </cell>
          <cell r="O1204" t="str">
            <v>B</v>
          </cell>
        </row>
        <row r="1205">
          <cell r="A1205">
            <v>22374</v>
          </cell>
          <cell r="B1205" t="str">
            <v>ASFARINA AIRIN</v>
          </cell>
          <cell r="C1205" t="str">
            <v>SAMI</v>
          </cell>
          <cell r="D1205" t="str">
            <v>OPT-558</v>
          </cell>
          <cell r="E1205">
            <v>43213</v>
          </cell>
          <cell r="F1205">
            <v>43243</v>
          </cell>
          <cell r="G1205">
            <v>43616</v>
          </cell>
          <cell r="H1205" t="str">
            <v>PRD</v>
          </cell>
          <cell r="I1205" t="str">
            <v>PRD</v>
          </cell>
          <cell r="J1205" t="str">
            <v>HONDA FIT</v>
          </cell>
          <cell r="K1205" t="str">
            <v>HONDA FIT SHUTTLE WH L CABIN</v>
          </cell>
          <cell r="L1205" t="str">
            <v>CV 13B</v>
          </cell>
          <cell r="M1205" t="str">
            <v>T/P 5.2</v>
          </cell>
          <cell r="N1205" t="str">
            <v>ASSEMBLY</v>
          </cell>
          <cell r="O1205" t="str">
            <v>B</v>
          </cell>
        </row>
        <row r="1206">
          <cell r="A1206">
            <v>22504</v>
          </cell>
          <cell r="B1206" t="str">
            <v>VANESA MUTIARA PUTRI</v>
          </cell>
          <cell r="C1206" t="str">
            <v>SAMI</v>
          </cell>
          <cell r="D1206" t="str">
            <v>OPT-560</v>
          </cell>
          <cell r="E1206">
            <v>43224</v>
          </cell>
          <cell r="F1206">
            <v>43255</v>
          </cell>
          <cell r="G1206">
            <v>43616</v>
          </cell>
          <cell r="H1206" t="str">
            <v>PRD</v>
          </cell>
          <cell r="I1206" t="str">
            <v>PRD</v>
          </cell>
          <cell r="J1206" t="str">
            <v>HONDA FIT</v>
          </cell>
          <cell r="K1206" t="str">
            <v>HONDA FIT SHUTTLE WH L CABIN</v>
          </cell>
          <cell r="L1206" t="str">
            <v>CV 13B</v>
          </cell>
          <cell r="M1206" t="str">
            <v>S/A 2</v>
          </cell>
          <cell r="N1206" t="str">
            <v>SUB ASSY</v>
          </cell>
          <cell r="O1206" t="str">
            <v>B</v>
          </cell>
        </row>
        <row r="1207">
          <cell r="A1207">
            <v>22788</v>
          </cell>
          <cell r="B1207" t="str">
            <v>JATNO PRASTIYO</v>
          </cell>
          <cell r="C1207" t="str">
            <v>SAMI</v>
          </cell>
          <cell r="D1207" t="str">
            <v>OPT-565</v>
          </cell>
          <cell r="E1207">
            <v>43283</v>
          </cell>
          <cell r="F1207">
            <v>43314</v>
          </cell>
          <cell r="G1207">
            <v>43677</v>
          </cell>
          <cell r="H1207" t="str">
            <v>PRD</v>
          </cell>
          <cell r="I1207" t="str">
            <v>PRD</v>
          </cell>
          <cell r="J1207" t="str">
            <v>HONDA FIT</v>
          </cell>
          <cell r="K1207" t="str">
            <v>HONDA FIT SHUTTLE WH L CABIN</v>
          </cell>
          <cell r="L1207" t="str">
            <v>CV 13B</v>
          </cell>
          <cell r="M1207" t="str">
            <v>PROTECTOR 2</v>
          </cell>
          <cell r="N1207" t="str">
            <v>ASSEMBLY</v>
          </cell>
          <cell r="O1207" t="str">
            <v>B</v>
          </cell>
        </row>
        <row r="1208">
          <cell r="A1208">
            <v>23078</v>
          </cell>
          <cell r="B1208" t="str">
            <v>SUCIYANI</v>
          </cell>
          <cell r="C1208" t="str">
            <v>SAMI</v>
          </cell>
          <cell r="D1208" t="str">
            <v>OPT-569</v>
          </cell>
          <cell r="E1208">
            <v>43361</v>
          </cell>
          <cell r="F1208">
            <v>43391</v>
          </cell>
          <cell r="G1208">
            <v>43769</v>
          </cell>
          <cell r="H1208" t="str">
            <v>PRD</v>
          </cell>
          <cell r="I1208" t="str">
            <v>PRD</v>
          </cell>
          <cell r="J1208" t="str">
            <v>HONDA FIT</v>
          </cell>
          <cell r="K1208" t="str">
            <v>HONDA FIT SHUTTLE WH L CABIN</v>
          </cell>
          <cell r="L1208" t="str">
            <v>CV 13B</v>
          </cell>
          <cell r="M1208" t="str">
            <v>CIRCUIT SUPPLIER</v>
          </cell>
          <cell r="N1208" t="str">
            <v>CIRCUIT SUPPLY</v>
          </cell>
          <cell r="O1208" t="str">
            <v>B</v>
          </cell>
        </row>
        <row r="1209">
          <cell r="A1209">
            <v>23098</v>
          </cell>
          <cell r="B1209" t="str">
            <v>AQIDAH DINUL QOYYIMAH</v>
          </cell>
          <cell r="C1209" t="str">
            <v>SAMI</v>
          </cell>
          <cell r="D1209" t="str">
            <v>OPT-570</v>
          </cell>
          <cell r="E1209">
            <v>43369</v>
          </cell>
          <cell r="F1209">
            <v>43399</v>
          </cell>
          <cell r="G1209">
            <v>43769</v>
          </cell>
          <cell r="H1209" t="str">
            <v>PRD</v>
          </cell>
          <cell r="I1209" t="str">
            <v>PRD</v>
          </cell>
          <cell r="J1209" t="str">
            <v>HONDA FIT</v>
          </cell>
          <cell r="K1209" t="str">
            <v>HONDA FIT SHUTTLE WH L CABIN</v>
          </cell>
          <cell r="L1209" t="str">
            <v>CV 13B</v>
          </cell>
          <cell r="M1209" t="str">
            <v>T/P 2,1</v>
          </cell>
          <cell r="N1209" t="str">
            <v>ASSEMBLY</v>
          </cell>
          <cell r="O1209" t="str">
            <v>B</v>
          </cell>
        </row>
        <row r="1210">
          <cell r="A1210">
            <v>23114</v>
          </cell>
          <cell r="B1210" t="str">
            <v>FATHIMATUZ ZAHRO</v>
          </cell>
          <cell r="C1210" t="str">
            <v>SAMI</v>
          </cell>
          <cell r="D1210" t="str">
            <v>OPT-570</v>
          </cell>
          <cell r="E1210">
            <v>43369</v>
          </cell>
          <cell r="F1210">
            <v>43399</v>
          </cell>
          <cell r="G1210">
            <v>43769</v>
          </cell>
          <cell r="H1210" t="str">
            <v>PRD</v>
          </cell>
          <cell r="I1210" t="str">
            <v>PRD</v>
          </cell>
          <cell r="J1210" t="str">
            <v>HONDA FIT</v>
          </cell>
          <cell r="K1210" t="str">
            <v>HONDA FIT SHUTTLE WH L CABIN</v>
          </cell>
          <cell r="L1210" t="str">
            <v>CV 13B</v>
          </cell>
          <cell r="M1210" t="str">
            <v>S/A 6</v>
          </cell>
          <cell r="N1210" t="str">
            <v>SUB ASSY</v>
          </cell>
          <cell r="O1210" t="str">
            <v>B</v>
          </cell>
        </row>
        <row r="1211">
          <cell r="A1211">
            <v>23177</v>
          </cell>
          <cell r="B1211" t="str">
            <v>UMI NUR KHABIBAH</v>
          </cell>
          <cell r="C1211" t="str">
            <v>SAMI</v>
          </cell>
          <cell r="D1211" t="str">
            <v>OPT-570</v>
          </cell>
          <cell r="E1211">
            <v>43369</v>
          </cell>
          <cell r="F1211">
            <v>43399</v>
          </cell>
          <cell r="G1211">
            <v>43769</v>
          </cell>
          <cell r="H1211" t="str">
            <v>PRD</v>
          </cell>
          <cell r="I1211" t="str">
            <v>PRD</v>
          </cell>
          <cell r="J1211" t="str">
            <v>HONDA FIT</v>
          </cell>
          <cell r="K1211" t="str">
            <v>HONDA FIT SHUTTLE WH L CABIN</v>
          </cell>
          <cell r="L1211" t="str">
            <v>CV 13B</v>
          </cell>
          <cell r="M1211" t="str">
            <v>INSERTION GROUP</v>
          </cell>
          <cell r="N1211" t="str">
            <v>SUB ASSY</v>
          </cell>
          <cell r="O1211" t="str">
            <v>B</v>
          </cell>
        </row>
        <row r="1212">
          <cell r="A1212">
            <v>23178</v>
          </cell>
          <cell r="B1212" t="str">
            <v>WIDIA ASTUTI</v>
          </cell>
          <cell r="C1212" t="str">
            <v>SAMI</v>
          </cell>
          <cell r="D1212" t="str">
            <v>OPT-570</v>
          </cell>
          <cell r="E1212">
            <v>43369</v>
          </cell>
          <cell r="F1212">
            <v>43399</v>
          </cell>
          <cell r="G1212">
            <v>43769</v>
          </cell>
          <cell r="H1212" t="str">
            <v>PRD</v>
          </cell>
          <cell r="I1212" t="str">
            <v>PRD</v>
          </cell>
          <cell r="J1212" t="str">
            <v>HONDA FIT</v>
          </cell>
          <cell r="K1212" t="str">
            <v>HONDA FIT SHUTTLE WH L CABIN</v>
          </cell>
          <cell r="L1212" t="str">
            <v>CV 13B</v>
          </cell>
          <cell r="M1212" t="str">
            <v>S/T 4.1</v>
          </cell>
          <cell r="N1212" t="str">
            <v>ASSEMBLY</v>
          </cell>
          <cell r="O1212" t="str">
            <v>B</v>
          </cell>
        </row>
        <row r="1213">
          <cell r="A1213">
            <v>23221</v>
          </cell>
          <cell r="B1213" t="str">
            <v>FEBIOLA SUNARDI PUTRI</v>
          </cell>
          <cell r="C1213" t="str">
            <v>SAMI</v>
          </cell>
          <cell r="D1213" t="str">
            <v>OPT-573</v>
          </cell>
          <cell r="E1213">
            <v>43421</v>
          </cell>
          <cell r="F1213">
            <v>43451</v>
          </cell>
          <cell r="G1213">
            <v>43830</v>
          </cell>
          <cell r="H1213" t="str">
            <v>PRD</v>
          </cell>
          <cell r="I1213" t="str">
            <v>PRD</v>
          </cell>
          <cell r="J1213" t="str">
            <v>HONDA FIT</v>
          </cell>
          <cell r="K1213" t="str">
            <v>HONDA FIT SHUTTLE WH L CABIN</v>
          </cell>
          <cell r="L1213" t="str">
            <v>CV 13B</v>
          </cell>
          <cell r="M1213" t="str">
            <v>S/T 4.1</v>
          </cell>
          <cell r="N1213" t="str">
            <v>SUB ASSY</v>
          </cell>
          <cell r="O1213" t="str">
            <v>B</v>
          </cell>
        </row>
        <row r="1214">
          <cell r="A1214">
            <v>23222</v>
          </cell>
          <cell r="B1214" t="str">
            <v>FEGY AZELA</v>
          </cell>
          <cell r="C1214" t="str">
            <v>SAMI</v>
          </cell>
          <cell r="D1214" t="str">
            <v>OPT-573</v>
          </cell>
          <cell r="E1214">
            <v>43421</v>
          </cell>
          <cell r="F1214">
            <v>43451</v>
          </cell>
          <cell r="G1214">
            <v>43830</v>
          </cell>
          <cell r="H1214" t="str">
            <v>PRD</v>
          </cell>
          <cell r="I1214" t="str">
            <v>PRD</v>
          </cell>
          <cell r="J1214" t="str">
            <v>HONDA FIT</v>
          </cell>
          <cell r="K1214" t="str">
            <v>HONDA FIT SHUTTLE WH L CABIN</v>
          </cell>
          <cell r="L1214" t="str">
            <v>CV 13B</v>
          </cell>
          <cell r="M1214" t="str">
            <v>S/A 1</v>
          </cell>
          <cell r="N1214" t="str">
            <v>SUB ASSY</v>
          </cell>
          <cell r="O1214" t="str">
            <v>B</v>
          </cell>
        </row>
        <row r="1215">
          <cell r="A1215">
            <v>23341</v>
          </cell>
          <cell r="B1215" t="str">
            <v>NAIMATUL KHOIRIYAH</v>
          </cell>
          <cell r="C1215" t="str">
            <v>SAMI</v>
          </cell>
          <cell r="D1215" t="str">
            <v>OPT-574</v>
          </cell>
          <cell r="E1215">
            <v>43427</v>
          </cell>
          <cell r="F1215">
            <v>43457</v>
          </cell>
          <cell r="G1215">
            <v>43830</v>
          </cell>
          <cell r="H1215" t="str">
            <v>PRD</v>
          </cell>
          <cell r="I1215" t="str">
            <v>PRD</v>
          </cell>
          <cell r="J1215" t="str">
            <v>HONDA FIT</v>
          </cell>
          <cell r="K1215" t="str">
            <v>HONDA FIT SHUTTLE WH L CABIN</v>
          </cell>
          <cell r="L1215" t="str">
            <v>CV 13B</v>
          </cell>
          <cell r="M1215" t="str">
            <v>OJT S/A 5</v>
          </cell>
          <cell r="N1215" t="str">
            <v>INTERNAL TRIAL</v>
          </cell>
          <cell r="O1215" t="str">
            <v>B</v>
          </cell>
        </row>
        <row r="1216">
          <cell r="A1216">
            <v>23345</v>
          </cell>
          <cell r="B1216" t="str">
            <v>NURUL AL HUDAH</v>
          </cell>
          <cell r="C1216" t="str">
            <v>SAMI</v>
          </cell>
          <cell r="D1216" t="str">
            <v>OPT-574</v>
          </cell>
          <cell r="E1216">
            <v>43427</v>
          </cell>
          <cell r="F1216">
            <v>43457</v>
          </cell>
          <cell r="G1216">
            <v>43830</v>
          </cell>
          <cell r="H1216" t="str">
            <v>PRD</v>
          </cell>
          <cell r="I1216" t="str">
            <v>PRD</v>
          </cell>
          <cell r="J1216" t="str">
            <v>HONDA FIT</v>
          </cell>
          <cell r="K1216" t="str">
            <v>HONDA FIT SHUTTLE WH L CABIN</v>
          </cell>
          <cell r="L1216" t="str">
            <v>CV 13B</v>
          </cell>
          <cell r="M1216" t="str">
            <v>S/A T2.2</v>
          </cell>
          <cell r="N1216" t="str">
            <v>INTERNAL TRIAL</v>
          </cell>
          <cell r="O1216" t="str">
            <v>B</v>
          </cell>
        </row>
        <row r="1217">
          <cell r="A1217">
            <v>23371</v>
          </cell>
          <cell r="B1217" t="str">
            <v>SUSIANINGSIH</v>
          </cell>
          <cell r="C1217" t="str">
            <v>SAMI</v>
          </cell>
          <cell r="D1217" t="str">
            <v>OPT-574</v>
          </cell>
          <cell r="E1217">
            <v>43427</v>
          </cell>
          <cell r="F1217">
            <v>43457</v>
          </cell>
          <cell r="G1217">
            <v>43830</v>
          </cell>
          <cell r="H1217" t="str">
            <v>PRD</v>
          </cell>
          <cell r="I1217" t="str">
            <v>PRD</v>
          </cell>
          <cell r="J1217" t="str">
            <v>HONDA FIT</v>
          </cell>
          <cell r="K1217" t="str">
            <v>HONDA FIT SHUTTLE WH L CABIN</v>
          </cell>
          <cell r="L1217" t="str">
            <v>CV 13B</v>
          </cell>
          <cell r="M1217" t="str">
            <v>CIRCUIT SUPPLIER</v>
          </cell>
          <cell r="N1217" t="str">
            <v>CIRCUIT SUPPLY</v>
          </cell>
          <cell r="O1217" t="str">
            <v>B</v>
          </cell>
        </row>
        <row r="1218">
          <cell r="A1218">
            <v>23388</v>
          </cell>
          <cell r="B1218" t="str">
            <v>ADELYA DWI APRILIYANI</v>
          </cell>
          <cell r="C1218" t="str">
            <v>SAMI</v>
          </cell>
          <cell r="D1218" t="str">
            <v>OPT-575</v>
          </cell>
          <cell r="E1218">
            <v>43434</v>
          </cell>
          <cell r="F1218">
            <v>43464</v>
          </cell>
          <cell r="G1218">
            <v>43830</v>
          </cell>
          <cell r="H1218" t="str">
            <v>PRD</v>
          </cell>
          <cell r="I1218" t="str">
            <v>PRD</v>
          </cell>
          <cell r="J1218" t="str">
            <v>HONDA FIT</v>
          </cell>
          <cell r="K1218" t="str">
            <v>HONDA FIT SHUTTLE WH L CABIN</v>
          </cell>
          <cell r="L1218" t="str">
            <v>CV 13B</v>
          </cell>
          <cell r="M1218" t="str">
            <v>OJT</v>
          </cell>
          <cell r="N1218" t="str">
            <v>INTERNAL TRIAL</v>
          </cell>
          <cell r="O1218" t="str">
            <v>B</v>
          </cell>
        </row>
        <row r="1219">
          <cell r="A1219">
            <v>23592</v>
          </cell>
          <cell r="B1219" t="str">
            <v>SITI MELYANA</v>
          </cell>
          <cell r="C1219" t="str">
            <v>SAMI</v>
          </cell>
          <cell r="D1219" t="str">
            <v>OPT-577</v>
          </cell>
          <cell r="E1219">
            <v>43452</v>
          </cell>
          <cell r="F1219">
            <v>43483</v>
          </cell>
          <cell r="G1219">
            <v>43861</v>
          </cell>
          <cell r="H1219" t="str">
            <v>PRD</v>
          </cell>
          <cell r="I1219" t="str">
            <v>PRD</v>
          </cell>
          <cell r="J1219" t="str">
            <v>HONDA FIT</v>
          </cell>
          <cell r="K1219" t="str">
            <v>HONDA FIT SHUTTLE WH L CABIN</v>
          </cell>
          <cell r="L1219" t="str">
            <v>CV 13B</v>
          </cell>
          <cell r="M1219" t="str">
            <v>MATERIAL SUPPLY 02</v>
          </cell>
          <cell r="N1219" t="str">
            <v>MATERIAL SUPPLY</v>
          </cell>
          <cell r="O1219" t="str">
            <v>B</v>
          </cell>
        </row>
        <row r="1220">
          <cell r="A1220" t="str">
            <v>M23623</v>
          </cell>
          <cell r="B1220" t="str">
            <v>KHOLIDA CHOIRUNISA</v>
          </cell>
          <cell r="C1220" t="str">
            <v>SAMI</v>
          </cell>
          <cell r="D1220" t="str">
            <v>OPT-578</v>
          </cell>
          <cell r="E1220">
            <v>43467</v>
          </cell>
          <cell r="F1220">
            <v>43467</v>
          </cell>
          <cell r="G1220">
            <v>43497</v>
          </cell>
          <cell r="H1220" t="str">
            <v>PRD</v>
          </cell>
          <cell r="I1220" t="str">
            <v>PRD</v>
          </cell>
          <cell r="J1220" t="str">
            <v>HONDA FIT</v>
          </cell>
          <cell r="K1220" t="str">
            <v>HONDA FIT SHUTTLE WH L CABIN</v>
          </cell>
          <cell r="L1220" t="str">
            <v>CV 13B</v>
          </cell>
          <cell r="M1220" t="str">
            <v>OJT</v>
          </cell>
          <cell r="N1220" t="str">
            <v>INTERNAL TRIAL</v>
          </cell>
          <cell r="O1220" t="str">
            <v>B</v>
          </cell>
        </row>
        <row r="1221">
          <cell r="A1221">
            <v>8665</v>
          </cell>
          <cell r="B1221" t="str">
            <v>SITI ROMDHONAH</v>
          </cell>
          <cell r="C1221" t="str">
            <v>SAMI</v>
          </cell>
          <cell r="D1221" t="str">
            <v>OPT-189</v>
          </cell>
          <cell r="E1221">
            <v>39878</v>
          </cell>
          <cell r="F1221" t="str">
            <v>-</v>
          </cell>
          <cell r="G1221" t="str">
            <v>-</v>
          </cell>
          <cell r="H1221" t="str">
            <v>PRD</v>
          </cell>
          <cell r="I1221" t="str">
            <v>PRD</v>
          </cell>
          <cell r="J1221" t="str">
            <v>DYNA</v>
          </cell>
          <cell r="K1221" t="str">
            <v>DYNA</v>
          </cell>
          <cell r="L1221" t="str">
            <v>CV 14</v>
          </cell>
          <cell r="M1221" t="str">
            <v>VISUAL</v>
          </cell>
          <cell r="N1221" t="str">
            <v>VISUAL INSPECTION</v>
          </cell>
          <cell r="O1221" t="str">
            <v>A</v>
          </cell>
        </row>
        <row r="1222">
          <cell r="A1222">
            <v>9596</v>
          </cell>
          <cell r="B1222" t="str">
            <v>FITRIA PURNAMASARI</v>
          </cell>
          <cell r="C1222" t="str">
            <v>SAMI</v>
          </cell>
          <cell r="D1222" t="str">
            <v>OPT-218</v>
          </cell>
          <cell r="E1222">
            <v>40179</v>
          </cell>
          <cell r="F1222" t="str">
            <v>-</v>
          </cell>
          <cell r="G1222" t="str">
            <v>-</v>
          </cell>
          <cell r="H1222" t="str">
            <v>PRD</v>
          </cell>
          <cell r="I1222" t="str">
            <v>PRD</v>
          </cell>
          <cell r="J1222" t="str">
            <v>DYNA</v>
          </cell>
          <cell r="K1222" t="str">
            <v>DYNA</v>
          </cell>
          <cell r="L1222" t="str">
            <v>CV 14</v>
          </cell>
          <cell r="M1222" t="str">
            <v>S/A 1</v>
          </cell>
          <cell r="N1222" t="str">
            <v>SUB ASSY</v>
          </cell>
          <cell r="O1222" t="str">
            <v>A</v>
          </cell>
        </row>
        <row r="1223">
          <cell r="A1223">
            <v>9684</v>
          </cell>
          <cell r="B1223" t="str">
            <v>FITRIANA</v>
          </cell>
          <cell r="C1223" t="str">
            <v>SAMI</v>
          </cell>
          <cell r="D1223" t="str">
            <v>OPT-222</v>
          </cell>
          <cell r="E1223">
            <v>40297</v>
          </cell>
          <cell r="F1223" t="str">
            <v>-</v>
          </cell>
          <cell r="G1223" t="str">
            <v>-</v>
          </cell>
          <cell r="H1223" t="str">
            <v>PRD</v>
          </cell>
          <cell r="I1223" t="str">
            <v>PRD</v>
          </cell>
          <cell r="J1223" t="str">
            <v>DYNA</v>
          </cell>
          <cell r="K1223" t="str">
            <v>DYNA</v>
          </cell>
          <cell r="L1223" t="str">
            <v>CV 14</v>
          </cell>
          <cell r="M1223" t="str">
            <v>VISUAL</v>
          </cell>
          <cell r="N1223" t="str">
            <v>VISUAL INSPECTION</v>
          </cell>
          <cell r="O1223" t="str">
            <v>A</v>
          </cell>
        </row>
        <row r="1224">
          <cell r="A1224">
            <v>10637</v>
          </cell>
          <cell r="B1224" t="str">
            <v>SITI MUTOHAROH</v>
          </cell>
          <cell r="C1224" t="str">
            <v>SAMI</v>
          </cell>
          <cell r="D1224" t="str">
            <v>OPT-278</v>
          </cell>
          <cell r="E1224">
            <v>40549</v>
          </cell>
          <cell r="F1224" t="str">
            <v>-</v>
          </cell>
          <cell r="G1224" t="str">
            <v>-</v>
          </cell>
          <cell r="H1224" t="str">
            <v>PRD</v>
          </cell>
          <cell r="I1224" t="str">
            <v>PRD</v>
          </cell>
          <cell r="J1224" t="str">
            <v>DYNA</v>
          </cell>
          <cell r="K1224" t="str">
            <v>DYNA</v>
          </cell>
          <cell r="L1224" t="str">
            <v>CV 14</v>
          </cell>
          <cell r="M1224" t="str">
            <v>T/P 9</v>
          </cell>
          <cell r="N1224" t="str">
            <v>ASSEMBLY</v>
          </cell>
          <cell r="O1224" t="str">
            <v>A</v>
          </cell>
        </row>
        <row r="1225">
          <cell r="A1225">
            <v>11324</v>
          </cell>
          <cell r="B1225" t="str">
            <v>ISWATUN HASANAH</v>
          </cell>
          <cell r="C1225" t="str">
            <v>SAMI</v>
          </cell>
          <cell r="D1225" t="str">
            <v>OPT-300</v>
          </cell>
          <cell r="E1225">
            <v>40666</v>
          </cell>
          <cell r="F1225" t="str">
            <v>-</v>
          </cell>
          <cell r="G1225" t="str">
            <v>-</v>
          </cell>
          <cell r="H1225" t="str">
            <v>PRD</v>
          </cell>
          <cell r="I1225" t="str">
            <v>PRD</v>
          </cell>
          <cell r="J1225" t="str">
            <v>DYNA</v>
          </cell>
          <cell r="K1225" t="str">
            <v>DYNA</v>
          </cell>
          <cell r="L1225" t="str">
            <v>CV 14</v>
          </cell>
          <cell r="M1225" t="str">
            <v>S/T 4</v>
          </cell>
          <cell r="N1225" t="str">
            <v>ASSEMBLY</v>
          </cell>
          <cell r="O1225" t="str">
            <v>A</v>
          </cell>
        </row>
        <row r="1226">
          <cell r="A1226">
            <v>11976</v>
          </cell>
          <cell r="B1226" t="str">
            <v>ARIN RISMA SARI</v>
          </cell>
          <cell r="C1226" t="str">
            <v>SAMI</v>
          </cell>
          <cell r="D1226" t="str">
            <v>OPT-312</v>
          </cell>
          <cell r="E1226">
            <v>40777</v>
          </cell>
          <cell r="F1226" t="str">
            <v>-</v>
          </cell>
          <cell r="G1226" t="str">
            <v>-</v>
          </cell>
          <cell r="H1226" t="str">
            <v>PRD</v>
          </cell>
          <cell r="I1226" t="str">
            <v>PRD</v>
          </cell>
          <cell r="J1226" t="str">
            <v>DYNA</v>
          </cell>
          <cell r="K1226" t="str">
            <v>DYNA</v>
          </cell>
          <cell r="L1226" t="str">
            <v>CV 14</v>
          </cell>
          <cell r="M1226" t="str">
            <v>VISUAL</v>
          </cell>
          <cell r="N1226" t="str">
            <v>VISUAL INSPECTION</v>
          </cell>
          <cell r="O1226" t="str">
            <v>A</v>
          </cell>
        </row>
        <row r="1227">
          <cell r="A1227">
            <v>12370</v>
          </cell>
          <cell r="B1227" t="str">
            <v>IDA BANGUN</v>
          </cell>
          <cell r="C1227" t="str">
            <v>SAMI</v>
          </cell>
          <cell r="D1227" t="str">
            <v>OPT-317</v>
          </cell>
          <cell r="E1227">
            <v>40809</v>
          </cell>
          <cell r="F1227" t="str">
            <v>-</v>
          </cell>
          <cell r="G1227" t="str">
            <v>-</v>
          </cell>
          <cell r="H1227" t="str">
            <v>PRD</v>
          </cell>
          <cell r="I1227" t="str">
            <v>PRD</v>
          </cell>
          <cell r="J1227" t="str">
            <v>DYNA</v>
          </cell>
          <cell r="K1227" t="str">
            <v>DYNA</v>
          </cell>
          <cell r="L1227" t="str">
            <v>CV 14</v>
          </cell>
          <cell r="M1227" t="str">
            <v>VISUAL</v>
          </cell>
          <cell r="N1227" t="str">
            <v>VISUAL INSPECTION</v>
          </cell>
          <cell r="O1227" t="str">
            <v>A</v>
          </cell>
        </row>
        <row r="1228">
          <cell r="A1228">
            <v>12922</v>
          </cell>
          <cell r="B1228" t="str">
            <v>RETNO BUDIARSIH</v>
          </cell>
          <cell r="C1228" t="str">
            <v>SAMI</v>
          </cell>
          <cell r="D1228" t="str">
            <v>OPT-322</v>
          </cell>
          <cell r="E1228">
            <v>40833</v>
          </cell>
          <cell r="F1228" t="str">
            <v>-</v>
          </cell>
          <cell r="G1228" t="str">
            <v>-</v>
          </cell>
          <cell r="H1228" t="str">
            <v>PRD</v>
          </cell>
          <cell r="I1228" t="str">
            <v>PRD</v>
          </cell>
          <cell r="J1228" t="str">
            <v>DYNA</v>
          </cell>
          <cell r="K1228" t="str">
            <v>DYNA</v>
          </cell>
          <cell r="L1228" t="str">
            <v>CV 14</v>
          </cell>
          <cell r="M1228" t="str">
            <v>SUB LINE CHO</v>
          </cell>
          <cell r="N1228" t="str">
            <v>GL</v>
          </cell>
          <cell r="O1228" t="str">
            <v>A</v>
          </cell>
        </row>
        <row r="1229">
          <cell r="A1229">
            <v>12979</v>
          </cell>
          <cell r="B1229" t="str">
            <v>LUPIANA</v>
          </cell>
          <cell r="C1229" t="str">
            <v>SAMI</v>
          </cell>
          <cell r="D1229" t="str">
            <v>OPT-323</v>
          </cell>
          <cell r="E1229">
            <v>40840</v>
          </cell>
          <cell r="F1229" t="str">
            <v>-</v>
          </cell>
          <cell r="G1229" t="str">
            <v>-</v>
          </cell>
          <cell r="H1229" t="str">
            <v>PRD</v>
          </cell>
          <cell r="I1229" t="str">
            <v>PRD</v>
          </cell>
          <cell r="J1229" t="str">
            <v>DYNA</v>
          </cell>
          <cell r="K1229" t="str">
            <v>DYNA</v>
          </cell>
          <cell r="L1229" t="str">
            <v>CV 14</v>
          </cell>
          <cell r="M1229" t="str">
            <v>LQC</v>
          </cell>
          <cell r="N1229" t="str">
            <v>RELIEF</v>
          </cell>
          <cell r="O1229" t="str">
            <v>A</v>
          </cell>
        </row>
        <row r="1230">
          <cell r="A1230">
            <v>19778</v>
          </cell>
          <cell r="B1230" t="str">
            <v>KHARIZAL HUDA</v>
          </cell>
          <cell r="C1230" t="str">
            <v>SAMI</v>
          </cell>
          <cell r="D1230" t="str">
            <v>OPT-492</v>
          </cell>
          <cell r="E1230">
            <v>42499</v>
          </cell>
          <cell r="F1230" t="str">
            <v>-</v>
          </cell>
          <cell r="G1230" t="str">
            <v>-</v>
          </cell>
          <cell r="H1230" t="str">
            <v>PRD</v>
          </cell>
          <cell r="I1230" t="str">
            <v>PRD</v>
          </cell>
          <cell r="J1230" t="str">
            <v>DYNA</v>
          </cell>
          <cell r="K1230" t="str">
            <v>DYNA</v>
          </cell>
          <cell r="L1230" t="str">
            <v>CV 14</v>
          </cell>
          <cell r="M1230" t="str">
            <v>EXPANDER GROMMET</v>
          </cell>
          <cell r="N1230" t="str">
            <v>FINISHING &amp; GROMMET INJECTION</v>
          </cell>
          <cell r="O1230" t="str">
            <v>A</v>
          </cell>
        </row>
        <row r="1231">
          <cell r="A1231">
            <v>20982</v>
          </cell>
          <cell r="B1231" t="str">
            <v>ARISTA WIDIASARI</v>
          </cell>
          <cell r="C1231" t="str">
            <v>SAMI</v>
          </cell>
          <cell r="D1231" t="str">
            <v>OPT-513</v>
          </cell>
          <cell r="E1231">
            <v>42674</v>
          </cell>
          <cell r="F1231">
            <v>43160</v>
          </cell>
          <cell r="G1231">
            <v>43524</v>
          </cell>
          <cell r="H1231" t="str">
            <v>PRD</v>
          </cell>
          <cell r="I1231" t="str">
            <v>PRD</v>
          </cell>
          <cell r="J1231" t="str">
            <v>DYNA</v>
          </cell>
          <cell r="K1231" t="str">
            <v>DYNA</v>
          </cell>
          <cell r="L1231" t="str">
            <v>CV 14</v>
          </cell>
          <cell r="M1231" t="str">
            <v>S/A 2</v>
          </cell>
          <cell r="N1231" t="str">
            <v>SUB ASSY</v>
          </cell>
          <cell r="O1231" t="str">
            <v>A</v>
          </cell>
        </row>
        <row r="1232">
          <cell r="A1232">
            <v>21307</v>
          </cell>
          <cell r="B1232" t="str">
            <v>NUR ANISAH</v>
          </cell>
          <cell r="C1232" t="str">
            <v>SAMI</v>
          </cell>
          <cell r="D1232" t="str">
            <v>OPT-530</v>
          </cell>
          <cell r="E1232">
            <v>43010</v>
          </cell>
          <cell r="F1232">
            <v>43405</v>
          </cell>
          <cell r="G1232">
            <v>43769</v>
          </cell>
          <cell r="H1232" t="str">
            <v>PRD</v>
          </cell>
          <cell r="I1232" t="str">
            <v>PRD</v>
          </cell>
          <cell r="J1232" t="str">
            <v>DYNA</v>
          </cell>
          <cell r="K1232" t="str">
            <v>DYNA</v>
          </cell>
          <cell r="L1232" t="str">
            <v>CV 14</v>
          </cell>
          <cell r="M1232" t="str">
            <v>T/P 1.2</v>
          </cell>
          <cell r="N1232" t="str">
            <v>ASSEMBLY</v>
          </cell>
          <cell r="O1232" t="str">
            <v>A</v>
          </cell>
        </row>
        <row r="1233">
          <cell r="A1233">
            <v>21412</v>
          </cell>
          <cell r="B1233" t="str">
            <v>SINTIA WIDIASARI</v>
          </cell>
          <cell r="C1233" t="str">
            <v>SAMI</v>
          </cell>
          <cell r="D1233" t="str">
            <v>OPT-532</v>
          </cell>
          <cell r="E1233">
            <v>43018</v>
          </cell>
          <cell r="F1233">
            <v>43405</v>
          </cell>
          <cell r="G1233">
            <v>43769</v>
          </cell>
          <cell r="H1233" t="str">
            <v>PRD</v>
          </cell>
          <cell r="I1233" t="str">
            <v>PRD</v>
          </cell>
          <cell r="J1233" t="str">
            <v>DYNA</v>
          </cell>
          <cell r="K1233" t="str">
            <v>DYNA</v>
          </cell>
          <cell r="L1233" t="str">
            <v>CV 14</v>
          </cell>
          <cell r="M1233" t="str">
            <v>T/P 6</v>
          </cell>
          <cell r="N1233" t="str">
            <v>ASSEMBLY</v>
          </cell>
          <cell r="O1233" t="str">
            <v>A</v>
          </cell>
        </row>
        <row r="1234">
          <cell r="A1234">
            <v>21556</v>
          </cell>
          <cell r="B1234" t="str">
            <v>ROCHANAH</v>
          </cell>
          <cell r="C1234" t="str">
            <v>SAMI</v>
          </cell>
          <cell r="D1234" t="str">
            <v>OPT-535</v>
          </cell>
          <cell r="E1234">
            <v>43045</v>
          </cell>
          <cell r="F1234">
            <v>43435</v>
          </cell>
          <cell r="G1234">
            <v>43799</v>
          </cell>
          <cell r="H1234" t="str">
            <v>PRD</v>
          </cell>
          <cell r="I1234" t="str">
            <v>PRD</v>
          </cell>
          <cell r="J1234" t="str">
            <v>DYNA</v>
          </cell>
          <cell r="K1234" t="str">
            <v>DYNA</v>
          </cell>
          <cell r="L1234" t="str">
            <v>CV 14</v>
          </cell>
          <cell r="M1234" t="str">
            <v>S/T 1.1</v>
          </cell>
          <cell r="N1234" t="str">
            <v>ASSEMBLY</v>
          </cell>
          <cell r="O1234" t="str">
            <v>A</v>
          </cell>
        </row>
        <row r="1235">
          <cell r="A1235">
            <v>21843</v>
          </cell>
          <cell r="B1235" t="str">
            <v>NOFIANINGSIH</v>
          </cell>
          <cell r="C1235" t="str">
            <v>SAMI</v>
          </cell>
          <cell r="D1235" t="str">
            <v>OPT-541</v>
          </cell>
          <cell r="E1235">
            <v>43098</v>
          </cell>
          <cell r="F1235">
            <v>43129</v>
          </cell>
          <cell r="G1235">
            <v>43496</v>
          </cell>
          <cell r="H1235" t="str">
            <v>PRD</v>
          </cell>
          <cell r="I1235" t="str">
            <v>PRD</v>
          </cell>
          <cell r="J1235" t="str">
            <v>DYNA</v>
          </cell>
          <cell r="K1235" t="str">
            <v>DYNA</v>
          </cell>
          <cell r="L1235" t="str">
            <v>CV 14</v>
          </cell>
          <cell r="M1235" t="str">
            <v>T/P 5.2</v>
          </cell>
          <cell r="N1235" t="str">
            <v>ASSEMBLY</v>
          </cell>
          <cell r="O1235" t="str">
            <v>A</v>
          </cell>
        </row>
        <row r="1236">
          <cell r="A1236">
            <v>21846</v>
          </cell>
          <cell r="B1236" t="str">
            <v>NOVITA DAMAYANTI</v>
          </cell>
          <cell r="C1236" t="str">
            <v>SAMI</v>
          </cell>
          <cell r="D1236" t="str">
            <v>OPT-541</v>
          </cell>
          <cell r="E1236">
            <v>43098</v>
          </cell>
          <cell r="F1236">
            <v>43129</v>
          </cell>
          <cell r="G1236">
            <v>43496</v>
          </cell>
          <cell r="H1236" t="str">
            <v>PRD</v>
          </cell>
          <cell r="I1236" t="str">
            <v>PRD</v>
          </cell>
          <cell r="J1236" t="str">
            <v>DYNA</v>
          </cell>
          <cell r="K1236" t="str">
            <v>DYNA</v>
          </cell>
          <cell r="L1236" t="str">
            <v>CV 14</v>
          </cell>
          <cell r="M1236" t="str">
            <v>S/T 3.1</v>
          </cell>
          <cell r="N1236" t="str">
            <v>ASSEMBLY</v>
          </cell>
          <cell r="O1236" t="str">
            <v>A</v>
          </cell>
        </row>
        <row r="1237">
          <cell r="A1237">
            <v>22247</v>
          </cell>
          <cell r="B1237" t="str">
            <v>YULIANA AYUNING TYAS</v>
          </cell>
          <cell r="C1237" t="str">
            <v>SAMI</v>
          </cell>
          <cell r="D1237" t="str">
            <v>OPT-551</v>
          </cell>
          <cell r="E1237">
            <v>43161</v>
          </cell>
          <cell r="F1237">
            <v>43192</v>
          </cell>
          <cell r="G1237">
            <v>43555</v>
          </cell>
          <cell r="H1237" t="str">
            <v>PRD</v>
          </cell>
          <cell r="I1237" t="str">
            <v>PRD</v>
          </cell>
          <cell r="J1237" t="str">
            <v>DYNA</v>
          </cell>
          <cell r="K1237" t="str">
            <v>DYNA</v>
          </cell>
          <cell r="L1237" t="str">
            <v>CV 14</v>
          </cell>
          <cell r="M1237" t="str">
            <v>T/P 1.1</v>
          </cell>
          <cell r="N1237" t="str">
            <v>ASSEMBLY</v>
          </cell>
          <cell r="O1237" t="str">
            <v>A</v>
          </cell>
        </row>
        <row r="1238">
          <cell r="A1238">
            <v>22326</v>
          </cell>
          <cell r="B1238" t="str">
            <v>ANA SAFITRI</v>
          </cell>
          <cell r="C1238" t="str">
            <v>SAMI</v>
          </cell>
          <cell r="D1238" t="str">
            <v>OPT-556</v>
          </cell>
          <cell r="E1238">
            <v>43195</v>
          </cell>
          <cell r="F1238">
            <v>43225</v>
          </cell>
          <cell r="G1238">
            <v>43585</v>
          </cell>
          <cell r="H1238" t="str">
            <v>PRD</v>
          </cell>
          <cell r="I1238" t="str">
            <v>PRD</v>
          </cell>
          <cell r="J1238" t="str">
            <v>DYNA</v>
          </cell>
          <cell r="K1238" t="str">
            <v>DYNA</v>
          </cell>
          <cell r="L1238" t="str">
            <v>CV 14</v>
          </cell>
          <cell r="M1238" t="str">
            <v>S/A 4</v>
          </cell>
          <cell r="N1238" t="str">
            <v>SUB ASSY</v>
          </cell>
          <cell r="O1238" t="str">
            <v>A</v>
          </cell>
        </row>
        <row r="1239">
          <cell r="A1239">
            <v>22379</v>
          </cell>
          <cell r="B1239" t="str">
            <v>DEWI SARAH</v>
          </cell>
          <cell r="C1239" t="str">
            <v>SAMI</v>
          </cell>
          <cell r="D1239" t="str">
            <v>OPT-558</v>
          </cell>
          <cell r="E1239">
            <v>43213</v>
          </cell>
          <cell r="F1239">
            <v>43243</v>
          </cell>
          <cell r="G1239">
            <v>43616</v>
          </cell>
          <cell r="H1239" t="str">
            <v>PRD</v>
          </cell>
          <cell r="I1239" t="str">
            <v>PRD</v>
          </cell>
          <cell r="J1239" t="str">
            <v>DYNA</v>
          </cell>
          <cell r="K1239" t="str">
            <v>DYNA</v>
          </cell>
          <cell r="L1239" t="str">
            <v>CV 14</v>
          </cell>
          <cell r="M1239" t="str">
            <v>CHECKER</v>
          </cell>
          <cell r="N1239" t="str">
            <v>ELECTRICAL INSPECTION</v>
          </cell>
          <cell r="O1239" t="str">
            <v>A</v>
          </cell>
        </row>
        <row r="1240">
          <cell r="A1240">
            <v>22407</v>
          </cell>
          <cell r="B1240" t="str">
            <v>NURUL AINI</v>
          </cell>
          <cell r="C1240" t="str">
            <v>SAMI</v>
          </cell>
          <cell r="D1240" t="str">
            <v>OPT-558</v>
          </cell>
          <cell r="E1240">
            <v>43213</v>
          </cell>
          <cell r="F1240">
            <v>43243</v>
          </cell>
          <cell r="G1240">
            <v>43616</v>
          </cell>
          <cell r="H1240" t="str">
            <v>PRD</v>
          </cell>
          <cell r="I1240" t="str">
            <v>PRD</v>
          </cell>
          <cell r="J1240" t="str">
            <v>DYNA</v>
          </cell>
          <cell r="K1240" t="str">
            <v>DYNA</v>
          </cell>
          <cell r="L1240" t="str">
            <v>CV 14</v>
          </cell>
          <cell r="M1240" t="str">
            <v>T/P 3.1</v>
          </cell>
          <cell r="N1240" t="str">
            <v>ASSEMBLY</v>
          </cell>
          <cell r="O1240" t="str">
            <v>A</v>
          </cell>
        </row>
        <row r="1241">
          <cell r="A1241">
            <v>22557</v>
          </cell>
          <cell r="B1241" t="str">
            <v>PUJIANTI</v>
          </cell>
          <cell r="C1241" t="str">
            <v>SAMI</v>
          </cell>
          <cell r="D1241" t="str">
            <v>OPT-560</v>
          </cell>
          <cell r="E1241">
            <v>43224</v>
          </cell>
          <cell r="F1241">
            <v>43255</v>
          </cell>
          <cell r="G1241">
            <v>43616</v>
          </cell>
          <cell r="H1241" t="str">
            <v>PRD</v>
          </cell>
          <cell r="I1241" t="str">
            <v>PRD</v>
          </cell>
          <cell r="J1241" t="str">
            <v>DYNA</v>
          </cell>
          <cell r="K1241" t="str">
            <v>DYNA</v>
          </cell>
          <cell r="L1241" t="str">
            <v>CV 14</v>
          </cell>
          <cell r="M1241" t="str">
            <v>T/P 8</v>
          </cell>
          <cell r="N1241" t="str">
            <v>ASSEMBLY</v>
          </cell>
          <cell r="O1241" t="str">
            <v>A</v>
          </cell>
        </row>
        <row r="1242">
          <cell r="A1242">
            <v>22621</v>
          </cell>
          <cell r="B1242" t="str">
            <v>NURUL KHANIFAH</v>
          </cell>
          <cell r="C1242" t="str">
            <v>SAMI</v>
          </cell>
          <cell r="D1242" t="str">
            <v>OPT-561</v>
          </cell>
          <cell r="E1242">
            <v>43236</v>
          </cell>
          <cell r="F1242">
            <v>43267</v>
          </cell>
          <cell r="G1242">
            <v>43646</v>
          </cell>
          <cell r="H1242" t="str">
            <v>PRD</v>
          </cell>
          <cell r="I1242" t="str">
            <v>PRD</v>
          </cell>
          <cell r="J1242" t="str">
            <v>DYNA</v>
          </cell>
          <cell r="K1242" t="str">
            <v>DYNA</v>
          </cell>
          <cell r="L1242" t="str">
            <v>CV 14</v>
          </cell>
          <cell r="M1242" t="str">
            <v>T/P 2</v>
          </cell>
          <cell r="N1242" t="str">
            <v>ASSEMBLY</v>
          </cell>
          <cell r="O1242" t="str">
            <v>A</v>
          </cell>
        </row>
        <row r="1243">
          <cell r="A1243">
            <v>22676</v>
          </cell>
          <cell r="B1243" t="str">
            <v>RATNA SELVIANA</v>
          </cell>
          <cell r="C1243" t="str">
            <v>SAMI</v>
          </cell>
          <cell r="D1243" t="str">
            <v>OPT-562</v>
          </cell>
          <cell r="E1243">
            <v>43241</v>
          </cell>
          <cell r="F1243">
            <v>43272</v>
          </cell>
          <cell r="G1243">
            <v>43646</v>
          </cell>
          <cell r="H1243" t="str">
            <v>PRD</v>
          </cell>
          <cell r="I1243" t="str">
            <v>PRD</v>
          </cell>
          <cell r="J1243" t="str">
            <v>DYNA</v>
          </cell>
          <cell r="K1243" t="str">
            <v>DYNA</v>
          </cell>
          <cell r="L1243" t="str">
            <v>CV 14</v>
          </cell>
          <cell r="M1243" t="str">
            <v>CIRCUIT SUPPLIER</v>
          </cell>
          <cell r="N1243" t="str">
            <v>CIRCUIT SUPPLY</v>
          </cell>
          <cell r="O1243" t="str">
            <v>A</v>
          </cell>
        </row>
        <row r="1244">
          <cell r="A1244">
            <v>22716</v>
          </cell>
          <cell r="B1244" t="str">
            <v>SONIA BUDI UTAMI</v>
          </cell>
          <cell r="C1244" t="str">
            <v>SAMI</v>
          </cell>
          <cell r="D1244" t="str">
            <v>OPT-563</v>
          </cell>
          <cell r="E1244">
            <v>43244</v>
          </cell>
          <cell r="F1244">
            <v>43275</v>
          </cell>
          <cell r="G1244">
            <v>43646</v>
          </cell>
          <cell r="H1244" t="str">
            <v>PRD</v>
          </cell>
          <cell r="I1244" t="str">
            <v>PRD</v>
          </cell>
          <cell r="J1244" t="str">
            <v>DYNA</v>
          </cell>
          <cell r="K1244" t="str">
            <v>DYNA</v>
          </cell>
          <cell r="L1244" t="str">
            <v>CV 14</v>
          </cell>
          <cell r="M1244" t="str">
            <v>T/P 5.1</v>
          </cell>
          <cell r="N1244" t="str">
            <v>ASSEMBLY</v>
          </cell>
          <cell r="O1244" t="str">
            <v>A</v>
          </cell>
        </row>
        <row r="1245">
          <cell r="A1245">
            <v>22726</v>
          </cell>
          <cell r="B1245" t="str">
            <v>AYU KARLINA</v>
          </cell>
          <cell r="C1245" t="str">
            <v>SAMI</v>
          </cell>
          <cell r="D1245" t="str">
            <v>OPT-564</v>
          </cell>
          <cell r="E1245">
            <v>43255</v>
          </cell>
          <cell r="F1245">
            <v>43285</v>
          </cell>
          <cell r="G1245">
            <v>43646</v>
          </cell>
          <cell r="H1245" t="str">
            <v>PRD</v>
          </cell>
          <cell r="I1245" t="str">
            <v>PRD</v>
          </cell>
          <cell r="J1245" t="str">
            <v>DYNA</v>
          </cell>
          <cell r="K1245" t="str">
            <v>DYNA</v>
          </cell>
          <cell r="L1245" t="str">
            <v>CV 14</v>
          </cell>
          <cell r="M1245" t="str">
            <v>CIRCUIT SUPPLIER</v>
          </cell>
          <cell r="N1245" t="str">
            <v>CIRCUIT SUPPLY</v>
          </cell>
          <cell r="O1245" t="str">
            <v>A</v>
          </cell>
        </row>
        <row r="1246">
          <cell r="A1246">
            <v>22752</v>
          </cell>
          <cell r="B1246" t="str">
            <v>NOOR AGNI OCTAFIANI</v>
          </cell>
          <cell r="C1246" t="str">
            <v>SAMI</v>
          </cell>
          <cell r="D1246" t="str">
            <v>OPT-564</v>
          </cell>
          <cell r="E1246">
            <v>43255</v>
          </cell>
          <cell r="F1246">
            <v>43285</v>
          </cell>
          <cell r="G1246">
            <v>43646</v>
          </cell>
          <cell r="H1246" t="str">
            <v>PRD</v>
          </cell>
          <cell r="I1246" t="str">
            <v>PRD</v>
          </cell>
          <cell r="J1246" t="str">
            <v>DYNA</v>
          </cell>
          <cell r="K1246" t="str">
            <v>DYNA</v>
          </cell>
          <cell r="L1246" t="str">
            <v>CV 14</v>
          </cell>
          <cell r="M1246" t="str">
            <v>T/P 7</v>
          </cell>
          <cell r="N1246" t="str">
            <v>ASSEMBLY</v>
          </cell>
          <cell r="O1246" t="str">
            <v>A</v>
          </cell>
        </row>
        <row r="1247">
          <cell r="A1247">
            <v>22756</v>
          </cell>
          <cell r="B1247" t="str">
            <v>RIFA ASTRI</v>
          </cell>
          <cell r="C1247" t="str">
            <v>SAMI</v>
          </cell>
          <cell r="D1247" t="str">
            <v>OPT-564</v>
          </cell>
          <cell r="E1247">
            <v>43255</v>
          </cell>
          <cell r="F1247">
            <v>43285</v>
          </cell>
          <cell r="G1247">
            <v>43646</v>
          </cell>
          <cell r="H1247" t="str">
            <v>PRD</v>
          </cell>
          <cell r="I1247" t="str">
            <v>PRD</v>
          </cell>
          <cell r="J1247" t="str">
            <v>DYNA</v>
          </cell>
          <cell r="K1247" t="str">
            <v>DYNA</v>
          </cell>
          <cell r="L1247" t="str">
            <v>CV 14</v>
          </cell>
          <cell r="M1247" t="str">
            <v>T/P 3.2</v>
          </cell>
          <cell r="N1247" t="str">
            <v>ASSEMBLY</v>
          </cell>
          <cell r="O1247" t="str">
            <v>A</v>
          </cell>
        </row>
        <row r="1248">
          <cell r="A1248">
            <v>22907</v>
          </cell>
          <cell r="B1248" t="str">
            <v>ANUM TITIK RAHAYUNINGSIH</v>
          </cell>
          <cell r="C1248" t="str">
            <v>SAMI</v>
          </cell>
          <cell r="D1248" t="str">
            <v>OPT-568</v>
          </cell>
          <cell r="E1248">
            <v>43343</v>
          </cell>
          <cell r="F1248">
            <v>43374</v>
          </cell>
          <cell r="G1248">
            <v>43738</v>
          </cell>
          <cell r="H1248" t="str">
            <v>PRD</v>
          </cell>
          <cell r="I1248" t="str">
            <v>PRD</v>
          </cell>
          <cell r="J1248" t="str">
            <v>DYNA</v>
          </cell>
          <cell r="K1248" t="str">
            <v>DYNA</v>
          </cell>
          <cell r="L1248" t="str">
            <v>CV 14</v>
          </cell>
          <cell r="M1248" t="str">
            <v>CIRCUIT SUPPLIER 01</v>
          </cell>
          <cell r="N1248" t="str">
            <v>CIRCUIT SUPPLY</v>
          </cell>
          <cell r="O1248" t="str">
            <v>A</v>
          </cell>
        </row>
        <row r="1249">
          <cell r="A1249">
            <v>22917</v>
          </cell>
          <cell r="B1249" t="str">
            <v>DIAN PUTRIYANTI</v>
          </cell>
          <cell r="C1249" t="str">
            <v>SAMI</v>
          </cell>
          <cell r="D1249" t="str">
            <v>OPT-568</v>
          </cell>
          <cell r="E1249">
            <v>43343</v>
          </cell>
          <cell r="F1249">
            <v>43374</v>
          </cell>
          <cell r="G1249">
            <v>43738</v>
          </cell>
          <cell r="H1249" t="str">
            <v>PRD</v>
          </cell>
          <cell r="I1249" t="str">
            <v>PRD</v>
          </cell>
          <cell r="J1249" t="str">
            <v>DYNA</v>
          </cell>
          <cell r="K1249" t="str">
            <v>DYNA</v>
          </cell>
          <cell r="L1249" t="str">
            <v>CV 14</v>
          </cell>
          <cell r="M1249" t="str">
            <v>S/A 1.2</v>
          </cell>
          <cell r="N1249" t="str">
            <v>SUB ASSY</v>
          </cell>
          <cell r="O1249" t="str">
            <v>A</v>
          </cell>
        </row>
        <row r="1250">
          <cell r="A1250">
            <v>23021</v>
          </cell>
          <cell r="B1250" t="str">
            <v>FITROH KHOLIFAH</v>
          </cell>
          <cell r="C1250" t="str">
            <v>SAMI</v>
          </cell>
          <cell r="D1250" t="str">
            <v>OPT-569</v>
          </cell>
          <cell r="E1250">
            <v>43361</v>
          </cell>
          <cell r="F1250">
            <v>43391</v>
          </cell>
          <cell r="G1250">
            <v>43769</v>
          </cell>
          <cell r="H1250" t="str">
            <v>PRD</v>
          </cell>
          <cell r="I1250" t="str">
            <v>PRD</v>
          </cell>
          <cell r="J1250" t="str">
            <v>DYNA</v>
          </cell>
          <cell r="K1250" t="str">
            <v>DYNA</v>
          </cell>
          <cell r="L1250" t="str">
            <v>CV 14</v>
          </cell>
          <cell r="M1250" t="str">
            <v>S/A 3</v>
          </cell>
          <cell r="N1250" t="str">
            <v>SUB ASSY</v>
          </cell>
          <cell r="O1250" t="str">
            <v>A</v>
          </cell>
        </row>
        <row r="1251">
          <cell r="A1251">
            <v>23036</v>
          </cell>
          <cell r="B1251" t="str">
            <v>KHORI NUR ANISA</v>
          </cell>
          <cell r="C1251" t="str">
            <v>SAMI</v>
          </cell>
          <cell r="D1251" t="str">
            <v>OPT-569</v>
          </cell>
          <cell r="E1251">
            <v>43361</v>
          </cell>
          <cell r="F1251">
            <v>43391</v>
          </cell>
          <cell r="G1251">
            <v>43769</v>
          </cell>
          <cell r="H1251" t="str">
            <v>PRD</v>
          </cell>
          <cell r="I1251" t="str">
            <v>PRD</v>
          </cell>
          <cell r="J1251" t="str">
            <v>DYNA</v>
          </cell>
          <cell r="K1251" t="str">
            <v>DYNA</v>
          </cell>
          <cell r="L1251" t="str">
            <v>CV 14</v>
          </cell>
          <cell r="M1251" t="str">
            <v>S/T 3.2</v>
          </cell>
          <cell r="N1251" t="str">
            <v>ASSEMBLY</v>
          </cell>
          <cell r="O1251" t="str">
            <v>A</v>
          </cell>
        </row>
        <row r="1252">
          <cell r="A1252">
            <v>23040</v>
          </cell>
          <cell r="B1252" t="str">
            <v>LUSIA PUTRI ANGREANI</v>
          </cell>
          <cell r="C1252" t="str">
            <v>SAMI</v>
          </cell>
          <cell r="D1252" t="str">
            <v>OPT-569</v>
          </cell>
          <cell r="E1252">
            <v>43361</v>
          </cell>
          <cell r="F1252">
            <v>43391</v>
          </cell>
          <cell r="G1252">
            <v>43769</v>
          </cell>
          <cell r="H1252" t="str">
            <v>PRD</v>
          </cell>
          <cell r="I1252" t="str">
            <v>PRD</v>
          </cell>
          <cell r="J1252" t="str">
            <v>DYNA</v>
          </cell>
          <cell r="K1252" t="str">
            <v>DYNA</v>
          </cell>
          <cell r="L1252" t="str">
            <v>CV 14</v>
          </cell>
          <cell r="M1252" t="str">
            <v>CHECKER</v>
          </cell>
          <cell r="N1252" t="str">
            <v>ELECTRICAL INSPECTION</v>
          </cell>
          <cell r="O1252" t="str">
            <v>A</v>
          </cell>
        </row>
        <row r="1253">
          <cell r="A1253">
            <v>23093</v>
          </cell>
          <cell r="B1253" t="str">
            <v>AL VIANA</v>
          </cell>
          <cell r="C1253" t="str">
            <v>SAMI</v>
          </cell>
          <cell r="D1253" t="str">
            <v>OPT-570</v>
          </cell>
          <cell r="E1253">
            <v>43369</v>
          </cell>
          <cell r="F1253">
            <v>43399</v>
          </cell>
          <cell r="G1253">
            <v>43769</v>
          </cell>
          <cell r="H1253" t="str">
            <v>PRD</v>
          </cell>
          <cell r="I1253" t="str">
            <v>PRD</v>
          </cell>
          <cell r="J1253" t="str">
            <v>DYNA</v>
          </cell>
          <cell r="K1253" t="str">
            <v>DYNA</v>
          </cell>
          <cell r="L1253" t="str">
            <v>CV 14</v>
          </cell>
          <cell r="M1253" t="str">
            <v>T/P 4</v>
          </cell>
          <cell r="N1253" t="str">
            <v>ASSEMBLY</v>
          </cell>
          <cell r="O1253" t="str">
            <v>A</v>
          </cell>
        </row>
        <row r="1254">
          <cell r="A1254">
            <v>23109</v>
          </cell>
          <cell r="B1254" t="str">
            <v>DIKA ARIASIH</v>
          </cell>
          <cell r="C1254" t="str">
            <v>SAMI</v>
          </cell>
          <cell r="D1254" t="str">
            <v>OPT-570</v>
          </cell>
          <cell r="E1254">
            <v>43369</v>
          </cell>
          <cell r="F1254">
            <v>43399</v>
          </cell>
          <cell r="G1254">
            <v>43769</v>
          </cell>
          <cell r="H1254" t="str">
            <v>PRD</v>
          </cell>
          <cell r="I1254" t="str">
            <v>PRD</v>
          </cell>
          <cell r="J1254" t="str">
            <v>DYNA</v>
          </cell>
          <cell r="K1254" t="str">
            <v>DYNA</v>
          </cell>
          <cell r="L1254" t="str">
            <v>CV 14</v>
          </cell>
          <cell r="M1254" t="str">
            <v>MATERIAL SUPPLY</v>
          </cell>
          <cell r="N1254" t="str">
            <v>MATERIAL SUPPLY</v>
          </cell>
          <cell r="O1254" t="str">
            <v>A</v>
          </cell>
        </row>
        <row r="1255">
          <cell r="A1255">
            <v>23179</v>
          </cell>
          <cell r="B1255" t="str">
            <v>WULAN NITASARI</v>
          </cell>
          <cell r="C1255" t="str">
            <v>SAMI</v>
          </cell>
          <cell r="D1255" t="str">
            <v>OPT-570</v>
          </cell>
          <cell r="E1255">
            <v>43369</v>
          </cell>
          <cell r="F1255">
            <v>43399</v>
          </cell>
          <cell r="G1255">
            <v>43769</v>
          </cell>
          <cell r="H1255" t="str">
            <v>PRD</v>
          </cell>
          <cell r="I1255" t="str">
            <v>PRD</v>
          </cell>
          <cell r="J1255" t="str">
            <v>DYNA</v>
          </cell>
          <cell r="K1255" t="str">
            <v>DYNA</v>
          </cell>
          <cell r="L1255" t="str">
            <v>CV 14</v>
          </cell>
          <cell r="M1255" t="str">
            <v>CHECKER</v>
          </cell>
          <cell r="N1255" t="str">
            <v>ELECTRICAL INSPECTION</v>
          </cell>
          <cell r="O1255" t="str">
            <v>A</v>
          </cell>
        </row>
        <row r="1256">
          <cell r="A1256">
            <v>23192</v>
          </cell>
          <cell r="B1256" t="str">
            <v>ALIPAH</v>
          </cell>
          <cell r="C1256" t="str">
            <v>SAMI</v>
          </cell>
          <cell r="D1256" t="str">
            <v>OPT-573</v>
          </cell>
          <cell r="E1256">
            <v>43421</v>
          </cell>
          <cell r="F1256">
            <v>43451</v>
          </cell>
          <cell r="G1256">
            <v>43830</v>
          </cell>
          <cell r="H1256" t="str">
            <v>PRD</v>
          </cell>
          <cell r="I1256" t="str">
            <v>PRD</v>
          </cell>
          <cell r="J1256" t="str">
            <v>DYNA</v>
          </cell>
          <cell r="K1256" t="str">
            <v>DYNA</v>
          </cell>
          <cell r="L1256" t="str">
            <v>CV 14</v>
          </cell>
          <cell r="M1256" t="str">
            <v>MATERIAL SUPPLIER</v>
          </cell>
          <cell r="N1256" t="str">
            <v>MATERIAL SUPPLY</v>
          </cell>
          <cell r="O1256" t="str">
            <v>A</v>
          </cell>
        </row>
        <row r="1257">
          <cell r="A1257">
            <v>23193</v>
          </cell>
          <cell r="B1257" t="str">
            <v>AMELIA SAFITRI</v>
          </cell>
          <cell r="C1257" t="str">
            <v>SAMI</v>
          </cell>
          <cell r="D1257" t="str">
            <v>OPT-573</v>
          </cell>
          <cell r="E1257">
            <v>43421</v>
          </cell>
          <cell r="F1257">
            <v>43451</v>
          </cell>
          <cell r="G1257">
            <v>43830</v>
          </cell>
          <cell r="H1257" t="str">
            <v>PRD</v>
          </cell>
          <cell r="I1257" t="str">
            <v>PRD</v>
          </cell>
          <cell r="J1257" t="str">
            <v>DYNA</v>
          </cell>
          <cell r="K1257" t="str">
            <v>DYNA</v>
          </cell>
          <cell r="L1257" t="str">
            <v>CV 14</v>
          </cell>
          <cell r="M1257" t="str">
            <v>CHECKER</v>
          </cell>
          <cell r="N1257" t="str">
            <v>ELECTRICAL INSPECTION</v>
          </cell>
          <cell r="O1257" t="str">
            <v>A</v>
          </cell>
        </row>
        <row r="1258">
          <cell r="A1258">
            <v>23463</v>
          </cell>
          <cell r="B1258" t="str">
            <v>SITI MUAROPAH</v>
          </cell>
          <cell r="C1258" t="str">
            <v>SAMI</v>
          </cell>
          <cell r="D1258" t="str">
            <v>OPT-575</v>
          </cell>
          <cell r="E1258">
            <v>43434</v>
          </cell>
          <cell r="F1258">
            <v>43464</v>
          </cell>
          <cell r="G1258">
            <v>43830</v>
          </cell>
          <cell r="H1258" t="str">
            <v>PRD</v>
          </cell>
          <cell r="I1258" t="str">
            <v>PRD</v>
          </cell>
          <cell r="J1258" t="str">
            <v>DYNA</v>
          </cell>
          <cell r="K1258" t="str">
            <v>DYNA</v>
          </cell>
          <cell r="L1258" t="str">
            <v>CV 14</v>
          </cell>
          <cell r="M1258" t="str">
            <v>CHECKER</v>
          </cell>
          <cell r="N1258" t="str">
            <v>ELECTRICAL INSPECTION</v>
          </cell>
          <cell r="O1258" t="str">
            <v>A</v>
          </cell>
        </row>
        <row r="1259">
          <cell r="A1259">
            <v>11416</v>
          </cell>
          <cell r="B1259" t="str">
            <v>DIAN SAPUTRI</v>
          </cell>
          <cell r="C1259" t="str">
            <v>SAMI</v>
          </cell>
          <cell r="D1259" t="str">
            <v>OPT-306</v>
          </cell>
          <cell r="E1259">
            <v>40701</v>
          </cell>
          <cell r="F1259" t="str">
            <v>-</v>
          </cell>
          <cell r="G1259" t="str">
            <v>-</v>
          </cell>
          <cell r="H1259" t="str">
            <v>PRD</v>
          </cell>
          <cell r="I1259" t="str">
            <v>PRD</v>
          </cell>
          <cell r="J1259" t="str">
            <v>DYNA</v>
          </cell>
          <cell r="K1259" t="str">
            <v>DYNA</v>
          </cell>
          <cell r="L1259" t="str">
            <v>CV 14</v>
          </cell>
          <cell r="M1259" t="str">
            <v>PROTOTYPE</v>
          </cell>
          <cell r="N1259" t="str">
            <v>OTHERS</v>
          </cell>
          <cell r="O1259" t="str">
            <v>A (NS)</v>
          </cell>
        </row>
        <row r="1260">
          <cell r="A1260">
            <v>20596</v>
          </cell>
          <cell r="B1260" t="str">
            <v>IIN KONIYAH FAO</v>
          </cell>
          <cell r="C1260" t="str">
            <v>SAMI</v>
          </cell>
          <cell r="D1260" t="str">
            <v>OPT-505</v>
          </cell>
          <cell r="E1260">
            <v>42639</v>
          </cell>
          <cell r="F1260">
            <v>43132</v>
          </cell>
          <cell r="G1260">
            <v>43496</v>
          </cell>
          <cell r="H1260" t="str">
            <v>PRD</v>
          </cell>
          <cell r="I1260" t="str">
            <v>PRD</v>
          </cell>
          <cell r="J1260" t="str">
            <v>DYNA</v>
          </cell>
          <cell r="K1260" t="str">
            <v>DYNA</v>
          </cell>
          <cell r="L1260" t="str">
            <v>CV 14</v>
          </cell>
          <cell r="M1260" t="str">
            <v>S/A AB</v>
          </cell>
          <cell r="N1260" t="str">
            <v>SUB ASSY</v>
          </cell>
          <cell r="O1260" t="str">
            <v>A (NS)</v>
          </cell>
        </row>
        <row r="1261">
          <cell r="A1261">
            <v>23354</v>
          </cell>
          <cell r="B1261" t="str">
            <v>RUMI ALISTARI</v>
          </cell>
          <cell r="C1261" t="str">
            <v>SAMI</v>
          </cell>
          <cell r="D1261" t="str">
            <v>OPT-574</v>
          </cell>
          <cell r="E1261">
            <v>43427</v>
          </cell>
          <cell r="F1261">
            <v>43457</v>
          </cell>
          <cell r="G1261">
            <v>43830</v>
          </cell>
          <cell r="H1261" t="str">
            <v>PRD</v>
          </cell>
          <cell r="I1261" t="str">
            <v>PRD</v>
          </cell>
          <cell r="J1261" t="str">
            <v>DYNA</v>
          </cell>
          <cell r="K1261" t="str">
            <v>DYNA</v>
          </cell>
          <cell r="L1261" t="str">
            <v>CV 14</v>
          </cell>
          <cell r="M1261" t="str">
            <v>S/A A/B</v>
          </cell>
          <cell r="N1261" t="str">
            <v>SUB ASSY</v>
          </cell>
          <cell r="O1261" t="str">
            <v>A(NS)</v>
          </cell>
        </row>
        <row r="1262">
          <cell r="A1262">
            <v>8726</v>
          </cell>
          <cell r="B1262" t="str">
            <v>AFNI ROCHAYANI</v>
          </cell>
          <cell r="C1262" t="str">
            <v>SAMI</v>
          </cell>
          <cell r="D1262" t="str">
            <v>OPT-192</v>
          </cell>
          <cell r="E1262">
            <v>39904</v>
          </cell>
          <cell r="F1262" t="str">
            <v>-</v>
          </cell>
          <cell r="G1262" t="str">
            <v>-</v>
          </cell>
          <cell r="H1262" t="str">
            <v>PRD</v>
          </cell>
          <cell r="I1262" t="str">
            <v>PRD</v>
          </cell>
          <cell r="J1262" t="str">
            <v>DYNA</v>
          </cell>
          <cell r="K1262" t="str">
            <v>DYNA</v>
          </cell>
          <cell r="L1262" t="str">
            <v>CV 14</v>
          </cell>
          <cell r="M1262" t="str">
            <v>VISUAL</v>
          </cell>
          <cell r="N1262" t="str">
            <v>VISUAL INSPECTION</v>
          </cell>
          <cell r="O1262" t="str">
            <v>B</v>
          </cell>
        </row>
        <row r="1263">
          <cell r="A1263">
            <v>9171</v>
          </cell>
          <cell r="B1263" t="str">
            <v>SUSANTI</v>
          </cell>
          <cell r="C1263" t="str">
            <v>SAMI</v>
          </cell>
          <cell r="D1263" t="str">
            <v>OPT-205</v>
          </cell>
          <cell r="E1263">
            <v>40000</v>
          </cell>
          <cell r="F1263" t="str">
            <v>-</v>
          </cell>
          <cell r="G1263" t="str">
            <v>-</v>
          </cell>
          <cell r="H1263" t="str">
            <v>PRD</v>
          </cell>
          <cell r="I1263" t="str">
            <v>PRD</v>
          </cell>
          <cell r="J1263" t="str">
            <v>DYNA</v>
          </cell>
          <cell r="K1263" t="str">
            <v>DYNA</v>
          </cell>
          <cell r="L1263" t="str">
            <v>CV 14</v>
          </cell>
          <cell r="M1263" t="str">
            <v>SUB LINE CHO</v>
          </cell>
          <cell r="N1263" t="str">
            <v>GL</v>
          </cell>
          <cell r="O1263" t="str">
            <v>B</v>
          </cell>
        </row>
        <row r="1264">
          <cell r="A1264">
            <v>10493</v>
          </cell>
          <cell r="B1264" t="str">
            <v>ANIK SULISTYOWATI</v>
          </cell>
          <cell r="C1264" t="str">
            <v>SAMI</v>
          </cell>
          <cell r="D1264" t="str">
            <v>OPT-273</v>
          </cell>
          <cell r="E1264">
            <v>40535</v>
          </cell>
          <cell r="F1264" t="str">
            <v>-</v>
          </cell>
          <cell r="G1264" t="str">
            <v>-</v>
          </cell>
          <cell r="H1264" t="str">
            <v>PRD</v>
          </cell>
          <cell r="I1264" t="str">
            <v>PRD</v>
          </cell>
          <cell r="J1264" t="str">
            <v>DYNA</v>
          </cell>
          <cell r="K1264" t="str">
            <v>DYNA</v>
          </cell>
          <cell r="L1264" t="str">
            <v>CV 14</v>
          </cell>
          <cell r="M1264" t="str">
            <v>VISUAL</v>
          </cell>
          <cell r="N1264" t="str">
            <v>VISUAL INSPECTION</v>
          </cell>
          <cell r="O1264" t="str">
            <v>B</v>
          </cell>
        </row>
        <row r="1265">
          <cell r="A1265">
            <v>10964</v>
          </cell>
          <cell r="B1265" t="str">
            <v>VANIA RINDA MEYDITA</v>
          </cell>
          <cell r="C1265" t="str">
            <v>SAMI</v>
          </cell>
          <cell r="D1265" t="str">
            <v>OPT-285</v>
          </cell>
          <cell r="E1265">
            <v>40578</v>
          </cell>
          <cell r="F1265" t="str">
            <v>-</v>
          </cell>
          <cell r="G1265" t="str">
            <v>-</v>
          </cell>
          <cell r="H1265" t="str">
            <v>PRD</v>
          </cell>
          <cell r="I1265" t="str">
            <v>PRD</v>
          </cell>
          <cell r="J1265" t="str">
            <v>DYNA</v>
          </cell>
          <cell r="K1265" t="str">
            <v>DYNA</v>
          </cell>
          <cell r="L1265" t="str">
            <v>CV 14</v>
          </cell>
          <cell r="M1265" t="str">
            <v>LQC</v>
          </cell>
          <cell r="N1265" t="str">
            <v>RELIEF</v>
          </cell>
          <cell r="O1265" t="str">
            <v>B</v>
          </cell>
        </row>
        <row r="1266">
          <cell r="A1266">
            <v>11448</v>
          </cell>
          <cell r="B1266" t="str">
            <v>JANATUN</v>
          </cell>
          <cell r="C1266" t="str">
            <v>SAMI</v>
          </cell>
          <cell r="D1266" t="str">
            <v>OPT-306</v>
          </cell>
          <cell r="E1266">
            <v>40701</v>
          </cell>
          <cell r="F1266" t="str">
            <v>-</v>
          </cell>
          <cell r="G1266" t="str">
            <v>-</v>
          </cell>
          <cell r="H1266" t="str">
            <v>PRD</v>
          </cell>
          <cell r="I1266" t="str">
            <v>PRD</v>
          </cell>
          <cell r="J1266" t="str">
            <v>DYNA</v>
          </cell>
          <cell r="K1266" t="str">
            <v>DYNA</v>
          </cell>
          <cell r="L1266" t="str">
            <v>CV 14</v>
          </cell>
          <cell r="M1266" t="str">
            <v>VISUAL</v>
          </cell>
          <cell r="N1266" t="str">
            <v>VISUAL INSPECTION</v>
          </cell>
          <cell r="O1266" t="str">
            <v>B</v>
          </cell>
        </row>
        <row r="1267">
          <cell r="A1267">
            <v>11506</v>
          </cell>
          <cell r="B1267" t="str">
            <v>YULIANA SURYA DEWI</v>
          </cell>
          <cell r="C1267" t="str">
            <v>SAMI</v>
          </cell>
          <cell r="D1267" t="str">
            <v>OPT-306</v>
          </cell>
          <cell r="E1267">
            <v>40701</v>
          </cell>
          <cell r="F1267" t="str">
            <v>-</v>
          </cell>
          <cell r="G1267" t="str">
            <v>-</v>
          </cell>
          <cell r="H1267" t="str">
            <v>PRD</v>
          </cell>
          <cell r="I1267" t="str">
            <v>PRD</v>
          </cell>
          <cell r="J1267" t="str">
            <v>DYNA</v>
          </cell>
          <cell r="K1267" t="str">
            <v>DYNA</v>
          </cell>
          <cell r="L1267" t="str">
            <v>CV 14</v>
          </cell>
          <cell r="M1267" t="str">
            <v>S/T 1</v>
          </cell>
          <cell r="N1267" t="str">
            <v>ASSEMBLY</v>
          </cell>
          <cell r="O1267" t="str">
            <v>B</v>
          </cell>
        </row>
        <row r="1268">
          <cell r="A1268">
            <v>12483</v>
          </cell>
          <cell r="B1268" t="str">
            <v>LAYLI NURHAYATI</v>
          </cell>
          <cell r="C1268" t="str">
            <v>SAMI</v>
          </cell>
          <cell r="D1268" t="str">
            <v>OPT-318</v>
          </cell>
          <cell r="E1268">
            <v>40812</v>
          </cell>
          <cell r="F1268" t="str">
            <v>-</v>
          </cell>
          <cell r="G1268" t="str">
            <v>-</v>
          </cell>
          <cell r="H1268" t="str">
            <v>PRD</v>
          </cell>
          <cell r="I1268" t="str">
            <v>PRD</v>
          </cell>
          <cell r="J1268" t="str">
            <v>DYNA</v>
          </cell>
          <cell r="K1268" t="str">
            <v>DYNA</v>
          </cell>
          <cell r="L1268" t="str">
            <v>CV 14</v>
          </cell>
          <cell r="M1268" t="str">
            <v>VISUAL</v>
          </cell>
          <cell r="N1268" t="str">
            <v>VISUAL INSPECTION</v>
          </cell>
          <cell r="O1268" t="str">
            <v>B</v>
          </cell>
        </row>
        <row r="1269">
          <cell r="A1269">
            <v>12737</v>
          </cell>
          <cell r="B1269" t="str">
            <v>SEPTIAN ADHITYA DWI S.</v>
          </cell>
          <cell r="C1269" t="str">
            <v>SAMI</v>
          </cell>
          <cell r="D1269" t="str">
            <v>OPT-320</v>
          </cell>
          <cell r="E1269">
            <v>40819</v>
          </cell>
          <cell r="F1269" t="str">
            <v>-</v>
          </cell>
          <cell r="G1269" t="str">
            <v>-</v>
          </cell>
          <cell r="H1269" t="str">
            <v>PRD</v>
          </cell>
          <cell r="I1269" t="str">
            <v>PRD</v>
          </cell>
          <cell r="J1269" t="str">
            <v>DYNA</v>
          </cell>
          <cell r="K1269" t="str">
            <v>DYNA</v>
          </cell>
          <cell r="L1269" t="str">
            <v>CV 14</v>
          </cell>
          <cell r="M1269" t="str">
            <v>T/P 6</v>
          </cell>
          <cell r="N1269" t="str">
            <v>ASSEMBLY</v>
          </cell>
          <cell r="O1269" t="str">
            <v>B</v>
          </cell>
        </row>
        <row r="1270">
          <cell r="A1270">
            <v>12856</v>
          </cell>
          <cell r="B1270" t="str">
            <v>DESI MURNIYATI</v>
          </cell>
          <cell r="C1270" t="str">
            <v>SAMI</v>
          </cell>
          <cell r="D1270" t="str">
            <v>OPT-322</v>
          </cell>
          <cell r="E1270">
            <v>40833</v>
          </cell>
          <cell r="F1270" t="str">
            <v>-</v>
          </cell>
          <cell r="G1270" t="str">
            <v>-</v>
          </cell>
          <cell r="H1270" t="str">
            <v>PRD</v>
          </cell>
          <cell r="I1270" t="str">
            <v>PRD</v>
          </cell>
          <cell r="J1270" t="str">
            <v>DYNA</v>
          </cell>
          <cell r="K1270" t="str">
            <v>DYNA</v>
          </cell>
          <cell r="L1270" t="str">
            <v>CV 14</v>
          </cell>
          <cell r="M1270" t="str">
            <v>T/P 4</v>
          </cell>
          <cell r="N1270" t="str">
            <v>ASSEMBLY</v>
          </cell>
          <cell r="O1270" t="str">
            <v>B</v>
          </cell>
        </row>
        <row r="1271">
          <cell r="A1271">
            <v>20587</v>
          </cell>
          <cell r="B1271" t="str">
            <v>HANDINING TIARA AZKARAHMA</v>
          </cell>
          <cell r="C1271" t="str">
            <v>SAMI</v>
          </cell>
          <cell r="D1271" t="str">
            <v>OPT-505</v>
          </cell>
          <cell r="E1271">
            <v>42639</v>
          </cell>
          <cell r="F1271">
            <v>43132</v>
          </cell>
          <cell r="G1271">
            <v>43496</v>
          </cell>
          <cell r="H1271" t="str">
            <v>PRD</v>
          </cell>
          <cell r="I1271" t="str">
            <v>PRD</v>
          </cell>
          <cell r="J1271" t="str">
            <v>DYNA</v>
          </cell>
          <cell r="K1271" t="str">
            <v>DYNA</v>
          </cell>
          <cell r="L1271" t="str">
            <v>CV 14</v>
          </cell>
          <cell r="M1271" t="str">
            <v>T/P 1</v>
          </cell>
          <cell r="N1271" t="str">
            <v>ASSEMBLY</v>
          </cell>
          <cell r="O1271" t="str">
            <v>B</v>
          </cell>
        </row>
        <row r="1272">
          <cell r="A1272">
            <v>20608</v>
          </cell>
          <cell r="B1272" t="str">
            <v xml:space="preserve">LISA </v>
          </cell>
          <cell r="C1272" t="str">
            <v>SAMI</v>
          </cell>
          <cell r="D1272" t="str">
            <v>OPT-505</v>
          </cell>
          <cell r="E1272">
            <v>42639</v>
          </cell>
          <cell r="F1272">
            <v>43132</v>
          </cell>
          <cell r="G1272">
            <v>43496</v>
          </cell>
          <cell r="H1272" t="str">
            <v>PRD</v>
          </cell>
          <cell r="I1272" t="str">
            <v>PRD</v>
          </cell>
          <cell r="J1272" t="str">
            <v>DYNA</v>
          </cell>
          <cell r="K1272" t="str">
            <v>DYNA</v>
          </cell>
          <cell r="L1272" t="str">
            <v>CV 14</v>
          </cell>
          <cell r="M1272" t="str">
            <v>T/P 1</v>
          </cell>
          <cell r="N1272" t="str">
            <v>ASSEMBLY</v>
          </cell>
          <cell r="O1272" t="str">
            <v>B</v>
          </cell>
        </row>
        <row r="1273">
          <cell r="A1273">
            <v>20808</v>
          </cell>
          <cell r="B1273" t="str">
            <v>NIDA ANISAH</v>
          </cell>
          <cell r="C1273" t="str">
            <v>SAMI</v>
          </cell>
          <cell r="D1273" t="str">
            <v>OPT-508</v>
          </cell>
          <cell r="E1273">
            <v>42649</v>
          </cell>
          <cell r="F1273">
            <v>43132</v>
          </cell>
          <cell r="G1273">
            <v>43496</v>
          </cell>
          <cell r="H1273" t="str">
            <v>PRD</v>
          </cell>
          <cell r="I1273" t="str">
            <v>PRD</v>
          </cell>
          <cell r="J1273" t="str">
            <v>DYNA</v>
          </cell>
          <cell r="K1273" t="str">
            <v>DYNA</v>
          </cell>
          <cell r="L1273" t="str">
            <v>CV 14</v>
          </cell>
          <cell r="M1273" t="str">
            <v>T/P 5.1</v>
          </cell>
          <cell r="N1273" t="str">
            <v>ASSEMBLY</v>
          </cell>
          <cell r="O1273" t="str">
            <v>B</v>
          </cell>
        </row>
        <row r="1274">
          <cell r="A1274">
            <v>21216</v>
          </cell>
          <cell r="B1274" t="str">
            <v>MUHAMMAD RIYANTO</v>
          </cell>
          <cell r="C1274" t="str">
            <v>SAMI</v>
          </cell>
          <cell r="D1274" t="str">
            <v>OPT-523</v>
          </cell>
          <cell r="E1274">
            <v>42877</v>
          </cell>
          <cell r="F1274">
            <v>43374</v>
          </cell>
          <cell r="G1274">
            <v>43738</v>
          </cell>
          <cell r="H1274" t="str">
            <v>PRD</v>
          </cell>
          <cell r="I1274" t="str">
            <v>PRD</v>
          </cell>
          <cell r="J1274" t="str">
            <v>DYNA</v>
          </cell>
          <cell r="K1274" t="str">
            <v>DYNA</v>
          </cell>
          <cell r="L1274" t="str">
            <v>CV 14</v>
          </cell>
          <cell r="M1274" t="str">
            <v>EXPANDER GROMMET</v>
          </cell>
          <cell r="N1274" t="str">
            <v>FINISHING &amp; GROMMET INJECTION</v>
          </cell>
          <cell r="O1274" t="str">
            <v>B</v>
          </cell>
        </row>
        <row r="1275">
          <cell r="A1275">
            <v>21554</v>
          </cell>
          <cell r="B1275" t="str">
            <v>RIRIN WIYANTI</v>
          </cell>
          <cell r="C1275" t="str">
            <v>SAMI</v>
          </cell>
          <cell r="D1275" t="str">
            <v>OPT-535</v>
          </cell>
          <cell r="E1275">
            <v>43045</v>
          </cell>
          <cell r="F1275">
            <v>43435</v>
          </cell>
          <cell r="G1275">
            <v>43799</v>
          </cell>
          <cell r="H1275" t="str">
            <v>PRD</v>
          </cell>
          <cell r="I1275" t="str">
            <v>PRD</v>
          </cell>
          <cell r="J1275" t="str">
            <v>DYNA</v>
          </cell>
          <cell r="K1275" t="str">
            <v>DYNA</v>
          </cell>
          <cell r="L1275" t="str">
            <v>CV 14</v>
          </cell>
          <cell r="M1275" t="str">
            <v>T/P 2</v>
          </cell>
          <cell r="N1275" t="str">
            <v>ASSEMBLY</v>
          </cell>
          <cell r="O1275" t="str">
            <v>B</v>
          </cell>
        </row>
        <row r="1276">
          <cell r="A1276">
            <v>21610</v>
          </cell>
          <cell r="B1276" t="str">
            <v>NURUL HIKMAH</v>
          </cell>
          <cell r="C1276" t="str">
            <v>SAMI</v>
          </cell>
          <cell r="D1276" t="str">
            <v>OPT-536</v>
          </cell>
          <cell r="E1276">
            <v>43048</v>
          </cell>
          <cell r="F1276">
            <v>43435</v>
          </cell>
          <cell r="G1276">
            <v>43799</v>
          </cell>
          <cell r="H1276" t="str">
            <v>PRD</v>
          </cell>
          <cell r="I1276" t="str">
            <v>PRD</v>
          </cell>
          <cell r="J1276" t="str">
            <v>DYNA</v>
          </cell>
          <cell r="K1276" t="str">
            <v>DYNA</v>
          </cell>
          <cell r="L1276" t="str">
            <v>CV 14</v>
          </cell>
          <cell r="M1276" t="str">
            <v>S/A 2</v>
          </cell>
          <cell r="N1276" t="str">
            <v>SUB ASSY</v>
          </cell>
          <cell r="O1276" t="str">
            <v>B</v>
          </cell>
        </row>
        <row r="1277">
          <cell r="A1277">
            <v>21790</v>
          </cell>
          <cell r="B1277" t="str">
            <v>SITI IKA NOFYANTI</v>
          </cell>
          <cell r="C1277" t="str">
            <v>SAMI</v>
          </cell>
          <cell r="D1277" t="str">
            <v>OPT-540</v>
          </cell>
          <cell r="E1277">
            <v>43090</v>
          </cell>
          <cell r="F1277">
            <v>43121</v>
          </cell>
          <cell r="G1277">
            <v>43496</v>
          </cell>
          <cell r="H1277" t="str">
            <v>PRD</v>
          </cell>
          <cell r="I1277" t="str">
            <v>PRD</v>
          </cell>
          <cell r="J1277" t="str">
            <v>DYNA</v>
          </cell>
          <cell r="K1277" t="str">
            <v>DYNA</v>
          </cell>
          <cell r="L1277" t="str">
            <v>CV 14</v>
          </cell>
          <cell r="M1277" t="str">
            <v>T/P 5.2</v>
          </cell>
          <cell r="N1277" t="str">
            <v>ASSEMBLY</v>
          </cell>
          <cell r="O1277" t="str">
            <v>B</v>
          </cell>
        </row>
        <row r="1278">
          <cell r="A1278">
            <v>21831</v>
          </cell>
          <cell r="B1278" t="str">
            <v>FITA RISTIANA</v>
          </cell>
          <cell r="C1278" t="str">
            <v>SAMI</v>
          </cell>
          <cell r="D1278" t="str">
            <v>OPT-541</v>
          </cell>
          <cell r="E1278">
            <v>43098</v>
          </cell>
          <cell r="F1278">
            <v>43129</v>
          </cell>
          <cell r="G1278">
            <v>43496</v>
          </cell>
          <cell r="H1278" t="str">
            <v>PRD</v>
          </cell>
          <cell r="I1278" t="str">
            <v>PRD</v>
          </cell>
          <cell r="J1278" t="str">
            <v>DYNA</v>
          </cell>
          <cell r="K1278" t="str">
            <v>DYNA</v>
          </cell>
          <cell r="L1278" t="str">
            <v>CV 14</v>
          </cell>
          <cell r="M1278" t="str">
            <v>CHECKER</v>
          </cell>
          <cell r="N1278" t="str">
            <v>ELECTRICAL INSPECTION</v>
          </cell>
          <cell r="O1278" t="str">
            <v>B</v>
          </cell>
        </row>
        <row r="1279">
          <cell r="A1279">
            <v>21860</v>
          </cell>
          <cell r="B1279" t="str">
            <v>USWATUN KHASANAH</v>
          </cell>
          <cell r="C1279" t="str">
            <v>SAMI</v>
          </cell>
          <cell r="D1279" t="str">
            <v>OPT-541</v>
          </cell>
          <cell r="E1279">
            <v>43098</v>
          </cell>
          <cell r="F1279">
            <v>43129</v>
          </cell>
          <cell r="G1279">
            <v>43496</v>
          </cell>
          <cell r="H1279" t="str">
            <v>PRD</v>
          </cell>
          <cell r="I1279" t="str">
            <v>PRD</v>
          </cell>
          <cell r="J1279" t="str">
            <v>DYNA</v>
          </cell>
          <cell r="K1279" t="str">
            <v>DYNA</v>
          </cell>
          <cell r="L1279" t="str">
            <v>CV 14</v>
          </cell>
          <cell r="M1279" t="str">
            <v>S/T 4</v>
          </cell>
          <cell r="N1279" t="str">
            <v>ASSEMBLY</v>
          </cell>
          <cell r="O1279" t="str">
            <v>B</v>
          </cell>
        </row>
        <row r="1280">
          <cell r="A1280">
            <v>21913</v>
          </cell>
          <cell r="B1280" t="str">
            <v>ANGGI RISKIYANI</v>
          </cell>
          <cell r="C1280" t="str">
            <v>SAMI</v>
          </cell>
          <cell r="D1280" t="str">
            <v>OPT-543</v>
          </cell>
          <cell r="E1280">
            <v>43108</v>
          </cell>
          <cell r="F1280">
            <v>43139</v>
          </cell>
          <cell r="G1280">
            <v>43496</v>
          </cell>
          <cell r="H1280" t="str">
            <v>PRD</v>
          </cell>
          <cell r="I1280" t="str">
            <v>PRD</v>
          </cell>
          <cell r="J1280" t="str">
            <v>DYNA</v>
          </cell>
          <cell r="K1280" t="str">
            <v>DYNA</v>
          </cell>
          <cell r="L1280" t="str">
            <v>CV 14</v>
          </cell>
          <cell r="M1280" t="str">
            <v>CIRCUIT SUPPLIER 1</v>
          </cell>
          <cell r="N1280" t="str">
            <v>CIRCUIT SUPPLY</v>
          </cell>
          <cell r="O1280" t="str">
            <v>B</v>
          </cell>
        </row>
        <row r="1281">
          <cell r="A1281">
            <v>22045</v>
          </cell>
          <cell r="B1281" t="str">
            <v xml:space="preserve">NURROTUL AWALIYAH HADI </v>
          </cell>
          <cell r="C1281" t="str">
            <v>SAMI</v>
          </cell>
          <cell r="D1281" t="str">
            <v>OPT-547</v>
          </cell>
          <cell r="E1281">
            <v>43144</v>
          </cell>
          <cell r="F1281">
            <v>43172</v>
          </cell>
          <cell r="G1281">
            <v>43524</v>
          </cell>
          <cell r="H1281" t="str">
            <v>PRD</v>
          </cell>
          <cell r="I1281" t="str">
            <v>PRD</v>
          </cell>
          <cell r="J1281" t="str">
            <v>DYNA</v>
          </cell>
          <cell r="K1281" t="str">
            <v>DYNA</v>
          </cell>
          <cell r="L1281" t="str">
            <v>CV 14</v>
          </cell>
          <cell r="M1281" t="str">
            <v>S/T 3.1</v>
          </cell>
          <cell r="N1281" t="str">
            <v>ASSEMBLY</v>
          </cell>
          <cell r="O1281" t="str">
            <v>B</v>
          </cell>
        </row>
        <row r="1282">
          <cell r="A1282">
            <v>22107</v>
          </cell>
          <cell r="B1282" t="str">
            <v>WAHYU TITIS RAHMADANI</v>
          </cell>
          <cell r="C1282" t="str">
            <v>SAMI</v>
          </cell>
          <cell r="D1282" t="str">
            <v>OPT-548</v>
          </cell>
          <cell r="E1282">
            <v>43150</v>
          </cell>
          <cell r="F1282">
            <v>43178</v>
          </cell>
          <cell r="G1282">
            <v>43555</v>
          </cell>
          <cell r="H1282" t="str">
            <v>PRD</v>
          </cell>
          <cell r="I1282" t="str">
            <v>PRD</v>
          </cell>
          <cell r="J1282" t="str">
            <v>DYNA</v>
          </cell>
          <cell r="K1282" t="str">
            <v>DYNA</v>
          </cell>
          <cell r="L1282" t="str">
            <v>CV 14</v>
          </cell>
          <cell r="M1282" t="str">
            <v>CHECKER</v>
          </cell>
          <cell r="N1282" t="str">
            <v>ELECTRICAL INSPECTION</v>
          </cell>
          <cell r="O1282" t="str">
            <v>B</v>
          </cell>
        </row>
        <row r="1283">
          <cell r="A1283">
            <v>22111</v>
          </cell>
          <cell r="B1283" t="str">
            <v>AGUS WULAN SARI</v>
          </cell>
          <cell r="C1283" t="str">
            <v>SAMI</v>
          </cell>
          <cell r="D1283" t="str">
            <v>OPT-549</v>
          </cell>
          <cell r="E1283">
            <v>43153</v>
          </cell>
          <cell r="F1283">
            <v>43181</v>
          </cell>
          <cell r="G1283">
            <v>43555</v>
          </cell>
          <cell r="H1283" t="str">
            <v>PRD</v>
          </cell>
          <cell r="I1283" t="str">
            <v>PRD</v>
          </cell>
          <cell r="J1283" t="str">
            <v>DYNA</v>
          </cell>
          <cell r="K1283" t="str">
            <v>DYNA</v>
          </cell>
          <cell r="L1283" t="str">
            <v>CV 14</v>
          </cell>
          <cell r="M1283" t="str">
            <v>T/P 3.1</v>
          </cell>
          <cell r="N1283" t="str">
            <v>ASSEMBLY</v>
          </cell>
          <cell r="O1283" t="str">
            <v>B</v>
          </cell>
        </row>
        <row r="1284">
          <cell r="A1284">
            <v>22288</v>
          </cell>
          <cell r="B1284" t="str">
            <v>ERIKA PURNAMASARI</v>
          </cell>
          <cell r="C1284" t="str">
            <v>SAMI</v>
          </cell>
          <cell r="D1284" t="str">
            <v>OPT-555</v>
          </cell>
          <cell r="E1284">
            <v>43192</v>
          </cell>
          <cell r="F1284">
            <v>43222</v>
          </cell>
          <cell r="G1284">
            <v>43585</v>
          </cell>
          <cell r="H1284" t="str">
            <v>PRD</v>
          </cell>
          <cell r="I1284" t="str">
            <v>PRD</v>
          </cell>
          <cell r="J1284" t="str">
            <v>DYNA</v>
          </cell>
          <cell r="K1284" t="str">
            <v>DYNA</v>
          </cell>
          <cell r="L1284" t="str">
            <v>CV 14</v>
          </cell>
          <cell r="M1284" t="str">
            <v>T/P 9</v>
          </cell>
          <cell r="N1284" t="str">
            <v>ASSEMBLY</v>
          </cell>
          <cell r="O1284" t="str">
            <v>B</v>
          </cell>
        </row>
        <row r="1285">
          <cell r="A1285">
            <v>22458</v>
          </cell>
          <cell r="B1285" t="str">
            <v>NADILA PUTRI</v>
          </cell>
          <cell r="C1285" t="str">
            <v>SAMI</v>
          </cell>
          <cell r="D1285" t="str">
            <v>OPT-559</v>
          </cell>
          <cell r="E1285">
            <v>43220</v>
          </cell>
          <cell r="F1285">
            <v>43250</v>
          </cell>
          <cell r="G1285">
            <v>43616</v>
          </cell>
          <cell r="H1285" t="str">
            <v>PRD</v>
          </cell>
          <cell r="I1285" t="str">
            <v>PRD</v>
          </cell>
          <cell r="J1285" t="str">
            <v>DYNA</v>
          </cell>
          <cell r="K1285" t="str">
            <v>DYNA</v>
          </cell>
          <cell r="L1285" t="str">
            <v>CV 14</v>
          </cell>
          <cell r="M1285" t="str">
            <v>S/A 1.2</v>
          </cell>
          <cell r="N1285" t="str">
            <v>SUB ASSY</v>
          </cell>
          <cell r="O1285" t="str">
            <v>B</v>
          </cell>
        </row>
        <row r="1286">
          <cell r="A1286">
            <v>22463</v>
          </cell>
          <cell r="B1286" t="str">
            <v>RINDIANI</v>
          </cell>
          <cell r="C1286" t="str">
            <v>SAMI</v>
          </cell>
          <cell r="D1286" t="str">
            <v>OPT-559</v>
          </cell>
          <cell r="E1286">
            <v>43220</v>
          </cell>
          <cell r="F1286">
            <v>43250</v>
          </cell>
          <cell r="G1286">
            <v>43616</v>
          </cell>
          <cell r="H1286" t="str">
            <v>PRD</v>
          </cell>
          <cell r="I1286" t="str">
            <v>PRD</v>
          </cell>
          <cell r="J1286" t="str">
            <v>DYNA</v>
          </cell>
          <cell r="K1286" t="str">
            <v>DYNA</v>
          </cell>
          <cell r="L1286" t="str">
            <v>CV 14</v>
          </cell>
          <cell r="M1286" t="str">
            <v>CHECKER</v>
          </cell>
          <cell r="N1286" t="str">
            <v>ELECTRICAL INSPECTION</v>
          </cell>
          <cell r="O1286" t="str">
            <v>B</v>
          </cell>
        </row>
        <row r="1287">
          <cell r="A1287">
            <v>22519</v>
          </cell>
          <cell r="B1287" t="str">
            <v>AYU ARIYANTI AULIA</v>
          </cell>
          <cell r="C1287" t="str">
            <v>SAMI</v>
          </cell>
          <cell r="D1287" t="str">
            <v>OPT-560</v>
          </cell>
          <cell r="E1287">
            <v>43224</v>
          </cell>
          <cell r="F1287">
            <v>43255</v>
          </cell>
          <cell r="G1287">
            <v>43616</v>
          </cell>
          <cell r="H1287" t="str">
            <v>PRD</v>
          </cell>
          <cell r="I1287" t="str">
            <v>PRD</v>
          </cell>
          <cell r="J1287" t="str">
            <v>DYNA</v>
          </cell>
          <cell r="K1287" t="str">
            <v>DYNA</v>
          </cell>
          <cell r="L1287" t="str">
            <v>CV 14</v>
          </cell>
          <cell r="M1287" t="str">
            <v>S/T 2.1</v>
          </cell>
          <cell r="N1287" t="str">
            <v>ASSEMBLY</v>
          </cell>
          <cell r="O1287" t="str">
            <v>B</v>
          </cell>
        </row>
        <row r="1288">
          <cell r="A1288">
            <v>22584</v>
          </cell>
          <cell r="B1288" t="str">
            <v>ASIH FITRIANAH</v>
          </cell>
          <cell r="C1288" t="str">
            <v>SAMI</v>
          </cell>
          <cell r="D1288" t="str">
            <v>OPT-561</v>
          </cell>
          <cell r="E1288">
            <v>43236</v>
          </cell>
          <cell r="F1288">
            <v>43267</v>
          </cell>
          <cell r="G1288">
            <v>43646</v>
          </cell>
          <cell r="H1288" t="str">
            <v>PRD</v>
          </cell>
          <cell r="I1288" t="str">
            <v>PRD</v>
          </cell>
          <cell r="J1288" t="str">
            <v>DYNA</v>
          </cell>
          <cell r="K1288" t="str">
            <v>DYNA</v>
          </cell>
          <cell r="L1288" t="str">
            <v>CV 14</v>
          </cell>
          <cell r="M1288" t="str">
            <v>S/A 4</v>
          </cell>
          <cell r="N1288" t="str">
            <v>SUB ASSY</v>
          </cell>
          <cell r="O1288" t="str">
            <v>B</v>
          </cell>
        </row>
        <row r="1289">
          <cell r="A1289">
            <v>22600</v>
          </cell>
          <cell r="B1289" t="str">
            <v>INAYATI</v>
          </cell>
          <cell r="C1289" t="str">
            <v>SAMI</v>
          </cell>
          <cell r="D1289" t="str">
            <v>OPT-561</v>
          </cell>
          <cell r="E1289">
            <v>43236</v>
          </cell>
          <cell r="F1289">
            <v>43267</v>
          </cell>
          <cell r="G1289">
            <v>43646</v>
          </cell>
          <cell r="H1289" t="str">
            <v>PRD</v>
          </cell>
          <cell r="I1289" t="str">
            <v>PRD</v>
          </cell>
          <cell r="J1289" t="str">
            <v>DYNA</v>
          </cell>
          <cell r="K1289" t="str">
            <v>DYNA</v>
          </cell>
          <cell r="L1289" t="str">
            <v>CV 14</v>
          </cell>
          <cell r="M1289" t="str">
            <v>CHECKER</v>
          </cell>
          <cell r="N1289" t="str">
            <v>ELECTRICAL INSPECTION</v>
          </cell>
          <cell r="O1289" t="str">
            <v>B</v>
          </cell>
        </row>
        <row r="1290">
          <cell r="A1290">
            <v>22633</v>
          </cell>
          <cell r="B1290" t="str">
            <v>WAHYU ASTUTI</v>
          </cell>
          <cell r="C1290" t="str">
            <v>SAMI</v>
          </cell>
          <cell r="D1290" t="str">
            <v>OPT-561</v>
          </cell>
          <cell r="E1290">
            <v>43236</v>
          </cell>
          <cell r="F1290">
            <v>43267</v>
          </cell>
          <cell r="G1290">
            <v>43646</v>
          </cell>
          <cell r="H1290" t="str">
            <v>PRD</v>
          </cell>
          <cell r="I1290" t="str">
            <v>PRD</v>
          </cell>
          <cell r="J1290" t="str">
            <v>DYNA</v>
          </cell>
          <cell r="K1290" t="str">
            <v>DYNA</v>
          </cell>
          <cell r="L1290" t="str">
            <v>CV 14</v>
          </cell>
          <cell r="M1290" t="str">
            <v>S/T 3.2</v>
          </cell>
          <cell r="N1290" t="str">
            <v>ASSEMBLY</v>
          </cell>
          <cell r="O1290" t="str">
            <v>B</v>
          </cell>
        </row>
        <row r="1291">
          <cell r="A1291">
            <v>22700</v>
          </cell>
          <cell r="B1291" t="str">
            <v>EMI NITASARI</v>
          </cell>
          <cell r="C1291" t="str">
            <v>SAMI</v>
          </cell>
          <cell r="D1291" t="str">
            <v>OPT-563</v>
          </cell>
          <cell r="E1291">
            <v>43244</v>
          </cell>
          <cell r="F1291">
            <v>43275</v>
          </cell>
          <cell r="G1291">
            <v>43646</v>
          </cell>
          <cell r="H1291" t="str">
            <v>PRD</v>
          </cell>
          <cell r="I1291" t="str">
            <v>PRD</v>
          </cell>
          <cell r="J1291" t="str">
            <v>DYNA</v>
          </cell>
          <cell r="K1291" t="str">
            <v>DYNA</v>
          </cell>
          <cell r="L1291" t="str">
            <v>CV 14</v>
          </cell>
          <cell r="M1291" t="str">
            <v>MATERIAL SUPPLY 2</v>
          </cell>
          <cell r="N1291" t="str">
            <v>MATERIAL SUPPLY</v>
          </cell>
          <cell r="O1291" t="str">
            <v>B</v>
          </cell>
        </row>
        <row r="1292">
          <cell r="A1292">
            <v>22738</v>
          </cell>
          <cell r="B1292" t="str">
            <v>INDAH FEBRIYANTI</v>
          </cell>
          <cell r="C1292" t="str">
            <v>SAMI</v>
          </cell>
          <cell r="D1292" t="str">
            <v>OPT-564</v>
          </cell>
          <cell r="E1292">
            <v>43255</v>
          </cell>
          <cell r="F1292">
            <v>43285</v>
          </cell>
          <cell r="G1292">
            <v>43646</v>
          </cell>
          <cell r="H1292" t="str">
            <v>PRD</v>
          </cell>
          <cell r="I1292" t="str">
            <v>PRD</v>
          </cell>
          <cell r="J1292" t="str">
            <v>DYNA</v>
          </cell>
          <cell r="K1292" t="str">
            <v>DYNA</v>
          </cell>
          <cell r="L1292" t="str">
            <v>CV 14</v>
          </cell>
          <cell r="M1292" t="str">
            <v>S/A 1.1</v>
          </cell>
          <cell r="N1292" t="str">
            <v>SUB ASSY</v>
          </cell>
          <cell r="O1292" t="str">
            <v>B</v>
          </cell>
        </row>
        <row r="1293">
          <cell r="A1293">
            <v>22823</v>
          </cell>
          <cell r="B1293" t="str">
            <v>DINA ELA ESTI</v>
          </cell>
          <cell r="C1293" t="str">
            <v>SAMI</v>
          </cell>
          <cell r="D1293" t="str">
            <v>OPT-567</v>
          </cell>
          <cell r="E1293">
            <v>43333</v>
          </cell>
          <cell r="F1293">
            <v>43364</v>
          </cell>
          <cell r="G1293">
            <v>43738</v>
          </cell>
          <cell r="H1293" t="str">
            <v>PRD</v>
          </cell>
          <cell r="I1293" t="str">
            <v>PRD</v>
          </cell>
          <cell r="J1293" t="str">
            <v>DYNA</v>
          </cell>
          <cell r="K1293" t="str">
            <v>DYNA</v>
          </cell>
          <cell r="L1293" t="str">
            <v>CV 14</v>
          </cell>
          <cell r="M1293" t="str">
            <v>T/P 7</v>
          </cell>
          <cell r="N1293" t="str">
            <v>ASSEMBLY</v>
          </cell>
          <cell r="O1293" t="str">
            <v>B</v>
          </cell>
        </row>
        <row r="1294">
          <cell r="A1294">
            <v>22924</v>
          </cell>
          <cell r="B1294" t="str">
            <v>ENDRI EKO CAHYONO</v>
          </cell>
          <cell r="C1294" t="str">
            <v>SAMI</v>
          </cell>
          <cell r="D1294" t="str">
            <v>OPT-568</v>
          </cell>
          <cell r="E1294">
            <v>43343</v>
          </cell>
          <cell r="F1294">
            <v>43374</v>
          </cell>
          <cell r="G1294">
            <v>43738</v>
          </cell>
          <cell r="H1294" t="str">
            <v>PRD</v>
          </cell>
          <cell r="I1294" t="str">
            <v>PRD</v>
          </cell>
          <cell r="J1294" t="str">
            <v>DYNA</v>
          </cell>
          <cell r="K1294" t="str">
            <v>DYNA</v>
          </cell>
          <cell r="L1294" t="str">
            <v>CV 14</v>
          </cell>
          <cell r="M1294" t="str">
            <v>CHECKER</v>
          </cell>
          <cell r="N1294" t="str">
            <v>ELECTRICAL INSPECTION</v>
          </cell>
          <cell r="O1294" t="str">
            <v>B</v>
          </cell>
        </row>
        <row r="1295">
          <cell r="A1295">
            <v>22942</v>
          </cell>
          <cell r="B1295" t="str">
            <v>INTAN SUBEKTHI</v>
          </cell>
          <cell r="C1295" t="str">
            <v>SAMI</v>
          </cell>
          <cell r="D1295" t="str">
            <v>OPT-568</v>
          </cell>
          <cell r="E1295">
            <v>43343</v>
          </cell>
          <cell r="F1295">
            <v>43374</v>
          </cell>
          <cell r="G1295">
            <v>43738</v>
          </cell>
          <cell r="H1295" t="str">
            <v>PRD</v>
          </cell>
          <cell r="I1295" t="str">
            <v>PRD</v>
          </cell>
          <cell r="J1295" t="str">
            <v>DYNA</v>
          </cell>
          <cell r="K1295" t="str">
            <v>DYNA</v>
          </cell>
          <cell r="L1295" t="str">
            <v>CV 14</v>
          </cell>
          <cell r="M1295" t="str">
            <v>OJT T/P</v>
          </cell>
          <cell r="N1295" t="str">
            <v>INTERNAL TRIAL</v>
          </cell>
          <cell r="O1295" t="str">
            <v>B</v>
          </cell>
        </row>
        <row r="1296">
          <cell r="A1296">
            <v>22984</v>
          </cell>
          <cell r="B1296" t="str">
            <v>TRI WIWIK MUNAWA NINGSIH</v>
          </cell>
          <cell r="C1296" t="str">
            <v>SAMI</v>
          </cell>
          <cell r="D1296" t="str">
            <v>OPT-568</v>
          </cell>
          <cell r="E1296">
            <v>43343</v>
          </cell>
          <cell r="F1296">
            <v>43374</v>
          </cell>
          <cell r="G1296">
            <v>43738</v>
          </cell>
          <cell r="H1296" t="str">
            <v>PRD</v>
          </cell>
          <cell r="I1296" t="str">
            <v>PRD</v>
          </cell>
          <cell r="J1296" t="str">
            <v>DYNA</v>
          </cell>
          <cell r="K1296" t="str">
            <v>DYNA</v>
          </cell>
          <cell r="L1296" t="str">
            <v>CV 14</v>
          </cell>
          <cell r="M1296" t="str">
            <v>T/P 8</v>
          </cell>
          <cell r="N1296" t="str">
            <v>ASSEMBLY</v>
          </cell>
          <cell r="O1296" t="str">
            <v>B</v>
          </cell>
        </row>
        <row r="1297">
          <cell r="A1297">
            <v>23101</v>
          </cell>
          <cell r="B1297" t="str">
            <v>AYUK YUNIYANTI</v>
          </cell>
          <cell r="C1297" t="str">
            <v>SAMI</v>
          </cell>
          <cell r="D1297" t="str">
            <v>OPT-570</v>
          </cell>
          <cell r="E1297">
            <v>43369</v>
          </cell>
          <cell r="F1297">
            <v>43399</v>
          </cell>
          <cell r="G1297">
            <v>43769</v>
          </cell>
          <cell r="H1297" t="str">
            <v>PRD</v>
          </cell>
          <cell r="I1297" t="str">
            <v>PRD</v>
          </cell>
          <cell r="J1297" t="str">
            <v>DYNA</v>
          </cell>
          <cell r="K1297" t="str">
            <v>DYNA</v>
          </cell>
          <cell r="L1297" t="str">
            <v>CV 14</v>
          </cell>
          <cell r="M1297" t="str">
            <v>S/A 3</v>
          </cell>
          <cell r="N1297" t="str">
            <v>ASSEMBLY</v>
          </cell>
          <cell r="O1297" t="str">
            <v>B</v>
          </cell>
        </row>
        <row r="1298">
          <cell r="A1298">
            <v>23102</v>
          </cell>
          <cell r="B1298" t="str">
            <v>BELIA MUTIARA JANAH</v>
          </cell>
          <cell r="C1298" t="str">
            <v>SAMI</v>
          </cell>
          <cell r="D1298" t="str">
            <v>OPT-570</v>
          </cell>
          <cell r="E1298">
            <v>43369</v>
          </cell>
          <cell r="F1298">
            <v>43399</v>
          </cell>
          <cell r="G1298">
            <v>43769</v>
          </cell>
          <cell r="H1298" t="str">
            <v>PRD</v>
          </cell>
          <cell r="I1298" t="str">
            <v>PRD</v>
          </cell>
          <cell r="J1298" t="str">
            <v>DYNA</v>
          </cell>
          <cell r="K1298" t="str">
            <v>DYNA</v>
          </cell>
          <cell r="L1298" t="str">
            <v>CV 14</v>
          </cell>
          <cell r="M1298" t="str">
            <v>MATERIAL SUPPLY 1</v>
          </cell>
          <cell r="N1298" t="str">
            <v>MATERIAL SUPPLY</v>
          </cell>
          <cell r="O1298" t="str">
            <v>B</v>
          </cell>
        </row>
        <row r="1299">
          <cell r="A1299">
            <v>23194</v>
          </cell>
          <cell r="B1299" t="str">
            <v>AMIRATUS SOLIKHAH</v>
          </cell>
          <cell r="C1299" t="str">
            <v>SAMI</v>
          </cell>
          <cell r="D1299" t="str">
            <v>OPT-573</v>
          </cell>
          <cell r="E1299">
            <v>43421</v>
          </cell>
          <cell r="F1299">
            <v>43451</v>
          </cell>
          <cell r="G1299">
            <v>43830</v>
          </cell>
          <cell r="H1299" t="str">
            <v>PRD</v>
          </cell>
          <cell r="I1299" t="str">
            <v>PRD</v>
          </cell>
          <cell r="J1299" t="str">
            <v>DYNA</v>
          </cell>
          <cell r="K1299" t="str">
            <v>DYNA</v>
          </cell>
          <cell r="L1299" t="str">
            <v>CV 14</v>
          </cell>
          <cell r="M1299" t="str">
            <v>CIRCUIT SUPPLIER 2</v>
          </cell>
          <cell r="N1299" t="str">
            <v>CIRCUIT SUPPLY</v>
          </cell>
          <cell r="O1299" t="str">
            <v>B</v>
          </cell>
        </row>
        <row r="1300">
          <cell r="A1300">
            <v>23311</v>
          </cell>
          <cell r="B1300" t="str">
            <v>FITA RUPIANA</v>
          </cell>
          <cell r="C1300" t="str">
            <v>SAMI</v>
          </cell>
          <cell r="D1300" t="str">
            <v>OPT-574</v>
          </cell>
          <cell r="E1300">
            <v>43427</v>
          </cell>
          <cell r="F1300">
            <v>43457</v>
          </cell>
          <cell r="G1300">
            <v>43830</v>
          </cell>
          <cell r="H1300" t="str">
            <v>PRD</v>
          </cell>
          <cell r="I1300" t="str">
            <v>PRD</v>
          </cell>
          <cell r="J1300" t="str">
            <v>DYNA</v>
          </cell>
          <cell r="K1300" t="str">
            <v>DYNA</v>
          </cell>
          <cell r="L1300" t="str">
            <v>CV 14</v>
          </cell>
          <cell r="M1300" t="str">
            <v>S/T 2.2</v>
          </cell>
          <cell r="N1300" t="str">
            <v>ASSEMBLY</v>
          </cell>
          <cell r="O1300" t="str">
            <v>B</v>
          </cell>
        </row>
        <row r="1301">
          <cell r="A1301">
            <v>23336</v>
          </cell>
          <cell r="B1301" t="str">
            <v>MILA VINDASARI</v>
          </cell>
          <cell r="C1301" t="str">
            <v>SAMI</v>
          </cell>
          <cell r="D1301" t="str">
            <v>OPT-574</v>
          </cell>
          <cell r="E1301">
            <v>43427</v>
          </cell>
          <cell r="F1301">
            <v>43457</v>
          </cell>
          <cell r="G1301">
            <v>43830</v>
          </cell>
          <cell r="H1301" t="str">
            <v>PRD</v>
          </cell>
          <cell r="I1301" t="str">
            <v>PRD</v>
          </cell>
          <cell r="J1301" t="str">
            <v>DYNA</v>
          </cell>
          <cell r="K1301" t="str">
            <v>DYNA</v>
          </cell>
          <cell r="L1301" t="str">
            <v>CV 14</v>
          </cell>
          <cell r="M1301" t="str">
            <v>OJT T/P</v>
          </cell>
          <cell r="N1301" t="str">
            <v>INTERNAL TRIAL</v>
          </cell>
          <cell r="O1301" t="str">
            <v>B</v>
          </cell>
        </row>
        <row r="1302">
          <cell r="A1302">
            <v>23482</v>
          </cell>
          <cell r="B1302" t="str">
            <v>VIANA NUR AINI</v>
          </cell>
          <cell r="C1302" t="str">
            <v>SAMI</v>
          </cell>
          <cell r="D1302" t="str">
            <v>OPT-575</v>
          </cell>
          <cell r="E1302">
            <v>43434</v>
          </cell>
          <cell r="F1302">
            <v>43464</v>
          </cell>
          <cell r="G1302">
            <v>43830</v>
          </cell>
          <cell r="H1302" t="str">
            <v>PRD</v>
          </cell>
          <cell r="I1302" t="str">
            <v>PRD</v>
          </cell>
          <cell r="J1302" t="str">
            <v>DYNA</v>
          </cell>
          <cell r="K1302" t="str">
            <v>DYNA</v>
          </cell>
          <cell r="L1302" t="str">
            <v>CV 14</v>
          </cell>
          <cell r="M1302" t="str">
            <v>T/P 3.2</v>
          </cell>
          <cell r="N1302" t="str">
            <v>ASSEMBLY</v>
          </cell>
          <cell r="O1302" t="str">
            <v>B</v>
          </cell>
        </row>
        <row r="1303">
          <cell r="A1303">
            <v>23538</v>
          </cell>
          <cell r="B1303" t="str">
            <v>AJENG NURFITRI</v>
          </cell>
          <cell r="C1303" t="str">
            <v>SAMI</v>
          </cell>
          <cell r="D1303" t="str">
            <v>OPT-577</v>
          </cell>
          <cell r="E1303">
            <v>43452</v>
          </cell>
          <cell r="F1303">
            <v>43483</v>
          </cell>
          <cell r="G1303">
            <v>43861</v>
          </cell>
          <cell r="H1303" t="str">
            <v>PRD</v>
          </cell>
          <cell r="I1303" t="str">
            <v>PRD</v>
          </cell>
          <cell r="J1303" t="str">
            <v>DYNA</v>
          </cell>
          <cell r="K1303" t="str">
            <v>DYNA</v>
          </cell>
          <cell r="L1303" t="str">
            <v>CV 14</v>
          </cell>
          <cell r="M1303" t="str">
            <v>OJT</v>
          </cell>
          <cell r="N1303" t="str">
            <v>INTERNAL TRIAL</v>
          </cell>
          <cell r="O1303" t="str">
            <v>B</v>
          </cell>
        </row>
        <row r="1304">
          <cell r="A1304">
            <v>23564</v>
          </cell>
          <cell r="B1304" t="str">
            <v>LATIFA RAHMAWATI</v>
          </cell>
          <cell r="C1304" t="str">
            <v>SAMI</v>
          </cell>
          <cell r="D1304" t="str">
            <v>OPT-577</v>
          </cell>
          <cell r="E1304">
            <v>43452</v>
          </cell>
          <cell r="F1304">
            <v>43483</v>
          </cell>
          <cell r="G1304">
            <v>43861</v>
          </cell>
          <cell r="H1304" t="str">
            <v>PRD</v>
          </cell>
          <cell r="I1304" t="str">
            <v>PRD</v>
          </cell>
          <cell r="J1304" t="str">
            <v>DYNA</v>
          </cell>
          <cell r="K1304" t="str">
            <v>DYNA</v>
          </cell>
          <cell r="L1304" t="str">
            <v>CV 14</v>
          </cell>
          <cell r="M1304" t="str">
            <v>OJT</v>
          </cell>
          <cell r="N1304" t="str">
            <v>INTERNAL TRIAL</v>
          </cell>
          <cell r="O1304" t="str">
            <v>B</v>
          </cell>
        </row>
        <row r="1305">
          <cell r="A1305">
            <v>246</v>
          </cell>
          <cell r="B1305" t="str">
            <v>TUTIK PURWANTI</v>
          </cell>
          <cell r="C1305" t="str">
            <v>SAMI</v>
          </cell>
          <cell r="D1305" t="str">
            <v>OPT-7</v>
          </cell>
          <cell r="E1305">
            <v>37704</v>
          </cell>
          <cell r="F1305" t="str">
            <v>-</v>
          </cell>
          <cell r="G1305" t="str">
            <v>-</v>
          </cell>
          <cell r="H1305" t="str">
            <v>PRD</v>
          </cell>
          <cell r="I1305" t="str">
            <v>PRD</v>
          </cell>
          <cell r="J1305" t="str">
            <v>DYNA</v>
          </cell>
          <cell r="K1305" t="str">
            <v>DYNA</v>
          </cell>
          <cell r="L1305" t="str">
            <v>CV 16</v>
          </cell>
          <cell r="M1305" t="str">
            <v>S/A 5</v>
          </cell>
          <cell r="N1305" t="str">
            <v>SUB ASSY</v>
          </cell>
          <cell r="O1305" t="str">
            <v>A</v>
          </cell>
        </row>
        <row r="1306">
          <cell r="A1306">
            <v>330</v>
          </cell>
          <cell r="B1306" t="str">
            <v>NURUL AIN</v>
          </cell>
          <cell r="C1306" t="str">
            <v>SAMI</v>
          </cell>
          <cell r="D1306" t="str">
            <v>OPT-9</v>
          </cell>
          <cell r="E1306">
            <v>37725</v>
          </cell>
          <cell r="F1306" t="str">
            <v>-</v>
          </cell>
          <cell r="G1306" t="str">
            <v>-</v>
          </cell>
          <cell r="H1306" t="str">
            <v>PRD</v>
          </cell>
          <cell r="I1306" t="str">
            <v>PRD</v>
          </cell>
          <cell r="J1306" t="str">
            <v>DYNA</v>
          </cell>
          <cell r="K1306" t="str">
            <v>DYNA</v>
          </cell>
          <cell r="L1306" t="str">
            <v>CV 16</v>
          </cell>
          <cell r="M1306" t="str">
            <v>S/A 3</v>
          </cell>
          <cell r="N1306" t="str">
            <v>SUB ASSY</v>
          </cell>
          <cell r="O1306" t="str">
            <v>A</v>
          </cell>
        </row>
        <row r="1307">
          <cell r="A1307">
            <v>421</v>
          </cell>
          <cell r="B1307" t="str">
            <v>INDAH MARGININGSIH</v>
          </cell>
          <cell r="C1307" t="str">
            <v>SAMI</v>
          </cell>
          <cell r="D1307" t="str">
            <v>OPT-11</v>
          </cell>
          <cell r="E1307">
            <v>37739</v>
          </cell>
          <cell r="F1307" t="str">
            <v>-</v>
          </cell>
          <cell r="G1307" t="str">
            <v>-</v>
          </cell>
          <cell r="H1307" t="str">
            <v>PRD</v>
          </cell>
          <cell r="I1307" t="str">
            <v>PRD</v>
          </cell>
          <cell r="J1307" t="str">
            <v>DYNA</v>
          </cell>
          <cell r="K1307" t="str">
            <v>DYNA</v>
          </cell>
          <cell r="L1307" t="str">
            <v>CV 16</v>
          </cell>
          <cell r="M1307" t="str">
            <v>SUB LINE CHO</v>
          </cell>
          <cell r="N1307" t="str">
            <v>GL</v>
          </cell>
          <cell r="O1307" t="str">
            <v>A</v>
          </cell>
        </row>
        <row r="1308">
          <cell r="A1308">
            <v>1037</v>
          </cell>
          <cell r="B1308" t="str">
            <v>SUKAMTI</v>
          </cell>
          <cell r="C1308" t="str">
            <v>SAMI</v>
          </cell>
          <cell r="D1308" t="str">
            <v>OPT-26</v>
          </cell>
          <cell r="E1308">
            <v>37879</v>
          </cell>
          <cell r="F1308" t="str">
            <v>-</v>
          </cell>
          <cell r="G1308" t="str">
            <v>-</v>
          </cell>
          <cell r="H1308" t="str">
            <v>PRD</v>
          </cell>
          <cell r="I1308" t="str">
            <v>PRD</v>
          </cell>
          <cell r="J1308" t="str">
            <v>DYNA</v>
          </cell>
          <cell r="K1308" t="str">
            <v>DYNA</v>
          </cell>
          <cell r="L1308" t="str">
            <v>CV 16</v>
          </cell>
          <cell r="M1308" t="str">
            <v>VISUAL</v>
          </cell>
          <cell r="N1308" t="str">
            <v>VISUAL INSPECTION</v>
          </cell>
          <cell r="O1308" t="str">
            <v>A</v>
          </cell>
        </row>
        <row r="1309">
          <cell r="A1309">
            <v>5518</v>
          </cell>
          <cell r="B1309" t="str">
            <v>TRI MEI WULANDARI</v>
          </cell>
          <cell r="C1309" t="str">
            <v>SAMI</v>
          </cell>
          <cell r="D1309" t="str">
            <v>OPT-129</v>
          </cell>
          <cell r="E1309">
            <v>39022</v>
          </cell>
          <cell r="F1309" t="str">
            <v>-</v>
          </cell>
          <cell r="G1309" t="str">
            <v>-</v>
          </cell>
          <cell r="H1309" t="str">
            <v>PRD</v>
          </cell>
          <cell r="I1309" t="str">
            <v>PRD</v>
          </cell>
          <cell r="J1309" t="str">
            <v>DYNA</v>
          </cell>
          <cell r="K1309" t="str">
            <v>DYNA</v>
          </cell>
          <cell r="L1309" t="str">
            <v>CV 16</v>
          </cell>
          <cell r="M1309" t="str">
            <v>LQC</v>
          </cell>
          <cell r="N1309" t="str">
            <v>RELIEF</v>
          </cell>
          <cell r="O1309" t="str">
            <v>A</v>
          </cell>
        </row>
        <row r="1310">
          <cell r="A1310">
            <v>5546</v>
          </cell>
          <cell r="B1310" t="str">
            <v>MOHAMAD ISTAQORI</v>
          </cell>
          <cell r="C1310" t="str">
            <v>SAMI</v>
          </cell>
          <cell r="D1310" t="str">
            <v>OPT-130</v>
          </cell>
          <cell r="E1310">
            <v>39052</v>
          </cell>
          <cell r="F1310" t="str">
            <v>-</v>
          </cell>
          <cell r="G1310" t="str">
            <v>-</v>
          </cell>
          <cell r="H1310" t="str">
            <v>PRD</v>
          </cell>
          <cell r="I1310" t="str">
            <v>PRD</v>
          </cell>
          <cell r="J1310" t="str">
            <v>DYNA</v>
          </cell>
          <cell r="K1310" t="str">
            <v>DYNA</v>
          </cell>
          <cell r="L1310" t="str">
            <v>CV 16</v>
          </cell>
          <cell r="M1310" t="str">
            <v>SUB LINE CHO</v>
          </cell>
          <cell r="N1310" t="str">
            <v>GL</v>
          </cell>
          <cell r="O1310" t="str">
            <v>A</v>
          </cell>
        </row>
        <row r="1311">
          <cell r="A1311">
            <v>5962</v>
          </cell>
          <cell r="B1311" t="str">
            <v>WARSITI</v>
          </cell>
          <cell r="C1311" t="str">
            <v>SAMI</v>
          </cell>
          <cell r="D1311" t="str">
            <v>OPT-137</v>
          </cell>
          <cell r="E1311">
            <v>39129</v>
          </cell>
          <cell r="F1311" t="str">
            <v>-</v>
          </cell>
          <cell r="G1311" t="str">
            <v>-</v>
          </cell>
          <cell r="H1311" t="str">
            <v>PRD</v>
          </cell>
          <cell r="I1311" t="str">
            <v>PRD</v>
          </cell>
          <cell r="J1311" t="str">
            <v>DYNA</v>
          </cell>
          <cell r="K1311" t="str">
            <v>DYNA</v>
          </cell>
          <cell r="L1311" t="str">
            <v>CV 16</v>
          </cell>
          <cell r="M1311" t="str">
            <v>S/A 5</v>
          </cell>
          <cell r="N1311" t="str">
            <v>SUB ASSY</v>
          </cell>
          <cell r="O1311" t="str">
            <v>A</v>
          </cell>
        </row>
        <row r="1312">
          <cell r="A1312">
            <v>6149</v>
          </cell>
          <cell r="B1312" t="str">
            <v>NUR CHASANAH</v>
          </cell>
          <cell r="C1312" t="str">
            <v>SAMI</v>
          </cell>
          <cell r="D1312" t="str">
            <v>OPT-140</v>
          </cell>
          <cell r="E1312">
            <v>39157</v>
          </cell>
          <cell r="F1312" t="str">
            <v>-</v>
          </cell>
          <cell r="G1312" t="str">
            <v>-</v>
          </cell>
          <cell r="H1312" t="str">
            <v>PRD</v>
          </cell>
          <cell r="I1312" t="str">
            <v>PRD</v>
          </cell>
          <cell r="J1312" t="str">
            <v>DYNA</v>
          </cell>
          <cell r="K1312" t="str">
            <v>DYNA</v>
          </cell>
          <cell r="L1312" t="str">
            <v>CV 16</v>
          </cell>
          <cell r="M1312" t="str">
            <v>FINISHING</v>
          </cell>
          <cell r="N1312" t="str">
            <v>FINISHING &amp; GROMMET INJECTION</v>
          </cell>
          <cell r="O1312" t="str">
            <v>A</v>
          </cell>
        </row>
        <row r="1313">
          <cell r="A1313">
            <v>8644</v>
          </cell>
          <cell r="B1313" t="str">
            <v>KHARISATUN NIKMAH</v>
          </cell>
          <cell r="C1313" t="str">
            <v>SAMI</v>
          </cell>
          <cell r="D1313" t="str">
            <v>OPT-189</v>
          </cell>
          <cell r="E1313">
            <v>39878</v>
          </cell>
          <cell r="F1313" t="str">
            <v>-</v>
          </cell>
          <cell r="G1313" t="str">
            <v>-</v>
          </cell>
          <cell r="H1313" t="str">
            <v>PRD</v>
          </cell>
          <cell r="I1313" t="str">
            <v>PRD</v>
          </cell>
          <cell r="J1313" t="str">
            <v>DYNA</v>
          </cell>
          <cell r="K1313" t="str">
            <v>DYNA</v>
          </cell>
          <cell r="L1313" t="str">
            <v>CV 16</v>
          </cell>
          <cell r="M1313" t="str">
            <v>S/A AB</v>
          </cell>
          <cell r="N1313" t="str">
            <v>SUB ASSY</v>
          </cell>
          <cell r="O1313" t="str">
            <v>A</v>
          </cell>
        </row>
        <row r="1314">
          <cell r="A1314">
            <v>8763</v>
          </cell>
          <cell r="B1314" t="str">
            <v>ASIH MUGIATI</v>
          </cell>
          <cell r="C1314" t="str">
            <v>SAMI</v>
          </cell>
          <cell r="D1314" t="str">
            <v>OPT-194</v>
          </cell>
          <cell r="E1314">
            <v>39931</v>
          </cell>
          <cell r="F1314" t="str">
            <v>-</v>
          </cell>
          <cell r="G1314" t="str">
            <v>-</v>
          </cell>
          <cell r="H1314" t="str">
            <v>PRD</v>
          </cell>
          <cell r="I1314" t="str">
            <v>PRD</v>
          </cell>
          <cell r="J1314" t="str">
            <v>DYNA</v>
          </cell>
          <cell r="K1314" t="str">
            <v>DYNA</v>
          </cell>
          <cell r="L1314" t="str">
            <v>CV 16</v>
          </cell>
          <cell r="M1314" t="str">
            <v>S/A 4</v>
          </cell>
          <cell r="N1314" t="str">
            <v>SUB ASSY</v>
          </cell>
          <cell r="O1314" t="str">
            <v>A</v>
          </cell>
        </row>
        <row r="1315">
          <cell r="A1315">
            <v>9132</v>
          </cell>
          <cell r="B1315" t="str">
            <v>DEWI APRILIYANI</v>
          </cell>
          <cell r="C1315" t="str">
            <v>SAMI</v>
          </cell>
          <cell r="D1315" t="str">
            <v>OPT-205</v>
          </cell>
          <cell r="E1315">
            <v>40000</v>
          </cell>
          <cell r="F1315" t="str">
            <v>-</v>
          </cell>
          <cell r="G1315" t="str">
            <v>-</v>
          </cell>
          <cell r="H1315" t="str">
            <v>PRD</v>
          </cell>
          <cell r="I1315" t="str">
            <v>PRD</v>
          </cell>
          <cell r="J1315" t="str">
            <v>DYNA</v>
          </cell>
          <cell r="K1315" t="str">
            <v>DYNA</v>
          </cell>
          <cell r="L1315" t="str">
            <v>CV 16</v>
          </cell>
          <cell r="M1315" t="str">
            <v>FINISHING</v>
          </cell>
          <cell r="N1315" t="str">
            <v>FINISHING &amp; GROMMET INJECTION</v>
          </cell>
          <cell r="O1315" t="str">
            <v>A</v>
          </cell>
        </row>
        <row r="1316">
          <cell r="A1316">
            <v>9212</v>
          </cell>
          <cell r="B1316" t="str">
            <v>SARAS NURAENI</v>
          </cell>
          <cell r="C1316" t="str">
            <v>SAMI</v>
          </cell>
          <cell r="D1316" t="str">
            <v>OPT-216</v>
          </cell>
          <cell r="E1316">
            <v>40008</v>
          </cell>
          <cell r="F1316" t="str">
            <v>-</v>
          </cell>
          <cell r="G1316" t="str">
            <v>-</v>
          </cell>
          <cell r="H1316" t="str">
            <v>PRD</v>
          </cell>
          <cell r="I1316" t="str">
            <v>PRD</v>
          </cell>
          <cell r="J1316" t="str">
            <v>DYNA</v>
          </cell>
          <cell r="K1316" t="str">
            <v>DYNA</v>
          </cell>
          <cell r="L1316" t="str">
            <v>CV 16</v>
          </cell>
          <cell r="M1316" t="str">
            <v>S/A 2</v>
          </cell>
          <cell r="N1316" t="str">
            <v>SUB ASSY</v>
          </cell>
          <cell r="O1316" t="str">
            <v>A</v>
          </cell>
        </row>
        <row r="1317">
          <cell r="A1317">
            <v>10295</v>
          </cell>
          <cell r="B1317" t="str">
            <v>ULFA ANI SATU ROHMAH</v>
          </cell>
          <cell r="C1317" t="str">
            <v>SAMI</v>
          </cell>
          <cell r="D1317" t="str">
            <v>OPT-263</v>
          </cell>
          <cell r="E1317">
            <v>40504</v>
          </cell>
          <cell r="F1317" t="str">
            <v>-</v>
          </cell>
          <cell r="G1317" t="str">
            <v>-</v>
          </cell>
          <cell r="H1317" t="str">
            <v>PRD</v>
          </cell>
          <cell r="I1317" t="str">
            <v>PRD</v>
          </cell>
          <cell r="J1317" t="str">
            <v>DYNA</v>
          </cell>
          <cell r="K1317" t="str">
            <v>DYNA</v>
          </cell>
          <cell r="L1317" t="str">
            <v>CV 16</v>
          </cell>
          <cell r="M1317" t="str">
            <v>T/P 2</v>
          </cell>
          <cell r="N1317" t="str">
            <v>ASSEMBLY</v>
          </cell>
          <cell r="O1317" t="str">
            <v>A</v>
          </cell>
        </row>
        <row r="1318">
          <cell r="A1318">
            <v>10329</v>
          </cell>
          <cell r="B1318" t="str">
            <v>RESA REGAL LESTA</v>
          </cell>
          <cell r="C1318" t="str">
            <v>SAMI</v>
          </cell>
          <cell r="D1318" t="str">
            <v>OPT-265</v>
          </cell>
          <cell r="E1318">
            <v>40511</v>
          </cell>
          <cell r="F1318" t="str">
            <v>-</v>
          </cell>
          <cell r="G1318" t="str">
            <v>-</v>
          </cell>
          <cell r="H1318" t="str">
            <v>PRD</v>
          </cell>
          <cell r="I1318" t="str">
            <v>PRD</v>
          </cell>
          <cell r="J1318" t="str">
            <v>DYNA</v>
          </cell>
          <cell r="K1318" t="str">
            <v>DYNA</v>
          </cell>
          <cell r="L1318" t="str">
            <v>CV 16</v>
          </cell>
          <cell r="M1318" t="str">
            <v>S/A 4</v>
          </cell>
          <cell r="N1318" t="str">
            <v>SUB ASSY</v>
          </cell>
          <cell r="O1318" t="str">
            <v>A</v>
          </cell>
        </row>
        <row r="1319">
          <cell r="A1319">
            <v>10430</v>
          </cell>
          <cell r="B1319" t="str">
            <v>USWATUN KHASANAH</v>
          </cell>
          <cell r="C1319" t="str">
            <v>SAMI</v>
          </cell>
          <cell r="D1319" t="str">
            <v>OPT-268</v>
          </cell>
          <cell r="E1319">
            <v>40518</v>
          </cell>
          <cell r="F1319" t="str">
            <v>-</v>
          </cell>
          <cell r="G1319" t="str">
            <v>-</v>
          </cell>
          <cell r="H1319" t="str">
            <v>PRD</v>
          </cell>
          <cell r="I1319" t="str">
            <v>PRD</v>
          </cell>
          <cell r="J1319" t="str">
            <v>DYNA</v>
          </cell>
          <cell r="K1319" t="str">
            <v>DYNA</v>
          </cell>
          <cell r="L1319" t="str">
            <v>CV 16</v>
          </cell>
          <cell r="M1319" t="str">
            <v>S/A 3</v>
          </cell>
          <cell r="N1319" t="str">
            <v>SUB ASSY</v>
          </cell>
          <cell r="O1319" t="str">
            <v>A</v>
          </cell>
        </row>
        <row r="1320">
          <cell r="A1320">
            <v>10899</v>
          </cell>
          <cell r="B1320" t="str">
            <v>SITI INAYAHWATI</v>
          </cell>
          <cell r="C1320" t="str">
            <v>SAMI</v>
          </cell>
          <cell r="D1320" t="str">
            <v>OPT-284</v>
          </cell>
          <cell r="E1320">
            <v>40574</v>
          </cell>
          <cell r="F1320" t="str">
            <v>-</v>
          </cell>
          <cell r="G1320" t="str">
            <v>-</v>
          </cell>
          <cell r="H1320" t="str">
            <v>PRD</v>
          </cell>
          <cell r="I1320" t="str">
            <v>PRD</v>
          </cell>
          <cell r="J1320" t="str">
            <v>DYNA</v>
          </cell>
          <cell r="K1320" t="str">
            <v>DYNA</v>
          </cell>
          <cell r="L1320" t="str">
            <v>CV 16</v>
          </cell>
          <cell r="M1320" t="str">
            <v>S/T 3.1</v>
          </cell>
          <cell r="N1320" t="str">
            <v>ASSEMBLY</v>
          </cell>
          <cell r="O1320" t="str">
            <v>A</v>
          </cell>
        </row>
        <row r="1321">
          <cell r="A1321">
            <v>12312</v>
          </cell>
          <cell r="B1321" t="str">
            <v>RAHAYU WILUJENG SETYO RINI</v>
          </cell>
          <cell r="C1321" t="str">
            <v>SAMI</v>
          </cell>
          <cell r="D1321" t="str">
            <v>OPT-316</v>
          </cell>
          <cell r="E1321">
            <v>40805</v>
          </cell>
          <cell r="F1321" t="str">
            <v>-</v>
          </cell>
          <cell r="G1321" t="str">
            <v>-</v>
          </cell>
          <cell r="H1321" t="str">
            <v>PRD</v>
          </cell>
          <cell r="I1321" t="str">
            <v>PRD</v>
          </cell>
          <cell r="J1321" t="str">
            <v>DYNA</v>
          </cell>
          <cell r="K1321" t="str">
            <v>DYNA</v>
          </cell>
          <cell r="L1321" t="str">
            <v>CV 16</v>
          </cell>
          <cell r="M1321" t="str">
            <v>S/A 7</v>
          </cell>
          <cell r="N1321" t="str">
            <v>SUB ASSY</v>
          </cell>
          <cell r="O1321" t="str">
            <v>A</v>
          </cell>
        </row>
        <row r="1322">
          <cell r="A1322">
            <v>12611</v>
          </cell>
          <cell r="B1322" t="str">
            <v>FAJAR SUSILOWATI</v>
          </cell>
          <cell r="C1322" t="str">
            <v>SAMI</v>
          </cell>
          <cell r="D1322" t="str">
            <v>OPT-319</v>
          </cell>
          <cell r="E1322">
            <v>40816</v>
          </cell>
          <cell r="F1322" t="str">
            <v>-</v>
          </cell>
          <cell r="G1322" t="str">
            <v>-</v>
          </cell>
          <cell r="H1322" t="str">
            <v>PRD</v>
          </cell>
          <cell r="I1322" t="str">
            <v>PRD</v>
          </cell>
          <cell r="J1322" t="str">
            <v>DYNA</v>
          </cell>
          <cell r="K1322" t="str">
            <v>DYNA</v>
          </cell>
          <cell r="L1322" t="str">
            <v>CV 16</v>
          </cell>
          <cell r="M1322" t="str">
            <v>T/P 5</v>
          </cell>
          <cell r="N1322" t="str">
            <v>ASSEMBLY</v>
          </cell>
          <cell r="O1322" t="str">
            <v>A</v>
          </cell>
        </row>
        <row r="1323">
          <cell r="A1323">
            <v>12728</v>
          </cell>
          <cell r="B1323" t="str">
            <v>ROMYAN SILNUR</v>
          </cell>
          <cell r="C1323" t="str">
            <v>SAMI</v>
          </cell>
          <cell r="D1323" t="str">
            <v>OPT-320</v>
          </cell>
          <cell r="E1323">
            <v>40819</v>
          </cell>
          <cell r="F1323" t="str">
            <v>-</v>
          </cell>
          <cell r="G1323" t="str">
            <v>-</v>
          </cell>
          <cell r="H1323" t="str">
            <v>PRD</v>
          </cell>
          <cell r="I1323" t="str">
            <v>PRD</v>
          </cell>
          <cell r="J1323" t="str">
            <v>DYNA</v>
          </cell>
          <cell r="K1323" t="str">
            <v>DYNA</v>
          </cell>
          <cell r="L1323" t="str">
            <v>CV 16</v>
          </cell>
          <cell r="M1323" t="str">
            <v>VISUAL</v>
          </cell>
          <cell r="N1323" t="str">
            <v>VISUAL INSPECTION</v>
          </cell>
          <cell r="O1323" t="str">
            <v>A</v>
          </cell>
        </row>
        <row r="1324">
          <cell r="A1324">
            <v>15672</v>
          </cell>
          <cell r="B1324" t="str">
            <v>WAHYU NURIYANTO</v>
          </cell>
          <cell r="C1324" t="str">
            <v>SAMI</v>
          </cell>
          <cell r="D1324" t="str">
            <v>OPT-394</v>
          </cell>
          <cell r="E1324">
            <v>41466</v>
          </cell>
          <cell r="F1324" t="str">
            <v>-</v>
          </cell>
          <cell r="G1324" t="str">
            <v>-</v>
          </cell>
          <cell r="H1324" t="str">
            <v>PRD</v>
          </cell>
          <cell r="I1324" t="str">
            <v>PRD</v>
          </cell>
          <cell r="J1324" t="str">
            <v>DYNA</v>
          </cell>
          <cell r="K1324" t="str">
            <v>DYNA</v>
          </cell>
          <cell r="L1324" t="str">
            <v>CV 16</v>
          </cell>
          <cell r="M1324" t="str">
            <v>LQC</v>
          </cell>
          <cell r="N1324" t="str">
            <v>RELIEF</v>
          </cell>
          <cell r="O1324" t="str">
            <v>A</v>
          </cell>
        </row>
        <row r="1325">
          <cell r="A1325">
            <v>17432</v>
          </cell>
          <cell r="B1325" t="str">
            <v>DINA ANGGUN FUJI RAHAYU</v>
          </cell>
          <cell r="C1325" t="str">
            <v>SAMI</v>
          </cell>
          <cell r="D1325" t="str">
            <v>OPT-443</v>
          </cell>
          <cell r="E1325">
            <v>41778</v>
          </cell>
          <cell r="F1325" t="str">
            <v>-</v>
          </cell>
          <cell r="G1325" t="str">
            <v>-</v>
          </cell>
          <cell r="H1325" t="str">
            <v>PRD</v>
          </cell>
          <cell r="I1325" t="str">
            <v>PRD</v>
          </cell>
          <cell r="J1325" t="str">
            <v>DYNA</v>
          </cell>
          <cell r="K1325" t="str">
            <v>DYNA</v>
          </cell>
          <cell r="L1325" t="str">
            <v>CV 16</v>
          </cell>
          <cell r="M1325" t="str">
            <v>S/A 1.1</v>
          </cell>
          <cell r="N1325" t="str">
            <v>SUB ASSY</v>
          </cell>
          <cell r="O1325" t="str">
            <v>A</v>
          </cell>
        </row>
        <row r="1326">
          <cell r="A1326">
            <v>18974</v>
          </cell>
          <cell r="B1326" t="str">
            <v>NOVIA EKA PUTRI</v>
          </cell>
          <cell r="C1326" t="str">
            <v>SAMI</v>
          </cell>
          <cell r="D1326" t="str">
            <v>OPT-470</v>
          </cell>
          <cell r="E1326">
            <v>42214</v>
          </cell>
          <cell r="F1326" t="str">
            <v>-</v>
          </cell>
          <cell r="G1326" t="str">
            <v>-</v>
          </cell>
          <cell r="H1326" t="str">
            <v>PRD</v>
          </cell>
          <cell r="I1326" t="str">
            <v>PRD</v>
          </cell>
          <cell r="J1326" t="str">
            <v>DYNA</v>
          </cell>
          <cell r="K1326" t="str">
            <v>DYNA</v>
          </cell>
          <cell r="L1326" t="str">
            <v>CV 16</v>
          </cell>
          <cell r="M1326" t="str">
            <v>T/P 1</v>
          </cell>
          <cell r="N1326" t="str">
            <v>ASSEMBLY</v>
          </cell>
          <cell r="O1326" t="str">
            <v>A</v>
          </cell>
        </row>
        <row r="1327">
          <cell r="A1327">
            <v>20580</v>
          </cell>
          <cell r="B1327" t="str">
            <v>ERFIN EMMA ASYARI</v>
          </cell>
          <cell r="C1327" t="str">
            <v>SAMI</v>
          </cell>
          <cell r="D1327" t="str">
            <v>OPT-505</v>
          </cell>
          <cell r="E1327">
            <v>42639</v>
          </cell>
          <cell r="F1327">
            <v>43132</v>
          </cell>
          <cell r="G1327">
            <v>43496</v>
          </cell>
          <cell r="H1327" t="str">
            <v>PRD</v>
          </cell>
          <cell r="I1327" t="str">
            <v>PRD</v>
          </cell>
          <cell r="J1327" t="str">
            <v>DYNA</v>
          </cell>
          <cell r="K1327" t="str">
            <v>DYNA</v>
          </cell>
          <cell r="L1327" t="str">
            <v>CV 16</v>
          </cell>
          <cell r="M1327" t="str">
            <v>T/P 3</v>
          </cell>
          <cell r="N1327" t="str">
            <v>ASSEMBLY</v>
          </cell>
          <cell r="O1327" t="str">
            <v>A</v>
          </cell>
        </row>
        <row r="1328">
          <cell r="A1328">
            <v>20599</v>
          </cell>
          <cell r="B1328" t="str">
            <v xml:space="preserve">IKE PRATIWI </v>
          </cell>
          <cell r="C1328" t="str">
            <v>SAMI</v>
          </cell>
          <cell r="D1328" t="str">
            <v>OPT-505</v>
          </cell>
          <cell r="E1328">
            <v>42639</v>
          </cell>
          <cell r="F1328">
            <v>43132</v>
          </cell>
          <cell r="G1328">
            <v>43496</v>
          </cell>
          <cell r="H1328" t="str">
            <v>PRD</v>
          </cell>
          <cell r="I1328" t="str">
            <v>PRD</v>
          </cell>
          <cell r="J1328" t="str">
            <v>DYNA</v>
          </cell>
          <cell r="K1328" t="str">
            <v>DYNA</v>
          </cell>
          <cell r="L1328" t="str">
            <v>CV 16</v>
          </cell>
          <cell r="M1328" t="str">
            <v>S/A DOCKING</v>
          </cell>
          <cell r="N1328" t="str">
            <v>SUB ASSY</v>
          </cell>
          <cell r="O1328" t="str">
            <v>A</v>
          </cell>
        </row>
        <row r="1329">
          <cell r="A1329">
            <v>20812</v>
          </cell>
          <cell r="B1329" t="str">
            <v>PRAMESTI CAHYANI</v>
          </cell>
          <cell r="C1329" t="str">
            <v>SAMI</v>
          </cell>
          <cell r="D1329" t="str">
            <v>OPT-508</v>
          </cell>
          <cell r="E1329">
            <v>42649</v>
          </cell>
          <cell r="F1329">
            <v>43132</v>
          </cell>
          <cell r="G1329">
            <v>43496</v>
          </cell>
          <cell r="H1329" t="str">
            <v>PRD</v>
          </cell>
          <cell r="I1329" t="str">
            <v>PRD</v>
          </cell>
          <cell r="J1329" t="str">
            <v>DYNA</v>
          </cell>
          <cell r="K1329" t="str">
            <v>DYNA</v>
          </cell>
          <cell r="L1329" t="str">
            <v>CV 16</v>
          </cell>
          <cell r="M1329" t="str">
            <v>S/A 1</v>
          </cell>
          <cell r="N1329" t="str">
            <v>SUB ASSY</v>
          </cell>
          <cell r="O1329" t="str">
            <v>A</v>
          </cell>
        </row>
        <row r="1330">
          <cell r="A1330">
            <v>20914</v>
          </cell>
          <cell r="B1330" t="str">
            <v>ARIF KURNIA ROCHMAN</v>
          </cell>
          <cell r="C1330" t="str">
            <v>SAMI</v>
          </cell>
          <cell r="D1330" t="str">
            <v>OPT-510</v>
          </cell>
          <cell r="E1330">
            <v>42660</v>
          </cell>
          <cell r="F1330">
            <v>43160</v>
          </cell>
          <cell r="G1330">
            <v>43524</v>
          </cell>
          <cell r="H1330" t="str">
            <v>PRD</v>
          </cell>
          <cell r="I1330" t="str">
            <v>PRD</v>
          </cell>
          <cell r="J1330" t="str">
            <v>DYNA</v>
          </cell>
          <cell r="K1330" t="str">
            <v>DYNA</v>
          </cell>
          <cell r="L1330" t="str">
            <v>CV 16</v>
          </cell>
          <cell r="M1330" t="str">
            <v>T/P 7</v>
          </cell>
          <cell r="N1330" t="str">
            <v>ASSEMBLY</v>
          </cell>
          <cell r="O1330" t="str">
            <v>A</v>
          </cell>
        </row>
        <row r="1331">
          <cell r="A1331">
            <v>20984</v>
          </cell>
          <cell r="B1331" t="str">
            <v>MURAH PUJI MARIFATUN</v>
          </cell>
          <cell r="C1331" t="str">
            <v>SAMI</v>
          </cell>
          <cell r="D1331" t="str">
            <v>OPT-513</v>
          </cell>
          <cell r="E1331">
            <v>42674</v>
          </cell>
          <cell r="F1331">
            <v>43160</v>
          </cell>
          <cell r="G1331">
            <v>43524</v>
          </cell>
          <cell r="H1331" t="str">
            <v>PRD</v>
          </cell>
          <cell r="I1331" t="str">
            <v>PRD</v>
          </cell>
          <cell r="J1331" t="str">
            <v>DYNA</v>
          </cell>
          <cell r="K1331" t="str">
            <v>DYNA</v>
          </cell>
          <cell r="L1331" t="str">
            <v>CV 16</v>
          </cell>
          <cell r="M1331" t="str">
            <v>S/A 7</v>
          </cell>
          <cell r="N1331" t="str">
            <v>SUB ASSY</v>
          </cell>
          <cell r="O1331" t="str">
            <v>A</v>
          </cell>
        </row>
        <row r="1332">
          <cell r="A1332">
            <v>21008</v>
          </cell>
          <cell r="B1332" t="str">
            <v>KHARISMA ROSADA</v>
          </cell>
          <cell r="C1332" t="str">
            <v>SAMI</v>
          </cell>
          <cell r="D1332" t="str">
            <v>OPT-514</v>
          </cell>
          <cell r="E1332">
            <v>42682</v>
          </cell>
          <cell r="F1332">
            <v>43160</v>
          </cell>
          <cell r="G1332">
            <v>43524</v>
          </cell>
          <cell r="H1332" t="str">
            <v>PRD</v>
          </cell>
          <cell r="I1332" t="str">
            <v>PRD</v>
          </cell>
          <cell r="J1332" t="str">
            <v>DYNA</v>
          </cell>
          <cell r="K1332" t="str">
            <v>DYNA</v>
          </cell>
          <cell r="L1332" t="str">
            <v>CV 16</v>
          </cell>
          <cell r="M1332" t="str">
            <v>S/T 2</v>
          </cell>
          <cell r="N1332" t="str">
            <v>ASSEMBLY</v>
          </cell>
          <cell r="O1332" t="str">
            <v>A</v>
          </cell>
        </row>
        <row r="1333">
          <cell r="A1333">
            <v>21177</v>
          </cell>
          <cell r="B1333" t="str">
            <v>NUR ANISAH</v>
          </cell>
          <cell r="C1333" t="str">
            <v>SAMI</v>
          </cell>
          <cell r="D1333" t="str">
            <v>OPT-522</v>
          </cell>
          <cell r="E1333">
            <v>42871</v>
          </cell>
          <cell r="F1333">
            <v>43374</v>
          </cell>
          <cell r="G1333">
            <v>43738</v>
          </cell>
          <cell r="H1333" t="str">
            <v>PRD</v>
          </cell>
          <cell r="I1333" t="str">
            <v>PRD</v>
          </cell>
          <cell r="J1333" t="str">
            <v>DYNA</v>
          </cell>
          <cell r="K1333" t="str">
            <v>DYNA</v>
          </cell>
          <cell r="L1333" t="str">
            <v>CV 16</v>
          </cell>
          <cell r="M1333" t="str">
            <v>T/P 4</v>
          </cell>
          <cell r="N1333" t="str">
            <v>ASSEMBLY</v>
          </cell>
          <cell r="O1333" t="str">
            <v>A</v>
          </cell>
        </row>
        <row r="1334">
          <cell r="A1334">
            <v>21537</v>
          </cell>
          <cell r="B1334" t="str">
            <v>LIS FAIYAH</v>
          </cell>
          <cell r="C1334" t="str">
            <v>SAMI</v>
          </cell>
          <cell r="D1334" t="str">
            <v>OPT-535</v>
          </cell>
          <cell r="E1334">
            <v>43045</v>
          </cell>
          <cell r="F1334">
            <v>43435</v>
          </cell>
          <cell r="G1334">
            <v>43799</v>
          </cell>
          <cell r="H1334" t="str">
            <v>PRD</v>
          </cell>
          <cell r="I1334" t="str">
            <v>PRD</v>
          </cell>
          <cell r="J1334" t="str">
            <v>DYNA</v>
          </cell>
          <cell r="K1334" t="str">
            <v>DYNA</v>
          </cell>
          <cell r="L1334" t="str">
            <v>CV 16</v>
          </cell>
          <cell r="M1334" t="str">
            <v>T/P 3</v>
          </cell>
          <cell r="N1334" t="str">
            <v>ASSEMBLY</v>
          </cell>
          <cell r="O1334" t="str">
            <v>A</v>
          </cell>
        </row>
        <row r="1335">
          <cell r="A1335">
            <v>21876</v>
          </cell>
          <cell r="B1335" t="str">
            <v>ERNI ROSDIANAH</v>
          </cell>
          <cell r="C1335" t="str">
            <v>SAMI</v>
          </cell>
          <cell r="D1335" t="str">
            <v>OPT-542</v>
          </cell>
          <cell r="E1335">
            <v>43103</v>
          </cell>
          <cell r="F1335">
            <v>43134</v>
          </cell>
          <cell r="G1335">
            <v>43496</v>
          </cell>
          <cell r="H1335" t="str">
            <v>PRD</v>
          </cell>
          <cell r="I1335" t="str">
            <v>PRD</v>
          </cell>
          <cell r="J1335" t="str">
            <v>DYNA</v>
          </cell>
          <cell r="K1335" t="str">
            <v>DYNA</v>
          </cell>
          <cell r="L1335" t="str">
            <v>CV 16</v>
          </cell>
          <cell r="M1335" t="str">
            <v>CHECKER</v>
          </cell>
          <cell r="N1335" t="str">
            <v>ELECTRICAL INSPECTION</v>
          </cell>
          <cell r="O1335" t="str">
            <v>A</v>
          </cell>
        </row>
        <row r="1336">
          <cell r="A1336">
            <v>22082</v>
          </cell>
          <cell r="B1336" t="str">
            <v>NAILIS JULIANA</v>
          </cell>
          <cell r="C1336" t="str">
            <v>SAMI</v>
          </cell>
          <cell r="D1336" t="str">
            <v>OPT-548</v>
          </cell>
          <cell r="E1336">
            <v>43150</v>
          </cell>
          <cell r="F1336">
            <v>43178</v>
          </cell>
          <cell r="G1336">
            <v>43555</v>
          </cell>
          <cell r="H1336" t="str">
            <v>PRD</v>
          </cell>
          <cell r="I1336" t="str">
            <v>PRD</v>
          </cell>
          <cell r="J1336" t="str">
            <v>DYNA</v>
          </cell>
          <cell r="K1336" t="str">
            <v>DYNA</v>
          </cell>
          <cell r="L1336" t="str">
            <v>CV 16</v>
          </cell>
          <cell r="M1336" t="str">
            <v>S/T 1</v>
          </cell>
          <cell r="N1336" t="str">
            <v>ASSEMBLY</v>
          </cell>
          <cell r="O1336" t="str">
            <v>A</v>
          </cell>
        </row>
        <row r="1337">
          <cell r="A1337">
            <v>22177</v>
          </cell>
          <cell r="B1337" t="str">
            <v>DINI DWI SETYAFANI</v>
          </cell>
          <cell r="C1337" t="str">
            <v>SAMI</v>
          </cell>
          <cell r="D1337" t="str">
            <v>OPT-550</v>
          </cell>
          <cell r="E1337">
            <v>43158</v>
          </cell>
          <cell r="F1337">
            <v>43186</v>
          </cell>
          <cell r="G1337">
            <v>43555</v>
          </cell>
          <cell r="H1337" t="str">
            <v>PRD</v>
          </cell>
          <cell r="I1337" t="str">
            <v>PRD</v>
          </cell>
          <cell r="J1337" t="str">
            <v>DYNA</v>
          </cell>
          <cell r="K1337" t="str">
            <v>DYNA</v>
          </cell>
          <cell r="L1337" t="str">
            <v>CV 16</v>
          </cell>
          <cell r="M1337" t="str">
            <v>CIRCUIT SUPPLIER</v>
          </cell>
          <cell r="N1337" t="str">
            <v>CIRCUIT SUPPLY</v>
          </cell>
          <cell r="O1337" t="str">
            <v>A</v>
          </cell>
        </row>
        <row r="1338">
          <cell r="A1338">
            <v>22219</v>
          </cell>
          <cell r="B1338" t="str">
            <v>FITRIYAH</v>
          </cell>
          <cell r="C1338" t="str">
            <v>SAMI</v>
          </cell>
          <cell r="D1338" t="str">
            <v>OPT-551</v>
          </cell>
          <cell r="E1338">
            <v>43161</v>
          </cell>
          <cell r="F1338">
            <v>43192</v>
          </cell>
          <cell r="G1338">
            <v>43555</v>
          </cell>
          <cell r="H1338" t="str">
            <v>PRD</v>
          </cell>
          <cell r="I1338" t="str">
            <v>PRD</v>
          </cell>
          <cell r="J1338" t="str">
            <v>DYNA</v>
          </cell>
          <cell r="K1338" t="str">
            <v>DYNA</v>
          </cell>
          <cell r="L1338" t="str">
            <v>CV 16</v>
          </cell>
          <cell r="M1338" t="str">
            <v>S/A SP 1.1</v>
          </cell>
          <cell r="N1338" t="str">
            <v>SUB ASSY</v>
          </cell>
          <cell r="O1338" t="str">
            <v>A</v>
          </cell>
        </row>
        <row r="1339">
          <cell r="A1339">
            <v>22347</v>
          </cell>
          <cell r="B1339" t="str">
            <v>RIA FITRIYANI</v>
          </cell>
          <cell r="C1339" t="str">
            <v>SAMI</v>
          </cell>
          <cell r="D1339" t="str">
            <v>OPT-556</v>
          </cell>
          <cell r="E1339">
            <v>43195</v>
          </cell>
          <cell r="F1339">
            <v>43225</v>
          </cell>
          <cell r="G1339">
            <v>43585</v>
          </cell>
          <cell r="H1339" t="str">
            <v>PRD</v>
          </cell>
          <cell r="I1339" t="str">
            <v>PRD</v>
          </cell>
          <cell r="J1339" t="str">
            <v>DYNA</v>
          </cell>
          <cell r="K1339" t="str">
            <v>DYNA</v>
          </cell>
          <cell r="L1339" t="str">
            <v>CV 16</v>
          </cell>
          <cell r="M1339" t="str">
            <v>S/T 3.2</v>
          </cell>
          <cell r="N1339" t="str">
            <v>ASSEMBLY</v>
          </cell>
          <cell r="O1339" t="str">
            <v>A</v>
          </cell>
        </row>
        <row r="1340">
          <cell r="A1340">
            <v>22384</v>
          </cell>
          <cell r="B1340" t="str">
            <v>DWI MAYA YUNIA FRANSISKA</v>
          </cell>
          <cell r="C1340" t="str">
            <v>SAMI</v>
          </cell>
          <cell r="D1340" t="str">
            <v>OPT-558</v>
          </cell>
          <cell r="E1340">
            <v>43213</v>
          </cell>
          <cell r="F1340">
            <v>43243</v>
          </cell>
          <cell r="G1340">
            <v>43616</v>
          </cell>
          <cell r="H1340" t="str">
            <v>PRD</v>
          </cell>
          <cell r="I1340" t="str">
            <v>PRD</v>
          </cell>
          <cell r="J1340" t="str">
            <v>DYNA</v>
          </cell>
          <cell r="K1340" t="str">
            <v>DYNA</v>
          </cell>
          <cell r="L1340" t="str">
            <v>CV 16</v>
          </cell>
          <cell r="M1340" t="str">
            <v>CHECKER</v>
          </cell>
          <cell r="N1340" t="str">
            <v>ELECTRICAL INSPECTION</v>
          </cell>
          <cell r="O1340" t="str">
            <v>A</v>
          </cell>
        </row>
        <row r="1341">
          <cell r="A1341">
            <v>22409</v>
          </cell>
          <cell r="B1341" t="str">
            <v>PRISTIANI</v>
          </cell>
          <cell r="C1341" t="str">
            <v>SAMI</v>
          </cell>
          <cell r="D1341" t="str">
            <v>OPT-558</v>
          </cell>
          <cell r="E1341">
            <v>43213</v>
          </cell>
          <cell r="F1341">
            <v>43243</v>
          </cell>
          <cell r="G1341">
            <v>43616</v>
          </cell>
          <cell r="H1341" t="str">
            <v>PRD</v>
          </cell>
          <cell r="I1341" t="str">
            <v>PRD</v>
          </cell>
          <cell r="J1341" t="str">
            <v>DYNA</v>
          </cell>
          <cell r="K1341" t="str">
            <v>DYNA</v>
          </cell>
          <cell r="L1341" t="str">
            <v>CV 16</v>
          </cell>
          <cell r="M1341" t="str">
            <v>S/A 2.1</v>
          </cell>
          <cell r="N1341" t="str">
            <v>SUB ASSY</v>
          </cell>
          <cell r="O1341" t="str">
            <v>A</v>
          </cell>
        </row>
        <row r="1342">
          <cell r="A1342">
            <v>22501</v>
          </cell>
          <cell r="B1342" t="str">
            <v>SITI NUR ANISAH</v>
          </cell>
          <cell r="C1342" t="str">
            <v>SAMI</v>
          </cell>
          <cell r="D1342" t="str">
            <v>OPT-560</v>
          </cell>
          <cell r="E1342">
            <v>43224</v>
          </cell>
          <cell r="F1342">
            <v>43255</v>
          </cell>
          <cell r="G1342">
            <v>43616</v>
          </cell>
          <cell r="H1342" t="str">
            <v>PRD</v>
          </cell>
          <cell r="I1342" t="str">
            <v>PRD</v>
          </cell>
          <cell r="J1342" t="str">
            <v>DYNA</v>
          </cell>
          <cell r="K1342" t="str">
            <v>DYNA</v>
          </cell>
          <cell r="L1342" t="str">
            <v>CV 16</v>
          </cell>
          <cell r="M1342" t="str">
            <v>CIRCUIT SUPPLIER</v>
          </cell>
          <cell r="N1342" t="str">
            <v>CIRCUIT SUPPLY</v>
          </cell>
          <cell r="O1342" t="str">
            <v>A</v>
          </cell>
        </row>
        <row r="1343">
          <cell r="A1343">
            <v>22527</v>
          </cell>
          <cell r="B1343" t="str">
            <v>DYAH AYU PRATAMASARI</v>
          </cell>
          <cell r="C1343" t="str">
            <v>SAMI</v>
          </cell>
          <cell r="D1343" t="str">
            <v>OPT-560</v>
          </cell>
          <cell r="E1343">
            <v>43224</v>
          </cell>
          <cell r="F1343">
            <v>43255</v>
          </cell>
          <cell r="G1343">
            <v>43616</v>
          </cell>
          <cell r="H1343" t="str">
            <v>PRD</v>
          </cell>
          <cell r="I1343" t="str">
            <v>PRD</v>
          </cell>
          <cell r="J1343" t="str">
            <v>DYNA</v>
          </cell>
          <cell r="K1343" t="str">
            <v>DYNA</v>
          </cell>
          <cell r="L1343" t="str">
            <v>CV 16</v>
          </cell>
          <cell r="M1343" t="str">
            <v>S/A 6</v>
          </cell>
          <cell r="N1343" t="str">
            <v>SUB ASSY</v>
          </cell>
          <cell r="O1343" t="str">
            <v>A</v>
          </cell>
        </row>
        <row r="1344">
          <cell r="A1344">
            <v>22551</v>
          </cell>
          <cell r="B1344" t="str">
            <v>NURHAYAH HABIB SALSABILA</v>
          </cell>
          <cell r="C1344" t="str">
            <v>SAMI</v>
          </cell>
          <cell r="D1344" t="str">
            <v>OPT-560</v>
          </cell>
          <cell r="E1344">
            <v>43224</v>
          </cell>
          <cell r="F1344">
            <v>43255</v>
          </cell>
          <cell r="G1344">
            <v>43616</v>
          </cell>
          <cell r="H1344" t="str">
            <v>PRD</v>
          </cell>
          <cell r="I1344" t="str">
            <v>PRD</v>
          </cell>
          <cell r="J1344" t="str">
            <v>DYNA</v>
          </cell>
          <cell r="K1344" t="str">
            <v>DYNA</v>
          </cell>
          <cell r="L1344" t="str">
            <v>CV 16</v>
          </cell>
          <cell r="M1344" t="str">
            <v>S/T 1.2</v>
          </cell>
          <cell r="N1344" t="str">
            <v>ASSEMBLY</v>
          </cell>
          <cell r="O1344" t="str">
            <v>A</v>
          </cell>
        </row>
        <row r="1345">
          <cell r="A1345">
            <v>22659</v>
          </cell>
          <cell r="B1345" t="str">
            <v>MEGA LESTARI</v>
          </cell>
          <cell r="C1345" t="str">
            <v>SAMI</v>
          </cell>
          <cell r="D1345" t="str">
            <v>OPT-562</v>
          </cell>
          <cell r="E1345">
            <v>43241</v>
          </cell>
          <cell r="F1345">
            <v>43272</v>
          </cell>
          <cell r="G1345">
            <v>43646</v>
          </cell>
          <cell r="H1345" t="str">
            <v>PRD</v>
          </cell>
          <cell r="I1345" t="str">
            <v>PRD</v>
          </cell>
          <cell r="J1345" t="str">
            <v>DYNA</v>
          </cell>
          <cell r="K1345" t="str">
            <v>DYNA</v>
          </cell>
          <cell r="L1345" t="str">
            <v>CV 16</v>
          </cell>
          <cell r="M1345" t="str">
            <v>S/T 4</v>
          </cell>
          <cell r="N1345" t="str">
            <v>ASSEMBLY</v>
          </cell>
          <cell r="O1345" t="str">
            <v>A</v>
          </cell>
        </row>
        <row r="1346">
          <cell r="A1346">
            <v>22674</v>
          </cell>
          <cell r="B1346" t="str">
            <v>PUTRI AYU ALIFAH</v>
          </cell>
          <cell r="C1346" t="str">
            <v>SAMI</v>
          </cell>
          <cell r="D1346" t="str">
            <v>OPT-562</v>
          </cell>
          <cell r="E1346">
            <v>43241</v>
          </cell>
          <cell r="F1346">
            <v>43272</v>
          </cell>
          <cell r="G1346">
            <v>43646</v>
          </cell>
          <cell r="H1346" t="str">
            <v>PRD</v>
          </cell>
          <cell r="I1346" t="str">
            <v>PRD</v>
          </cell>
          <cell r="J1346" t="str">
            <v>DYNA</v>
          </cell>
          <cell r="K1346" t="str">
            <v>DYNA</v>
          </cell>
          <cell r="L1346" t="str">
            <v>CV 16</v>
          </cell>
          <cell r="M1346" t="str">
            <v>MATERIAL SUPPLY</v>
          </cell>
          <cell r="N1346" t="str">
            <v>MATERIAL SUPPLY</v>
          </cell>
          <cell r="O1346" t="str">
            <v>A</v>
          </cell>
        </row>
        <row r="1347">
          <cell r="A1347">
            <v>22707</v>
          </cell>
          <cell r="B1347" t="str">
            <v>MEGA APRILIA SAPUTRI</v>
          </cell>
          <cell r="C1347" t="str">
            <v>SAMI</v>
          </cell>
          <cell r="D1347" t="str">
            <v>OPT-563</v>
          </cell>
          <cell r="E1347">
            <v>43244</v>
          </cell>
          <cell r="F1347">
            <v>43275</v>
          </cell>
          <cell r="G1347">
            <v>43646</v>
          </cell>
          <cell r="H1347" t="str">
            <v>PRD</v>
          </cell>
          <cell r="I1347" t="str">
            <v>PRD</v>
          </cell>
          <cell r="J1347" t="str">
            <v>DYNA</v>
          </cell>
          <cell r="K1347" t="str">
            <v>DYNA</v>
          </cell>
          <cell r="L1347" t="str">
            <v>CV 16</v>
          </cell>
          <cell r="M1347" t="str">
            <v>S/A SP 1.2</v>
          </cell>
          <cell r="N1347" t="str">
            <v>SUB ASSY</v>
          </cell>
          <cell r="O1347" t="str">
            <v>A</v>
          </cell>
        </row>
        <row r="1348">
          <cell r="A1348">
            <v>22717</v>
          </cell>
          <cell r="B1348" t="str">
            <v>SUCIATI</v>
          </cell>
          <cell r="C1348" t="str">
            <v>SAMI</v>
          </cell>
          <cell r="D1348" t="str">
            <v>OPT-563</v>
          </cell>
          <cell r="E1348">
            <v>43244</v>
          </cell>
          <cell r="F1348">
            <v>43275</v>
          </cell>
          <cell r="G1348">
            <v>43646</v>
          </cell>
          <cell r="H1348" t="str">
            <v>PRD</v>
          </cell>
          <cell r="I1348" t="str">
            <v>PRD</v>
          </cell>
          <cell r="J1348" t="str">
            <v>DYNA</v>
          </cell>
          <cell r="K1348" t="str">
            <v>DYNA</v>
          </cell>
          <cell r="L1348" t="str">
            <v>CV 16</v>
          </cell>
          <cell r="M1348" t="str">
            <v>T/P 4</v>
          </cell>
          <cell r="N1348" t="str">
            <v>ASSEMBLY</v>
          </cell>
          <cell r="O1348" t="str">
            <v>A</v>
          </cell>
        </row>
        <row r="1349">
          <cell r="A1349">
            <v>22753</v>
          </cell>
          <cell r="B1349" t="str">
            <v>NOVA SETYANINGSIH</v>
          </cell>
          <cell r="C1349" t="str">
            <v>SAMI</v>
          </cell>
          <cell r="D1349" t="str">
            <v>OPT-564</v>
          </cell>
          <cell r="E1349">
            <v>43255</v>
          </cell>
          <cell r="F1349">
            <v>43285</v>
          </cell>
          <cell r="G1349">
            <v>43646</v>
          </cell>
          <cell r="H1349" t="str">
            <v>PRD</v>
          </cell>
          <cell r="I1349" t="str">
            <v>PRD</v>
          </cell>
          <cell r="J1349" t="str">
            <v>DYNA</v>
          </cell>
          <cell r="K1349" t="str">
            <v>DYNA</v>
          </cell>
          <cell r="L1349" t="str">
            <v>CV 16</v>
          </cell>
          <cell r="M1349" t="str">
            <v>CHECKER</v>
          </cell>
          <cell r="N1349" t="str">
            <v>ELECTRICAL INSPECTION</v>
          </cell>
          <cell r="O1349" t="str">
            <v>A</v>
          </cell>
        </row>
        <row r="1350">
          <cell r="A1350">
            <v>22860</v>
          </cell>
          <cell r="B1350" t="str">
            <v>NOVITA INTAN SARI</v>
          </cell>
          <cell r="C1350" t="str">
            <v>SAMI</v>
          </cell>
          <cell r="D1350" t="str">
            <v>OPT-567</v>
          </cell>
          <cell r="E1350">
            <v>43333</v>
          </cell>
          <cell r="F1350">
            <v>43364</v>
          </cell>
          <cell r="G1350">
            <v>43738</v>
          </cell>
          <cell r="H1350" t="str">
            <v>PRD</v>
          </cell>
          <cell r="I1350" t="str">
            <v>PRD</v>
          </cell>
          <cell r="J1350" t="str">
            <v>DYNA</v>
          </cell>
          <cell r="K1350" t="str">
            <v>DYNA</v>
          </cell>
          <cell r="L1350" t="str">
            <v>CV 16</v>
          </cell>
          <cell r="M1350" t="str">
            <v>CIRCUIT SUPPLIER</v>
          </cell>
          <cell r="N1350" t="str">
            <v>CIRCUIT SUPPLY</v>
          </cell>
          <cell r="O1350" t="str">
            <v>A</v>
          </cell>
        </row>
        <row r="1351">
          <cell r="A1351">
            <v>22988</v>
          </cell>
          <cell r="B1351" t="str">
            <v>WAHYU ARDIYA RATNA  CANDRA DEWI</v>
          </cell>
          <cell r="C1351" t="str">
            <v>SAMI</v>
          </cell>
          <cell r="D1351" t="str">
            <v>OPT-568</v>
          </cell>
          <cell r="E1351">
            <v>43343</v>
          </cell>
          <cell r="F1351">
            <v>43374</v>
          </cell>
          <cell r="G1351">
            <v>43738</v>
          </cell>
          <cell r="H1351" t="str">
            <v>PRD</v>
          </cell>
          <cell r="I1351" t="str">
            <v>PRD</v>
          </cell>
          <cell r="J1351" t="str">
            <v>DYNA</v>
          </cell>
          <cell r="K1351" t="str">
            <v>DYNA</v>
          </cell>
          <cell r="L1351" t="str">
            <v>CV 16</v>
          </cell>
          <cell r="M1351" t="str">
            <v>S/T 2.1</v>
          </cell>
          <cell r="N1351" t="str">
            <v>ASSEMBLY</v>
          </cell>
          <cell r="O1351" t="str">
            <v>A</v>
          </cell>
        </row>
        <row r="1352">
          <cell r="A1352">
            <v>22996</v>
          </cell>
          <cell r="B1352" t="str">
            <v>ANIS FEBRIANTI</v>
          </cell>
          <cell r="C1352" t="str">
            <v>SAMI</v>
          </cell>
          <cell r="D1352" t="str">
            <v>OPT-569</v>
          </cell>
          <cell r="E1352">
            <v>43361</v>
          </cell>
          <cell r="F1352">
            <v>43391</v>
          </cell>
          <cell r="G1352">
            <v>43769</v>
          </cell>
          <cell r="H1352" t="str">
            <v>PRD</v>
          </cell>
          <cell r="I1352" t="str">
            <v>PRD</v>
          </cell>
          <cell r="J1352" t="str">
            <v>DYNA</v>
          </cell>
          <cell r="K1352" t="str">
            <v>DYNA</v>
          </cell>
          <cell r="L1352" t="str">
            <v>CV 16</v>
          </cell>
          <cell r="M1352" t="str">
            <v>CHECKER</v>
          </cell>
          <cell r="N1352" t="str">
            <v>ELECTRICAL INSPECTION</v>
          </cell>
          <cell r="O1352" t="str">
            <v>A</v>
          </cell>
        </row>
        <row r="1353">
          <cell r="A1353">
            <v>23037</v>
          </cell>
          <cell r="B1353" t="str">
            <v>LAILATUL MAGHFIROH</v>
          </cell>
          <cell r="C1353" t="str">
            <v>SAMI</v>
          </cell>
          <cell r="D1353" t="str">
            <v>OPT-569</v>
          </cell>
          <cell r="E1353">
            <v>43361</v>
          </cell>
          <cell r="F1353">
            <v>43391</v>
          </cell>
          <cell r="G1353">
            <v>43769</v>
          </cell>
          <cell r="H1353" t="str">
            <v>PRD</v>
          </cell>
          <cell r="I1353" t="str">
            <v>PRD</v>
          </cell>
          <cell r="J1353" t="str">
            <v>DYNA</v>
          </cell>
          <cell r="K1353" t="str">
            <v>DYNA</v>
          </cell>
          <cell r="L1353" t="str">
            <v>CV 16</v>
          </cell>
          <cell r="M1353" t="str">
            <v>S/T 2.2</v>
          </cell>
          <cell r="N1353" t="str">
            <v>ASSEMBLY</v>
          </cell>
          <cell r="O1353" t="str">
            <v>A</v>
          </cell>
        </row>
        <row r="1354">
          <cell r="A1354">
            <v>23130</v>
          </cell>
          <cell r="B1354" t="str">
            <v>LENI NOVITASARI</v>
          </cell>
          <cell r="C1354" t="str">
            <v>SAMI</v>
          </cell>
          <cell r="D1354" t="str">
            <v>OPT-570</v>
          </cell>
          <cell r="E1354">
            <v>43369</v>
          </cell>
          <cell r="F1354">
            <v>43399</v>
          </cell>
          <cell r="G1354">
            <v>43769</v>
          </cell>
          <cell r="H1354" t="str">
            <v>PRD</v>
          </cell>
          <cell r="I1354" t="str">
            <v>PRD</v>
          </cell>
          <cell r="J1354" t="str">
            <v>DYNA</v>
          </cell>
          <cell r="K1354" t="str">
            <v>DYNA</v>
          </cell>
          <cell r="L1354" t="str">
            <v>CV 16</v>
          </cell>
          <cell r="M1354" t="str">
            <v>S/A 6.2</v>
          </cell>
          <cell r="N1354" t="str">
            <v>SUB ASSY</v>
          </cell>
          <cell r="O1354" t="str">
            <v>A</v>
          </cell>
        </row>
        <row r="1355">
          <cell r="A1355">
            <v>23197</v>
          </cell>
          <cell r="B1355" t="str">
            <v>ARIFIANA MAULINDA</v>
          </cell>
          <cell r="C1355" t="str">
            <v>SAMI</v>
          </cell>
          <cell r="D1355" t="str">
            <v>OPT-573</v>
          </cell>
          <cell r="E1355">
            <v>43421</v>
          </cell>
          <cell r="F1355">
            <v>43451</v>
          </cell>
          <cell r="G1355">
            <v>43830</v>
          </cell>
          <cell r="H1355" t="str">
            <v>PRD</v>
          </cell>
          <cell r="I1355" t="str">
            <v>PRD</v>
          </cell>
          <cell r="J1355" t="str">
            <v>DYNA</v>
          </cell>
          <cell r="K1355" t="str">
            <v>DYNA</v>
          </cell>
          <cell r="L1355" t="str">
            <v>CV 16</v>
          </cell>
          <cell r="M1355" t="str">
            <v>S/A SP 2</v>
          </cell>
          <cell r="N1355" t="str">
            <v>SUB ASSY</v>
          </cell>
          <cell r="O1355" t="str">
            <v>A</v>
          </cell>
        </row>
        <row r="1356">
          <cell r="A1356">
            <v>23284</v>
          </cell>
          <cell r="B1356" t="str">
            <v>YANUAR ARDHIANTO</v>
          </cell>
          <cell r="C1356" t="str">
            <v>SAMI</v>
          </cell>
          <cell r="D1356" t="str">
            <v>OPT-573</v>
          </cell>
          <cell r="E1356">
            <v>43421</v>
          </cell>
          <cell r="F1356">
            <v>43451</v>
          </cell>
          <cell r="G1356">
            <v>43830</v>
          </cell>
          <cell r="H1356" t="str">
            <v>PRD</v>
          </cell>
          <cell r="I1356" t="str">
            <v>PRD</v>
          </cell>
          <cell r="J1356" t="str">
            <v>DYNA</v>
          </cell>
          <cell r="K1356" t="str">
            <v>DYNA</v>
          </cell>
          <cell r="L1356" t="str">
            <v>CV 16</v>
          </cell>
          <cell r="M1356" t="str">
            <v>T/P 6</v>
          </cell>
          <cell r="N1356" t="str">
            <v>ASSEMBLY</v>
          </cell>
          <cell r="O1356" t="str">
            <v>A</v>
          </cell>
        </row>
        <row r="1357">
          <cell r="A1357">
            <v>23365</v>
          </cell>
          <cell r="B1357" t="str">
            <v>SITI NURMAWATI</v>
          </cell>
          <cell r="C1357" t="str">
            <v>SAMI</v>
          </cell>
          <cell r="D1357" t="str">
            <v>OPT-574</v>
          </cell>
          <cell r="E1357">
            <v>43427</v>
          </cell>
          <cell r="F1357">
            <v>43457</v>
          </cell>
          <cell r="G1357">
            <v>43830</v>
          </cell>
          <cell r="H1357" t="str">
            <v>PRD</v>
          </cell>
          <cell r="I1357" t="str">
            <v>PRD</v>
          </cell>
          <cell r="J1357" t="str">
            <v>DYNA</v>
          </cell>
          <cell r="K1357" t="str">
            <v>DYNA</v>
          </cell>
          <cell r="L1357" t="str">
            <v>CV 16</v>
          </cell>
          <cell r="M1357" t="str">
            <v>OJT S/A 1</v>
          </cell>
          <cell r="N1357" t="str">
            <v>INTERNAL TRIAL</v>
          </cell>
          <cell r="O1357" t="str">
            <v>A</v>
          </cell>
        </row>
        <row r="1358">
          <cell r="A1358">
            <v>23484</v>
          </cell>
          <cell r="B1358" t="str">
            <v>WAHYUNINGATI AL JAMILAH</v>
          </cell>
          <cell r="C1358" t="str">
            <v>SAMI</v>
          </cell>
          <cell r="D1358" t="str">
            <v>OPT-575</v>
          </cell>
          <cell r="E1358">
            <v>43434</v>
          </cell>
          <cell r="F1358">
            <v>43464</v>
          </cell>
          <cell r="G1358">
            <v>43830</v>
          </cell>
          <cell r="H1358" t="str">
            <v>PRD</v>
          </cell>
          <cell r="I1358" t="str">
            <v>PRD</v>
          </cell>
          <cell r="J1358" t="str">
            <v>DYNA</v>
          </cell>
          <cell r="K1358" t="str">
            <v>DYNA</v>
          </cell>
          <cell r="L1358" t="str">
            <v>CV 16</v>
          </cell>
          <cell r="M1358" t="str">
            <v>OJT T/P 3.2</v>
          </cell>
          <cell r="N1358" t="str">
            <v>INTERNAL TRIAL</v>
          </cell>
          <cell r="O1358" t="str">
            <v>A</v>
          </cell>
        </row>
        <row r="1359">
          <cell r="A1359">
            <v>23508</v>
          </cell>
          <cell r="B1359" t="str">
            <v>KAROLINA RERE</v>
          </cell>
          <cell r="C1359" t="str">
            <v>SAMI</v>
          </cell>
          <cell r="D1359" t="str">
            <v>OPT-576</v>
          </cell>
          <cell r="E1359">
            <v>43441</v>
          </cell>
          <cell r="F1359">
            <v>43472</v>
          </cell>
          <cell r="G1359">
            <v>43830</v>
          </cell>
          <cell r="H1359" t="str">
            <v>PRD</v>
          </cell>
          <cell r="I1359" t="str">
            <v>PRD</v>
          </cell>
          <cell r="J1359" t="str">
            <v>DYNA</v>
          </cell>
          <cell r="K1359" t="str">
            <v>DYNA</v>
          </cell>
          <cell r="L1359" t="str">
            <v>CV 16</v>
          </cell>
          <cell r="M1359" t="str">
            <v>OJT MATERIAL SUPPLY</v>
          </cell>
          <cell r="N1359" t="str">
            <v>INTERNAL TRIAL</v>
          </cell>
          <cell r="O1359" t="str">
            <v>A</v>
          </cell>
        </row>
        <row r="1360">
          <cell r="A1360">
            <v>23509</v>
          </cell>
          <cell r="B1360" t="str">
            <v>KHOFSOTUL ULYA</v>
          </cell>
          <cell r="C1360" t="str">
            <v>SAMI</v>
          </cell>
          <cell r="D1360" t="str">
            <v>OPT-576</v>
          </cell>
          <cell r="E1360">
            <v>43441</v>
          </cell>
          <cell r="F1360">
            <v>43472</v>
          </cell>
          <cell r="G1360">
            <v>43830</v>
          </cell>
          <cell r="H1360" t="str">
            <v>PRD</v>
          </cell>
          <cell r="I1360" t="str">
            <v>PRD</v>
          </cell>
          <cell r="J1360" t="str">
            <v>DYNA</v>
          </cell>
          <cell r="K1360" t="str">
            <v>DYNA</v>
          </cell>
          <cell r="L1360" t="str">
            <v>CV 16</v>
          </cell>
          <cell r="M1360" t="str">
            <v>OJT S/A DOCKING</v>
          </cell>
          <cell r="N1360" t="str">
            <v>INTERNAL TRIAL</v>
          </cell>
          <cell r="O1360" t="str">
            <v>A</v>
          </cell>
        </row>
        <row r="1361">
          <cell r="A1361" t="str">
            <v>B03542</v>
          </cell>
          <cell r="B1361" t="str">
            <v>SRI UNARI</v>
          </cell>
          <cell r="C1361" t="str">
            <v>SAMI</v>
          </cell>
          <cell r="D1361" t="str">
            <v>BBF-160</v>
          </cell>
          <cell r="E1361">
            <v>42634</v>
          </cell>
          <cell r="F1361">
            <v>43132</v>
          </cell>
          <cell r="G1361">
            <v>43496</v>
          </cell>
          <cell r="H1361" t="str">
            <v>PRD</v>
          </cell>
          <cell r="I1361" t="str">
            <v>PRD</v>
          </cell>
          <cell r="J1361" t="str">
            <v>DYNA</v>
          </cell>
          <cell r="K1361" t="str">
            <v>DYNA</v>
          </cell>
          <cell r="L1361" t="str">
            <v>CV 16</v>
          </cell>
          <cell r="M1361" t="str">
            <v>MATERIAL SUPPLY</v>
          </cell>
          <cell r="N1361" t="str">
            <v>MATERIAL SUPPLY</v>
          </cell>
          <cell r="O1361" t="str">
            <v>A</v>
          </cell>
        </row>
        <row r="1362">
          <cell r="A1362" t="str">
            <v>B00865</v>
          </cell>
          <cell r="B1362" t="str">
            <v>NUGROHO ADI SAPUTRO</v>
          </cell>
          <cell r="C1362" t="str">
            <v>SAMI</v>
          </cell>
          <cell r="D1362" t="str">
            <v>BBF-017</v>
          </cell>
          <cell r="E1362">
            <v>40945</v>
          </cell>
          <cell r="F1362" t="str">
            <v>-</v>
          </cell>
          <cell r="G1362" t="str">
            <v>-</v>
          </cell>
          <cell r="H1362" t="str">
            <v>PRD</v>
          </cell>
          <cell r="I1362" t="str">
            <v>PRD</v>
          </cell>
          <cell r="J1362" t="str">
            <v>DYNA</v>
          </cell>
          <cell r="K1362" t="str">
            <v>DYNA</v>
          </cell>
          <cell r="L1362" t="str">
            <v>CV 16</v>
          </cell>
          <cell r="M1362" t="str">
            <v>SUB LINE CHO</v>
          </cell>
          <cell r="N1362" t="str">
            <v>GL</v>
          </cell>
          <cell r="O1362" t="str">
            <v>A (NS)</v>
          </cell>
        </row>
        <row r="1363">
          <cell r="A1363">
            <v>818</v>
          </cell>
          <cell r="B1363" t="str">
            <v>AKHADIYATI TRI HANDAYANI</v>
          </cell>
          <cell r="C1363" t="str">
            <v>SAMI</v>
          </cell>
          <cell r="D1363" t="str">
            <v>OPT-21</v>
          </cell>
          <cell r="E1363">
            <v>37837</v>
          </cell>
          <cell r="F1363" t="str">
            <v>-</v>
          </cell>
          <cell r="G1363" t="str">
            <v>-</v>
          </cell>
          <cell r="H1363" t="str">
            <v>PRD</v>
          </cell>
          <cell r="I1363" t="str">
            <v>PRD</v>
          </cell>
          <cell r="J1363" t="str">
            <v>DYNA</v>
          </cell>
          <cell r="K1363" t="str">
            <v>DYNA</v>
          </cell>
          <cell r="L1363" t="str">
            <v>CV 16</v>
          </cell>
          <cell r="M1363" t="str">
            <v>S/A 6</v>
          </cell>
          <cell r="N1363" t="str">
            <v>SUB ASSY</v>
          </cell>
          <cell r="O1363" t="str">
            <v>B</v>
          </cell>
        </row>
        <row r="1364">
          <cell r="A1364">
            <v>1313</v>
          </cell>
          <cell r="B1364" t="str">
            <v>WIDYA ASTUTI</v>
          </cell>
          <cell r="C1364" t="str">
            <v>SAMI</v>
          </cell>
          <cell r="D1364" t="str">
            <v>OPT-32</v>
          </cell>
          <cell r="E1364">
            <v>37928</v>
          </cell>
          <cell r="F1364" t="str">
            <v>-</v>
          </cell>
          <cell r="G1364" t="str">
            <v>-</v>
          </cell>
          <cell r="H1364" t="str">
            <v>PRD</v>
          </cell>
          <cell r="I1364" t="str">
            <v>PRD</v>
          </cell>
          <cell r="J1364" t="str">
            <v>DYNA</v>
          </cell>
          <cell r="K1364" t="str">
            <v>DYNA</v>
          </cell>
          <cell r="L1364" t="str">
            <v>CV 16</v>
          </cell>
          <cell r="M1364" t="str">
            <v>S/A 7</v>
          </cell>
          <cell r="N1364" t="str">
            <v>SUB ASSY</v>
          </cell>
          <cell r="O1364" t="str">
            <v>B</v>
          </cell>
        </row>
        <row r="1365">
          <cell r="A1365">
            <v>5433</v>
          </cell>
          <cell r="B1365" t="str">
            <v>NUR JANAH</v>
          </cell>
          <cell r="C1365" t="str">
            <v>SAMI</v>
          </cell>
          <cell r="D1365" t="str">
            <v>OPT-128</v>
          </cell>
          <cell r="E1365">
            <v>38991</v>
          </cell>
          <cell r="F1365" t="str">
            <v>-</v>
          </cell>
          <cell r="G1365" t="str">
            <v>-</v>
          </cell>
          <cell r="H1365" t="str">
            <v>PRD</v>
          </cell>
          <cell r="I1365" t="str">
            <v>PRD</v>
          </cell>
          <cell r="J1365" t="str">
            <v>DYNA</v>
          </cell>
          <cell r="K1365" t="str">
            <v>DYNA</v>
          </cell>
          <cell r="L1365" t="str">
            <v>CV 16</v>
          </cell>
          <cell r="M1365" t="str">
            <v>FINISHING</v>
          </cell>
          <cell r="N1365" t="str">
            <v>FINISHING &amp; GROMMET INJECTION</v>
          </cell>
          <cell r="O1365" t="str">
            <v>B</v>
          </cell>
        </row>
        <row r="1366">
          <cell r="A1366">
            <v>6036</v>
          </cell>
          <cell r="B1366" t="str">
            <v>ASIH SETIYA WATI</v>
          </cell>
          <cell r="C1366" t="str">
            <v>SAMI</v>
          </cell>
          <cell r="D1366" t="str">
            <v>OPT-139</v>
          </cell>
          <cell r="E1366">
            <v>39142</v>
          </cell>
          <cell r="F1366" t="str">
            <v>-</v>
          </cell>
          <cell r="G1366" t="str">
            <v>-</v>
          </cell>
          <cell r="H1366" t="str">
            <v>PRD</v>
          </cell>
          <cell r="I1366" t="str">
            <v>PRD</v>
          </cell>
          <cell r="J1366" t="str">
            <v>DYNA</v>
          </cell>
          <cell r="K1366" t="str">
            <v>DYNA</v>
          </cell>
          <cell r="L1366" t="str">
            <v>CV 16</v>
          </cell>
          <cell r="M1366" t="str">
            <v>S/A 4</v>
          </cell>
          <cell r="N1366" t="str">
            <v>SUB ASSY</v>
          </cell>
          <cell r="O1366" t="str">
            <v>B</v>
          </cell>
        </row>
        <row r="1367">
          <cell r="A1367">
            <v>6191</v>
          </cell>
          <cell r="B1367" t="str">
            <v>SITI ANNISA</v>
          </cell>
          <cell r="C1367" t="str">
            <v>SAMI</v>
          </cell>
          <cell r="D1367" t="str">
            <v>OPT-141</v>
          </cell>
          <cell r="E1367">
            <v>39173</v>
          </cell>
          <cell r="F1367" t="str">
            <v>-</v>
          </cell>
          <cell r="G1367" t="str">
            <v>-</v>
          </cell>
          <cell r="H1367" t="str">
            <v>PRD</v>
          </cell>
          <cell r="I1367" t="str">
            <v>PRD</v>
          </cell>
          <cell r="J1367" t="str">
            <v>DYNA</v>
          </cell>
          <cell r="K1367" t="str">
            <v>DYNA</v>
          </cell>
          <cell r="L1367" t="str">
            <v>CV 16</v>
          </cell>
          <cell r="M1367" t="str">
            <v>S/A 2</v>
          </cell>
          <cell r="N1367" t="str">
            <v>SUB ASSY</v>
          </cell>
          <cell r="O1367" t="str">
            <v>B</v>
          </cell>
        </row>
        <row r="1368">
          <cell r="A1368">
            <v>9478</v>
          </cell>
          <cell r="B1368" t="str">
            <v>SRI SULASIH</v>
          </cell>
          <cell r="C1368" t="str">
            <v>SAMI</v>
          </cell>
          <cell r="D1368" t="str">
            <v>OPT-216</v>
          </cell>
          <cell r="E1368">
            <v>40148</v>
          </cell>
          <cell r="F1368" t="str">
            <v>-</v>
          </cell>
          <cell r="G1368" t="str">
            <v>-</v>
          </cell>
          <cell r="H1368" t="str">
            <v>PRD</v>
          </cell>
          <cell r="I1368" t="str">
            <v>PRD</v>
          </cell>
          <cell r="J1368" t="str">
            <v>DYNA</v>
          </cell>
          <cell r="K1368" t="str">
            <v>DYNA</v>
          </cell>
          <cell r="L1368" t="str">
            <v>CV 16</v>
          </cell>
          <cell r="M1368" t="str">
            <v>VISUAL</v>
          </cell>
          <cell r="N1368" t="str">
            <v>VISUAL INSPECTION</v>
          </cell>
          <cell r="O1368" t="str">
            <v>B</v>
          </cell>
        </row>
        <row r="1369">
          <cell r="A1369">
            <v>9853</v>
          </cell>
          <cell r="B1369" t="str">
            <v>MAULIDATUL CHASANAH</v>
          </cell>
          <cell r="C1369" t="str">
            <v>SAMI</v>
          </cell>
          <cell r="D1369" t="str">
            <v>OPT-240</v>
          </cell>
          <cell r="E1369">
            <v>40411</v>
          </cell>
          <cell r="F1369" t="str">
            <v>-</v>
          </cell>
          <cell r="G1369" t="str">
            <v>-</v>
          </cell>
          <cell r="H1369" t="str">
            <v>PRD</v>
          </cell>
          <cell r="I1369" t="str">
            <v>PRD</v>
          </cell>
          <cell r="J1369" t="str">
            <v>DYNA</v>
          </cell>
          <cell r="K1369" t="str">
            <v>DYNA</v>
          </cell>
          <cell r="L1369" t="str">
            <v>CV 16</v>
          </cell>
          <cell r="M1369" t="str">
            <v>S/T 3</v>
          </cell>
          <cell r="N1369" t="str">
            <v>ASSEMBLY</v>
          </cell>
          <cell r="O1369" t="str">
            <v>B</v>
          </cell>
        </row>
        <row r="1370">
          <cell r="A1370">
            <v>10289</v>
          </cell>
          <cell r="B1370" t="str">
            <v>NURUL HIDAYATI</v>
          </cell>
          <cell r="C1370" t="str">
            <v>SAMI</v>
          </cell>
          <cell r="D1370" t="str">
            <v>OPT-263</v>
          </cell>
          <cell r="E1370">
            <v>40504</v>
          </cell>
          <cell r="F1370" t="str">
            <v>-</v>
          </cell>
          <cell r="G1370" t="str">
            <v>-</v>
          </cell>
          <cell r="H1370" t="str">
            <v>PRD</v>
          </cell>
          <cell r="I1370" t="str">
            <v>PRD</v>
          </cell>
          <cell r="J1370" t="str">
            <v>DYNA</v>
          </cell>
          <cell r="K1370" t="str">
            <v>DYNA</v>
          </cell>
          <cell r="L1370" t="str">
            <v>CV 16</v>
          </cell>
          <cell r="M1370" t="str">
            <v>LQC</v>
          </cell>
          <cell r="N1370" t="str">
            <v>RELIEF</v>
          </cell>
          <cell r="O1370" t="str">
            <v>B</v>
          </cell>
        </row>
        <row r="1371">
          <cell r="A1371">
            <v>10405</v>
          </cell>
          <cell r="B1371" t="str">
            <v>MARTANTI KUSUMANINGTYAS</v>
          </cell>
          <cell r="C1371" t="str">
            <v>SAMI</v>
          </cell>
          <cell r="D1371" t="str">
            <v>OPT-268</v>
          </cell>
          <cell r="E1371">
            <v>40518</v>
          </cell>
          <cell r="F1371" t="str">
            <v>-</v>
          </cell>
          <cell r="G1371" t="str">
            <v>-</v>
          </cell>
          <cell r="H1371" t="str">
            <v>PRD</v>
          </cell>
          <cell r="I1371" t="str">
            <v>PRD</v>
          </cell>
          <cell r="J1371" t="str">
            <v>DYNA</v>
          </cell>
          <cell r="K1371" t="str">
            <v>DYNA</v>
          </cell>
          <cell r="L1371" t="str">
            <v>CV 16</v>
          </cell>
          <cell r="M1371" t="str">
            <v>S/T 3</v>
          </cell>
          <cell r="N1371" t="str">
            <v>ASSEMBLY</v>
          </cell>
          <cell r="O1371" t="str">
            <v>B</v>
          </cell>
        </row>
        <row r="1372">
          <cell r="A1372">
            <v>10452</v>
          </cell>
          <cell r="B1372" t="str">
            <v>IDA MARDIYANA</v>
          </cell>
          <cell r="C1372" t="str">
            <v>SAMI</v>
          </cell>
          <cell r="D1372" t="str">
            <v>OPT-270</v>
          </cell>
          <cell r="E1372">
            <v>40524</v>
          </cell>
          <cell r="F1372" t="str">
            <v>-</v>
          </cell>
          <cell r="G1372" t="str">
            <v>-</v>
          </cell>
          <cell r="H1372" t="str">
            <v>PRD</v>
          </cell>
          <cell r="I1372" t="str">
            <v>PRD</v>
          </cell>
          <cell r="J1372" t="str">
            <v>DYNA</v>
          </cell>
          <cell r="K1372" t="str">
            <v>DYNA</v>
          </cell>
          <cell r="L1372" t="str">
            <v>CV 16</v>
          </cell>
          <cell r="M1372" t="str">
            <v>S/A 3</v>
          </cell>
          <cell r="N1372" t="str">
            <v>SUB ASSY</v>
          </cell>
          <cell r="O1372" t="str">
            <v>B</v>
          </cell>
        </row>
        <row r="1373">
          <cell r="A1373">
            <v>10583</v>
          </cell>
          <cell r="B1373" t="str">
            <v>LESTARI PUTRI K.</v>
          </cell>
          <cell r="C1373" t="str">
            <v>SAMI</v>
          </cell>
          <cell r="D1373" t="str">
            <v>OPT-276</v>
          </cell>
          <cell r="E1373">
            <v>40544</v>
          </cell>
          <cell r="F1373" t="str">
            <v>-</v>
          </cell>
          <cell r="G1373" t="str">
            <v>-</v>
          </cell>
          <cell r="H1373" t="str">
            <v>PRD</v>
          </cell>
          <cell r="I1373" t="str">
            <v>PRD</v>
          </cell>
          <cell r="J1373" t="str">
            <v>DYNA</v>
          </cell>
          <cell r="K1373" t="str">
            <v>DYNA</v>
          </cell>
          <cell r="L1373" t="str">
            <v>CV 16</v>
          </cell>
          <cell r="M1373" t="str">
            <v>SUB LINE CHO</v>
          </cell>
          <cell r="N1373" t="str">
            <v>GL</v>
          </cell>
          <cell r="O1373" t="str">
            <v>B</v>
          </cell>
        </row>
        <row r="1374">
          <cell r="A1374">
            <v>10868</v>
          </cell>
          <cell r="B1374" t="str">
            <v>USWATUN KHASANAH</v>
          </cell>
          <cell r="C1374" t="str">
            <v>SAMI</v>
          </cell>
          <cell r="D1374" t="str">
            <v>OPT-283</v>
          </cell>
          <cell r="E1374">
            <v>40572</v>
          </cell>
          <cell r="F1374" t="str">
            <v>-</v>
          </cell>
          <cell r="G1374" t="str">
            <v>-</v>
          </cell>
          <cell r="H1374" t="str">
            <v>PRD</v>
          </cell>
          <cell r="I1374" t="str">
            <v>PRD</v>
          </cell>
          <cell r="J1374" t="str">
            <v>DYNA</v>
          </cell>
          <cell r="K1374" t="str">
            <v>DYNA</v>
          </cell>
          <cell r="L1374" t="str">
            <v>CV 16</v>
          </cell>
          <cell r="M1374" t="str">
            <v>T/P 3</v>
          </cell>
          <cell r="N1374" t="str">
            <v>ASSEMBLY</v>
          </cell>
          <cell r="O1374" t="str">
            <v>B</v>
          </cell>
        </row>
        <row r="1375">
          <cell r="A1375">
            <v>11632</v>
          </cell>
          <cell r="B1375" t="str">
            <v>TAHFIDHUL NI'MAH</v>
          </cell>
          <cell r="C1375" t="str">
            <v>SAMI</v>
          </cell>
          <cell r="D1375" t="str">
            <v>OPT-307</v>
          </cell>
          <cell r="E1375">
            <v>40707</v>
          </cell>
          <cell r="F1375" t="str">
            <v>-</v>
          </cell>
          <cell r="G1375" t="str">
            <v>-</v>
          </cell>
          <cell r="H1375" t="str">
            <v>PRD</v>
          </cell>
          <cell r="I1375" t="str">
            <v>PRD</v>
          </cell>
          <cell r="J1375" t="str">
            <v>DYNA</v>
          </cell>
          <cell r="K1375" t="str">
            <v>DYNA</v>
          </cell>
          <cell r="L1375" t="str">
            <v>CV 16</v>
          </cell>
          <cell r="M1375" t="str">
            <v>VISUAL</v>
          </cell>
          <cell r="N1375" t="str">
            <v>VISUAL INSPECTION</v>
          </cell>
          <cell r="O1375" t="str">
            <v>B</v>
          </cell>
        </row>
        <row r="1376">
          <cell r="A1376">
            <v>11759</v>
          </cell>
          <cell r="B1376" t="str">
            <v>NUR WAHYUNI</v>
          </cell>
          <cell r="C1376" t="str">
            <v>SAMI</v>
          </cell>
          <cell r="D1376" t="str">
            <v>OPT-308</v>
          </cell>
          <cell r="E1376">
            <v>40714</v>
          </cell>
          <cell r="F1376" t="str">
            <v>-</v>
          </cell>
          <cell r="G1376" t="str">
            <v>-</v>
          </cell>
          <cell r="H1376" t="str">
            <v>PRD</v>
          </cell>
          <cell r="I1376" t="str">
            <v>PRD</v>
          </cell>
          <cell r="J1376" t="str">
            <v>DYNA</v>
          </cell>
          <cell r="K1376" t="str">
            <v>DYNA</v>
          </cell>
          <cell r="L1376" t="str">
            <v>CV 16</v>
          </cell>
          <cell r="M1376" t="str">
            <v>S/A AB</v>
          </cell>
          <cell r="N1376" t="str">
            <v>SUB ASSY</v>
          </cell>
          <cell r="O1376" t="str">
            <v>B</v>
          </cell>
        </row>
        <row r="1377">
          <cell r="A1377">
            <v>12463</v>
          </cell>
          <cell r="B1377" t="str">
            <v>FITRI NURHIDAYAH</v>
          </cell>
          <cell r="C1377" t="str">
            <v>SAMI</v>
          </cell>
          <cell r="D1377" t="str">
            <v>OPT-318</v>
          </cell>
          <cell r="E1377">
            <v>40812</v>
          </cell>
          <cell r="F1377" t="str">
            <v>-</v>
          </cell>
          <cell r="G1377" t="str">
            <v>-</v>
          </cell>
          <cell r="H1377" t="str">
            <v>PRD</v>
          </cell>
          <cell r="I1377" t="str">
            <v>PRD</v>
          </cell>
          <cell r="J1377" t="str">
            <v>DYNA</v>
          </cell>
          <cell r="K1377" t="str">
            <v>DYNA</v>
          </cell>
          <cell r="L1377" t="str">
            <v>CV 16</v>
          </cell>
          <cell r="M1377" t="str">
            <v>S/A 7</v>
          </cell>
          <cell r="N1377" t="str">
            <v>SUB ASSY</v>
          </cell>
          <cell r="O1377" t="str">
            <v>B</v>
          </cell>
        </row>
        <row r="1378">
          <cell r="A1378">
            <v>12556</v>
          </cell>
          <cell r="B1378" t="str">
            <v>TITIK NOVIANTI</v>
          </cell>
          <cell r="C1378" t="str">
            <v>SAMI</v>
          </cell>
          <cell r="D1378" t="str">
            <v>OPT-318</v>
          </cell>
          <cell r="E1378">
            <v>40812</v>
          </cell>
          <cell r="F1378" t="str">
            <v>-</v>
          </cell>
          <cell r="G1378" t="str">
            <v>-</v>
          </cell>
          <cell r="H1378" t="str">
            <v>PRD</v>
          </cell>
          <cell r="I1378" t="str">
            <v>PRD</v>
          </cell>
          <cell r="J1378" t="str">
            <v>DYNA</v>
          </cell>
          <cell r="K1378" t="str">
            <v>DYNA</v>
          </cell>
          <cell r="L1378" t="str">
            <v>CV 16</v>
          </cell>
          <cell r="M1378" t="str">
            <v>LQC</v>
          </cell>
          <cell r="N1378" t="str">
            <v>RELIEF</v>
          </cell>
          <cell r="O1378" t="str">
            <v>B</v>
          </cell>
        </row>
        <row r="1379">
          <cell r="A1379">
            <v>12659</v>
          </cell>
          <cell r="B1379" t="str">
            <v>INDRIANI WIDYASTUTI</v>
          </cell>
          <cell r="C1379" t="str">
            <v>SAMI</v>
          </cell>
          <cell r="D1379" t="str">
            <v>OPT-320</v>
          </cell>
          <cell r="E1379">
            <v>40819</v>
          </cell>
          <cell r="F1379" t="str">
            <v>-</v>
          </cell>
          <cell r="G1379" t="str">
            <v>-</v>
          </cell>
          <cell r="H1379" t="str">
            <v>PRD</v>
          </cell>
          <cell r="I1379" t="str">
            <v>PRD</v>
          </cell>
          <cell r="J1379" t="str">
            <v>DYNA</v>
          </cell>
          <cell r="K1379" t="str">
            <v>DYNA</v>
          </cell>
          <cell r="L1379" t="str">
            <v>CV 16</v>
          </cell>
          <cell r="M1379" t="str">
            <v>S/A 5</v>
          </cell>
          <cell r="N1379" t="str">
            <v>SUB ASSY</v>
          </cell>
          <cell r="O1379" t="str">
            <v>B</v>
          </cell>
        </row>
        <row r="1380">
          <cell r="A1380">
            <v>12735</v>
          </cell>
          <cell r="B1380" t="str">
            <v>SAYIDA NURUL CHIKMAH</v>
          </cell>
          <cell r="C1380" t="str">
            <v>SAMI</v>
          </cell>
          <cell r="D1380" t="str">
            <v>OPT-320</v>
          </cell>
          <cell r="E1380">
            <v>40819</v>
          </cell>
          <cell r="F1380" t="str">
            <v>-</v>
          </cell>
          <cell r="G1380" t="str">
            <v>-</v>
          </cell>
          <cell r="H1380" t="str">
            <v>PRD</v>
          </cell>
          <cell r="I1380" t="str">
            <v>PRD</v>
          </cell>
          <cell r="J1380" t="str">
            <v>DYNA</v>
          </cell>
          <cell r="K1380" t="str">
            <v>DYNA</v>
          </cell>
          <cell r="L1380" t="str">
            <v>CV 16</v>
          </cell>
          <cell r="M1380" t="str">
            <v>S/A 1</v>
          </cell>
          <cell r="N1380" t="str">
            <v>SUB ASSY</v>
          </cell>
          <cell r="O1380" t="str">
            <v>B</v>
          </cell>
        </row>
        <row r="1381">
          <cell r="A1381">
            <v>20506</v>
          </cell>
          <cell r="B1381" t="str">
            <v>NA'IM MUNAWAROH</v>
          </cell>
          <cell r="C1381" t="str">
            <v>SAMI</v>
          </cell>
          <cell r="D1381" t="str">
            <v>OPT-504</v>
          </cell>
          <cell r="E1381">
            <v>42634</v>
          </cell>
          <cell r="F1381">
            <v>43132</v>
          </cell>
          <cell r="G1381">
            <v>43496</v>
          </cell>
          <cell r="H1381" t="str">
            <v>PRD</v>
          </cell>
          <cell r="I1381" t="str">
            <v>PRD</v>
          </cell>
          <cell r="J1381" t="str">
            <v>DYNA</v>
          </cell>
          <cell r="K1381" t="str">
            <v>DYNA</v>
          </cell>
          <cell r="L1381" t="str">
            <v>CV 16</v>
          </cell>
          <cell r="M1381" t="str">
            <v>OJT</v>
          </cell>
          <cell r="N1381" t="str">
            <v>INTERNAL TRIAL</v>
          </cell>
          <cell r="O1381" t="str">
            <v>B</v>
          </cell>
        </row>
        <row r="1382">
          <cell r="A1382">
            <v>20618</v>
          </cell>
          <cell r="B1382" t="str">
            <v>MUHIBAH DWI WULANSARI</v>
          </cell>
          <cell r="C1382" t="str">
            <v>SAMI</v>
          </cell>
          <cell r="D1382" t="str">
            <v>OPT-505</v>
          </cell>
          <cell r="E1382">
            <v>42639</v>
          </cell>
          <cell r="F1382">
            <v>43132</v>
          </cell>
          <cell r="G1382">
            <v>43496</v>
          </cell>
          <cell r="H1382" t="str">
            <v>PRD</v>
          </cell>
          <cell r="I1382" t="str">
            <v>PRD</v>
          </cell>
          <cell r="J1382" t="str">
            <v>DYNA</v>
          </cell>
          <cell r="K1382" t="str">
            <v>DYNA</v>
          </cell>
          <cell r="L1382" t="str">
            <v>CV 16</v>
          </cell>
          <cell r="M1382" t="str">
            <v>CHECKER</v>
          </cell>
          <cell r="N1382" t="str">
            <v>ELECTRICAL INSPECTION</v>
          </cell>
          <cell r="O1382" t="str">
            <v>B</v>
          </cell>
        </row>
        <row r="1383">
          <cell r="A1383">
            <v>20648</v>
          </cell>
          <cell r="B1383" t="str">
            <v>SALMA KHOIRUNNISA ANDARISTA</v>
          </cell>
          <cell r="C1383" t="str">
            <v>SAMI</v>
          </cell>
          <cell r="D1383" t="str">
            <v>OPT-505</v>
          </cell>
          <cell r="E1383">
            <v>42639</v>
          </cell>
          <cell r="F1383">
            <v>43132</v>
          </cell>
          <cell r="G1383">
            <v>43496</v>
          </cell>
          <cell r="H1383" t="str">
            <v>PRD</v>
          </cell>
          <cell r="I1383" t="str">
            <v>PRD</v>
          </cell>
          <cell r="J1383" t="str">
            <v>DYNA</v>
          </cell>
          <cell r="K1383" t="str">
            <v>DYNA</v>
          </cell>
          <cell r="L1383" t="str">
            <v>CV 16</v>
          </cell>
          <cell r="M1383" t="str">
            <v>S/A DOCKING</v>
          </cell>
          <cell r="N1383" t="str">
            <v>SUB ASSY</v>
          </cell>
          <cell r="O1383" t="str">
            <v>B</v>
          </cell>
        </row>
        <row r="1384">
          <cell r="A1384">
            <v>20678</v>
          </cell>
          <cell r="B1384" t="str">
            <v>WAHYU INDAH SETYAWATI</v>
          </cell>
          <cell r="C1384" t="str">
            <v>SAMI</v>
          </cell>
          <cell r="D1384" t="str">
            <v>OPT-505</v>
          </cell>
          <cell r="E1384">
            <v>42639</v>
          </cell>
          <cell r="F1384">
            <v>43132</v>
          </cell>
          <cell r="G1384">
            <v>43496</v>
          </cell>
          <cell r="H1384" t="str">
            <v>PRD</v>
          </cell>
          <cell r="I1384" t="str">
            <v>PRD</v>
          </cell>
          <cell r="J1384" t="str">
            <v>DYNA</v>
          </cell>
          <cell r="K1384" t="str">
            <v>DYNA</v>
          </cell>
          <cell r="L1384" t="str">
            <v>CV 16</v>
          </cell>
          <cell r="M1384" t="str">
            <v>S/T 2</v>
          </cell>
          <cell r="N1384" t="str">
            <v>ASSEMBLY</v>
          </cell>
          <cell r="O1384" t="str">
            <v>B</v>
          </cell>
        </row>
        <row r="1385">
          <cell r="A1385">
            <v>20773</v>
          </cell>
          <cell r="B1385" t="str">
            <v>WAHYU NOVIKA</v>
          </cell>
          <cell r="C1385" t="str">
            <v>SAMI</v>
          </cell>
          <cell r="D1385" t="str">
            <v>OPT-506</v>
          </cell>
          <cell r="E1385">
            <v>42642</v>
          </cell>
          <cell r="F1385">
            <v>43132</v>
          </cell>
          <cell r="G1385">
            <v>43496</v>
          </cell>
          <cell r="H1385" t="str">
            <v>PRD</v>
          </cell>
          <cell r="I1385" t="str">
            <v>PRD</v>
          </cell>
          <cell r="J1385" t="str">
            <v>DYNA</v>
          </cell>
          <cell r="K1385" t="str">
            <v>DYNA</v>
          </cell>
          <cell r="L1385" t="str">
            <v>CV 16</v>
          </cell>
          <cell r="M1385" t="str">
            <v>T/P 4</v>
          </cell>
          <cell r="N1385" t="str">
            <v>ASSEMBLY</v>
          </cell>
          <cell r="O1385" t="str">
            <v>B</v>
          </cell>
        </row>
        <row r="1386">
          <cell r="A1386">
            <v>20824</v>
          </cell>
          <cell r="B1386" t="str">
            <v xml:space="preserve">UMI KHOLIFAH </v>
          </cell>
          <cell r="C1386" t="str">
            <v>SAMI</v>
          </cell>
          <cell r="D1386" t="str">
            <v>OPT-508</v>
          </cell>
          <cell r="E1386">
            <v>42649</v>
          </cell>
          <cell r="F1386">
            <v>43132</v>
          </cell>
          <cell r="G1386">
            <v>43496</v>
          </cell>
          <cell r="H1386" t="str">
            <v>PRD</v>
          </cell>
          <cell r="I1386" t="str">
            <v>PRD</v>
          </cell>
          <cell r="J1386" t="str">
            <v>DYNA</v>
          </cell>
          <cell r="K1386" t="str">
            <v>DYNA</v>
          </cell>
          <cell r="L1386" t="str">
            <v>CV 16</v>
          </cell>
          <cell r="M1386" t="str">
            <v>S/A 5</v>
          </cell>
          <cell r="N1386" t="str">
            <v>SUB ASSY</v>
          </cell>
          <cell r="O1386" t="str">
            <v>B</v>
          </cell>
        </row>
        <row r="1387">
          <cell r="A1387">
            <v>20873</v>
          </cell>
          <cell r="B1387" t="str">
            <v>LINDA LISTIYANA</v>
          </cell>
          <cell r="C1387" t="str">
            <v>SAMI</v>
          </cell>
          <cell r="D1387" t="str">
            <v>OPT-510</v>
          </cell>
          <cell r="E1387">
            <v>42660</v>
          </cell>
          <cell r="F1387">
            <v>43160</v>
          </cell>
          <cell r="G1387">
            <v>43524</v>
          </cell>
          <cell r="H1387" t="str">
            <v>PRD</v>
          </cell>
          <cell r="I1387" t="str">
            <v>PRD</v>
          </cell>
          <cell r="J1387" t="str">
            <v>DYNA</v>
          </cell>
          <cell r="K1387" t="str">
            <v>DYNA</v>
          </cell>
          <cell r="L1387" t="str">
            <v>CV 16</v>
          </cell>
          <cell r="M1387" t="str">
            <v>S/A 6.2</v>
          </cell>
          <cell r="N1387" t="str">
            <v>SUB ASSY</v>
          </cell>
          <cell r="O1387" t="str">
            <v>B</v>
          </cell>
        </row>
        <row r="1388">
          <cell r="A1388">
            <v>20974</v>
          </cell>
          <cell r="B1388" t="str">
            <v xml:space="preserve">DINI ERIYANTI </v>
          </cell>
          <cell r="C1388" t="str">
            <v>SAMI</v>
          </cell>
          <cell r="D1388" t="str">
            <v>OPT-513</v>
          </cell>
          <cell r="E1388">
            <v>42674</v>
          </cell>
          <cell r="F1388">
            <v>43160</v>
          </cell>
          <cell r="G1388">
            <v>43524</v>
          </cell>
          <cell r="H1388" t="str">
            <v>PRD</v>
          </cell>
          <cell r="I1388" t="str">
            <v>PRD</v>
          </cell>
          <cell r="J1388" t="str">
            <v>DYNA</v>
          </cell>
          <cell r="K1388" t="str">
            <v>DYNA</v>
          </cell>
          <cell r="L1388" t="str">
            <v>CV 16</v>
          </cell>
          <cell r="M1388" t="str">
            <v>T/P 5</v>
          </cell>
          <cell r="N1388" t="str">
            <v>ASSEMBLY</v>
          </cell>
          <cell r="O1388" t="str">
            <v>B</v>
          </cell>
        </row>
        <row r="1389">
          <cell r="A1389">
            <v>21311</v>
          </cell>
          <cell r="B1389" t="str">
            <v>RIKA AMALIA</v>
          </cell>
          <cell r="C1389" t="str">
            <v>SAMI</v>
          </cell>
          <cell r="D1389" t="str">
            <v>OPT-530</v>
          </cell>
          <cell r="E1389">
            <v>43010</v>
          </cell>
          <cell r="F1389">
            <v>43405</v>
          </cell>
          <cell r="G1389">
            <v>43769</v>
          </cell>
          <cell r="H1389" t="str">
            <v>PRD</v>
          </cell>
          <cell r="I1389" t="str">
            <v>PRD</v>
          </cell>
          <cell r="J1389" t="str">
            <v>DYNA</v>
          </cell>
          <cell r="K1389" t="str">
            <v>DYNA</v>
          </cell>
          <cell r="L1389" t="str">
            <v>CV 16</v>
          </cell>
          <cell r="M1389" t="str">
            <v>S/T 2</v>
          </cell>
          <cell r="N1389" t="str">
            <v>ASSEMBLY</v>
          </cell>
          <cell r="O1389" t="str">
            <v>B</v>
          </cell>
        </row>
        <row r="1390">
          <cell r="A1390">
            <v>21460</v>
          </cell>
          <cell r="B1390" t="str">
            <v>RAHMATUN KHASANAH</v>
          </cell>
          <cell r="C1390" t="str">
            <v>SAMI</v>
          </cell>
          <cell r="D1390" t="str">
            <v>OPT-533</v>
          </cell>
          <cell r="E1390">
            <v>43024</v>
          </cell>
          <cell r="F1390">
            <v>43435</v>
          </cell>
          <cell r="G1390">
            <v>43799</v>
          </cell>
          <cell r="H1390" t="str">
            <v>PRD</v>
          </cell>
          <cell r="I1390" t="str">
            <v>PRD</v>
          </cell>
          <cell r="J1390" t="str">
            <v>DYNA</v>
          </cell>
          <cell r="K1390" t="str">
            <v>DYNA</v>
          </cell>
          <cell r="L1390" t="str">
            <v>CV 16</v>
          </cell>
          <cell r="M1390" t="str">
            <v>CHECKER</v>
          </cell>
          <cell r="N1390" t="str">
            <v>ELECTRICAL INSPECTION</v>
          </cell>
          <cell r="O1390" t="str">
            <v>B</v>
          </cell>
        </row>
        <row r="1391">
          <cell r="A1391">
            <v>21709</v>
          </cell>
          <cell r="B1391" t="str">
            <v>DEWI ZULAIQOH</v>
          </cell>
          <cell r="C1391" t="str">
            <v>SAMI</v>
          </cell>
          <cell r="D1391" t="str">
            <v>OPT-539</v>
          </cell>
          <cell r="E1391">
            <v>43087</v>
          </cell>
          <cell r="F1391">
            <v>43118</v>
          </cell>
          <cell r="G1391">
            <v>43496</v>
          </cell>
          <cell r="H1391" t="str">
            <v>PRD</v>
          </cell>
          <cell r="I1391" t="str">
            <v>PRD</v>
          </cell>
          <cell r="J1391" t="str">
            <v>DYNA</v>
          </cell>
          <cell r="K1391" t="str">
            <v>DYNA</v>
          </cell>
          <cell r="L1391" t="str">
            <v>CV 16</v>
          </cell>
          <cell r="M1391" t="str">
            <v>S/A 1</v>
          </cell>
          <cell r="N1391" t="str">
            <v>SUB ASSY</v>
          </cell>
          <cell r="O1391" t="str">
            <v>B</v>
          </cell>
        </row>
        <row r="1392">
          <cell r="A1392">
            <v>21713</v>
          </cell>
          <cell r="B1392" t="str">
            <v>EKO YULIANTI</v>
          </cell>
          <cell r="C1392" t="str">
            <v>SAMI</v>
          </cell>
          <cell r="D1392" t="str">
            <v>OPT-539</v>
          </cell>
          <cell r="E1392">
            <v>43087</v>
          </cell>
          <cell r="F1392">
            <v>43118</v>
          </cell>
          <cell r="G1392">
            <v>43496</v>
          </cell>
          <cell r="H1392" t="str">
            <v>PRD</v>
          </cell>
          <cell r="I1392" t="str">
            <v>PRD</v>
          </cell>
          <cell r="J1392" t="str">
            <v>DYNA</v>
          </cell>
          <cell r="K1392" t="str">
            <v>DYNA</v>
          </cell>
          <cell r="L1392" t="str">
            <v>CV 16</v>
          </cell>
          <cell r="M1392" t="str">
            <v>S/T 1.1</v>
          </cell>
          <cell r="N1392" t="str">
            <v>ASSEMBLY</v>
          </cell>
          <cell r="O1392" t="str">
            <v>B</v>
          </cell>
        </row>
        <row r="1393">
          <cell r="A1393">
            <v>21721</v>
          </cell>
          <cell r="B1393" t="str">
            <v>JOKO WAHYUDI</v>
          </cell>
          <cell r="C1393" t="str">
            <v>SAMI</v>
          </cell>
          <cell r="D1393" t="str">
            <v>OPT-539</v>
          </cell>
          <cell r="E1393">
            <v>43087</v>
          </cell>
          <cell r="F1393">
            <v>43118</v>
          </cell>
          <cell r="G1393">
            <v>43496</v>
          </cell>
          <cell r="H1393" t="str">
            <v>PRD</v>
          </cell>
          <cell r="I1393" t="str">
            <v>PRD</v>
          </cell>
          <cell r="J1393" t="str">
            <v>DYNA</v>
          </cell>
          <cell r="K1393" t="str">
            <v>DYNA</v>
          </cell>
          <cell r="L1393" t="str">
            <v>CV 16</v>
          </cell>
          <cell r="M1393" t="str">
            <v>T/P 7</v>
          </cell>
          <cell r="N1393" t="str">
            <v>ASSEMBLY</v>
          </cell>
          <cell r="O1393" t="str">
            <v>B</v>
          </cell>
        </row>
        <row r="1394">
          <cell r="A1394">
            <v>21799</v>
          </cell>
          <cell r="B1394" t="str">
            <v>SITI ROZANAH</v>
          </cell>
          <cell r="C1394" t="str">
            <v>SAMI</v>
          </cell>
          <cell r="D1394" t="str">
            <v>OPT-540</v>
          </cell>
          <cell r="E1394">
            <v>43090</v>
          </cell>
          <cell r="F1394">
            <v>43121</v>
          </cell>
          <cell r="G1394">
            <v>43496</v>
          </cell>
          <cell r="H1394" t="str">
            <v>PRD</v>
          </cell>
          <cell r="I1394" t="str">
            <v>PRD</v>
          </cell>
          <cell r="J1394" t="str">
            <v>DYNA</v>
          </cell>
          <cell r="K1394" t="str">
            <v>DYNA</v>
          </cell>
          <cell r="L1394" t="str">
            <v>CV 16</v>
          </cell>
          <cell r="M1394" t="str">
            <v>S/A 3.1</v>
          </cell>
          <cell r="N1394" t="str">
            <v>SUB ASSY</v>
          </cell>
          <cell r="O1394" t="str">
            <v>B</v>
          </cell>
        </row>
        <row r="1395">
          <cell r="A1395">
            <v>22095</v>
          </cell>
          <cell r="B1395" t="str">
            <v>SASKIA ROSA QUINTANIA</v>
          </cell>
          <cell r="C1395" t="str">
            <v>SAMI</v>
          </cell>
          <cell r="D1395" t="str">
            <v>OPT-548</v>
          </cell>
          <cell r="E1395">
            <v>43150</v>
          </cell>
          <cell r="F1395">
            <v>43178</v>
          </cell>
          <cell r="G1395">
            <v>43555</v>
          </cell>
          <cell r="H1395" t="str">
            <v>PRD</v>
          </cell>
          <cell r="I1395" t="str">
            <v>PRD</v>
          </cell>
          <cell r="J1395" t="str">
            <v>DYNA</v>
          </cell>
          <cell r="K1395" t="str">
            <v>DYNA</v>
          </cell>
          <cell r="L1395" t="str">
            <v>CV 16</v>
          </cell>
          <cell r="M1395" t="str">
            <v>S/T 2</v>
          </cell>
          <cell r="N1395" t="str">
            <v>ASSEMBLY</v>
          </cell>
          <cell r="O1395" t="str">
            <v>B</v>
          </cell>
        </row>
        <row r="1396">
          <cell r="A1396">
            <v>22106</v>
          </cell>
          <cell r="B1396" t="str">
            <v>UMUL KHAKIMAH</v>
          </cell>
          <cell r="C1396" t="str">
            <v>SAMI</v>
          </cell>
          <cell r="D1396" t="str">
            <v>OPT-548</v>
          </cell>
          <cell r="E1396">
            <v>43150</v>
          </cell>
          <cell r="F1396">
            <v>43178</v>
          </cell>
          <cell r="G1396">
            <v>43555</v>
          </cell>
          <cell r="H1396" t="str">
            <v>PRD</v>
          </cell>
          <cell r="I1396" t="str">
            <v>PRD</v>
          </cell>
          <cell r="J1396" t="str">
            <v>DYNA</v>
          </cell>
          <cell r="K1396" t="str">
            <v>DYNA</v>
          </cell>
          <cell r="L1396" t="str">
            <v>CV 16</v>
          </cell>
          <cell r="M1396" t="str">
            <v>S/A SP</v>
          </cell>
          <cell r="N1396" t="str">
            <v>SUB ASSY</v>
          </cell>
          <cell r="O1396" t="str">
            <v>B</v>
          </cell>
        </row>
        <row r="1397">
          <cell r="A1397">
            <v>22268</v>
          </cell>
          <cell r="B1397" t="str">
            <v xml:space="preserve">NATASYA KUSUMA HARDINI </v>
          </cell>
          <cell r="C1397" t="str">
            <v>SAMI</v>
          </cell>
          <cell r="D1397" t="str">
            <v>OPT-554</v>
          </cell>
          <cell r="E1397">
            <v>43181</v>
          </cell>
          <cell r="F1397">
            <v>43212</v>
          </cell>
          <cell r="G1397">
            <v>43585</v>
          </cell>
          <cell r="H1397" t="str">
            <v>PRD</v>
          </cell>
          <cell r="I1397" t="str">
            <v>PRD</v>
          </cell>
          <cell r="J1397" t="str">
            <v>DYNA</v>
          </cell>
          <cell r="K1397" t="str">
            <v>DYNA</v>
          </cell>
          <cell r="L1397" t="str">
            <v>CV 16</v>
          </cell>
          <cell r="M1397" t="str">
            <v>MATERIAL SUPPLY</v>
          </cell>
          <cell r="N1397" t="str">
            <v>MATERIAL SUPPLY</v>
          </cell>
          <cell r="O1397" t="str">
            <v>B</v>
          </cell>
        </row>
        <row r="1398">
          <cell r="A1398">
            <v>22350</v>
          </cell>
          <cell r="B1398" t="str">
            <v>SHELLA ANGELIA</v>
          </cell>
          <cell r="C1398" t="str">
            <v>SAMI</v>
          </cell>
          <cell r="D1398" t="str">
            <v>OPT-556</v>
          </cell>
          <cell r="E1398">
            <v>43195</v>
          </cell>
          <cell r="F1398">
            <v>43225</v>
          </cell>
          <cell r="G1398">
            <v>43585</v>
          </cell>
          <cell r="H1398" t="str">
            <v>PRD</v>
          </cell>
          <cell r="I1398" t="str">
            <v>PRD</v>
          </cell>
          <cell r="J1398" t="str">
            <v>DYNA</v>
          </cell>
          <cell r="K1398" t="str">
            <v>DYNA</v>
          </cell>
          <cell r="L1398" t="str">
            <v>CV 16</v>
          </cell>
          <cell r="M1398" t="str">
            <v>FINISHING</v>
          </cell>
          <cell r="N1398" t="str">
            <v>FINISHING &amp; GROMMET INJECTION</v>
          </cell>
          <cell r="O1398" t="str">
            <v>B</v>
          </cell>
        </row>
        <row r="1399">
          <cell r="A1399">
            <v>22353</v>
          </cell>
          <cell r="B1399" t="str">
            <v>SITI MUTHOHAROH</v>
          </cell>
          <cell r="C1399" t="str">
            <v>SAMI</v>
          </cell>
          <cell r="D1399" t="str">
            <v>OPT-556</v>
          </cell>
          <cell r="E1399">
            <v>43195</v>
          </cell>
          <cell r="F1399">
            <v>43225</v>
          </cell>
          <cell r="G1399">
            <v>43585</v>
          </cell>
          <cell r="H1399" t="str">
            <v>PRD</v>
          </cell>
          <cell r="I1399" t="str">
            <v>PRD</v>
          </cell>
          <cell r="J1399" t="str">
            <v>DYNA</v>
          </cell>
          <cell r="K1399" t="str">
            <v>DYNA</v>
          </cell>
          <cell r="L1399" t="str">
            <v>CV 16</v>
          </cell>
          <cell r="M1399" t="str">
            <v>S/T 4</v>
          </cell>
          <cell r="N1399" t="str">
            <v>ASSEMBLY</v>
          </cell>
          <cell r="O1399" t="str">
            <v>B</v>
          </cell>
        </row>
        <row r="1400">
          <cell r="A1400">
            <v>22416</v>
          </cell>
          <cell r="B1400" t="str">
            <v>RIZQI SHEFTIANA PUTRI</v>
          </cell>
          <cell r="C1400" t="str">
            <v>SAMI</v>
          </cell>
          <cell r="D1400" t="str">
            <v>OPT-558</v>
          </cell>
          <cell r="E1400">
            <v>43213</v>
          </cell>
          <cell r="F1400">
            <v>43243</v>
          </cell>
          <cell r="G1400">
            <v>43616</v>
          </cell>
          <cell r="H1400" t="str">
            <v>PRD</v>
          </cell>
          <cell r="I1400" t="str">
            <v>PRD</v>
          </cell>
          <cell r="J1400" t="str">
            <v>DYNA</v>
          </cell>
          <cell r="K1400" t="str">
            <v>DYNA</v>
          </cell>
          <cell r="L1400" t="str">
            <v>CV 16</v>
          </cell>
          <cell r="M1400" t="str">
            <v>T/P 3.1</v>
          </cell>
          <cell r="N1400" t="str">
            <v>ASSEMBLY</v>
          </cell>
          <cell r="O1400" t="str">
            <v>B</v>
          </cell>
        </row>
        <row r="1401">
          <cell r="A1401">
            <v>22725</v>
          </cell>
          <cell r="B1401" t="str">
            <v>AULIA DWI HARYANI</v>
          </cell>
          <cell r="C1401" t="str">
            <v>SAMI</v>
          </cell>
          <cell r="D1401" t="str">
            <v>OPT-564</v>
          </cell>
          <cell r="E1401">
            <v>43255</v>
          </cell>
          <cell r="F1401">
            <v>43285</v>
          </cell>
          <cell r="G1401">
            <v>43646</v>
          </cell>
          <cell r="H1401" t="str">
            <v>PRD</v>
          </cell>
          <cell r="I1401" t="str">
            <v>PRD</v>
          </cell>
          <cell r="J1401" t="str">
            <v>DYNA</v>
          </cell>
          <cell r="K1401" t="str">
            <v>DYNA</v>
          </cell>
          <cell r="L1401" t="str">
            <v>CV 16</v>
          </cell>
          <cell r="M1401" t="str">
            <v>CIRCUIT SUPPLIER 01</v>
          </cell>
          <cell r="N1401" t="str">
            <v>CIRCUIT SUPPLY</v>
          </cell>
          <cell r="O1401" t="str">
            <v>B</v>
          </cell>
        </row>
        <row r="1402">
          <cell r="A1402">
            <v>22778</v>
          </cell>
          <cell r="B1402" t="str">
            <v>YOFI FIBRIYANA</v>
          </cell>
          <cell r="C1402" t="str">
            <v>SAMI</v>
          </cell>
          <cell r="D1402" t="str">
            <v>OPT-564</v>
          </cell>
          <cell r="E1402">
            <v>43255</v>
          </cell>
          <cell r="F1402">
            <v>43285</v>
          </cell>
          <cell r="G1402">
            <v>43646</v>
          </cell>
          <cell r="H1402" t="str">
            <v>PRD</v>
          </cell>
          <cell r="I1402" t="str">
            <v>PRD</v>
          </cell>
          <cell r="J1402" t="str">
            <v>DYNA</v>
          </cell>
          <cell r="K1402" t="str">
            <v>DYNA</v>
          </cell>
          <cell r="L1402" t="str">
            <v>CV 16</v>
          </cell>
          <cell r="M1402" t="str">
            <v>S/T 1</v>
          </cell>
          <cell r="N1402" t="str">
            <v>ASSEMBLY</v>
          </cell>
          <cell r="O1402" t="str">
            <v>B</v>
          </cell>
        </row>
        <row r="1403">
          <cell r="A1403">
            <v>22797</v>
          </cell>
          <cell r="B1403" t="str">
            <v>RINA SETYANI</v>
          </cell>
          <cell r="C1403" t="str">
            <v>SAMI</v>
          </cell>
          <cell r="D1403" t="str">
            <v>OPT-565</v>
          </cell>
          <cell r="E1403">
            <v>43283</v>
          </cell>
          <cell r="F1403">
            <v>43314</v>
          </cell>
          <cell r="G1403">
            <v>43677</v>
          </cell>
          <cell r="H1403" t="str">
            <v>PRD</v>
          </cell>
          <cell r="I1403" t="str">
            <v>PRD</v>
          </cell>
          <cell r="J1403" t="str">
            <v>DYNA</v>
          </cell>
          <cell r="K1403" t="str">
            <v>DYNA</v>
          </cell>
          <cell r="L1403" t="str">
            <v>CV 16</v>
          </cell>
          <cell r="M1403" t="str">
            <v>CIRCUIT SUPPLIER 03</v>
          </cell>
          <cell r="N1403" t="str">
            <v>CIRCUIT SUPPLY</v>
          </cell>
          <cell r="O1403" t="str">
            <v>B</v>
          </cell>
        </row>
        <row r="1404">
          <cell r="A1404">
            <v>22799</v>
          </cell>
          <cell r="B1404" t="str">
            <v>UMI LABIBAH</v>
          </cell>
          <cell r="C1404" t="str">
            <v>SAMI</v>
          </cell>
          <cell r="D1404" t="str">
            <v>OPT-565</v>
          </cell>
          <cell r="E1404">
            <v>43283</v>
          </cell>
          <cell r="F1404">
            <v>43314</v>
          </cell>
          <cell r="G1404">
            <v>43677</v>
          </cell>
          <cell r="H1404" t="str">
            <v>PRD</v>
          </cell>
          <cell r="I1404" t="str">
            <v>PRD</v>
          </cell>
          <cell r="J1404" t="str">
            <v>DYNA</v>
          </cell>
          <cell r="K1404" t="str">
            <v>DYNA</v>
          </cell>
          <cell r="L1404" t="str">
            <v>CV 16</v>
          </cell>
          <cell r="M1404" t="str">
            <v>T/P 4</v>
          </cell>
          <cell r="N1404" t="str">
            <v>ASSEMBLY</v>
          </cell>
          <cell r="O1404" t="str">
            <v>B</v>
          </cell>
        </row>
        <row r="1405">
          <cell r="A1405">
            <v>23006</v>
          </cell>
          <cell r="B1405" t="str">
            <v>DINI FEBRIANI</v>
          </cell>
          <cell r="C1405" t="str">
            <v>SAMI</v>
          </cell>
          <cell r="D1405" t="str">
            <v>OPT-569</v>
          </cell>
          <cell r="E1405">
            <v>43361</v>
          </cell>
          <cell r="F1405">
            <v>43391</v>
          </cell>
          <cell r="G1405">
            <v>43769</v>
          </cell>
          <cell r="H1405" t="str">
            <v>PRD</v>
          </cell>
          <cell r="I1405" t="str">
            <v>PRD</v>
          </cell>
          <cell r="J1405" t="str">
            <v>DYNA</v>
          </cell>
          <cell r="K1405" t="str">
            <v>DYNA</v>
          </cell>
          <cell r="L1405" t="str">
            <v>CV 16</v>
          </cell>
          <cell r="M1405" t="str">
            <v>S/A SP</v>
          </cell>
          <cell r="N1405" t="str">
            <v>INTERNAL TRIAL</v>
          </cell>
          <cell r="O1405" t="str">
            <v>B</v>
          </cell>
        </row>
        <row r="1406">
          <cell r="A1406">
            <v>23043</v>
          </cell>
          <cell r="B1406" t="str">
            <v xml:space="preserve">MELLY PUTRI APRILIANI </v>
          </cell>
          <cell r="C1406" t="str">
            <v>SAMI</v>
          </cell>
          <cell r="D1406" t="str">
            <v>OPT-569</v>
          </cell>
          <cell r="E1406">
            <v>43361</v>
          </cell>
          <cell r="F1406">
            <v>43391</v>
          </cell>
          <cell r="G1406">
            <v>43769</v>
          </cell>
          <cell r="H1406" t="str">
            <v>PRD</v>
          </cell>
          <cell r="I1406" t="str">
            <v>PRD</v>
          </cell>
          <cell r="J1406" t="str">
            <v>DYNA</v>
          </cell>
          <cell r="K1406" t="str">
            <v>DYNA</v>
          </cell>
          <cell r="L1406" t="str">
            <v>CV 16</v>
          </cell>
          <cell r="M1406" t="str">
            <v>T/P 3</v>
          </cell>
          <cell r="N1406" t="str">
            <v>ASSEMBLY</v>
          </cell>
          <cell r="O1406" t="str">
            <v>B</v>
          </cell>
        </row>
        <row r="1407">
          <cell r="A1407">
            <v>23062</v>
          </cell>
          <cell r="B1407" t="str">
            <v>NUR ROHMAH</v>
          </cell>
          <cell r="C1407" t="str">
            <v>SAMI</v>
          </cell>
          <cell r="D1407" t="str">
            <v>OPT-569</v>
          </cell>
          <cell r="E1407">
            <v>43361</v>
          </cell>
          <cell r="F1407">
            <v>43391</v>
          </cell>
          <cell r="G1407">
            <v>43769</v>
          </cell>
          <cell r="H1407" t="str">
            <v>PRD</v>
          </cell>
          <cell r="I1407" t="str">
            <v>PRD</v>
          </cell>
          <cell r="J1407" t="str">
            <v>DYNA</v>
          </cell>
          <cell r="K1407" t="str">
            <v>DYNA</v>
          </cell>
          <cell r="L1407" t="str">
            <v>CV 16</v>
          </cell>
          <cell r="M1407" t="str">
            <v>T/P 4</v>
          </cell>
          <cell r="N1407" t="str">
            <v>ASSEMBLY</v>
          </cell>
          <cell r="O1407" t="str">
            <v>B</v>
          </cell>
        </row>
        <row r="1408">
          <cell r="A1408">
            <v>23106</v>
          </cell>
          <cell r="B1408" t="str">
            <v>DEVIANA PUPUT SAPUTRI</v>
          </cell>
          <cell r="C1408" t="str">
            <v>SAMI</v>
          </cell>
          <cell r="D1408" t="str">
            <v>OPT-570</v>
          </cell>
          <cell r="E1408">
            <v>43369</v>
          </cell>
          <cell r="F1408">
            <v>43399</v>
          </cell>
          <cell r="G1408">
            <v>43769</v>
          </cell>
          <cell r="H1408" t="str">
            <v>PRD</v>
          </cell>
          <cell r="I1408" t="str">
            <v>PRD</v>
          </cell>
          <cell r="J1408" t="str">
            <v>DYNA</v>
          </cell>
          <cell r="K1408" t="str">
            <v>DYNA</v>
          </cell>
          <cell r="L1408" t="str">
            <v>CV 16</v>
          </cell>
          <cell r="M1408" t="str">
            <v>S/A 4</v>
          </cell>
          <cell r="N1408" t="str">
            <v>SUB ASSY</v>
          </cell>
          <cell r="O1408" t="str">
            <v>B</v>
          </cell>
        </row>
        <row r="1409">
          <cell r="A1409">
            <v>23133</v>
          </cell>
          <cell r="B1409" t="str">
            <v>LUDFIYATUL MAZALAH</v>
          </cell>
          <cell r="C1409" t="str">
            <v>SAMI</v>
          </cell>
          <cell r="D1409" t="str">
            <v>OPT-570</v>
          </cell>
          <cell r="E1409">
            <v>43369</v>
          </cell>
          <cell r="F1409">
            <v>43399</v>
          </cell>
          <cell r="G1409">
            <v>43769</v>
          </cell>
          <cell r="H1409" t="str">
            <v>PRD</v>
          </cell>
          <cell r="I1409" t="str">
            <v>PRD</v>
          </cell>
          <cell r="J1409" t="str">
            <v>DYNA</v>
          </cell>
          <cell r="K1409" t="str">
            <v>DYNA</v>
          </cell>
          <cell r="L1409" t="str">
            <v>CV 16</v>
          </cell>
          <cell r="M1409" t="str">
            <v>CHECKER</v>
          </cell>
          <cell r="N1409" t="str">
            <v>ELECTRICAL INSPECTION</v>
          </cell>
          <cell r="O1409" t="str">
            <v>B</v>
          </cell>
        </row>
        <row r="1410">
          <cell r="A1410">
            <v>23198</v>
          </cell>
          <cell r="B1410" t="str">
            <v>AROFAH</v>
          </cell>
          <cell r="C1410" t="str">
            <v>SAMI</v>
          </cell>
          <cell r="D1410" t="str">
            <v>OPT-573</v>
          </cell>
          <cell r="E1410">
            <v>43421</v>
          </cell>
          <cell r="F1410">
            <v>43451</v>
          </cell>
          <cell r="G1410">
            <v>43830</v>
          </cell>
          <cell r="H1410" t="str">
            <v>PRD</v>
          </cell>
          <cell r="I1410" t="str">
            <v>PRD</v>
          </cell>
          <cell r="J1410" t="str">
            <v>DYNA</v>
          </cell>
          <cell r="K1410" t="str">
            <v>DYNA</v>
          </cell>
          <cell r="L1410" t="str">
            <v>CV 16</v>
          </cell>
          <cell r="M1410" t="str">
            <v>T/P 1</v>
          </cell>
          <cell r="N1410" t="str">
            <v>ASSEMBLY</v>
          </cell>
          <cell r="O1410" t="str">
            <v>B</v>
          </cell>
        </row>
        <row r="1411">
          <cell r="A1411">
            <v>23199</v>
          </cell>
          <cell r="B1411" t="str">
            <v>AVY RUMAENUR</v>
          </cell>
          <cell r="C1411" t="str">
            <v>SAMI</v>
          </cell>
          <cell r="D1411" t="str">
            <v>OPT-573</v>
          </cell>
          <cell r="E1411">
            <v>43421</v>
          </cell>
          <cell r="F1411">
            <v>43451</v>
          </cell>
          <cell r="G1411">
            <v>43830</v>
          </cell>
          <cell r="H1411" t="str">
            <v>PRD</v>
          </cell>
          <cell r="I1411" t="str">
            <v>PRD</v>
          </cell>
          <cell r="J1411" t="str">
            <v>DYNA</v>
          </cell>
          <cell r="K1411" t="str">
            <v>DYNA</v>
          </cell>
          <cell r="L1411" t="str">
            <v>CV 16</v>
          </cell>
          <cell r="M1411" t="str">
            <v>S/A 2</v>
          </cell>
          <cell r="N1411" t="str">
            <v>SUB ASSY</v>
          </cell>
          <cell r="O1411" t="str">
            <v>B</v>
          </cell>
        </row>
        <row r="1412">
          <cell r="A1412">
            <v>23202</v>
          </cell>
          <cell r="B1412" t="str">
            <v>CERLINA ANIS MAWARNI</v>
          </cell>
          <cell r="C1412" t="str">
            <v>SAMI</v>
          </cell>
          <cell r="D1412" t="str">
            <v>OPT-573</v>
          </cell>
          <cell r="E1412">
            <v>43421</v>
          </cell>
          <cell r="F1412">
            <v>43451</v>
          </cell>
          <cell r="G1412">
            <v>43830</v>
          </cell>
          <cell r="H1412" t="str">
            <v>PRD</v>
          </cell>
          <cell r="I1412" t="str">
            <v>PRD</v>
          </cell>
          <cell r="J1412" t="str">
            <v>DYNA</v>
          </cell>
          <cell r="K1412" t="str">
            <v>DYNA</v>
          </cell>
          <cell r="L1412" t="str">
            <v>CV 16</v>
          </cell>
          <cell r="M1412" t="str">
            <v>OJT MATERIAL SUPPLY</v>
          </cell>
          <cell r="N1412" t="str">
            <v>INTERNAL TRIAL</v>
          </cell>
          <cell r="O1412" t="str">
            <v>B</v>
          </cell>
        </row>
        <row r="1413">
          <cell r="A1413">
            <v>23215</v>
          </cell>
          <cell r="B1413" t="str">
            <v>DUROTUN MILATINA</v>
          </cell>
          <cell r="C1413" t="str">
            <v>SAMI</v>
          </cell>
          <cell r="D1413" t="str">
            <v>OPT-573</v>
          </cell>
          <cell r="E1413">
            <v>43421</v>
          </cell>
          <cell r="F1413">
            <v>43451</v>
          </cell>
          <cell r="G1413">
            <v>43830</v>
          </cell>
          <cell r="H1413" t="str">
            <v>PRD</v>
          </cell>
          <cell r="I1413" t="str">
            <v>PRD</v>
          </cell>
          <cell r="J1413" t="str">
            <v>DYNA</v>
          </cell>
          <cell r="K1413" t="str">
            <v>DYNA</v>
          </cell>
          <cell r="L1413" t="str">
            <v>CV 16</v>
          </cell>
          <cell r="M1413" t="str">
            <v>OJT CHECKER</v>
          </cell>
          <cell r="N1413" t="str">
            <v>INTERNAL TRIAL</v>
          </cell>
          <cell r="O1413" t="str">
            <v>B</v>
          </cell>
        </row>
        <row r="1414">
          <cell r="A1414">
            <v>23322</v>
          </cell>
          <cell r="B1414" t="str">
            <v>LAILA QHOIRAH WAHIDA</v>
          </cell>
          <cell r="C1414" t="str">
            <v>SAMI</v>
          </cell>
          <cell r="D1414" t="str">
            <v>OPT-574</v>
          </cell>
          <cell r="E1414">
            <v>43427</v>
          </cell>
          <cell r="F1414">
            <v>43457</v>
          </cell>
          <cell r="G1414">
            <v>43830</v>
          </cell>
          <cell r="H1414" t="str">
            <v>PRD</v>
          </cell>
          <cell r="I1414" t="str">
            <v>PRD</v>
          </cell>
          <cell r="J1414" t="str">
            <v>DYNA</v>
          </cell>
          <cell r="K1414" t="str">
            <v>DYNA</v>
          </cell>
          <cell r="L1414" t="str">
            <v>CV 16</v>
          </cell>
          <cell r="M1414" t="str">
            <v xml:space="preserve">OJT SA </v>
          </cell>
          <cell r="N1414" t="str">
            <v>INTERNAL TRIAL</v>
          </cell>
          <cell r="O1414" t="str">
            <v>B</v>
          </cell>
        </row>
        <row r="1415">
          <cell r="A1415">
            <v>23370</v>
          </cell>
          <cell r="B1415" t="str">
            <v>SUGIYANTI</v>
          </cell>
          <cell r="C1415" t="str">
            <v>SAMI</v>
          </cell>
          <cell r="D1415" t="str">
            <v>OPT-574</v>
          </cell>
          <cell r="E1415">
            <v>43427</v>
          </cell>
          <cell r="F1415">
            <v>43457</v>
          </cell>
          <cell r="G1415">
            <v>43830</v>
          </cell>
          <cell r="H1415" t="str">
            <v>PRD</v>
          </cell>
          <cell r="I1415" t="str">
            <v>PRD</v>
          </cell>
          <cell r="J1415" t="str">
            <v>DYNA</v>
          </cell>
          <cell r="K1415" t="str">
            <v>DYNA</v>
          </cell>
          <cell r="L1415" t="str">
            <v>CV 16</v>
          </cell>
          <cell r="M1415" t="str">
            <v>T/P 2</v>
          </cell>
          <cell r="N1415" t="str">
            <v>ASSEMBLY</v>
          </cell>
          <cell r="O1415" t="str">
            <v>B</v>
          </cell>
        </row>
        <row r="1416">
          <cell r="A1416">
            <v>23381</v>
          </cell>
          <cell r="B1416" t="str">
            <v>WAHYU PUSPA PRATIWI</v>
          </cell>
          <cell r="C1416" t="str">
            <v>SAMI</v>
          </cell>
          <cell r="D1416" t="str">
            <v>OPT-574</v>
          </cell>
          <cell r="E1416">
            <v>43427</v>
          </cell>
          <cell r="F1416">
            <v>43457</v>
          </cell>
          <cell r="G1416">
            <v>43830</v>
          </cell>
          <cell r="H1416" t="str">
            <v>PRD</v>
          </cell>
          <cell r="I1416" t="str">
            <v>PRD</v>
          </cell>
          <cell r="J1416" t="str">
            <v>DYNA</v>
          </cell>
          <cell r="K1416" t="str">
            <v>DYNA</v>
          </cell>
          <cell r="L1416" t="str">
            <v>CV 16</v>
          </cell>
          <cell r="M1416" t="str">
            <v>OJT CIRCUIT SUPPLIER</v>
          </cell>
          <cell r="N1416" t="str">
            <v>INTERNAL TRIAL</v>
          </cell>
          <cell r="O1416" t="str">
            <v>B</v>
          </cell>
        </row>
        <row r="1417">
          <cell r="A1417" t="str">
            <v>B00213</v>
          </cell>
          <cell r="B1417" t="str">
            <v>MUSRIYAH</v>
          </cell>
          <cell r="C1417" t="str">
            <v>SAMI</v>
          </cell>
          <cell r="D1417" t="str">
            <v>BBF-004</v>
          </cell>
          <cell r="E1417">
            <v>40847</v>
          </cell>
          <cell r="F1417" t="str">
            <v>-</v>
          </cell>
          <cell r="G1417" t="str">
            <v>-</v>
          </cell>
          <cell r="H1417" t="str">
            <v>PRD</v>
          </cell>
          <cell r="I1417" t="str">
            <v>PRD</v>
          </cell>
          <cell r="J1417" t="str">
            <v>DYNA</v>
          </cell>
          <cell r="K1417" t="str">
            <v>DYNA</v>
          </cell>
          <cell r="L1417" t="str">
            <v>CV 16</v>
          </cell>
          <cell r="M1417" t="str">
            <v>S/A SP</v>
          </cell>
          <cell r="N1417" t="str">
            <v>SUB ASSY</v>
          </cell>
          <cell r="O1417" t="str">
            <v>B</v>
          </cell>
        </row>
        <row r="1418">
          <cell r="A1418">
            <v>23565</v>
          </cell>
          <cell r="B1418" t="str">
            <v>LIFIA ALFADHELIA</v>
          </cell>
          <cell r="C1418" t="str">
            <v>SAMI</v>
          </cell>
          <cell r="D1418" t="str">
            <v>OPT-577</v>
          </cell>
          <cell r="E1418">
            <v>43452</v>
          </cell>
          <cell r="F1418">
            <v>43483</v>
          </cell>
          <cell r="G1418">
            <v>43861</v>
          </cell>
          <cell r="H1418" t="str">
            <v>PRD</v>
          </cell>
          <cell r="I1418" t="str">
            <v>PRD</v>
          </cell>
          <cell r="J1418" t="str">
            <v>DYNA</v>
          </cell>
          <cell r="K1418" t="str">
            <v>DYNA</v>
          </cell>
          <cell r="L1418" t="str">
            <v>CV 16</v>
          </cell>
          <cell r="M1418" t="str">
            <v>OJT</v>
          </cell>
          <cell r="N1418" t="str">
            <v>INTERNAL TRIAL</v>
          </cell>
          <cell r="O1418" t="str">
            <v>B</v>
          </cell>
        </row>
        <row r="1419">
          <cell r="A1419">
            <v>1049</v>
          </cell>
          <cell r="B1419" t="str">
            <v>NIDYAH ARI TRIANINGRUM</v>
          </cell>
          <cell r="C1419" t="str">
            <v>SAMI</v>
          </cell>
          <cell r="D1419" t="str">
            <v>OPT-26</v>
          </cell>
          <cell r="E1419">
            <v>37879</v>
          </cell>
          <cell r="F1419" t="str">
            <v>-</v>
          </cell>
          <cell r="G1419" t="str">
            <v>-</v>
          </cell>
          <cell r="H1419" t="str">
            <v>PRD</v>
          </cell>
          <cell r="I1419" t="str">
            <v>PRD</v>
          </cell>
          <cell r="J1419" t="str">
            <v>HONDA GRACE</v>
          </cell>
          <cell r="K1419" t="str">
            <v>HONDA CITY W/H L CABIN</v>
          </cell>
          <cell r="L1419" t="str">
            <v>CV 17</v>
          </cell>
          <cell r="M1419" t="str">
            <v>T/P 3.2</v>
          </cell>
          <cell r="N1419" t="str">
            <v>ASSEMBLY</v>
          </cell>
          <cell r="O1419" t="str">
            <v>A</v>
          </cell>
        </row>
        <row r="1420">
          <cell r="A1420">
            <v>1275</v>
          </cell>
          <cell r="B1420" t="str">
            <v>CHUSNUL CHOTIMAH</v>
          </cell>
          <cell r="C1420" t="str">
            <v>SAMI</v>
          </cell>
          <cell r="D1420" t="str">
            <v>OPT-31</v>
          </cell>
          <cell r="E1420">
            <v>37921</v>
          </cell>
          <cell r="F1420" t="str">
            <v>-</v>
          </cell>
          <cell r="G1420" t="str">
            <v>-</v>
          </cell>
          <cell r="H1420" t="str">
            <v>PRD</v>
          </cell>
          <cell r="I1420" t="str">
            <v>PRD</v>
          </cell>
          <cell r="J1420" t="str">
            <v>HONDA GRACE</v>
          </cell>
          <cell r="K1420" t="str">
            <v>HONDA CITY W/H L CABIN</v>
          </cell>
          <cell r="L1420" t="str">
            <v>CV 17</v>
          </cell>
          <cell r="M1420" t="str">
            <v>BATERAY CABLE</v>
          </cell>
          <cell r="N1420" t="str">
            <v>ASSEMBLY</v>
          </cell>
          <cell r="O1420" t="str">
            <v>A</v>
          </cell>
        </row>
        <row r="1421">
          <cell r="A1421">
            <v>9014</v>
          </cell>
          <cell r="B1421" t="str">
            <v>NIA HARYANTI</v>
          </cell>
          <cell r="C1421" t="str">
            <v>SAMI</v>
          </cell>
          <cell r="D1421" t="str">
            <v>OPT-201</v>
          </cell>
          <cell r="E1421">
            <v>39975</v>
          </cell>
          <cell r="F1421" t="str">
            <v>-</v>
          </cell>
          <cell r="G1421" t="str">
            <v>-</v>
          </cell>
          <cell r="H1421" t="str">
            <v>PRD</v>
          </cell>
          <cell r="I1421" t="str">
            <v>PRD</v>
          </cell>
          <cell r="J1421" t="str">
            <v>HONDA GRACE</v>
          </cell>
          <cell r="K1421" t="str">
            <v>HONDA CITY W/H L CABIN</v>
          </cell>
          <cell r="L1421" t="str">
            <v>CV 17</v>
          </cell>
          <cell r="M1421" t="str">
            <v>BATERAY CABLE</v>
          </cell>
          <cell r="N1421" t="str">
            <v>ASSEMBLY</v>
          </cell>
          <cell r="O1421" t="str">
            <v>A</v>
          </cell>
        </row>
        <row r="1422">
          <cell r="A1422">
            <v>9331</v>
          </cell>
          <cell r="B1422" t="str">
            <v>SITI KHOLIFAH</v>
          </cell>
          <cell r="C1422" t="str">
            <v>SAMI</v>
          </cell>
          <cell r="D1422" t="str">
            <v>OPT-216</v>
          </cell>
          <cell r="E1422">
            <v>40148</v>
          </cell>
          <cell r="F1422" t="str">
            <v>-</v>
          </cell>
          <cell r="G1422" t="str">
            <v>-</v>
          </cell>
          <cell r="H1422" t="str">
            <v>PRD</v>
          </cell>
          <cell r="I1422" t="str">
            <v>PRD</v>
          </cell>
          <cell r="J1422" t="str">
            <v>HONDA GRACE</v>
          </cell>
          <cell r="K1422" t="str">
            <v>HONDA CITY W/H L CABIN</v>
          </cell>
          <cell r="L1422" t="str">
            <v>CV 17</v>
          </cell>
          <cell r="M1422" t="str">
            <v>VISUAL</v>
          </cell>
          <cell r="N1422" t="str">
            <v>VISUAL INSPECTION</v>
          </cell>
          <cell r="O1422" t="str">
            <v>A</v>
          </cell>
        </row>
        <row r="1423">
          <cell r="A1423">
            <v>9512</v>
          </cell>
          <cell r="B1423" t="str">
            <v>ISNA FITRIYATUR ROHMANIYAH</v>
          </cell>
          <cell r="C1423" t="str">
            <v>SAMI</v>
          </cell>
          <cell r="D1423" t="str">
            <v>OPT-216</v>
          </cell>
          <cell r="E1423">
            <v>40148</v>
          </cell>
          <cell r="F1423" t="str">
            <v>-</v>
          </cell>
          <cell r="G1423" t="str">
            <v>-</v>
          </cell>
          <cell r="H1423" t="str">
            <v>PRD</v>
          </cell>
          <cell r="I1423" t="str">
            <v>PRD</v>
          </cell>
          <cell r="J1423" t="str">
            <v>HONDA GRACE</v>
          </cell>
          <cell r="K1423" t="str">
            <v>HONDA CITY W/H L CABIN</v>
          </cell>
          <cell r="L1423" t="str">
            <v>CV 17</v>
          </cell>
          <cell r="M1423" t="str">
            <v>SUB LINE CHO</v>
          </cell>
          <cell r="N1423" t="str">
            <v>GL</v>
          </cell>
          <cell r="O1423" t="str">
            <v>A</v>
          </cell>
        </row>
        <row r="1424">
          <cell r="A1424">
            <v>10230</v>
          </cell>
          <cell r="B1424" t="str">
            <v>SOLIKHATI</v>
          </cell>
          <cell r="C1424" t="str">
            <v>SAMI</v>
          </cell>
          <cell r="D1424" t="str">
            <v>OPT-259</v>
          </cell>
          <cell r="E1424">
            <v>40489</v>
          </cell>
          <cell r="F1424" t="str">
            <v>-</v>
          </cell>
          <cell r="G1424" t="str">
            <v>-</v>
          </cell>
          <cell r="H1424" t="str">
            <v>PRD</v>
          </cell>
          <cell r="I1424" t="str">
            <v>PRD</v>
          </cell>
          <cell r="J1424" t="str">
            <v>HONDA GRACE</v>
          </cell>
          <cell r="K1424" t="str">
            <v>HONDA CITY W/H L CABIN</v>
          </cell>
          <cell r="L1424" t="str">
            <v>CV 17</v>
          </cell>
          <cell r="M1424" t="str">
            <v>S/A 3</v>
          </cell>
          <cell r="N1424" t="str">
            <v>SUB ASSY</v>
          </cell>
          <cell r="O1424" t="str">
            <v>A</v>
          </cell>
        </row>
        <row r="1425">
          <cell r="A1425">
            <v>10464</v>
          </cell>
          <cell r="B1425" t="str">
            <v>NINUK MULIYAWATI</v>
          </cell>
          <cell r="C1425" t="str">
            <v>SAMI</v>
          </cell>
          <cell r="D1425" t="str">
            <v>OPT-270</v>
          </cell>
          <cell r="E1425">
            <v>40524</v>
          </cell>
          <cell r="F1425" t="str">
            <v>-</v>
          </cell>
          <cell r="G1425" t="str">
            <v>-</v>
          </cell>
          <cell r="H1425" t="str">
            <v>PRD</v>
          </cell>
          <cell r="I1425" t="str">
            <v>PRD</v>
          </cell>
          <cell r="J1425" t="str">
            <v>HONDA GRACE</v>
          </cell>
          <cell r="K1425" t="str">
            <v>HONDA CITY W/H L CABIN</v>
          </cell>
          <cell r="L1425" t="str">
            <v>CV 17</v>
          </cell>
          <cell r="M1425" t="str">
            <v>CAMERA FUSE</v>
          </cell>
          <cell r="N1425" t="str">
            <v>ELECTRICAL INSPECTION</v>
          </cell>
          <cell r="O1425" t="str">
            <v>A</v>
          </cell>
        </row>
        <row r="1426">
          <cell r="A1426">
            <v>10563</v>
          </cell>
          <cell r="B1426" t="str">
            <v>SITI NUR JANAH</v>
          </cell>
          <cell r="C1426" t="str">
            <v>SAMI</v>
          </cell>
          <cell r="D1426" t="str">
            <v>OPT-275</v>
          </cell>
          <cell r="E1426">
            <v>40542</v>
          </cell>
          <cell r="F1426" t="str">
            <v>-</v>
          </cell>
          <cell r="G1426" t="str">
            <v>-</v>
          </cell>
          <cell r="H1426" t="str">
            <v>PRD</v>
          </cell>
          <cell r="I1426" t="str">
            <v>PRD</v>
          </cell>
          <cell r="J1426" t="str">
            <v>HONDA GRACE</v>
          </cell>
          <cell r="K1426" t="str">
            <v>HONDA CITY W/H L CABIN</v>
          </cell>
          <cell r="L1426" t="str">
            <v>CV 17</v>
          </cell>
          <cell r="M1426" t="str">
            <v>CHECKER 1</v>
          </cell>
          <cell r="N1426" t="str">
            <v>ELECTRICAL INSPECTION</v>
          </cell>
          <cell r="O1426" t="str">
            <v>A</v>
          </cell>
        </row>
        <row r="1427">
          <cell r="A1427">
            <v>10995</v>
          </cell>
          <cell r="B1427" t="str">
            <v>AMBAR WATI</v>
          </cell>
          <cell r="C1427" t="str">
            <v>SAMI</v>
          </cell>
          <cell r="D1427" t="str">
            <v>OPT-287</v>
          </cell>
          <cell r="E1427">
            <v>40585</v>
          </cell>
          <cell r="F1427" t="str">
            <v>-</v>
          </cell>
          <cell r="G1427" t="str">
            <v>-</v>
          </cell>
          <cell r="H1427" t="str">
            <v>PRD</v>
          </cell>
          <cell r="I1427" t="str">
            <v>PRD</v>
          </cell>
          <cell r="J1427" t="str">
            <v>HONDA GRACE</v>
          </cell>
          <cell r="K1427" t="str">
            <v>HONDA CITY W/H L CABIN</v>
          </cell>
          <cell r="L1427" t="str">
            <v>CV 17</v>
          </cell>
          <cell r="M1427" t="str">
            <v>LQC</v>
          </cell>
          <cell r="N1427" t="str">
            <v>RELIEF</v>
          </cell>
          <cell r="O1427" t="str">
            <v>A</v>
          </cell>
        </row>
        <row r="1428">
          <cell r="A1428">
            <v>11053</v>
          </cell>
          <cell r="B1428" t="str">
            <v>YUMROTUN</v>
          </cell>
          <cell r="C1428" t="str">
            <v>SAMI</v>
          </cell>
          <cell r="D1428" t="str">
            <v>OPT-288</v>
          </cell>
          <cell r="E1428">
            <v>40592</v>
          </cell>
          <cell r="F1428" t="str">
            <v>-</v>
          </cell>
          <cell r="G1428" t="str">
            <v>-</v>
          </cell>
          <cell r="H1428" t="str">
            <v>PRD</v>
          </cell>
          <cell r="I1428" t="str">
            <v>PRD</v>
          </cell>
          <cell r="J1428" t="str">
            <v>HONDA GRACE</v>
          </cell>
          <cell r="K1428" t="str">
            <v>HONDA CITY W/H L CABIN</v>
          </cell>
          <cell r="L1428" t="str">
            <v>CV 17</v>
          </cell>
          <cell r="M1428" t="str">
            <v>S/A 2</v>
          </cell>
          <cell r="N1428" t="str">
            <v>SUB ASSY</v>
          </cell>
          <cell r="O1428" t="str">
            <v>A</v>
          </cell>
        </row>
        <row r="1429">
          <cell r="A1429">
            <v>11186</v>
          </cell>
          <cell r="B1429" t="str">
            <v>SULISTYORINI</v>
          </cell>
          <cell r="C1429" t="str">
            <v>SAMI</v>
          </cell>
          <cell r="D1429" t="str">
            <v>OPT-292</v>
          </cell>
          <cell r="E1429">
            <v>40610</v>
          </cell>
          <cell r="F1429" t="str">
            <v>-</v>
          </cell>
          <cell r="G1429" t="str">
            <v>-</v>
          </cell>
          <cell r="H1429" t="str">
            <v>PRD</v>
          </cell>
          <cell r="I1429" t="str">
            <v>PRD</v>
          </cell>
          <cell r="J1429" t="str">
            <v>HONDA GRACE</v>
          </cell>
          <cell r="K1429" t="str">
            <v>HONDA CITY W/H L CABIN</v>
          </cell>
          <cell r="L1429" t="str">
            <v>CV 17</v>
          </cell>
          <cell r="M1429" t="str">
            <v>T/P 2.3</v>
          </cell>
          <cell r="N1429" t="str">
            <v>ASSEMBLY</v>
          </cell>
          <cell r="O1429" t="str">
            <v>A</v>
          </cell>
        </row>
        <row r="1430">
          <cell r="A1430">
            <v>12404</v>
          </cell>
          <cell r="B1430" t="str">
            <v>WAHYU DWI IRNAWATI</v>
          </cell>
          <cell r="C1430" t="str">
            <v>SAMI</v>
          </cell>
          <cell r="D1430" t="str">
            <v>OPT-317</v>
          </cell>
          <cell r="E1430">
            <v>40809</v>
          </cell>
          <cell r="F1430" t="str">
            <v>-</v>
          </cell>
          <cell r="G1430" t="str">
            <v>-</v>
          </cell>
          <cell r="H1430" t="str">
            <v>PRD</v>
          </cell>
          <cell r="I1430" t="str">
            <v>PRD</v>
          </cell>
          <cell r="J1430" t="str">
            <v>HONDA GRACE</v>
          </cell>
          <cell r="K1430" t="str">
            <v>HONDA CITY W/H L CABIN</v>
          </cell>
          <cell r="L1430" t="str">
            <v>CV 17</v>
          </cell>
          <cell r="M1430" t="str">
            <v>VISUAL</v>
          </cell>
          <cell r="N1430" t="str">
            <v>VISUAL INSPECTION</v>
          </cell>
          <cell r="O1430" t="str">
            <v>A</v>
          </cell>
        </row>
        <row r="1431">
          <cell r="A1431">
            <v>12569</v>
          </cell>
          <cell r="B1431" t="str">
            <v>WARTINAH</v>
          </cell>
          <cell r="C1431" t="str">
            <v>SAMI</v>
          </cell>
          <cell r="D1431" t="str">
            <v>OPT-318</v>
          </cell>
          <cell r="E1431">
            <v>40812</v>
          </cell>
          <cell r="F1431" t="str">
            <v>-</v>
          </cell>
          <cell r="G1431" t="str">
            <v>-</v>
          </cell>
          <cell r="H1431" t="str">
            <v>PRD</v>
          </cell>
          <cell r="I1431" t="str">
            <v>PRD</v>
          </cell>
          <cell r="J1431" t="str">
            <v>HONDA GRACE</v>
          </cell>
          <cell r="K1431" t="str">
            <v>HONDA CITY W/H L CABIN</v>
          </cell>
          <cell r="L1431" t="str">
            <v>CV 17</v>
          </cell>
          <cell r="M1431" t="str">
            <v>T/P 1.1</v>
          </cell>
          <cell r="N1431" t="str">
            <v>ASSEMBLY</v>
          </cell>
          <cell r="O1431" t="str">
            <v>A</v>
          </cell>
        </row>
        <row r="1432">
          <cell r="A1432">
            <v>19794</v>
          </cell>
          <cell r="B1432" t="str">
            <v>MOHAMAD MUSLIH</v>
          </cell>
          <cell r="C1432" t="str">
            <v>SAMI</v>
          </cell>
          <cell r="D1432" t="str">
            <v>OPT-492</v>
          </cell>
          <cell r="E1432">
            <v>42499</v>
          </cell>
          <cell r="F1432" t="str">
            <v>-</v>
          </cell>
          <cell r="G1432" t="str">
            <v>-</v>
          </cell>
          <cell r="H1432" t="str">
            <v>PRD</v>
          </cell>
          <cell r="I1432" t="str">
            <v>PRD</v>
          </cell>
          <cell r="J1432" t="str">
            <v>HONDA GRACE</v>
          </cell>
          <cell r="K1432" t="str">
            <v>HONDA CITY W/H L CABIN</v>
          </cell>
          <cell r="L1432" t="str">
            <v>CV 17</v>
          </cell>
          <cell r="M1432" t="str">
            <v>PROTECTOR 1</v>
          </cell>
          <cell r="N1432" t="str">
            <v>ASSEMBLY</v>
          </cell>
          <cell r="O1432" t="str">
            <v>A</v>
          </cell>
        </row>
        <row r="1433">
          <cell r="A1433">
            <v>20464</v>
          </cell>
          <cell r="B1433" t="str">
            <v>FITRI NUR INDASARI</v>
          </cell>
          <cell r="C1433" t="str">
            <v>SAMI</v>
          </cell>
          <cell r="D1433" t="str">
            <v>OPT-504</v>
          </cell>
          <cell r="E1433">
            <v>42634</v>
          </cell>
          <cell r="F1433">
            <v>43132</v>
          </cell>
          <cell r="G1433">
            <v>43496</v>
          </cell>
          <cell r="H1433" t="str">
            <v>PRD</v>
          </cell>
          <cell r="I1433" t="str">
            <v>PRD</v>
          </cell>
          <cell r="J1433" t="str">
            <v>HONDA GRACE</v>
          </cell>
          <cell r="K1433" t="str">
            <v>HONDA CITY W/H L CABIN</v>
          </cell>
          <cell r="L1433" t="str">
            <v>CV 17</v>
          </cell>
          <cell r="M1433" t="str">
            <v>S/T 2.2</v>
          </cell>
          <cell r="N1433" t="str">
            <v>ASSEMBLY</v>
          </cell>
          <cell r="O1433" t="str">
            <v>A</v>
          </cell>
        </row>
        <row r="1434">
          <cell r="A1434">
            <v>20501</v>
          </cell>
          <cell r="B1434" t="str">
            <v>MINDARTASIH</v>
          </cell>
          <cell r="C1434" t="str">
            <v>SAMI</v>
          </cell>
          <cell r="D1434" t="str">
            <v>OPT-504</v>
          </cell>
          <cell r="E1434">
            <v>42634</v>
          </cell>
          <cell r="F1434">
            <v>43132</v>
          </cell>
          <cell r="G1434">
            <v>43496</v>
          </cell>
          <cell r="H1434" t="str">
            <v>PRD</v>
          </cell>
          <cell r="I1434" t="str">
            <v>PRD</v>
          </cell>
          <cell r="J1434" t="str">
            <v>HONDA GRACE</v>
          </cell>
          <cell r="K1434" t="str">
            <v>HONDA CITY W/H L CABIN</v>
          </cell>
          <cell r="L1434" t="str">
            <v>CV 17</v>
          </cell>
          <cell r="M1434" t="str">
            <v>S/T 1.1</v>
          </cell>
          <cell r="N1434" t="str">
            <v>ASSEMBLY</v>
          </cell>
          <cell r="O1434" t="str">
            <v>A</v>
          </cell>
        </row>
        <row r="1435">
          <cell r="A1435">
            <v>20566</v>
          </cell>
          <cell r="B1435" t="str">
            <v xml:space="preserve">DEWI PURWANI </v>
          </cell>
          <cell r="C1435" t="str">
            <v>SAMI</v>
          </cell>
          <cell r="D1435" t="str">
            <v>OPT-505</v>
          </cell>
          <cell r="E1435">
            <v>42639</v>
          </cell>
          <cell r="F1435">
            <v>43132</v>
          </cell>
          <cell r="G1435">
            <v>43496</v>
          </cell>
          <cell r="H1435" t="str">
            <v>PRD</v>
          </cell>
          <cell r="I1435" t="str">
            <v>PRD</v>
          </cell>
          <cell r="J1435" t="str">
            <v>HONDA GRACE</v>
          </cell>
          <cell r="K1435" t="str">
            <v>HONDA CITY W/H L CABIN</v>
          </cell>
          <cell r="L1435" t="str">
            <v>CV 17</v>
          </cell>
          <cell r="M1435" t="str">
            <v>S/T 2.1</v>
          </cell>
          <cell r="N1435" t="str">
            <v>ASSEMBLY</v>
          </cell>
          <cell r="O1435" t="str">
            <v>A</v>
          </cell>
        </row>
        <row r="1436">
          <cell r="A1436">
            <v>20680</v>
          </cell>
          <cell r="B1436" t="str">
            <v>WIDYA ANGGRAINI</v>
          </cell>
          <cell r="C1436" t="str">
            <v>SAMI</v>
          </cell>
          <cell r="D1436" t="str">
            <v>OPT-505</v>
          </cell>
          <cell r="E1436">
            <v>42639</v>
          </cell>
          <cell r="F1436">
            <v>43132</v>
          </cell>
          <cell r="G1436">
            <v>43496</v>
          </cell>
          <cell r="H1436" t="str">
            <v>PRD</v>
          </cell>
          <cell r="I1436" t="str">
            <v>PRD</v>
          </cell>
          <cell r="J1436" t="str">
            <v>HONDA GRACE</v>
          </cell>
          <cell r="K1436" t="str">
            <v>HONDA CITY W/H L CABIN</v>
          </cell>
          <cell r="L1436" t="str">
            <v>CV 17</v>
          </cell>
          <cell r="M1436" t="str">
            <v>S/A 6</v>
          </cell>
          <cell r="N1436" t="str">
            <v>SUB ASSY</v>
          </cell>
          <cell r="O1436" t="str">
            <v>A</v>
          </cell>
        </row>
        <row r="1437">
          <cell r="A1437">
            <v>20865</v>
          </cell>
          <cell r="B1437" t="str">
            <v>HELTY INDRIANI N.</v>
          </cell>
          <cell r="C1437" t="str">
            <v>SAMI</v>
          </cell>
          <cell r="D1437" t="str">
            <v>OPT-510</v>
          </cell>
          <cell r="E1437">
            <v>42660</v>
          </cell>
          <cell r="F1437">
            <v>43160</v>
          </cell>
          <cell r="G1437">
            <v>43524</v>
          </cell>
          <cell r="H1437" t="str">
            <v>PRD</v>
          </cell>
          <cell r="I1437" t="str">
            <v>PRD</v>
          </cell>
          <cell r="J1437" t="str">
            <v>HONDA GRACE</v>
          </cell>
          <cell r="K1437" t="str">
            <v>HONDA CITY W/H L CABIN</v>
          </cell>
          <cell r="L1437" t="str">
            <v>CV 17</v>
          </cell>
          <cell r="M1437" t="str">
            <v>MATERIAL SUPPLY</v>
          </cell>
          <cell r="N1437" t="str">
            <v>MATERIAL SUPPLY</v>
          </cell>
          <cell r="O1437" t="str">
            <v>A</v>
          </cell>
        </row>
        <row r="1438">
          <cell r="A1438">
            <v>20935</v>
          </cell>
          <cell r="B1438" t="str">
            <v xml:space="preserve">DESI SUMANTI </v>
          </cell>
          <cell r="C1438" t="str">
            <v>SAMI</v>
          </cell>
          <cell r="D1438" t="str">
            <v>OPT-511</v>
          </cell>
          <cell r="E1438">
            <v>42667</v>
          </cell>
          <cell r="F1438">
            <v>43160</v>
          </cell>
          <cell r="G1438">
            <v>43524</v>
          </cell>
          <cell r="H1438" t="str">
            <v>PRD</v>
          </cell>
          <cell r="I1438" t="str">
            <v>PRD</v>
          </cell>
          <cell r="J1438" t="str">
            <v>HONDA GRACE</v>
          </cell>
          <cell r="K1438" t="str">
            <v>HONDA CITY W/H L CABIN</v>
          </cell>
          <cell r="L1438" t="str">
            <v>CV 17</v>
          </cell>
          <cell r="M1438" t="str">
            <v>T/P 4.2</v>
          </cell>
          <cell r="N1438" t="str">
            <v>ASSEMBLY</v>
          </cell>
          <cell r="O1438" t="str">
            <v>A</v>
          </cell>
        </row>
        <row r="1439">
          <cell r="A1439">
            <v>20936</v>
          </cell>
          <cell r="B1439" t="str">
            <v>ELAVIA FRADILA RAHAYU</v>
          </cell>
          <cell r="C1439" t="str">
            <v>SAMI</v>
          </cell>
          <cell r="D1439" t="str">
            <v>OPT-511</v>
          </cell>
          <cell r="E1439">
            <v>42667</v>
          </cell>
          <cell r="F1439">
            <v>43160</v>
          </cell>
          <cell r="G1439">
            <v>43524</v>
          </cell>
          <cell r="H1439" t="str">
            <v>PRD</v>
          </cell>
          <cell r="I1439" t="str">
            <v>PRD</v>
          </cell>
          <cell r="J1439" t="str">
            <v>HONDA GRACE</v>
          </cell>
          <cell r="K1439" t="str">
            <v>HONDA CITY W/H L CABIN</v>
          </cell>
          <cell r="L1439" t="str">
            <v>CV 17</v>
          </cell>
          <cell r="M1439" t="str">
            <v>T/P 3.1</v>
          </cell>
          <cell r="N1439" t="str">
            <v>ASSEMBLY</v>
          </cell>
          <cell r="O1439" t="str">
            <v>A</v>
          </cell>
        </row>
        <row r="1440">
          <cell r="A1440">
            <v>21242</v>
          </cell>
          <cell r="B1440" t="str">
            <v>MARIANA</v>
          </cell>
          <cell r="C1440" t="str">
            <v>SAMI</v>
          </cell>
          <cell r="D1440" t="str">
            <v>OPT-525</v>
          </cell>
          <cell r="E1440">
            <v>42893</v>
          </cell>
          <cell r="F1440">
            <v>43374</v>
          </cell>
          <cell r="G1440">
            <v>43738</v>
          </cell>
          <cell r="H1440" t="str">
            <v>PRD</v>
          </cell>
          <cell r="I1440" t="str">
            <v>PRD</v>
          </cell>
          <cell r="J1440" t="str">
            <v>HONDA GRACE</v>
          </cell>
          <cell r="K1440" t="str">
            <v>HONDA CITY W/H L CABIN</v>
          </cell>
          <cell r="L1440" t="str">
            <v>CV 17</v>
          </cell>
          <cell r="M1440" t="str">
            <v>T/P 1.2</v>
          </cell>
          <cell r="N1440" t="str">
            <v>ASSEMBLY</v>
          </cell>
          <cell r="O1440" t="str">
            <v>A</v>
          </cell>
        </row>
        <row r="1441">
          <cell r="A1441">
            <v>21462</v>
          </cell>
          <cell r="B1441" t="str">
            <v>RINA AGUSTIN</v>
          </cell>
          <cell r="C1441" t="str">
            <v>SAMI</v>
          </cell>
          <cell r="D1441" t="str">
            <v>OPT-533</v>
          </cell>
          <cell r="E1441">
            <v>43024</v>
          </cell>
          <cell r="F1441">
            <v>43435</v>
          </cell>
          <cell r="G1441">
            <v>43799</v>
          </cell>
          <cell r="H1441" t="str">
            <v>PRD</v>
          </cell>
          <cell r="I1441" t="str">
            <v>PRD</v>
          </cell>
          <cell r="J1441" t="str">
            <v>HONDA GRACE</v>
          </cell>
          <cell r="K1441" t="str">
            <v>HONDA CITY W/H L CABIN</v>
          </cell>
          <cell r="L1441" t="str">
            <v>CV 17</v>
          </cell>
          <cell r="M1441" t="str">
            <v>S/T 1.2</v>
          </cell>
          <cell r="N1441" t="str">
            <v>ASSEMBLY</v>
          </cell>
          <cell r="O1441" t="str">
            <v>A</v>
          </cell>
        </row>
        <row r="1442">
          <cell r="A1442">
            <v>21607</v>
          </cell>
          <cell r="B1442" t="str">
            <v>NURUL FAJAR JAMILAH</v>
          </cell>
          <cell r="C1442" t="str">
            <v>SAMI</v>
          </cell>
          <cell r="D1442" t="str">
            <v>OPT-536</v>
          </cell>
          <cell r="E1442">
            <v>43048</v>
          </cell>
          <cell r="F1442">
            <v>43435</v>
          </cell>
          <cell r="G1442">
            <v>43799</v>
          </cell>
          <cell r="H1442" t="str">
            <v>PRD</v>
          </cell>
          <cell r="I1442" t="str">
            <v>PRD</v>
          </cell>
          <cell r="J1442" t="str">
            <v>HONDA GRACE</v>
          </cell>
          <cell r="K1442" t="str">
            <v>HONDA CITY W/H L CABIN</v>
          </cell>
          <cell r="L1442" t="str">
            <v>CV 17</v>
          </cell>
          <cell r="M1442" t="str">
            <v>S/A 1</v>
          </cell>
          <cell r="N1442" t="str">
            <v>SUB ASSY</v>
          </cell>
          <cell r="O1442" t="str">
            <v>A</v>
          </cell>
        </row>
        <row r="1443">
          <cell r="A1443">
            <v>21689</v>
          </cell>
          <cell r="B1443" t="str">
            <v>DIAH AYU CAHYANINGSIH</v>
          </cell>
          <cell r="C1443" t="str">
            <v>SAMI</v>
          </cell>
          <cell r="D1443" t="str">
            <v>OPT-538</v>
          </cell>
          <cell r="E1443">
            <v>43073</v>
          </cell>
          <cell r="F1443">
            <v>43466</v>
          </cell>
          <cell r="G1443">
            <v>43830</v>
          </cell>
          <cell r="H1443" t="str">
            <v>PRD</v>
          </cell>
          <cell r="I1443" t="str">
            <v>PRD</v>
          </cell>
          <cell r="J1443" t="str">
            <v>HONDA GRACE</v>
          </cell>
          <cell r="K1443" t="str">
            <v>HONDA CITY W/H L CABIN</v>
          </cell>
          <cell r="L1443" t="str">
            <v>CV 17</v>
          </cell>
          <cell r="M1443" t="str">
            <v>S/A 4.2</v>
          </cell>
          <cell r="N1443" t="str">
            <v>SUB ASSY</v>
          </cell>
          <cell r="O1443" t="str">
            <v>A</v>
          </cell>
        </row>
        <row r="1444">
          <cell r="A1444">
            <v>21819</v>
          </cell>
          <cell r="B1444" t="str">
            <v>ANISATU NISAK</v>
          </cell>
          <cell r="C1444" t="str">
            <v>SAMI</v>
          </cell>
          <cell r="D1444" t="str">
            <v>OPT-541</v>
          </cell>
          <cell r="E1444">
            <v>43098</v>
          </cell>
          <cell r="F1444">
            <v>43129</v>
          </cell>
          <cell r="G1444">
            <v>43496</v>
          </cell>
          <cell r="H1444" t="str">
            <v>PRD</v>
          </cell>
          <cell r="I1444" t="str">
            <v>PRD</v>
          </cell>
          <cell r="J1444" t="str">
            <v>HONDA GRACE</v>
          </cell>
          <cell r="K1444" t="str">
            <v>HONDA CITY W/H L CABIN</v>
          </cell>
          <cell r="L1444" t="str">
            <v>CV 17</v>
          </cell>
          <cell r="M1444" t="str">
            <v>T/P 5.1</v>
          </cell>
          <cell r="N1444" t="str">
            <v>ASSEMBLY</v>
          </cell>
          <cell r="O1444" t="str">
            <v>A</v>
          </cell>
        </row>
        <row r="1445">
          <cell r="A1445">
            <v>21980</v>
          </cell>
          <cell r="B1445" t="str">
            <v>TRISNI</v>
          </cell>
          <cell r="C1445" t="str">
            <v>SAMI</v>
          </cell>
          <cell r="D1445" t="str">
            <v>OPT-545</v>
          </cell>
          <cell r="E1445">
            <v>43116</v>
          </cell>
          <cell r="F1445">
            <v>43147</v>
          </cell>
          <cell r="G1445">
            <v>43524</v>
          </cell>
          <cell r="H1445" t="str">
            <v>PRD</v>
          </cell>
          <cell r="I1445" t="str">
            <v>PRD</v>
          </cell>
          <cell r="J1445" t="str">
            <v>HONDA GRACE</v>
          </cell>
          <cell r="K1445" t="str">
            <v>HONDA CITY W/H L CABIN</v>
          </cell>
          <cell r="L1445" t="str">
            <v>CV 17</v>
          </cell>
          <cell r="M1445" t="str">
            <v>CHECKER 2</v>
          </cell>
          <cell r="N1445" t="str">
            <v>ELECTRICAL INSPECTION</v>
          </cell>
          <cell r="O1445" t="str">
            <v>A</v>
          </cell>
        </row>
        <row r="1446">
          <cell r="A1446">
            <v>21986</v>
          </cell>
          <cell r="B1446" t="str">
            <v>AYU NIASARI</v>
          </cell>
          <cell r="C1446" t="str">
            <v>SAMI</v>
          </cell>
          <cell r="D1446" t="str">
            <v>OPT-546</v>
          </cell>
          <cell r="E1446">
            <v>43139</v>
          </cell>
          <cell r="F1446">
            <v>43167</v>
          </cell>
          <cell r="G1446">
            <v>43524</v>
          </cell>
          <cell r="H1446" t="str">
            <v>PRD</v>
          </cell>
          <cell r="I1446" t="str">
            <v>PRD</v>
          </cell>
          <cell r="J1446" t="str">
            <v>HONDA GRACE</v>
          </cell>
          <cell r="K1446" t="str">
            <v>HONDA CITY W/H L CABIN</v>
          </cell>
          <cell r="L1446" t="str">
            <v>CV 17</v>
          </cell>
          <cell r="M1446" t="str">
            <v>MATERIAL SUPPLY</v>
          </cell>
          <cell r="N1446" t="str">
            <v>MATERIAL SUPPLY</v>
          </cell>
          <cell r="O1446" t="str">
            <v>A</v>
          </cell>
        </row>
        <row r="1447">
          <cell r="A1447">
            <v>22136</v>
          </cell>
          <cell r="B1447" t="str">
            <v>MUKHAMAD ZAHRUDDIN</v>
          </cell>
          <cell r="C1447" t="str">
            <v>SAMI</v>
          </cell>
          <cell r="D1447" t="str">
            <v>OPT-549</v>
          </cell>
          <cell r="E1447">
            <v>43153</v>
          </cell>
          <cell r="F1447">
            <v>43181</v>
          </cell>
          <cell r="G1447">
            <v>43555</v>
          </cell>
          <cell r="H1447" t="str">
            <v>PRD</v>
          </cell>
          <cell r="I1447" t="str">
            <v>PRD</v>
          </cell>
          <cell r="J1447" t="str">
            <v>HONDA GRACE</v>
          </cell>
          <cell r="K1447" t="str">
            <v>HONDA CITY W/H L CABIN</v>
          </cell>
          <cell r="L1447" t="str">
            <v>CV 17</v>
          </cell>
          <cell r="M1447" t="str">
            <v>PROTECTOR 2</v>
          </cell>
          <cell r="N1447" t="str">
            <v>ASSEMBLY</v>
          </cell>
          <cell r="O1447" t="str">
            <v>A</v>
          </cell>
        </row>
        <row r="1448">
          <cell r="A1448">
            <v>22315</v>
          </cell>
          <cell r="B1448" t="str">
            <v>SITI USWATUN KHASANAH</v>
          </cell>
          <cell r="C1448" t="str">
            <v>SAMI</v>
          </cell>
          <cell r="D1448" t="str">
            <v>OPT-555</v>
          </cell>
          <cell r="E1448">
            <v>43192</v>
          </cell>
          <cell r="F1448">
            <v>43222</v>
          </cell>
          <cell r="G1448">
            <v>43585</v>
          </cell>
          <cell r="H1448" t="str">
            <v>PRD</v>
          </cell>
          <cell r="I1448" t="str">
            <v>PRD</v>
          </cell>
          <cell r="J1448" t="str">
            <v>HONDA GRACE</v>
          </cell>
          <cell r="K1448" t="str">
            <v>HONDA CITY W/H L CABIN</v>
          </cell>
          <cell r="L1448" t="str">
            <v>CV 17</v>
          </cell>
          <cell r="M1448" t="str">
            <v>OJT S/T 1.1</v>
          </cell>
          <cell r="N1448" t="str">
            <v>INTERNAL TRIAL</v>
          </cell>
          <cell r="O1448" t="str">
            <v>A</v>
          </cell>
        </row>
        <row r="1449">
          <cell r="A1449">
            <v>22413</v>
          </cell>
          <cell r="B1449" t="str">
            <v xml:space="preserve">RIKA LUSIANA </v>
          </cell>
          <cell r="C1449" t="str">
            <v>SAMI</v>
          </cell>
          <cell r="D1449" t="str">
            <v>OPT-558</v>
          </cell>
          <cell r="E1449">
            <v>43213</v>
          </cell>
          <cell r="F1449">
            <v>43243</v>
          </cell>
          <cell r="G1449">
            <v>43616</v>
          </cell>
          <cell r="H1449" t="str">
            <v>PRD</v>
          </cell>
          <cell r="I1449" t="str">
            <v>PRD</v>
          </cell>
          <cell r="J1449" t="str">
            <v>HONDA GRACE</v>
          </cell>
          <cell r="K1449" t="str">
            <v>HONDA CITY W/H L CABIN</v>
          </cell>
          <cell r="L1449" t="str">
            <v>CV 17</v>
          </cell>
          <cell r="M1449" t="str">
            <v>OJT S/T 2.3</v>
          </cell>
          <cell r="N1449" t="str">
            <v>INTERNAL TRIAL</v>
          </cell>
          <cell r="O1449" t="str">
            <v>A</v>
          </cell>
        </row>
        <row r="1450">
          <cell r="A1450">
            <v>22418</v>
          </cell>
          <cell r="B1450" t="str">
            <v>SEPTIAN LINNAS CHANDRATAMA</v>
          </cell>
          <cell r="C1450" t="str">
            <v>SAMI</v>
          </cell>
          <cell r="D1450" t="str">
            <v>OPT-558</v>
          </cell>
          <cell r="E1450">
            <v>43213</v>
          </cell>
          <cell r="F1450">
            <v>43243</v>
          </cell>
          <cell r="G1450">
            <v>43616</v>
          </cell>
          <cell r="H1450" t="str">
            <v>PRD</v>
          </cell>
          <cell r="I1450" t="str">
            <v>PRD</v>
          </cell>
          <cell r="J1450" t="str">
            <v>HONDA GRACE</v>
          </cell>
          <cell r="K1450" t="str">
            <v>HONDA CITY W/H L CABIN</v>
          </cell>
          <cell r="L1450" t="str">
            <v>CV 17</v>
          </cell>
          <cell r="M1450" t="str">
            <v>EXPANDER GROMMET</v>
          </cell>
          <cell r="N1450" t="str">
            <v>FINISHING &amp; GROMMET INJECTION</v>
          </cell>
          <cell r="O1450" t="str">
            <v>A</v>
          </cell>
        </row>
        <row r="1451">
          <cell r="A1451">
            <v>22626</v>
          </cell>
          <cell r="B1451" t="str">
            <v>RAHAYU NINGSIH</v>
          </cell>
          <cell r="C1451" t="str">
            <v>SAMI</v>
          </cell>
          <cell r="D1451" t="str">
            <v>OPT-561</v>
          </cell>
          <cell r="E1451">
            <v>43236</v>
          </cell>
          <cell r="F1451">
            <v>43267</v>
          </cell>
          <cell r="G1451">
            <v>43646</v>
          </cell>
          <cell r="H1451" t="str">
            <v>PRD</v>
          </cell>
          <cell r="I1451" t="str">
            <v>PRD</v>
          </cell>
          <cell r="J1451" t="str">
            <v>HONDA GRACE</v>
          </cell>
          <cell r="K1451" t="str">
            <v>HONDA CITY W/H L CABIN</v>
          </cell>
          <cell r="L1451" t="str">
            <v>CV 17</v>
          </cell>
          <cell r="M1451" t="str">
            <v>S/A 5</v>
          </cell>
          <cell r="N1451" t="str">
            <v>SUB ASSY</v>
          </cell>
          <cell r="O1451" t="str">
            <v>A</v>
          </cell>
        </row>
        <row r="1452">
          <cell r="A1452">
            <v>22655</v>
          </cell>
          <cell r="B1452" t="str">
            <v>IASHA FATICHA SARI. N</v>
          </cell>
          <cell r="C1452" t="str">
            <v>SAMI</v>
          </cell>
          <cell r="D1452" t="str">
            <v>OPT-562</v>
          </cell>
          <cell r="E1452">
            <v>43241</v>
          </cell>
          <cell r="F1452">
            <v>43272</v>
          </cell>
          <cell r="G1452">
            <v>43646</v>
          </cell>
          <cell r="H1452" t="str">
            <v>PRD</v>
          </cell>
          <cell r="I1452" t="str">
            <v>PRD</v>
          </cell>
          <cell r="J1452" t="str">
            <v>HONDA GRACE</v>
          </cell>
          <cell r="K1452" t="str">
            <v>HONDA CITY W/H L CABIN</v>
          </cell>
          <cell r="L1452" t="str">
            <v>CV 17</v>
          </cell>
          <cell r="M1452" t="str">
            <v>INSERTION GROUP</v>
          </cell>
          <cell r="N1452" t="str">
            <v>SUB ASSY</v>
          </cell>
          <cell r="O1452" t="str">
            <v>A</v>
          </cell>
        </row>
        <row r="1453">
          <cell r="A1453">
            <v>22748</v>
          </cell>
          <cell r="B1453" t="str">
            <v>NASITOTUL AYIYAH</v>
          </cell>
          <cell r="C1453" t="str">
            <v>SAMI</v>
          </cell>
          <cell r="D1453" t="str">
            <v>OPT-564</v>
          </cell>
          <cell r="E1453">
            <v>43255</v>
          </cell>
          <cell r="F1453">
            <v>43285</v>
          </cell>
          <cell r="G1453">
            <v>43646</v>
          </cell>
          <cell r="H1453" t="str">
            <v>PRD</v>
          </cell>
          <cell r="I1453" t="str">
            <v>PRD</v>
          </cell>
          <cell r="J1453" t="str">
            <v>HONDA GRACE</v>
          </cell>
          <cell r="K1453" t="str">
            <v>HONDA CITY W/H L CABIN</v>
          </cell>
          <cell r="L1453" t="str">
            <v>CV 17</v>
          </cell>
          <cell r="M1453" t="str">
            <v>S/T 2.3</v>
          </cell>
          <cell r="N1453" t="str">
            <v>ASSEMBLY</v>
          </cell>
          <cell r="O1453" t="str">
            <v>A</v>
          </cell>
        </row>
        <row r="1454">
          <cell r="A1454">
            <v>22765</v>
          </cell>
          <cell r="B1454" t="str">
            <v>SELVIA PANGESTU</v>
          </cell>
          <cell r="C1454" t="str">
            <v>SAMI</v>
          </cell>
          <cell r="D1454" t="str">
            <v>OPT-564</v>
          </cell>
          <cell r="E1454">
            <v>43255</v>
          </cell>
          <cell r="F1454">
            <v>43285</v>
          </cell>
          <cell r="G1454">
            <v>43646</v>
          </cell>
          <cell r="H1454" t="str">
            <v>PRD</v>
          </cell>
          <cell r="I1454" t="str">
            <v>PRD</v>
          </cell>
          <cell r="J1454" t="str">
            <v>HONDA GRACE</v>
          </cell>
          <cell r="K1454" t="str">
            <v>HONDA CITY W/H L CABIN</v>
          </cell>
          <cell r="L1454" t="str">
            <v>CV 17</v>
          </cell>
          <cell r="M1454" t="str">
            <v>S/A 4.1</v>
          </cell>
          <cell r="N1454" t="str">
            <v>SUB ASSY</v>
          </cell>
          <cell r="O1454" t="str">
            <v>A</v>
          </cell>
        </row>
        <row r="1455">
          <cell r="A1455">
            <v>22895</v>
          </cell>
          <cell r="B1455" t="str">
            <v>SUKMAWATI</v>
          </cell>
          <cell r="C1455" t="str">
            <v>SAMI</v>
          </cell>
          <cell r="D1455" t="str">
            <v>OPT-567</v>
          </cell>
          <cell r="E1455">
            <v>43333</v>
          </cell>
          <cell r="F1455">
            <v>43364</v>
          </cell>
          <cell r="G1455">
            <v>43738</v>
          </cell>
          <cell r="H1455" t="str">
            <v>PRD</v>
          </cell>
          <cell r="I1455" t="str">
            <v>PRD</v>
          </cell>
          <cell r="J1455" t="str">
            <v>HONDA GRACE</v>
          </cell>
          <cell r="K1455" t="str">
            <v>HONDA CITY W/H L CABIN</v>
          </cell>
          <cell r="L1455" t="str">
            <v>CV 17</v>
          </cell>
          <cell r="M1455" t="str">
            <v>CHECKER 3</v>
          </cell>
          <cell r="N1455" t="str">
            <v>ELECTRICAL INSPECTION</v>
          </cell>
          <cell r="O1455" t="str">
            <v>A</v>
          </cell>
        </row>
        <row r="1456">
          <cell r="A1456">
            <v>23013</v>
          </cell>
          <cell r="B1456" t="str">
            <v>ERNA STYAWATI</v>
          </cell>
          <cell r="C1456" t="str">
            <v>SAMI</v>
          </cell>
          <cell r="D1456" t="str">
            <v>OPT-569</v>
          </cell>
          <cell r="E1456">
            <v>43361</v>
          </cell>
          <cell r="F1456">
            <v>43391</v>
          </cell>
          <cell r="G1456">
            <v>43769</v>
          </cell>
          <cell r="H1456" t="str">
            <v>PRD</v>
          </cell>
          <cell r="I1456" t="str">
            <v>PRD</v>
          </cell>
          <cell r="J1456" t="str">
            <v>HONDA GRACE</v>
          </cell>
          <cell r="K1456" t="str">
            <v>HONDA CITY W/H L CABIN</v>
          </cell>
          <cell r="L1456" t="str">
            <v>CV 17</v>
          </cell>
          <cell r="M1456" t="str">
            <v>CIRCUIT SUPPLIER</v>
          </cell>
          <cell r="N1456" t="str">
            <v>CIRCUIT SUPPLY</v>
          </cell>
          <cell r="O1456" t="str">
            <v>A</v>
          </cell>
        </row>
        <row r="1457">
          <cell r="A1457">
            <v>23041</v>
          </cell>
          <cell r="B1457" t="str">
            <v>MALPINA</v>
          </cell>
          <cell r="C1457" t="str">
            <v>SAMI</v>
          </cell>
          <cell r="D1457" t="str">
            <v>OPT-569</v>
          </cell>
          <cell r="E1457">
            <v>43361</v>
          </cell>
          <cell r="F1457">
            <v>43391</v>
          </cell>
          <cell r="G1457">
            <v>43769</v>
          </cell>
          <cell r="H1457" t="str">
            <v>PRD</v>
          </cell>
          <cell r="I1457" t="str">
            <v>PRD</v>
          </cell>
          <cell r="J1457" t="str">
            <v>HONDA GRACE</v>
          </cell>
          <cell r="K1457" t="str">
            <v>HONDA CITY W/H L CABIN</v>
          </cell>
          <cell r="L1457" t="str">
            <v>CV 17</v>
          </cell>
          <cell r="M1457" t="str">
            <v>T/P 6</v>
          </cell>
          <cell r="N1457" t="str">
            <v>ASSEMBLY</v>
          </cell>
          <cell r="O1457" t="str">
            <v>A</v>
          </cell>
        </row>
        <row r="1458">
          <cell r="A1458">
            <v>23072</v>
          </cell>
          <cell r="B1458" t="str">
            <v>SELVI AMALIA</v>
          </cell>
          <cell r="C1458" t="str">
            <v>SAMI</v>
          </cell>
          <cell r="D1458" t="str">
            <v>OPT-569</v>
          </cell>
          <cell r="E1458">
            <v>43361</v>
          </cell>
          <cell r="F1458">
            <v>43391</v>
          </cell>
          <cell r="G1458">
            <v>43769</v>
          </cell>
          <cell r="H1458" t="str">
            <v>PRD</v>
          </cell>
          <cell r="I1458" t="str">
            <v>PRD</v>
          </cell>
          <cell r="J1458" t="str">
            <v>HONDA GRACE</v>
          </cell>
          <cell r="K1458" t="str">
            <v>HONDA CITY W/H L CABIN</v>
          </cell>
          <cell r="L1458" t="str">
            <v>CV 17</v>
          </cell>
          <cell r="M1458" t="str">
            <v>S/T 1A</v>
          </cell>
          <cell r="N1458" t="str">
            <v>ASSEMBLY</v>
          </cell>
          <cell r="O1458" t="str">
            <v>A</v>
          </cell>
        </row>
        <row r="1459">
          <cell r="A1459">
            <v>23110</v>
          </cell>
          <cell r="B1459" t="str">
            <v>EKA DEWI SEPTIANA</v>
          </cell>
          <cell r="C1459" t="str">
            <v>SAMI</v>
          </cell>
          <cell r="D1459" t="str">
            <v>OPT-570</v>
          </cell>
          <cell r="E1459">
            <v>43369</v>
          </cell>
          <cell r="F1459">
            <v>43399</v>
          </cell>
          <cell r="G1459">
            <v>43769</v>
          </cell>
          <cell r="H1459" t="str">
            <v>PRD</v>
          </cell>
          <cell r="I1459" t="str">
            <v>PRD</v>
          </cell>
          <cell r="J1459" t="str">
            <v>HONDA GRACE</v>
          </cell>
          <cell r="K1459" t="str">
            <v>HONDA CITY W/H L CABIN</v>
          </cell>
          <cell r="L1459" t="str">
            <v>CV 17</v>
          </cell>
          <cell r="M1459" t="str">
            <v>S/T 3.1</v>
          </cell>
          <cell r="N1459" t="str">
            <v>ASSEMBLY</v>
          </cell>
          <cell r="O1459" t="str">
            <v>A</v>
          </cell>
        </row>
        <row r="1460">
          <cell r="A1460">
            <v>23172</v>
          </cell>
          <cell r="B1460" t="str">
            <v>SRI LESTARI</v>
          </cell>
          <cell r="C1460" t="str">
            <v>SAMI</v>
          </cell>
          <cell r="D1460" t="str">
            <v>OPT-570</v>
          </cell>
          <cell r="E1460">
            <v>43369</v>
          </cell>
          <cell r="F1460">
            <v>43399</v>
          </cell>
          <cell r="G1460">
            <v>43769</v>
          </cell>
          <cell r="H1460" t="str">
            <v>PRD</v>
          </cell>
          <cell r="I1460" t="str">
            <v>PRD</v>
          </cell>
          <cell r="J1460" t="str">
            <v>HONDA GRACE</v>
          </cell>
          <cell r="K1460" t="str">
            <v>HONDA CITY W/H L CABIN</v>
          </cell>
          <cell r="L1460" t="str">
            <v>CV 17</v>
          </cell>
          <cell r="M1460" t="str">
            <v>T/P 4.1</v>
          </cell>
          <cell r="N1460" t="str">
            <v>ASSEMBLY</v>
          </cell>
          <cell r="O1460" t="str">
            <v>A</v>
          </cell>
        </row>
        <row r="1461">
          <cell r="A1461">
            <v>23180</v>
          </cell>
          <cell r="B1461" t="str">
            <v>YANI SRI WILUJENG</v>
          </cell>
          <cell r="C1461" t="str">
            <v>SAMI</v>
          </cell>
          <cell r="D1461" t="str">
            <v>OPT-570</v>
          </cell>
          <cell r="E1461">
            <v>43369</v>
          </cell>
          <cell r="F1461">
            <v>43399</v>
          </cell>
          <cell r="G1461">
            <v>43769</v>
          </cell>
          <cell r="H1461" t="str">
            <v>PRD</v>
          </cell>
          <cell r="I1461" t="str">
            <v>PRD</v>
          </cell>
          <cell r="J1461" t="str">
            <v>HONDA GRACE</v>
          </cell>
          <cell r="K1461" t="str">
            <v>HONDA CITY W/H L CABIN</v>
          </cell>
          <cell r="L1461" t="str">
            <v>CV 17</v>
          </cell>
          <cell r="M1461" t="str">
            <v>S/T 4</v>
          </cell>
          <cell r="N1461" t="str">
            <v>ASSEMBLY</v>
          </cell>
          <cell r="O1461" t="str">
            <v>A</v>
          </cell>
        </row>
        <row r="1462">
          <cell r="A1462">
            <v>23228</v>
          </cell>
          <cell r="B1462" t="str">
            <v>ISMAYANTI DEWI ANGGRAENI</v>
          </cell>
          <cell r="C1462" t="str">
            <v>SAMI</v>
          </cell>
          <cell r="D1462" t="str">
            <v>OPT-573</v>
          </cell>
          <cell r="E1462">
            <v>43421</v>
          </cell>
          <cell r="F1462">
            <v>43451</v>
          </cell>
          <cell r="G1462">
            <v>43830</v>
          </cell>
          <cell r="H1462" t="str">
            <v>PRD</v>
          </cell>
          <cell r="I1462" t="str">
            <v>PRD</v>
          </cell>
          <cell r="J1462" t="str">
            <v>HONDA GRACE</v>
          </cell>
          <cell r="K1462" t="str">
            <v>HONDA CITY W/H L CABIN</v>
          </cell>
          <cell r="L1462" t="str">
            <v>CV 17</v>
          </cell>
          <cell r="M1462" t="str">
            <v>T/P 5.2</v>
          </cell>
          <cell r="N1462" t="str">
            <v>ASSEMBLY</v>
          </cell>
          <cell r="O1462" t="str">
            <v>A</v>
          </cell>
        </row>
        <row r="1463">
          <cell r="A1463">
            <v>23240</v>
          </cell>
          <cell r="B1463" t="str">
            <v>M. MUAMAR</v>
          </cell>
          <cell r="C1463" t="str">
            <v>SAMI</v>
          </cell>
          <cell r="D1463" t="str">
            <v>OPT-573</v>
          </cell>
          <cell r="E1463">
            <v>43421</v>
          </cell>
          <cell r="F1463">
            <v>43451</v>
          </cell>
          <cell r="G1463">
            <v>43830</v>
          </cell>
          <cell r="H1463" t="str">
            <v>PRD</v>
          </cell>
          <cell r="I1463" t="str">
            <v>PRD</v>
          </cell>
          <cell r="J1463" t="str">
            <v>HONDA GRACE</v>
          </cell>
          <cell r="K1463" t="str">
            <v>HONDA CITY W/H L CABIN</v>
          </cell>
          <cell r="L1463" t="str">
            <v>CV 17</v>
          </cell>
          <cell r="M1463" t="str">
            <v>T/P 6</v>
          </cell>
          <cell r="N1463" t="str">
            <v>ASSEMBLY</v>
          </cell>
          <cell r="O1463" t="str">
            <v>A</v>
          </cell>
        </row>
        <row r="1464">
          <cell r="A1464">
            <v>23347</v>
          </cell>
          <cell r="B1464" t="str">
            <v>RESTI WIJAYANTI</v>
          </cell>
          <cell r="C1464" t="str">
            <v>SAMI</v>
          </cell>
          <cell r="D1464" t="str">
            <v>OPT-574</v>
          </cell>
          <cell r="E1464">
            <v>43427</v>
          </cell>
          <cell r="F1464">
            <v>43457</v>
          </cell>
          <cell r="G1464">
            <v>43830</v>
          </cell>
          <cell r="H1464" t="str">
            <v>PRD</v>
          </cell>
          <cell r="I1464" t="str">
            <v>PRD</v>
          </cell>
          <cell r="J1464" t="str">
            <v>HONDA GRACE</v>
          </cell>
          <cell r="K1464" t="str">
            <v>HONDA CITY W/H L CABIN</v>
          </cell>
          <cell r="L1464" t="str">
            <v>CV 17</v>
          </cell>
          <cell r="M1464" t="str">
            <v>OJT S/A 6</v>
          </cell>
          <cell r="N1464" t="str">
            <v>INTERNAL TRIAL</v>
          </cell>
          <cell r="O1464" t="str">
            <v>A</v>
          </cell>
        </row>
        <row r="1465">
          <cell r="A1465">
            <v>23454</v>
          </cell>
          <cell r="B1465" t="str">
            <v>RESTU AJIWIDA KURNIAWAN</v>
          </cell>
          <cell r="C1465" t="str">
            <v>SAMI</v>
          </cell>
          <cell r="D1465" t="str">
            <v>OPT-575</v>
          </cell>
          <cell r="E1465">
            <v>43434</v>
          </cell>
          <cell r="F1465">
            <v>43464</v>
          </cell>
          <cell r="G1465">
            <v>43830</v>
          </cell>
          <cell r="H1465" t="str">
            <v>PRD</v>
          </cell>
          <cell r="I1465" t="str">
            <v>PRD</v>
          </cell>
          <cell r="J1465" t="str">
            <v>HONDA GRACE</v>
          </cell>
          <cell r="K1465" t="str">
            <v>HONDA CITY W/H L CABIN</v>
          </cell>
          <cell r="L1465" t="str">
            <v>CV 17</v>
          </cell>
          <cell r="M1465" t="str">
            <v>T/P 2.2</v>
          </cell>
          <cell r="N1465" t="str">
            <v>ASSEMBLY</v>
          </cell>
          <cell r="O1465" t="str">
            <v>A</v>
          </cell>
        </row>
        <row r="1466">
          <cell r="A1466">
            <v>23461</v>
          </cell>
          <cell r="B1466" t="str">
            <v>SINTO PRIHASNOLO</v>
          </cell>
          <cell r="C1466" t="str">
            <v>SAMI</v>
          </cell>
          <cell r="D1466" t="str">
            <v>OPT-575</v>
          </cell>
          <cell r="E1466">
            <v>43434</v>
          </cell>
          <cell r="F1466">
            <v>43464</v>
          </cell>
          <cell r="G1466">
            <v>43830</v>
          </cell>
          <cell r="H1466" t="str">
            <v>PRD</v>
          </cell>
          <cell r="I1466" t="str">
            <v>PRD</v>
          </cell>
          <cell r="J1466" t="str">
            <v>HONDA GRACE</v>
          </cell>
          <cell r="K1466" t="str">
            <v>HONDA CITY W/H L CABIN</v>
          </cell>
          <cell r="L1466" t="str">
            <v>CV 17</v>
          </cell>
          <cell r="M1466" t="str">
            <v>OJT S/T 2.2</v>
          </cell>
          <cell r="N1466" t="str">
            <v>INTERNAL TRIAL</v>
          </cell>
          <cell r="O1466" t="str">
            <v>A</v>
          </cell>
        </row>
        <row r="1467">
          <cell r="A1467">
            <v>23510</v>
          </cell>
          <cell r="B1467" t="str">
            <v xml:space="preserve">KOKO SARAH SIHOMBING </v>
          </cell>
          <cell r="C1467" t="str">
            <v>SAMI</v>
          </cell>
          <cell r="D1467" t="str">
            <v>OPT-576</v>
          </cell>
          <cell r="E1467">
            <v>43441</v>
          </cell>
          <cell r="F1467">
            <v>43472</v>
          </cell>
          <cell r="G1467">
            <v>43830</v>
          </cell>
          <cell r="H1467" t="str">
            <v>PRD</v>
          </cell>
          <cell r="I1467" t="str">
            <v>PRD</v>
          </cell>
          <cell r="J1467" t="str">
            <v>HONDA GRACE</v>
          </cell>
          <cell r="K1467" t="str">
            <v>HONDA CITY W/H L CABIN</v>
          </cell>
          <cell r="L1467" t="str">
            <v>CV 17</v>
          </cell>
          <cell r="M1467" t="str">
            <v>OJT S/T 2.1</v>
          </cell>
          <cell r="N1467" t="str">
            <v>INTERNAL TRIAL</v>
          </cell>
          <cell r="O1467" t="str">
            <v>A</v>
          </cell>
        </row>
        <row r="1468">
          <cell r="A1468" t="str">
            <v>B03532</v>
          </cell>
          <cell r="B1468" t="str">
            <v>LAILATUL HANIYAH</v>
          </cell>
          <cell r="C1468" t="str">
            <v>SAMI</v>
          </cell>
          <cell r="D1468" t="str">
            <v>BBF-160</v>
          </cell>
          <cell r="E1468">
            <v>42634</v>
          </cell>
          <cell r="F1468">
            <v>43132</v>
          </cell>
          <cell r="G1468">
            <v>43496</v>
          </cell>
          <cell r="H1468" t="str">
            <v>PRD</v>
          </cell>
          <cell r="I1468" t="str">
            <v>PRD</v>
          </cell>
          <cell r="J1468" t="str">
            <v>HONDA GRACE</v>
          </cell>
          <cell r="K1468" t="str">
            <v>HONDA CITY W/H L CABIN</v>
          </cell>
          <cell r="L1468" t="str">
            <v>CV 17</v>
          </cell>
          <cell r="M1468" t="str">
            <v>CIRCUIT SUPPLIER</v>
          </cell>
          <cell r="N1468" t="str">
            <v>CIRCUIT SUPPLY</v>
          </cell>
          <cell r="O1468" t="str">
            <v>A</v>
          </cell>
        </row>
        <row r="1469">
          <cell r="A1469" t="str">
            <v>M23629</v>
          </cell>
          <cell r="B1469" t="str">
            <v>RISMA AYU RIANI</v>
          </cell>
          <cell r="C1469" t="str">
            <v>SAMI</v>
          </cell>
          <cell r="D1469" t="str">
            <v>OPT-578</v>
          </cell>
          <cell r="E1469">
            <v>43467</v>
          </cell>
          <cell r="F1469">
            <v>43467</v>
          </cell>
          <cell r="G1469">
            <v>43497</v>
          </cell>
          <cell r="H1469" t="str">
            <v>PRD</v>
          </cell>
          <cell r="I1469" t="str">
            <v>PRD</v>
          </cell>
          <cell r="J1469" t="str">
            <v>HONDA GRACE</v>
          </cell>
          <cell r="K1469" t="str">
            <v>HONDA CITY W/H L CABIN</v>
          </cell>
          <cell r="L1469" t="str">
            <v>CV 17</v>
          </cell>
          <cell r="M1469" t="str">
            <v>OJT S/T 1..1</v>
          </cell>
          <cell r="N1469" t="str">
            <v>INTERNAL TRIAL</v>
          </cell>
          <cell r="O1469" t="str">
            <v>A</v>
          </cell>
        </row>
        <row r="1470">
          <cell r="A1470" t="str">
            <v>M23637</v>
          </cell>
          <cell r="B1470" t="str">
            <v>SISKA NOVA MARGARETA</v>
          </cell>
          <cell r="C1470" t="str">
            <v>SAMI</v>
          </cell>
          <cell r="D1470" t="str">
            <v>OPT-578</v>
          </cell>
          <cell r="E1470">
            <v>43467</v>
          </cell>
          <cell r="F1470">
            <v>43467</v>
          </cell>
          <cell r="G1470">
            <v>43497</v>
          </cell>
          <cell r="H1470" t="str">
            <v>PRD</v>
          </cell>
          <cell r="I1470" t="str">
            <v>PRD</v>
          </cell>
          <cell r="J1470" t="str">
            <v>HONDA FIT</v>
          </cell>
          <cell r="K1470" t="str">
            <v>HONDA FIT W/H L CABIN</v>
          </cell>
          <cell r="L1470" t="str">
            <v>CV 17</v>
          </cell>
          <cell r="M1470" t="str">
            <v>OJT CIRCUIT SUPPLIER</v>
          </cell>
          <cell r="N1470" t="str">
            <v>INTERNAL TRIAL</v>
          </cell>
          <cell r="O1470" t="str">
            <v>A</v>
          </cell>
        </row>
        <row r="1471">
          <cell r="A1471">
            <v>726</v>
          </cell>
          <cell r="B1471" t="str">
            <v>NOVI WIDARYANTI</v>
          </cell>
          <cell r="C1471" t="str">
            <v>SAMI</v>
          </cell>
          <cell r="D1471" t="str">
            <v>OPT-19</v>
          </cell>
          <cell r="E1471">
            <v>37816</v>
          </cell>
          <cell r="F1471" t="str">
            <v>-</v>
          </cell>
          <cell r="G1471" t="str">
            <v>-</v>
          </cell>
          <cell r="H1471" t="str">
            <v>PRD</v>
          </cell>
          <cell r="I1471" t="str">
            <v>PRD</v>
          </cell>
          <cell r="J1471" t="str">
            <v>HONDA GRACE</v>
          </cell>
          <cell r="K1471" t="str">
            <v>HONDA CITY W/H L CABIN</v>
          </cell>
          <cell r="L1471" t="str">
            <v>CV 17</v>
          </cell>
          <cell r="M1471" t="str">
            <v>CAMERA FUSE</v>
          </cell>
          <cell r="N1471" t="str">
            <v>ELECTRICAL INSPECTION</v>
          </cell>
          <cell r="O1471" t="str">
            <v>B</v>
          </cell>
        </row>
        <row r="1472">
          <cell r="A1472">
            <v>5263</v>
          </cell>
          <cell r="B1472" t="str">
            <v>LILIK SETYOWATI</v>
          </cell>
          <cell r="C1472" t="str">
            <v>SAMI</v>
          </cell>
          <cell r="D1472" t="str">
            <v>OPT-125</v>
          </cell>
          <cell r="E1472">
            <v>38961</v>
          </cell>
          <cell r="F1472" t="str">
            <v>-</v>
          </cell>
          <cell r="G1472" t="str">
            <v>-</v>
          </cell>
          <cell r="H1472" t="str">
            <v>PRD</v>
          </cell>
          <cell r="I1472" t="str">
            <v>PRD</v>
          </cell>
          <cell r="J1472" t="str">
            <v>HONDA GRACE</v>
          </cell>
          <cell r="K1472" t="str">
            <v>HONDA CITY W/H L CABIN</v>
          </cell>
          <cell r="L1472" t="str">
            <v>CV 17</v>
          </cell>
          <cell r="M1472" t="str">
            <v>SUB LINE CHO</v>
          </cell>
          <cell r="N1472" t="str">
            <v>GL</v>
          </cell>
          <cell r="O1472" t="str">
            <v>B</v>
          </cell>
        </row>
        <row r="1473">
          <cell r="A1473">
            <v>8698</v>
          </cell>
          <cell r="B1473" t="str">
            <v>SITI KHOLIFAH</v>
          </cell>
          <cell r="C1473" t="str">
            <v>SAMI</v>
          </cell>
          <cell r="D1473" t="str">
            <v>OPT-190</v>
          </cell>
          <cell r="E1473">
            <v>39888</v>
          </cell>
          <cell r="F1473" t="str">
            <v>-</v>
          </cell>
          <cell r="G1473" t="str">
            <v>-</v>
          </cell>
          <cell r="H1473" t="str">
            <v>PRD</v>
          </cell>
          <cell r="I1473" t="str">
            <v>PRD</v>
          </cell>
          <cell r="J1473" t="str">
            <v>HONDA GRACE</v>
          </cell>
          <cell r="K1473" t="str">
            <v>HONDA CITY W/H L CABIN</v>
          </cell>
          <cell r="L1473" t="str">
            <v>CV 17</v>
          </cell>
          <cell r="M1473" t="str">
            <v>T/P 4.1</v>
          </cell>
          <cell r="N1473" t="str">
            <v>ASSEMBLY</v>
          </cell>
          <cell r="O1473" t="str">
            <v>B</v>
          </cell>
        </row>
        <row r="1474">
          <cell r="A1474">
            <v>9247</v>
          </cell>
          <cell r="B1474" t="str">
            <v>ANA SULISTIYANI</v>
          </cell>
          <cell r="C1474" t="str">
            <v>SAMI</v>
          </cell>
          <cell r="D1474" t="str">
            <v>OPT-216</v>
          </cell>
          <cell r="E1474">
            <v>40148</v>
          </cell>
          <cell r="F1474" t="str">
            <v>-</v>
          </cell>
          <cell r="G1474" t="str">
            <v>-</v>
          </cell>
          <cell r="H1474" t="str">
            <v>PRD</v>
          </cell>
          <cell r="I1474" t="str">
            <v>PRD</v>
          </cell>
          <cell r="J1474" t="str">
            <v>HONDA GRACE</v>
          </cell>
          <cell r="K1474" t="str">
            <v>HONDA CITY W/H L CABIN</v>
          </cell>
          <cell r="L1474" t="str">
            <v>CV 17</v>
          </cell>
          <cell r="M1474" t="str">
            <v>S/A AB</v>
          </cell>
          <cell r="N1474" t="str">
            <v>SUB ASSY</v>
          </cell>
          <cell r="O1474" t="str">
            <v>B</v>
          </cell>
        </row>
        <row r="1475">
          <cell r="A1475">
            <v>9263</v>
          </cell>
          <cell r="B1475" t="str">
            <v>DINA PUSPASARI</v>
          </cell>
          <cell r="C1475" t="str">
            <v>SAMI</v>
          </cell>
          <cell r="D1475" t="str">
            <v>OPT-216</v>
          </cell>
          <cell r="E1475">
            <v>40148</v>
          </cell>
          <cell r="F1475" t="str">
            <v>-</v>
          </cell>
          <cell r="G1475" t="str">
            <v>-</v>
          </cell>
          <cell r="H1475" t="str">
            <v>PRD</v>
          </cell>
          <cell r="I1475" t="str">
            <v>PRD</v>
          </cell>
          <cell r="J1475" t="str">
            <v>HONDA GRACE</v>
          </cell>
          <cell r="K1475" t="str">
            <v>HONDA CITY W/H L CABIN</v>
          </cell>
          <cell r="L1475" t="str">
            <v>CV 17</v>
          </cell>
          <cell r="M1475" t="str">
            <v>CHECKER 1</v>
          </cell>
          <cell r="N1475" t="str">
            <v>ELECTRICAL INSPECTION</v>
          </cell>
          <cell r="O1475" t="str">
            <v>B</v>
          </cell>
        </row>
        <row r="1476">
          <cell r="A1476">
            <v>9523</v>
          </cell>
          <cell r="B1476" t="str">
            <v>NUGRAHENI LARASTIWI</v>
          </cell>
          <cell r="C1476" t="str">
            <v>SAMI</v>
          </cell>
          <cell r="D1476" t="str">
            <v>OPT-216</v>
          </cell>
          <cell r="E1476">
            <v>40148</v>
          </cell>
          <cell r="F1476" t="str">
            <v>-</v>
          </cell>
          <cell r="G1476" t="str">
            <v>-</v>
          </cell>
          <cell r="H1476" t="str">
            <v>PRD</v>
          </cell>
          <cell r="I1476" t="str">
            <v>PRD</v>
          </cell>
          <cell r="J1476" t="str">
            <v>HONDA GRACE</v>
          </cell>
          <cell r="K1476" t="str">
            <v>HONDA CITY W/H L CABIN</v>
          </cell>
          <cell r="L1476" t="str">
            <v>CV 17</v>
          </cell>
          <cell r="M1476" t="str">
            <v>VISUAL 2</v>
          </cell>
          <cell r="N1476" t="str">
            <v>VISUAL INSPECTION</v>
          </cell>
          <cell r="O1476" t="str">
            <v>B</v>
          </cell>
        </row>
        <row r="1477">
          <cell r="A1477">
            <v>9907</v>
          </cell>
          <cell r="B1477" t="str">
            <v>SURAIDA YULIASAPUTRI</v>
          </cell>
          <cell r="C1477" t="str">
            <v>SAMI</v>
          </cell>
          <cell r="D1477" t="str">
            <v>OPT-244</v>
          </cell>
          <cell r="E1477">
            <v>40424</v>
          </cell>
          <cell r="F1477" t="str">
            <v>-</v>
          </cell>
          <cell r="G1477" t="str">
            <v>-</v>
          </cell>
          <cell r="H1477" t="str">
            <v>PRD</v>
          </cell>
          <cell r="I1477" t="str">
            <v>PRD</v>
          </cell>
          <cell r="J1477" t="str">
            <v>HONDA GRACE</v>
          </cell>
          <cell r="K1477" t="str">
            <v>HONDA CITY W/H L CABIN</v>
          </cell>
          <cell r="L1477" t="str">
            <v>CV 17</v>
          </cell>
          <cell r="M1477" t="str">
            <v>BATERAY CABLE</v>
          </cell>
          <cell r="N1477" t="str">
            <v>ASSEMBLY</v>
          </cell>
          <cell r="O1477" t="str">
            <v>B</v>
          </cell>
        </row>
        <row r="1478">
          <cell r="A1478">
            <v>10804</v>
          </cell>
          <cell r="B1478" t="str">
            <v>SUWANTI</v>
          </cell>
          <cell r="C1478" t="str">
            <v>SAMI</v>
          </cell>
          <cell r="D1478" t="str">
            <v>OPT-282</v>
          </cell>
          <cell r="E1478">
            <v>40567</v>
          </cell>
          <cell r="F1478" t="str">
            <v>-</v>
          </cell>
          <cell r="G1478" t="str">
            <v>-</v>
          </cell>
          <cell r="H1478" t="str">
            <v>PRD</v>
          </cell>
          <cell r="I1478" t="str">
            <v>PRD</v>
          </cell>
          <cell r="J1478" t="str">
            <v>HONDA GRACE</v>
          </cell>
          <cell r="K1478" t="str">
            <v>HONDA CITY W/H L CABIN</v>
          </cell>
          <cell r="L1478" t="str">
            <v>CV 17</v>
          </cell>
          <cell r="M1478" t="str">
            <v>LQC</v>
          </cell>
          <cell r="N1478" t="str">
            <v>RELIEF</v>
          </cell>
          <cell r="O1478" t="str">
            <v>B</v>
          </cell>
        </row>
        <row r="1479">
          <cell r="A1479">
            <v>11369</v>
          </cell>
          <cell r="B1479" t="str">
            <v>ANGGUN RETNO WATI</v>
          </cell>
          <cell r="C1479" t="str">
            <v>SAMI</v>
          </cell>
          <cell r="D1479" t="str">
            <v>OPT-304</v>
          </cell>
          <cell r="E1479">
            <v>40696</v>
          </cell>
          <cell r="F1479" t="str">
            <v>-</v>
          </cell>
          <cell r="G1479" t="str">
            <v>-</v>
          </cell>
          <cell r="H1479" t="str">
            <v>PRD</v>
          </cell>
          <cell r="I1479" t="str">
            <v>PRD</v>
          </cell>
          <cell r="J1479" t="str">
            <v>HONDA GRACE</v>
          </cell>
          <cell r="K1479" t="str">
            <v>HONDA CITY W/H L CABIN</v>
          </cell>
          <cell r="L1479" t="str">
            <v>CV 17</v>
          </cell>
          <cell r="M1479" t="str">
            <v>S/A 3.1</v>
          </cell>
          <cell r="N1479" t="str">
            <v>SUB ASSY</v>
          </cell>
          <cell r="O1479" t="str">
            <v>B</v>
          </cell>
        </row>
        <row r="1480">
          <cell r="A1480">
            <v>11374</v>
          </cell>
          <cell r="B1480" t="str">
            <v>NUR FITRIANA WIDYANINGRUM</v>
          </cell>
          <cell r="C1480" t="str">
            <v>SAMI</v>
          </cell>
          <cell r="D1480" t="str">
            <v>OPT-304</v>
          </cell>
          <cell r="E1480">
            <v>40696</v>
          </cell>
          <cell r="F1480" t="str">
            <v>-</v>
          </cell>
          <cell r="G1480" t="str">
            <v>-</v>
          </cell>
          <cell r="H1480" t="str">
            <v>PRD</v>
          </cell>
          <cell r="I1480" t="str">
            <v>PRD</v>
          </cell>
          <cell r="J1480" t="str">
            <v>HONDA GRACE</v>
          </cell>
          <cell r="K1480" t="str">
            <v>HONDA CITY W/H L CABIN</v>
          </cell>
          <cell r="L1480" t="str">
            <v>CV 17</v>
          </cell>
          <cell r="M1480" t="str">
            <v>S/T 2.2</v>
          </cell>
          <cell r="N1480" t="str">
            <v>ASSEMBLY</v>
          </cell>
          <cell r="O1480" t="str">
            <v>B</v>
          </cell>
        </row>
        <row r="1481">
          <cell r="A1481">
            <v>11442</v>
          </cell>
          <cell r="B1481" t="str">
            <v>IKA SARI</v>
          </cell>
          <cell r="C1481" t="str">
            <v>SAMI</v>
          </cell>
          <cell r="D1481" t="str">
            <v>OPT-306</v>
          </cell>
          <cell r="E1481">
            <v>40701</v>
          </cell>
          <cell r="F1481" t="str">
            <v>-</v>
          </cell>
          <cell r="G1481" t="str">
            <v>-</v>
          </cell>
          <cell r="H1481" t="str">
            <v>PRD</v>
          </cell>
          <cell r="I1481" t="str">
            <v>PRD</v>
          </cell>
          <cell r="J1481" t="str">
            <v>HONDA GRACE</v>
          </cell>
          <cell r="K1481" t="str">
            <v>HONDA CITY W/H L CABIN</v>
          </cell>
          <cell r="L1481" t="str">
            <v>CV 17</v>
          </cell>
          <cell r="M1481" t="str">
            <v>VISUAL 1</v>
          </cell>
          <cell r="N1481" t="str">
            <v>VISUAL INSPECTION</v>
          </cell>
          <cell r="O1481" t="str">
            <v>B</v>
          </cell>
        </row>
        <row r="1482">
          <cell r="A1482">
            <v>11709</v>
          </cell>
          <cell r="B1482" t="str">
            <v>INTANSARI</v>
          </cell>
          <cell r="C1482" t="str">
            <v>SAMI</v>
          </cell>
          <cell r="D1482" t="str">
            <v>OPT-308</v>
          </cell>
          <cell r="E1482">
            <v>40714</v>
          </cell>
          <cell r="F1482" t="str">
            <v>-</v>
          </cell>
          <cell r="G1482" t="str">
            <v>-</v>
          </cell>
          <cell r="H1482" t="str">
            <v>PRD</v>
          </cell>
          <cell r="I1482" t="str">
            <v>PRD</v>
          </cell>
          <cell r="J1482" t="str">
            <v>HONDA GRACE</v>
          </cell>
          <cell r="K1482" t="str">
            <v>HONDA CITY W/H L CABIN</v>
          </cell>
          <cell r="L1482" t="str">
            <v>CV 17</v>
          </cell>
          <cell r="M1482" t="str">
            <v>T/P 3.2</v>
          </cell>
          <cell r="N1482" t="str">
            <v>ASSEMBLY</v>
          </cell>
          <cell r="O1482" t="str">
            <v>B</v>
          </cell>
        </row>
        <row r="1483">
          <cell r="A1483">
            <v>11779</v>
          </cell>
          <cell r="B1483" t="str">
            <v>SITI KHOINUNINGSIH</v>
          </cell>
          <cell r="C1483" t="str">
            <v>SAMI</v>
          </cell>
          <cell r="D1483" t="str">
            <v>OPT-308</v>
          </cell>
          <cell r="E1483">
            <v>40714</v>
          </cell>
          <cell r="F1483" t="str">
            <v>-</v>
          </cell>
          <cell r="G1483" t="str">
            <v>-</v>
          </cell>
          <cell r="H1483" t="str">
            <v>PRD</v>
          </cell>
          <cell r="I1483" t="str">
            <v>PRD</v>
          </cell>
          <cell r="J1483" t="str">
            <v>HONDA GRACE</v>
          </cell>
          <cell r="K1483" t="str">
            <v>HONDA CITY W/H L CABIN</v>
          </cell>
          <cell r="L1483" t="str">
            <v>CV 17</v>
          </cell>
          <cell r="M1483" t="str">
            <v>S/A 1</v>
          </cell>
          <cell r="N1483" t="str">
            <v>SUB ASSY</v>
          </cell>
          <cell r="O1483" t="str">
            <v>B</v>
          </cell>
        </row>
        <row r="1484">
          <cell r="A1484">
            <v>12154</v>
          </cell>
          <cell r="B1484" t="str">
            <v>TRI INDAH SARI</v>
          </cell>
          <cell r="C1484" t="str">
            <v>SAMI</v>
          </cell>
          <cell r="D1484" t="str">
            <v>OPT-314</v>
          </cell>
          <cell r="E1484">
            <v>40798</v>
          </cell>
          <cell r="F1484" t="str">
            <v>-</v>
          </cell>
          <cell r="G1484" t="str">
            <v>-</v>
          </cell>
          <cell r="H1484" t="str">
            <v>PRD</v>
          </cell>
          <cell r="I1484" t="str">
            <v>PRD</v>
          </cell>
          <cell r="J1484" t="str">
            <v>HONDA GRACE</v>
          </cell>
          <cell r="K1484" t="str">
            <v>HONDA CITY W/H L CABIN</v>
          </cell>
          <cell r="L1484" t="str">
            <v>CV 17</v>
          </cell>
          <cell r="M1484" t="str">
            <v>S/A 2</v>
          </cell>
          <cell r="N1484" t="str">
            <v>SUB ASSY</v>
          </cell>
          <cell r="O1484" t="str">
            <v>B</v>
          </cell>
        </row>
        <row r="1485">
          <cell r="A1485">
            <v>12271</v>
          </cell>
          <cell r="B1485" t="str">
            <v>FARICHAH</v>
          </cell>
          <cell r="C1485" t="str">
            <v>SAMI</v>
          </cell>
          <cell r="D1485" t="str">
            <v>OPT-316</v>
          </cell>
          <cell r="E1485">
            <v>40805</v>
          </cell>
          <cell r="F1485" t="str">
            <v>-</v>
          </cell>
          <cell r="G1485" t="str">
            <v>-</v>
          </cell>
          <cell r="H1485" t="str">
            <v>PRD</v>
          </cell>
          <cell r="I1485" t="str">
            <v>PRD</v>
          </cell>
          <cell r="J1485" t="str">
            <v>HONDA GRACE</v>
          </cell>
          <cell r="K1485" t="str">
            <v>HONDA CITY W/H L CABIN</v>
          </cell>
          <cell r="L1485" t="str">
            <v>CV 17</v>
          </cell>
          <cell r="M1485" t="str">
            <v>BATERAY CABLE</v>
          </cell>
          <cell r="N1485" t="str">
            <v>ASSEMBLY</v>
          </cell>
          <cell r="O1485" t="str">
            <v>B</v>
          </cell>
        </row>
        <row r="1486">
          <cell r="A1486">
            <v>12698</v>
          </cell>
          <cell r="B1486" t="str">
            <v>NUR ALI MUCHLISIN</v>
          </cell>
          <cell r="C1486" t="str">
            <v>SAMI</v>
          </cell>
          <cell r="D1486" t="str">
            <v>OPT-320</v>
          </cell>
          <cell r="E1486">
            <v>40819</v>
          </cell>
          <cell r="F1486" t="str">
            <v>-</v>
          </cell>
          <cell r="G1486" t="str">
            <v>-</v>
          </cell>
          <cell r="H1486" t="str">
            <v>PRD</v>
          </cell>
          <cell r="I1486" t="str">
            <v>PRD</v>
          </cell>
          <cell r="J1486" t="str">
            <v>HONDA GRACE</v>
          </cell>
          <cell r="K1486" t="str">
            <v>HONDA CITY W/H L CABIN</v>
          </cell>
          <cell r="L1486" t="str">
            <v>CV 17</v>
          </cell>
          <cell r="M1486" t="str">
            <v>PROTECTOR 1</v>
          </cell>
          <cell r="N1486" t="str">
            <v>ASSEMBLY</v>
          </cell>
          <cell r="O1486" t="str">
            <v>B</v>
          </cell>
        </row>
        <row r="1487">
          <cell r="A1487">
            <v>13158</v>
          </cell>
          <cell r="B1487" t="str">
            <v>NUR AENI</v>
          </cell>
          <cell r="C1487" t="str">
            <v>SAMI</v>
          </cell>
          <cell r="D1487" t="str">
            <v>OPT-332</v>
          </cell>
          <cell r="E1487">
            <v>40896</v>
          </cell>
          <cell r="F1487" t="str">
            <v>-</v>
          </cell>
          <cell r="G1487" t="str">
            <v>-</v>
          </cell>
          <cell r="H1487" t="str">
            <v>PRD</v>
          </cell>
          <cell r="I1487" t="str">
            <v>PRD</v>
          </cell>
          <cell r="J1487" t="str">
            <v>HONDA GRACE</v>
          </cell>
          <cell r="K1487" t="str">
            <v>HONDA CITY W/H L CABIN</v>
          </cell>
          <cell r="L1487" t="str">
            <v>CV 17</v>
          </cell>
          <cell r="M1487" t="str">
            <v>T/P 5.1</v>
          </cell>
          <cell r="N1487" t="str">
            <v>ASSEMBLY</v>
          </cell>
          <cell r="O1487" t="str">
            <v>B</v>
          </cell>
        </row>
        <row r="1488">
          <cell r="A1488">
            <v>13654</v>
          </cell>
          <cell r="B1488" t="str">
            <v>RIYADZUL JANNAH</v>
          </cell>
          <cell r="C1488" t="str">
            <v>SAMI</v>
          </cell>
          <cell r="D1488" t="str">
            <v>OPT-346</v>
          </cell>
          <cell r="E1488">
            <v>41165</v>
          </cell>
          <cell r="F1488" t="str">
            <v>-</v>
          </cell>
          <cell r="G1488" t="str">
            <v>-</v>
          </cell>
          <cell r="H1488" t="str">
            <v>PRD</v>
          </cell>
          <cell r="I1488" t="str">
            <v>PRD</v>
          </cell>
          <cell r="J1488" t="str">
            <v>HONDA GRACE</v>
          </cell>
          <cell r="K1488" t="str">
            <v>HONDA CITY W/H L CABIN</v>
          </cell>
          <cell r="L1488" t="str">
            <v>CV 17</v>
          </cell>
          <cell r="M1488" t="str">
            <v>S/T 3.1</v>
          </cell>
          <cell r="N1488" t="str">
            <v>ASSEMBLY</v>
          </cell>
          <cell r="O1488" t="str">
            <v>B</v>
          </cell>
        </row>
        <row r="1489">
          <cell r="A1489">
            <v>18959</v>
          </cell>
          <cell r="B1489" t="str">
            <v>LUSI FITRIANA</v>
          </cell>
          <cell r="C1489" t="str">
            <v>SAMI</v>
          </cell>
          <cell r="D1489" t="str">
            <v>OPT-470</v>
          </cell>
          <cell r="E1489">
            <v>42214</v>
          </cell>
          <cell r="F1489" t="str">
            <v>-</v>
          </cell>
          <cell r="G1489" t="str">
            <v>-</v>
          </cell>
          <cell r="H1489" t="str">
            <v>PRD</v>
          </cell>
          <cell r="I1489" t="str">
            <v>PRD</v>
          </cell>
          <cell r="J1489" t="str">
            <v>HONDA GRACE</v>
          </cell>
          <cell r="K1489" t="str">
            <v>HONDA CITY W/H L CABIN</v>
          </cell>
          <cell r="L1489" t="str">
            <v>CV 17</v>
          </cell>
          <cell r="M1489" t="str">
            <v>S/T 4</v>
          </cell>
          <cell r="N1489" t="str">
            <v>ASSEMBLY</v>
          </cell>
          <cell r="O1489" t="str">
            <v>B</v>
          </cell>
        </row>
        <row r="1490">
          <cell r="A1490">
            <v>19158</v>
          </cell>
          <cell r="B1490" t="str">
            <v>PRIHATIN</v>
          </cell>
          <cell r="C1490" t="str">
            <v>SAMI</v>
          </cell>
          <cell r="D1490" t="str">
            <v>OPT-475</v>
          </cell>
          <cell r="E1490">
            <v>42254</v>
          </cell>
          <cell r="F1490" t="str">
            <v>-</v>
          </cell>
          <cell r="G1490" t="str">
            <v>-</v>
          </cell>
          <cell r="H1490" t="str">
            <v>PRD</v>
          </cell>
          <cell r="I1490" t="str">
            <v>PRD</v>
          </cell>
          <cell r="J1490" t="str">
            <v>HONDA GRACE</v>
          </cell>
          <cell r="K1490" t="str">
            <v>HONDA CITY W/H L CABIN</v>
          </cell>
          <cell r="L1490" t="str">
            <v>CV 17</v>
          </cell>
          <cell r="M1490" t="str">
            <v>S/T 1.2</v>
          </cell>
          <cell r="N1490" t="str">
            <v>ASSEMBLY</v>
          </cell>
          <cell r="O1490" t="str">
            <v>B</v>
          </cell>
        </row>
        <row r="1491">
          <cell r="A1491">
            <v>20527</v>
          </cell>
          <cell r="B1491" t="str">
            <v>RIZKI AMALIA</v>
          </cell>
          <cell r="C1491" t="str">
            <v>SAMI</v>
          </cell>
          <cell r="D1491" t="str">
            <v>OPT-504</v>
          </cell>
          <cell r="E1491">
            <v>42634</v>
          </cell>
          <cell r="F1491">
            <v>43132</v>
          </cell>
          <cell r="G1491">
            <v>43496</v>
          </cell>
          <cell r="H1491" t="str">
            <v>PRD</v>
          </cell>
          <cell r="I1491" t="str">
            <v>PRD</v>
          </cell>
          <cell r="J1491" t="str">
            <v>HONDA GRACE</v>
          </cell>
          <cell r="K1491" t="str">
            <v>HONDA CITY W/H L CABIN</v>
          </cell>
          <cell r="L1491" t="str">
            <v>CV 17</v>
          </cell>
          <cell r="M1491" t="str">
            <v>T/P 2.3</v>
          </cell>
          <cell r="N1491" t="str">
            <v>ASSEMBLY</v>
          </cell>
          <cell r="O1491" t="str">
            <v>B</v>
          </cell>
        </row>
        <row r="1492">
          <cell r="A1492">
            <v>20591</v>
          </cell>
          <cell r="B1492" t="str">
            <v>HIDAYATUL MUSTAFIDAH</v>
          </cell>
          <cell r="C1492" t="str">
            <v>SAMI</v>
          </cell>
          <cell r="D1492" t="str">
            <v>OPT-505</v>
          </cell>
          <cell r="E1492">
            <v>42639</v>
          </cell>
          <cell r="F1492">
            <v>43132</v>
          </cell>
          <cell r="G1492">
            <v>43496</v>
          </cell>
          <cell r="H1492" t="str">
            <v>PRD</v>
          </cell>
          <cell r="I1492" t="str">
            <v>PRD</v>
          </cell>
          <cell r="J1492" t="str">
            <v>HONDA GRACE</v>
          </cell>
          <cell r="K1492" t="str">
            <v>HONDA CITY W/H L CABIN</v>
          </cell>
          <cell r="L1492" t="str">
            <v>CV 17</v>
          </cell>
          <cell r="M1492" t="str">
            <v>S/A 3.2</v>
          </cell>
          <cell r="N1492" t="str">
            <v>SUB ASSY</v>
          </cell>
          <cell r="O1492" t="str">
            <v>B</v>
          </cell>
        </row>
        <row r="1493">
          <cell r="A1493">
            <v>20628</v>
          </cell>
          <cell r="B1493" t="str">
            <v>NUR KONDRAN</v>
          </cell>
          <cell r="C1493" t="str">
            <v>SAMI</v>
          </cell>
          <cell r="D1493" t="str">
            <v>OPT-505</v>
          </cell>
          <cell r="E1493">
            <v>42639</v>
          </cell>
          <cell r="F1493">
            <v>43132</v>
          </cell>
          <cell r="G1493">
            <v>43496</v>
          </cell>
          <cell r="H1493" t="str">
            <v>PRD</v>
          </cell>
          <cell r="I1493" t="str">
            <v>PRD</v>
          </cell>
          <cell r="J1493" t="str">
            <v>HONDA GRACE</v>
          </cell>
          <cell r="K1493" t="str">
            <v>HONDA CITY W/H L CABIN</v>
          </cell>
          <cell r="L1493" t="str">
            <v>CV 17</v>
          </cell>
          <cell r="M1493" t="str">
            <v>EXPANDER GROMMET</v>
          </cell>
          <cell r="N1493" t="str">
            <v>FINISHING &amp; GROMMET INJECTION</v>
          </cell>
          <cell r="O1493" t="str">
            <v>B</v>
          </cell>
        </row>
        <row r="1494">
          <cell r="A1494">
            <v>20816</v>
          </cell>
          <cell r="B1494" t="str">
            <v>ROUDHOTUL JANNAH</v>
          </cell>
          <cell r="C1494" t="str">
            <v>SAMI</v>
          </cell>
          <cell r="D1494" t="str">
            <v>OPT-508</v>
          </cell>
          <cell r="E1494">
            <v>42649</v>
          </cell>
          <cell r="F1494">
            <v>43132</v>
          </cell>
          <cell r="G1494">
            <v>43496</v>
          </cell>
          <cell r="H1494" t="str">
            <v>PRD</v>
          </cell>
          <cell r="I1494" t="str">
            <v>PRD</v>
          </cell>
          <cell r="J1494" t="str">
            <v>HONDA GRACE</v>
          </cell>
          <cell r="K1494" t="str">
            <v>HONDA CITY W/H L CABIN</v>
          </cell>
          <cell r="L1494" t="str">
            <v>CV 17</v>
          </cell>
          <cell r="M1494" t="str">
            <v>T/P 4.2</v>
          </cell>
          <cell r="N1494" t="str">
            <v>ASSEMBLY</v>
          </cell>
          <cell r="O1494" t="str">
            <v>B</v>
          </cell>
        </row>
        <row r="1495">
          <cell r="A1495">
            <v>20900</v>
          </cell>
          <cell r="B1495" t="str">
            <v>SITI RUKMANA</v>
          </cell>
          <cell r="C1495" t="str">
            <v>SAMI</v>
          </cell>
          <cell r="D1495" t="str">
            <v>OPT-510</v>
          </cell>
          <cell r="E1495">
            <v>42660</v>
          </cell>
          <cell r="F1495">
            <v>43160</v>
          </cell>
          <cell r="G1495">
            <v>43524</v>
          </cell>
          <cell r="H1495" t="str">
            <v>PRD</v>
          </cell>
          <cell r="I1495" t="str">
            <v>PRD</v>
          </cell>
          <cell r="J1495" t="str">
            <v>HONDA GRACE</v>
          </cell>
          <cell r="K1495" t="str">
            <v>HONDA CITY W/H L CABIN</v>
          </cell>
          <cell r="L1495" t="str">
            <v>CV 17</v>
          </cell>
          <cell r="M1495" t="str">
            <v>T/P 2.2</v>
          </cell>
          <cell r="N1495" t="str">
            <v>ASSEMBLY</v>
          </cell>
          <cell r="O1495" t="str">
            <v>B</v>
          </cell>
        </row>
        <row r="1496">
          <cell r="A1496">
            <v>20917</v>
          </cell>
          <cell r="B1496" t="str">
            <v>ERISA KISWARDANI</v>
          </cell>
          <cell r="C1496" t="str">
            <v>SAMI</v>
          </cell>
          <cell r="D1496" t="str">
            <v>OPT-510</v>
          </cell>
          <cell r="E1496">
            <v>42660</v>
          </cell>
          <cell r="F1496">
            <v>43160</v>
          </cell>
          <cell r="G1496">
            <v>43524</v>
          </cell>
          <cell r="H1496" t="str">
            <v>PRD</v>
          </cell>
          <cell r="I1496" t="str">
            <v>PRD</v>
          </cell>
          <cell r="J1496" t="str">
            <v>HONDA GRACE</v>
          </cell>
          <cell r="K1496" t="str">
            <v>HONDA CITY W/H L CABIN</v>
          </cell>
          <cell r="L1496" t="str">
            <v>CV 17</v>
          </cell>
          <cell r="M1496" t="str">
            <v>S/T 3.2</v>
          </cell>
          <cell r="N1496" t="str">
            <v>ASSEMBLY</v>
          </cell>
          <cell r="O1496" t="str">
            <v>B</v>
          </cell>
        </row>
        <row r="1497">
          <cell r="A1497">
            <v>21414</v>
          </cell>
          <cell r="B1497" t="str">
            <v>SITI AZIROH</v>
          </cell>
          <cell r="C1497" t="str">
            <v>SAMI</v>
          </cell>
          <cell r="D1497" t="str">
            <v>OPT-532</v>
          </cell>
          <cell r="E1497">
            <v>43018</v>
          </cell>
          <cell r="F1497">
            <v>43405</v>
          </cell>
          <cell r="G1497">
            <v>43769</v>
          </cell>
          <cell r="H1497" t="str">
            <v>PRD</v>
          </cell>
          <cell r="I1497" t="str">
            <v>PRD</v>
          </cell>
          <cell r="J1497" t="str">
            <v>HONDA GRACE</v>
          </cell>
          <cell r="K1497" t="str">
            <v>HONDA CITY W/H L CABIN</v>
          </cell>
          <cell r="L1497" t="str">
            <v>CV 17</v>
          </cell>
          <cell r="M1497" t="str">
            <v>T/P 6</v>
          </cell>
          <cell r="N1497" t="str">
            <v>ASSEMBLY</v>
          </cell>
          <cell r="O1497" t="str">
            <v>B</v>
          </cell>
        </row>
        <row r="1498">
          <cell r="A1498">
            <v>21440</v>
          </cell>
          <cell r="B1498" t="str">
            <v>IFTIANA</v>
          </cell>
          <cell r="C1498" t="str">
            <v>SAMI</v>
          </cell>
          <cell r="D1498" t="str">
            <v>OPT-533</v>
          </cell>
          <cell r="E1498">
            <v>43024</v>
          </cell>
          <cell r="F1498">
            <v>43435</v>
          </cell>
          <cell r="G1498">
            <v>43799</v>
          </cell>
          <cell r="H1498" t="str">
            <v>PRD</v>
          </cell>
          <cell r="I1498" t="str">
            <v>PRD</v>
          </cell>
          <cell r="J1498" t="str">
            <v>HONDA GRACE</v>
          </cell>
          <cell r="K1498" t="str">
            <v>HONDA CITY W/H L CABIN</v>
          </cell>
          <cell r="L1498" t="str">
            <v>CV 17</v>
          </cell>
          <cell r="M1498" t="str">
            <v>S/T 1.1</v>
          </cell>
          <cell r="N1498" t="str">
            <v>ASSEMBLY</v>
          </cell>
          <cell r="O1498" t="str">
            <v>B</v>
          </cell>
        </row>
        <row r="1499">
          <cell r="A1499">
            <v>21496</v>
          </cell>
          <cell r="B1499" t="str">
            <v>SITI LAILATUZZUHROH</v>
          </cell>
          <cell r="C1499" t="str">
            <v>SAMI</v>
          </cell>
          <cell r="D1499" t="str">
            <v>OPT-534</v>
          </cell>
          <cell r="E1499">
            <v>43031</v>
          </cell>
          <cell r="F1499">
            <v>43435</v>
          </cell>
          <cell r="G1499">
            <v>43799</v>
          </cell>
          <cell r="H1499" t="str">
            <v>PRD</v>
          </cell>
          <cell r="I1499" t="str">
            <v>PRD</v>
          </cell>
          <cell r="J1499" t="str">
            <v>HONDA GRACE</v>
          </cell>
          <cell r="K1499" t="str">
            <v>HONDA CITY W/H L CABIN</v>
          </cell>
          <cell r="L1499" t="str">
            <v>CV 17</v>
          </cell>
          <cell r="M1499" t="str">
            <v>INSERTION GROUP</v>
          </cell>
          <cell r="N1499" t="str">
            <v>SUB ASSY</v>
          </cell>
          <cell r="O1499" t="str">
            <v>B</v>
          </cell>
        </row>
        <row r="1500">
          <cell r="A1500">
            <v>21732</v>
          </cell>
          <cell r="B1500" t="str">
            <v>MIRA YUGISTA SARI</v>
          </cell>
          <cell r="C1500" t="str">
            <v>SAMI</v>
          </cell>
          <cell r="D1500" t="str">
            <v>OPT-539</v>
          </cell>
          <cell r="E1500">
            <v>43087</v>
          </cell>
          <cell r="F1500">
            <v>43118</v>
          </cell>
          <cell r="G1500">
            <v>43496</v>
          </cell>
          <cell r="H1500" t="str">
            <v>PRD</v>
          </cell>
          <cell r="I1500" t="str">
            <v>PRD</v>
          </cell>
          <cell r="J1500" t="str">
            <v>HONDA GRACE</v>
          </cell>
          <cell r="K1500" t="str">
            <v>HONDA CITY W/H L CABIN</v>
          </cell>
          <cell r="L1500" t="str">
            <v>CV 17</v>
          </cell>
          <cell r="M1500" t="str">
            <v>S/T 2.1</v>
          </cell>
          <cell r="N1500" t="str">
            <v>ASSEMBLY</v>
          </cell>
          <cell r="O1500" t="str">
            <v>B</v>
          </cell>
        </row>
        <row r="1501">
          <cell r="A1501">
            <v>21746</v>
          </cell>
          <cell r="B1501" t="str">
            <v xml:space="preserve">RINA NURHIDAYATI </v>
          </cell>
          <cell r="C1501" t="str">
            <v>SAMI</v>
          </cell>
          <cell r="D1501" t="str">
            <v>OPT-539</v>
          </cell>
          <cell r="E1501">
            <v>43087</v>
          </cell>
          <cell r="F1501">
            <v>43118</v>
          </cell>
          <cell r="G1501">
            <v>43496</v>
          </cell>
          <cell r="H1501" t="str">
            <v>PRD</v>
          </cell>
          <cell r="I1501" t="str">
            <v>PRD</v>
          </cell>
          <cell r="J1501" t="str">
            <v>HONDA GRACE</v>
          </cell>
          <cell r="K1501" t="str">
            <v>HONDA CITY W/H L CABIN</v>
          </cell>
          <cell r="L1501" t="str">
            <v>CV 17</v>
          </cell>
          <cell r="M1501" t="str">
            <v>S/T 2.3</v>
          </cell>
          <cell r="N1501" t="str">
            <v>ASSEMBLY</v>
          </cell>
          <cell r="O1501" t="str">
            <v>B</v>
          </cell>
        </row>
        <row r="1502">
          <cell r="A1502">
            <v>21774</v>
          </cell>
          <cell r="B1502" t="str">
            <v>LILIS SHOLEHA</v>
          </cell>
          <cell r="C1502" t="str">
            <v>SAMI</v>
          </cell>
          <cell r="D1502" t="str">
            <v>OPT-540</v>
          </cell>
          <cell r="E1502">
            <v>43090</v>
          </cell>
          <cell r="F1502">
            <v>43121</v>
          </cell>
          <cell r="G1502">
            <v>43496</v>
          </cell>
          <cell r="H1502" t="str">
            <v>PRD</v>
          </cell>
          <cell r="I1502" t="str">
            <v>PRD</v>
          </cell>
          <cell r="J1502" t="str">
            <v>HONDA GRACE</v>
          </cell>
          <cell r="K1502" t="str">
            <v>HONDA CITY W/H L CABIN</v>
          </cell>
          <cell r="L1502" t="str">
            <v>CV 17</v>
          </cell>
          <cell r="M1502" t="str">
            <v>CIRCUIT SUPPLIER 2</v>
          </cell>
          <cell r="N1502" t="str">
            <v>CIRCUIT SUPPLY</v>
          </cell>
          <cell r="O1502" t="str">
            <v>B</v>
          </cell>
        </row>
        <row r="1503">
          <cell r="A1503">
            <v>21861</v>
          </cell>
          <cell r="B1503" t="str">
            <v>VIKI ANGGRIANA</v>
          </cell>
          <cell r="C1503" t="str">
            <v>SAMI</v>
          </cell>
          <cell r="D1503" t="str">
            <v>OPT-541</v>
          </cell>
          <cell r="E1503">
            <v>43098</v>
          </cell>
          <cell r="F1503">
            <v>43129</v>
          </cell>
          <cell r="G1503">
            <v>43496</v>
          </cell>
          <cell r="H1503" t="str">
            <v>PRD</v>
          </cell>
          <cell r="I1503" t="str">
            <v>PRD</v>
          </cell>
          <cell r="J1503" t="str">
            <v>HONDA GRACE</v>
          </cell>
          <cell r="K1503" t="str">
            <v>HONDA CITY W/H L CABIN</v>
          </cell>
          <cell r="L1503" t="str">
            <v>CV 17</v>
          </cell>
          <cell r="M1503" t="str">
            <v>CIRCUIT SUPPLIER 1</v>
          </cell>
          <cell r="N1503" t="str">
            <v>CIRCUIT SUPPLY</v>
          </cell>
          <cell r="O1503" t="str">
            <v>B</v>
          </cell>
        </row>
        <row r="1504">
          <cell r="A1504">
            <v>21998</v>
          </cell>
          <cell r="B1504" t="str">
            <v>NOVITASARI</v>
          </cell>
          <cell r="C1504" t="str">
            <v>SAMI</v>
          </cell>
          <cell r="D1504" t="str">
            <v>OPT-546</v>
          </cell>
          <cell r="E1504">
            <v>43139</v>
          </cell>
          <cell r="F1504">
            <v>43167</v>
          </cell>
          <cell r="G1504">
            <v>43524</v>
          </cell>
          <cell r="H1504" t="str">
            <v>PRD</v>
          </cell>
          <cell r="I1504" t="str">
            <v>PRD</v>
          </cell>
          <cell r="J1504" t="str">
            <v>HONDA GRACE</v>
          </cell>
          <cell r="K1504" t="str">
            <v>HONDA CITY W/H L CABIN</v>
          </cell>
          <cell r="L1504" t="str">
            <v>CV 17</v>
          </cell>
          <cell r="M1504" t="str">
            <v>S/A 5</v>
          </cell>
          <cell r="N1504" t="str">
            <v>SUB ASSY</v>
          </cell>
          <cell r="O1504" t="str">
            <v>B</v>
          </cell>
        </row>
        <row r="1505">
          <cell r="A1505">
            <v>22381</v>
          </cell>
          <cell r="B1505" t="str">
            <v>DIAN LATIFAH</v>
          </cell>
          <cell r="C1505" t="str">
            <v>SAMI</v>
          </cell>
          <cell r="D1505" t="str">
            <v>OPT-558</v>
          </cell>
          <cell r="E1505">
            <v>43213</v>
          </cell>
          <cell r="F1505">
            <v>43243</v>
          </cell>
          <cell r="G1505">
            <v>43616</v>
          </cell>
          <cell r="H1505" t="str">
            <v>PRD</v>
          </cell>
          <cell r="I1505" t="str">
            <v>PRD</v>
          </cell>
          <cell r="J1505" t="str">
            <v>HONDA GRACE</v>
          </cell>
          <cell r="K1505" t="str">
            <v>HONDA CITY W/H L CABIN</v>
          </cell>
          <cell r="L1505" t="str">
            <v>CV 17</v>
          </cell>
          <cell r="M1505" t="str">
            <v>T/P 5.2</v>
          </cell>
          <cell r="N1505" t="str">
            <v>ASSEMBLY</v>
          </cell>
          <cell r="O1505" t="str">
            <v>B</v>
          </cell>
        </row>
        <row r="1506">
          <cell r="A1506">
            <v>22383</v>
          </cell>
          <cell r="B1506" t="str">
            <v>DWI ETIKA SEPTIANI</v>
          </cell>
          <cell r="C1506" t="str">
            <v>SAMI</v>
          </cell>
          <cell r="D1506" t="str">
            <v>OPT-558</v>
          </cell>
          <cell r="E1506">
            <v>43213</v>
          </cell>
          <cell r="F1506">
            <v>43243</v>
          </cell>
          <cell r="G1506">
            <v>43616</v>
          </cell>
          <cell r="H1506" t="str">
            <v>PRD</v>
          </cell>
          <cell r="I1506" t="str">
            <v>PRD</v>
          </cell>
          <cell r="J1506" t="str">
            <v>HONDA GRACE</v>
          </cell>
          <cell r="K1506" t="str">
            <v>HONDA CITY W/H L CABIN</v>
          </cell>
          <cell r="L1506" t="str">
            <v>CV 17</v>
          </cell>
          <cell r="M1506" t="str">
            <v>CHECKER 3</v>
          </cell>
          <cell r="N1506" t="str">
            <v>ELECTRICAL INSPECTION</v>
          </cell>
          <cell r="O1506" t="str">
            <v>B</v>
          </cell>
        </row>
        <row r="1507">
          <cell r="A1507">
            <v>22742</v>
          </cell>
          <cell r="B1507" t="str">
            <v>KHOLIFATUS SAKDIYAH</v>
          </cell>
          <cell r="C1507" t="str">
            <v>SAMI</v>
          </cell>
          <cell r="D1507" t="str">
            <v>OPT-564</v>
          </cell>
          <cell r="E1507">
            <v>43255</v>
          </cell>
          <cell r="F1507">
            <v>43285</v>
          </cell>
          <cell r="G1507">
            <v>43646</v>
          </cell>
          <cell r="H1507" t="str">
            <v>PRD</v>
          </cell>
          <cell r="I1507" t="str">
            <v>PRD</v>
          </cell>
          <cell r="J1507" t="str">
            <v>HONDA GRACE</v>
          </cell>
          <cell r="K1507" t="str">
            <v>HONDA CITY W/H L CABIN</v>
          </cell>
          <cell r="L1507" t="str">
            <v>CV 17</v>
          </cell>
          <cell r="M1507" t="str">
            <v>S/A 4</v>
          </cell>
          <cell r="N1507" t="str">
            <v>SUB ASSY</v>
          </cell>
          <cell r="O1507" t="str">
            <v>B</v>
          </cell>
        </row>
        <row r="1508">
          <cell r="A1508">
            <v>22851</v>
          </cell>
          <cell r="B1508" t="str">
            <v>MARISA</v>
          </cell>
          <cell r="C1508" t="str">
            <v>SAMI</v>
          </cell>
          <cell r="D1508" t="str">
            <v>OPT-567</v>
          </cell>
          <cell r="E1508">
            <v>43333</v>
          </cell>
          <cell r="F1508">
            <v>43364</v>
          </cell>
          <cell r="G1508">
            <v>43738</v>
          </cell>
          <cell r="H1508" t="str">
            <v>PRD</v>
          </cell>
          <cell r="I1508" t="str">
            <v>PRD</v>
          </cell>
          <cell r="J1508" t="str">
            <v>HONDA GRACE</v>
          </cell>
          <cell r="K1508" t="str">
            <v>HONDA CITY W/H L CABIN</v>
          </cell>
          <cell r="L1508" t="str">
            <v>CV 17</v>
          </cell>
          <cell r="M1508" t="str">
            <v>MATERIAL SUPPLY 2</v>
          </cell>
          <cell r="N1508" t="str">
            <v>MATERIAL SUPPLY</v>
          </cell>
          <cell r="O1508" t="str">
            <v>B</v>
          </cell>
        </row>
        <row r="1509">
          <cell r="A1509">
            <v>22853</v>
          </cell>
          <cell r="B1509" t="str">
            <v>MELI ADITAMA</v>
          </cell>
          <cell r="C1509" t="str">
            <v>SAMI</v>
          </cell>
          <cell r="D1509" t="str">
            <v>OPT-567</v>
          </cell>
          <cell r="E1509">
            <v>43333</v>
          </cell>
          <cell r="F1509">
            <v>43364</v>
          </cell>
          <cell r="G1509">
            <v>43738</v>
          </cell>
          <cell r="H1509" t="str">
            <v>PRD</v>
          </cell>
          <cell r="I1509" t="str">
            <v>PRD</v>
          </cell>
          <cell r="J1509" t="str">
            <v>HONDA GRACE</v>
          </cell>
          <cell r="K1509" t="str">
            <v>HONDA CITY W/H L CABIN</v>
          </cell>
          <cell r="L1509" t="str">
            <v>CV 17</v>
          </cell>
          <cell r="M1509" t="str">
            <v>CHECKER</v>
          </cell>
          <cell r="N1509" t="str">
            <v>INTERNAL TRIAL</v>
          </cell>
          <cell r="O1509" t="str">
            <v>B</v>
          </cell>
        </row>
        <row r="1510">
          <cell r="A1510">
            <v>22940</v>
          </cell>
          <cell r="B1510" t="str">
            <v>INDAH YULIANTI</v>
          </cell>
          <cell r="C1510" t="str">
            <v>SAMI</v>
          </cell>
          <cell r="D1510" t="str">
            <v>OPT-568</v>
          </cell>
          <cell r="E1510">
            <v>43343</v>
          </cell>
          <cell r="F1510">
            <v>43374</v>
          </cell>
          <cell r="G1510">
            <v>43738</v>
          </cell>
          <cell r="H1510" t="str">
            <v>PRD</v>
          </cell>
          <cell r="I1510" t="str">
            <v>PRD</v>
          </cell>
          <cell r="J1510" t="str">
            <v>HONDA GRACE</v>
          </cell>
          <cell r="K1510" t="str">
            <v>HONDA CITY W/H L CABIN</v>
          </cell>
          <cell r="L1510" t="str">
            <v>CV 17</v>
          </cell>
          <cell r="M1510" t="str">
            <v>S/A 4</v>
          </cell>
          <cell r="N1510" t="str">
            <v>SUB ASSY</v>
          </cell>
          <cell r="O1510" t="str">
            <v>B</v>
          </cell>
        </row>
        <row r="1511">
          <cell r="A1511">
            <v>22957</v>
          </cell>
          <cell r="B1511" t="str">
            <v>MUHAMMAD NURUL HUDDIN</v>
          </cell>
          <cell r="C1511" t="str">
            <v>SAMI</v>
          </cell>
          <cell r="D1511" t="str">
            <v>OPT-568</v>
          </cell>
          <cell r="E1511">
            <v>43343</v>
          </cell>
          <cell r="F1511">
            <v>43374</v>
          </cell>
          <cell r="G1511">
            <v>43738</v>
          </cell>
          <cell r="H1511" t="str">
            <v>PRD</v>
          </cell>
          <cell r="I1511" t="str">
            <v>PRD</v>
          </cell>
          <cell r="J1511" t="str">
            <v>HONDA GRACE</v>
          </cell>
          <cell r="K1511" t="str">
            <v>HONDA CITY W/H L CABIN</v>
          </cell>
          <cell r="L1511" t="str">
            <v>CV 17</v>
          </cell>
          <cell r="M1511" t="str">
            <v>CHECKER 2</v>
          </cell>
          <cell r="N1511" t="str">
            <v>ELECTRICAL INSPECTION</v>
          </cell>
          <cell r="O1511" t="str">
            <v>B</v>
          </cell>
        </row>
        <row r="1512">
          <cell r="A1512">
            <v>22990</v>
          </cell>
          <cell r="B1512" t="str">
            <v>WISNU ARDIAN SYAH</v>
          </cell>
          <cell r="C1512" t="str">
            <v>SAMI</v>
          </cell>
          <cell r="D1512" t="str">
            <v>OPT-568</v>
          </cell>
          <cell r="E1512">
            <v>43343</v>
          </cell>
          <cell r="F1512">
            <v>43374</v>
          </cell>
          <cell r="G1512">
            <v>43738</v>
          </cell>
          <cell r="H1512" t="str">
            <v>PRD</v>
          </cell>
          <cell r="I1512" t="str">
            <v>PRD</v>
          </cell>
          <cell r="J1512" t="str">
            <v>HONDA GRACE</v>
          </cell>
          <cell r="K1512" t="str">
            <v>HONDA CITY W/H L CABIN</v>
          </cell>
          <cell r="L1512" t="str">
            <v>CV 17</v>
          </cell>
          <cell r="M1512" t="str">
            <v>PROTECTOR 2</v>
          </cell>
          <cell r="N1512" t="str">
            <v>ASSEMBLY</v>
          </cell>
          <cell r="O1512" t="str">
            <v>B</v>
          </cell>
        </row>
        <row r="1513">
          <cell r="A1513">
            <v>22994</v>
          </cell>
          <cell r="B1513" t="str">
            <v>ANGGUN TIKA HANDAYANI</v>
          </cell>
          <cell r="C1513" t="str">
            <v>SAMI</v>
          </cell>
          <cell r="D1513" t="str">
            <v>OPT-569</v>
          </cell>
          <cell r="E1513">
            <v>43361</v>
          </cell>
          <cell r="F1513">
            <v>43391</v>
          </cell>
          <cell r="G1513">
            <v>43769</v>
          </cell>
          <cell r="H1513" t="str">
            <v>PRD</v>
          </cell>
          <cell r="I1513" t="str">
            <v>PRD</v>
          </cell>
          <cell r="J1513" t="str">
            <v>HONDA GRACE</v>
          </cell>
          <cell r="K1513" t="str">
            <v>HONDA CITY W/H L CABIN</v>
          </cell>
          <cell r="L1513" t="str">
            <v>CV 17</v>
          </cell>
          <cell r="M1513" t="str">
            <v>MATERIAL SUPPLY</v>
          </cell>
          <cell r="N1513" t="str">
            <v>MATERIAL SUPPLY</v>
          </cell>
          <cell r="O1513" t="str">
            <v>B</v>
          </cell>
        </row>
        <row r="1514">
          <cell r="A1514">
            <v>23029</v>
          </cell>
          <cell r="B1514" t="str">
            <v>ILA NAILI ROHMATIKA</v>
          </cell>
          <cell r="C1514" t="str">
            <v>SAMI</v>
          </cell>
          <cell r="D1514" t="str">
            <v>OPT-569</v>
          </cell>
          <cell r="E1514">
            <v>43361</v>
          </cell>
          <cell r="F1514">
            <v>43391</v>
          </cell>
          <cell r="G1514">
            <v>43769</v>
          </cell>
          <cell r="H1514" t="str">
            <v>PRD</v>
          </cell>
          <cell r="I1514" t="str">
            <v>PRD</v>
          </cell>
          <cell r="J1514" t="str">
            <v>HONDA GRACE</v>
          </cell>
          <cell r="K1514" t="str">
            <v>HONDA CITY W/H L CABIN</v>
          </cell>
          <cell r="L1514" t="str">
            <v>CV 17</v>
          </cell>
          <cell r="M1514" t="str">
            <v>T/P 3.1</v>
          </cell>
          <cell r="N1514" t="str">
            <v>ASSEMBLY</v>
          </cell>
          <cell r="O1514" t="str">
            <v>B</v>
          </cell>
        </row>
        <row r="1515">
          <cell r="A1515">
            <v>23229</v>
          </cell>
          <cell r="B1515" t="str">
            <v>ISMI KHOLIFAH</v>
          </cell>
          <cell r="C1515" t="str">
            <v>SAMI</v>
          </cell>
          <cell r="D1515" t="str">
            <v>OPT-573</v>
          </cell>
          <cell r="E1515">
            <v>43421</v>
          </cell>
          <cell r="F1515">
            <v>43451</v>
          </cell>
          <cell r="G1515">
            <v>43830</v>
          </cell>
          <cell r="H1515" t="str">
            <v>PRD</v>
          </cell>
          <cell r="I1515" t="str">
            <v>PRD</v>
          </cell>
          <cell r="J1515" t="str">
            <v>HONDA GRACE</v>
          </cell>
          <cell r="K1515" t="str">
            <v>HONDA CITY W/H L CABIN</v>
          </cell>
          <cell r="L1515" t="str">
            <v>CV 17</v>
          </cell>
          <cell r="M1515" t="str">
            <v>T/P 1.1</v>
          </cell>
          <cell r="N1515" t="str">
            <v>ASSEMBLY</v>
          </cell>
          <cell r="O1515" t="str">
            <v>B</v>
          </cell>
        </row>
        <row r="1516">
          <cell r="A1516">
            <v>23230</v>
          </cell>
          <cell r="B1516" t="str">
            <v>ISNAINATUN ANISA</v>
          </cell>
          <cell r="C1516" t="str">
            <v>SAMI</v>
          </cell>
          <cell r="D1516" t="str">
            <v>OPT-573</v>
          </cell>
          <cell r="E1516">
            <v>43421</v>
          </cell>
          <cell r="F1516">
            <v>43451</v>
          </cell>
          <cell r="G1516">
            <v>43830</v>
          </cell>
          <cell r="H1516" t="str">
            <v>PRD</v>
          </cell>
          <cell r="I1516" t="str">
            <v>PRD</v>
          </cell>
          <cell r="J1516" t="str">
            <v>HONDA GRACE</v>
          </cell>
          <cell r="K1516" t="str">
            <v>HONDA CITY W/H L CABIN</v>
          </cell>
          <cell r="L1516" t="str">
            <v>CV 17</v>
          </cell>
          <cell r="M1516" t="str">
            <v>T/P 2.1</v>
          </cell>
          <cell r="N1516" t="str">
            <v>ASSEMBLY</v>
          </cell>
          <cell r="O1516" t="str">
            <v>B</v>
          </cell>
        </row>
        <row r="1517">
          <cell r="A1517">
            <v>23385</v>
          </cell>
          <cell r="B1517" t="str">
            <v>YOGA ARIF PRASETYA</v>
          </cell>
          <cell r="C1517" t="str">
            <v>SAMI</v>
          </cell>
          <cell r="D1517" t="str">
            <v>OPT-574</v>
          </cell>
          <cell r="E1517">
            <v>43427</v>
          </cell>
          <cell r="F1517">
            <v>43457</v>
          </cell>
          <cell r="G1517">
            <v>43830</v>
          </cell>
          <cell r="H1517" t="str">
            <v>PRD</v>
          </cell>
          <cell r="I1517" t="str">
            <v>PRD</v>
          </cell>
          <cell r="J1517" t="str">
            <v>HONDA GRACE</v>
          </cell>
          <cell r="K1517" t="str">
            <v>HONDA CITY W/H L CABIN</v>
          </cell>
          <cell r="L1517" t="str">
            <v>CV 17</v>
          </cell>
          <cell r="M1517" t="str">
            <v>OJT EXPANDER GROMET</v>
          </cell>
          <cell r="N1517" t="str">
            <v>INTERNAL TRIAL</v>
          </cell>
          <cell r="O1517" t="str">
            <v>B</v>
          </cell>
        </row>
        <row r="1518">
          <cell r="A1518">
            <v>23511</v>
          </cell>
          <cell r="B1518" t="str">
            <v>MAR'ATUN ANNISA</v>
          </cell>
          <cell r="C1518" t="str">
            <v>SAMI</v>
          </cell>
          <cell r="D1518" t="str">
            <v>OPT-576</v>
          </cell>
          <cell r="E1518">
            <v>43441</v>
          </cell>
          <cell r="F1518">
            <v>43472</v>
          </cell>
          <cell r="G1518">
            <v>43830</v>
          </cell>
          <cell r="H1518" t="str">
            <v>PRD</v>
          </cell>
          <cell r="I1518" t="str">
            <v>PRD</v>
          </cell>
          <cell r="J1518" t="str">
            <v>HONDA GRACE</v>
          </cell>
          <cell r="K1518" t="str">
            <v>HONDA CITY W/H L CABIN</v>
          </cell>
          <cell r="L1518" t="str">
            <v>CV 17</v>
          </cell>
          <cell r="M1518" t="str">
            <v>OJT</v>
          </cell>
          <cell r="N1518" t="str">
            <v>INTERNAL TRIAL</v>
          </cell>
          <cell r="O1518" t="str">
            <v>B</v>
          </cell>
        </row>
        <row r="1519">
          <cell r="A1519">
            <v>23567</v>
          </cell>
          <cell r="B1519" t="str">
            <v>LISNAWATI KHOLIDA</v>
          </cell>
          <cell r="C1519" t="str">
            <v>SAMI</v>
          </cell>
          <cell r="D1519" t="str">
            <v>OPT-577</v>
          </cell>
          <cell r="E1519">
            <v>43452</v>
          </cell>
          <cell r="F1519">
            <v>43483</v>
          </cell>
          <cell r="G1519">
            <v>43861</v>
          </cell>
          <cell r="H1519" t="str">
            <v>PRD</v>
          </cell>
          <cell r="I1519" t="str">
            <v>PRD</v>
          </cell>
          <cell r="J1519" t="str">
            <v>HONDA GRACE</v>
          </cell>
          <cell r="K1519" t="str">
            <v>HONDA CITY W/H L CABIN</v>
          </cell>
          <cell r="L1519" t="str">
            <v>CV 17</v>
          </cell>
          <cell r="M1519" t="str">
            <v>OJT</v>
          </cell>
          <cell r="N1519" t="str">
            <v>INTERNAL TRIAL</v>
          </cell>
          <cell r="O1519" t="str">
            <v>B</v>
          </cell>
        </row>
        <row r="1520">
          <cell r="A1520" t="str">
            <v>M23622</v>
          </cell>
          <cell r="B1520" t="str">
            <v>IDA MUSTAGHFIROH</v>
          </cell>
          <cell r="C1520" t="str">
            <v>SAMI</v>
          </cell>
          <cell r="D1520" t="str">
            <v>OPT-578</v>
          </cell>
          <cell r="E1520">
            <v>43467</v>
          </cell>
          <cell r="F1520">
            <v>43467</v>
          </cell>
          <cell r="G1520">
            <v>43497</v>
          </cell>
          <cell r="H1520" t="str">
            <v>PRD</v>
          </cell>
          <cell r="I1520" t="str">
            <v>PRD</v>
          </cell>
          <cell r="J1520" t="str">
            <v>HONDA GRACE</v>
          </cell>
          <cell r="K1520" t="str">
            <v>HONDA CITY W/H L CABIN</v>
          </cell>
          <cell r="L1520" t="str">
            <v>CV 17</v>
          </cell>
          <cell r="M1520" t="str">
            <v>OJT</v>
          </cell>
          <cell r="N1520" t="str">
            <v>INTERNAL TRIAL</v>
          </cell>
          <cell r="O1520" t="str">
            <v>B</v>
          </cell>
        </row>
        <row r="1521">
          <cell r="A1521">
            <v>976</v>
          </cell>
          <cell r="B1521" t="str">
            <v>MUGI RAHAYU</v>
          </cell>
          <cell r="C1521" t="str">
            <v>SAMI</v>
          </cell>
          <cell r="D1521" t="str">
            <v>OPT-25</v>
          </cell>
          <cell r="E1521">
            <v>37872</v>
          </cell>
          <cell r="F1521" t="str">
            <v>-</v>
          </cell>
          <cell r="G1521" t="str">
            <v>-</v>
          </cell>
          <cell r="H1521" t="str">
            <v>PRD</v>
          </cell>
          <cell r="I1521" t="str">
            <v>PRD</v>
          </cell>
          <cell r="J1521" t="str">
            <v>HONDA N-WAGON</v>
          </cell>
          <cell r="K1521" t="str">
            <v>HONDA SMALL CAR W/H FLOOR</v>
          </cell>
          <cell r="L1521" t="str">
            <v>CV 19</v>
          </cell>
          <cell r="M1521" t="str">
            <v>SUB LINE CHO</v>
          </cell>
          <cell r="N1521" t="str">
            <v>GL</v>
          </cell>
          <cell r="O1521" t="str">
            <v>A</v>
          </cell>
        </row>
        <row r="1522">
          <cell r="A1522">
            <v>8635</v>
          </cell>
          <cell r="B1522" t="str">
            <v>AMBARWATI</v>
          </cell>
          <cell r="C1522" t="str">
            <v>SAMI</v>
          </cell>
          <cell r="D1522" t="str">
            <v>OPT-189</v>
          </cell>
          <cell r="E1522">
            <v>39878</v>
          </cell>
          <cell r="F1522" t="str">
            <v>-</v>
          </cell>
          <cell r="G1522" t="str">
            <v>-</v>
          </cell>
          <cell r="H1522" t="str">
            <v>PRD</v>
          </cell>
          <cell r="I1522" t="str">
            <v>PRD</v>
          </cell>
          <cell r="J1522" t="str">
            <v>HONDA N-WAGON</v>
          </cell>
          <cell r="K1522" t="str">
            <v>HONDA SMALL CAR W/H FLOOR</v>
          </cell>
          <cell r="L1522" t="str">
            <v>CV 19</v>
          </cell>
          <cell r="M1522" t="str">
            <v>T/P 3</v>
          </cell>
          <cell r="N1522" t="str">
            <v>SUB ASSY</v>
          </cell>
          <cell r="O1522" t="str">
            <v>A</v>
          </cell>
        </row>
        <row r="1523">
          <cell r="A1523">
            <v>8761</v>
          </cell>
          <cell r="B1523" t="str">
            <v>WAHYU AGUS TYANINGRUM</v>
          </cell>
          <cell r="C1523" t="str">
            <v>SAMI</v>
          </cell>
          <cell r="D1523" t="str">
            <v>OPT-193</v>
          </cell>
          <cell r="E1523">
            <v>39925</v>
          </cell>
          <cell r="F1523" t="str">
            <v>-</v>
          </cell>
          <cell r="G1523" t="str">
            <v>-</v>
          </cell>
          <cell r="H1523" t="str">
            <v>PRD</v>
          </cell>
          <cell r="I1523" t="str">
            <v>PRD</v>
          </cell>
          <cell r="J1523" t="str">
            <v>HONDA N-WAGON</v>
          </cell>
          <cell r="K1523" t="str">
            <v>HONDA SMALL CAR W/H FLOOR</v>
          </cell>
          <cell r="L1523" t="str">
            <v>CV 19</v>
          </cell>
          <cell r="M1523" t="str">
            <v>T/P 3</v>
          </cell>
          <cell r="N1523" t="str">
            <v>ASSEMBLY</v>
          </cell>
          <cell r="O1523" t="str">
            <v>A</v>
          </cell>
        </row>
        <row r="1524">
          <cell r="A1524">
            <v>9034</v>
          </cell>
          <cell r="B1524" t="str">
            <v>YUNITA</v>
          </cell>
          <cell r="C1524" t="str">
            <v>SAMI</v>
          </cell>
          <cell r="D1524" t="str">
            <v>OPT-201</v>
          </cell>
          <cell r="E1524">
            <v>39975</v>
          </cell>
          <cell r="F1524" t="str">
            <v>-</v>
          </cell>
          <cell r="G1524" t="str">
            <v>-</v>
          </cell>
          <cell r="H1524" t="str">
            <v>PRD</v>
          </cell>
          <cell r="I1524" t="str">
            <v>PRD</v>
          </cell>
          <cell r="J1524" t="str">
            <v>HONDA N-WAGON</v>
          </cell>
          <cell r="K1524" t="str">
            <v>HONDA SMALL CAR W/H FLOOR</v>
          </cell>
          <cell r="L1524" t="str">
            <v>CV 19</v>
          </cell>
          <cell r="M1524" t="str">
            <v>VISUAL</v>
          </cell>
          <cell r="N1524" t="str">
            <v>VISUAL INSPECTION</v>
          </cell>
          <cell r="O1524" t="str">
            <v>A</v>
          </cell>
        </row>
        <row r="1525">
          <cell r="A1525">
            <v>10538</v>
          </cell>
          <cell r="B1525" t="str">
            <v>YULIANA INDAH FEBRI L.</v>
          </cell>
          <cell r="C1525" t="str">
            <v>SAMI</v>
          </cell>
          <cell r="D1525" t="str">
            <v>OPT-273</v>
          </cell>
          <cell r="E1525">
            <v>40535</v>
          </cell>
          <cell r="F1525" t="str">
            <v>-</v>
          </cell>
          <cell r="G1525" t="str">
            <v>-</v>
          </cell>
          <cell r="H1525" t="str">
            <v>PRD</v>
          </cell>
          <cell r="I1525" t="str">
            <v>PRD</v>
          </cell>
          <cell r="J1525" t="str">
            <v>HONDA N-WAGON</v>
          </cell>
          <cell r="K1525" t="str">
            <v>HONDA SMALL CAR W/H FLOOR</v>
          </cell>
          <cell r="L1525" t="str">
            <v>CV 19</v>
          </cell>
          <cell r="M1525" t="str">
            <v>LQC</v>
          </cell>
          <cell r="N1525" t="str">
            <v>RELIEF</v>
          </cell>
          <cell r="O1525" t="str">
            <v>A</v>
          </cell>
        </row>
        <row r="1526">
          <cell r="A1526">
            <v>10597</v>
          </cell>
          <cell r="B1526" t="str">
            <v>FITRI RAHAYU</v>
          </cell>
          <cell r="C1526" t="str">
            <v>SAMI</v>
          </cell>
          <cell r="D1526" t="str">
            <v>OPT-276</v>
          </cell>
          <cell r="E1526">
            <v>40544</v>
          </cell>
          <cell r="F1526" t="str">
            <v>-</v>
          </cell>
          <cell r="G1526" t="str">
            <v>-</v>
          </cell>
          <cell r="H1526" t="str">
            <v>PRD</v>
          </cell>
          <cell r="I1526" t="str">
            <v>PRD</v>
          </cell>
          <cell r="J1526" t="str">
            <v>HONDA N-WAGON</v>
          </cell>
          <cell r="K1526" t="str">
            <v>HONDA SMALL CAR W/H FLOOR</v>
          </cell>
          <cell r="L1526" t="str">
            <v>CV 19</v>
          </cell>
          <cell r="M1526" t="str">
            <v>CHECKER A/B</v>
          </cell>
          <cell r="N1526" t="str">
            <v>ELECTRICAL INSPECTION</v>
          </cell>
          <cell r="O1526" t="str">
            <v>A</v>
          </cell>
        </row>
        <row r="1527">
          <cell r="A1527">
            <v>12665</v>
          </cell>
          <cell r="B1527" t="str">
            <v>LINA LASMITA</v>
          </cell>
          <cell r="C1527" t="str">
            <v>SAMI</v>
          </cell>
          <cell r="D1527" t="str">
            <v>OPT-320</v>
          </cell>
          <cell r="E1527">
            <v>40819</v>
          </cell>
          <cell r="F1527" t="str">
            <v>-</v>
          </cell>
          <cell r="G1527" t="str">
            <v>-</v>
          </cell>
          <cell r="H1527" t="str">
            <v>PRD</v>
          </cell>
          <cell r="I1527" t="str">
            <v>PRD</v>
          </cell>
          <cell r="J1527" t="str">
            <v>HONDA N-WAGON</v>
          </cell>
          <cell r="K1527" t="str">
            <v>HONDA SMALL CAR W/H FLOOR</v>
          </cell>
          <cell r="L1527" t="str">
            <v>CV 19</v>
          </cell>
          <cell r="M1527" t="str">
            <v>S/A AB</v>
          </cell>
          <cell r="N1527" t="str">
            <v>SUB ASSY</v>
          </cell>
          <cell r="O1527" t="str">
            <v>A</v>
          </cell>
        </row>
        <row r="1528">
          <cell r="A1528">
            <v>12731</v>
          </cell>
          <cell r="B1528" t="str">
            <v>RUSMIYATI</v>
          </cell>
          <cell r="C1528" t="str">
            <v>SAMI</v>
          </cell>
          <cell r="D1528" t="str">
            <v>OPT-320</v>
          </cell>
          <cell r="E1528">
            <v>40819</v>
          </cell>
          <cell r="F1528" t="str">
            <v>-</v>
          </cell>
          <cell r="G1528" t="str">
            <v>-</v>
          </cell>
          <cell r="H1528" t="str">
            <v>PRD</v>
          </cell>
          <cell r="I1528" t="str">
            <v>PRD</v>
          </cell>
          <cell r="J1528" t="str">
            <v>HONDA N-WAGON</v>
          </cell>
          <cell r="K1528" t="str">
            <v>HONDA SMALL CAR W/H FLOOR</v>
          </cell>
          <cell r="L1528" t="str">
            <v>CV 19</v>
          </cell>
          <cell r="M1528" t="str">
            <v>S/T 2</v>
          </cell>
          <cell r="N1528" t="str">
            <v>ASSEMBLY</v>
          </cell>
          <cell r="O1528" t="str">
            <v>A</v>
          </cell>
        </row>
        <row r="1529">
          <cell r="A1529">
            <v>20533</v>
          </cell>
          <cell r="B1529" t="str">
            <v>SANDRA TRI NOFITASARI</v>
          </cell>
          <cell r="C1529" t="str">
            <v>SAMI</v>
          </cell>
          <cell r="D1529" t="str">
            <v>OPT-504</v>
          </cell>
          <cell r="E1529">
            <v>42634</v>
          </cell>
          <cell r="F1529">
            <v>43132</v>
          </cell>
          <cell r="G1529">
            <v>43496</v>
          </cell>
          <cell r="H1529" t="str">
            <v>PRD</v>
          </cell>
          <cell r="I1529" t="str">
            <v>PRD</v>
          </cell>
          <cell r="J1529" t="str">
            <v>HONDA N-WAGON</v>
          </cell>
          <cell r="K1529" t="str">
            <v>HONDA SMALL CAR W/H FLOOR</v>
          </cell>
          <cell r="L1529" t="str">
            <v>CV 19</v>
          </cell>
          <cell r="M1529" t="str">
            <v>MATERIAL SUPPLY</v>
          </cell>
          <cell r="N1529" t="str">
            <v>MATERIAL SUPPLY</v>
          </cell>
          <cell r="O1529" t="str">
            <v>A</v>
          </cell>
        </row>
        <row r="1530">
          <cell r="A1530">
            <v>20605</v>
          </cell>
          <cell r="B1530" t="str">
            <v>LAILLITA NOVITRI</v>
          </cell>
          <cell r="C1530" t="str">
            <v>SAMI</v>
          </cell>
          <cell r="D1530" t="str">
            <v>OPT-505</v>
          </cell>
          <cell r="E1530">
            <v>42639</v>
          </cell>
          <cell r="F1530">
            <v>43132</v>
          </cell>
          <cell r="G1530">
            <v>43496</v>
          </cell>
          <cell r="H1530" t="str">
            <v>PRD</v>
          </cell>
          <cell r="I1530" t="str">
            <v>PRD</v>
          </cell>
          <cell r="J1530" t="str">
            <v>HONDA N-WAGON</v>
          </cell>
          <cell r="K1530" t="str">
            <v>HONDA SMALL CAR W/H FLOOR</v>
          </cell>
          <cell r="L1530" t="str">
            <v>CV 19</v>
          </cell>
          <cell r="M1530" t="str">
            <v>T/P 4</v>
          </cell>
          <cell r="N1530" t="str">
            <v>ASSEMBLY</v>
          </cell>
          <cell r="O1530" t="str">
            <v>A</v>
          </cell>
        </row>
        <row r="1531">
          <cell r="A1531">
            <v>20991</v>
          </cell>
          <cell r="B1531" t="str">
            <v xml:space="preserve">PRIHATI DWI SAFITRI </v>
          </cell>
          <cell r="C1531" t="str">
            <v>SAMI</v>
          </cell>
          <cell r="D1531" t="str">
            <v>OPT-513</v>
          </cell>
          <cell r="E1531">
            <v>42674</v>
          </cell>
          <cell r="F1531">
            <v>43160</v>
          </cell>
          <cell r="G1531">
            <v>43524</v>
          </cell>
          <cell r="H1531" t="str">
            <v>PRD</v>
          </cell>
          <cell r="I1531" t="str">
            <v>PRD</v>
          </cell>
          <cell r="J1531" t="str">
            <v>HONDA N-WAGON</v>
          </cell>
          <cell r="K1531" t="str">
            <v>HONDA SMALL CAR W/H FLOOR</v>
          </cell>
          <cell r="L1531" t="str">
            <v>CV 19</v>
          </cell>
          <cell r="M1531" t="str">
            <v>S/T 1</v>
          </cell>
          <cell r="N1531" t="str">
            <v>ASSEMBLY</v>
          </cell>
          <cell r="O1531" t="str">
            <v>A</v>
          </cell>
        </row>
        <row r="1532">
          <cell r="A1532">
            <v>21504</v>
          </cell>
          <cell r="B1532" t="str">
            <v>USWATUN CHASANAH</v>
          </cell>
          <cell r="C1532" t="str">
            <v>SAMI</v>
          </cell>
          <cell r="D1532" t="str">
            <v>OPT-534</v>
          </cell>
          <cell r="E1532">
            <v>43031</v>
          </cell>
          <cell r="F1532">
            <v>43435</v>
          </cell>
          <cell r="G1532">
            <v>43799</v>
          </cell>
          <cell r="H1532" t="str">
            <v>PRD</v>
          </cell>
          <cell r="I1532" t="str">
            <v>PRD</v>
          </cell>
          <cell r="J1532" t="str">
            <v>HONDA N-WAGON</v>
          </cell>
          <cell r="K1532" t="str">
            <v>HONDA SMALL CAR W/H FLOOR</v>
          </cell>
          <cell r="L1532" t="str">
            <v>CV 19</v>
          </cell>
          <cell r="M1532" t="str">
            <v>S/A 1</v>
          </cell>
          <cell r="N1532" t="str">
            <v>SUB ASSY</v>
          </cell>
          <cell r="O1532" t="str">
            <v>A</v>
          </cell>
        </row>
        <row r="1533">
          <cell r="A1533">
            <v>21523</v>
          </cell>
          <cell r="B1533" t="str">
            <v>EMI KHUBAIBAH</v>
          </cell>
          <cell r="C1533" t="str">
            <v>SAMI</v>
          </cell>
          <cell r="D1533" t="str">
            <v>OPT-535</v>
          </cell>
          <cell r="E1533">
            <v>43045</v>
          </cell>
          <cell r="F1533">
            <v>43435</v>
          </cell>
          <cell r="G1533">
            <v>43799</v>
          </cell>
          <cell r="H1533" t="str">
            <v>PRD</v>
          </cell>
          <cell r="I1533" t="str">
            <v>PRD</v>
          </cell>
          <cell r="J1533" t="str">
            <v>HONDA N-WAGON</v>
          </cell>
          <cell r="K1533" t="str">
            <v>HONDA SMALL CAR W/H FLOOR</v>
          </cell>
          <cell r="L1533" t="str">
            <v>CV 19</v>
          </cell>
          <cell r="M1533" t="str">
            <v>MATERIAL SUPPLY</v>
          </cell>
          <cell r="N1533" t="str">
            <v>MATERIAL SUPPLY</v>
          </cell>
          <cell r="O1533" t="str">
            <v>A</v>
          </cell>
        </row>
        <row r="1534">
          <cell r="A1534">
            <v>21692</v>
          </cell>
          <cell r="B1534" t="str">
            <v>INA SEPTIANI</v>
          </cell>
          <cell r="C1534" t="str">
            <v>SAMI</v>
          </cell>
          <cell r="D1534" t="str">
            <v>OPT-538</v>
          </cell>
          <cell r="E1534">
            <v>43073</v>
          </cell>
          <cell r="F1534">
            <v>43466</v>
          </cell>
          <cell r="G1534">
            <v>43830</v>
          </cell>
          <cell r="H1534" t="str">
            <v>PRD</v>
          </cell>
          <cell r="I1534" t="str">
            <v>PRD</v>
          </cell>
          <cell r="J1534" t="str">
            <v>HONDA N-WAGON</v>
          </cell>
          <cell r="K1534" t="str">
            <v>HONDA SMALL CAR W/H FLOOR</v>
          </cell>
          <cell r="L1534" t="str">
            <v>CV 19</v>
          </cell>
          <cell r="M1534" t="str">
            <v>T/P 3</v>
          </cell>
          <cell r="N1534" t="str">
            <v>ASSEMBLY</v>
          </cell>
          <cell r="O1534" t="str">
            <v>A</v>
          </cell>
        </row>
        <row r="1535">
          <cell r="A1535">
            <v>21889</v>
          </cell>
          <cell r="B1535" t="str">
            <v>MAIMUNAH</v>
          </cell>
          <cell r="C1535" t="str">
            <v>SAMI</v>
          </cell>
          <cell r="D1535" t="str">
            <v>OPT-542</v>
          </cell>
          <cell r="E1535">
            <v>43103</v>
          </cell>
          <cell r="F1535">
            <v>43134</v>
          </cell>
          <cell r="G1535">
            <v>43496</v>
          </cell>
          <cell r="H1535" t="str">
            <v>PRD</v>
          </cell>
          <cell r="I1535" t="str">
            <v>PRD</v>
          </cell>
          <cell r="J1535" t="str">
            <v>HONDA N-WAGON</v>
          </cell>
          <cell r="K1535" t="str">
            <v>HONDA SMALL CAR W/H FLOOR</v>
          </cell>
          <cell r="L1535" t="str">
            <v>CV 19</v>
          </cell>
          <cell r="M1535" t="str">
            <v>CHECKER</v>
          </cell>
          <cell r="N1535" t="str">
            <v>ELECTRICAL INSPECTION</v>
          </cell>
          <cell r="O1535" t="str">
            <v>A</v>
          </cell>
        </row>
        <row r="1536">
          <cell r="A1536">
            <v>22128</v>
          </cell>
          <cell r="B1536" t="str">
            <v>LATIVA</v>
          </cell>
          <cell r="C1536" t="str">
            <v>SAMI</v>
          </cell>
          <cell r="D1536" t="str">
            <v>OPT-549</v>
          </cell>
          <cell r="E1536">
            <v>43153</v>
          </cell>
          <cell r="F1536">
            <v>43181</v>
          </cell>
          <cell r="G1536">
            <v>43555</v>
          </cell>
          <cell r="H1536" t="str">
            <v>PRD</v>
          </cell>
          <cell r="I1536" t="str">
            <v>PRD</v>
          </cell>
          <cell r="J1536" t="str">
            <v>HONDA N-WAGON</v>
          </cell>
          <cell r="K1536" t="str">
            <v>HONDA SMALL CAR W/H FLOOR</v>
          </cell>
          <cell r="L1536" t="str">
            <v>CV 19</v>
          </cell>
          <cell r="M1536" t="str">
            <v>VISUAL</v>
          </cell>
          <cell r="N1536" t="str">
            <v>VISUAL INSPECTION</v>
          </cell>
          <cell r="O1536" t="str">
            <v>A</v>
          </cell>
        </row>
        <row r="1537">
          <cell r="A1537">
            <v>22502</v>
          </cell>
          <cell r="B1537" t="str">
            <v>SRI WAHYUNI FEBRIYANTI</v>
          </cell>
          <cell r="C1537" t="str">
            <v>SAMI</v>
          </cell>
          <cell r="D1537" t="str">
            <v>OPT-560</v>
          </cell>
          <cell r="E1537">
            <v>43224</v>
          </cell>
          <cell r="F1537">
            <v>43255</v>
          </cell>
          <cell r="G1537">
            <v>43616</v>
          </cell>
          <cell r="H1537" t="str">
            <v>PRD</v>
          </cell>
          <cell r="I1537" t="str">
            <v>PRD</v>
          </cell>
          <cell r="J1537" t="str">
            <v>HONDA N-WAGON</v>
          </cell>
          <cell r="K1537" t="str">
            <v>HONDA SMALL CAR W/H FLOOR</v>
          </cell>
          <cell r="L1537" t="str">
            <v>CV 19</v>
          </cell>
          <cell r="M1537" t="str">
            <v>S/T 1.2</v>
          </cell>
          <cell r="N1537" t="str">
            <v>ASSEMBLY</v>
          </cell>
          <cell r="O1537" t="str">
            <v>A</v>
          </cell>
        </row>
        <row r="1538">
          <cell r="A1538">
            <v>22586</v>
          </cell>
          <cell r="B1538" t="str">
            <v>DEWI OKTAFIANI</v>
          </cell>
          <cell r="C1538" t="str">
            <v>SAMI</v>
          </cell>
          <cell r="D1538" t="str">
            <v>OPT-561</v>
          </cell>
          <cell r="E1538">
            <v>43236</v>
          </cell>
          <cell r="F1538">
            <v>43267</v>
          </cell>
          <cell r="G1538">
            <v>43646</v>
          </cell>
          <cell r="H1538" t="str">
            <v>PRD</v>
          </cell>
          <cell r="I1538" t="str">
            <v>PRD</v>
          </cell>
          <cell r="J1538" t="str">
            <v>HONDA N-WAGON</v>
          </cell>
          <cell r="K1538" t="str">
            <v>HONDA SMALL CAR W/H FLOOR</v>
          </cell>
          <cell r="L1538" t="str">
            <v>CV 19</v>
          </cell>
          <cell r="M1538" t="str">
            <v>CHECKER</v>
          </cell>
          <cell r="N1538" t="str">
            <v>ELECTRICAL INSPECTION</v>
          </cell>
          <cell r="O1538" t="str">
            <v>A</v>
          </cell>
        </row>
        <row r="1539">
          <cell r="A1539">
            <v>22635</v>
          </cell>
          <cell r="B1539" t="str">
            <v>WILASARI</v>
          </cell>
          <cell r="C1539" t="str">
            <v>SAMI</v>
          </cell>
          <cell r="D1539" t="str">
            <v>OPT-561</v>
          </cell>
          <cell r="E1539">
            <v>43236</v>
          </cell>
          <cell r="F1539">
            <v>43267</v>
          </cell>
          <cell r="G1539">
            <v>43646</v>
          </cell>
          <cell r="H1539" t="str">
            <v>PRD</v>
          </cell>
          <cell r="I1539" t="str">
            <v>PRD</v>
          </cell>
          <cell r="J1539" t="str">
            <v>HONDA N-WAGON</v>
          </cell>
          <cell r="K1539" t="str">
            <v>HONDA SMALL CAR W/H FLOOR</v>
          </cell>
          <cell r="L1539" t="str">
            <v>CV 19</v>
          </cell>
          <cell r="M1539" t="str">
            <v>S/A 3</v>
          </cell>
          <cell r="N1539" t="str">
            <v>SUB ASSY</v>
          </cell>
          <cell r="O1539" t="str">
            <v>A</v>
          </cell>
        </row>
        <row r="1540">
          <cell r="A1540">
            <v>22749</v>
          </cell>
          <cell r="B1540" t="str">
            <v>NASRIYATUL MUKAROMAH</v>
          </cell>
          <cell r="C1540" t="str">
            <v>SAMI</v>
          </cell>
          <cell r="D1540" t="str">
            <v>OPT-564</v>
          </cell>
          <cell r="E1540">
            <v>43255</v>
          </cell>
          <cell r="F1540">
            <v>43285</v>
          </cell>
          <cell r="G1540">
            <v>43646</v>
          </cell>
          <cell r="H1540" t="str">
            <v>PRD</v>
          </cell>
          <cell r="I1540" t="str">
            <v>PRD</v>
          </cell>
          <cell r="J1540" t="str">
            <v>HONDA N-WAGON</v>
          </cell>
          <cell r="K1540" t="str">
            <v>HONDA SMALL CAR W/H FLOOR</v>
          </cell>
          <cell r="L1540" t="str">
            <v>CV 19</v>
          </cell>
          <cell r="M1540" t="str">
            <v>T/P 1</v>
          </cell>
          <cell r="N1540" t="str">
            <v>ASSEMBLY</v>
          </cell>
          <cell r="O1540" t="str">
            <v>A</v>
          </cell>
        </row>
        <row r="1541">
          <cell r="A1541">
            <v>23034</v>
          </cell>
          <cell r="B1541" t="str">
            <v>ITA  YUNIAWATI</v>
          </cell>
          <cell r="C1541" t="str">
            <v>SAMI</v>
          </cell>
          <cell r="D1541" t="str">
            <v>OPT-569</v>
          </cell>
          <cell r="E1541">
            <v>43361</v>
          </cell>
          <cell r="F1541">
            <v>43391</v>
          </cell>
          <cell r="G1541">
            <v>43769</v>
          </cell>
          <cell r="H1541" t="str">
            <v>PRD</v>
          </cell>
          <cell r="I1541" t="str">
            <v>PRD</v>
          </cell>
          <cell r="J1541" t="str">
            <v>HONDA N-WAGON</v>
          </cell>
          <cell r="K1541" t="str">
            <v>HONDA SMALL CAR W/H FLOOR</v>
          </cell>
          <cell r="L1541" t="str">
            <v>CV 19</v>
          </cell>
          <cell r="M1541" t="str">
            <v>T/P 1</v>
          </cell>
          <cell r="N1541" t="str">
            <v>ASSEMBLY</v>
          </cell>
          <cell r="O1541" t="str">
            <v>A</v>
          </cell>
        </row>
        <row r="1542">
          <cell r="A1542">
            <v>23035</v>
          </cell>
          <cell r="B1542" t="str">
            <v>KHOIRUL HIDAYAH</v>
          </cell>
          <cell r="C1542" t="str">
            <v>SAMI</v>
          </cell>
          <cell r="D1542" t="str">
            <v>OPT-569</v>
          </cell>
          <cell r="E1542">
            <v>43361</v>
          </cell>
          <cell r="F1542">
            <v>43391</v>
          </cell>
          <cell r="G1542">
            <v>43769</v>
          </cell>
          <cell r="H1542" t="str">
            <v>PRD</v>
          </cell>
          <cell r="I1542" t="str">
            <v>PRD</v>
          </cell>
          <cell r="J1542" t="str">
            <v>HONDA N-WAGON</v>
          </cell>
          <cell r="K1542" t="str">
            <v>HONDA SMALL CAR W/H FLOOR</v>
          </cell>
          <cell r="L1542" t="str">
            <v>CV 19</v>
          </cell>
          <cell r="M1542" t="str">
            <v>CIRCUIT SUPPLIER</v>
          </cell>
          <cell r="N1542" t="str">
            <v>CIRCUIT SUPPLY</v>
          </cell>
          <cell r="O1542" t="str">
            <v>A</v>
          </cell>
        </row>
        <row r="1543">
          <cell r="A1543">
            <v>23042</v>
          </cell>
          <cell r="B1543" t="str">
            <v>MASKON</v>
          </cell>
          <cell r="C1543" t="str">
            <v>SAMI</v>
          </cell>
          <cell r="D1543" t="str">
            <v>OPT-569</v>
          </cell>
          <cell r="E1543">
            <v>43361</v>
          </cell>
          <cell r="F1543">
            <v>43391</v>
          </cell>
          <cell r="G1543">
            <v>43769</v>
          </cell>
          <cell r="H1543" t="str">
            <v>PRD</v>
          </cell>
          <cell r="I1543" t="str">
            <v>PRD</v>
          </cell>
          <cell r="J1543" t="str">
            <v>HONDA N-WAGON</v>
          </cell>
          <cell r="K1543" t="str">
            <v>HONDA SMALL CAR W/H FLOOR</v>
          </cell>
          <cell r="L1543" t="str">
            <v>CV 19</v>
          </cell>
          <cell r="M1543" t="str">
            <v>PROTEKTOR</v>
          </cell>
          <cell r="N1543" t="str">
            <v>ASSEMBLY</v>
          </cell>
          <cell r="O1543" t="str">
            <v>A</v>
          </cell>
        </row>
        <row r="1544">
          <cell r="A1544">
            <v>23234</v>
          </cell>
          <cell r="B1544" t="str">
            <v>KHORIDHATUS SANIAH</v>
          </cell>
          <cell r="C1544" t="str">
            <v>SAMI</v>
          </cell>
          <cell r="D1544" t="str">
            <v>OPT-573</v>
          </cell>
          <cell r="E1544">
            <v>43421</v>
          </cell>
          <cell r="F1544">
            <v>43451</v>
          </cell>
          <cell r="G1544">
            <v>43830</v>
          </cell>
          <cell r="H1544" t="str">
            <v>PRD</v>
          </cell>
          <cell r="I1544" t="str">
            <v>PRD</v>
          </cell>
          <cell r="J1544" t="str">
            <v>HONDA N-WAGON</v>
          </cell>
          <cell r="K1544" t="str">
            <v>HONDA SMALL CAR W/H FLOOR</v>
          </cell>
          <cell r="L1544" t="str">
            <v>CV 19</v>
          </cell>
          <cell r="M1544" t="str">
            <v>S/A 2</v>
          </cell>
          <cell r="N1544" t="str">
            <v>SUB ASSY</v>
          </cell>
          <cell r="O1544" t="str">
            <v>A</v>
          </cell>
        </row>
        <row r="1545">
          <cell r="A1545">
            <v>23299</v>
          </cell>
          <cell r="B1545" t="str">
            <v>ASTRID SEPTARIA PUTRI</v>
          </cell>
          <cell r="C1545" t="str">
            <v>SAMI</v>
          </cell>
          <cell r="D1545" t="str">
            <v>OPT-574</v>
          </cell>
          <cell r="E1545">
            <v>43427</v>
          </cell>
          <cell r="F1545">
            <v>43457</v>
          </cell>
          <cell r="G1545">
            <v>43830</v>
          </cell>
          <cell r="H1545" t="str">
            <v>PRD</v>
          </cell>
          <cell r="I1545" t="str">
            <v>PRD</v>
          </cell>
          <cell r="J1545" t="str">
            <v>HONDA N-WAGON</v>
          </cell>
          <cell r="K1545" t="str">
            <v>HONDA SMALL CAR W/H FLOOR</v>
          </cell>
          <cell r="L1545" t="str">
            <v>CV 19</v>
          </cell>
          <cell r="M1545" t="str">
            <v>T/P 2</v>
          </cell>
          <cell r="N1545" t="str">
            <v>ASSEMBLY</v>
          </cell>
          <cell r="O1545" t="str">
            <v>A</v>
          </cell>
        </row>
        <row r="1546">
          <cell r="A1546">
            <v>23390</v>
          </cell>
          <cell r="B1546" t="str">
            <v>ALFIYATURROHMANIYAH</v>
          </cell>
          <cell r="C1546" t="str">
            <v>SAMI</v>
          </cell>
          <cell r="D1546" t="str">
            <v>OPT-575</v>
          </cell>
          <cell r="E1546">
            <v>43434</v>
          </cell>
          <cell r="F1546">
            <v>43464</v>
          </cell>
          <cell r="G1546">
            <v>43830</v>
          </cell>
          <cell r="H1546" t="str">
            <v>PRD</v>
          </cell>
          <cell r="I1546" t="str">
            <v>PRD</v>
          </cell>
          <cell r="J1546" t="str">
            <v>HONDA N-WAGON</v>
          </cell>
          <cell r="K1546" t="str">
            <v>HONDA SMALL CAR W/H FLOOR</v>
          </cell>
          <cell r="L1546" t="str">
            <v>CV 19</v>
          </cell>
          <cell r="M1546" t="str">
            <v>T/P 2</v>
          </cell>
          <cell r="N1546" t="str">
            <v>ASSEMBLY</v>
          </cell>
          <cell r="O1546" t="str">
            <v>A</v>
          </cell>
        </row>
        <row r="1547">
          <cell r="A1547">
            <v>23453</v>
          </cell>
          <cell r="B1547" t="str">
            <v>RENY ASTREANI</v>
          </cell>
          <cell r="C1547" t="str">
            <v>SAMI</v>
          </cell>
          <cell r="D1547" t="str">
            <v>OPT-575</v>
          </cell>
          <cell r="E1547">
            <v>43434</v>
          </cell>
          <cell r="F1547">
            <v>43464</v>
          </cell>
          <cell r="G1547">
            <v>43830</v>
          </cell>
          <cell r="H1547" t="str">
            <v>PRD</v>
          </cell>
          <cell r="I1547" t="str">
            <v>PRD</v>
          </cell>
          <cell r="J1547" t="str">
            <v>HONDA N-WAGON</v>
          </cell>
          <cell r="K1547" t="str">
            <v>HONDA SMALL CAR W/H FLOOR</v>
          </cell>
          <cell r="L1547" t="str">
            <v>CV 19</v>
          </cell>
          <cell r="M1547" t="str">
            <v>T/P 4</v>
          </cell>
          <cell r="N1547" t="str">
            <v>ASSEMBLY</v>
          </cell>
          <cell r="O1547" t="str">
            <v>A</v>
          </cell>
        </row>
        <row r="1548">
          <cell r="A1548">
            <v>23512</v>
          </cell>
          <cell r="B1548" t="str">
            <v>MASSROFI RIZKA AMALIA</v>
          </cell>
          <cell r="C1548" t="str">
            <v>SAMI</v>
          </cell>
          <cell r="D1548" t="str">
            <v>OPT-576</v>
          </cell>
          <cell r="E1548">
            <v>43441</v>
          </cell>
          <cell r="F1548">
            <v>43472</v>
          </cell>
          <cell r="G1548">
            <v>43830</v>
          </cell>
          <cell r="H1548" t="str">
            <v>PRD</v>
          </cell>
          <cell r="I1548" t="str">
            <v>PRD</v>
          </cell>
          <cell r="J1548" t="str">
            <v>HONDA N-WAGON</v>
          </cell>
          <cell r="K1548" t="str">
            <v>HONDA SMALL CAR W/H FLOOR</v>
          </cell>
          <cell r="L1548" t="str">
            <v>CV 19</v>
          </cell>
          <cell r="M1548" t="str">
            <v>OJT T/P 4</v>
          </cell>
          <cell r="N1548" t="str">
            <v>INTERNAL TRIAL</v>
          </cell>
          <cell r="O1548" t="str">
            <v>A</v>
          </cell>
        </row>
        <row r="1549">
          <cell r="A1549" t="str">
            <v>B00752</v>
          </cell>
          <cell r="B1549" t="str">
            <v>SRI SUGIWATI</v>
          </cell>
          <cell r="C1549" t="str">
            <v>SAMI</v>
          </cell>
          <cell r="D1549" t="str">
            <v>BBF-012</v>
          </cell>
          <cell r="E1549">
            <v>40904</v>
          </cell>
          <cell r="F1549" t="str">
            <v>-</v>
          </cell>
          <cell r="G1549" t="str">
            <v>-</v>
          </cell>
          <cell r="H1549" t="str">
            <v>PRD</v>
          </cell>
          <cell r="I1549" t="str">
            <v>PRD</v>
          </cell>
          <cell r="J1549" t="str">
            <v>HONDA N-WAGON</v>
          </cell>
          <cell r="K1549" t="str">
            <v>HONDA SMALL CAR W/H FLOOR</v>
          </cell>
          <cell r="L1549" t="str">
            <v>CV 19</v>
          </cell>
          <cell r="M1549" t="str">
            <v>T/P 1</v>
          </cell>
          <cell r="N1549" t="str">
            <v>ASSEMBLY</v>
          </cell>
          <cell r="O1549" t="str">
            <v>A</v>
          </cell>
        </row>
        <row r="1550">
          <cell r="A1550">
            <v>23553</v>
          </cell>
          <cell r="B1550" t="str">
            <v>IFA WAHYUNINGSIH</v>
          </cell>
          <cell r="C1550" t="str">
            <v>SAMI</v>
          </cell>
          <cell r="D1550" t="str">
            <v>OPT-577</v>
          </cell>
          <cell r="E1550">
            <v>43452</v>
          </cell>
          <cell r="F1550">
            <v>43483</v>
          </cell>
          <cell r="G1550">
            <v>43861</v>
          </cell>
          <cell r="H1550" t="str">
            <v>PRD</v>
          </cell>
          <cell r="I1550" t="str">
            <v>PRD</v>
          </cell>
          <cell r="J1550" t="str">
            <v>HONDA N-WAGON</v>
          </cell>
          <cell r="K1550" t="str">
            <v>HONDA SMALL CAR W/H FLOOR</v>
          </cell>
          <cell r="L1550" t="str">
            <v>CV 19</v>
          </cell>
          <cell r="M1550" t="str">
            <v>OJT CHECKER</v>
          </cell>
          <cell r="N1550" t="str">
            <v>INTERNAL TRIAL</v>
          </cell>
          <cell r="O1550" t="str">
            <v>A</v>
          </cell>
        </row>
        <row r="1551">
          <cell r="A1551">
            <v>23568</v>
          </cell>
          <cell r="B1551" t="str">
            <v>LUTFIYATUL HI'MAH</v>
          </cell>
          <cell r="C1551" t="str">
            <v>SAMI</v>
          </cell>
          <cell r="D1551" t="str">
            <v>OPT-577</v>
          </cell>
          <cell r="E1551">
            <v>43452</v>
          </cell>
          <cell r="F1551">
            <v>43483</v>
          </cell>
          <cell r="G1551">
            <v>43861</v>
          </cell>
          <cell r="H1551" t="str">
            <v>PRD</v>
          </cell>
          <cell r="I1551" t="str">
            <v>PRD</v>
          </cell>
          <cell r="J1551" t="str">
            <v>HONDA N-WAGON</v>
          </cell>
          <cell r="K1551" t="str">
            <v>HONDA SMALL CAR W/H FLOOR</v>
          </cell>
          <cell r="L1551" t="str">
            <v>CV 19</v>
          </cell>
          <cell r="M1551" t="str">
            <v>OJT MATERIAL SUPPLY</v>
          </cell>
          <cell r="N1551" t="str">
            <v>INTERNAL TRIAL</v>
          </cell>
          <cell r="O1551" t="str">
            <v>A</v>
          </cell>
        </row>
        <row r="1552">
          <cell r="A1552">
            <v>277</v>
          </cell>
          <cell r="B1552" t="str">
            <v>TITI KURNIAWATI</v>
          </cell>
          <cell r="C1552" t="str">
            <v>SAMI</v>
          </cell>
          <cell r="D1552" t="str">
            <v>OPT-8</v>
          </cell>
          <cell r="E1552">
            <v>37718</v>
          </cell>
          <cell r="F1552" t="str">
            <v>-</v>
          </cell>
          <cell r="G1552" t="str">
            <v>-</v>
          </cell>
          <cell r="H1552" t="str">
            <v>PRD</v>
          </cell>
          <cell r="I1552" t="str">
            <v>PRD</v>
          </cell>
          <cell r="J1552" t="str">
            <v>HONDA N-WAGON</v>
          </cell>
          <cell r="K1552" t="str">
            <v>HONDA SMALL CAR W/H FLOOR</v>
          </cell>
          <cell r="L1552" t="str">
            <v>CV 19</v>
          </cell>
          <cell r="M1552" t="str">
            <v>S/A AB</v>
          </cell>
          <cell r="N1552" t="str">
            <v>SUB ASSY</v>
          </cell>
          <cell r="O1552" t="str">
            <v>B</v>
          </cell>
        </row>
        <row r="1553">
          <cell r="A1553">
            <v>404</v>
          </cell>
          <cell r="B1553" t="str">
            <v>UMI ZULIASTUTIK</v>
          </cell>
          <cell r="C1553" t="str">
            <v>SAMI</v>
          </cell>
          <cell r="D1553" t="str">
            <v>OPT-11</v>
          </cell>
          <cell r="E1553">
            <v>37739</v>
          </cell>
          <cell r="F1553" t="str">
            <v>-</v>
          </cell>
          <cell r="G1553" t="str">
            <v>-</v>
          </cell>
          <cell r="H1553" t="str">
            <v>PRD</v>
          </cell>
          <cell r="I1553" t="str">
            <v>PRD</v>
          </cell>
          <cell r="J1553" t="str">
            <v>HONDA N-WAGON</v>
          </cell>
          <cell r="K1553" t="str">
            <v>HONDA SMALL CAR W/H FLOOR</v>
          </cell>
          <cell r="L1553" t="str">
            <v>CV 19</v>
          </cell>
          <cell r="M1553" t="str">
            <v>SUB LINE CHO</v>
          </cell>
          <cell r="N1553" t="str">
            <v>GL</v>
          </cell>
          <cell r="O1553" t="str">
            <v>B</v>
          </cell>
        </row>
        <row r="1554">
          <cell r="A1554">
            <v>9038</v>
          </cell>
          <cell r="B1554" t="str">
            <v>ARI SETIAWATI</v>
          </cell>
          <cell r="C1554" t="str">
            <v>SAMI</v>
          </cell>
          <cell r="D1554" t="str">
            <v>OPT-202</v>
          </cell>
          <cell r="E1554">
            <v>39979</v>
          </cell>
          <cell r="F1554" t="str">
            <v>-</v>
          </cell>
          <cell r="G1554" t="str">
            <v>-</v>
          </cell>
          <cell r="H1554" t="str">
            <v>PRD</v>
          </cell>
          <cell r="I1554" t="str">
            <v>PRD</v>
          </cell>
          <cell r="J1554" t="str">
            <v>HONDA N-WAGON</v>
          </cell>
          <cell r="K1554" t="str">
            <v>HONDA SMALL CAR W/H FLOOR</v>
          </cell>
          <cell r="L1554" t="str">
            <v>CV 19</v>
          </cell>
          <cell r="M1554" t="str">
            <v>VISUAL</v>
          </cell>
          <cell r="N1554" t="str">
            <v>VISUAL INSPECTION</v>
          </cell>
          <cell r="O1554" t="str">
            <v>B</v>
          </cell>
        </row>
        <row r="1555">
          <cell r="A1555">
            <v>9960</v>
          </cell>
          <cell r="B1555" t="str">
            <v>RIRIN AGUSTINA</v>
          </cell>
          <cell r="C1555" t="str">
            <v>SAMI</v>
          </cell>
          <cell r="D1555" t="str">
            <v>OPT-246</v>
          </cell>
          <cell r="E1555">
            <v>40431</v>
          </cell>
          <cell r="F1555" t="str">
            <v>-</v>
          </cell>
          <cell r="G1555" t="str">
            <v>-</v>
          </cell>
          <cell r="H1555" t="str">
            <v>PRD</v>
          </cell>
          <cell r="I1555" t="str">
            <v>PRD</v>
          </cell>
          <cell r="J1555" t="str">
            <v>HONDA N-WAGON</v>
          </cell>
          <cell r="K1555" t="str">
            <v>HONDA SMALL CAR W/H FLOOR</v>
          </cell>
          <cell r="L1555" t="str">
            <v>CV 19</v>
          </cell>
          <cell r="M1555" t="str">
            <v>T/P 4.2</v>
          </cell>
          <cell r="N1555" t="str">
            <v>ASSEMBLY</v>
          </cell>
          <cell r="O1555" t="str">
            <v>B</v>
          </cell>
        </row>
        <row r="1556">
          <cell r="A1556">
            <v>10005</v>
          </cell>
          <cell r="B1556" t="str">
            <v>DWI WAHYUNINGSIH</v>
          </cell>
          <cell r="C1556" t="str">
            <v>SAMI</v>
          </cell>
          <cell r="D1556" t="str">
            <v>OPT-247</v>
          </cell>
          <cell r="E1556">
            <v>40438</v>
          </cell>
          <cell r="F1556" t="str">
            <v>-</v>
          </cell>
          <cell r="G1556" t="str">
            <v>-</v>
          </cell>
          <cell r="H1556" t="str">
            <v>PRD</v>
          </cell>
          <cell r="I1556" t="str">
            <v>PRD</v>
          </cell>
          <cell r="J1556" t="str">
            <v>HONDA N-WAGON</v>
          </cell>
          <cell r="K1556" t="str">
            <v>HONDA SMALL CAR W/H FLOOR</v>
          </cell>
          <cell r="L1556" t="str">
            <v>CV 19</v>
          </cell>
          <cell r="M1556" t="str">
            <v>LQC</v>
          </cell>
          <cell r="N1556" t="str">
            <v>RELIEF</v>
          </cell>
          <cell r="O1556" t="str">
            <v>B</v>
          </cell>
        </row>
        <row r="1557">
          <cell r="A1557">
            <v>15439</v>
          </cell>
          <cell r="B1557" t="str">
            <v>NAWAROTUL ARDHIYAH</v>
          </cell>
          <cell r="C1557" t="str">
            <v>SAMI</v>
          </cell>
          <cell r="D1557" t="str">
            <v>OPT-388</v>
          </cell>
          <cell r="E1557">
            <v>41445</v>
          </cell>
          <cell r="F1557" t="str">
            <v>-</v>
          </cell>
          <cell r="G1557" t="str">
            <v>-</v>
          </cell>
          <cell r="H1557" t="str">
            <v>PRD</v>
          </cell>
          <cell r="I1557" t="str">
            <v>PRD</v>
          </cell>
          <cell r="J1557" t="str">
            <v>HONDA N-WAGON</v>
          </cell>
          <cell r="K1557" t="str">
            <v>HONDA SMALL CAR W/H FLOOR</v>
          </cell>
          <cell r="L1557" t="str">
            <v>CV 19</v>
          </cell>
          <cell r="M1557" t="str">
            <v>CHECKER A/B</v>
          </cell>
          <cell r="N1557" t="str">
            <v>ELECTRICAL INSPECTION</v>
          </cell>
          <cell r="O1557" t="str">
            <v>B</v>
          </cell>
        </row>
        <row r="1558">
          <cell r="A1558">
            <v>15966</v>
          </cell>
          <cell r="B1558" t="str">
            <v>LULUK AFIFATUL LAFIFAH</v>
          </cell>
          <cell r="C1558" t="str">
            <v>SAMI</v>
          </cell>
          <cell r="D1558" t="str">
            <v>OPT-400</v>
          </cell>
          <cell r="E1558">
            <v>41564</v>
          </cell>
          <cell r="F1558" t="str">
            <v>-</v>
          </cell>
          <cell r="G1558" t="str">
            <v>-</v>
          </cell>
          <cell r="H1558" t="str">
            <v>PRD</v>
          </cell>
          <cell r="I1558" t="str">
            <v>PRD</v>
          </cell>
          <cell r="J1558" t="str">
            <v>HONDA N-WAGON</v>
          </cell>
          <cell r="K1558" t="str">
            <v>HONDA SMALL CAR W/H FLOOR</v>
          </cell>
          <cell r="L1558" t="str">
            <v>CV 19</v>
          </cell>
          <cell r="M1558" t="str">
            <v>VISUAL</v>
          </cell>
          <cell r="N1558" t="str">
            <v>VISUAL INSPECTION</v>
          </cell>
          <cell r="O1558" t="str">
            <v>B</v>
          </cell>
        </row>
        <row r="1559">
          <cell r="A1559">
            <v>19160</v>
          </cell>
          <cell r="B1559" t="str">
            <v>RANI MULIA AGUSTA</v>
          </cell>
          <cell r="C1559" t="str">
            <v>SAMI</v>
          </cell>
          <cell r="D1559" t="str">
            <v>OPT-475</v>
          </cell>
          <cell r="E1559">
            <v>42254</v>
          </cell>
          <cell r="F1559" t="str">
            <v>-</v>
          </cell>
          <cell r="G1559" t="str">
            <v>-</v>
          </cell>
          <cell r="H1559" t="str">
            <v>PRD</v>
          </cell>
          <cell r="I1559" t="str">
            <v>PRD</v>
          </cell>
          <cell r="J1559" t="str">
            <v>HONDA N-WAGON</v>
          </cell>
          <cell r="K1559" t="str">
            <v>HONDA SMALL CAR W/H FLOOR</v>
          </cell>
          <cell r="L1559" t="str">
            <v>CV 19</v>
          </cell>
          <cell r="M1559" t="str">
            <v>S/T 2</v>
          </cell>
          <cell r="N1559" t="str">
            <v>ASSEMBLY</v>
          </cell>
          <cell r="O1559" t="str">
            <v>B</v>
          </cell>
        </row>
        <row r="1560">
          <cell r="A1560">
            <v>20515</v>
          </cell>
          <cell r="B1560" t="str">
            <v>NUR KARTIKA</v>
          </cell>
          <cell r="C1560" t="str">
            <v>SAMI</v>
          </cell>
          <cell r="D1560" t="str">
            <v>OPT-504</v>
          </cell>
          <cell r="E1560">
            <v>42634</v>
          </cell>
          <cell r="F1560">
            <v>43132</v>
          </cell>
          <cell r="G1560">
            <v>43496</v>
          </cell>
          <cell r="H1560" t="str">
            <v>PRD</v>
          </cell>
          <cell r="I1560" t="str">
            <v>PRD</v>
          </cell>
          <cell r="J1560" t="str">
            <v>HONDA N-WAGON</v>
          </cell>
          <cell r="K1560" t="str">
            <v>HONDA SMALL CAR W/H FLOOR</v>
          </cell>
          <cell r="L1560" t="str">
            <v>CV 19</v>
          </cell>
          <cell r="M1560" t="str">
            <v>MATERIAL SUPPLY 1</v>
          </cell>
          <cell r="N1560" t="str">
            <v>MATERIAL SUPPLY</v>
          </cell>
          <cell r="O1560" t="str">
            <v>B</v>
          </cell>
        </row>
        <row r="1561">
          <cell r="A1561">
            <v>20962</v>
          </cell>
          <cell r="B1561" t="str">
            <v>ULFA RIZQI SEPTIANA</v>
          </cell>
          <cell r="C1561" t="str">
            <v>SAMI</v>
          </cell>
          <cell r="D1561" t="str">
            <v>OPT-511</v>
          </cell>
          <cell r="E1561">
            <v>42667</v>
          </cell>
          <cell r="F1561">
            <v>43160</v>
          </cell>
          <cell r="G1561">
            <v>43524</v>
          </cell>
          <cell r="H1561" t="str">
            <v>PRD</v>
          </cell>
          <cell r="I1561" t="str">
            <v>PRD</v>
          </cell>
          <cell r="J1561" t="str">
            <v>HONDA N-WAGON</v>
          </cell>
          <cell r="K1561" t="str">
            <v>HONDA SMALL CAR W/H FLOOR</v>
          </cell>
          <cell r="L1561" t="str">
            <v>CV 19</v>
          </cell>
          <cell r="M1561" t="str">
            <v>T/P 1.2</v>
          </cell>
          <cell r="N1561" t="str">
            <v>ASSEMBLY</v>
          </cell>
          <cell r="O1561" t="str">
            <v>B</v>
          </cell>
        </row>
        <row r="1562">
          <cell r="A1562">
            <v>21287</v>
          </cell>
          <cell r="B1562" t="str">
            <v>ELA INDRIANI</v>
          </cell>
          <cell r="C1562" t="str">
            <v>SAMI</v>
          </cell>
          <cell r="D1562" t="str">
            <v>OPT-530</v>
          </cell>
          <cell r="E1562">
            <v>43010</v>
          </cell>
          <cell r="F1562">
            <v>43405</v>
          </cell>
          <cell r="G1562">
            <v>43769</v>
          </cell>
          <cell r="H1562" t="str">
            <v>PRD</v>
          </cell>
          <cell r="I1562" t="str">
            <v>PRD</v>
          </cell>
          <cell r="J1562" t="str">
            <v>HONDA N-WAGON</v>
          </cell>
          <cell r="K1562" t="str">
            <v>HONDA SMALL CAR W/H FLOOR</v>
          </cell>
          <cell r="L1562" t="str">
            <v>CV 19</v>
          </cell>
          <cell r="M1562" t="str">
            <v>S/T 1.2</v>
          </cell>
          <cell r="N1562" t="str">
            <v>ASSEMBLY</v>
          </cell>
          <cell r="O1562" t="str">
            <v>B</v>
          </cell>
        </row>
        <row r="1563">
          <cell r="A1563">
            <v>21550</v>
          </cell>
          <cell r="B1563" t="str">
            <v>RAGIL PAMUJI</v>
          </cell>
          <cell r="C1563" t="str">
            <v>SAMI</v>
          </cell>
          <cell r="D1563" t="str">
            <v>OPT-535</v>
          </cell>
          <cell r="E1563">
            <v>43045</v>
          </cell>
          <cell r="F1563">
            <v>43435</v>
          </cell>
          <cell r="G1563">
            <v>43799</v>
          </cell>
          <cell r="H1563" t="str">
            <v>PRD</v>
          </cell>
          <cell r="I1563" t="str">
            <v>PRD</v>
          </cell>
          <cell r="J1563" t="str">
            <v>HONDA N-WAGON</v>
          </cell>
          <cell r="K1563" t="str">
            <v>HONDA SMALL CAR W/H FLOOR</v>
          </cell>
          <cell r="L1563" t="str">
            <v>CV 19</v>
          </cell>
          <cell r="M1563" t="str">
            <v>PROTECTOR</v>
          </cell>
          <cell r="N1563" t="str">
            <v>ASSEMBLY</v>
          </cell>
          <cell r="O1563" t="str">
            <v>B</v>
          </cell>
        </row>
        <row r="1564">
          <cell r="A1564">
            <v>21942</v>
          </cell>
          <cell r="B1564" t="str">
            <v>UMI NASIROH</v>
          </cell>
          <cell r="C1564" t="str">
            <v>SAMI</v>
          </cell>
          <cell r="D1564" t="str">
            <v>OPT-545</v>
          </cell>
          <cell r="E1564">
            <v>43116</v>
          </cell>
          <cell r="F1564">
            <v>43147</v>
          </cell>
          <cell r="G1564">
            <v>43524</v>
          </cell>
          <cell r="H1564" t="str">
            <v>PRD</v>
          </cell>
          <cell r="I1564" t="str">
            <v>PRD</v>
          </cell>
          <cell r="J1564" t="str">
            <v>HONDA N-WAGON</v>
          </cell>
          <cell r="K1564" t="str">
            <v>HONDA SMALL CAR W/H FLOOR</v>
          </cell>
          <cell r="L1564" t="str">
            <v>CV 19</v>
          </cell>
          <cell r="M1564" t="str">
            <v>T/P 3.2</v>
          </cell>
          <cell r="N1564" t="str">
            <v>ASSEMBLY</v>
          </cell>
          <cell r="O1564" t="str">
            <v>B</v>
          </cell>
        </row>
        <row r="1565">
          <cell r="A1565">
            <v>22190</v>
          </cell>
          <cell r="B1565" t="str">
            <v>MEI AVIA ULFAH</v>
          </cell>
          <cell r="C1565" t="str">
            <v>SAMI</v>
          </cell>
          <cell r="D1565" t="str">
            <v>OPT-550</v>
          </cell>
          <cell r="E1565">
            <v>43158</v>
          </cell>
          <cell r="F1565">
            <v>43186</v>
          </cell>
          <cell r="G1565">
            <v>43555</v>
          </cell>
          <cell r="H1565" t="str">
            <v>PRD</v>
          </cell>
          <cell r="I1565" t="str">
            <v>PRD</v>
          </cell>
          <cell r="J1565" t="str">
            <v>HONDA N-WAGON</v>
          </cell>
          <cell r="K1565" t="str">
            <v>HONDA SMALL CAR W/H FLOOR</v>
          </cell>
          <cell r="L1565" t="str">
            <v>CV 19</v>
          </cell>
          <cell r="M1565" t="str">
            <v>CIRCUIT SUPLIER</v>
          </cell>
          <cell r="N1565" t="str">
            <v>CIRCUIT SUPPLY</v>
          </cell>
          <cell r="O1565" t="str">
            <v>B</v>
          </cell>
        </row>
        <row r="1566">
          <cell r="A1566">
            <v>22234</v>
          </cell>
          <cell r="B1566" t="str">
            <v>RIZKI MITA SARI</v>
          </cell>
          <cell r="C1566" t="str">
            <v>SAMI</v>
          </cell>
          <cell r="D1566" t="str">
            <v>OPT-551</v>
          </cell>
          <cell r="E1566">
            <v>43161</v>
          </cell>
          <cell r="F1566">
            <v>43192</v>
          </cell>
          <cell r="G1566">
            <v>43555</v>
          </cell>
          <cell r="H1566" t="str">
            <v>PRD</v>
          </cell>
          <cell r="I1566" t="str">
            <v>PRD</v>
          </cell>
          <cell r="J1566" t="str">
            <v>HONDA N-WAGON</v>
          </cell>
          <cell r="K1566" t="str">
            <v>HONDA SMALL CAR W/H FLOOR</v>
          </cell>
          <cell r="L1566" t="str">
            <v>CV 19</v>
          </cell>
          <cell r="M1566" t="str">
            <v>T/P 3.3</v>
          </cell>
          <cell r="N1566" t="str">
            <v>ASSEMBLY</v>
          </cell>
          <cell r="O1566" t="str">
            <v>B</v>
          </cell>
        </row>
        <row r="1567">
          <cell r="A1567">
            <v>22305</v>
          </cell>
          <cell r="B1567" t="str">
            <v>NUR LIYANTI</v>
          </cell>
          <cell r="C1567" t="str">
            <v>SAMI</v>
          </cell>
          <cell r="D1567" t="str">
            <v>OPT-555</v>
          </cell>
          <cell r="E1567">
            <v>43192</v>
          </cell>
          <cell r="F1567">
            <v>43222</v>
          </cell>
          <cell r="G1567">
            <v>43585</v>
          </cell>
          <cell r="H1567" t="str">
            <v>PRD</v>
          </cell>
          <cell r="I1567" t="str">
            <v>PRD</v>
          </cell>
          <cell r="J1567" t="str">
            <v>HONDA N-WAGON</v>
          </cell>
          <cell r="K1567" t="str">
            <v>HONDA SMALL CAR W/H FLOOR</v>
          </cell>
          <cell r="L1567" t="str">
            <v>CV 19</v>
          </cell>
          <cell r="M1567" t="str">
            <v>S/T 1.1</v>
          </cell>
          <cell r="N1567" t="str">
            <v>ASSEMBLY</v>
          </cell>
          <cell r="O1567" t="str">
            <v>B</v>
          </cell>
        </row>
        <row r="1568">
          <cell r="A1568">
            <v>22343</v>
          </cell>
          <cell r="B1568" t="str">
            <v>LESTARI AYUNING TYAS</v>
          </cell>
          <cell r="C1568" t="str">
            <v>SAMI</v>
          </cell>
          <cell r="D1568" t="str">
            <v>OPT-556</v>
          </cell>
          <cell r="E1568">
            <v>43195</v>
          </cell>
          <cell r="F1568">
            <v>43225</v>
          </cell>
          <cell r="G1568">
            <v>43585</v>
          </cell>
          <cell r="H1568" t="str">
            <v>PRD</v>
          </cell>
          <cell r="I1568" t="str">
            <v>PRD</v>
          </cell>
          <cell r="J1568" t="str">
            <v>HONDA N-WAGON</v>
          </cell>
          <cell r="K1568" t="str">
            <v>HONDA SMALL CAR W/H FLOOR</v>
          </cell>
          <cell r="L1568" t="str">
            <v>CV 19</v>
          </cell>
          <cell r="M1568" t="str">
            <v>CHECKER</v>
          </cell>
          <cell r="N1568" t="str">
            <v>ELECTRICAL INSPECTION</v>
          </cell>
          <cell r="O1568" t="str">
            <v>B</v>
          </cell>
        </row>
        <row r="1569">
          <cell r="A1569">
            <v>22436</v>
          </cell>
          <cell r="B1569" t="str">
            <v>ZAENUDIN</v>
          </cell>
          <cell r="C1569" t="str">
            <v>SAMI</v>
          </cell>
          <cell r="D1569" t="str">
            <v>OPT-558</v>
          </cell>
          <cell r="E1569">
            <v>43213</v>
          </cell>
          <cell r="F1569">
            <v>43243</v>
          </cell>
          <cell r="G1569">
            <v>43616</v>
          </cell>
          <cell r="H1569" t="str">
            <v>PRD</v>
          </cell>
          <cell r="I1569" t="str">
            <v>PRD</v>
          </cell>
          <cell r="J1569" t="str">
            <v>HONDA N-WAGON</v>
          </cell>
          <cell r="K1569" t="str">
            <v>HONDA SMALL CAR W/H FLOOR</v>
          </cell>
          <cell r="L1569" t="str">
            <v>CV 19</v>
          </cell>
          <cell r="M1569" t="str">
            <v>T/P 3.1</v>
          </cell>
          <cell r="N1569" t="str">
            <v>ASSEMBLY</v>
          </cell>
          <cell r="O1569" t="str">
            <v>B</v>
          </cell>
        </row>
        <row r="1570">
          <cell r="A1570">
            <v>22533</v>
          </cell>
          <cell r="B1570" t="str">
            <v>IKA VIDAYANTI</v>
          </cell>
          <cell r="C1570" t="str">
            <v>SAMI</v>
          </cell>
          <cell r="D1570" t="str">
            <v>OPT-560</v>
          </cell>
          <cell r="E1570">
            <v>43224</v>
          </cell>
          <cell r="F1570">
            <v>43255</v>
          </cell>
          <cell r="G1570">
            <v>43616</v>
          </cell>
          <cell r="H1570" t="str">
            <v>PRD</v>
          </cell>
          <cell r="I1570" t="str">
            <v>PRD</v>
          </cell>
          <cell r="J1570" t="str">
            <v>HONDA N-WAGON</v>
          </cell>
          <cell r="K1570" t="str">
            <v>HONDA SMALL CAR W/H FLOOR</v>
          </cell>
          <cell r="L1570" t="str">
            <v>CV 19</v>
          </cell>
          <cell r="M1570" t="str">
            <v>MATERIAL SUPPLY 2</v>
          </cell>
          <cell r="N1570" t="str">
            <v>MATERIAL SUPPLY</v>
          </cell>
          <cell r="O1570" t="str">
            <v>B</v>
          </cell>
        </row>
        <row r="1571">
          <cell r="A1571">
            <v>22661</v>
          </cell>
          <cell r="B1571" t="str">
            <v>MOH ILHAM</v>
          </cell>
          <cell r="C1571" t="str">
            <v>SAMI</v>
          </cell>
          <cell r="D1571" t="str">
            <v>OPT-562</v>
          </cell>
          <cell r="E1571">
            <v>43241</v>
          </cell>
          <cell r="F1571">
            <v>43272</v>
          </cell>
          <cell r="G1571">
            <v>43646</v>
          </cell>
          <cell r="H1571" t="str">
            <v>PRD</v>
          </cell>
          <cell r="I1571" t="str">
            <v>PRD</v>
          </cell>
          <cell r="J1571" t="str">
            <v>HONDA N-WAGON</v>
          </cell>
          <cell r="K1571" t="str">
            <v>HONDA SMALL CAR W/H FLOOR</v>
          </cell>
          <cell r="L1571" t="str">
            <v>CV 19</v>
          </cell>
          <cell r="M1571" t="str">
            <v>T/P 4.1</v>
          </cell>
          <cell r="N1571" t="str">
            <v>ASSEMBLY</v>
          </cell>
          <cell r="O1571" t="str">
            <v>B</v>
          </cell>
        </row>
        <row r="1572">
          <cell r="A1572">
            <v>22682</v>
          </cell>
          <cell r="B1572" t="str">
            <v>SITI ROIMAH</v>
          </cell>
          <cell r="C1572" t="str">
            <v>SAMI</v>
          </cell>
          <cell r="D1572" t="str">
            <v>OPT-562</v>
          </cell>
          <cell r="E1572">
            <v>43241</v>
          </cell>
          <cell r="F1572">
            <v>43272</v>
          </cell>
          <cell r="G1572">
            <v>43646</v>
          </cell>
          <cell r="H1572" t="str">
            <v>PRD</v>
          </cell>
          <cell r="I1572" t="str">
            <v>PRD</v>
          </cell>
          <cell r="J1572" t="str">
            <v>HONDA N-WAGON</v>
          </cell>
          <cell r="K1572" t="str">
            <v>HONDA SMALL CAR W/H FLOOR</v>
          </cell>
          <cell r="L1572" t="str">
            <v>CV 19</v>
          </cell>
          <cell r="M1572" t="str">
            <v>S/A 1</v>
          </cell>
          <cell r="N1572" t="str">
            <v>SUB ASSY</v>
          </cell>
          <cell r="O1572" t="str">
            <v>B</v>
          </cell>
        </row>
        <row r="1573">
          <cell r="A1573">
            <v>22683</v>
          </cell>
          <cell r="B1573" t="str">
            <v>SUSIATI</v>
          </cell>
          <cell r="C1573" t="str">
            <v>SAMI</v>
          </cell>
          <cell r="D1573" t="str">
            <v>OPT-562</v>
          </cell>
          <cell r="E1573">
            <v>43241</v>
          </cell>
          <cell r="F1573">
            <v>43272</v>
          </cell>
          <cell r="G1573">
            <v>43646</v>
          </cell>
          <cell r="H1573" t="str">
            <v>PRD</v>
          </cell>
          <cell r="I1573" t="str">
            <v>PRD</v>
          </cell>
          <cell r="J1573" t="str">
            <v>HONDA N-WAGON</v>
          </cell>
          <cell r="K1573" t="str">
            <v>HONDA SMALL CAR W/H FLOOR</v>
          </cell>
          <cell r="L1573" t="str">
            <v>CV 19</v>
          </cell>
          <cell r="M1573" t="str">
            <v>T/P 2.1</v>
          </cell>
          <cell r="N1573" t="str">
            <v>ASSEMBLY</v>
          </cell>
          <cell r="O1573" t="str">
            <v>B</v>
          </cell>
        </row>
        <row r="1574">
          <cell r="A1574">
            <v>22697</v>
          </cell>
          <cell r="B1574" t="str">
            <v>EKA ADI PURWANTO</v>
          </cell>
          <cell r="C1574" t="str">
            <v>SAMI</v>
          </cell>
          <cell r="D1574" t="str">
            <v>OPT-563</v>
          </cell>
          <cell r="E1574">
            <v>43244</v>
          </cell>
          <cell r="F1574">
            <v>43275</v>
          </cell>
          <cell r="G1574">
            <v>43646</v>
          </cell>
          <cell r="H1574" t="str">
            <v>PRD</v>
          </cell>
          <cell r="I1574" t="str">
            <v>PRD</v>
          </cell>
          <cell r="J1574" t="str">
            <v>HONDA N-WAGON</v>
          </cell>
          <cell r="K1574" t="str">
            <v>HONDA SMALL CAR W/H FLOOR</v>
          </cell>
          <cell r="L1574" t="str">
            <v>CV 19</v>
          </cell>
          <cell r="M1574" t="str">
            <v>CHECKER</v>
          </cell>
          <cell r="N1574" t="str">
            <v>ELECTRICAL INSPECTION</v>
          </cell>
          <cell r="O1574" t="str">
            <v>B</v>
          </cell>
        </row>
        <row r="1575">
          <cell r="A1575">
            <v>22715</v>
          </cell>
          <cell r="B1575" t="str">
            <v>SITI FAJAR MAESHAROH</v>
          </cell>
          <cell r="C1575" t="str">
            <v>SAMI</v>
          </cell>
          <cell r="D1575" t="str">
            <v>OPT-563</v>
          </cell>
          <cell r="E1575">
            <v>43244</v>
          </cell>
          <cell r="F1575">
            <v>43275</v>
          </cell>
          <cell r="G1575">
            <v>43646</v>
          </cell>
          <cell r="H1575" t="str">
            <v>PRD</v>
          </cell>
          <cell r="I1575" t="str">
            <v>PRD</v>
          </cell>
          <cell r="J1575" t="str">
            <v>HONDA N-WAGON</v>
          </cell>
          <cell r="K1575" t="str">
            <v>HONDA SMALL CAR W/H FLOOR</v>
          </cell>
          <cell r="L1575" t="str">
            <v>CV 19</v>
          </cell>
          <cell r="M1575" t="str">
            <v>T/P 2.2</v>
          </cell>
          <cell r="N1575" t="str">
            <v>ASSEMBLY</v>
          </cell>
          <cell r="O1575" t="str">
            <v>B</v>
          </cell>
        </row>
        <row r="1576">
          <cell r="A1576">
            <v>23111</v>
          </cell>
          <cell r="B1576" t="str">
            <v>EMY RAGIL SAFITRI</v>
          </cell>
          <cell r="C1576" t="str">
            <v>SAMI</v>
          </cell>
          <cell r="D1576" t="str">
            <v>OPT-570</v>
          </cell>
          <cell r="E1576">
            <v>43369</v>
          </cell>
          <cell r="F1576">
            <v>43399</v>
          </cell>
          <cell r="G1576">
            <v>43769</v>
          </cell>
          <cell r="H1576" t="str">
            <v>PRD</v>
          </cell>
          <cell r="I1576" t="str">
            <v>PRD</v>
          </cell>
          <cell r="J1576" t="str">
            <v>HONDA N-WAGON</v>
          </cell>
          <cell r="K1576" t="str">
            <v>HONDA SMALL CAR W/H FLOOR</v>
          </cell>
          <cell r="L1576" t="str">
            <v>CV 19</v>
          </cell>
          <cell r="M1576" t="str">
            <v>T/P 1.3</v>
          </cell>
          <cell r="N1576" t="str">
            <v>ASSEMBLY</v>
          </cell>
          <cell r="O1576" t="str">
            <v>B</v>
          </cell>
        </row>
        <row r="1577">
          <cell r="A1577">
            <v>23235</v>
          </cell>
          <cell r="B1577" t="str">
            <v>KIKI FILSAFA FITRA</v>
          </cell>
          <cell r="C1577" t="str">
            <v>SAMI</v>
          </cell>
          <cell r="D1577" t="str">
            <v>OPT-573</v>
          </cell>
          <cell r="E1577">
            <v>43421</v>
          </cell>
          <cell r="F1577">
            <v>43451</v>
          </cell>
          <cell r="G1577">
            <v>43830</v>
          </cell>
          <cell r="H1577" t="str">
            <v>PRD</v>
          </cell>
          <cell r="I1577" t="str">
            <v>PRD</v>
          </cell>
          <cell r="J1577" t="str">
            <v>HONDA N-WAGON</v>
          </cell>
          <cell r="K1577" t="str">
            <v>HONDA SMALL CAR W/H FLOOR</v>
          </cell>
          <cell r="L1577" t="str">
            <v>CV 19</v>
          </cell>
          <cell r="M1577" t="str">
            <v>CHECKER 1</v>
          </cell>
          <cell r="N1577" t="str">
            <v>ELECTRICAL INSPECTION</v>
          </cell>
          <cell r="O1577" t="str">
            <v>B</v>
          </cell>
        </row>
        <row r="1578">
          <cell r="A1578">
            <v>23389</v>
          </cell>
          <cell r="B1578" t="str">
            <v>ALFINA WINDYASTUTI</v>
          </cell>
          <cell r="C1578" t="str">
            <v>SAMI</v>
          </cell>
          <cell r="D1578" t="str">
            <v>OPT-575</v>
          </cell>
          <cell r="E1578">
            <v>43434</v>
          </cell>
          <cell r="F1578">
            <v>43464</v>
          </cell>
          <cell r="G1578">
            <v>43830</v>
          </cell>
          <cell r="H1578" t="str">
            <v>PRD</v>
          </cell>
          <cell r="I1578" t="str">
            <v>PRD</v>
          </cell>
          <cell r="J1578" t="str">
            <v>HONDA N-WAGON</v>
          </cell>
          <cell r="K1578" t="str">
            <v>HONDA SMALL CAR W/H FLOOR</v>
          </cell>
          <cell r="L1578" t="str">
            <v>CV 19</v>
          </cell>
          <cell r="M1578" t="str">
            <v>S/T 1.2</v>
          </cell>
          <cell r="N1578" t="str">
            <v>ASSEMBLY</v>
          </cell>
          <cell r="O1578" t="str">
            <v>B</v>
          </cell>
        </row>
        <row r="1579">
          <cell r="A1579">
            <v>23391</v>
          </cell>
          <cell r="B1579" t="str">
            <v>AMALIA AINUN ZALFA</v>
          </cell>
          <cell r="C1579" t="str">
            <v>SAMI</v>
          </cell>
          <cell r="D1579" t="str">
            <v>OPT-575</v>
          </cell>
          <cell r="E1579">
            <v>43434</v>
          </cell>
          <cell r="F1579">
            <v>43464</v>
          </cell>
          <cell r="G1579">
            <v>43830</v>
          </cell>
          <cell r="H1579" t="str">
            <v>PRD</v>
          </cell>
          <cell r="I1579" t="str">
            <v>PRD</v>
          </cell>
          <cell r="J1579" t="str">
            <v>HONDA N-WAGON</v>
          </cell>
          <cell r="K1579" t="str">
            <v>HONDA SMALL CAR W/H FLOOR</v>
          </cell>
          <cell r="L1579" t="str">
            <v>CV 19</v>
          </cell>
          <cell r="M1579" t="str">
            <v>S/A 3</v>
          </cell>
          <cell r="N1579" t="str">
            <v>SUB ASSY</v>
          </cell>
          <cell r="O1579" t="str">
            <v>B</v>
          </cell>
        </row>
        <row r="1580">
          <cell r="A1580">
            <v>23513</v>
          </cell>
          <cell r="B1580" t="str">
            <v>MONETA PRIHATINNINGRUM</v>
          </cell>
          <cell r="C1580" t="str">
            <v>SAMI</v>
          </cell>
          <cell r="D1580" t="str">
            <v>OPT-576</v>
          </cell>
          <cell r="E1580">
            <v>43441</v>
          </cell>
          <cell r="F1580">
            <v>43472</v>
          </cell>
          <cell r="G1580">
            <v>43830</v>
          </cell>
          <cell r="H1580" t="str">
            <v>PRD</v>
          </cell>
          <cell r="I1580" t="str">
            <v>PRD</v>
          </cell>
          <cell r="J1580" t="str">
            <v>HONDA N-WAGON</v>
          </cell>
          <cell r="K1580" t="str">
            <v>HONDA SMALL CAR W/H FLOOR</v>
          </cell>
          <cell r="L1580" t="str">
            <v>CV 19</v>
          </cell>
          <cell r="M1580" t="str">
            <v>OJT MATERIAL SUPPLY 1</v>
          </cell>
          <cell r="N1580" t="str">
            <v>INTERNAL TRIAL</v>
          </cell>
          <cell r="O1580" t="str">
            <v>B</v>
          </cell>
        </row>
        <row r="1581">
          <cell r="A1581">
            <v>1271</v>
          </cell>
          <cell r="B1581" t="str">
            <v>YUNITA</v>
          </cell>
          <cell r="C1581" t="str">
            <v>SAMI</v>
          </cell>
          <cell r="D1581" t="str">
            <v>OPT-31</v>
          </cell>
          <cell r="E1581">
            <v>37921</v>
          </cell>
          <cell r="F1581" t="str">
            <v>-</v>
          </cell>
          <cell r="G1581" t="str">
            <v>-</v>
          </cell>
          <cell r="H1581" t="str">
            <v>PRD</v>
          </cell>
          <cell r="I1581" t="str">
            <v>PRD</v>
          </cell>
          <cell r="J1581" t="str">
            <v>HONDA SOLENOID</v>
          </cell>
          <cell r="K1581" t="str">
            <v>HONDA SOLENOID</v>
          </cell>
          <cell r="L1581" t="str">
            <v>CV 24A</v>
          </cell>
          <cell r="M1581" t="str">
            <v>SUB LINE CHO</v>
          </cell>
          <cell r="N1581" t="str">
            <v>GL</v>
          </cell>
          <cell r="O1581" t="str">
            <v>A</v>
          </cell>
        </row>
        <row r="1582">
          <cell r="A1582">
            <v>10409</v>
          </cell>
          <cell r="B1582" t="str">
            <v>NUR HIDAYANTI</v>
          </cell>
          <cell r="C1582" t="str">
            <v>SAMI</v>
          </cell>
          <cell r="D1582" t="str">
            <v>OPT-268</v>
          </cell>
          <cell r="E1582">
            <v>40518</v>
          </cell>
          <cell r="F1582" t="str">
            <v>-</v>
          </cell>
          <cell r="G1582" t="str">
            <v>-</v>
          </cell>
          <cell r="H1582" t="str">
            <v>PRD</v>
          </cell>
          <cell r="I1582" t="str">
            <v>PRD</v>
          </cell>
          <cell r="J1582" t="str">
            <v>HONDA SOLENOID</v>
          </cell>
          <cell r="K1582" t="str">
            <v>HONDA SOLENOID</v>
          </cell>
          <cell r="L1582" t="str">
            <v>CV 24A</v>
          </cell>
          <cell r="M1582" t="str">
            <v>S/T</v>
          </cell>
          <cell r="N1582" t="str">
            <v>ASSEMBLY</v>
          </cell>
          <cell r="O1582" t="str">
            <v>A</v>
          </cell>
        </row>
        <row r="1583">
          <cell r="A1583">
            <v>12273</v>
          </cell>
          <cell r="B1583" t="str">
            <v>FARIDOTUS SOLIKHAH</v>
          </cell>
          <cell r="C1583" t="str">
            <v>SAMI</v>
          </cell>
          <cell r="D1583" t="str">
            <v>OPT-316</v>
          </cell>
          <cell r="E1583">
            <v>40805</v>
          </cell>
          <cell r="F1583" t="str">
            <v>-</v>
          </cell>
          <cell r="G1583" t="str">
            <v>-</v>
          </cell>
          <cell r="H1583" t="str">
            <v>PRD</v>
          </cell>
          <cell r="I1583" t="str">
            <v>PRD</v>
          </cell>
          <cell r="J1583" t="str">
            <v>HONDA SOLENOID</v>
          </cell>
          <cell r="K1583" t="str">
            <v>HONDA SOLENOID</v>
          </cell>
          <cell r="L1583" t="str">
            <v>CV 24A</v>
          </cell>
          <cell r="M1583" t="str">
            <v>LQC</v>
          </cell>
          <cell r="N1583" t="str">
            <v>RELIEF</v>
          </cell>
          <cell r="O1583" t="str">
            <v>A</v>
          </cell>
        </row>
        <row r="1584">
          <cell r="A1584">
            <v>20495</v>
          </cell>
          <cell r="B1584" t="str">
            <v>MAULINA</v>
          </cell>
          <cell r="C1584" t="str">
            <v>SAMI</v>
          </cell>
          <cell r="D1584" t="str">
            <v>OPT-504</v>
          </cell>
          <cell r="E1584">
            <v>42634</v>
          </cell>
          <cell r="F1584">
            <v>43132</v>
          </cell>
          <cell r="G1584">
            <v>43496</v>
          </cell>
          <cell r="H1584" t="str">
            <v>PRD</v>
          </cell>
          <cell r="I1584" t="str">
            <v>PRD</v>
          </cell>
          <cell r="J1584" t="str">
            <v>HONDA SOLENOID</v>
          </cell>
          <cell r="K1584" t="str">
            <v>HONDA SOLENOID</v>
          </cell>
          <cell r="L1584" t="str">
            <v>CV 24A</v>
          </cell>
          <cell r="M1584" t="str">
            <v>CIRCUIT SUPPLIER</v>
          </cell>
          <cell r="N1584" t="str">
            <v>CIRCUIT SUPPLY</v>
          </cell>
          <cell r="O1584" t="str">
            <v>A</v>
          </cell>
        </row>
        <row r="1585">
          <cell r="A1585">
            <v>20567</v>
          </cell>
          <cell r="B1585" t="str">
            <v>DEWI SUNARTI</v>
          </cell>
          <cell r="C1585" t="str">
            <v>SAMI</v>
          </cell>
          <cell r="D1585" t="str">
            <v>OPT-505</v>
          </cell>
          <cell r="E1585">
            <v>42639</v>
          </cell>
          <cell r="F1585">
            <v>43132</v>
          </cell>
          <cell r="G1585">
            <v>43496</v>
          </cell>
          <cell r="H1585" t="str">
            <v>PRD</v>
          </cell>
          <cell r="I1585" t="str">
            <v>PRD</v>
          </cell>
          <cell r="J1585" t="str">
            <v>HONDA SOLENOID</v>
          </cell>
          <cell r="K1585" t="str">
            <v>HONDA SOLENOID</v>
          </cell>
          <cell r="L1585" t="str">
            <v>CV 24A</v>
          </cell>
          <cell r="M1585" t="str">
            <v>S/A</v>
          </cell>
          <cell r="N1585" t="str">
            <v>SUB ASSY</v>
          </cell>
          <cell r="O1585" t="str">
            <v>A</v>
          </cell>
        </row>
        <row r="1586">
          <cell r="A1586">
            <v>20891</v>
          </cell>
          <cell r="B1586" t="str">
            <v>RIZKY FADILAH</v>
          </cell>
          <cell r="C1586" t="str">
            <v>SAMI</v>
          </cell>
          <cell r="D1586" t="str">
            <v>OPT-510</v>
          </cell>
          <cell r="E1586">
            <v>42660</v>
          </cell>
          <cell r="F1586">
            <v>43160</v>
          </cell>
          <cell r="G1586">
            <v>43524</v>
          </cell>
          <cell r="H1586" t="str">
            <v>PRD</v>
          </cell>
          <cell r="I1586" t="str">
            <v>PRD</v>
          </cell>
          <cell r="J1586" t="str">
            <v>HONDA SOLENOID</v>
          </cell>
          <cell r="K1586" t="str">
            <v>HONDA SOLENOID</v>
          </cell>
          <cell r="L1586" t="str">
            <v>CV 24A</v>
          </cell>
          <cell r="M1586" t="str">
            <v>S/A</v>
          </cell>
          <cell r="N1586" t="str">
            <v>SUB ASSY</v>
          </cell>
          <cell r="O1586" t="str">
            <v>A</v>
          </cell>
        </row>
        <row r="1587">
          <cell r="A1587">
            <v>20896</v>
          </cell>
          <cell r="B1587" t="str">
            <v>SISCA APRILLIA</v>
          </cell>
          <cell r="C1587" t="str">
            <v>SAMI</v>
          </cell>
          <cell r="D1587" t="str">
            <v>OPT-510</v>
          </cell>
          <cell r="E1587">
            <v>42660</v>
          </cell>
          <cell r="F1587">
            <v>43160</v>
          </cell>
          <cell r="G1587">
            <v>43524</v>
          </cell>
          <cell r="H1587" t="str">
            <v>PRD</v>
          </cell>
          <cell r="I1587" t="str">
            <v>PRD</v>
          </cell>
          <cell r="J1587" t="str">
            <v>HONDA SOLENOID</v>
          </cell>
          <cell r="K1587" t="str">
            <v>HONDA SOLENOID</v>
          </cell>
          <cell r="L1587" t="str">
            <v>CV 24A</v>
          </cell>
          <cell r="M1587" t="str">
            <v>CHECKER</v>
          </cell>
          <cell r="N1587" t="str">
            <v>ELECTRICAL INSPECTION</v>
          </cell>
          <cell r="O1587" t="str">
            <v>A</v>
          </cell>
        </row>
        <row r="1588">
          <cell r="A1588">
            <v>22115</v>
          </cell>
          <cell r="B1588" t="str">
            <v>AYU ELA SRI LESTARI</v>
          </cell>
          <cell r="C1588" t="str">
            <v>SAMI</v>
          </cell>
          <cell r="D1588" t="str">
            <v>OPT-549</v>
          </cell>
          <cell r="E1588">
            <v>43153</v>
          </cell>
          <cell r="F1588">
            <v>43181</v>
          </cell>
          <cell r="G1588">
            <v>43555</v>
          </cell>
          <cell r="H1588" t="str">
            <v>PRD</v>
          </cell>
          <cell r="I1588" t="str">
            <v>PRD</v>
          </cell>
          <cell r="J1588" t="str">
            <v>HONDA SOLENOID</v>
          </cell>
          <cell r="K1588" t="str">
            <v>HONDA SOLENOID</v>
          </cell>
          <cell r="L1588" t="str">
            <v>CV 24A</v>
          </cell>
          <cell r="M1588" t="str">
            <v>S/T</v>
          </cell>
          <cell r="N1588" t="str">
            <v>ASSEMBLY</v>
          </cell>
          <cell r="O1588" t="str">
            <v>A</v>
          </cell>
        </row>
        <row r="1589">
          <cell r="A1589">
            <v>23239</v>
          </cell>
          <cell r="B1589" t="str">
            <v>LUSI ROSANTY</v>
          </cell>
          <cell r="C1589" t="str">
            <v>SAMI</v>
          </cell>
          <cell r="D1589" t="str">
            <v>OPT-573</v>
          </cell>
          <cell r="E1589">
            <v>43421</v>
          </cell>
          <cell r="F1589">
            <v>43451</v>
          </cell>
          <cell r="G1589">
            <v>43830</v>
          </cell>
          <cell r="H1589" t="str">
            <v>PRD</v>
          </cell>
          <cell r="I1589" t="str">
            <v>PRD</v>
          </cell>
          <cell r="J1589" t="str">
            <v>HONDA SOLENOID</v>
          </cell>
          <cell r="K1589" t="str">
            <v>HONDA SOLENOID</v>
          </cell>
          <cell r="L1589" t="str">
            <v>CV 24A</v>
          </cell>
          <cell r="M1589" t="str">
            <v>S/A</v>
          </cell>
          <cell r="N1589" t="str">
            <v>SUB ASSY</v>
          </cell>
          <cell r="O1589" t="str">
            <v>A</v>
          </cell>
        </row>
        <row r="1590">
          <cell r="A1590">
            <v>8688</v>
          </cell>
          <cell r="B1590" t="str">
            <v>LILIK HARTATIK</v>
          </cell>
          <cell r="C1590" t="str">
            <v>SAMI</v>
          </cell>
          <cell r="D1590" t="str">
            <v>OPT-190</v>
          </cell>
          <cell r="E1590">
            <v>39888</v>
          </cell>
          <cell r="F1590" t="str">
            <v>-</v>
          </cell>
          <cell r="G1590" t="str">
            <v>-</v>
          </cell>
          <cell r="H1590" t="str">
            <v>PRD</v>
          </cell>
          <cell r="I1590" t="str">
            <v>PRD</v>
          </cell>
          <cell r="J1590" t="str">
            <v>HONDA SOLENOID</v>
          </cell>
          <cell r="K1590" t="str">
            <v>HONDA SOLENOID</v>
          </cell>
          <cell r="L1590" t="str">
            <v>CV 24A</v>
          </cell>
          <cell r="M1590" t="str">
            <v>SUB LINE CHO</v>
          </cell>
          <cell r="N1590" t="str">
            <v>GL</v>
          </cell>
          <cell r="O1590" t="str">
            <v>B</v>
          </cell>
        </row>
        <row r="1591">
          <cell r="A1591">
            <v>11834</v>
          </cell>
          <cell r="B1591" t="str">
            <v>SANTI ERMAWATI</v>
          </cell>
          <cell r="C1591" t="str">
            <v>SAMI</v>
          </cell>
          <cell r="D1591" t="str">
            <v>OPT-309</v>
          </cell>
          <cell r="E1591">
            <v>40721</v>
          </cell>
          <cell r="F1591" t="str">
            <v>-</v>
          </cell>
          <cell r="G1591" t="str">
            <v>-</v>
          </cell>
          <cell r="H1591" t="str">
            <v>PRD</v>
          </cell>
          <cell r="I1591" t="str">
            <v>PRD</v>
          </cell>
          <cell r="J1591" t="str">
            <v>HONDA SOLENOID</v>
          </cell>
          <cell r="K1591" t="str">
            <v>HONDA SOLENOID</v>
          </cell>
          <cell r="L1591" t="str">
            <v>CV 24A</v>
          </cell>
          <cell r="M1591" t="str">
            <v>S/T</v>
          </cell>
          <cell r="N1591" t="str">
            <v>ASSEMBLY</v>
          </cell>
          <cell r="O1591" t="str">
            <v>B</v>
          </cell>
        </row>
        <row r="1592">
          <cell r="A1592">
            <v>21159</v>
          </cell>
          <cell r="B1592" t="str">
            <v>IFQI ULI TAUFIQOH</v>
          </cell>
          <cell r="C1592" t="str">
            <v>SAMI</v>
          </cell>
          <cell r="D1592" t="str">
            <v>OPT-522</v>
          </cell>
          <cell r="E1592">
            <v>42871</v>
          </cell>
          <cell r="F1592">
            <v>43374</v>
          </cell>
          <cell r="G1592">
            <v>43738</v>
          </cell>
          <cell r="H1592" t="str">
            <v>PRD</v>
          </cell>
          <cell r="I1592" t="str">
            <v>PRD</v>
          </cell>
          <cell r="J1592" t="str">
            <v>HONDA SOLENOID</v>
          </cell>
          <cell r="K1592" t="str">
            <v>HONDA SOLENOID</v>
          </cell>
          <cell r="L1592" t="str">
            <v>CV 24A</v>
          </cell>
          <cell r="M1592" t="str">
            <v>CHECKER</v>
          </cell>
          <cell r="N1592" t="str">
            <v>ELECTRICAL INSPECTION</v>
          </cell>
          <cell r="O1592" t="str">
            <v>B</v>
          </cell>
        </row>
        <row r="1593">
          <cell r="A1593">
            <v>22129</v>
          </cell>
          <cell r="B1593" t="str">
            <v>LULU AMALIA</v>
          </cell>
          <cell r="C1593" t="str">
            <v>SAMI</v>
          </cell>
          <cell r="D1593" t="str">
            <v>OPT-549</v>
          </cell>
          <cell r="E1593">
            <v>43153</v>
          </cell>
          <cell r="F1593">
            <v>43181</v>
          </cell>
          <cell r="G1593">
            <v>43555</v>
          </cell>
          <cell r="H1593" t="str">
            <v>PRD</v>
          </cell>
          <cell r="I1593" t="str">
            <v>PRD</v>
          </cell>
          <cell r="J1593" t="str">
            <v>HONDA SOLENOID</v>
          </cell>
          <cell r="K1593" t="str">
            <v>HONDA SOLENOID</v>
          </cell>
          <cell r="L1593" t="str">
            <v>CV 24A</v>
          </cell>
          <cell r="M1593" t="str">
            <v>OJT S/T</v>
          </cell>
          <cell r="N1593" t="str">
            <v>INTERNAL TRIAL</v>
          </cell>
          <cell r="O1593" t="str">
            <v>B</v>
          </cell>
        </row>
        <row r="1594">
          <cell r="A1594">
            <v>22400</v>
          </cell>
          <cell r="B1594" t="str">
            <v>MIFTHAKUL KHASANAH</v>
          </cell>
          <cell r="C1594" t="str">
            <v>SAMI</v>
          </cell>
          <cell r="D1594" t="str">
            <v>OPT-558</v>
          </cell>
          <cell r="E1594">
            <v>43213</v>
          </cell>
          <cell r="F1594">
            <v>43243</v>
          </cell>
          <cell r="G1594">
            <v>43616</v>
          </cell>
          <cell r="H1594" t="str">
            <v>PRD</v>
          </cell>
          <cell r="I1594" t="str">
            <v>PRD</v>
          </cell>
          <cell r="J1594" t="str">
            <v>HONDA SOLENOID</v>
          </cell>
          <cell r="K1594" t="str">
            <v>HONDA SOLENOID</v>
          </cell>
          <cell r="L1594" t="str">
            <v>CV 24A</v>
          </cell>
          <cell r="M1594" t="str">
            <v>S/T</v>
          </cell>
          <cell r="N1594" t="str">
            <v>ASSEMBLY</v>
          </cell>
          <cell r="O1594" t="str">
            <v>B</v>
          </cell>
        </row>
        <row r="1595">
          <cell r="A1595">
            <v>22992</v>
          </cell>
          <cell r="B1595" t="str">
            <v>AMELIA HANDAYANI</v>
          </cell>
          <cell r="C1595" t="str">
            <v>SAMI</v>
          </cell>
          <cell r="D1595" t="str">
            <v>OPT-569</v>
          </cell>
          <cell r="E1595">
            <v>43361</v>
          </cell>
          <cell r="F1595">
            <v>43391</v>
          </cell>
          <cell r="G1595">
            <v>43769</v>
          </cell>
          <cell r="H1595" t="str">
            <v>PRD</v>
          </cell>
          <cell r="I1595" t="str">
            <v>PRD</v>
          </cell>
          <cell r="J1595" t="str">
            <v>HONDA SOLENOID</v>
          </cell>
          <cell r="K1595" t="str">
            <v>HONDA SOLENOID</v>
          </cell>
          <cell r="L1595" t="str">
            <v>CV 24A</v>
          </cell>
          <cell r="M1595" t="str">
            <v>S/A</v>
          </cell>
          <cell r="N1595" t="str">
            <v>SUB ASSY</v>
          </cell>
          <cell r="O1595" t="str">
            <v>B</v>
          </cell>
        </row>
        <row r="1596">
          <cell r="A1596">
            <v>23237</v>
          </cell>
          <cell r="B1596" t="str">
            <v>LENNY FITRIYANI</v>
          </cell>
          <cell r="C1596" t="str">
            <v>SAMI</v>
          </cell>
          <cell r="D1596" t="str">
            <v>OPT-573</v>
          </cell>
          <cell r="E1596">
            <v>43421</v>
          </cell>
          <cell r="F1596">
            <v>43451</v>
          </cell>
          <cell r="G1596">
            <v>43830</v>
          </cell>
          <cell r="H1596" t="str">
            <v>PRD</v>
          </cell>
          <cell r="I1596" t="str">
            <v>PRD</v>
          </cell>
          <cell r="J1596" t="str">
            <v>HONDA SOLENOID</v>
          </cell>
          <cell r="K1596" t="str">
            <v>HONDA SOLENOID</v>
          </cell>
          <cell r="L1596" t="str">
            <v>CV 24A</v>
          </cell>
          <cell r="M1596" t="str">
            <v>S/A</v>
          </cell>
          <cell r="N1596" t="str">
            <v>SUB ASSY</v>
          </cell>
          <cell r="O1596" t="str">
            <v>B</v>
          </cell>
        </row>
        <row r="1597">
          <cell r="A1597">
            <v>23241</v>
          </cell>
          <cell r="B1597" t="str">
            <v>MIFROKHATUL KHAMIYAH</v>
          </cell>
          <cell r="C1597" t="str">
            <v>SAMI</v>
          </cell>
          <cell r="D1597" t="str">
            <v>OPT-573</v>
          </cell>
          <cell r="E1597">
            <v>43421</v>
          </cell>
          <cell r="F1597">
            <v>43451</v>
          </cell>
          <cell r="G1597">
            <v>43830</v>
          </cell>
          <cell r="H1597" t="str">
            <v>PRD</v>
          </cell>
          <cell r="I1597" t="str">
            <v>PRD</v>
          </cell>
          <cell r="J1597" t="str">
            <v>HONDA SOLENOID</v>
          </cell>
          <cell r="K1597" t="str">
            <v>HONDA SOLENOID</v>
          </cell>
          <cell r="L1597" t="str">
            <v>CV 24A</v>
          </cell>
          <cell r="M1597" t="str">
            <v>CIRCUIT SUPPLIER</v>
          </cell>
          <cell r="N1597" t="str">
            <v>CIRCUIT SUPPLY</v>
          </cell>
          <cell r="O1597" t="str">
            <v>B</v>
          </cell>
        </row>
        <row r="1598">
          <cell r="A1598">
            <v>21602</v>
          </cell>
          <cell r="B1598" t="str">
            <v>NANIK APBSA</v>
          </cell>
          <cell r="C1598" t="str">
            <v>SAMI</v>
          </cell>
          <cell r="D1598" t="str">
            <v>OPT-536</v>
          </cell>
          <cell r="E1598">
            <v>43048</v>
          </cell>
          <cell r="F1598">
            <v>43435</v>
          </cell>
          <cell r="G1598">
            <v>43799</v>
          </cell>
          <cell r="H1598" t="str">
            <v>PRD</v>
          </cell>
          <cell r="I1598" t="str">
            <v>PRD</v>
          </cell>
          <cell r="J1598" t="str">
            <v>HONDA SOLENOID</v>
          </cell>
          <cell r="K1598" t="str">
            <v>HONDA SOLENOID</v>
          </cell>
          <cell r="L1598" t="str">
            <v>CV 24B</v>
          </cell>
          <cell r="M1598" t="str">
            <v>S/T</v>
          </cell>
          <cell r="N1598" t="str">
            <v>ASSEMBLY</v>
          </cell>
          <cell r="O1598" t="str">
            <v>A</v>
          </cell>
        </row>
        <row r="1599">
          <cell r="A1599">
            <v>22154</v>
          </cell>
          <cell r="B1599" t="str">
            <v>SITI TACHAERUL ANISA</v>
          </cell>
          <cell r="C1599" t="str">
            <v>SAMI</v>
          </cell>
          <cell r="D1599" t="str">
            <v>OPT-549</v>
          </cell>
          <cell r="E1599">
            <v>43153</v>
          </cell>
          <cell r="F1599">
            <v>43181</v>
          </cell>
          <cell r="G1599">
            <v>43555</v>
          </cell>
          <cell r="H1599" t="str">
            <v>PRD</v>
          </cell>
          <cell r="I1599" t="str">
            <v>PRD</v>
          </cell>
          <cell r="J1599" t="str">
            <v>HONDA SOLENOID</v>
          </cell>
          <cell r="K1599" t="str">
            <v>HONDA SOLENOID</v>
          </cell>
          <cell r="L1599" t="str">
            <v>CV 24B</v>
          </cell>
          <cell r="M1599" t="str">
            <v>CHECKER</v>
          </cell>
          <cell r="N1599" t="str">
            <v>ELECTRICAL INSPECTION</v>
          </cell>
          <cell r="O1599" t="str">
            <v>A</v>
          </cell>
        </row>
        <row r="1600">
          <cell r="A1600">
            <v>23238</v>
          </cell>
          <cell r="B1600" t="str">
            <v>LINA NUR SANTI</v>
          </cell>
          <cell r="C1600" t="str">
            <v>SAMI</v>
          </cell>
          <cell r="D1600" t="str">
            <v>OPT-573</v>
          </cell>
          <cell r="E1600">
            <v>43421</v>
          </cell>
          <cell r="F1600">
            <v>43451</v>
          </cell>
          <cell r="G1600">
            <v>43830</v>
          </cell>
          <cell r="H1600" t="str">
            <v>PRD</v>
          </cell>
          <cell r="I1600" t="str">
            <v>PRD</v>
          </cell>
          <cell r="J1600" t="str">
            <v>HONDA SOLENOID</v>
          </cell>
          <cell r="K1600" t="str">
            <v>HONDA SOLENOID</v>
          </cell>
          <cell r="L1600" t="str">
            <v>CV 24B</v>
          </cell>
          <cell r="M1600" t="str">
            <v>S/A</v>
          </cell>
          <cell r="N1600" t="str">
            <v>ASSEMBLY</v>
          </cell>
          <cell r="O1600" t="str">
            <v>A</v>
          </cell>
        </row>
        <row r="1601">
          <cell r="A1601">
            <v>23569</v>
          </cell>
          <cell r="B1601" t="str">
            <v>LUTFIYATUROHMANIA</v>
          </cell>
          <cell r="C1601" t="str">
            <v>SAMI</v>
          </cell>
          <cell r="D1601" t="str">
            <v>OPT-577</v>
          </cell>
          <cell r="E1601">
            <v>43452</v>
          </cell>
          <cell r="F1601">
            <v>43483</v>
          </cell>
          <cell r="G1601">
            <v>43861</v>
          </cell>
          <cell r="H1601" t="str">
            <v>PRD</v>
          </cell>
          <cell r="I1601" t="str">
            <v>PRD</v>
          </cell>
          <cell r="J1601" t="str">
            <v>HONDA SOLENOID</v>
          </cell>
          <cell r="K1601" t="str">
            <v>HONDA SOLENOID</v>
          </cell>
          <cell r="L1601" t="str">
            <v>CV 24B</v>
          </cell>
          <cell r="M1601" t="str">
            <v>OJT S/A</v>
          </cell>
          <cell r="N1601" t="str">
            <v>INTERNAL TRIAL</v>
          </cell>
          <cell r="O1601" t="str">
            <v>A</v>
          </cell>
        </row>
        <row r="1602">
          <cell r="A1602">
            <v>22698</v>
          </cell>
          <cell r="B1602" t="str">
            <v>ELLA OCTAVIANA</v>
          </cell>
          <cell r="C1602" t="str">
            <v>SAMI</v>
          </cell>
          <cell r="D1602" t="str">
            <v>OPT-563</v>
          </cell>
          <cell r="E1602">
            <v>43244</v>
          </cell>
          <cell r="F1602">
            <v>43275</v>
          </cell>
          <cell r="G1602">
            <v>43646</v>
          </cell>
          <cell r="H1602" t="str">
            <v>PRD</v>
          </cell>
          <cell r="I1602" t="str">
            <v>PRD</v>
          </cell>
          <cell r="J1602" t="str">
            <v>HONDA SOLENOID</v>
          </cell>
          <cell r="K1602" t="str">
            <v>HONDA SOLENOID</v>
          </cell>
          <cell r="L1602" t="str">
            <v>CV 24B</v>
          </cell>
          <cell r="M1602" t="str">
            <v>S/A</v>
          </cell>
          <cell r="N1602" t="str">
            <v>SUB ASSY</v>
          </cell>
          <cell r="O1602" t="str">
            <v>A (NS)</v>
          </cell>
        </row>
        <row r="1603">
          <cell r="A1603">
            <v>23144</v>
          </cell>
          <cell r="B1603" t="str">
            <v>NAYLI AYYU ZUHAIROH</v>
          </cell>
          <cell r="C1603" t="str">
            <v>SAMI</v>
          </cell>
          <cell r="D1603" t="str">
            <v>OPT-570</v>
          </cell>
          <cell r="E1603">
            <v>43369</v>
          </cell>
          <cell r="F1603">
            <v>43399</v>
          </cell>
          <cell r="G1603">
            <v>43769</v>
          </cell>
          <cell r="H1603" t="str">
            <v>PRD</v>
          </cell>
          <cell r="I1603" t="str">
            <v>PRD</v>
          </cell>
          <cell r="J1603" t="str">
            <v>HONDA SOLENOID</v>
          </cell>
          <cell r="K1603" t="str">
            <v>HONDA SOLENOID</v>
          </cell>
          <cell r="L1603" t="str">
            <v>CV 24B</v>
          </cell>
          <cell r="M1603" t="str">
            <v>S/T</v>
          </cell>
          <cell r="N1603" t="str">
            <v>ASSEMBLY</v>
          </cell>
          <cell r="O1603" t="str">
            <v>A (NS)</v>
          </cell>
        </row>
        <row r="1604">
          <cell r="A1604">
            <v>5749</v>
          </cell>
          <cell r="B1604" t="str">
            <v>WARSIATMI</v>
          </cell>
          <cell r="C1604" t="str">
            <v>SAMI</v>
          </cell>
          <cell r="D1604" t="str">
            <v>OPT-134</v>
          </cell>
          <cell r="E1604">
            <v>39098</v>
          </cell>
          <cell r="F1604" t="str">
            <v>-</v>
          </cell>
          <cell r="G1604" t="str">
            <v>-</v>
          </cell>
          <cell r="H1604" t="str">
            <v>PRD</v>
          </cell>
          <cell r="I1604" t="str">
            <v>PRD</v>
          </cell>
          <cell r="J1604" t="str">
            <v>HONDA SOLENOID</v>
          </cell>
          <cell r="K1604" t="str">
            <v>HONDA SOLENOID</v>
          </cell>
          <cell r="L1604" t="str">
            <v>CV 24B</v>
          </cell>
          <cell r="M1604" t="str">
            <v>LQC</v>
          </cell>
          <cell r="N1604" t="str">
            <v>RELIEF</v>
          </cell>
          <cell r="O1604" t="str">
            <v>B</v>
          </cell>
        </row>
        <row r="1605">
          <cell r="A1605">
            <v>10818</v>
          </cell>
          <cell r="B1605" t="str">
            <v>AFI SYAIROTUL ALIYAH</v>
          </cell>
          <cell r="C1605" t="str">
            <v>SAMI</v>
          </cell>
          <cell r="D1605" t="str">
            <v>OPT-283</v>
          </cell>
          <cell r="E1605">
            <v>40572</v>
          </cell>
          <cell r="F1605" t="str">
            <v>-</v>
          </cell>
          <cell r="G1605" t="str">
            <v>-</v>
          </cell>
          <cell r="H1605" t="str">
            <v>PRD</v>
          </cell>
          <cell r="I1605" t="str">
            <v>PRD</v>
          </cell>
          <cell r="J1605" t="str">
            <v>HONDA SOLENOID</v>
          </cell>
          <cell r="K1605" t="str">
            <v>HONDA SOLENOID</v>
          </cell>
          <cell r="L1605" t="str">
            <v>CV 24B</v>
          </cell>
          <cell r="M1605" t="str">
            <v>S/T</v>
          </cell>
          <cell r="N1605" t="str">
            <v>ASSEMBLY</v>
          </cell>
          <cell r="O1605" t="str">
            <v>B</v>
          </cell>
        </row>
        <row r="1606">
          <cell r="A1606">
            <v>22750</v>
          </cell>
          <cell r="B1606" t="str">
            <v>NAZILATUR ROHMAH</v>
          </cell>
          <cell r="C1606" t="str">
            <v>SAMI</v>
          </cell>
          <cell r="D1606" t="str">
            <v>OPT-564</v>
          </cell>
          <cell r="E1606">
            <v>43255</v>
          </cell>
          <cell r="F1606">
            <v>43285</v>
          </cell>
          <cell r="G1606">
            <v>43646</v>
          </cell>
          <cell r="H1606" t="str">
            <v>PRD</v>
          </cell>
          <cell r="I1606" t="str">
            <v>PRD</v>
          </cell>
          <cell r="J1606" t="str">
            <v>HONDA SOLENOID</v>
          </cell>
          <cell r="K1606" t="str">
            <v>HONDA SOLENOID</v>
          </cell>
          <cell r="L1606" t="str">
            <v>CV 24B</v>
          </cell>
          <cell r="M1606" t="str">
            <v>S/T</v>
          </cell>
          <cell r="N1606" t="str">
            <v>SUB ASSY</v>
          </cell>
          <cell r="O1606" t="str">
            <v>B</v>
          </cell>
        </row>
        <row r="1607">
          <cell r="A1607">
            <v>23080</v>
          </cell>
          <cell r="B1607" t="str">
            <v>TIWIK TRIA RESMALINTHA</v>
          </cell>
          <cell r="C1607" t="str">
            <v>SAMI</v>
          </cell>
          <cell r="D1607" t="str">
            <v>OPT-569</v>
          </cell>
          <cell r="E1607">
            <v>43361</v>
          </cell>
          <cell r="F1607">
            <v>43391</v>
          </cell>
          <cell r="G1607">
            <v>43769</v>
          </cell>
          <cell r="H1607" t="str">
            <v>PRD</v>
          </cell>
          <cell r="I1607" t="str">
            <v>PRD</v>
          </cell>
          <cell r="J1607" t="str">
            <v>HONDA SOLENOID</v>
          </cell>
          <cell r="K1607" t="str">
            <v>HONDA SOLENOID</v>
          </cell>
          <cell r="L1607" t="str">
            <v>CV 24B</v>
          </cell>
          <cell r="M1607" t="str">
            <v>CHECKER</v>
          </cell>
          <cell r="N1607" t="str">
            <v>ELECTRICAL INSPECTION</v>
          </cell>
          <cell r="O1607" t="str">
            <v>B</v>
          </cell>
        </row>
        <row r="1608">
          <cell r="A1608">
            <v>23131</v>
          </cell>
          <cell r="B1608" t="str">
            <v>LIDIYAWATI</v>
          </cell>
          <cell r="C1608" t="str">
            <v>SAMI</v>
          </cell>
          <cell r="D1608" t="str">
            <v>OPT-570</v>
          </cell>
          <cell r="E1608">
            <v>43369</v>
          </cell>
          <cell r="F1608">
            <v>43399</v>
          </cell>
          <cell r="G1608">
            <v>43769</v>
          </cell>
          <cell r="H1608" t="str">
            <v>PRD</v>
          </cell>
          <cell r="I1608" t="str">
            <v>PRD</v>
          </cell>
          <cell r="J1608" t="str">
            <v>HONDA SOLENOID</v>
          </cell>
          <cell r="K1608" t="str">
            <v>HONDA SOLENOID</v>
          </cell>
          <cell r="L1608" t="str">
            <v>CV 24B</v>
          </cell>
          <cell r="M1608" t="str">
            <v>S/A</v>
          </cell>
          <cell r="N1608" t="str">
            <v>SUB ASSY</v>
          </cell>
          <cell r="O1608" t="str">
            <v>B</v>
          </cell>
        </row>
        <row r="1609">
          <cell r="A1609">
            <v>11782</v>
          </cell>
          <cell r="B1609" t="str">
            <v>SITI NURHIDAYAH</v>
          </cell>
          <cell r="C1609" t="str">
            <v>SAMI</v>
          </cell>
          <cell r="D1609" t="str">
            <v>OPT-308</v>
          </cell>
          <cell r="E1609">
            <v>40714</v>
          </cell>
          <cell r="F1609" t="str">
            <v>-</v>
          </cell>
          <cell r="G1609" t="str">
            <v>-</v>
          </cell>
          <cell r="H1609" t="str">
            <v>PRD</v>
          </cell>
          <cell r="I1609" t="str">
            <v>PRD</v>
          </cell>
          <cell r="J1609" t="str">
            <v>HONDA SOLENOID</v>
          </cell>
          <cell r="K1609" t="str">
            <v>HONDA SOLENOID</v>
          </cell>
          <cell r="L1609" t="str">
            <v>CV 24C</v>
          </cell>
          <cell r="M1609" t="str">
            <v>S/T</v>
          </cell>
          <cell r="N1609" t="str">
            <v>ASSEMBLY</v>
          </cell>
          <cell r="O1609" t="str">
            <v>A</v>
          </cell>
        </row>
        <row r="1610">
          <cell r="A1610">
            <v>21436</v>
          </cell>
          <cell r="B1610" t="str">
            <v>ENDAH SUGIHARTI</v>
          </cell>
          <cell r="C1610" t="str">
            <v>SAMI</v>
          </cell>
          <cell r="D1610" t="str">
            <v>OPT-533</v>
          </cell>
          <cell r="E1610">
            <v>43024</v>
          </cell>
          <cell r="F1610">
            <v>43435</v>
          </cell>
          <cell r="G1610">
            <v>43799</v>
          </cell>
          <cell r="H1610" t="str">
            <v>PRD</v>
          </cell>
          <cell r="I1610" t="str">
            <v>PRD</v>
          </cell>
          <cell r="J1610" t="str">
            <v>HONDA SOLENOID</v>
          </cell>
          <cell r="K1610" t="str">
            <v>HONDA SOLENOID</v>
          </cell>
          <cell r="L1610" t="str">
            <v>CV 24C</v>
          </cell>
          <cell r="M1610" t="str">
            <v>S/T</v>
          </cell>
          <cell r="N1610" t="str">
            <v>ASSEMBLY</v>
          </cell>
          <cell r="O1610" t="str">
            <v>A</v>
          </cell>
        </row>
        <row r="1611">
          <cell r="A1611">
            <v>21957</v>
          </cell>
          <cell r="B1611" t="str">
            <v>KIKIS NASIDAH</v>
          </cell>
          <cell r="C1611" t="str">
            <v>SAMI</v>
          </cell>
          <cell r="D1611" t="str">
            <v>OPT-545</v>
          </cell>
          <cell r="E1611">
            <v>43116</v>
          </cell>
          <cell r="F1611">
            <v>43147</v>
          </cell>
          <cell r="G1611">
            <v>43524</v>
          </cell>
          <cell r="H1611" t="str">
            <v>PRD</v>
          </cell>
          <cell r="I1611" t="str">
            <v>PRD</v>
          </cell>
          <cell r="J1611" t="str">
            <v>HONDA SOLENOID</v>
          </cell>
          <cell r="K1611" t="str">
            <v>HONDA SOLENOID</v>
          </cell>
          <cell r="L1611" t="str">
            <v>CV 24C</v>
          </cell>
          <cell r="M1611" t="str">
            <v>CHECKER</v>
          </cell>
          <cell r="N1611" t="str">
            <v>ELECTRICAL INSPECTION</v>
          </cell>
          <cell r="O1611" t="str">
            <v>A</v>
          </cell>
        </row>
        <row r="1612">
          <cell r="A1612">
            <v>22521</v>
          </cell>
          <cell r="B1612" t="str">
            <v>DANIA ANGGI RAHMAWATI</v>
          </cell>
          <cell r="C1612" t="str">
            <v>SAMI</v>
          </cell>
          <cell r="D1612" t="str">
            <v>OPT-560</v>
          </cell>
          <cell r="E1612">
            <v>43224</v>
          </cell>
          <cell r="F1612">
            <v>43255</v>
          </cell>
          <cell r="G1612">
            <v>43616</v>
          </cell>
          <cell r="H1612" t="str">
            <v>PRD</v>
          </cell>
          <cell r="I1612" t="str">
            <v>PRD</v>
          </cell>
          <cell r="J1612" t="str">
            <v>HONDA SOLENOID</v>
          </cell>
          <cell r="K1612" t="str">
            <v>HONDA SOLENOID</v>
          </cell>
          <cell r="L1612" t="str">
            <v>CV 24C</v>
          </cell>
          <cell r="M1612" t="str">
            <v>S/A</v>
          </cell>
          <cell r="N1612" t="str">
            <v>SUB ASSY</v>
          </cell>
          <cell r="O1612" t="str">
            <v>A</v>
          </cell>
        </row>
        <row r="1613">
          <cell r="A1613">
            <v>23346</v>
          </cell>
          <cell r="B1613" t="str">
            <v>PUTRI FITRIANI</v>
          </cell>
          <cell r="C1613" t="str">
            <v>SAMI</v>
          </cell>
          <cell r="D1613" t="str">
            <v>OPT-574</v>
          </cell>
          <cell r="E1613">
            <v>43427</v>
          </cell>
          <cell r="F1613">
            <v>43457</v>
          </cell>
          <cell r="G1613">
            <v>43830</v>
          </cell>
          <cell r="H1613" t="str">
            <v>PRD</v>
          </cell>
          <cell r="I1613" t="str">
            <v>PRD</v>
          </cell>
          <cell r="J1613" t="str">
            <v>HONDA SOLENOID</v>
          </cell>
          <cell r="K1613" t="str">
            <v>HONDA SOLENOID</v>
          </cell>
          <cell r="L1613" t="str">
            <v>CV 24C</v>
          </cell>
          <cell r="M1613" t="str">
            <v>S/A</v>
          </cell>
          <cell r="N1613" t="str">
            <v>ASSEMBLY</v>
          </cell>
          <cell r="O1613" t="str">
            <v>A</v>
          </cell>
        </row>
        <row r="1614">
          <cell r="A1614">
            <v>23570</v>
          </cell>
          <cell r="B1614" t="str">
            <v>MELIYANAH</v>
          </cell>
          <cell r="C1614" t="str">
            <v>SAMI</v>
          </cell>
          <cell r="D1614" t="str">
            <v>OPT-577</v>
          </cell>
          <cell r="E1614">
            <v>43452</v>
          </cell>
          <cell r="F1614">
            <v>43483</v>
          </cell>
          <cell r="G1614">
            <v>43861</v>
          </cell>
          <cell r="H1614" t="str">
            <v>PRD</v>
          </cell>
          <cell r="I1614" t="str">
            <v>PRD</v>
          </cell>
          <cell r="J1614" t="str">
            <v>HONDA SOLENOID</v>
          </cell>
          <cell r="K1614" t="str">
            <v>HONDA SOLENOID</v>
          </cell>
          <cell r="L1614" t="str">
            <v>CV 24C</v>
          </cell>
          <cell r="M1614" t="str">
            <v>OJT C/S</v>
          </cell>
          <cell r="N1614" t="str">
            <v>INTERNAL TRIAL</v>
          </cell>
          <cell r="O1614" t="str">
            <v>A</v>
          </cell>
        </row>
        <row r="1615">
          <cell r="A1615">
            <v>9930</v>
          </cell>
          <cell r="B1615" t="str">
            <v>FERA INDRIYANI</v>
          </cell>
          <cell r="C1615" t="str">
            <v>SAMI</v>
          </cell>
          <cell r="D1615" t="str">
            <v>OPT-246</v>
          </cell>
          <cell r="E1615">
            <v>40431</v>
          </cell>
          <cell r="F1615" t="str">
            <v>-</v>
          </cell>
          <cell r="G1615" t="str">
            <v>-</v>
          </cell>
          <cell r="H1615" t="str">
            <v>PRD</v>
          </cell>
          <cell r="I1615" t="str">
            <v>PRD</v>
          </cell>
          <cell r="J1615" t="str">
            <v>HONDA SOLENOID</v>
          </cell>
          <cell r="K1615" t="str">
            <v>HONDA SOLENOID</v>
          </cell>
          <cell r="L1615" t="str">
            <v>CV 24C</v>
          </cell>
          <cell r="M1615" t="str">
            <v>S/T</v>
          </cell>
          <cell r="N1615" t="str">
            <v>ASSEMBLY</v>
          </cell>
          <cell r="O1615" t="str">
            <v>B</v>
          </cell>
        </row>
        <row r="1616">
          <cell r="A1616">
            <v>20503</v>
          </cell>
          <cell r="B1616" t="str">
            <v>MUSAROFAH</v>
          </cell>
          <cell r="C1616" t="str">
            <v>SAMI</v>
          </cell>
          <cell r="D1616" t="str">
            <v>OPT-504</v>
          </cell>
          <cell r="E1616">
            <v>42634</v>
          </cell>
          <cell r="F1616">
            <v>43132</v>
          </cell>
          <cell r="G1616">
            <v>43496</v>
          </cell>
          <cell r="H1616" t="str">
            <v>PRD</v>
          </cell>
          <cell r="I1616" t="str">
            <v>PRD</v>
          </cell>
          <cell r="J1616" t="str">
            <v>HONDA SOLENOID</v>
          </cell>
          <cell r="K1616" t="str">
            <v>HONDA SOLENOID</v>
          </cell>
          <cell r="L1616" t="str">
            <v>CV 24C</v>
          </cell>
          <cell r="M1616" t="str">
            <v>S/T</v>
          </cell>
          <cell r="N1616" t="str">
            <v>ASSEMBLY</v>
          </cell>
          <cell r="O1616" t="str">
            <v>B</v>
          </cell>
        </row>
        <row r="1617">
          <cell r="A1617">
            <v>20586</v>
          </cell>
          <cell r="B1617" t="str">
            <v>FITRI NUR FARDHANY</v>
          </cell>
          <cell r="C1617" t="str">
            <v>SAMI</v>
          </cell>
          <cell r="D1617" t="str">
            <v>OPT-505</v>
          </cell>
          <cell r="E1617">
            <v>42639</v>
          </cell>
          <cell r="F1617">
            <v>43132</v>
          </cell>
          <cell r="G1617">
            <v>43496</v>
          </cell>
          <cell r="H1617" t="str">
            <v>PRD</v>
          </cell>
          <cell r="I1617" t="str">
            <v>PRD</v>
          </cell>
          <cell r="J1617" t="str">
            <v>HONDA SOLENOID</v>
          </cell>
          <cell r="K1617" t="str">
            <v>HONDA SOLENOID</v>
          </cell>
          <cell r="L1617" t="str">
            <v>CV 24C</v>
          </cell>
          <cell r="M1617" t="str">
            <v>S/A</v>
          </cell>
          <cell r="N1617" t="str">
            <v>SUB ASSY</v>
          </cell>
          <cell r="O1617" t="str">
            <v>B</v>
          </cell>
        </row>
        <row r="1618">
          <cell r="A1618">
            <v>20929</v>
          </cell>
          <cell r="B1618" t="str">
            <v>ANIK WINASIH</v>
          </cell>
          <cell r="C1618" t="str">
            <v>SAMI</v>
          </cell>
          <cell r="D1618" t="str">
            <v>OPT-511</v>
          </cell>
          <cell r="E1618">
            <v>42667</v>
          </cell>
          <cell r="F1618">
            <v>43160</v>
          </cell>
          <cell r="G1618">
            <v>43524</v>
          </cell>
          <cell r="H1618" t="str">
            <v>PRD</v>
          </cell>
          <cell r="I1618" t="str">
            <v>PRD</v>
          </cell>
          <cell r="J1618" t="str">
            <v>HONDA SOLENOID</v>
          </cell>
          <cell r="K1618" t="str">
            <v>HONDA SOLENOID</v>
          </cell>
          <cell r="L1618" t="str">
            <v>CV 24C</v>
          </cell>
          <cell r="M1618" t="str">
            <v xml:space="preserve">S/A </v>
          </cell>
          <cell r="N1618" t="str">
            <v>SUB ASSY</v>
          </cell>
          <cell r="O1618" t="str">
            <v>B</v>
          </cell>
        </row>
        <row r="1619">
          <cell r="A1619">
            <v>21615</v>
          </cell>
          <cell r="B1619" t="str">
            <v>RIKA NUR AINI</v>
          </cell>
          <cell r="C1619" t="str">
            <v>SAMI</v>
          </cell>
          <cell r="D1619" t="str">
            <v>OPT-536</v>
          </cell>
          <cell r="E1619">
            <v>43048</v>
          </cell>
          <cell r="F1619">
            <v>43435</v>
          </cell>
          <cell r="G1619">
            <v>43799</v>
          </cell>
          <cell r="H1619" t="str">
            <v>PRD</v>
          </cell>
          <cell r="I1619" t="str">
            <v>PRD</v>
          </cell>
          <cell r="J1619" t="str">
            <v>HONDA SOLENOID</v>
          </cell>
          <cell r="K1619" t="str">
            <v>HONDA SOLENOID</v>
          </cell>
          <cell r="L1619" t="str">
            <v>CV 24C</v>
          </cell>
          <cell r="M1619" t="str">
            <v>CHECKER</v>
          </cell>
          <cell r="N1619" t="str">
            <v>ELECTRICAL INSPECTION</v>
          </cell>
          <cell r="O1619" t="str">
            <v>B</v>
          </cell>
        </row>
        <row r="1620">
          <cell r="A1620">
            <v>8663</v>
          </cell>
          <cell r="B1620" t="str">
            <v>SITI KOMARIYAH</v>
          </cell>
          <cell r="C1620" t="str">
            <v>SAMI</v>
          </cell>
          <cell r="D1620" t="str">
            <v>OPT-189</v>
          </cell>
          <cell r="E1620">
            <v>39878</v>
          </cell>
          <cell r="F1620" t="str">
            <v>-</v>
          </cell>
          <cell r="G1620" t="str">
            <v>-</v>
          </cell>
          <cell r="H1620" t="str">
            <v>PRD</v>
          </cell>
          <cell r="I1620" t="str">
            <v>PRD</v>
          </cell>
          <cell r="J1620" t="str">
            <v>HONDA FIT</v>
          </cell>
          <cell r="K1620" t="str">
            <v>HONDA FIT W/H DOOR (RR L DOOR)</v>
          </cell>
          <cell r="L1620" t="str">
            <v>CV 29A</v>
          </cell>
          <cell r="M1620" t="str">
            <v>SUB LINE CHO</v>
          </cell>
          <cell r="N1620" t="str">
            <v>GL</v>
          </cell>
          <cell r="O1620" t="str">
            <v>A</v>
          </cell>
        </row>
        <row r="1621">
          <cell r="A1621">
            <v>10564</v>
          </cell>
          <cell r="B1621" t="str">
            <v>SITI NUR KHAYATI</v>
          </cell>
          <cell r="C1621" t="str">
            <v>SAMI</v>
          </cell>
          <cell r="D1621" t="str">
            <v>OPT-275</v>
          </cell>
          <cell r="E1621">
            <v>40542</v>
          </cell>
          <cell r="F1621" t="str">
            <v>-</v>
          </cell>
          <cell r="G1621" t="str">
            <v>-</v>
          </cell>
          <cell r="H1621" t="str">
            <v>PRD</v>
          </cell>
          <cell r="I1621" t="str">
            <v>PRD</v>
          </cell>
          <cell r="J1621" t="str">
            <v>HONDA FIT</v>
          </cell>
          <cell r="K1621" t="str">
            <v>HONDA FIT W/H DOOR (RR L DOOR)</v>
          </cell>
          <cell r="L1621" t="str">
            <v>CV 29A</v>
          </cell>
          <cell r="M1621" t="str">
            <v>LQC</v>
          </cell>
          <cell r="N1621" t="str">
            <v>RELIEF</v>
          </cell>
          <cell r="O1621" t="str">
            <v>A</v>
          </cell>
        </row>
        <row r="1622">
          <cell r="A1622">
            <v>21415</v>
          </cell>
          <cell r="B1622" t="str">
            <v>SITI LUTFIYAH</v>
          </cell>
          <cell r="C1622" t="str">
            <v>SAMI</v>
          </cell>
          <cell r="D1622" t="str">
            <v>OPT-532</v>
          </cell>
          <cell r="E1622">
            <v>43018</v>
          </cell>
          <cell r="F1622">
            <v>43405</v>
          </cell>
          <cell r="G1622">
            <v>43769</v>
          </cell>
          <cell r="H1622" t="str">
            <v>PRD</v>
          </cell>
          <cell r="I1622" t="str">
            <v>PRD</v>
          </cell>
          <cell r="J1622" t="str">
            <v>HONDA FIT</v>
          </cell>
          <cell r="K1622" t="str">
            <v>HONDA FIT W/H DOOR (RR L DOOR)</v>
          </cell>
          <cell r="L1622" t="str">
            <v>CV 29A</v>
          </cell>
          <cell r="M1622" t="str">
            <v>S/A</v>
          </cell>
          <cell r="N1622" t="str">
            <v>SUB ASSY</v>
          </cell>
          <cell r="O1622" t="str">
            <v>A</v>
          </cell>
        </row>
        <row r="1623">
          <cell r="A1623">
            <v>21687</v>
          </cell>
          <cell r="B1623" t="str">
            <v>VERA YUNITA</v>
          </cell>
          <cell r="C1623" t="str">
            <v>SAMI</v>
          </cell>
          <cell r="D1623" t="str">
            <v>OPT-537</v>
          </cell>
          <cell r="E1623">
            <v>43055</v>
          </cell>
          <cell r="F1623">
            <v>43466</v>
          </cell>
          <cell r="G1623">
            <v>43830</v>
          </cell>
          <cell r="H1623" t="str">
            <v>PRD</v>
          </cell>
          <cell r="I1623" t="str">
            <v>PRD</v>
          </cell>
          <cell r="J1623" t="str">
            <v>HONDA FIT</v>
          </cell>
          <cell r="K1623" t="str">
            <v>HONDA FIT W/H DOOR (RR L DOOR)</v>
          </cell>
          <cell r="L1623" t="str">
            <v>CV 29A</v>
          </cell>
          <cell r="M1623" t="str">
            <v>S/A</v>
          </cell>
          <cell r="N1623" t="str">
            <v>SUB ASSY</v>
          </cell>
          <cell r="O1623" t="str">
            <v>A</v>
          </cell>
        </row>
        <row r="1624">
          <cell r="A1624">
            <v>21939</v>
          </cell>
          <cell r="B1624" t="str">
            <v>ANISA'UL ISTIQOMAH</v>
          </cell>
          <cell r="C1624" t="str">
            <v>SAMI</v>
          </cell>
          <cell r="D1624" t="str">
            <v>OPT-545</v>
          </cell>
          <cell r="E1624">
            <v>43116</v>
          </cell>
          <cell r="F1624">
            <v>43147</v>
          </cell>
          <cell r="G1624">
            <v>43524</v>
          </cell>
          <cell r="H1624" t="str">
            <v>PRD</v>
          </cell>
          <cell r="I1624" t="str">
            <v>PRD</v>
          </cell>
          <cell r="J1624" t="str">
            <v>HONDA FIT</v>
          </cell>
          <cell r="K1624" t="str">
            <v>HONDA FIT W/H DOOR (RR L DOOR)</v>
          </cell>
          <cell r="L1624" t="str">
            <v>CV 29A</v>
          </cell>
          <cell r="M1624" t="str">
            <v xml:space="preserve">S/T </v>
          </cell>
          <cell r="N1624" t="str">
            <v>ASSEMBLY</v>
          </cell>
          <cell r="O1624" t="str">
            <v>A</v>
          </cell>
        </row>
        <row r="1625">
          <cell r="A1625">
            <v>21963</v>
          </cell>
          <cell r="B1625" t="str">
            <v>MUNIFATUL MUSTOFIAH</v>
          </cell>
          <cell r="C1625" t="str">
            <v>SAMI</v>
          </cell>
          <cell r="D1625" t="str">
            <v>OPT-545</v>
          </cell>
          <cell r="E1625">
            <v>43116</v>
          </cell>
          <cell r="F1625">
            <v>43147</v>
          </cell>
          <cell r="G1625">
            <v>43524</v>
          </cell>
          <cell r="H1625" t="str">
            <v>PRD</v>
          </cell>
          <cell r="I1625" t="str">
            <v>PRD</v>
          </cell>
          <cell r="J1625" t="str">
            <v>HONDA FIT</v>
          </cell>
          <cell r="K1625" t="str">
            <v>HONDA FIT W/H DOOR (RR L DOOR)</v>
          </cell>
          <cell r="L1625" t="str">
            <v>CV 29A</v>
          </cell>
          <cell r="M1625" t="str">
            <v>CHECKER</v>
          </cell>
          <cell r="N1625" t="str">
            <v>ELECTRICAL INSPECTION</v>
          </cell>
          <cell r="O1625" t="str">
            <v>A</v>
          </cell>
        </row>
        <row r="1626">
          <cell r="A1626">
            <v>22048</v>
          </cell>
          <cell r="B1626" t="str">
            <v>RICA ANGGIE APRILIANY</v>
          </cell>
          <cell r="C1626" t="str">
            <v>SAMI</v>
          </cell>
          <cell r="D1626" t="str">
            <v>OPT-547</v>
          </cell>
          <cell r="E1626">
            <v>43144</v>
          </cell>
          <cell r="F1626">
            <v>43172</v>
          </cell>
          <cell r="G1626">
            <v>43524</v>
          </cell>
          <cell r="H1626" t="str">
            <v>PRD</v>
          </cell>
          <cell r="I1626" t="str">
            <v>PRD</v>
          </cell>
          <cell r="J1626" t="str">
            <v>HONDA FIT</v>
          </cell>
          <cell r="K1626" t="str">
            <v>HONDA FIT W/H DOOR (RR L DOOR)</v>
          </cell>
          <cell r="L1626" t="str">
            <v>CV 29A</v>
          </cell>
          <cell r="M1626" t="str">
            <v>T/P JS</v>
          </cell>
          <cell r="N1626" t="str">
            <v>ASSEMBLY</v>
          </cell>
          <cell r="O1626" t="str">
            <v>A</v>
          </cell>
        </row>
        <row r="1627">
          <cell r="A1627">
            <v>22530</v>
          </cell>
          <cell r="B1627" t="str">
            <v>HANI USWATUN KHASANAH</v>
          </cell>
          <cell r="C1627" t="str">
            <v>SAMI</v>
          </cell>
          <cell r="D1627" t="str">
            <v>OPT-560</v>
          </cell>
          <cell r="E1627">
            <v>43224</v>
          </cell>
          <cell r="F1627">
            <v>43255</v>
          </cell>
          <cell r="G1627">
            <v>43616</v>
          </cell>
          <cell r="H1627" t="str">
            <v>PRD</v>
          </cell>
          <cell r="I1627" t="str">
            <v>PRD</v>
          </cell>
          <cell r="J1627" t="str">
            <v>HONDA FIT</v>
          </cell>
          <cell r="K1627" t="str">
            <v>HONDA FIT W/H DOOR (RR L DOOR)</v>
          </cell>
          <cell r="L1627" t="str">
            <v>CV 29A</v>
          </cell>
          <cell r="M1627" t="str">
            <v>T/P</v>
          </cell>
          <cell r="N1627" t="str">
            <v>ASSEMBLY</v>
          </cell>
          <cell r="O1627" t="str">
            <v>A</v>
          </cell>
        </row>
        <row r="1628">
          <cell r="A1628">
            <v>22654</v>
          </cell>
          <cell r="B1628" t="str">
            <v>GIGIH WIJI NUR ADKHA</v>
          </cell>
          <cell r="C1628" t="str">
            <v>SAMI</v>
          </cell>
          <cell r="D1628" t="str">
            <v>OPT-562</v>
          </cell>
          <cell r="E1628">
            <v>43241</v>
          </cell>
          <cell r="F1628">
            <v>43272</v>
          </cell>
          <cell r="G1628">
            <v>43646</v>
          </cell>
          <cell r="H1628" t="str">
            <v>PRD</v>
          </cell>
          <cell r="I1628" t="str">
            <v>PRD</v>
          </cell>
          <cell r="J1628" t="str">
            <v>HONDA FIT</v>
          </cell>
          <cell r="K1628" t="str">
            <v>HONDA FIT W/H DOOR (RR L DOOR)</v>
          </cell>
          <cell r="L1628" t="str">
            <v>CV 29A</v>
          </cell>
          <cell r="M1628" t="str">
            <v>T/P</v>
          </cell>
          <cell r="N1628" t="str">
            <v>ASSEMBLY</v>
          </cell>
          <cell r="O1628" t="str">
            <v>A</v>
          </cell>
        </row>
        <row r="1629">
          <cell r="A1629">
            <v>22766</v>
          </cell>
          <cell r="B1629" t="str">
            <v>SETYOWATI</v>
          </cell>
          <cell r="C1629" t="str">
            <v>SAMI</v>
          </cell>
          <cell r="D1629" t="str">
            <v>OPT-564</v>
          </cell>
          <cell r="E1629">
            <v>43255</v>
          </cell>
          <cell r="F1629">
            <v>43285</v>
          </cell>
          <cell r="G1629">
            <v>43646</v>
          </cell>
          <cell r="H1629" t="str">
            <v>PRD</v>
          </cell>
          <cell r="I1629" t="str">
            <v>PRD</v>
          </cell>
          <cell r="J1629" t="str">
            <v>HONDA FIT</v>
          </cell>
          <cell r="K1629" t="str">
            <v>HONDA FIT W/H DOOR (RR L DOOR)</v>
          </cell>
          <cell r="L1629" t="str">
            <v>CV 29A</v>
          </cell>
          <cell r="M1629" t="str">
            <v xml:space="preserve">S/T </v>
          </cell>
          <cell r="N1629" t="str">
            <v>ASSEMBLY</v>
          </cell>
          <cell r="O1629" t="str">
            <v>A</v>
          </cell>
        </row>
        <row r="1630">
          <cell r="A1630">
            <v>22881</v>
          </cell>
          <cell r="B1630" t="str">
            <v>RANY MILLENIA</v>
          </cell>
          <cell r="C1630" t="str">
            <v>SAMI</v>
          </cell>
          <cell r="D1630" t="str">
            <v>OPT-567</v>
          </cell>
          <cell r="E1630">
            <v>43333</v>
          </cell>
          <cell r="F1630">
            <v>43364</v>
          </cell>
          <cell r="G1630">
            <v>43738</v>
          </cell>
          <cell r="H1630" t="str">
            <v>PRD</v>
          </cell>
          <cell r="I1630" t="str">
            <v>PRD</v>
          </cell>
          <cell r="J1630" t="str">
            <v>HONDA FIT</v>
          </cell>
          <cell r="K1630" t="str">
            <v>HONDA FIT W/H DOOR (RR L DOOR)</v>
          </cell>
          <cell r="L1630" t="str">
            <v>CV 29A</v>
          </cell>
          <cell r="M1630" t="str">
            <v>CHECKER</v>
          </cell>
          <cell r="N1630" t="str">
            <v>ELECTRICAL INSPECTION</v>
          </cell>
          <cell r="O1630" t="str">
            <v>A</v>
          </cell>
        </row>
        <row r="1631">
          <cell r="A1631">
            <v>23064</v>
          </cell>
          <cell r="B1631" t="str">
            <v>PURWATININGSIH</v>
          </cell>
          <cell r="C1631" t="str">
            <v>SAMI</v>
          </cell>
          <cell r="D1631" t="str">
            <v>OPT-569</v>
          </cell>
          <cell r="E1631">
            <v>43361</v>
          </cell>
          <cell r="F1631">
            <v>43391</v>
          </cell>
          <cell r="G1631">
            <v>43769</v>
          </cell>
          <cell r="H1631" t="str">
            <v>PRD</v>
          </cell>
          <cell r="I1631" t="str">
            <v>PRD</v>
          </cell>
          <cell r="J1631" t="str">
            <v>HONDA FIT</v>
          </cell>
          <cell r="K1631" t="str">
            <v>HONDA FIT W/H DOOR (RR L DOOR)</v>
          </cell>
          <cell r="L1631" t="str">
            <v>CV 29A</v>
          </cell>
          <cell r="M1631" t="str">
            <v>S/A</v>
          </cell>
          <cell r="N1631" t="str">
            <v>SUB ASSY</v>
          </cell>
          <cell r="O1631" t="str">
            <v>A</v>
          </cell>
        </row>
        <row r="1632">
          <cell r="A1632">
            <v>23120</v>
          </cell>
          <cell r="B1632" t="str">
            <v>FINA NUR HIDANAH</v>
          </cell>
          <cell r="C1632" t="str">
            <v>SAMI</v>
          </cell>
          <cell r="D1632" t="str">
            <v>OPT-570</v>
          </cell>
          <cell r="E1632">
            <v>43369</v>
          </cell>
          <cell r="F1632">
            <v>43399</v>
          </cell>
          <cell r="G1632">
            <v>43769</v>
          </cell>
          <cell r="H1632" t="str">
            <v>PRD</v>
          </cell>
          <cell r="I1632" t="str">
            <v>PRD</v>
          </cell>
          <cell r="J1632" t="str">
            <v>HONDA FIT</v>
          </cell>
          <cell r="K1632" t="str">
            <v>HONDA FIT W/H DOOR (RR L DOOR)</v>
          </cell>
          <cell r="L1632" t="str">
            <v>CV 29A</v>
          </cell>
          <cell r="M1632" t="str">
            <v>T/P JS</v>
          </cell>
          <cell r="N1632" t="str">
            <v>ASSEMBLY</v>
          </cell>
          <cell r="O1632" t="str">
            <v>A</v>
          </cell>
        </row>
        <row r="1633">
          <cell r="A1633">
            <v>23223</v>
          </cell>
          <cell r="B1633" t="str">
            <v>FERA APRILLIA</v>
          </cell>
          <cell r="C1633" t="str">
            <v>SAMI</v>
          </cell>
          <cell r="D1633" t="str">
            <v>OPT-573</v>
          </cell>
          <cell r="E1633">
            <v>43421</v>
          </cell>
          <cell r="F1633">
            <v>43451</v>
          </cell>
          <cell r="G1633">
            <v>43830</v>
          </cell>
          <cell r="H1633" t="str">
            <v>PRD</v>
          </cell>
          <cell r="I1633" t="str">
            <v>PRD</v>
          </cell>
          <cell r="J1633" t="str">
            <v>HONDA FIT</v>
          </cell>
          <cell r="K1633" t="str">
            <v>HONDA FIT W/H DOOR (RR L DOOR)</v>
          </cell>
          <cell r="L1633" t="str">
            <v>CV 29A</v>
          </cell>
          <cell r="M1633" t="str">
            <v>T/P</v>
          </cell>
          <cell r="N1633" t="str">
            <v>ASSEMBLY</v>
          </cell>
          <cell r="O1633" t="str">
            <v>A</v>
          </cell>
        </row>
        <row r="1634">
          <cell r="A1634">
            <v>23224</v>
          </cell>
          <cell r="B1634" t="str">
            <v>IKA SAFITRI</v>
          </cell>
          <cell r="C1634" t="str">
            <v>SAMI</v>
          </cell>
          <cell r="D1634" t="str">
            <v>OPT-573</v>
          </cell>
          <cell r="E1634">
            <v>43421</v>
          </cell>
          <cell r="F1634">
            <v>43451</v>
          </cell>
          <cell r="G1634">
            <v>43830</v>
          </cell>
          <cell r="H1634" t="str">
            <v>PRD</v>
          </cell>
          <cell r="I1634" t="str">
            <v>PRD</v>
          </cell>
          <cell r="J1634" t="str">
            <v>HONDA FIT</v>
          </cell>
          <cell r="K1634" t="str">
            <v>HONDA FIT W/H DOOR (RR L DOOR)</v>
          </cell>
          <cell r="L1634" t="str">
            <v>CV 29A</v>
          </cell>
          <cell r="M1634" t="str">
            <v>CIRCUIT SUPPLIER</v>
          </cell>
          <cell r="N1634" t="str">
            <v>CIRCUIT SUPPLY</v>
          </cell>
          <cell r="O1634" t="str">
            <v>A</v>
          </cell>
        </row>
        <row r="1635">
          <cell r="A1635">
            <v>23424</v>
          </cell>
          <cell r="B1635" t="str">
            <v>KHOTIMAH MEYLIA</v>
          </cell>
          <cell r="C1635" t="str">
            <v>SAMI</v>
          </cell>
          <cell r="D1635" t="str">
            <v>OPT-575</v>
          </cell>
          <cell r="E1635">
            <v>43434</v>
          </cell>
          <cell r="F1635">
            <v>43464</v>
          </cell>
          <cell r="G1635">
            <v>43830</v>
          </cell>
          <cell r="H1635" t="str">
            <v>PRD</v>
          </cell>
          <cell r="I1635" t="str">
            <v>PRD</v>
          </cell>
          <cell r="J1635" t="str">
            <v>HONDA FIT</v>
          </cell>
          <cell r="K1635" t="str">
            <v>HONDA FIT W/H DOOR (RR L DOOR)</v>
          </cell>
          <cell r="L1635" t="str">
            <v>CV 29A</v>
          </cell>
          <cell r="M1635" t="str">
            <v>S/T</v>
          </cell>
          <cell r="N1635" t="str">
            <v>ASSEMBLY</v>
          </cell>
          <cell r="O1635" t="str">
            <v>A</v>
          </cell>
        </row>
        <row r="1636">
          <cell r="A1636">
            <v>23455</v>
          </cell>
          <cell r="B1636" t="str">
            <v>RETNO SURYANINGSIH</v>
          </cell>
          <cell r="C1636" t="str">
            <v>SAMI</v>
          </cell>
          <cell r="D1636" t="str">
            <v>OPT-575</v>
          </cell>
          <cell r="E1636">
            <v>43434</v>
          </cell>
          <cell r="F1636">
            <v>43464</v>
          </cell>
          <cell r="G1636">
            <v>43830</v>
          </cell>
          <cell r="H1636" t="str">
            <v>PRD</v>
          </cell>
          <cell r="I1636" t="str">
            <v>PRD</v>
          </cell>
          <cell r="J1636" t="str">
            <v>HONDA FIT</v>
          </cell>
          <cell r="K1636" t="str">
            <v>HONDA FIT W/H DOOR (RR L DOOR)</v>
          </cell>
          <cell r="L1636" t="str">
            <v>CV 29A</v>
          </cell>
          <cell r="M1636" t="str">
            <v>S/A</v>
          </cell>
          <cell r="N1636" t="str">
            <v>SUB ASSY</v>
          </cell>
          <cell r="O1636" t="str">
            <v>A</v>
          </cell>
        </row>
        <row r="1637">
          <cell r="A1637">
            <v>23460</v>
          </cell>
          <cell r="B1637" t="str">
            <v>SETYANI MIFTAKHUL JANNAH</v>
          </cell>
          <cell r="C1637" t="str">
            <v>SAMI</v>
          </cell>
          <cell r="D1637" t="str">
            <v>OPT-575</v>
          </cell>
          <cell r="E1637">
            <v>43434</v>
          </cell>
          <cell r="F1637">
            <v>43464</v>
          </cell>
          <cell r="G1637">
            <v>43830</v>
          </cell>
          <cell r="H1637" t="str">
            <v>PRD</v>
          </cell>
          <cell r="I1637" t="str">
            <v>PRD</v>
          </cell>
          <cell r="J1637" t="str">
            <v>HONDA FIT</v>
          </cell>
          <cell r="K1637" t="str">
            <v>HONDA FIT W/H DOOR (RR L DOOR)</v>
          </cell>
          <cell r="L1637" t="str">
            <v>CV 29A</v>
          </cell>
          <cell r="M1637" t="str">
            <v>T/P</v>
          </cell>
          <cell r="N1637" t="str">
            <v>ASSEMBLY</v>
          </cell>
          <cell r="O1637" t="str">
            <v>A</v>
          </cell>
        </row>
        <row r="1638">
          <cell r="A1638">
            <v>6084</v>
          </cell>
          <cell r="B1638" t="str">
            <v>RUBIATUN</v>
          </cell>
          <cell r="C1638" t="str">
            <v>SAMI</v>
          </cell>
          <cell r="D1638" t="str">
            <v>OPT-139</v>
          </cell>
          <cell r="E1638">
            <v>39142</v>
          </cell>
          <cell r="F1638" t="str">
            <v>-</v>
          </cell>
          <cell r="G1638" t="str">
            <v>-</v>
          </cell>
          <cell r="H1638" t="str">
            <v>PRD</v>
          </cell>
          <cell r="I1638" t="str">
            <v>PRD</v>
          </cell>
          <cell r="J1638" t="str">
            <v>HONDA FIT</v>
          </cell>
          <cell r="K1638" t="str">
            <v>HONDA FIT W/H DOOR (RR L DOOR)</v>
          </cell>
          <cell r="L1638" t="str">
            <v>CV 29A</v>
          </cell>
          <cell r="M1638" t="str">
            <v>T/P</v>
          </cell>
          <cell r="N1638" t="str">
            <v>ASSEMBLY</v>
          </cell>
          <cell r="O1638" t="str">
            <v>B</v>
          </cell>
        </row>
        <row r="1639">
          <cell r="A1639">
            <v>10601</v>
          </cell>
          <cell r="B1639" t="str">
            <v>NUR ALFI HIDAYAH</v>
          </cell>
          <cell r="C1639" t="str">
            <v>SAMI</v>
          </cell>
          <cell r="D1639" t="str">
            <v>OPT-276</v>
          </cell>
          <cell r="E1639">
            <v>40544</v>
          </cell>
          <cell r="F1639" t="str">
            <v>-</v>
          </cell>
          <cell r="G1639" t="str">
            <v>-</v>
          </cell>
          <cell r="H1639" t="str">
            <v>PRD</v>
          </cell>
          <cell r="I1639" t="str">
            <v>PRD</v>
          </cell>
          <cell r="J1639" t="str">
            <v>HONDA FIT</v>
          </cell>
          <cell r="K1639" t="str">
            <v>HONDA FIT W/H DOOR (RR L DOOR)</v>
          </cell>
          <cell r="L1639" t="str">
            <v>CV 29A</v>
          </cell>
          <cell r="M1639" t="str">
            <v>LQC</v>
          </cell>
          <cell r="N1639" t="str">
            <v>RELIEF</v>
          </cell>
          <cell r="O1639" t="str">
            <v>B</v>
          </cell>
        </row>
        <row r="1640">
          <cell r="A1640">
            <v>10848</v>
          </cell>
          <cell r="B1640" t="str">
            <v>PUJI LESTARI</v>
          </cell>
          <cell r="C1640" t="str">
            <v>SAMI</v>
          </cell>
          <cell r="D1640" t="str">
            <v>OPT-283</v>
          </cell>
          <cell r="E1640">
            <v>40572</v>
          </cell>
          <cell r="F1640" t="str">
            <v>-</v>
          </cell>
          <cell r="G1640" t="str">
            <v>-</v>
          </cell>
          <cell r="H1640" t="str">
            <v>PRD</v>
          </cell>
          <cell r="I1640" t="str">
            <v>PRD</v>
          </cell>
          <cell r="J1640" t="str">
            <v>HONDA FIT</v>
          </cell>
          <cell r="K1640" t="str">
            <v>HONDA FIT W/H DOOR (RR L DOOR)</v>
          </cell>
          <cell r="L1640" t="str">
            <v>CV 29A</v>
          </cell>
          <cell r="M1640" t="str">
            <v>SUB LINE CHO</v>
          </cell>
          <cell r="N1640" t="str">
            <v>GL</v>
          </cell>
          <cell r="O1640" t="str">
            <v>B</v>
          </cell>
        </row>
        <row r="1641">
          <cell r="A1641">
            <v>12858</v>
          </cell>
          <cell r="B1641" t="str">
            <v>DEWI ANDRIYANI</v>
          </cell>
          <cell r="C1641" t="str">
            <v>SAMI</v>
          </cell>
          <cell r="D1641" t="str">
            <v>OPT-322</v>
          </cell>
          <cell r="E1641">
            <v>40833</v>
          </cell>
          <cell r="F1641" t="str">
            <v>-</v>
          </cell>
          <cell r="G1641" t="str">
            <v>-</v>
          </cell>
          <cell r="H1641" t="str">
            <v>PRD</v>
          </cell>
          <cell r="I1641" t="str">
            <v>PRD</v>
          </cell>
          <cell r="J1641" t="str">
            <v>HONDA FIT</v>
          </cell>
          <cell r="K1641" t="str">
            <v>HONDA FIT W/H DOOR (RR L DOOR)</v>
          </cell>
          <cell r="L1641" t="str">
            <v>CV 29A</v>
          </cell>
          <cell r="M1641" t="str">
            <v>T/P</v>
          </cell>
          <cell r="N1641" t="str">
            <v>ASSEMBLY</v>
          </cell>
          <cell r="O1641" t="str">
            <v>B</v>
          </cell>
        </row>
        <row r="1642">
          <cell r="A1642">
            <v>20483</v>
          </cell>
          <cell r="B1642" t="str">
            <v>KARINA INDRIANI ARIFIN</v>
          </cell>
          <cell r="C1642" t="str">
            <v>SAMI</v>
          </cell>
          <cell r="D1642" t="str">
            <v>OPT-504</v>
          </cell>
          <cell r="E1642">
            <v>42634</v>
          </cell>
          <cell r="F1642">
            <v>43132</v>
          </cell>
          <cell r="G1642">
            <v>43496</v>
          </cell>
          <cell r="H1642" t="str">
            <v>PRD</v>
          </cell>
          <cell r="I1642" t="str">
            <v>PRD</v>
          </cell>
          <cell r="J1642" t="str">
            <v>HONDA FIT</v>
          </cell>
          <cell r="K1642" t="str">
            <v>HONDA FIT W/H DOOR (RR L DOOR)</v>
          </cell>
          <cell r="L1642" t="str">
            <v>CV 29A</v>
          </cell>
          <cell r="M1642" t="str">
            <v>S/A</v>
          </cell>
          <cell r="N1642" t="str">
            <v>SUB ASSY</v>
          </cell>
          <cell r="O1642" t="str">
            <v>B</v>
          </cell>
        </row>
        <row r="1643">
          <cell r="A1643">
            <v>21781</v>
          </cell>
          <cell r="B1643" t="str">
            <v>NISA FAIRUZ ZUHRIA</v>
          </cell>
          <cell r="C1643" t="str">
            <v>SAMI</v>
          </cell>
          <cell r="D1643" t="str">
            <v>OPT-540</v>
          </cell>
          <cell r="E1643">
            <v>43090</v>
          </cell>
          <cell r="F1643">
            <v>43121</v>
          </cell>
          <cell r="G1643">
            <v>43496</v>
          </cell>
          <cell r="H1643" t="str">
            <v>PRD</v>
          </cell>
          <cell r="I1643" t="str">
            <v>PRD</v>
          </cell>
          <cell r="J1643" t="str">
            <v>HONDA FIT</v>
          </cell>
          <cell r="K1643" t="str">
            <v>HONDA FIT W/H DOOR (RR L DOOR)</v>
          </cell>
          <cell r="L1643" t="str">
            <v>CV 29A</v>
          </cell>
          <cell r="M1643" t="str">
            <v>S/T</v>
          </cell>
          <cell r="N1643" t="str">
            <v>ASSEMBLY</v>
          </cell>
          <cell r="O1643" t="str">
            <v>B</v>
          </cell>
        </row>
        <row r="1644">
          <cell r="A1644">
            <v>22084</v>
          </cell>
          <cell r="B1644" t="str">
            <v>NITA DWI HAPSARI</v>
          </cell>
          <cell r="C1644" t="str">
            <v>SAMI</v>
          </cell>
          <cell r="D1644" t="str">
            <v>OPT-548</v>
          </cell>
          <cell r="E1644">
            <v>43150</v>
          </cell>
          <cell r="F1644">
            <v>43178</v>
          </cell>
          <cell r="G1644">
            <v>43555</v>
          </cell>
          <cell r="H1644" t="str">
            <v>PRD</v>
          </cell>
          <cell r="I1644" t="str">
            <v>PRD</v>
          </cell>
          <cell r="J1644" t="str">
            <v>HONDA FIT</v>
          </cell>
          <cell r="K1644" t="str">
            <v>HONDA FIT W/H DOOR (RR L DOOR)</v>
          </cell>
          <cell r="L1644" t="str">
            <v>CV 29A</v>
          </cell>
          <cell r="M1644" t="str">
            <v>S/A</v>
          </cell>
          <cell r="N1644" t="str">
            <v>SUB ASSY</v>
          </cell>
          <cell r="O1644" t="str">
            <v>B</v>
          </cell>
        </row>
        <row r="1645">
          <cell r="A1645">
            <v>22239</v>
          </cell>
          <cell r="B1645" t="str">
            <v>SELA AGUSTIA PURNAMASARI</v>
          </cell>
          <cell r="C1645" t="str">
            <v>SAMI</v>
          </cell>
          <cell r="D1645" t="str">
            <v>OPT-551</v>
          </cell>
          <cell r="E1645">
            <v>43161</v>
          </cell>
          <cell r="F1645">
            <v>43192</v>
          </cell>
          <cell r="G1645">
            <v>43555</v>
          </cell>
          <cell r="H1645" t="str">
            <v>PRD</v>
          </cell>
          <cell r="I1645" t="str">
            <v>PRD</v>
          </cell>
          <cell r="J1645" t="str">
            <v>HONDA FIT</v>
          </cell>
          <cell r="K1645" t="str">
            <v>HONDA FIT W/H DOOR (RR L DOOR)</v>
          </cell>
          <cell r="L1645" t="str">
            <v>CV 29A</v>
          </cell>
          <cell r="M1645" t="str">
            <v>S/A</v>
          </cell>
          <cell r="N1645" t="str">
            <v>SUB ASSY</v>
          </cell>
          <cell r="O1645" t="str">
            <v>B</v>
          </cell>
        </row>
        <row r="1646">
          <cell r="A1646">
            <v>22547</v>
          </cell>
          <cell r="B1646" t="str">
            <v>NELA OKTA ASPILANI</v>
          </cell>
          <cell r="C1646" t="str">
            <v>SAMI</v>
          </cell>
          <cell r="D1646" t="str">
            <v>OPT-560</v>
          </cell>
          <cell r="E1646">
            <v>43224</v>
          </cell>
          <cell r="F1646">
            <v>43255</v>
          </cell>
          <cell r="G1646">
            <v>43616</v>
          </cell>
          <cell r="H1646" t="str">
            <v>PRD</v>
          </cell>
          <cell r="I1646" t="str">
            <v>PRD</v>
          </cell>
          <cell r="J1646" t="str">
            <v>HONDA FIT</v>
          </cell>
          <cell r="K1646" t="str">
            <v>HONDA FIT W/H DOOR (RR L DOOR)</v>
          </cell>
          <cell r="L1646" t="str">
            <v>CV 29A</v>
          </cell>
          <cell r="M1646" t="str">
            <v>S/T</v>
          </cell>
          <cell r="N1646" t="str">
            <v>ASSEMBLY</v>
          </cell>
          <cell r="O1646" t="str">
            <v>B</v>
          </cell>
        </row>
        <row r="1647">
          <cell r="A1647">
            <v>22609</v>
          </cell>
          <cell r="B1647" t="str">
            <v>LUTFIYATUL KHAMILAH</v>
          </cell>
          <cell r="C1647" t="str">
            <v>SAMI</v>
          </cell>
          <cell r="D1647" t="str">
            <v>OPT-561</v>
          </cell>
          <cell r="E1647">
            <v>43236</v>
          </cell>
          <cell r="F1647">
            <v>43267</v>
          </cell>
          <cell r="G1647">
            <v>43646</v>
          </cell>
          <cell r="H1647" t="str">
            <v>PRD</v>
          </cell>
          <cell r="I1647" t="str">
            <v>PRD</v>
          </cell>
          <cell r="J1647" t="str">
            <v>HONDA FIT</v>
          </cell>
          <cell r="K1647" t="str">
            <v>HONDA FIT W/H DOOR (RR L DOOR)</v>
          </cell>
          <cell r="L1647" t="str">
            <v>CV 29A</v>
          </cell>
          <cell r="M1647" t="str">
            <v>S/A</v>
          </cell>
          <cell r="N1647" t="str">
            <v>SUB ASSY</v>
          </cell>
          <cell r="O1647" t="str">
            <v>B</v>
          </cell>
        </row>
        <row r="1648">
          <cell r="A1648">
            <v>22709</v>
          </cell>
          <cell r="B1648" t="str">
            <v>NORMA YUNITA KUSTIANI</v>
          </cell>
          <cell r="C1648" t="str">
            <v>SAMI</v>
          </cell>
          <cell r="D1648" t="str">
            <v>OPT-563</v>
          </cell>
          <cell r="E1648">
            <v>43244</v>
          </cell>
          <cell r="F1648">
            <v>43275</v>
          </cell>
          <cell r="G1648">
            <v>43646</v>
          </cell>
          <cell r="H1648" t="str">
            <v>PRD</v>
          </cell>
          <cell r="I1648" t="str">
            <v>PRD</v>
          </cell>
          <cell r="J1648" t="str">
            <v>HONDA FIT</v>
          </cell>
          <cell r="K1648" t="str">
            <v>HONDA FIT W/H DOOR (RR L DOOR)</v>
          </cell>
          <cell r="L1648" t="str">
            <v>CV 29A</v>
          </cell>
          <cell r="M1648" t="str">
            <v>J/S</v>
          </cell>
          <cell r="N1648" t="str">
            <v>ASSEMBLY</v>
          </cell>
          <cell r="O1648" t="str">
            <v>B</v>
          </cell>
        </row>
        <row r="1649">
          <cell r="A1649">
            <v>22796</v>
          </cell>
          <cell r="B1649" t="str">
            <v>SUNYANI</v>
          </cell>
          <cell r="C1649" t="str">
            <v>SAMI</v>
          </cell>
          <cell r="D1649" t="str">
            <v>OPT-565</v>
          </cell>
          <cell r="E1649">
            <v>43283</v>
          </cell>
          <cell r="F1649">
            <v>43314</v>
          </cell>
          <cell r="G1649">
            <v>43677</v>
          </cell>
          <cell r="H1649" t="str">
            <v>PRD</v>
          </cell>
          <cell r="I1649" t="str">
            <v>PRD</v>
          </cell>
          <cell r="J1649" t="str">
            <v>HONDA FIT</v>
          </cell>
          <cell r="K1649" t="str">
            <v>HONDA FIT W/H DOOR (RR L DOOR)</v>
          </cell>
          <cell r="L1649" t="str">
            <v>CV 29A</v>
          </cell>
          <cell r="M1649" t="str">
            <v>CHECKER</v>
          </cell>
          <cell r="N1649" t="str">
            <v>ELECTRICAL INSPECTION</v>
          </cell>
          <cell r="O1649" t="str">
            <v>B</v>
          </cell>
        </row>
        <row r="1650">
          <cell r="A1650">
            <v>22807</v>
          </cell>
          <cell r="B1650" t="str">
            <v>AMALIA ARINDA</v>
          </cell>
          <cell r="C1650" t="str">
            <v>SAMI</v>
          </cell>
          <cell r="D1650" t="str">
            <v>OPT-567</v>
          </cell>
          <cell r="E1650">
            <v>43333</v>
          </cell>
          <cell r="F1650">
            <v>43364</v>
          </cell>
          <cell r="G1650">
            <v>43738</v>
          </cell>
          <cell r="H1650" t="str">
            <v>PRD</v>
          </cell>
          <cell r="I1650" t="str">
            <v>PRD</v>
          </cell>
          <cell r="J1650" t="str">
            <v>HONDA FIT</v>
          </cell>
          <cell r="K1650" t="str">
            <v>HONDA FIT W/H DOOR (RR L DOOR)</v>
          </cell>
          <cell r="L1650" t="str">
            <v>CV 29A</v>
          </cell>
          <cell r="M1650" t="str">
            <v>S/T</v>
          </cell>
          <cell r="N1650" t="str">
            <v>ASSEMBLY</v>
          </cell>
          <cell r="O1650" t="str">
            <v>B</v>
          </cell>
        </row>
        <row r="1651">
          <cell r="A1651">
            <v>22945</v>
          </cell>
          <cell r="B1651" t="str">
            <v>ISTIKOMA</v>
          </cell>
          <cell r="C1651" t="str">
            <v>SAMI</v>
          </cell>
          <cell r="D1651" t="str">
            <v>OPT-568</v>
          </cell>
          <cell r="E1651">
            <v>43343</v>
          </cell>
          <cell r="F1651">
            <v>43374</v>
          </cell>
          <cell r="G1651">
            <v>43738</v>
          </cell>
          <cell r="H1651" t="str">
            <v>PRD</v>
          </cell>
          <cell r="I1651" t="str">
            <v>PRD</v>
          </cell>
          <cell r="J1651" t="str">
            <v>HONDA FIT</v>
          </cell>
          <cell r="K1651" t="str">
            <v>HONDA FIT W/H DOOR (RR L DOOR)</v>
          </cell>
          <cell r="L1651" t="str">
            <v>CV 29A</v>
          </cell>
          <cell r="M1651" t="str">
            <v>T/P</v>
          </cell>
          <cell r="N1651" t="str">
            <v>ASSEMBLY</v>
          </cell>
          <cell r="O1651" t="str">
            <v>B</v>
          </cell>
        </row>
        <row r="1652">
          <cell r="A1652">
            <v>22947</v>
          </cell>
          <cell r="B1652" t="str">
            <v>JENIA MAUDINA</v>
          </cell>
          <cell r="C1652" t="str">
            <v>SAMI</v>
          </cell>
          <cell r="D1652" t="str">
            <v>OPT-568</v>
          </cell>
          <cell r="E1652">
            <v>43343</v>
          </cell>
          <cell r="F1652">
            <v>43374</v>
          </cell>
          <cell r="G1652">
            <v>43738</v>
          </cell>
          <cell r="H1652" t="str">
            <v>PRD</v>
          </cell>
          <cell r="I1652" t="str">
            <v>PRD</v>
          </cell>
          <cell r="J1652" t="str">
            <v>HONDA FIT</v>
          </cell>
          <cell r="K1652" t="str">
            <v>HONDA FIT W/H DOOR (RR L DOOR)</v>
          </cell>
          <cell r="L1652" t="str">
            <v>CV 29A</v>
          </cell>
          <cell r="M1652" t="str">
            <v>T/P</v>
          </cell>
          <cell r="N1652" t="str">
            <v>ASSEMBLY</v>
          </cell>
          <cell r="O1652" t="str">
            <v>B</v>
          </cell>
        </row>
        <row r="1653">
          <cell r="A1653">
            <v>22997</v>
          </cell>
          <cell r="B1653" t="str">
            <v>ASEH OCTOFIYANI</v>
          </cell>
          <cell r="C1653" t="str">
            <v>SAMI</v>
          </cell>
          <cell r="D1653" t="str">
            <v>OPT-569</v>
          </cell>
          <cell r="E1653">
            <v>43361</v>
          </cell>
          <cell r="F1653">
            <v>43391</v>
          </cell>
          <cell r="G1653">
            <v>43769</v>
          </cell>
          <cell r="H1653" t="str">
            <v>PRD</v>
          </cell>
          <cell r="I1653" t="str">
            <v>PRD</v>
          </cell>
          <cell r="J1653" t="str">
            <v>HONDA FIT</v>
          </cell>
          <cell r="K1653" t="str">
            <v>HONDA FIT W/H DOOR (RR L DOOR)</v>
          </cell>
          <cell r="L1653" t="str">
            <v>CV 29A</v>
          </cell>
          <cell r="M1653" t="str">
            <v>CIRCUIT SUPPLIER</v>
          </cell>
          <cell r="N1653" t="str">
            <v>CIRCUIT SUPPLY</v>
          </cell>
          <cell r="O1653" t="str">
            <v>B</v>
          </cell>
        </row>
        <row r="1654">
          <cell r="A1654">
            <v>23149</v>
          </cell>
          <cell r="B1654" t="str">
            <v>NUR FADHILAH MAELANSARI</v>
          </cell>
          <cell r="C1654" t="str">
            <v>SAMI</v>
          </cell>
          <cell r="D1654" t="str">
            <v>OPT-570</v>
          </cell>
          <cell r="E1654">
            <v>43369</v>
          </cell>
          <cell r="F1654">
            <v>43399</v>
          </cell>
          <cell r="G1654">
            <v>43769</v>
          </cell>
          <cell r="H1654" t="str">
            <v>PRD</v>
          </cell>
          <cell r="I1654" t="str">
            <v>PRD</v>
          </cell>
          <cell r="J1654" t="str">
            <v>HONDA FIT</v>
          </cell>
          <cell r="K1654" t="str">
            <v>HONDA FIT W/H DOOR (RR L DOOR)</v>
          </cell>
          <cell r="L1654" t="str">
            <v>CV 29A</v>
          </cell>
          <cell r="M1654" t="str">
            <v>CHECKER</v>
          </cell>
          <cell r="N1654" t="str">
            <v>ELECTRICAL INSPECTION</v>
          </cell>
          <cell r="O1654" t="str">
            <v>B</v>
          </cell>
        </row>
        <row r="1655">
          <cell r="A1655">
            <v>23226</v>
          </cell>
          <cell r="B1655" t="str">
            <v>INA MURDJIYATI</v>
          </cell>
          <cell r="C1655" t="str">
            <v>SAMI</v>
          </cell>
          <cell r="D1655" t="str">
            <v>OPT-573</v>
          </cell>
          <cell r="E1655">
            <v>43421</v>
          </cell>
          <cell r="F1655">
            <v>43451</v>
          </cell>
          <cell r="G1655">
            <v>43830</v>
          </cell>
          <cell r="H1655" t="str">
            <v>PRD</v>
          </cell>
          <cell r="I1655" t="str">
            <v>PRD</v>
          </cell>
          <cell r="J1655" t="str">
            <v>HONDA FIT</v>
          </cell>
          <cell r="K1655" t="str">
            <v>HONDA FIT W/H DOOR (RR L DOOR)</v>
          </cell>
          <cell r="L1655" t="str">
            <v>CV 29A</v>
          </cell>
          <cell r="M1655" t="str">
            <v>J/S</v>
          </cell>
          <cell r="N1655" t="str">
            <v>ASSEMBLY</v>
          </cell>
          <cell r="O1655" t="str">
            <v>B</v>
          </cell>
        </row>
        <row r="1656">
          <cell r="A1656">
            <v>23430</v>
          </cell>
          <cell r="B1656" t="str">
            <v>MARITA INDRIYAN</v>
          </cell>
          <cell r="C1656" t="str">
            <v>SAMI</v>
          </cell>
          <cell r="D1656" t="str">
            <v>OPT-575</v>
          </cell>
          <cell r="E1656">
            <v>43434</v>
          </cell>
          <cell r="F1656">
            <v>43464</v>
          </cell>
          <cell r="G1656">
            <v>43830</v>
          </cell>
          <cell r="H1656" t="str">
            <v>PRD</v>
          </cell>
          <cell r="I1656" t="str">
            <v>PRD</v>
          </cell>
          <cell r="J1656" t="str">
            <v>HONDA FIT</v>
          </cell>
          <cell r="K1656" t="str">
            <v>HONDA FIT W/H DOOR (RR L DOOR)</v>
          </cell>
          <cell r="L1656" t="str">
            <v>CV 29A</v>
          </cell>
          <cell r="M1656" t="str">
            <v>S/T</v>
          </cell>
          <cell r="N1656" t="str">
            <v>ASSEMBLY</v>
          </cell>
          <cell r="O1656" t="str">
            <v>B</v>
          </cell>
        </row>
        <row r="1657">
          <cell r="A1657">
            <v>23571</v>
          </cell>
          <cell r="B1657" t="str">
            <v>MIFTAHUL RIZQIANA</v>
          </cell>
          <cell r="C1657" t="str">
            <v>SAMI</v>
          </cell>
          <cell r="D1657" t="str">
            <v>OPT-577</v>
          </cell>
          <cell r="E1657">
            <v>43452</v>
          </cell>
          <cell r="F1657">
            <v>43483</v>
          </cell>
          <cell r="G1657">
            <v>43861</v>
          </cell>
          <cell r="H1657" t="str">
            <v>PRD</v>
          </cell>
          <cell r="I1657" t="str">
            <v>PRD</v>
          </cell>
          <cell r="J1657" t="str">
            <v>HONDA FIT</v>
          </cell>
          <cell r="K1657" t="str">
            <v>HONDA FIT W/H DOOR (RR L DOOR)</v>
          </cell>
          <cell r="L1657" t="str">
            <v>CV 29A</v>
          </cell>
          <cell r="M1657" t="str">
            <v>OJT CIRCUIT SUPPLIER</v>
          </cell>
          <cell r="N1657" t="str">
            <v>INTERNAL TRIAL</v>
          </cell>
          <cell r="O1657" t="str">
            <v>B</v>
          </cell>
        </row>
        <row r="1658">
          <cell r="A1658">
            <v>1081</v>
          </cell>
          <cell r="B1658" t="str">
            <v>SRI PURWANTI</v>
          </cell>
          <cell r="C1658" t="str">
            <v>SAMI</v>
          </cell>
          <cell r="D1658" t="str">
            <v>OPT-27</v>
          </cell>
          <cell r="E1658">
            <v>37887</v>
          </cell>
          <cell r="F1658" t="str">
            <v>-</v>
          </cell>
          <cell r="G1658" t="str">
            <v>-</v>
          </cell>
          <cell r="H1658" t="str">
            <v>PRD</v>
          </cell>
          <cell r="I1658" t="str">
            <v>PRD</v>
          </cell>
          <cell r="J1658" t="str">
            <v>HONDA VEZEL</v>
          </cell>
          <cell r="K1658" t="str">
            <v>HONDA S-CUV W/H RR RL DOOR</v>
          </cell>
          <cell r="L1658" t="str">
            <v>CV 29B</v>
          </cell>
          <cell r="M1658" t="str">
            <v>SUB LINE CHO</v>
          </cell>
          <cell r="N1658" t="str">
            <v>GL</v>
          </cell>
          <cell r="O1658" t="str">
            <v>A (NS)</v>
          </cell>
        </row>
        <row r="1659">
          <cell r="A1659">
            <v>1127</v>
          </cell>
          <cell r="B1659" t="str">
            <v>SUMIYATI</v>
          </cell>
          <cell r="C1659" t="str">
            <v>SAMI</v>
          </cell>
          <cell r="D1659" t="str">
            <v>OPT-28</v>
          </cell>
          <cell r="E1659">
            <v>37900</v>
          </cell>
          <cell r="F1659" t="str">
            <v>-</v>
          </cell>
          <cell r="G1659" t="str">
            <v>-</v>
          </cell>
          <cell r="H1659" t="str">
            <v>PRD</v>
          </cell>
          <cell r="I1659" t="str">
            <v>PRD</v>
          </cell>
          <cell r="J1659" t="str">
            <v>HONDA VEZEL</v>
          </cell>
          <cell r="K1659" t="str">
            <v>HONDA S-CUV W/H RR RL DOOR</v>
          </cell>
          <cell r="L1659" t="str">
            <v>CV 29B</v>
          </cell>
          <cell r="M1659" t="str">
            <v>LQC</v>
          </cell>
          <cell r="N1659" t="str">
            <v>RELIEF</v>
          </cell>
          <cell r="O1659" t="str">
            <v>A (NS)</v>
          </cell>
        </row>
        <row r="1660">
          <cell r="A1660">
            <v>20530</v>
          </cell>
          <cell r="B1660" t="str">
            <v>ROFI'AH</v>
          </cell>
          <cell r="C1660" t="str">
            <v>SAMI</v>
          </cell>
          <cell r="D1660" t="str">
            <v>OPT-504</v>
          </cell>
          <cell r="E1660">
            <v>42634</v>
          </cell>
          <cell r="F1660">
            <v>43132</v>
          </cell>
          <cell r="G1660">
            <v>43496</v>
          </cell>
          <cell r="H1660" t="str">
            <v>PRD</v>
          </cell>
          <cell r="I1660" t="str">
            <v>PRD</v>
          </cell>
          <cell r="J1660" t="str">
            <v>HONDA VEZEL</v>
          </cell>
          <cell r="K1660" t="str">
            <v>HONDA S-CUV W/H RR RL DOOR</v>
          </cell>
          <cell r="L1660" t="str">
            <v>CV 29B</v>
          </cell>
          <cell r="M1660" t="str">
            <v>T/P</v>
          </cell>
          <cell r="N1660" t="str">
            <v>ASSEMBLY</v>
          </cell>
          <cell r="O1660" t="str">
            <v>A (NS)</v>
          </cell>
        </row>
        <row r="1661">
          <cell r="A1661">
            <v>20646</v>
          </cell>
          <cell r="B1661" t="str">
            <v>RUDIYAH SANTI</v>
          </cell>
          <cell r="C1661" t="str">
            <v>SAMI</v>
          </cell>
          <cell r="D1661" t="str">
            <v>OPT-505</v>
          </cell>
          <cell r="E1661">
            <v>42639</v>
          </cell>
          <cell r="F1661">
            <v>43132</v>
          </cell>
          <cell r="G1661">
            <v>43496</v>
          </cell>
          <cell r="H1661" t="str">
            <v>PRD</v>
          </cell>
          <cell r="I1661" t="str">
            <v>PRD</v>
          </cell>
          <cell r="J1661" t="str">
            <v>HONDA VEZEL</v>
          </cell>
          <cell r="K1661" t="str">
            <v>HONDA S-CUV W/H RR RL DOOR</v>
          </cell>
          <cell r="L1661" t="str">
            <v>CV 29B</v>
          </cell>
          <cell r="M1661" t="str">
            <v>J/S</v>
          </cell>
          <cell r="N1661" t="str">
            <v>ASSEMBLY</v>
          </cell>
          <cell r="O1661" t="str">
            <v>A (NS)</v>
          </cell>
        </row>
        <row r="1662">
          <cell r="A1662">
            <v>20724</v>
          </cell>
          <cell r="B1662" t="str">
            <v xml:space="preserve">LUTFATUL KHASANAH </v>
          </cell>
          <cell r="C1662" t="str">
            <v>SAMI</v>
          </cell>
          <cell r="D1662" t="str">
            <v>OPT-506</v>
          </cell>
          <cell r="E1662">
            <v>42642</v>
          </cell>
          <cell r="F1662">
            <v>43132</v>
          </cell>
          <cell r="G1662">
            <v>43496</v>
          </cell>
          <cell r="H1662" t="str">
            <v>PRD</v>
          </cell>
          <cell r="I1662" t="str">
            <v>PRD</v>
          </cell>
          <cell r="J1662" t="str">
            <v>HONDA VEZEL</v>
          </cell>
          <cell r="K1662" t="str">
            <v>HONDA S-CUV W/H RR RL DOOR</v>
          </cell>
          <cell r="L1662" t="str">
            <v>CV 29B</v>
          </cell>
          <cell r="M1662" t="str">
            <v>CIRCUIT SUPPLIER</v>
          </cell>
          <cell r="N1662" t="str">
            <v>CIRCUIT SUPPLY</v>
          </cell>
          <cell r="O1662" t="str">
            <v>A (NS)</v>
          </cell>
        </row>
        <row r="1663">
          <cell r="A1663">
            <v>21404</v>
          </cell>
          <cell r="B1663" t="str">
            <v>NISA MUTIARA ELMA</v>
          </cell>
          <cell r="C1663" t="str">
            <v>SAMI</v>
          </cell>
          <cell r="D1663" t="str">
            <v>OPT-532</v>
          </cell>
          <cell r="E1663">
            <v>43018</v>
          </cell>
          <cell r="F1663">
            <v>43405</v>
          </cell>
          <cell r="G1663">
            <v>43769</v>
          </cell>
          <cell r="H1663" t="str">
            <v>PRD</v>
          </cell>
          <cell r="I1663" t="str">
            <v>PRD</v>
          </cell>
          <cell r="J1663" t="str">
            <v>HONDA VEZEL</v>
          </cell>
          <cell r="K1663" t="str">
            <v>HONDA S-CUV W/H RR RL DOOR</v>
          </cell>
          <cell r="L1663" t="str">
            <v>CV 29B</v>
          </cell>
          <cell r="M1663" t="str">
            <v>S/A</v>
          </cell>
          <cell r="N1663" t="str">
            <v>SUB ASSY</v>
          </cell>
          <cell r="O1663" t="str">
            <v>A (NS)</v>
          </cell>
        </row>
        <row r="1664">
          <cell r="A1664">
            <v>21606</v>
          </cell>
          <cell r="B1664" t="str">
            <v>NUR KHASANAH</v>
          </cell>
          <cell r="C1664" t="str">
            <v>SAMI</v>
          </cell>
          <cell r="D1664" t="str">
            <v>OPT-536</v>
          </cell>
          <cell r="E1664">
            <v>43048</v>
          </cell>
          <cell r="F1664">
            <v>43435</v>
          </cell>
          <cell r="G1664">
            <v>43799</v>
          </cell>
          <cell r="H1664" t="str">
            <v>PRD</v>
          </cell>
          <cell r="I1664" t="str">
            <v>PRD</v>
          </cell>
          <cell r="J1664" t="str">
            <v>HONDA VEZEL</v>
          </cell>
          <cell r="K1664" t="str">
            <v>HONDA S-CUV W/H RR RL DOOR</v>
          </cell>
          <cell r="L1664" t="str">
            <v>CV 29B</v>
          </cell>
          <cell r="M1664" t="str">
            <v>S/T</v>
          </cell>
          <cell r="N1664" t="str">
            <v>ASSEMBLY</v>
          </cell>
          <cell r="O1664" t="str">
            <v>A (NS)</v>
          </cell>
        </row>
        <row r="1665">
          <cell r="A1665">
            <v>21844</v>
          </cell>
          <cell r="B1665" t="str">
            <v>NOVI PRIHATININGSIH</v>
          </cell>
          <cell r="C1665" t="str">
            <v>SAMI</v>
          </cell>
          <cell r="D1665" t="str">
            <v>OPT-541</v>
          </cell>
          <cell r="E1665">
            <v>43098</v>
          </cell>
          <cell r="F1665">
            <v>43129</v>
          </cell>
          <cell r="G1665">
            <v>43496</v>
          </cell>
          <cell r="H1665" t="str">
            <v>PRD</v>
          </cell>
          <cell r="I1665" t="str">
            <v>PRD</v>
          </cell>
          <cell r="J1665" t="str">
            <v>HONDA VEZEL</v>
          </cell>
          <cell r="K1665" t="str">
            <v>HONDA S-CUV W/H RR RL DOOR</v>
          </cell>
          <cell r="L1665" t="str">
            <v>CV 29B</v>
          </cell>
          <cell r="M1665" t="str">
            <v>S/A</v>
          </cell>
          <cell r="N1665" t="str">
            <v>SUB ASSY</v>
          </cell>
          <cell r="O1665" t="str">
            <v>A (NS)</v>
          </cell>
        </row>
        <row r="1666">
          <cell r="A1666">
            <v>21958</v>
          </cell>
          <cell r="B1666" t="str">
            <v>KOLIFAH LISTYANINGRUM</v>
          </cell>
          <cell r="C1666" t="str">
            <v>SAMI</v>
          </cell>
          <cell r="D1666" t="str">
            <v>OPT-545</v>
          </cell>
          <cell r="E1666">
            <v>43116</v>
          </cell>
          <cell r="F1666">
            <v>43147</v>
          </cell>
          <cell r="G1666">
            <v>43524</v>
          </cell>
          <cell r="H1666" t="str">
            <v>PRD</v>
          </cell>
          <cell r="I1666" t="str">
            <v>PRD</v>
          </cell>
          <cell r="J1666" t="str">
            <v>HONDA VEZEL</v>
          </cell>
          <cell r="K1666" t="str">
            <v>HONDA S-CUV W/H RR RL DOOR</v>
          </cell>
          <cell r="L1666" t="str">
            <v>CV 29B</v>
          </cell>
          <cell r="M1666" t="str">
            <v>S/T</v>
          </cell>
          <cell r="N1666" t="str">
            <v>ASSEMBLY</v>
          </cell>
          <cell r="O1666" t="str">
            <v>A (NS)</v>
          </cell>
        </row>
        <row r="1667">
          <cell r="A1667">
            <v>21978</v>
          </cell>
          <cell r="B1667" t="str">
            <v>SANTIKA AYU ANGGRAENI</v>
          </cell>
          <cell r="C1667" t="str">
            <v>SAMI</v>
          </cell>
          <cell r="D1667" t="str">
            <v>OPT-545</v>
          </cell>
          <cell r="E1667">
            <v>43116</v>
          </cell>
          <cell r="F1667">
            <v>43147</v>
          </cell>
          <cell r="G1667">
            <v>43524</v>
          </cell>
          <cell r="H1667" t="str">
            <v>PRD</v>
          </cell>
          <cell r="I1667" t="str">
            <v>PRD</v>
          </cell>
          <cell r="J1667" t="str">
            <v>HONDA VEZEL</v>
          </cell>
          <cell r="K1667" t="str">
            <v>HONDA S-CUV W/H RR RL DOOR</v>
          </cell>
          <cell r="L1667" t="str">
            <v>CV 29B</v>
          </cell>
          <cell r="M1667" t="str">
            <v>S/A</v>
          </cell>
          <cell r="N1667" t="str">
            <v>SUB ASSY</v>
          </cell>
          <cell r="O1667" t="str">
            <v>A (NS)</v>
          </cell>
        </row>
        <row r="1668">
          <cell r="A1668">
            <v>22000</v>
          </cell>
          <cell r="B1668" t="str">
            <v>RISKA FAUZI</v>
          </cell>
          <cell r="C1668" t="str">
            <v>SAMI</v>
          </cell>
          <cell r="D1668" t="str">
            <v>OPT-546</v>
          </cell>
          <cell r="E1668">
            <v>43139</v>
          </cell>
          <cell r="F1668">
            <v>43167</v>
          </cell>
          <cell r="G1668">
            <v>43524</v>
          </cell>
          <cell r="H1668" t="str">
            <v>PRD</v>
          </cell>
          <cell r="I1668" t="str">
            <v>PRD</v>
          </cell>
          <cell r="J1668" t="str">
            <v>HONDA VEZEL</v>
          </cell>
          <cell r="K1668" t="str">
            <v>HONDA S-CUV W/H RR RL DOOR</v>
          </cell>
          <cell r="L1668" t="str">
            <v>CV 29B</v>
          </cell>
          <cell r="M1668" t="str">
            <v>T/P</v>
          </cell>
          <cell r="N1668" t="str">
            <v>ASSEMBLY</v>
          </cell>
          <cell r="O1668" t="str">
            <v>A (NS)</v>
          </cell>
        </row>
        <row r="1669">
          <cell r="A1669">
            <v>22223</v>
          </cell>
          <cell r="B1669" t="str">
            <v>LAILATUL MAGHFIROH</v>
          </cell>
          <cell r="C1669" t="str">
            <v>SAMI</v>
          </cell>
          <cell r="D1669" t="str">
            <v>OPT-551</v>
          </cell>
          <cell r="E1669">
            <v>43161</v>
          </cell>
          <cell r="F1669">
            <v>43192</v>
          </cell>
          <cell r="G1669">
            <v>43555</v>
          </cell>
          <cell r="H1669" t="str">
            <v>PRD</v>
          </cell>
          <cell r="I1669" t="str">
            <v>PRD</v>
          </cell>
          <cell r="J1669" t="str">
            <v>HONDA VEZEL</v>
          </cell>
          <cell r="K1669" t="str">
            <v>HONDA S-CUV W/H RR RL DOOR</v>
          </cell>
          <cell r="L1669" t="str">
            <v>CV 29B</v>
          </cell>
          <cell r="M1669" t="str">
            <v>CHECKER</v>
          </cell>
          <cell r="N1669" t="str">
            <v>ELECTRICAL INSPECTION</v>
          </cell>
          <cell r="O1669" t="str">
            <v>A (NS)</v>
          </cell>
        </row>
        <row r="1670">
          <cell r="A1670">
            <v>22795</v>
          </cell>
          <cell r="B1670" t="str">
            <v>SITI SULASIH</v>
          </cell>
          <cell r="C1670" t="str">
            <v>SAMI</v>
          </cell>
          <cell r="D1670" t="str">
            <v>OPT-565</v>
          </cell>
          <cell r="E1670">
            <v>43283</v>
          </cell>
          <cell r="F1670">
            <v>43314</v>
          </cell>
          <cell r="G1670">
            <v>43677</v>
          </cell>
          <cell r="H1670" t="str">
            <v>PRD</v>
          </cell>
          <cell r="I1670" t="str">
            <v>PRD</v>
          </cell>
          <cell r="J1670" t="str">
            <v>HONDA VEZEL</v>
          </cell>
          <cell r="K1670" t="str">
            <v>HONDA S-CUV W/H RR RL DOOR</v>
          </cell>
          <cell r="L1670" t="str">
            <v>CV 29B</v>
          </cell>
          <cell r="M1670" t="str">
            <v>S/T</v>
          </cell>
          <cell r="N1670" t="str">
            <v>ASSEMBLY</v>
          </cell>
          <cell r="O1670" t="str">
            <v>A (NS)</v>
          </cell>
        </row>
        <row r="1671">
          <cell r="A1671">
            <v>22911</v>
          </cell>
          <cell r="B1671" t="str">
            <v>ATIK KHODARIYAH</v>
          </cell>
          <cell r="C1671" t="str">
            <v>SAMI</v>
          </cell>
          <cell r="D1671" t="str">
            <v>OPT-568</v>
          </cell>
          <cell r="E1671">
            <v>43343</v>
          </cell>
          <cell r="F1671">
            <v>43374</v>
          </cell>
          <cell r="G1671">
            <v>43738</v>
          </cell>
          <cell r="H1671" t="str">
            <v>PRD</v>
          </cell>
          <cell r="I1671" t="str">
            <v>PRD</v>
          </cell>
          <cell r="J1671" t="str">
            <v>HONDA VEZEL</v>
          </cell>
          <cell r="K1671" t="str">
            <v>HONDA S-CUV W/H RR RL DOOR</v>
          </cell>
          <cell r="L1671" t="str">
            <v>CV 29B</v>
          </cell>
          <cell r="M1671" t="str">
            <v>CHECKER</v>
          </cell>
          <cell r="N1671" t="str">
            <v>ELECTRICAL INSPECTION</v>
          </cell>
          <cell r="O1671" t="str">
            <v>A (NS)</v>
          </cell>
        </row>
        <row r="1672">
          <cell r="A1672">
            <v>22925</v>
          </cell>
          <cell r="B1672" t="str">
            <v>EPI PUJIHARTI</v>
          </cell>
          <cell r="C1672" t="str">
            <v>SAMI</v>
          </cell>
          <cell r="D1672" t="str">
            <v>OPT-568</v>
          </cell>
          <cell r="E1672">
            <v>43343</v>
          </cell>
          <cell r="F1672">
            <v>43374</v>
          </cell>
          <cell r="G1672">
            <v>43738</v>
          </cell>
          <cell r="H1672" t="str">
            <v>PRD</v>
          </cell>
          <cell r="I1672" t="str">
            <v>PRD</v>
          </cell>
          <cell r="J1672" t="str">
            <v>HONDA VEZEL</v>
          </cell>
          <cell r="K1672" t="str">
            <v>HONDA S-CUV W/H RR RL DOOR</v>
          </cell>
          <cell r="L1672" t="str">
            <v>CV 29B</v>
          </cell>
          <cell r="M1672" t="str">
            <v>T/P</v>
          </cell>
          <cell r="N1672" t="str">
            <v>ASSEMBLY</v>
          </cell>
          <cell r="O1672" t="str">
            <v>A (NS)</v>
          </cell>
        </row>
        <row r="1673">
          <cell r="A1673">
            <v>23218</v>
          </cell>
          <cell r="B1673" t="str">
            <v>ELLY KARTIKA</v>
          </cell>
          <cell r="C1673" t="str">
            <v>SAMI</v>
          </cell>
          <cell r="D1673" t="str">
            <v>OPT-573</v>
          </cell>
          <cell r="E1673">
            <v>43421</v>
          </cell>
          <cell r="F1673">
            <v>43451</v>
          </cell>
          <cell r="G1673">
            <v>43830</v>
          </cell>
          <cell r="H1673" t="str">
            <v>PRD</v>
          </cell>
          <cell r="I1673" t="str">
            <v>PRD</v>
          </cell>
          <cell r="J1673" t="str">
            <v>HONDA VEZEL</v>
          </cell>
          <cell r="K1673" t="str">
            <v>HONDA S-CUV W/H RR RL DOOR</v>
          </cell>
          <cell r="L1673" t="str">
            <v>CV 29B</v>
          </cell>
          <cell r="M1673" t="str">
            <v>J/S</v>
          </cell>
          <cell r="N1673" t="str">
            <v>ASSEMBLY</v>
          </cell>
          <cell r="O1673" t="str">
            <v>A (NS)</v>
          </cell>
        </row>
        <row r="1674">
          <cell r="A1674">
            <v>23573</v>
          </cell>
          <cell r="B1674" t="str">
            <v>MILA MINATUL AFIFAH</v>
          </cell>
          <cell r="C1674" t="str">
            <v>SAMI</v>
          </cell>
          <cell r="D1674" t="str">
            <v>OPT-577</v>
          </cell>
          <cell r="E1674">
            <v>43452</v>
          </cell>
          <cell r="F1674">
            <v>43483</v>
          </cell>
          <cell r="G1674">
            <v>43861</v>
          </cell>
          <cell r="H1674" t="str">
            <v>PRD</v>
          </cell>
          <cell r="I1674" t="str">
            <v>PRD</v>
          </cell>
          <cell r="J1674" t="str">
            <v>HONDA VEZEL</v>
          </cell>
          <cell r="K1674" t="str">
            <v>HONDA S-CUV W/H RR RL DOOR</v>
          </cell>
          <cell r="L1674" t="str">
            <v>CV 29B</v>
          </cell>
          <cell r="M1674" t="str">
            <v>OJT J/S</v>
          </cell>
          <cell r="N1674" t="str">
            <v>INTERNAL TRIAL</v>
          </cell>
          <cell r="O1674" t="str">
            <v>A (NS)</v>
          </cell>
        </row>
        <row r="1675">
          <cell r="A1675">
            <v>23576</v>
          </cell>
          <cell r="B1675" t="str">
            <v>MUJAWAROH</v>
          </cell>
          <cell r="C1675" t="str">
            <v>SAMI</v>
          </cell>
          <cell r="D1675" t="str">
            <v>OPT-577</v>
          </cell>
          <cell r="E1675">
            <v>43452</v>
          </cell>
          <cell r="F1675">
            <v>43483</v>
          </cell>
          <cell r="G1675">
            <v>43861</v>
          </cell>
          <cell r="H1675" t="str">
            <v>PRD</v>
          </cell>
          <cell r="I1675" t="str">
            <v>PRD</v>
          </cell>
          <cell r="J1675" t="str">
            <v>HONDA VEZEL</v>
          </cell>
          <cell r="K1675" t="str">
            <v>HONDA S-CUV W/H RR RL DOOR</v>
          </cell>
          <cell r="L1675" t="str">
            <v>CV 29B</v>
          </cell>
          <cell r="M1675" t="str">
            <v>OJT T/P</v>
          </cell>
          <cell r="N1675" t="str">
            <v>INTERNAL TRIAL</v>
          </cell>
          <cell r="O1675" t="str">
            <v>A (NS)</v>
          </cell>
        </row>
        <row r="1676">
          <cell r="A1676">
            <v>23577</v>
          </cell>
          <cell r="B1676" t="str">
            <v>NUROTUL AZIZAH</v>
          </cell>
          <cell r="C1676" t="str">
            <v>SAMI</v>
          </cell>
          <cell r="D1676" t="str">
            <v>OPT-577</v>
          </cell>
          <cell r="E1676">
            <v>43452</v>
          </cell>
          <cell r="F1676">
            <v>43483</v>
          </cell>
          <cell r="G1676">
            <v>43861</v>
          </cell>
          <cell r="H1676" t="str">
            <v>PRD</v>
          </cell>
          <cell r="I1676" t="str">
            <v>PRD</v>
          </cell>
          <cell r="J1676" t="str">
            <v>HONDA VEZEL</v>
          </cell>
          <cell r="K1676" t="str">
            <v>HONDA S-CUV W/H RR RL DOOR</v>
          </cell>
          <cell r="L1676" t="str">
            <v>CV 29B</v>
          </cell>
          <cell r="M1676" t="str">
            <v>OJT CIRCUIT SUPPLIER</v>
          </cell>
          <cell r="N1676" t="str">
            <v>INTERNAL TRIAL</v>
          </cell>
          <cell r="O1676" t="str">
            <v>A (NS)</v>
          </cell>
        </row>
        <row r="1677">
          <cell r="A1677">
            <v>10616</v>
          </cell>
          <cell r="B1677" t="str">
            <v>TITIK IKAWATI</v>
          </cell>
          <cell r="C1677" t="str">
            <v>SAMI</v>
          </cell>
          <cell r="D1677" t="str">
            <v>OPT-276</v>
          </cell>
          <cell r="E1677">
            <v>40544</v>
          </cell>
          <cell r="F1677" t="str">
            <v>-</v>
          </cell>
          <cell r="G1677" t="str">
            <v>-</v>
          </cell>
          <cell r="H1677" t="str">
            <v>PRD</v>
          </cell>
          <cell r="I1677" t="str">
            <v>PRD</v>
          </cell>
          <cell r="J1677" t="str">
            <v>HONDA ACCURA</v>
          </cell>
          <cell r="K1677" t="str">
            <v>HONDA 5WBA HARN A.T/MISS</v>
          </cell>
          <cell r="L1677" t="str">
            <v>CV 30</v>
          </cell>
          <cell r="M1677" t="str">
            <v>SUB LINE CHO</v>
          </cell>
          <cell r="N1677" t="str">
            <v>GL</v>
          </cell>
          <cell r="O1677" t="str">
            <v>A (NS)</v>
          </cell>
        </row>
        <row r="1678">
          <cell r="A1678">
            <v>12387</v>
          </cell>
          <cell r="B1678" t="str">
            <v>NOVI ANASARI</v>
          </cell>
          <cell r="C1678" t="str">
            <v>SAMI</v>
          </cell>
          <cell r="D1678" t="str">
            <v>OPT-317</v>
          </cell>
          <cell r="E1678">
            <v>40809</v>
          </cell>
          <cell r="F1678" t="str">
            <v>-</v>
          </cell>
          <cell r="G1678" t="str">
            <v>-</v>
          </cell>
          <cell r="H1678" t="str">
            <v>PRD</v>
          </cell>
          <cell r="I1678" t="str">
            <v>PRD</v>
          </cell>
          <cell r="J1678" t="str">
            <v>HONDA ACCURA</v>
          </cell>
          <cell r="K1678" t="str">
            <v>HONDA 5WBA HARN A.T/MISS</v>
          </cell>
          <cell r="L1678" t="str">
            <v>CV 30</v>
          </cell>
          <cell r="M1678" t="str">
            <v>VISUAL</v>
          </cell>
          <cell r="N1678" t="str">
            <v>VISUAL INSPECTION</v>
          </cell>
          <cell r="O1678" t="str">
            <v>A (NS)</v>
          </cell>
        </row>
        <row r="1679">
          <cell r="A1679">
            <v>12798</v>
          </cell>
          <cell r="B1679" t="str">
            <v>ACHMAD ANDY MURSALIM</v>
          </cell>
          <cell r="C1679" t="str">
            <v>SAMI</v>
          </cell>
          <cell r="D1679" t="str">
            <v>OPT-321</v>
          </cell>
          <cell r="E1679">
            <v>40826</v>
          </cell>
          <cell r="F1679" t="str">
            <v>-</v>
          </cell>
          <cell r="G1679" t="str">
            <v>-</v>
          </cell>
          <cell r="H1679" t="str">
            <v>PRD</v>
          </cell>
          <cell r="I1679" t="str">
            <v>PRD</v>
          </cell>
          <cell r="J1679" t="str">
            <v>HONDA ACCURA</v>
          </cell>
          <cell r="K1679" t="str">
            <v>HONDA 5WBA HARN A.T/MISS</v>
          </cell>
          <cell r="L1679" t="str">
            <v>CV 30</v>
          </cell>
          <cell r="M1679" t="str">
            <v>LQC</v>
          </cell>
          <cell r="N1679" t="str">
            <v>RELIEF</v>
          </cell>
          <cell r="O1679" t="str">
            <v>A (NS)</v>
          </cell>
        </row>
        <row r="1680">
          <cell r="A1680">
            <v>13509</v>
          </cell>
          <cell r="B1680" t="str">
            <v>RAGIL SURYANI</v>
          </cell>
          <cell r="C1680" t="str">
            <v>SAMI</v>
          </cell>
          <cell r="D1680" t="str">
            <v>OPT-339</v>
          </cell>
          <cell r="E1680">
            <v>40945</v>
          </cell>
          <cell r="F1680" t="str">
            <v>-</v>
          </cell>
          <cell r="G1680" t="str">
            <v>-</v>
          </cell>
          <cell r="H1680" t="str">
            <v>PRD</v>
          </cell>
          <cell r="I1680" t="str">
            <v>PRD</v>
          </cell>
          <cell r="J1680" t="str">
            <v>HONDA ACCURA</v>
          </cell>
          <cell r="K1680" t="str">
            <v>HONDA 5WBA HARN A.T/MISS</v>
          </cell>
          <cell r="L1680" t="str">
            <v>CV 30</v>
          </cell>
          <cell r="M1680" t="str">
            <v>S/A</v>
          </cell>
          <cell r="N1680" t="str">
            <v>SUB ASSY</v>
          </cell>
          <cell r="O1680" t="str">
            <v>A (NS)</v>
          </cell>
        </row>
        <row r="1681">
          <cell r="A1681">
            <v>21762</v>
          </cell>
          <cell r="B1681" t="str">
            <v>DESI RISKIYANI</v>
          </cell>
          <cell r="C1681" t="str">
            <v>SAMI</v>
          </cell>
          <cell r="D1681" t="str">
            <v>OPT-540</v>
          </cell>
          <cell r="E1681">
            <v>43090</v>
          </cell>
          <cell r="F1681">
            <v>43121</v>
          </cell>
          <cell r="G1681">
            <v>43496</v>
          </cell>
          <cell r="H1681" t="str">
            <v>PRD</v>
          </cell>
          <cell r="I1681" t="str">
            <v>PRD</v>
          </cell>
          <cell r="J1681" t="str">
            <v>HONDA ACCURA</v>
          </cell>
          <cell r="K1681" t="str">
            <v>HONDA 5WBA HARN A.T/MISS</v>
          </cell>
          <cell r="L1681" t="str">
            <v>CV 30</v>
          </cell>
          <cell r="M1681" t="str">
            <v>T/P</v>
          </cell>
          <cell r="N1681" t="str">
            <v>ASSEMBLY</v>
          </cell>
          <cell r="O1681" t="str">
            <v>A (NS)</v>
          </cell>
        </row>
        <row r="1682">
          <cell r="A1682">
            <v>22123</v>
          </cell>
          <cell r="B1682" t="str">
            <v>DWI WIDYANINGRUM</v>
          </cell>
          <cell r="C1682" t="str">
            <v>SAMI</v>
          </cell>
          <cell r="D1682" t="str">
            <v>OPT-549</v>
          </cell>
          <cell r="E1682">
            <v>43153</v>
          </cell>
          <cell r="F1682">
            <v>43181</v>
          </cell>
          <cell r="G1682">
            <v>43555</v>
          </cell>
          <cell r="H1682" t="str">
            <v>PRD</v>
          </cell>
          <cell r="I1682" t="str">
            <v>PRD</v>
          </cell>
          <cell r="J1682" t="str">
            <v>HONDA ACCURA</v>
          </cell>
          <cell r="K1682" t="str">
            <v>HONDA 5WBA HARN A.T/MISS</v>
          </cell>
          <cell r="L1682" t="str">
            <v>CV 30</v>
          </cell>
          <cell r="M1682" t="str">
            <v>S/T</v>
          </cell>
          <cell r="N1682" t="str">
            <v>ASSEMBLY</v>
          </cell>
          <cell r="O1682" t="str">
            <v>A (NS)</v>
          </cell>
        </row>
        <row r="1683">
          <cell r="A1683">
            <v>22162</v>
          </cell>
          <cell r="B1683" t="str">
            <v>WIDYANNITA NYLAM CAHAYA</v>
          </cell>
          <cell r="C1683" t="str">
            <v>SAMI</v>
          </cell>
          <cell r="D1683" t="str">
            <v>OPT-549</v>
          </cell>
          <cell r="E1683">
            <v>43153</v>
          </cell>
          <cell r="F1683">
            <v>43181</v>
          </cell>
          <cell r="G1683">
            <v>43555</v>
          </cell>
          <cell r="H1683" t="str">
            <v>PRD</v>
          </cell>
          <cell r="I1683" t="str">
            <v>PRD</v>
          </cell>
          <cell r="J1683" t="str">
            <v>HONDA ACCURA</v>
          </cell>
          <cell r="K1683" t="str">
            <v>HONDA 5WBA HARN A.T/MISS</v>
          </cell>
          <cell r="L1683" t="str">
            <v>CV 30</v>
          </cell>
          <cell r="M1683" t="str">
            <v>S/A</v>
          </cell>
          <cell r="N1683" t="str">
            <v>SUB ASSY</v>
          </cell>
          <cell r="O1683" t="str">
            <v>A (NS)</v>
          </cell>
        </row>
        <row r="1684">
          <cell r="A1684">
            <v>22197</v>
          </cell>
          <cell r="B1684" t="str">
            <v>SEPTIANA</v>
          </cell>
          <cell r="C1684" t="str">
            <v>SAMI</v>
          </cell>
          <cell r="D1684" t="str">
            <v>OPT-550</v>
          </cell>
          <cell r="E1684">
            <v>43158</v>
          </cell>
          <cell r="F1684">
            <v>43186</v>
          </cell>
          <cell r="G1684">
            <v>43555</v>
          </cell>
          <cell r="H1684" t="str">
            <v>PRD</v>
          </cell>
          <cell r="I1684" t="str">
            <v>PRD</v>
          </cell>
          <cell r="J1684" t="str">
            <v>HONDA ACCURA</v>
          </cell>
          <cell r="K1684" t="str">
            <v>HONDA 5WBA HARN A.T/MISS</v>
          </cell>
          <cell r="L1684" t="str">
            <v>CV 30</v>
          </cell>
          <cell r="M1684" t="str">
            <v>T/P</v>
          </cell>
          <cell r="N1684" t="str">
            <v>ASSEMBLY</v>
          </cell>
          <cell r="O1684" t="str">
            <v>A (NS)</v>
          </cell>
        </row>
        <row r="1685">
          <cell r="A1685">
            <v>22800</v>
          </cell>
          <cell r="B1685" t="str">
            <v>YOGI SAPUTRA</v>
          </cell>
          <cell r="C1685" t="str">
            <v>SAMI</v>
          </cell>
          <cell r="D1685" t="str">
            <v>OPT-565</v>
          </cell>
          <cell r="E1685">
            <v>43283</v>
          </cell>
          <cell r="F1685">
            <v>43314</v>
          </cell>
          <cell r="G1685">
            <v>43677</v>
          </cell>
          <cell r="H1685" t="str">
            <v>PRD</v>
          </cell>
          <cell r="I1685" t="str">
            <v>PRD</v>
          </cell>
          <cell r="J1685" t="str">
            <v>HONDA ACCURA</v>
          </cell>
          <cell r="K1685" t="str">
            <v>HONDA 5WBA HARN A.T/MISS</v>
          </cell>
          <cell r="L1685" t="str">
            <v>CV 30</v>
          </cell>
          <cell r="M1685" t="str">
            <v>PROTECTOR</v>
          </cell>
          <cell r="N1685" t="str">
            <v>ASSEMBLY</v>
          </cell>
          <cell r="O1685" t="str">
            <v>A (NS)</v>
          </cell>
        </row>
        <row r="1686">
          <cell r="A1686">
            <v>23217</v>
          </cell>
          <cell r="B1686" t="str">
            <v>EGA NUR ZULAEKHA</v>
          </cell>
          <cell r="C1686" t="str">
            <v>SAMI</v>
          </cell>
          <cell r="D1686" t="str">
            <v>OPT-573</v>
          </cell>
          <cell r="E1686">
            <v>43421</v>
          </cell>
          <cell r="F1686">
            <v>43451</v>
          </cell>
          <cell r="G1686">
            <v>43830</v>
          </cell>
          <cell r="H1686" t="str">
            <v>PRD</v>
          </cell>
          <cell r="I1686" t="str">
            <v>PRD</v>
          </cell>
          <cell r="J1686" t="str">
            <v>HONDA ACCURA</v>
          </cell>
          <cell r="K1686" t="str">
            <v>HONDA 5WBA HARN A.T/MISS</v>
          </cell>
          <cell r="L1686" t="str">
            <v>CV 30</v>
          </cell>
          <cell r="M1686" t="str">
            <v>T/P 2</v>
          </cell>
          <cell r="N1686" t="str">
            <v>ASSEMBLY</v>
          </cell>
          <cell r="O1686" t="str">
            <v>A (NS)</v>
          </cell>
        </row>
        <row r="1687">
          <cell r="A1687">
            <v>23356</v>
          </cell>
          <cell r="B1687" t="str">
            <v>SELVI OKTAVIANI</v>
          </cell>
          <cell r="C1687" t="str">
            <v>SAMI</v>
          </cell>
          <cell r="D1687" t="str">
            <v>OPT-574</v>
          </cell>
          <cell r="E1687">
            <v>43427</v>
          </cell>
          <cell r="F1687">
            <v>43457</v>
          </cell>
          <cell r="G1687">
            <v>43830</v>
          </cell>
          <cell r="H1687" t="str">
            <v>PRD</v>
          </cell>
          <cell r="I1687" t="str">
            <v>PRD</v>
          </cell>
          <cell r="J1687" t="str">
            <v>HONDA ACCURA</v>
          </cell>
          <cell r="K1687" t="str">
            <v>HONDA 5WBA HARN A.T/MISS</v>
          </cell>
          <cell r="L1687" t="str">
            <v>CV 30</v>
          </cell>
          <cell r="M1687" t="str">
            <v>CIRCUIT SUPPLIER</v>
          </cell>
          <cell r="N1687" t="str">
            <v>CIRCUIT SUPPLY</v>
          </cell>
          <cell r="O1687" t="str">
            <v>A (NS)</v>
          </cell>
        </row>
        <row r="1688">
          <cell r="A1688">
            <v>23483</v>
          </cell>
          <cell r="B1688" t="str">
            <v>VITA MAULINA</v>
          </cell>
          <cell r="C1688" t="str">
            <v>SAMI</v>
          </cell>
          <cell r="D1688" t="str">
            <v>OPT-575</v>
          </cell>
          <cell r="E1688">
            <v>43434</v>
          </cell>
          <cell r="F1688">
            <v>43464</v>
          </cell>
          <cell r="G1688">
            <v>43830</v>
          </cell>
          <cell r="H1688" t="str">
            <v>PRD</v>
          </cell>
          <cell r="I1688" t="str">
            <v>PRD</v>
          </cell>
          <cell r="J1688" t="str">
            <v>HONDA ACCURA</v>
          </cell>
          <cell r="K1688" t="str">
            <v>HONDA 5WBA HARN A.T/MISS</v>
          </cell>
          <cell r="L1688" t="str">
            <v>CV 30</v>
          </cell>
          <cell r="M1688" t="str">
            <v>CHECKER</v>
          </cell>
          <cell r="N1688" t="str">
            <v>ELECTRICAL INSPECTION</v>
          </cell>
          <cell r="O1688" t="str">
            <v>A (NS)</v>
          </cell>
        </row>
        <row r="1689">
          <cell r="A1689">
            <v>23497</v>
          </cell>
          <cell r="B1689" t="str">
            <v>DEWI SETYONINGSIH</v>
          </cell>
          <cell r="C1689" t="str">
            <v>SAMI</v>
          </cell>
          <cell r="D1689" t="str">
            <v>OPT-576</v>
          </cell>
          <cell r="E1689">
            <v>43441</v>
          </cell>
          <cell r="F1689">
            <v>43472</v>
          </cell>
          <cell r="G1689">
            <v>43830</v>
          </cell>
          <cell r="H1689" t="str">
            <v>PRD</v>
          </cell>
          <cell r="I1689" t="str">
            <v>PRD</v>
          </cell>
          <cell r="J1689" t="str">
            <v>HONDA ACCURA</v>
          </cell>
          <cell r="K1689" t="str">
            <v>HONDA 5WBA HARN A.T/MISS</v>
          </cell>
          <cell r="L1689" t="str">
            <v>CV 30</v>
          </cell>
          <cell r="M1689" t="str">
            <v>MATERIAL SUPPLY</v>
          </cell>
          <cell r="N1689" t="str">
            <v>MATERIAL SUPPLY</v>
          </cell>
          <cell r="O1689" t="str">
            <v>A (NS)</v>
          </cell>
        </row>
        <row r="1690">
          <cell r="A1690">
            <v>23539</v>
          </cell>
          <cell r="B1690" t="str">
            <v>ANIQ DJIHAN FURAIDA</v>
          </cell>
          <cell r="C1690" t="str">
            <v>SAMI</v>
          </cell>
          <cell r="D1690" t="str">
            <v>OPT-577</v>
          </cell>
          <cell r="E1690">
            <v>43452</v>
          </cell>
          <cell r="F1690">
            <v>43483</v>
          </cell>
          <cell r="G1690">
            <v>43861</v>
          </cell>
          <cell r="H1690" t="str">
            <v>PRD</v>
          </cell>
          <cell r="I1690" t="str">
            <v>PRD</v>
          </cell>
          <cell r="J1690" t="str">
            <v>HONDA ACCURA</v>
          </cell>
          <cell r="K1690" t="str">
            <v>HONDA 5WBA HARN A.T/MISS</v>
          </cell>
          <cell r="L1690" t="str">
            <v>CV 30</v>
          </cell>
          <cell r="M1690" t="str">
            <v>S/A</v>
          </cell>
          <cell r="N1690" t="str">
            <v>SUB ASSY</v>
          </cell>
          <cell r="O1690" t="str">
            <v>A (NS)</v>
          </cell>
        </row>
        <row r="1691">
          <cell r="A1691">
            <v>378</v>
          </cell>
          <cell r="B1691" t="str">
            <v>MARINA</v>
          </cell>
          <cell r="C1691" t="str">
            <v>SAMI</v>
          </cell>
          <cell r="D1691" t="str">
            <v>OPT-10</v>
          </cell>
          <cell r="E1691">
            <v>37732</v>
          </cell>
          <cell r="F1691" t="str">
            <v>-</v>
          </cell>
          <cell r="G1691" t="str">
            <v>-</v>
          </cell>
          <cell r="H1691" t="str">
            <v>PRD</v>
          </cell>
          <cell r="I1691" t="str">
            <v>PRD</v>
          </cell>
          <cell r="J1691" t="str">
            <v>HONDA FREED</v>
          </cell>
          <cell r="K1691" t="str">
            <v>HONDA FREED W/H FLOOR</v>
          </cell>
          <cell r="L1691" t="str">
            <v>CV 4</v>
          </cell>
          <cell r="M1691" t="str">
            <v>SUB LINE CHO</v>
          </cell>
          <cell r="N1691" t="str">
            <v>GL</v>
          </cell>
          <cell r="O1691" t="str">
            <v>A</v>
          </cell>
        </row>
        <row r="1692">
          <cell r="A1692">
            <v>8766</v>
          </cell>
          <cell r="B1692" t="str">
            <v>BEKTI LARASATI</v>
          </cell>
          <cell r="C1692" t="str">
            <v>SAMI</v>
          </cell>
          <cell r="D1692" t="str">
            <v>OPT-194</v>
          </cell>
          <cell r="E1692">
            <v>39931</v>
          </cell>
          <cell r="F1692" t="str">
            <v>-</v>
          </cell>
          <cell r="G1692" t="str">
            <v>-</v>
          </cell>
          <cell r="H1692" t="str">
            <v>PRD</v>
          </cell>
          <cell r="I1692" t="str">
            <v>PRD</v>
          </cell>
          <cell r="J1692" t="str">
            <v>HONDA FREED</v>
          </cell>
          <cell r="K1692" t="str">
            <v>HONDA FREED W/H FLOOR</v>
          </cell>
          <cell r="L1692" t="str">
            <v>CV 4</v>
          </cell>
          <cell r="M1692" t="str">
            <v>PROTECTOR 2</v>
          </cell>
          <cell r="N1692" t="str">
            <v>ASSEMBLY</v>
          </cell>
          <cell r="O1692" t="str">
            <v>A</v>
          </cell>
        </row>
        <row r="1693">
          <cell r="A1693">
            <v>8790</v>
          </cell>
          <cell r="B1693" t="str">
            <v>RINI ASTUTI</v>
          </cell>
          <cell r="C1693" t="str">
            <v>SAMI</v>
          </cell>
          <cell r="D1693" t="str">
            <v>OPT-194</v>
          </cell>
          <cell r="E1693">
            <v>39931</v>
          </cell>
          <cell r="F1693" t="str">
            <v>-</v>
          </cell>
          <cell r="G1693" t="str">
            <v>-</v>
          </cell>
          <cell r="H1693" t="str">
            <v>PRD</v>
          </cell>
          <cell r="I1693" t="str">
            <v>PRD</v>
          </cell>
          <cell r="J1693" t="str">
            <v>HONDA FREED</v>
          </cell>
          <cell r="K1693" t="str">
            <v>HONDA FREED W/H FLOOR</v>
          </cell>
          <cell r="L1693" t="str">
            <v>CV 4</v>
          </cell>
          <cell r="M1693" t="str">
            <v>S/T 2</v>
          </cell>
          <cell r="N1693" t="str">
            <v>ASSEMBLY</v>
          </cell>
          <cell r="O1693" t="str">
            <v>A</v>
          </cell>
        </row>
        <row r="1694">
          <cell r="A1694">
            <v>10082</v>
          </cell>
          <cell r="B1694" t="str">
            <v>DURORUL ALIYAH</v>
          </cell>
          <cell r="C1694" t="str">
            <v>SAMI</v>
          </cell>
          <cell r="D1694" t="str">
            <v>OPT-248</v>
          </cell>
          <cell r="E1694">
            <v>40444</v>
          </cell>
          <cell r="F1694" t="str">
            <v>-</v>
          </cell>
          <cell r="G1694" t="str">
            <v>-</v>
          </cell>
          <cell r="H1694" t="str">
            <v>PRD</v>
          </cell>
          <cell r="I1694" t="str">
            <v>PRD</v>
          </cell>
          <cell r="J1694" t="str">
            <v>HONDA FREED</v>
          </cell>
          <cell r="K1694" t="str">
            <v>HONDA FREED W/H FLOOR</v>
          </cell>
          <cell r="L1694" t="str">
            <v>CV 4</v>
          </cell>
          <cell r="M1694" t="str">
            <v>VISUAL</v>
          </cell>
          <cell r="N1694" t="str">
            <v>VISUAL INSPECTION</v>
          </cell>
          <cell r="O1694" t="str">
            <v>A</v>
          </cell>
        </row>
        <row r="1695">
          <cell r="A1695">
            <v>10130</v>
          </cell>
          <cell r="B1695" t="str">
            <v>USWATUN KHASANAH</v>
          </cell>
          <cell r="C1695" t="str">
            <v>SAMI</v>
          </cell>
          <cell r="D1695" t="str">
            <v>OPT-248</v>
          </cell>
          <cell r="E1695">
            <v>40444</v>
          </cell>
          <cell r="F1695" t="str">
            <v>-</v>
          </cell>
          <cell r="G1695" t="str">
            <v>-</v>
          </cell>
          <cell r="H1695" t="str">
            <v>PRD</v>
          </cell>
          <cell r="I1695" t="str">
            <v>PRD</v>
          </cell>
          <cell r="J1695" t="str">
            <v>HONDA FREED</v>
          </cell>
          <cell r="K1695" t="str">
            <v>HONDA FREED W/H FLOOR</v>
          </cell>
          <cell r="L1695" t="str">
            <v>CV 4</v>
          </cell>
          <cell r="M1695" t="str">
            <v>T/P 1.2</v>
          </cell>
          <cell r="N1695" t="str">
            <v>ASSEMBLY</v>
          </cell>
          <cell r="O1695" t="str">
            <v>A</v>
          </cell>
        </row>
        <row r="1696">
          <cell r="A1696">
            <v>10850</v>
          </cell>
          <cell r="B1696" t="str">
            <v>RANY SORAYA</v>
          </cell>
          <cell r="C1696" t="str">
            <v>SAMI</v>
          </cell>
          <cell r="D1696" t="str">
            <v>OPT-283</v>
          </cell>
          <cell r="E1696">
            <v>40572</v>
          </cell>
          <cell r="F1696" t="str">
            <v>-</v>
          </cell>
          <cell r="G1696" t="str">
            <v>-</v>
          </cell>
          <cell r="H1696" t="str">
            <v>PRD</v>
          </cell>
          <cell r="I1696" t="str">
            <v>PRD</v>
          </cell>
          <cell r="J1696" t="str">
            <v>HONDA FREED</v>
          </cell>
          <cell r="K1696" t="str">
            <v>HONDA FREED W/H FLOOR</v>
          </cell>
          <cell r="L1696" t="str">
            <v>CV 4</v>
          </cell>
          <cell r="M1696" t="str">
            <v>S/A 4</v>
          </cell>
          <cell r="N1696" t="str">
            <v>SUB ASSY</v>
          </cell>
          <cell r="O1696" t="str">
            <v>A</v>
          </cell>
        </row>
        <row r="1697">
          <cell r="A1697">
            <v>11275</v>
          </cell>
          <cell r="B1697" t="str">
            <v>SULISTIOWATI</v>
          </cell>
          <cell r="C1697" t="str">
            <v>SAMI</v>
          </cell>
          <cell r="D1697" t="str">
            <v>OPT-294</v>
          </cell>
          <cell r="E1697">
            <v>40617</v>
          </cell>
          <cell r="F1697" t="str">
            <v>-</v>
          </cell>
          <cell r="G1697" t="str">
            <v>-</v>
          </cell>
          <cell r="H1697" t="str">
            <v>PRD</v>
          </cell>
          <cell r="I1697" t="str">
            <v>PRD</v>
          </cell>
          <cell r="J1697" t="str">
            <v>HONDA FREED</v>
          </cell>
          <cell r="K1697" t="str">
            <v>HONDA FREED W/H FLOOR</v>
          </cell>
          <cell r="L1697" t="str">
            <v>CV 4</v>
          </cell>
          <cell r="M1697" t="str">
            <v>T/P 4.3</v>
          </cell>
          <cell r="N1697" t="str">
            <v>ASSEMBLY</v>
          </cell>
          <cell r="O1697" t="str">
            <v>A</v>
          </cell>
        </row>
        <row r="1698">
          <cell r="A1698">
            <v>11313</v>
          </cell>
          <cell r="B1698" t="str">
            <v>SARINI</v>
          </cell>
          <cell r="C1698" t="str">
            <v>SAMI</v>
          </cell>
          <cell r="D1698" t="str">
            <v>OPT-298</v>
          </cell>
          <cell r="E1698">
            <v>40653</v>
          </cell>
          <cell r="F1698" t="str">
            <v>-</v>
          </cell>
          <cell r="G1698" t="str">
            <v>-</v>
          </cell>
          <cell r="H1698" t="str">
            <v>PRD</v>
          </cell>
          <cell r="I1698" t="str">
            <v>PRD</v>
          </cell>
          <cell r="J1698" t="str">
            <v>HONDA FREED</v>
          </cell>
          <cell r="K1698" t="str">
            <v>HONDA FREED W/H FLOOR</v>
          </cell>
          <cell r="L1698" t="str">
            <v>CV 4</v>
          </cell>
          <cell r="M1698" t="str">
            <v>T/P 5.2</v>
          </cell>
          <cell r="N1698" t="str">
            <v>ASSEMBLY</v>
          </cell>
          <cell r="O1698" t="str">
            <v>A</v>
          </cell>
        </row>
        <row r="1699">
          <cell r="A1699">
            <v>11357</v>
          </cell>
          <cell r="B1699" t="str">
            <v>SISKA WIJAYANTI</v>
          </cell>
          <cell r="C1699" t="str">
            <v>SAMI</v>
          </cell>
          <cell r="D1699" t="str">
            <v>OPT-302</v>
          </cell>
          <cell r="E1699">
            <v>40674</v>
          </cell>
          <cell r="F1699" t="str">
            <v>-</v>
          </cell>
          <cell r="G1699" t="str">
            <v>-</v>
          </cell>
          <cell r="H1699" t="str">
            <v>PRD</v>
          </cell>
          <cell r="I1699" t="str">
            <v>PRD</v>
          </cell>
          <cell r="J1699" t="str">
            <v>HONDA FREED</v>
          </cell>
          <cell r="K1699" t="str">
            <v>HONDA FREED W/H FLOOR</v>
          </cell>
          <cell r="L1699" t="str">
            <v>CV 4</v>
          </cell>
          <cell r="M1699" t="str">
            <v>S/T 4</v>
          </cell>
          <cell r="N1699" t="str">
            <v>ASSEMBLY</v>
          </cell>
          <cell r="O1699" t="str">
            <v>A</v>
          </cell>
        </row>
        <row r="1700">
          <cell r="A1700">
            <v>11562</v>
          </cell>
          <cell r="B1700" t="str">
            <v>ISTIGHFAROTUN</v>
          </cell>
          <cell r="C1700" t="str">
            <v>SAMI</v>
          </cell>
          <cell r="D1700" t="str">
            <v>OPT-307</v>
          </cell>
          <cell r="E1700">
            <v>40707</v>
          </cell>
          <cell r="F1700" t="str">
            <v>-</v>
          </cell>
          <cell r="G1700" t="str">
            <v>-</v>
          </cell>
          <cell r="H1700" t="str">
            <v>PRD</v>
          </cell>
          <cell r="I1700" t="str">
            <v>PRD</v>
          </cell>
          <cell r="J1700" t="str">
            <v>HONDA FREED</v>
          </cell>
          <cell r="K1700" t="str">
            <v>HONDA FREED W/H FLOOR</v>
          </cell>
          <cell r="L1700" t="str">
            <v>CV 4</v>
          </cell>
          <cell r="M1700" t="str">
            <v>T/P 3.3</v>
          </cell>
          <cell r="N1700" t="str">
            <v>ASSEMBLY</v>
          </cell>
          <cell r="O1700" t="str">
            <v>A</v>
          </cell>
        </row>
        <row r="1701">
          <cell r="A1701">
            <v>11815</v>
          </cell>
          <cell r="B1701" t="str">
            <v>KUSPUATI</v>
          </cell>
          <cell r="C1701" t="str">
            <v>SAMI</v>
          </cell>
          <cell r="D1701" t="str">
            <v>OPT-309</v>
          </cell>
          <cell r="E1701">
            <v>40721</v>
          </cell>
          <cell r="F1701" t="str">
            <v>-</v>
          </cell>
          <cell r="G1701" t="str">
            <v>-</v>
          </cell>
          <cell r="H1701" t="str">
            <v>PRD</v>
          </cell>
          <cell r="I1701" t="str">
            <v>PRD</v>
          </cell>
          <cell r="J1701" t="str">
            <v>HONDA FREED</v>
          </cell>
          <cell r="K1701" t="str">
            <v>HONDA FREED W/H FLOOR</v>
          </cell>
          <cell r="L1701" t="str">
            <v>CV 4</v>
          </cell>
          <cell r="M1701" t="str">
            <v>CHECKER AB</v>
          </cell>
          <cell r="N1701" t="str">
            <v>ELECTRICAL INSPECTION</v>
          </cell>
          <cell r="O1701" t="str">
            <v>A</v>
          </cell>
        </row>
        <row r="1702">
          <cell r="A1702">
            <v>11916</v>
          </cell>
          <cell r="B1702" t="str">
            <v>ANA WAHYUNINGRUM</v>
          </cell>
          <cell r="C1702" t="str">
            <v>SAMI</v>
          </cell>
          <cell r="D1702" t="str">
            <v>OPT-311</v>
          </cell>
          <cell r="E1702">
            <v>40770</v>
          </cell>
          <cell r="F1702" t="str">
            <v>-</v>
          </cell>
          <cell r="G1702" t="str">
            <v>-</v>
          </cell>
          <cell r="H1702" t="str">
            <v>PRD</v>
          </cell>
          <cell r="I1702" t="str">
            <v>PRD</v>
          </cell>
          <cell r="J1702" t="str">
            <v>HONDA FREED</v>
          </cell>
          <cell r="K1702" t="str">
            <v>HONDA FREED W/H FLOOR</v>
          </cell>
          <cell r="L1702" t="str">
            <v>CV 4</v>
          </cell>
          <cell r="M1702" t="str">
            <v>LQC</v>
          </cell>
          <cell r="N1702" t="str">
            <v>RELIEF</v>
          </cell>
          <cell r="O1702" t="str">
            <v>A</v>
          </cell>
        </row>
        <row r="1703">
          <cell r="A1703">
            <v>12193</v>
          </cell>
          <cell r="B1703" t="str">
            <v>MERLIN SANJAYA</v>
          </cell>
          <cell r="C1703" t="str">
            <v>SAMI</v>
          </cell>
          <cell r="D1703" t="str">
            <v>OPT-315</v>
          </cell>
          <cell r="E1703">
            <v>40802</v>
          </cell>
          <cell r="F1703" t="str">
            <v>-</v>
          </cell>
          <cell r="G1703" t="str">
            <v>-</v>
          </cell>
          <cell r="H1703" t="str">
            <v>PRD</v>
          </cell>
          <cell r="I1703" t="str">
            <v>PRD</v>
          </cell>
          <cell r="J1703" t="str">
            <v>HONDA FREED</v>
          </cell>
          <cell r="K1703" t="str">
            <v>HONDA FREED W/H FLOOR</v>
          </cell>
          <cell r="L1703" t="str">
            <v>CV 4</v>
          </cell>
          <cell r="M1703" t="str">
            <v>S/A AB</v>
          </cell>
          <cell r="N1703" t="str">
            <v>SUB ASSY</v>
          </cell>
          <cell r="O1703" t="str">
            <v>A</v>
          </cell>
        </row>
        <row r="1704">
          <cell r="A1704">
            <v>12224</v>
          </cell>
          <cell r="B1704" t="str">
            <v>UMI NIHLAH</v>
          </cell>
          <cell r="C1704" t="str">
            <v>SAMI</v>
          </cell>
          <cell r="D1704" t="str">
            <v>OPT-315</v>
          </cell>
          <cell r="E1704">
            <v>40802</v>
          </cell>
          <cell r="F1704" t="str">
            <v>-</v>
          </cell>
          <cell r="G1704" t="str">
            <v>-</v>
          </cell>
          <cell r="H1704" t="str">
            <v>PRD</v>
          </cell>
          <cell r="I1704" t="str">
            <v>PRD</v>
          </cell>
          <cell r="J1704" t="str">
            <v>HONDA FREED</v>
          </cell>
          <cell r="K1704" t="str">
            <v>HONDA FREED W/H FLOOR</v>
          </cell>
          <cell r="L1704" t="str">
            <v>CV 4</v>
          </cell>
          <cell r="M1704" t="str">
            <v>VISUAL</v>
          </cell>
          <cell r="N1704" t="str">
            <v>VISUAL INSPECTION</v>
          </cell>
          <cell r="O1704" t="str">
            <v>A</v>
          </cell>
        </row>
        <row r="1705">
          <cell r="A1705">
            <v>12536</v>
          </cell>
          <cell r="B1705" t="str">
            <v>SITI MUSTOIFAH</v>
          </cell>
          <cell r="C1705" t="str">
            <v>SAMI</v>
          </cell>
          <cell r="D1705" t="str">
            <v>OPT-318</v>
          </cell>
          <cell r="E1705">
            <v>40812</v>
          </cell>
          <cell r="F1705" t="str">
            <v>-</v>
          </cell>
          <cell r="G1705" t="str">
            <v>-</v>
          </cell>
          <cell r="H1705" t="str">
            <v>PRD</v>
          </cell>
          <cell r="I1705" t="str">
            <v>PRD</v>
          </cell>
          <cell r="J1705" t="str">
            <v>HONDA FREED</v>
          </cell>
          <cell r="K1705" t="str">
            <v>HONDA FREED W/H FLOOR</v>
          </cell>
          <cell r="L1705" t="str">
            <v>CV 4</v>
          </cell>
          <cell r="M1705" t="str">
            <v>T/P 4.1</v>
          </cell>
          <cell r="N1705" t="str">
            <v>ASSEMBLY</v>
          </cell>
          <cell r="O1705" t="str">
            <v>A</v>
          </cell>
        </row>
        <row r="1706">
          <cell r="A1706">
            <v>17283</v>
          </cell>
          <cell r="B1706" t="str">
            <v>ANIS BERKAH WIJAYANTI</v>
          </cell>
          <cell r="C1706" t="str">
            <v>SAMI</v>
          </cell>
          <cell r="D1706" t="str">
            <v>OPT-441</v>
          </cell>
          <cell r="E1706">
            <v>41767</v>
          </cell>
          <cell r="F1706" t="str">
            <v>-</v>
          </cell>
          <cell r="G1706" t="str">
            <v>-</v>
          </cell>
          <cell r="H1706" t="str">
            <v>PRD</v>
          </cell>
          <cell r="I1706" t="str">
            <v>PRD</v>
          </cell>
          <cell r="J1706" t="str">
            <v>HONDA FREED</v>
          </cell>
          <cell r="K1706" t="str">
            <v>HONDA FREED W/H FLOOR</v>
          </cell>
          <cell r="L1706" t="str">
            <v>CV 4</v>
          </cell>
          <cell r="M1706" t="str">
            <v>T/P 1.3</v>
          </cell>
          <cell r="N1706" t="str">
            <v>ASSEMBLY</v>
          </cell>
          <cell r="O1706" t="str">
            <v>A</v>
          </cell>
        </row>
        <row r="1707">
          <cell r="A1707">
            <v>20250</v>
          </cell>
          <cell r="B1707" t="str">
            <v>RISMA KARTIKA LESTARI</v>
          </cell>
          <cell r="C1707" t="str">
            <v>SAMI</v>
          </cell>
          <cell r="D1707" t="str">
            <v>OPT-500</v>
          </cell>
          <cell r="E1707">
            <v>42604</v>
          </cell>
          <cell r="F1707" t="str">
            <v>-</v>
          </cell>
          <cell r="G1707" t="str">
            <v>-</v>
          </cell>
          <cell r="H1707" t="str">
            <v>PRD</v>
          </cell>
          <cell r="I1707" t="str">
            <v>PRD</v>
          </cell>
          <cell r="J1707" t="str">
            <v>HONDA FREED</v>
          </cell>
          <cell r="K1707" t="str">
            <v>HONDA FREED W/H FLOOR</v>
          </cell>
          <cell r="L1707" t="str">
            <v>CV 4</v>
          </cell>
          <cell r="M1707" t="str">
            <v>T/P 5.3</v>
          </cell>
          <cell r="N1707" t="str">
            <v>ASSEMBLY</v>
          </cell>
          <cell r="O1707" t="str">
            <v>A</v>
          </cell>
        </row>
        <row r="1708">
          <cell r="A1708">
            <v>20445</v>
          </cell>
          <cell r="B1708" t="str">
            <v>DEWI RETNOSARI</v>
          </cell>
          <cell r="C1708" t="str">
            <v>SAMI</v>
          </cell>
          <cell r="D1708" t="str">
            <v>OPT-504</v>
          </cell>
          <cell r="E1708">
            <v>42634</v>
          </cell>
          <cell r="F1708">
            <v>43132</v>
          </cell>
          <cell r="G1708">
            <v>43496</v>
          </cell>
          <cell r="H1708" t="str">
            <v>PRD</v>
          </cell>
          <cell r="I1708" t="str">
            <v>PRD</v>
          </cell>
          <cell r="J1708" t="str">
            <v>HONDA FREED</v>
          </cell>
          <cell r="K1708" t="str">
            <v>HONDA FREED W/H FLOOR</v>
          </cell>
          <cell r="L1708" t="str">
            <v>CV 4</v>
          </cell>
          <cell r="M1708" t="str">
            <v>S/A 6.2</v>
          </cell>
          <cell r="N1708" t="str">
            <v>SUB ASSY</v>
          </cell>
          <cell r="O1708" t="str">
            <v>A</v>
          </cell>
        </row>
        <row r="1709">
          <cell r="A1709">
            <v>20473</v>
          </cell>
          <cell r="B1709" t="str">
            <v>INDAH FADMAWATI</v>
          </cell>
          <cell r="C1709" t="str">
            <v>SAMI</v>
          </cell>
          <cell r="D1709" t="str">
            <v>OPT-504</v>
          </cell>
          <cell r="E1709">
            <v>42634</v>
          </cell>
          <cell r="F1709">
            <v>43132</v>
          </cell>
          <cell r="G1709">
            <v>43496</v>
          </cell>
          <cell r="H1709" t="str">
            <v>PRD</v>
          </cell>
          <cell r="I1709" t="str">
            <v>PRD</v>
          </cell>
          <cell r="J1709" t="str">
            <v>HONDA FREED</v>
          </cell>
          <cell r="K1709" t="str">
            <v>HONDA FREED W/H FLOOR</v>
          </cell>
          <cell r="L1709" t="str">
            <v>CV 4</v>
          </cell>
          <cell r="M1709" t="str">
            <v>S/T 4</v>
          </cell>
          <cell r="N1709" t="str">
            <v>ASSEMBLY</v>
          </cell>
          <cell r="O1709" t="str">
            <v>A</v>
          </cell>
        </row>
        <row r="1710">
          <cell r="A1710">
            <v>20576</v>
          </cell>
          <cell r="B1710" t="str">
            <v xml:space="preserve">EKA PARDIA NINGRUM </v>
          </cell>
          <cell r="C1710" t="str">
            <v>SAMI</v>
          </cell>
          <cell r="D1710" t="str">
            <v>OPT-505</v>
          </cell>
          <cell r="E1710">
            <v>42639</v>
          </cell>
          <cell r="F1710">
            <v>43132</v>
          </cell>
          <cell r="G1710">
            <v>43496</v>
          </cell>
          <cell r="H1710" t="str">
            <v>PRD</v>
          </cell>
          <cell r="I1710" t="str">
            <v>PRD</v>
          </cell>
          <cell r="J1710" t="str">
            <v>HONDA FREED</v>
          </cell>
          <cell r="K1710" t="str">
            <v>HONDA FREED W/H FLOOR</v>
          </cell>
          <cell r="L1710" t="str">
            <v>CV 4</v>
          </cell>
          <cell r="M1710" t="str">
            <v>T/P 6.1</v>
          </cell>
          <cell r="N1710" t="str">
            <v>ASSEMBLY</v>
          </cell>
          <cell r="O1710" t="str">
            <v>A</v>
          </cell>
        </row>
        <row r="1711">
          <cell r="A1711">
            <v>20653</v>
          </cell>
          <cell r="B1711" t="str">
            <v xml:space="preserve">SETIANI RATNA MUTIA </v>
          </cell>
          <cell r="C1711" t="str">
            <v>SAMI</v>
          </cell>
          <cell r="D1711" t="str">
            <v>OPT-505</v>
          </cell>
          <cell r="E1711">
            <v>42639</v>
          </cell>
          <cell r="F1711">
            <v>43132</v>
          </cell>
          <cell r="G1711">
            <v>43496</v>
          </cell>
          <cell r="H1711" t="str">
            <v>PRD</v>
          </cell>
          <cell r="I1711" t="str">
            <v>PRD</v>
          </cell>
          <cell r="J1711" t="str">
            <v>HONDA FREED</v>
          </cell>
          <cell r="K1711" t="str">
            <v>HONDA FREED W/H FLOOR</v>
          </cell>
          <cell r="L1711" t="str">
            <v>CV 4</v>
          </cell>
          <cell r="M1711" t="str">
            <v>S/A 5</v>
          </cell>
          <cell r="N1711" t="str">
            <v>SUB ASSY</v>
          </cell>
          <cell r="O1711" t="str">
            <v>A</v>
          </cell>
        </row>
        <row r="1712">
          <cell r="A1712">
            <v>20717</v>
          </cell>
          <cell r="B1712" t="str">
            <v xml:space="preserve">ITA MUNAYATI </v>
          </cell>
          <cell r="C1712" t="str">
            <v>SAMI</v>
          </cell>
          <cell r="D1712" t="str">
            <v>OPT-506</v>
          </cell>
          <cell r="E1712">
            <v>42642</v>
          </cell>
          <cell r="F1712">
            <v>43132</v>
          </cell>
          <cell r="G1712">
            <v>43496</v>
          </cell>
          <cell r="H1712" t="str">
            <v>PRD</v>
          </cell>
          <cell r="I1712" t="str">
            <v>PRD</v>
          </cell>
          <cell r="J1712" t="str">
            <v>HONDA FREED</v>
          </cell>
          <cell r="K1712" t="str">
            <v>HONDA FREED W/H FLOOR</v>
          </cell>
          <cell r="L1712" t="str">
            <v>CV 4</v>
          </cell>
          <cell r="M1712" t="str">
            <v>T/P 4.2</v>
          </cell>
          <cell r="N1712" t="str">
            <v>ASSEMBLY</v>
          </cell>
          <cell r="O1712" t="str">
            <v>A</v>
          </cell>
        </row>
        <row r="1713">
          <cell r="A1713">
            <v>20719</v>
          </cell>
          <cell r="B1713" t="str">
            <v>KHOLIFATULISA</v>
          </cell>
          <cell r="C1713" t="str">
            <v>SAMI</v>
          </cell>
          <cell r="D1713" t="str">
            <v>OPT-506</v>
          </cell>
          <cell r="E1713">
            <v>42642</v>
          </cell>
          <cell r="F1713">
            <v>43132</v>
          </cell>
          <cell r="G1713">
            <v>43496</v>
          </cell>
          <cell r="H1713" t="str">
            <v>PRD</v>
          </cell>
          <cell r="I1713" t="str">
            <v>PRD</v>
          </cell>
          <cell r="J1713" t="str">
            <v>HONDA FREED</v>
          </cell>
          <cell r="K1713" t="str">
            <v>HONDA FREED W/H FLOOR</v>
          </cell>
          <cell r="L1713" t="str">
            <v>CV 4</v>
          </cell>
          <cell r="M1713" t="str">
            <v>PROTECTOR 5</v>
          </cell>
          <cell r="N1713" t="str">
            <v>ASSEMBLY</v>
          </cell>
          <cell r="O1713" t="str">
            <v>A</v>
          </cell>
        </row>
        <row r="1714">
          <cell r="A1714">
            <v>20870</v>
          </cell>
          <cell r="B1714" t="str">
            <v>ISTIROFAH</v>
          </cell>
          <cell r="C1714" t="str">
            <v>SAMI</v>
          </cell>
          <cell r="D1714" t="str">
            <v>OPT-510</v>
          </cell>
          <cell r="E1714">
            <v>42660</v>
          </cell>
          <cell r="F1714">
            <v>43160</v>
          </cell>
          <cell r="G1714">
            <v>43524</v>
          </cell>
          <cell r="H1714" t="str">
            <v>PRD</v>
          </cell>
          <cell r="I1714" t="str">
            <v>PRD</v>
          </cell>
          <cell r="J1714" t="str">
            <v>HONDA FREED</v>
          </cell>
          <cell r="K1714" t="str">
            <v>HONDA FREED W/H FLOOR</v>
          </cell>
          <cell r="L1714" t="str">
            <v>CV 4</v>
          </cell>
          <cell r="M1714" t="str">
            <v>S/T 2.1</v>
          </cell>
          <cell r="N1714" t="str">
            <v>ASSEMBLY</v>
          </cell>
          <cell r="O1714" t="str">
            <v>A</v>
          </cell>
        </row>
        <row r="1715">
          <cell r="A1715">
            <v>20958</v>
          </cell>
          <cell r="B1715" t="str">
            <v xml:space="preserve">SRI AYU LESTARI </v>
          </cell>
          <cell r="C1715" t="str">
            <v>SAMI</v>
          </cell>
          <cell r="D1715" t="str">
            <v>OPT-511</v>
          </cell>
          <cell r="E1715">
            <v>42667</v>
          </cell>
          <cell r="F1715">
            <v>43160</v>
          </cell>
          <cell r="G1715">
            <v>43524</v>
          </cell>
          <cell r="H1715" t="str">
            <v>PRD</v>
          </cell>
          <cell r="I1715" t="str">
            <v>PRD</v>
          </cell>
          <cell r="J1715" t="str">
            <v>HONDA FREED</v>
          </cell>
          <cell r="K1715" t="str">
            <v>HONDA FREED W/H FLOOR</v>
          </cell>
          <cell r="L1715" t="str">
            <v>CV 4</v>
          </cell>
          <cell r="M1715" t="str">
            <v>T/P 3.1</v>
          </cell>
          <cell r="N1715" t="str">
            <v>ASSEMBLY</v>
          </cell>
          <cell r="O1715" t="str">
            <v>A</v>
          </cell>
        </row>
        <row r="1716">
          <cell r="A1716">
            <v>21282</v>
          </cell>
          <cell r="B1716" t="str">
            <v>DEWI NUR AISYAH P</v>
          </cell>
          <cell r="C1716" t="str">
            <v>SAMI</v>
          </cell>
          <cell r="D1716" t="str">
            <v>OPT-530</v>
          </cell>
          <cell r="E1716">
            <v>43010</v>
          </cell>
          <cell r="F1716">
            <v>43405</v>
          </cell>
          <cell r="G1716">
            <v>43769</v>
          </cell>
          <cell r="H1716" t="str">
            <v>PRD</v>
          </cell>
          <cell r="I1716" t="str">
            <v>PRD</v>
          </cell>
          <cell r="J1716" t="str">
            <v>HONDA FREED</v>
          </cell>
          <cell r="K1716" t="str">
            <v>HONDA FREED W/H FLOOR</v>
          </cell>
          <cell r="L1716" t="str">
            <v>CV 4</v>
          </cell>
          <cell r="M1716" t="str">
            <v>CIRCUIT SUPPLIER</v>
          </cell>
          <cell r="N1716" t="str">
            <v>CIRCUIT SUPPLY</v>
          </cell>
          <cell r="O1716" t="str">
            <v>A</v>
          </cell>
        </row>
        <row r="1717">
          <cell r="A1717">
            <v>21359</v>
          </cell>
          <cell r="B1717" t="str">
            <v>PUTRI DEWI ARIMBI</v>
          </cell>
          <cell r="C1717" t="str">
            <v>SAMI</v>
          </cell>
          <cell r="D1717" t="str">
            <v>OPT-531</v>
          </cell>
          <cell r="E1717">
            <v>43013</v>
          </cell>
          <cell r="F1717">
            <v>43405</v>
          </cell>
          <cell r="G1717">
            <v>43769</v>
          </cell>
          <cell r="H1717" t="str">
            <v>PRD</v>
          </cell>
          <cell r="I1717" t="str">
            <v>PRD</v>
          </cell>
          <cell r="J1717" t="str">
            <v>HONDA FREED</v>
          </cell>
          <cell r="K1717" t="str">
            <v>HONDA FREED W/H FLOOR</v>
          </cell>
          <cell r="L1717" t="str">
            <v>CV 4</v>
          </cell>
          <cell r="M1717" t="str">
            <v>S/T 1</v>
          </cell>
          <cell r="N1717" t="str">
            <v>ASSEMBLY</v>
          </cell>
          <cell r="O1717" t="str">
            <v>A</v>
          </cell>
        </row>
        <row r="1718">
          <cell r="A1718">
            <v>21398</v>
          </cell>
          <cell r="B1718" t="str">
            <v>KURNIASARI</v>
          </cell>
          <cell r="C1718" t="str">
            <v>SAMI</v>
          </cell>
          <cell r="D1718" t="str">
            <v>OPT-532</v>
          </cell>
          <cell r="E1718">
            <v>43018</v>
          </cell>
          <cell r="F1718">
            <v>43405</v>
          </cell>
          <cell r="G1718">
            <v>43769</v>
          </cell>
          <cell r="H1718" t="str">
            <v>PRD</v>
          </cell>
          <cell r="I1718" t="str">
            <v>PRD</v>
          </cell>
          <cell r="J1718" t="str">
            <v>HONDA FREED</v>
          </cell>
          <cell r="K1718" t="str">
            <v>HONDA FREED W/H FLOOR</v>
          </cell>
          <cell r="L1718" t="str">
            <v>CV 4</v>
          </cell>
          <cell r="M1718" t="str">
            <v>T/P</v>
          </cell>
          <cell r="N1718" t="str">
            <v>ASSEMBLY</v>
          </cell>
          <cell r="O1718" t="str">
            <v>A</v>
          </cell>
        </row>
        <row r="1719">
          <cell r="A1719">
            <v>21567</v>
          </cell>
          <cell r="B1719" t="str">
            <v>TRIMA LESTARI</v>
          </cell>
          <cell r="C1719" t="str">
            <v>SAMI</v>
          </cell>
          <cell r="D1719" t="str">
            <v>OPT-535</v>
          </cell>
          <cell r="E1719">
            <v>43045</v>
          </cell>
          <cell r="F1719">
            <v>43435</v>
          </cell>
          <cell r="G1719">
            <v>43799</v>
          </cell>
          <cell r="H1719" t="str">
            <v>PRD</v>
          </cell>
          <cell r="I1719" t="str">
            <v>PRD</v>
          </cell>
          <cell r="J1719" t="str">
            <v>HONDA FREED</v>
          </cell>
          <cell r="K1719" t="str">
            <v>HONDA FREED W/H FLOOR</v>
          </cell>
          <cell r="L1719" t="str">
            <v>CV 4</v>
          </cell>
          <cell r="M1719" t="str">
            <v>CHECKER</v>
          </cell>
          <cell r="N1719" t="str">
            <v>ELECTRICAL INSPECTION</v>
          </cell>
          <cell r="O1719" t="str">
            <v>A</v>
          </cell>
        </row>
        <row r="1720">
          <cell r="A1720">
            <v>21697</v>
          </cell>
          <cell r="B1720" t="str">
            <v>VINA NURLIAWATI</v>
          </cell>
          <cell r="C1720" t="str">
            <v>SAMI</v>
          </cell>
          <cell r="D1720" t="str">
            <v>OPT-538</v>
          </cell>
          <cell r="E1720">
            <v>43073</v>
          </cell>
          <cell r="F1720">
            <v>43466</v>
          </cell>
          <cell r="G1720">
            <v>43830</v>
          </cell>
          <cell r="H1720" t="str">
            <v>PRD</v>
          </cell>
          <cell r="I1720" t="str">
            <v>PRD</v>
          </cell>
          <cell r="J1720" t="str">
            <v>HONDA FREED</v>
          </cell>
          <cell r="K1720" t="str">
            <v>HONDA FREED W/H FLOOR</v>
          </cell>
          <cell r="L1720" t="str">
            <v>CV 4</v>
          </cell>
          <cell r="M1720" t="str">
            <v>T/P 2.3</v>
          </cell>
          <cell r="N1720" t="str">
            <v>ASSEMBLY</v>
          </cell>
          <cell r="O1720" t="str">
            <v>A</v>
          </cell>
        </row>
        <row r="1721">
          <cell r="A1721">
            <v>21716</v>
          </cell>
          <cell r="B1721" t="str">
            <v>FITRIANA</v>
          </cell>
          <cell r="C1721" t="str">
            <v>SAMI</v>
          </cell>
          <cell r="D1721" t="str">
            <v>OPT-539</v>
          </cell>
          <cell r="E1721">
            <v>43087</v>
          </cell>
          <cell r="F1721">
            <v>43118</v>
          </cell>
          <cell r="G1721">
            <v>43496</v>
          </cell>
          <cell r="H1721" t="str">
            <v>PRD</v>
          </cell>
          <cell r="I1721" t="str">
            <v>PRD</v>
          </cell>
          <cell r="J1721" t="str">
            <v>HONDA FREED</v>
          </cell>
          <cell r="K1721" t="str">
            <v>HONDA FREED W/H FLOOR</v>
          </cell>
          <cell r="L1721" t="str">
            <v>CV 4</v>
          </cell>
          <cell r="M1721" t="str">
            <v>T/P 2.2</v>
          </cell>
          <cell r="N1721" t="str">
            <v>ASSEMBLY</v>
          </cell>
          <cell r="O1721" t="str">
            <v>A</v>
          </cell>
        </row>
        <row r="1722">
          <cell r="A1722">
            <v>21750</v>
          </cell>
          <cell r="B1722" t="str">
            <v>USWATUN KHASANAH</v>
          </cell>
          <cell r="C1722" t="str">
            <v>SAMI</v>
          </cell>
          <cell r="D1722" t="str">
            <v>OPT-539</v>
          </cell>
          <cell r="E1722">
            <v>43087</v>
          </cell>
          <cell r="F1722">
            <v>43118</v>
          </cell>
          <cell r="G1722">
            <v>43496</v>
          </cell>
          <cell r="H1722" t="str">
            <v>PRD</v>
          </cell>
          <cell r="I1722" t="str">
            <v>PRD</v>
          </cell>
          <cell r="J1722" t="str">
            <v>HONDA FREED</v>
          </cell>
          <cell r="K1722" t="str">
            <v>HONDA FREED W/H FLOOR</v>
          </cell>
          <cell r="L1722" t="str">
            <v>CV 4</v>
          </cell>
          <cell r="M1722" t="str">
            <v>S/T 3</v>
          </cell>
          <cell r="N1722" t="str">
            <v>ASSEMBLY</v>
          </cell>
          <cell r="O1722" t="str">
            <v>A</v>
          </cell>
        </row>
        <row r="1723">
          <cell r="A1723">
            <v>21818</v>
          </cell>
          <cell r="B1723" t="str">
            <v>ANISAH</v>
          </cell>
          <cell r="C1723" t="str">
            <v>SAMI</v>
          </cell>
          <cell r="D1723" t="str">
            <v>OPT-541</v>
          </cell>
          <cell r="E1723">
            <v>43098</v>
          </cell>
          <cell r="F1723">
            <v>43129</v>
          </cell>
          <cell r="G1723">
            <v>43496</v>
          </cell>
          <cell r="H1723" t="str">
            <v>PRD</v>
          </cell>
          <cell r="I1723" t="str">
            <v>PRD</v>
          </cell>
          <cell r="J1723" t="str">
            <v>HONDA FREED</v>
          </cell>
          <cell r="K1723" t="str">
            <v>HONDA FREED W/H FLOOR</v>
          </cell>
          <cell r="L1723" t="str">
            <v>CV 4</v>
          </cell>
          <cell r="M1723" t="str">
            <v>MATERIAL SUPPLY</v>
          </cell>
          <cell r="N1723" t="str">
            <v>MATERIAL SUPPLY</v>
          </cell>
          <cell r="O1723" t="str">
            <v>A</v>
          </cell>
        </row>
        <row r="1724">
          <cell r="A1724">
            <v>21841</v>
          </cell>
          <cell r="B1724" t="str">
            <v>MUSTAGHFIROH</v>
          </cell>
          <cell r="C1724" t="str">
            <v>SAMI</v>
          </cell>
          <cell r="D1724" t="str">
            <v>OPT-541</v>
          </cell>
          <cell r="E1724">
            <v>43098</v>
          </cell>
          <cell r="F1724">
            <v>43129</v>
          </cell>
          <cell r="G1724">
            <v>43496</v>
          </cell>
          <cell r="H1724" t="str">
            <v>PRD</v>
          </cell>
          <cell r="I1724" t="str">
            <v>PRD</v>
          </cell>
          <cell r="J1724" t="str">
            <v>HONDA FREED</v>
          </cell>
          <cell r="K1724" t="str">
            <v>HONDA FREED W/H FLOOR</v>
          </cell>
          <cell r="L1724" t="str">
            <v>CV 4</v>
          </cell>
          <cell r="M1724" t="str">
            <v>MATERIAL SUPPLY</v>
          </cell>
          <cell r="N1724" t="str">
            <v>MATERIAL SUPPLY</v>
          </cell>
          <cell r="O1724" t="str">
            <v>A</v>
          </cell>
        </row>
        <row r="1725">
          <cell r="A1725">
            <v>21921</v>
          </cell>
          <cell r="B1725" t="str">
            <v>RIYAN MAULIA UTAMI</v>
          </cell>
          <cell r="C1725" t="str">
            <v>SAMI</v>
          </cell>
          <cell r="D1725" t="str">
            <v>OPT-543</v>
          </cell>
          <cell r="E1725">
            <v>43108</v>
          </cell>
          <cell r="F1725">
            <v>43139</v>
          </cell>
          <cell r="G1725">
            <v>43496</v>
          </cell>
          <cell r="H1725" t="str">
            <v>PRD</v>
          </cell>
          <cell r="I1725" t="str">
            <v>PRD</v>
          </cell>
          <cell r="J1725" t="str">
            <v>HONDA FREED</v>
          </cell>
          <cell r="K1725" t="str">
            <v>HONDA FREED W/H FLOOR</v>
          </cell>
          <cell r="L1725" t="str">
            <v>CV 4</v>
          </cell>
          <cell r="M1725" t="str">
            <v>OJT S/T 4.2</v>
          </cell>
          <cell r="N1725" t="str">
            <v>INTERNAL TRIAL</v>
          </cell>
          <cell r="O1725" t="str">
            <v>A</v>
          </cell>
        </row>
        <row r="1726">
          <cell r="A1726">
            <v>21953</v>
          </cell>
          <cell r="B1726" t="str">
            <v>ELVA UTAMI</v>
          </cell>
          <cell r="C1726" t="str">
            <v>SAMI</v>
          </cell>
          <cell r="D1726" t="str">
            <v>OPT-545</v>
          </cell>
          <cell r="E1726">
            <v>43116</v>
          </cell>
          <cell r="F1726">
            <v>43147</v>
          </cell>
          <cell r="G1726">
            <v>43524</v>
          </cell>
          <cell r="H1726" t="str">
            <v>PRD</v>
          </cell>
          <cell r="I1726" t="str">
            <v>PRD</v>
          </cell>
          <cell r="J1726" t="str">
            <v>HONDA FREED</v>
          </cell>
          <cell r="K1726" t="str">
            <v>HONDA FREED W/H FLOOR</v>
          </cell>
          <cell r="L1726" t="str">
            <v>CV 4</v>
          </cell>
          <cell r="M1726" t="str">
            <v>CHECKER</v>
          </cell>
          <cell r="N1726" t="str">
            <v>ELECTRICAL INSPECTION</v>
          </cell>
          <cell r="O1726" t="str">
            <v>A</v>
          </cell>
        </row>
        <row r="1727">
          <cell r="A1727">
            <v>22133</v>
          </cell>
          <cell r="B1727" t="str">
            <v>MONIKA YULIYANTI</v>
          </cell>
          <cell r="C1727" t="str">
            <v>SAMI</v>
          </cell>
          <cell r="D1727" t="str">
            <v>OPT-549</v>
          </cell>
          <cell r="E1727">
            <v>43153</v>
          </cell>
          <cell r="F1727">
            <v>43181</v>
          </cell>
          <cell r="G1727">
            <v>43555</v>
          </cell>
          <cell r="H1727" t="str">
            <v>PRD</v>
          </cell>
          <cell r="I1727" t="str">
            <v>PRD</v>
          </cell>
          <cell r="J1727" t="str">
            <v>HONDA FREED</v>
          </cell>
          <cell r="K1727" t="str">
            <v>HONDA FREED W/H FLOOR</v>
          </cell>
          <cell r="L1727" t="str">
            <v>CV 4</v>
          </cell>
          <cell r="M1727" t="str">
            <v>S/A 2</v>
          </cell>
          <cell r="N1727" t="str">
            <v>SUB ASSY</v>
          </cell>
          <cell r="O1727" t="str">
            <v>A</v>
          </cell>
        </row>
        <row r="1728">
          <cell r="A1728">
            <v>22231</v>
          </cell>
          <cell r="B1728" t="str">
            <v>NUR LAELA</v>
          </cell>
          <cell r="C1728" t="str">
            <v>SAMI</v>
          </cell>
          <cell r="D1728" t="str">
            <v>OPT-551</v>
          </cell>
          <cell r="E1728">
            <v>43161</v>
          </cell>
          <cell r="F1728">
            <v>43192</v>
          </cell>
          <cell r="G1728">
            <v>43555</v>
          </cell>
          <cell r="H1728" t="str">
            <v>PRD</v>
          </cell>
          <cell r="I1728" t="str">
            <v>PRD</v>
          </cell>
          <cell r="J1728" t="str">
            <v>HONDA FREED</v>
          </cell>
          <cell r="K1728" t="str">
            <v>HONDA FREED W/H FLOOR</v>
          </cell>
          <cell r="L1728" t="str">
            <v>CV 4</v>
          </cell>
          <cell r="M1728" t="str">
            <v>T/P 6.2</v>
          </cell>
          <cell r="N1728" t="str">
            <v>ASSEMBLY</v>
          </cell>
          <cell r="O1728" t="str">
            <v>A</v>
          </cell>
        </row>
        <row r="1729">
          <cell r="A1729">
            <v>22243</v>
          </cell>
          <cell r="B1729" t="str">
            <v>SITI ULFIYATI</v>
          </cell>
          <cell r="C1729" t="str">
            <v>SAMI</v>
          </cell>
          <cell r="D1729" t="str">
            <v>OPT-551</v>
          </cell>
          <cell r="E1729">
            <v>43161</v>
          </cell>
          <cell r="F1729">
            <v>43192</v>
          </cell>
          <cell r="G1729">
            <v>43555</v>
          </cell>
          <cell r="H1729" t="str">
            <v>PRD</v>
          </cell>
          <cell r="I1729" t="str">
            <v>PRD</v>
          </cell>
          <cell r="J1729" t="str">
            <v>HONDA FREED</v>
          </cell>
          <cell r="K1729" t="str">
            <v>HONDA FREED W/H FLOOR</v>
          </cell>
          <cell r="L1729" t="str">
            <v>CV 4</v>
          </cell>
          <cell r="M1729" t="str">
            <v>T/P 3.2</v>
          </cell>
          <cell r="N1729" t="str">
            <v>ASSEMBLY</v>
          </cell>
          <cell r="O1729" t="str">
            <v>A</v>
          </cell>
        </row>
        <row r="1730">
          <cell r="A1730">
            <v>22265</v>
          </cell>
          <cell r="B1730" t="str">
            <v>AISAH RAFIKA ZIKRINA</v>
          </cell>
          <cell r="C1730" t="str">
            <v>SAMI</v>
          </cell>
          <cell r="D1730" t="str">
            <v>OPT-554</v>
          </cell>
          <cell r="E1730">
            <v>43181</v>
          </cell>
          <cell r="F1730">
            <v>43212</v>
          </cell>
          <cell r="G1730">
            <v>43585</v>
          </cell>
          <cell r="H1730" t="str">
            <v>PRD</v>
          </cell>
          <cell r="I1730" t="str">
            <v>PRD</v>
          </cell>
          <cell r="J1730" t="str">
            <v>HONDA FREED</v>
          </cell>
          <cell r="K1730" t="str">
            <v>HONDA FREED W/H FLOOR</v>
          </cell>
          <cell r="L1730" t="str">
            <v>CV 4</v>
          </cell>
          <cell r="M1730" t="str">
            <v>CIRCUIT SUPPLIER</v>
          </cell>
          <cell r="N1730" t="str">
            <v>CIRCUIT SUPPLY</v>
          </cell>
          <cell r="O1730" t="str">
            <v>A</v>
          </cell>
        </row>
        <row r="1731">
          <cell r="A1731">
            <v>22267</v>
          </cell>
          <cell r="B1731" t="str">
            <v>EVI LESTARI</v>
          </cell>
          <cell r="C1731" t="str">
            <v>SAMI</v>
          </cell>
          <cell r="D1731" t="str">
            <v>OPT-554</v>
          </cell>
          <cell r="E1731">
            <v>43181</v>
          </cell>
          <cell r="F1731">
            <v>43212</v>
          </cell>
          <cell r="G1731">
            <v>43585</v>
          </cell>
          <cell r="H1731" t="str">
            <v>PRD</v>
          </cell>
          <cell r="I1731" t="str">
            <v>PRD</v>
          </cell>
          <cell r="J1731" t="str">
            <v>HONDA FREED</v>
          </cell>
          <cell r="K1731" t="str">
            <v>HONDA FREED W/H FLOOR</v>
          </cell>
          <cell r="L1731" t="str">
            <v>CV 4</v>
          </cell>
          <cell r="M1731" t="str">
            <v>S/T 4</v>
          </cell>
          <cell r="N1731" t="str">
            <v>ASSEMBLY</v>
          </cell>
          <cell r="O1731" t="str">
            <v>A</v>
          </cell>
        </row>
        <row r="1732">
          <cell r="A1732">
            <v>22282</v>
          </cell>
          <cell r="B1732" t="str">
            <v xml:space="preserve">DEVI RIZKIANA </v>
          </cell>
          <cell r="C1732" t="str">
            <v>SAMI</v>
          </cell>
          <cell r="D1732" t="str">
            <v>OPT-555</v>
          </cell>
          <cell r="E1732">
            <v>43192</v>
          </cell>
          <cell r="F1732">
            <v>43222</v>
          </cell>
          <cell r="G1732">
            <v>43585</v>
          </cell>
          <cell r="H1732" t="str">
            <v>PRD</v>
          </cell>
          <cell r="I1732" t="str">
            <v>PRD</v>
          </cell>
          <cell r="J1732" t="str">
            <v>HONDA FREED</v>
          </cell>
          <cell r="K1732" t="str">
            <v>HONDA FREED W/H FLOOR</v>
          </cell>
          <cell r="L1732" t="str">
            <v>CV 4</v>
          </cell>
          <cell r="M1732" t="str">
            <v>S/A 2</v>
          </cell>
          <cell r="N1732" t="str">
            <v>SUB ASSY</v>
          </cell>
          <cell r="O1732" t="str">
            <v>A</v>
          </cell>
        </row>
        <row r="1733">
          <cell r="A1733">
            <v>22331</v>
          </cell>
          <cell r="B1733" t="str">
            <v>DEWI ISMAWATI</v>
          </cell>
          <cell r="C1733" t="str">
            <v>SAMI</v>
          </cell>
          <cell r="D1733" t="str">
            <v>OPT-556</v>
          </cell>
          <cell r="E1733">
            <v>43195</v>
          </cell>
          <cell r="F1733">
            <v>43225</v>
          </cell>
          <cell r="G1733">
            <v>43585</v>
          </cell>
          <cell r="H1733" t="str">
            <v>PRD</v>
          </cell>
          <cell r="I1733" t="str">
            <v>PRD</v>
          </cell>
          <cell r="J1733" t="str">
            <v>HONDA FREED</v>
          </cell>
          <cell r="K1733" t="str">
            <v>HONDA FREED W/H FLOOR</v>
          </cell>
          <cell r="L1733" t="str">
            <v>CV 4</v>
          </cell>
          <cell r="M1733" t="str">
            <v>S/A 6.1</v>
          </cell>
          <cell r="N1733" t="str">
            <v>SUB ASSY</v>
          </cell>
          <cell r="O1733" t="str">
            <v>A</v>
          </cell>
        </row>
        <row r="1734">
          <cell r="A1734">
            <v>22357</v>
          </cell>
          <cell r="B1734" t="str">
            <v>WAHYU SOLEHATUN</v>
          </cell>
          <cell r="C1734" t="str">
            <v>SAMI</v>
          </cell>
          <cell r="D1734" t="str">
            <v>OPT-556</v>
          </cell>
          <cell r="E1734">
            <v>43195</v>
          </cell>
          <cell r="F1734">
            <v>43225</v>
          </cell>
          <cell r="G1734">
            <v>43585</v>
          </cell>
          <cell r="H1734" t="str">
            <v>PRD</v>
          </cell>
          <cell r="I1734" t="str">
            <v>PRD</v>
          </cell>
          <cell r="J1734" t="str">
            <v>HONDA FREED</v>
          </cell>
          <cell r="K1734" t="str">
            <v>HONDA FREED W/H FLOOR</v>
          </cell>
          <cell r="L1734" t="str">
            <v>CV 4</v>
          </cell>
          <cell r="M1734" t="str">
            <v>T/P 2.1</v>
          </cell>
          <cell r="N1734" t="str">
            <v>ASSEMBLY</v>
          </cell>
          <cell r="O1734" t="str">
            <v>A</v>
          </cell>
        </row>
        <row r="1735">
          <cell r="A1735">
            <v>22422</v>
          </cell>
          <cell r="B1735" t="str">
            <v>SITI MUKSODAH</v>
          </cell>
          <cell r="C1735" t="str">
            <v>SAMI</v>
          </cell>
          <cell r="D1735" t="str">
            <v>OPT-558</v>
          </cell>
          <cell r="E1735">
            <v>43213</v>
          </cell>
          <cell r="F1735">
            <v>43243</v>
          </cell>
          <cell r="G1735">
            <v>43616</v>
          </cell>
          <cell r="H1735" t="str">
            <v>PRD</v>
          </cell>
          <cell r="I1735" t="str">
            <v>PRD</v>
          </cell>
          <cell r="J1735" t="str">
            <v>HONDA FREED</v>
          </cell>
          <cell r="K1735" t="str">
            <v>HONDA FREED W/H FLOOR</v>
          </cell>
          <cell r="L1735" t="str">
            <v>CV 4</v>
          </cell>
          <cell r="M1735" t="str">
            <v>PROTECTOR 5</v>
          </cell>
          <cell r="N1735" t="str">
            <v>ASSEMBLY</v>
          </cell>
          <cell r="O1735" t="str">
            <v>A</v>
          </cell>
        </row>
        <row r="1736">
          <cell r="A1736">
            <v>22477</v>
          </cell>
          <cell r="B1736" t="str">
            <v>ANITA DWI ASTUTI</v>
          </cell>
          <cell r="C1736" t="str">
            <v>SAMI</v>
          </cell>
          <cell r="D1736" t="str">
            <v>OPT-560</v>
          </cell>
          <cell r="E1736">
            <v>43224</v>
          </cell>
          <cell r="F1736">
            <v>43255</v>
          </cell>
          <cell r="G1736">
            <v>43616</v>
          </cell>
          <cell r="H1736" t="str">
            <v>PRD</v>
          </cell>
          <cell r="I1736" t="str">
            <v>PRD</v>
          </cell>
          <cell r="J1736" t="str">
            <v>HONDA FREED</v>
          </cell>
          <cell r="K1736" t="str">
            <v>HONDA FREED W/H FLOOR</v>
          </cell>
          <cell r="L1736" t="str">
            <v>CV 4</v>
          </cell>
          <cell r="M1736" t="str">
            <v>CIRCUIT SUPPLIER</v>
          </cell>
          <cell r="N1736" t="str">
            <v>CIRCUIT SUPPLY</v>
          </cell>
          <cell r="O1736" t="str">
            <v>A</v>
          </cell>
        </row>
        <row r="1737">
          <cell r="A1737">
            <v>22483</v>
          </cell>
          <cell r="B1737" t="str">
            <v>DIAH RAHAYUNINGSIH</v>
          </cell>
          <cell r="C1737" t="str">
            <v>SAMI</v>
          </cell>
          <cell r="D1737" t="str">
            <v>OPT-560</v>
          </cell>
          <cell r="E1737">
            <v>43224</v>
          </cell>
          <cell r="F1737">
            <v>43255</v>
          </cell>
          <cell r="G1737">
            <v>43616</v>
          </cell>
          <cell r="H1737" t="str">
            <v>PRD</v>
          </cell>
          <cell r="I1737" t="str">
            <v>PRD</v>
          </cell>
          <cell r="J1737" t="str">
            <v>HONDA FREED</v>
          </cell>
          <cell r="K1737" t="str">
            <v>HONDA FREED W/H FLOOR</v>
          </cell>
          <cell r="L1737" t="str">
            <v>CV 4</v>
          </cell>
          <cell r="M1737" t="str">
            <v>MATERIAL SUPPLY</v>
          </cell>
          <cell r="N1737" t="str">
            <v>MATERIAL SUPPLY</v>
          </cell>
          <cell r="O1737" t="str">
            <v>A</v>
          </cell>
        </row>
        <row r="1738">
          <cell r="A1738">
            <v>22531</v>
          </cell>
          <cell r="B1738" t="str">
            <v>HENI SULISTIYOWATI</v>
          </cell>
          <cell r="C1738" t="str">
            <v>SAMI</v>
          </cell>
          <cell r="D1738" t="str">
            <v>OPT-560</v>
          </cell>
          <cell r="E1738">
            <v>43224</v>
          </cell>
          <cell r="F1738">
            <v>43255</v>
          </cell>
          <cell r="G1738">
            <v>43616</v>
          </cell>
          <cell r="H1738" t="str">
            <v>PRD</v>
          </cell>
          <cell r="I1738" t="str">
            <v>PRD</v>
          </cell>
          <cell r="J1738" t="str">
            <v>HONDA FREED</v>
          </cell>
          <cell r="K1738" t="str">
            <v>HONDA FREED W/H FLOOR</v>
          </cell>
          <cell r="L1738" t="str">
            <v>CV 4</v>
          </cell>
          <cell r="M1738" t="str">
            <v>T/P 6.3</v>
          </cell>
          <cell r="N1738" t="str">
            <v>ASSEMBLY</v>
          </cell>
          <cell r="O1738" t="str">
            <v>A</v>
          </cell>
        </row>
        <row r="1739">
          <cell r="A1739">
            <v>22574</v>
          </cell>
          <cell r="B1739" t="str">
            <v>SURANI DEWIJAYANTI</v>
          </cell>
          <cell r="C1739" t="str">
            <v>SAMI</v>
          </cell>
          <cell r="D1739" t="str">
            <v>OPT-560</v>
          </cell>
          <cell r="E1739">
            <v>43224</v>
          </cell>
          <cell r="F1739">
            <v>43255</v>
          </cell>
          <cell r="G1739">
            <v>43616</v>
          </cell>
          <cell r="H1739" t="str">
            <v>PRD</v>
          </cell>
          <cell r="I1739" t="str">
            <v>PRD</v>
          </cell>
          <cell r="J1739" t="str">
            <v>HONDA FREED</v>
          </cell>
          <cell r="K1739" t="str">
            <v>HONDA FREED W/H FLOOR</v>
          </cell>
          <cell r="L1739" t="str">
            <v>CV 4</v>
          </cell>
          <cell r="M1739" t="str">
            <v>VISUAL 4</v>
          </cell>
          <cell r="N1739" t="str">
            <v>VISUAL INSPECTION</v>
          </cell>
          <cell r="O1739" t="str">
            <v>A</v>
          </cell>
        </row>
        <row r="1740">
          <cell r="A1740">
            <v>22782</v>
          </cell>
          <cell r="B1740" t="str">
            <v>ANA MAULIDATUL KHUSNA</v>
          </cell>
          <cell r="C1740" t="str">
            <v>SAMI</v>
          </cell>
          <cell r="D1740" t="str">
            <v>OPT-565</v>
          </cell>
          <cell r="E1740">
            <v>43283</v>
          </cell>
          <cell r="F1740">
            <v>43314</v>
          </cell>
          <cell r="G1740">
            <v>43677</v>
          </cell>
          <cell r="H1740" t="str">
            <v>PRD</v>
          </cell>
          <cell r="I1740" t="str">
            <v>PRD</v>
          </cell>
          <cell r="J1740" t="str">
            <v>HONDA FREED</v>
          </cell>
          <cell r="K1740" t="str">
            <v>HONDA FREED W/H FLOOR</v>
          </cell>
          <cell r="L1740" t="str">
            <v>CV 4</v>
          </cell>
          <cell r="M1740" t="str">
            <v>CHECKER</v>
          </cell>
          <cell r="N1740" t="str">
            <v>ELECTRICAL INSPECTION</v>
          </cell>
          <cell r="O1740" t="str">
            <v>A</v>
          </cell>
        </row>
        <row r="1741">
          <cell r="A1741">
            <v>22836</v>
          </cell>
          <cell r="B1741" t="str">
            <v>INTAN NURJANAH</v>
          </cell>
          <cell r="C1741" t="str">
            <v>SAMI</v>
          </cell>
          <cell r="D1741" t="str">
            <v>OPT-567</v>
          </cell>
          <cell r="E1741">
            <v>43333</v>
          </cell>
          <cell r="F1741">
            <v>43364</v>
          </cell>
          <cell r="G1741">
            <v>43738</v>
          </cell>
          <cell r="H1741" t="str">
            <v>PRD</v>
          </cell>
          <cell r="I1741" t="str">
            <v>PRD</v>
          </cell>
          <cell r="J1741" t="str">
            <v>HONDA FREED</v>
          </cell>
          <cell r="K1741" t="str">
            <v>HONDA FREED W/H FLOOR</v>
          </cell>
          <cell r="L1741" t="str">
            <v>CV 4</v>
          </cell>
          <cell r="M1741" t="str">
            <v>PROTECTOR 4</v>
          </cell>
          <cell r="N1741" t="str">
            <v>ASSEMBLY</v>
          </cell>
          <cell r="O1741" t="str">
            <v>A</v>
          </cell>
        </row>
        <row r="1742">
          <cell r="A1742">
            <v>22862</v>
          </cell>
          <cell r="B1742" t="str">
            <v>NUR FAIQOTUL ROHMAH</v>
          </cell>
          <cell r="C1742" t="str">
            <v>SAMI</v>
          </cell>
          <cell r="D1742" t="str">
            <v>OPT-567</v>
          </cell>
          <cell r="E1742">
            <v>43333</v>
          </cell>
          <cell r="F1742">
            <v>43364</v>
          </cell>
          <cell r="G1742">
            <v>43738</v>
          </cell>
          <cell r="H1742" t="str">
            <v>PRD</v>
          </cell>
          <cell r="I1742" t="str">
            <v>PRD</v>
          </cell>
          <cell r="J1742" t="str">
            <v>HONDA FREED</v>
          </cell>
          <cell r="K1742" t="str">
            <v>HONDA FREED W/H FLOOR</v>
          </cell>
          <cell r="L1742" t="str">
            <v>CV 4</v>
          </cell>
          <cell r="M1742" t="str">
            <v>S/T 2.2</v>
          </cell>
          <cell r="N1742" t="str">
            <v>ASSEMBLY</v>
          </cell>
          <cell r="O1742" t="str">
            <v>A</v>
          </cell>
        </row>
        <row r="1743">
          <cell r="A1743">
            <v>22868</v>
          </cell>
          <cell r="B1743" t="str">
            <v>NUR ROFIQOH</v>
          </cell>
          <cell r="C1743" t="str">
            <v>SAMI</v>
          </cell>
          <cell r="D1743" t="str">
            <v>OPT-567</v>
          </cell>
          <cell r="E1743">
            <v>43333</v>
          </cell>
          <cell r="F1743">
            <v>43364</v>
          </cell>
          <cell r="G1743">
            <v>43738</v>
          </cell>
          <cell r="H1743" t="str">
            <v>PRD</v>
          </cell>
          <cell r="I1743" t="str">
            <v>PRD</v>
          </cell>
          <cell r="J1743" t="str">
            <v>HONDA FREED</v>
          </cell>
          <cell r="K1743" t="str">
            <v>HONDA FREED W/H FLOOR</v>
          </cell>
          <cell r="L1743" t="str">
            <v>CV 4</v>
          </cell>
          <cell r="M1743" t="str">
            <v>PROTECTOR 6</v>
          </cell>
          <cell r="N1743" t="str">
            <v>ASSEMBLY</v>
          </cell>
          <cell r="O1743" t="str">
            <v>A</v>
          </cell>
        </row>
        <row r="1744">
          <cell r="A1744">
            <v>22878</v>
          </cell>
          <cell r="B1744" t="str">
            <v>PUTRI NUR HAKIKI</v>
          </cell>
          <cell r="C1744" t="str">
            <v>SAMI</v>
          </cell>
          <cell r="D1744" t="str">
            <v>OPT-567</v>
          </cell>
          <cell r="E1744">
            <v>43333</v>
          </cell>
          <cell r="F1744">
            <v>43364</v>
          </cell>
          <cell r="G1744">
            <v>43738</v>
          </cell>
          <cell r="H1744" t="str">
            <v>PRD</v>
          </cell>
          <cell r="I1744" t="str">
            <v>PRD</v>
          </cell>
          <cell r="J1744" t="str">
            <v>HONDA FREED</v>
          </cell>
          <cell r="K1744" t="str">
            <v>HONDA FREED W/H FLOOR</v>
          </cell>
          <cell r="L1744" t="str">
            <v>CV 4</v>
          </cell>
          <cell r="M1744" t="str">
            <v>MATERIAL SUPPLY 3</v>
          </cell>
          <cell r="N1744" t="str">
            <v>MATERIAL SUPPLY</v>
          </cell>
          <cell r="O1744" t="str">
            <v>A</v>
          </cell>
        </row>
        <row r="1745">
          <cell r="A1745">
            <v>22970</v>
          </cell>
          <cell r="B1745" t="str">
            <v>REZA IKHFANUDIN</v>
          </cell>
          <cell r="C1745" t="str">
            <v>SAMI</v>
          </cell>
          <cell r="D1745" t="str">
            <v>OPT-568</v>
          </cell>
          <cell r="E1745">
            <v>43343</v>
          </cell>
          <cell r="F1745">
            <v>43374</v>
          </cell>
          <cell r="G1745">
            <v>43738</v>
          </cell>
          <cell r="H1745" t="str">
            <v>PRD</v>
          </cell>
          <cell r="I1745" t="str">
            <v>PRD</v>
          </cell>
          <cell r="J1745" t="str">
            <v>HONDA FREED</v>
          </cell>
          <cell r="K1745" t="str">
            <v>HONDA FREED W/H FLOOR</v>
          </cell>
          <cell r="L1745" t="str">
            <v>CV 4</v>
          </cell>
          <cell r="M1745" t="str">
            <v>CHECKER 4</v>
          </cell>
          <cell r="N1745" t="str">
            <v>ELECTRICAL INSPECTION</v>
          </cell>
          <cell r="O1745" t="str">
            <v>A</v>
          </cell>
        </row>
        <row r="1746">
          <cell r="A1746">
            <v>22987</v>
          </cell>
          <cell r="B1746" t="str">
            <v>VENIATI AZIZAH</v>
          </cell>
          <cell r="C1746" t="str">
            <v>SAMI</v>
          </cell>
          <cell r="D1746" t="str">
            <v>OPT-568</v>
          </cell>
          <cell r="E1746">
            <v>43343</v>
          </cell>
          <cell r="F1746">
            <v>43374</v>
          </cell>
          <cell r="G1746">
            <v>43738</v>
          </cell>
          <cell r="H1746" t="str">
            <v>PRD</v>
          </cell>
          <cell r="I1746" t="str">
            <v>PRD</v>
          </cell>
          <cell r="J1746" t="str">
            <v>HONDA FREED</v>
          </cell>
          <cell r="K1746" t="str">
            <v>HONDA FREED W/H FLOOR</v>
          </cell>
          <cell r="L1746" t="str">
            <v>CV 4</v>
          </cell>
          <cell r="M1746" t="str">
            <v>T/P 2.4</v>
          </cell>
          <cell r="N1746" t="str">
            <v>ASSEMBLY</v>
          </cell>
          <cell r="O1746" t="str">
            <v>A</v>
          </cell>
        </row>
        <row r="1747">
          <cell r="A1747">
            <v>23000</v>
          </cell>
          <cell r="B1747" t="str">
            <v>CHAERUL ANNAS</v>
          </cell>
          <cell r="C1747" t="str">
            <v>SAMI</v>
          </cell>
          <cell r="D1747" t="str">
            <v>OPT-569</v>
          </cell>
          <cell r="E1747">
            <v>43361</v>
          </cell>
          <cell r="F1747">
            <v>43391</v>
          </cell>
          <cell r="G1747">
            <v>43769</v>
          </cell>
          <cell r="H1747" t="str">
            <v>PRD</v>
          </cell>
          <cell r="I1747" t="str">
            <v>PRD</v>
          </cell>
          <cell r="J1747" t="str">
            <v>HONDA FREED</v>
          </cell>
          <cell r="K1747" t="str">
            <v>HONDA FREED W/H FLOOR</v>
          </cell>
          <cell r="L1747" t="str">
            <v>CV 4</v>
          </cell>
          <cell r="M1747" t="str">
            <v>PROTECTOR 1</v>
          </cell>
          <cell r="N1747" t="str">
            <v>ASSEMBLY</v>
          </cell>
          <cell r="O1747" t="str">
            <v>A</v>
          </cell>
        </row>
        <row r="1748">
          <cell r="A1748">
            <v>23012</v>
          </cell>
          <cell r="B1748" t="str">
            <v>ENDANG LESTARI</v>
          </cell>
          <cell r="C1748" t="str">
            <v>SAMI</v>
          </cell>
          <cell r="D1748" t="str">
            <v>OPT-569</v>
          </cell>
          <cell r="E1748">
            <v>43361</v>
          </cell>
          <cell r="F1748">
            <v>43391</v>
          </cell>
          <cell r="G1748">
            <v>43769</v>
          </cell>
          <cell r="H1748" t="str">
            <v>PRD</v>
          </cell>
          <cell r="I1748" t="str">
            <v>PRD</v>
          </cell>
          <cell r="J1748" t="str">
            <v>HONDA FREED</v>
          </cell>
          <cell r="K1748" t="str">
            <v>HONDA FREED W/H FLOOR</v>
          </cell>
          <cell r="L1748" t="str">
            <v>CV 4</v>
          </cell>
          <cell r="M1748" t="str">
            <v>S/T</v>
          </cell>
          <cell r="N1748" t="str">
            <v>ASSEMBLY</v>
          </cell>
          <cell r="O1748" t="str">
            <v>A</v>
          </cell>
        </row>
        <row r="1749">
          <cell r="A1749">
            <v>23066</v>
          </cell>
          <cell r="B1749" t="str">
            <v>RISKA OCHAVIYANI</v>
          </cell>
          <cell r="C1749" t="str">
            <v>SAMI</v>
          </cell>
          <cell r="D1749" t="str">
            <v>OPT-569</v>
          </cell>
          <cell r="E1749">
            <v>43361</v>
          </cell>
          <cell r="F1749">
            <v>43391</v>
          </cell>
          <cell r="G1749">
            <v>43769</v>
          </cell>
          <cell r="H1749" t="str">
            <v>PRD</v>
          </cell>
          <cell r="I1749" t="str">
            <v>PRD</v>
          </cell>
          <cell r="J1749" t="str">
            <v>HONDA FREED</v>
          </cell>
          <cell r="K1749" t="str">
            <v>HONDA FREED W/H FLOOR</v>
          </cell>
          <cell r="L1749" t="str">
            <v>CV 4</v>
          </cell>
          <cell r="M1749" t="str">
            <v>T/P 5.1</v>
          </cell>
          <cell r="N1749" t="str">
            <v>ASSEMBLY</v>
          </cell>
          <cell r="O1749" t="str">
            <v>A</v>
          </cell>
        </row>
        <row r="1750">
          <cell r="A1750">
            <v>23146</v>
          </cell>
          <cell r="B1750" t="str">
            <v>NOVITA SARI</v>
          </cell>
          <cell r="C1750" t="str">
            <v>SAMI</v>
          </cell>
          <cell r="D1750" t="str">
            <v>OPT-570</v>
          </cell>
          <cell r="E1750">
            <v>43369</v>
          </cell>
          <cell r="F1750">
            <v>43399</v>
          </cell>
          <cell r="G1750">
            <v>43769</v>
          </cell>
          <cell r="H1750" t="str">
            <v>PRD</v>
          </cell>
          <cell r="I1750" t="str">
            <v>PRD</v>
          </cell>
          <cell r="J1750" t="str">
            <v>HONDA FREED</v>
          </cell>
          <cell r="K1750" t="str">
            <v>HONDA FREED W/H FLOOR</v>
          </cell>
          <cell r="L1750" t="str">
            <v>CV 4</v>
          </cell>
          <cell r="M1750" t="str">
            <v>S/T 1.2</v>
          </cell>
          <cell r="N1750" t="str">
            <v>ASSEMBLY</v>
          </cell>
          <cell r="O1750" t="str">
            <v>A</v>
          </cell>
        </row>
        <row r="1751">
          <cell r="A1751">
            <v>23213</v>
          </cell>
          <cell r="B1751" t="str">
            <v>DIYAH AYUNINGTIAS</v>
          </cell>
          <cell r="C1751" t="str">
            <v>SAMI</v>
          </cell>
          <cell r="D1751" t="str">
            <v>OPT-573</v>
          </cell>
          <cell r="E1751">
            <v>43421</v>
          </cell>
          <cell r="F1751">
            <v>43451</v>
          </cell>
          <cell r="G1751">
            <v>43830</v>
          </cell>
          <cell r="H1751" t="str">
            <v>PRD</v>
          </cell>
          <cell r="I1751" t="str">
            <v>PRD</v>
          </cell>
          <cell r="J1751" t="str">
            <v>HONDA FREED</v>
          </cell>
          <cell r="K1751" t="str">
            <v>HONDA FREED W/H FLOOR</v>
          </cell>
          <cell r="L1751" t="str">
            <v>CV 4</v>
          </cell>
          <cell r="M1751" t="str">
            <v>SUB ASSY</v>
          </cell>
          <cell r="N1751" t="str">
            <v>SUB ASSY</v>
          </cell>
          <cell r="O1751" t="str">
            <v>A</v>
          </cell>
        </row>
        <row r="1752">
          <cell r="A1752">
            <v>23342</v>
          </cell>
          <cell r="B1752" t="str">
            <v>NOR MALINDA</v>
          </cell>
          <cell r="C1752" t="str">
            <v>SAMI</v>
          </cell>
          <cell r="D1752" t="str">
            <v>OPT-574</v>
          </cell>
          <cell r="E1752">
            <v>43427</v>
          </cell>
          <cell r="F1752">
            <v>43457</v>
          </cell>
          <cell r="G1752">
            <v>43830</v>
          </cell>
          <cell r="H1752" t="str">
            <v>PRD</v>
          </cell>
          <cell r="I1752" t="str">
            <v>PRD</v>
          </cell>
          <cell r="J1752" t="str">
            <v>HONDA FREED</v>
          </cell>
          <cell r="K1752" t="str">
            <v>HONDA FREED W/H FLOOR</v>
          </cell>
          <cell r="L1752" t="str">
            <v>CV 4</v>
          </cell>
          <cell r="M1752" t="str">
            <v>OJT T/P 6.1</v>
          </cell>
          <cell r="N1752" t="str">
            <v>INTERNAL TRIAL</v>
          </cell>
          <cell r="O1752" t="str">
            <v>A</v>
          </cell>
        </row>
        <row r="1753">
          <cell r="A1753">
            <v>23348</v>
          </cell>
          <cell r="B1753" t="str">
            <v>RETNO SETYOWATI</v>
          </cell>
          <cell r="C1753" t="str">
            <v>SAMI</v>
          </cell>
          <cell r="D1753" t="str">
            <v>OPT-574</v>
          </cell>
          <cell r="E1753">
            <v>43427</v>
          </cell>
          <cell r="F1753">
            <v>43457</v>
          </cell>
          <cell r="G1753">
            <v>43830</v>
          </cell>
          <cell r="H1753" t="str">
            <v>PRD</v>
          </cell>
          <cell r="I1753" t="str">
            <v>PRD</v>
          </cell>
          <cell r="J1753" t="str">
            <v>HONDA FREED</v>
          </cell>
          <cell r="K1753" t="str">
            <v>HONDA FREED W/H FLOOR</v>
          </cell>
          <cell r="L1753" t="str">
            <v>CV 4</v>
          </cell>
          <cell r="M1753" t="str">
            <v xml:space="preserve"> OJT T/P 4.2</v>
          </cell>
          <cell r="N1753" t="str">
            <v>INTERNAL TRIAL</v>
          </cell>
          <cell r="O1753" t="str">
            <v>A</v>
          </cell>
        </row>
        <row r="1754">
          <cell r="A1754">
            <v>23441</v>
          </cell>
          <cell r="B1754" t="str">
            <v>NITA MAHISA</v>
          </cell>
          <cell r="C1754" t="str">
            <v>SAMI</v>
          </cell>
          <cell r="D1754" t="str">
            <v>OPT-575</v>
          </cell>
          <cell r="E1754">
            <v>43434</v>
          </cell>
          <cell r="F1754">
            <v>43464</v>
          </cell>
          <cell r="G1754">
            <v>43830</v>
          </cell>
          <cell r="H1754" t="str">
            <v>PRD</v>
          </cell>
          <cell r="I1754" t="str">
            <v>PRD</v>
          </cell>
          <cell r="J1754" t="str">
            <v>HONDA FREED</v>
          </cell>
          <cell r="K1754" t="str">
            <v>HONDA FREED W/H FLOOR</v>
          </cell>
          <cell r="L1754" t="str">
            <v>CV 4</v>
          </cell>
          <cell r="M1754" t="str">
            <v>OJT S/A 5</v>
          </cell>
          <cell r="N1754" t="str">
            <v>INTERNAL TRIAL</v>
          </cell>
          <cell r="O1754" t="str">
            <v>A</v>
          </cell>
        </row>
        <row r="1755">
          <cell r="A1755">
            <v>23468</v>
          </cell>
          <cell r="B1755" t="str">
            <v>SITI NURYANTI</v>
          </cell>
          <cell r="C1755" t="str">
            <v>SAMI</v>
          </cell>
          <cell r="D1755" t="str">
            <v>OPT-575</v>
          </cell>
          <cell r="E1755">
            <v>43434</v>
          </cell>
          <cell r="F1755">
            <v>43464</v>
          </cell>
          <cell r="G1755">
            <v>43830</v>
          </cell>
          <cell r="H1755" t="str">
            <v>PRD</v>
          </cell>
          <cell r="I1755" t="str">
            <v>PRD</v>
          </cell>
          <cell r="J1755" t="str">
            <v>HONDA FREED</v>
          </cell>
          <cell r="K1755" t="str">
            <v>HONDA FREED W/H FLOOR</v>
          </cell>
          <cell r="L1755" t="str">
            <v>CV 4</v>
          </cell>
          <cell r="M1755" t="str">
            <v>OJT PROTEKTOR 3</v>
          </cell>
          <cell r="N1755" t="str">
            <v>INTERNAL TRIAL</v>
          </cell>
          <cell r="O1755" t="str">
            <v>A</v>
          </cell>
        </row>
        <row r="1756">
          <cell r="A1756">
            <v>23515</v>
          </cell>
          <cell r="B1756" t="str">
            <v>NOVITA YULIANI SETYANINGSIH</v>
          </cell>
          <cell r="C1756" t="str">
            <v>SAMI</v>
          </cell>
          <cell r="D1756" t="str">
            <v>OPT-576</v>
          </cell>
          <cell r="E1756">
            <v>43441</v>
          </cell>
          <cell r="F1756">
            <v>43472</v>
          </cell>
          <cell r="G1756">
            <v>43830</v>
          </cell>
          <cell r="H1756" t="str">
            <v>PRD</v>
          </cell>
          <cell r="I1756" t="str">
            <v>PRD</v>
          </cell>
          <cell r="J1756" t="str">
            <v>HONDA FREED</v>
          </cell>
          <cell r="K1756" t="str">
            <v>HONDA FREED W/H FLOOR</v>
          </cell>
          <cell r="L1756" t="str">
            <v>CV 4</v>
          </cell>
          <cell r="M1756" t="str">
            <v>OJT S/A 6.2</v>
          </cell>
          <cell r="N1756" t="str">
            <v>INTERNAL TRIAL</v>
          </cell>
          <cell r="O1756" t="str">
            <v>A</v>
          </cell>
        </row>
        <row r="1757">
          <cell r="A1757" t="str">
            <v>B00338</v>
          </cell>
          <cell r="B1757" t="str">
            <v>SITI AMINAH</v>
          </cell>
          <cell r="C1757" t="str">
            <v>SAMI</v>
          </cell>
          <cell r="D1757" t="str">
            <v>BBF-005</v>
          </cell>
          <cell r="E1757">
            <v>40854</v>
          </cell>
          <cell r="F1757" t="str">
            <v>-</v>
          </cell>
          <cell r="G1757" t="str">
            <v>-</v>
          </cell>
          <cell r="H1757" t="str">
            <v>PRD</v>
          </cell>
          <cell r="I1757" t="str">
            <v>PRD</v>
          </cell>
          <cell r="J1757" t="str">
            <v>HONDA FREED</v>
          </cell>
          <cell r="K1757" t="str">
            <v>HONDA FREED W/H FLOOR</v>
          </cell>
          <cell r="L1757" t="str">
            <v>CV 4</v>
          </cell>
          <cell r="M1757" t="str">
            <v>VISUAL</v>
          </cell>
          <cell r="N1757" t="str">
            <v>VISUAL INSPECTION</v>
          </cell>
          <cell r="O1757" t="str">
            <v>A</v>
          </cell>
        </row>
        <row r="1758">
          <cell r="A1758">
            <v>5700</v>
          </cell>
          <cell r="B1758" t="str">
            <v>ERMA DAYANTI</v>
          </cell>
          <cell r="C1758" t="str">
            <v>SAMI</v>
          </cell>
          <cell r="D1758" t="str">
            <v>OPT-134</v>
          </cell>
          <cell r="E1758">
            <v>39098</v>
          </cell>
          <cell r="F1758" t="str">
            <v>-</v>
          </cell>
          <cell r="G1758" t="str">
            <v>-</v>
          </cell>
          <cell r="H1758" t="str">
            <v>PRD</v>
          </cell>
          <cell r="I1758" t="str">
            <v>PRD</v>
          </cell>
          <cell r="J1758" t="str">
            <v>HONDA FREED</v>
          </cell>
          <cell r="K1758" t="str">
            <v>HONDA FREED W/H FLOOR</v>
          </cell>
          <cell r="L1758" t="str">
            <v>CV 4</v>
          </cell>
          <cell r="M1758" t="str">
            <v>VISUAL</v>
          </cell>
          <cell r="N1758" t="str">
            <v>VISUAL INSPECTION</v>
          </cell>
          <cell r="O1758" t="str">
            <v>B</v>
          </cell>
        </row>
        <row r="1759">
          <cell r="A1759">
            <v>8852</v>
          </cell>
          <cell r="B1759" t="str">
            <v>RENI CATUR WATI</v>
          </cell>
          <cell r="C1759" t="str">
            <v>SAMI</v>
          </cell>
          <cell r="D1759" t="str">
            <v>OPT-195</v>
          </cell>
          <cell r="E1759">
            <v>39937</v>
          </cell>
          <cell r="F1759" t="str">
            <v>-</v>
          </cell>
          <cell r="G1759" t="str">
            <v>-</v>
          </cell>
          <cell r="H1759" t="str">
            <v>PRD</v>
          </cell>
          <cell r="I1759" t="str">
            <v>PRD</v>
          </cell>
          <cell r="J1759" t="str">
            <v>HONDA FREED</v>
          </cell>
          <cell r="K1759" t="str">
            <v>HONDA FREED W/H FLOOR</v>
          </cell>
          <cell r="L1759" t="str">
            <v>CV 4</v>
          </cell>
          <cell r="M1759" t="str">
            <v>T/P 5</v>
          </cell>
          <cell r="N1759" t="str">
            <v>ASSEMBLY</v>
          </cell>
          <cell r="O1759" t="str">
            <v>B</v>
          </cell>
        </row>
        <row r="1760">
          <cell r="A1760">
            <v>9426</v>
          </cell>
          <cell r="B1760" t="str">
            <v>DEBY DITA HAPSARI</v>
          </cell>
          <cell r="C1760" t="str">
            <v>SAMI</v>
          </cell>
          <cell r="D1760" t="str">
            <v>OPT-216</v>
          </cell>
          <cell r="E1760">
            <v>40148</v>
          </cell>
          <cell r="F1760" t="str">
            <v>-</v>
          </cell>
          <cell r="G1760" t="str">
            <v>-</v>
          </cell>
          <cell r="H1760" t="str">
            <v>PRD</v>
          </cell>
          <cell r="I1760" t="str">
            <v>PRD</v>
          </cell>
          <cell r="J1760" t="str">
            <v>HONDA FREED</v>
          </cell>
          <cell r="K1760" t="str">
            <v>HONDA FREED W/H FLOOR</v>
          </cell>
          <cell r="L1760" t="str">
            <v>CV 4</v>
          </cell>
          <cell r="M1760" t="str">
            <v>VISUAL</v>
          </cell>
          <cell r="N1760" t="str">
            <v>VISUAL INSPECTION</v>
          </cell>
          <cell r="O1760" t="str">
            <v>B</v>
          </cell>
        </row>
        <row r="1761">
          <cell r="A1761">
            <v>9863</v>
          </cell>
          <cell r="B1761" t="str">
            <v>SITI JAMILATUL ARISAH</v>
          </cell>
          <cell r="C1761" t="str">
            <v>SAMI</v>
          </cell>
          <cell r="D1761" t="str">
            <v>OPT-240</v>
          </cell>
          <cell r="E1761">
            <v>40411</v>
          </cell>
          <cell r="F1761" t="str">
            <v>-</v>
          </cell>
          <cell r="G1761" t="str">
            <v>-</v>
          </cell>
          <cell r="H1761" t="str">
            <v>PRD</v>
          </cell>
          <cell r="I1761" t="str">
            <v>PRD</v>
          </cell>
          <cell r="J1761" t="str">
            <v>HONDA FREED</v>
          </cell>
          <cell r="K1761" t="str">
            <v>HONDA FREED W/H FLOOR</v>
          </cell>
          <cell r="L1761" t="str">
            <v>CV 4</v>
          </cell>
          <cell r="M1761" t="str">
            <v>VISUAL</v>
          </cell>
          <cell r="N1761" t="str">
            <v>VISUAL INSPECTION</v>
          </cell>
          <cell r="O1761" t="str">
            <v>B</v>
          </cell>
        </row>
        <row r="1762">
          <cell r="A1762">
            <v>9999</v>
          </cell>
          <cell r="B1762" t="str">
            <v>ASTRI MAWAR SIWI</v>
          </cell>
          <cell r="C1762" t="str">
            <v>SAMI</v>
          </cell>
          <cell r="D1762" t="str">
            <v>OPT-247</v>
          </cell>
          <cell r="E1762">
            <v>40438</v>
          </cell>
          <cell r="F1762" t="str">
            <v>-</v>
          </cell>
          <cell r="G1762" t="str">
            <v>-</v>
          </cell>
          <cell r="H1762" t="str">
            <v>PRD</v>
          </cell>
          <cell r="I1762" t="str">
            <v>PRD</v>
          </cell>
          <cell r="J1762" t="str">
            <v>HONDA FREED</v>
          </cell>
          <cell r="K1762" t="str">
            <v>HONDA FREED W/H FLOOR</v>
          </cell>
          <cell r="L1762" t="str">
            <v>CV 4</v>
          </cell>
          <cell r="M1762" t="str">
            <v>T/P 1</v>
          </cell>
          <cell r="N1762" t="str">
            <v>ASSEMBLY</v>
          </cell>
          <cell r="O1762" t="str">
            <v>B</v>
          </cell>
        </row>
        <row r="1763">
          <cell r="A1763">
            <v>10167</v>
          </cell>
          <cell r="B1763" t="str">
            <v>ASTARI DWIYANTI</v>
          </cell>
          <cell r="C1763" t="str">
            <v>SAMI</v>
          </cell>
          <cell r="D1763" t="str">
            <v>OPT-253</v>
          </cell>
          <cell r="E1763">
            <v>40458</v>
          </cell>
          <cell r="F1763" t="str">
            <v>-</v>
          </cell>
          <cell r="G1763" t="str">
            <v>-</v>
          </cell>
          <cell r="H1763" t="str">
            <v>PRD</v>
          </cell>
          <cell r="I1763" t="str">
            <v>PRD</v>
          </cell>
          <cell r="J1763" t="str">
            <v>HONDA FREED</v>
          </cell>
          <cell r="K1763" t="str">
            <v>HONDA FREED W/H FLOOR</v>
          </cell>
          <cell r="L1763" t="str">
            <v>CV 4</v>
          </cell>
          <cell r="M1763" t="str">
            <v>T/P 3</v>
          </cell>
          <cell r="N1763" t="str">
            <v>ASSEMBLY</v>
          </cell>
          <cell r="O1763" t="str">
            <v>B</v>
          </cell>
        </row>
        <row r="1764">
          <cell r="A1764">
            <v>10578</v>
          </cell>
          <cell r="B1764" t="str">
            <v>APRILIA WULANDARI P.</v>
          </cell>
          <cell r="C1764" t="str">
            <v>SAMI</v>
          </cell>
          <cell r="D1764" t="str">
            <v>OPT-276</v>
          </cell>
          <cell r="E1764">
            <v>40544</v>
          </cell>
          <cell r="F1764" t="str">
            <v>-</v>
          </cell>
          <cell r="G1764" t="str">
            <v>-</v>
          </cell>
          <cell r="H1764" t="str">
            <v>PRD</v>
          </cell>
          <cell r="I1764" t="str">
            <v>PRD</v>
          </cell>
          <cell r="J1764" t="str">
            <v>HONDA FREED</v>
          </cell>
          <cell r="K1764" t="str">
            <v>HONDA FREED W/H FLOOR</v>
          </cell>
          <cell r="L1764" t="str">
            <v>CV 4</v>
          </cell>
          <cell r="M1764" t="str">
            <v>SUB LINE CHO</v>
          </cell>
          <cell r="N1764" t="str">
            <v>GL</v>
          </cell>
          <cell r="O1764" t="str">
            <v>B</v>
          </cell>
        </row>
        <row r="1765">
          <cell r="A1765">
            <v>10640</v>
          </cell>
          <cell r="B1765" t="str">
            <v>VARIDA KUSTIYANI</v>
          </cell>
          <cell r="C1765" t="str">
            <v>SAMI</v>
          </cell>
          <cell r="D1765" t="str">
            <v>OPT-278</v>
          </cell>
          <cell r="E1765">
            <v>40549</v>
          </cell>
          <cell r="F1765" t="str">
            <v>-</v>
          </cell>
          <cell r="G1765" t="str">
            <v>-</v>
          </cell>
          <cell r="H1765" t="str">
            <v>PRD</v>
          </cell>
          <cell r="I1765" t="str">
            <v>PRD</v>
          </cell>
          <cell r="J1765" t="str">
            <v>HONDA FREED</v>
          </cell>
          <cell r="K1765" t="str">
            <v>HONDA FREED W/H FLOOR</v>
          </cell>
          <cell r="L1765" t="str">
            <v>CV 4</v>
          </cell>
          <cell r="M1765" t="str">
            <v>LQC</v>
          </cell>
          <cell r="N1765" t="str">
            <v>RELIEF</v>
          </cell>
          <cell r="O1765" t="str">
            <v>B</v>
          </cell>
        </row>
        <row r="1766">
          <cell r="A1766">
            <v>11124</v>
          </cell>
          <cell r="B1766" t="str">
            <v>NUR AINI DWITA SARI</v>
          </cell>
          <cell r="C1766" t="str">
            <v>SAMI</v>
          </cell>
          <cell r="D1766" t="str">
            <v>OPT-290</v>
          </cell>
          <cell r="E1766">
            <v>40603</v>
          </cell>
          <cell r="F1766" t="str">
            <v>-</v>
          </cell>
          <cell r="G1766" t="str">
            <v>-</v>
          </cell>
          <cell r="H1766" t="str">
            <v>PRD</v>
          </cell>
          <cell r="I1766" t="str">
            <v>PRD</v>
          </cell>
          <cell r="J1766" t="str">
            <v>HONDA FREED</v>
          </cell>
          <cell r="K1766" t="str">
            <v>HONDA FREED W/H FLOOR</v>
          </cell>
          <cell r="L1766" t="str">
            <v>CV 4</v>
          </cell>
          <cell r="M1766" t="str">
            <v>T/P 6</v>
          </cell>
          <cell r="N1766" t="str">
            <v>ASSEMBLY</v>
          </cell>
          <cell r="O1766" t="str">
            <v>B</v>
          </cell>
        </row>
        <row r="1767">
          <cell r="A1767">
            <v>11404</v>
          </cell>
          <cell r="B1767" t="str">
            <v>ANNA TRIWININGSIH</v>
          </cell>
          <cell r="C1767" t="str">
            <v>SAMI</v>
          </cell>
          <cell r="D1767" t="str">
            <v>OPT-306</v>
          </cell>
          <cell r="E1767">
            <v>40701</v>
          </cell>
          <cell r="F1767" t="str">
            <v>-</v>
          </cell>
          <cell r="G1767" t="str">
            <v>-</v>
          </cell>
          <cell r="H1767" t="str">
            <v>PRD</v>
          </cell>
          <cell r="I1767" t="str">
            <v>PRD</v>
          </cell>
          <cell r="J1767" t="str">
            <v>HONDA FREED</v>
          </cell>
          <cell r="K1767" t="str">
            <v>HONDA FREED W/H FLOOR</v>
          </cell>
          <cell r="L1767" t="str">
            <v>CV 4</v>
          </cell>
          <cell r="M1767" t="str">
            <v>S/A AB</v>
          </cell>
          <cell r="N1767" t="str">
            <v>SUB ASSY</v>
          </cell>
          <cell r="O1767" t="str">
            <v>B</v>
          </cell>
        </row>
        <row r="1768">
          <cell r="A1768">
            <v>12044</v>
          </cell>
          <cell r="B1768" t="str">
            <v>MAYA CAHYA NINGSIH</v>
          </cell>
          <cell r="C1768" t="str">
            <v>SAMI</v>
          </cell>
          <cell r="D1768" t="str">
            <v>OPT-313</v>
          </cell>
          <cell r="E1768">
            <v>40792</v>
          </cell>
          <cell r="F1768" t="str">
            <v>-</v>
          </cell>
          <cell r="G1768" t="str">
            <v>-</v>
          </cell>
          <cell r="H1768" t="str">
            <v>PRD</v>
          </cell>
          <cell r="I1768" t="str">
            <v>PRD</v>
          </cell>
          <cell r="J1768" t="str">
            <v>HONDA FREED</v>
          </cell>
          <cell r="K1768" t="str">
            <v>HONDA FREED W/H FLOOR</v>
          </cell>
          <cell r="L1768" t="str">
            <v>CV 4</v>
          </cell>
          <cell r="M1768" t="str">
            <v>VISUAL</v>
          </cell>
          <cell r="N1768" t="str">
            <v>VISUAL INSPECTION</v>
          </cell>
          <cell r="O1768" t="str">
            <v>B</v>
          </cell>
        </row>
        <row r="1769">
          <cell r="A1769">
            <v>12805</v>
          </cell>
          <cell r="B1769" t="str">
            <v>DESI RATNASARI</v>
          </cell>
          <cell r="C1769" t="str">
            <v>SAMI</v>
          </cell>
          <cell r="D1769" t="str">
            <v>OPT-321</v>
          </cell>
          <cell r="E1769">
            <v>40826</v>
          </cell>
          <cell r="F1769" t="str">
            <v>-</v>
          </cell>
          <cell r="G1769" t="str">
            <v>-</v>
          </cell>
          <cell r="H1769" t="str">
            <v>PRD</v>
          </cell>
          <cell r="I1769" t="str">
            <v>PRD</v>
          </cell>
          <cell r="J1769" t="str">
            <v>HONDA FREED</v>
          </cell>
          <cell r="K1769" t="str">
            <v>HONDA FREED W/H FLOOR</v>
          </cell>
          <cell r="L1769" t="str">
            <v>CV 4</v>
          </cell>
          <cell r="M1769" t="str">
            <v>T/P 2.2</v>
          </cell>
          <cell r="N1769" t="str">
            <v>ASSEMBLY</v>
          </cell>
          <cell r="O1769" t="str">
            <v>B</v>
          </cell>
        </row>
        <row r="1770">
          <cell r="A1770">
            <v>14153</v>
          </cell>
          <cell r="B1770" t="str">
            <v>AFIDAH</v>
          </cell>
          <cell r="C1770" t="str">
            <v>SAMI</v>
          </cell>
          <cell r="D1770" t="str">
            <v>OPT-367</v>
          </cell>
          <cell r="E1770">
            <v>41360</v>
          </cell>
          <cell r="F1770" t="str">
            <v>-</v>
          </cell>
          <cell r="G1770" t="str">
            <v>-</v>
          </cell>
          <cell r="H1770" t="str">
            <v>PRD</v>
          </cell>
          <cell r="I1770" t="str">
            <v>PRD</v>
          </cell>
          <cell r="J1770" t="str">
            <v>HONDA FREED</v>
          </cell>
          <cell r="K1770" t="str">
            <v>HONDA FREED W/H FLOOR</v>
          </cell>
          <cell r="L1770" t="str">
            <v>CV 4</v>
          </cell>
          <cell r="M1770" t="str">
            <v>OJT CHECKER AB</v>
          </cell>
          <cell r="N1770" t="str">
            <v>INTERNAL TRIAL</v>
          </cell>
          <cell r="O1770" t="str">
            <v>B</v>
          </cell>
        </row>
        <row r="1771">
          <cell r="A1771">
            <v>20429</v>
          </cell>
          <cell r="B1771" t="str">
            <v>PUJI LESTARI NINGSIH</v>
          </cell>
          <cell r="C1771" t="str">
            <v>SAMI</v>
          </cell>
          <cell r="D1771" t="str">
            <v>OPT-503</v>
          </cell>
          <cell r="E1771">
            <v>42627</v>
          </cell>
          <cell r="F1771" t="str">
            <v>-</v>
          </cell>
          <cell r="G1771" t="str">
            <v>-</v>
          </cell>
          <cell r="H1771" t="str">
            <v>PRD</v>
          </cell>
          <cell r="I1771" t="str">
            <v>PRD</v>
          </cell>
          <cell r="J1771" t="str">
            <v>HONDA FREED</v>
          </cell>
          <cell r="K1771" t="str">
            <v>HONDA FREED W/H FLOOR</v>
          </cell>
          <cell r="L1771" t="str">
            <v>CV 4</v>
          </cell>
          <cell r="M1771" t="str">
            <v>CHECKER</v>
          </cell>
          <cell r="N1771" t="str">
            <v>ELECTRICAL INSPECTION</v>
          </cell>
          <cell r="O1771" t="str">
            <v>B</v>
          </cell>
        </row>
        <row r="1772">
          <cell r="A1772">
            <v>20572</v>
          </cell>
          <cell r="B1772" t="str">
            <v>DWI OKTAFIYANI</v>
          </cell>
          <cell r="C1772" t="str">
            <v>SAMI</v>
          </cell>
          <cell r="D1772" t="str">
            <v>OPT-505</v>
          </cell>
          <cell r="E1772">
            <v>42639</v>
          </cell>
          <cell r="F1772">
            <v>43132</v>
          </cell>
          <cell r="G1772">
            <v>43496</v>
          </cell>
          <cell r="H1772" t="str">
            <v>PRD</v>
          </cell>
          <cell r="I1772" t="str">
            <v>PRD</v>
          </cell>
          <cell r="J1772" t="str">
            <v>HONDA FREED</v>
          </cell>
          <cell r="K1772" t="str">
            <v>HONDA FREED W/H FLOOR</v>
          </cell>
          <cell r="L1772" t="str">
            <v>CV 4</v>
          </cell>
          <cell r="M1772" t="str">
            <v>CHECKER A/B</v>
          </cell>
          <cell r="N1772" t="str">
            <v>ELECTRICAL INSPECTION</v>
          </cell>
          <cell r="O1772" t="str">
            <v>B</v>
          </cell>
        </row>
        <row r="1773">
          <cell r="A1773">
            <v>20619</v>
          </cell>
          <cell r="B1773" t="str">
            <v>MUNAROH</v>
          </cell>
          <cell r="C1773" t="str">
            <v>SAMI</v>
          </cell>
          <cell r="D1773" t="str">
            <v>OPT-505</v>
          </cell>
          <cell r="E1773">
            <v>42639</v>
          </cell>
          <cell r="F1773">
            <v>43132</v>
          </cell>
          <cell r="G1773">
            <v>43496</v>
          </cell>
          <cell r="H1773" t="str">
            <v>PRD</v>
          </cell>
          <cell r="I1773" t="str">
            <v>PRD</v>
          </cell>
          <cell r="J1773" t="str">
            <v>HONDA FREED</v>
          </cell>
          <cell r="K1773" t="str">
            <v>HONDA FREED W/H FLOOR</v>
          </cell>
          <cell r="L1773" t="str">
            <v>CV 4</v>
          </cell>
          <cell r="M1773" t="str">
            <v>PROTECTOR 5</v>
          </cell>
          <cell r="N1773" t="str">
            <v>ASSEMBLY</v>
          </cell>
          <cell r="O1773" t="str">
            <v>B</v>
          </cell>
        </row>
        <row r="1774">
          <cell r="A1774">
            <v>20647</v>
          </cell>
          <cell r="B1774" t="str">
            <v xml:space="preserve">SAFMADINI MAYNA </v>
          </cell>
          <cell r="C1774" t="str">
            <v>SAMI</v>
          </cell>
          <cell r="D1774" t="str">
            <v>OPT-505</v>
          </cell>
          <cell r="E1774">
            <v>42639</v>
          </cell>
          <cell r="F1774">
            <v>43132</v>
          </cell>
          <cell r="G1774">
            <v>43496</v>
          </cell>
          <cell r="H1774" t="str">
            <v>PRD</v>
          </cell>
          <cell r="I1774" t="str">
            <v>PRD</v>
          </cell>
          <cell r="J1774" t="str">
            <v>HONDA FREED</v>
          </cell>
          <cell r="K1774" t="str">
            <v>HONDA FREED W/H FLOOR</v>
          </cell>
          <cell r="L1774" t="str">
            <v>CV 4</v>
          </cell>
          <cell r="M1774" t="str">
            <v>S/A 1</v>
          </cell>
          <cell r="N1774" t="str">
            <v>SUB ASSY</v>
          </cell>
          <cell r="O1774" t="str">
            <v>B</v>
          </cell>
        </row>
        <row r="1775">
          <cell r="A1775">
            <v>20798</v>
          </cell>
          <cell r="B1775" t="str">
            <v xml:space="preserve">FUJI FAJARIANI </v>
          </cell>
          <cell r="C1775" t="str">
            <v>SAMI</v>
          </cell>
          <cell r="D1775" t="str">
            <v>OPT-508</v>
          </cell>
          <cell r="E1775">
            <v>42649</v>
          </cell>
          <cell r="F1775">
            <v>43132</v>
          </cell>
          <cell r="G1775">
            <v>43496</v>
          </cell>
          <cell r="H1775" t="str">
            <v>PRD</v>
          </cell>
          <cell r="I1775" t="str">
            <v>PRD</v>
          </cell>
          <cell r="J1775" t="str">
            <v>HONDA FREED</v>
          </cell>
          <cell r="K1775" t="str">
            <v>HONDA FREED W/H FLOOR</v>
          </cell>
          <cell r="L1775" t="str">
            <v>CV 4</v>
          </cell>
          <cell r="M1775" t="str">
            <v>CIRCUIT SUPPLIER 01</v>
          </cell>
          <cell r="N1775" t="str">
            <v>CIRCUIT SUPPLY</v>
          </cell>
          <cell r="O1775" t="str">
            <v>B</v>
          </cell>
        </row>
        <row r="1776">
          <cell r="A1776">
            <v>20815</v>
          </cell>
          <cell r="B1776" t="str">
            <v xml:space="preserve">ROSIANA ULFA </v>
          </cell>
          <cell r="C1776" t="str">
            <v>SAMI</v>
          </cell>
          <cell r="D1776" t="str">
            <v>OPT-508</v>
          </cell>
          <cell r="E1776">
            <v>42649</v>
          </cell>
          <cell r="F1776">
            <v>43132</v>
          </cell>
          <cell r="G1776">
            <v>43496</v>
          </cell>
          <cell r="H1776" t="str">
            <v>PRD</v>
          </cell>
          <cell r="I1776" t="str">
            <v>PRD</v>
          </cell>
          <cell r="J1776" t="str">
            <v>HONDA FREED</v>
          </cell>
          <cell r="K1776" t="str">
            <v>HONDA FREED W/H FLOOR</v>
          </cell>
          <cell r="L1776" t="str">
            <v>CV 4</v>
          </cell>
          <cell r="M1776" t="str">
            <v>T/P 3</v>
          </cell>
          <cell r="N1776" t="str">
            <v>ASSEMBLY</v>
          </cell>
          <cell r="O1776" t="str">
            <v>B</v>
          </cell>
        </row>
        <row r="1777">
          <cell r="A1777">
            <v>20823</v>
          </cell>
          <cell r="B1777" t="str">
            <v xml:space="preserve">ULFI RIZQI PRASETYANINGTIAS </v>
          </cell>
          <cell r="C1777" t="str">
            <v>SAMI</v>
          </cell>
          <cell r="D1777" t="str">
            <v>OPT-508</v>
          </cell>
          <cell r="E1777">
            <v>42649</v>
          </cell>
          <cell r="F1777">
            <v>43132</v>
          </cell>
          <cell r="G1777">
            <v>43496</v>
          </cell>
          <cell r="H1777" t="str">
            <v>PRD</v>
          </cell>
          <cell r="I1777" t="str">
            <v>PRD</v>
          </cell>
          <cell r="J1777" t="str">
            <v>HONDA FREED</v>
          </cell>
          <cell r="K1777" t="str">
            <v>HONDA FREED W/H FLOOR</v>
          </cell>
          <cell r="L1777" t="str">
            <v>CV 4</v>
          </cell>
          <cell r="M1777" t="str">
            <v>T/P 2</v>
          </cell>
          <cell r="N1777" t="str">
            <v>ASSEMBLY</v>
          </cell>
          <cell r="O1777" t="str">
            <v>B</v>
          </cell>
        </row>
        <row r="1778">
          <cell r="A1778">
            <v>20904</v>
          </cell>
          <cell r="B1778" t="str">
            <v>VIA ANITA SAFITRI</v>
          </cell>
          <cell r="C1778" t="str">
            <v>SAMI</v>
          </cell>
          <cell r="D1778" t="str">
            <v>OPT-510</v>
          </cell>
          <cell r="E1778">
            <v>42660</v>
          </cell>
          <cell r="F1778">
            <v>43160</v>
          </cell>
          <cell r="G1778">
            <v>43524</v>
          </cell>
          <cell r="H1778" t="str">
            <v>PRD</v>
          </cell>
          <cell r="I1778" t="str">
            <v>PRD</v>
          </cell>
          <cell r="J1778" t="str">
            <v>HONDA FREED</v>
          </cell>
          <cell r="K1778" t="str">
            <v>HONDA FREED W/H FLOOR</v>
          </cell>
          <cell r="L1778" t="str">
            <v>CV 4</v>
          </cell>
          <cell r="M1778" t="str">
            <v>MATERIAL SUPPLY</v>
          </cell>
          <cell r="N1778" t="str">
            <v>MATERIAL SUPPLY</v>
          </cell>
          <cell r="O1778" t="str">
            <v>B</v>
          </cell>
        </row>
        <row r="1779">
          <cell r="A1779">
            <v>20977</v>
          </cell>
          <cell r="B1779" t="str">
            <v>IDA FARIKHAH</v>
          </cell>
          <cell r="C1779" t="str">
            <v>SAMI</v>
          </cell>
          <cell r="D1779" t="str">
            <v>OPT-513</v>
          </cell>
          <cell r="E1779">
            <v>42674</v>
          </cell>
          <cell r="F1779">
            <v>43160</v>
          </cell>
          <cell r="G1779">
            <v>43524</v>
          </cell>
          <cell r="H1779" t="str">
            <v>PRD</v>
          </cell>
          <cell r="I1779" t="str">
            <v>PRD</v>
          </cell>
          <cell r="J1779" t="str">
            <v>HONDA FREED</v>
          </cell>
          <cell r="K1779" t="str">
            <v>HONDA FREED W/H FLOOR</v>
          </cell>
          <cell r="L1779" t="str">
            <v>CV 4</v>
          </cell>
          <cell r="M1779" t="str">
            <v>S/T 1</v>
          </cell>
          <cell r="N1779" t="str">
            <v>ASSEMBLY</v>
          </cell>
          <cell r="O1779" t="str">
            <v>B</v>
          </cell>
        </row>
        <row r="1780">
          <cell r="A1780">
            <v>20986</v>
          </cell>
          <cell r="B1780" t="str">
            <v>NAVIKA ARDIYANI</v>
          </cell>
          <cell r="C1780" t="str">
            <v>SAMI</v>
          </cell>
          <cell r="D1780" t="str">
            <v>OPT-513</v>
          </cell>
          <cell r="E1780">
            <v>42674</v>
          </cell>
          <cell r="F1780">
            <v>43160</v>
          </cell>
          <cell r="G1780">
            <v>43524</v>
          </cell>
          <cell r="H1780" t="str">
            <v>PRD</v>
          </cell>
          <cell r="I1780" t="str">
            <v>PRD</v>
          </cell>
          <cell r="J1780" t="str">
            <v>HONDA FREED</v>
          </cell>
          <cell r="K1780" t="str">
            <v>HONDA FREED W/H FLOOR</v>
          </cell>
          <cell r="L1780" t="str">
            <v>CV 4</v>
          </cell>
          <cell r="M1780" t="str">
            <v>S/T 4</v>
          </cell>
          <cell r="N1780" t="str">
            <v>ASSEMBLY</v>
          </cell>
          <cell r="O1780" t="str">
            <v>B</v>
          </cell>
        </row>
        <row r="1781">
          <cell r="A1781">
            <v>21320</v>
          </cell>
          <cell r="B1781" t="str">
            <v>TUMISRI</v>
          </cell>
          <cell r="C1781" t="str">
            <v>SAMI</v>
          </cell>
          <cell r="D1781" t="str">
            <v>OPT-530</v>
          </cell>
          <cell r="E1781">
            <v>43010</v>
          </cell>
          <cell r="F1781">
            <v>43405</v>
          </cell>
          <cell r="G1781">
            <v>43769</v>
          </cell>
          <cell r="H1781" t="str">
            <v>PRD</v>
          </cell>
          <cell r="I1781" t="str">
            <v>PRD</v>
          </cell>
          <cell r="J1781" t="str">
            <v>HONDA FREED</v>
          </cell>
          <cell r="K1781" t="str">
            <v>HONDA FREED W/H FLOOR</v>
          </cell>
          <cell r="L1781" t="str">
            <v>CV 4</v>
          </cell>
          <cell r="M1781" t="str">
            <v>T/P 1</v>
          </cell>
          <cell r="N1781" t="str">
            <v>ASSEMBLY</v>
          </cell>
          <cell r="O1781" t="str">
            <v>B</v>
          </cell>
        </row>
        <row r="1782">
          <cell r="A1782">
            <v>21367</v>
          </cell>
          <cell r="B1782" t="str">
            <v>SITI MURSIDA</v>
          </cell>
          <cell r="C1782" t="str">
            <v>SAMI</v>
          </cell>
          <cell r="D1782" t="str">
            <v>OPT-531</v>
          </cell>
          <cell r="E1782">
            <v>43013</v>
          </cell>
          <cell r="F1782">
            <v>43405</v>
          </cell>
          <cell r="G1782">
            <v>43769</v>
          </cell>
          <cell r="H1782" t="str">
            <v>PRD</v>
          </cell>
          <cell r="I1782" t="str">
            <v>PRD</v>
          </cell>
          <cell r="J1782" t="str">
            <v>HONDA FREED</v>
          </cell>
          <cell r="K1782" t="str">
            <v>HONDA FREED W/H FLOOR</v>
          </cell>
          <cell r="L1782" t="str">
            <v>CV 4</v>
          </cell>
          <cell r="M1782" t="str">
            <v>CHECKER</v>
          </cell>
          <cell r="N1782" t="str">
            <v>ELECTRICAL INSPECTION</v>
          </cell>
          <cell r="O1782" t="str">
            <v>B</v>
          </cell>
        </row>
        <row r="1783">
          <cell r="A1783">
            <v>21393</v>
          </cell>
          <cell r="B1783" t="str">
            <v>INNY IKHWATI</v>
          </cell>
          <cell r="C1783" t="str">
            <v>SAMI</v>
          </cell>
          <cell r="D1783" t="str">
            <v>OPT-532</v>
          </cell>
          <cell r="E1783">
            <v>43018</v>
          </cell>
          <cell r="F1783">
            <v>43405</v>
          </cell>
          <cell r="G1783">
            <v>43769</v>
          </cell>
          <cell r="H1783" t="str">
            <v>PRD</v>
          </cell>
          <cell r="I1783" t="str">
            <v>PRD</v>
          </cell>
          <cell r="J1783" t="str">
            <v>HONDA FREED</v>
          </cell>
          <cell r="K1783" t="str">
            <v>HONDA FREED W/H FLOOR</v>
          </cell>
          <cell r="L1783" t="str">
            <v>CV 4</v>
          </cell>
          <cell r="M1783" t="str">
            <v>T/P 4</v>
          </cell>
          <cell r="N1783" t="str">
            <v>ASSEMBLY</v>
          </cell>
          <cell r="O1783" t="str">
            <v>B</v>
          </cell>
        </row>
        <row r="1784">
          <cell r="A1784">
            <v>21416</v>
          </cell>
          <cell r="B1784" t="str">
            <v>SITI MAESAROH</v>
          </cell>
          <cell r="C1784" t="str">
            <v>SAMI</v>
          </cell>
          <cell r="D1784" t="str">
            <v>OPT-532</v>
          </cell>
          <cell r="E1784">
            <v>43018</v>
          </cell>
          <cell r="F1784">
            <v>43405</v>
          </cell>
          <cell r="G1784">
            <v>43769</v>
          </cell>
          <cell r="H1784" t="str">
            <v>PRD</v>
          </cell>
          <cell r="I1784" t="str">
            <v>PRD</v>
          </cell>
          <cell r="J1784" t="str">
            <v>HONDA FREED</v>
          </cell>
          <cell r="K1784" t="str">
            <v>HONDA FREED W/H FLOOR</v>
          </cell>
          <cell r="L1784" t="str">
            <v>CV 4</v>
          </cell>
          <cell r="M1784" t="str">
            <v>T/P 6</v>
          </cell>
          <cell r="N1784" t="str">
            <v>ASSEMBLY</v>
          </cell>
          <cell r="O1784" t="str">
            <v>B</v>
          </cell>
        </row>
        <row r="1785">
          <cell r="A1785">
            <v>21560</v>
          </cell>
          <cell r="B1785" t="str">
            <v>SITI MUAROFAH</v>
          </cell>
          <cell r="C1785" t="str">
            <v>SAMI</v>
          </cell>
          <cell r="D1785" t="str">
            <v>OPT-535</v>
          </cell>
          <cell r="E1785">
            <v>43045</v>
          </cell>
          <cell r="F1785">
            <v>43435</v>
          </cell>
          <cell r="G1785">
            <v>43799</v>
          </cell>
          <cell r="H1785" t="str">
            <v>PRD</v>
          </cell>
          <cell r="I1785" t="str">
            <v>PRD</v>
          </cell>
          <cell r="J1785" t="str">
            <v>HONDA FREED</v>
          </cell>
          <cell r="K1785" t="str">
            <v>HONDA FREED W/H FLOOR</v>
          </cell>
          <cell r="L1785" t="str">
            <v>CV 4</v>
          </cell>
          <cell r="M1785" t="str">
            <v>S/A 2</v>
          </cell>
          <cell r="N1785" t="str">
            <v>SUB ASSY</v>
          </cell>
          <cell r="O1785" t="str">
            <v>B</v>
          </cell>
        </row>
        <row r="1786">
          <cell r="A1786">
            <v>21600</v>
          </cell>
          <cell r="B1786" t="str">
            <v>MUHAMMAD IKHROM FAUZI</v>
          </cell>
          <cell r="C1786" t="str">
            <v>SAMI</v>
          </cell>
          <cell r="D1786" t="str">
            <v>OPT-536</v>
          </cell>
          <cell r="E1786">
            <v>43048</v>
          </cell>
          <cell r="F1786">
            <v>43435</v>
          </cell>
          <cell r="G1786">
            <v>43799</v>
          </cell>
          <cell r="H1786" t="str">
            <v>PRD</v>
          </cell>
          <cell r="I1786" t="str">
            <v>PRD</v>
          </cell>
          <cell r="J1786" t="str">
            <v>HONDA FREED</v>
          </cell>
          <cell r="K1786" t="str">
            <v>HONDA FREED W/H FLOOR</v>
          </cell>
          <cell r="L1786" t="str">
            <v>CV 4</v>
          </cell>
          <cell r="M1786" t="str">
            <v>PROTECTOR 4</v>
          </cell>
          <cell r="N1786" t="str">
            <v>ASSEMBLY</v>
          </cell>
          <cell r="O1786" t="str">
            <v>B</v>
          </cell>
        </row>
        <row r="1787">
          <cell r="A1787">
            <v>21657</v>
          </cell>
          <cell r="B1787" t="str">
            <v>IKA MUFIDATUNNI'MAH</v>
          </cell>
          <cell r="C1787" t="str">
            <v>SAMI</v>
          </cell>
          <cell r="D1787" t="str">
            <v>OPT-537</v>
          </cell>
          <cell r="E1787">
            <v>43055</v>
          </cell>
          <cell r="F1787">
            <v>43466</v>
          </cell>
          <cell r="G1787">
            <v>43830</v>
          </cell>
          <cell r="H1787" t="str">
            <v>PRD</v>
          </cell>
          <cell r="I1787" t="str">
            <v>PRD</v>
          </cell>
          <cell r="J1787" t="str">
            <v>HONDA FREED</v>
          </cell>
          <cell r="K1787" t="str">
            <v>HONDA FREED W/H FLOOR</v>
          </cell>
          <cell r="L1787" t="str">
            <v>CV 4</v>
          </cell>
          <cell r="M1787" t="str">
            <v>T/P 2</v>
          </cell>
          <cell r="N1787" t="str">
            <v>ASSEMBLY</v>
          </cell>
          <cell r="O1787" t="str">
            <v>B</v>
          </cell>
        </row>
        <row r="1788">
          <cell r="A1788">
            <v>21678</v>
          </cell>
          <cell r="B1788" t="str">
            <v>SITI NUR MARWIYAH</v>
          </cell>
          <cell r="C1788" t="str">
            <v>SAMI</v>
          </cell>
          <cell r="D1788" t="str">
            <v>OPT-537</v>
          </cell>
          <cell r="E1788">
            <v>43055</v>
          </cell>
          <cell r="F1788">
            <v>43466</v>
          </cell>
          <cell r="G1788">
            <v>43830</v>
          </cell>
          <cell r="H1788" t="str">
            <v>PRD</v>
          </cell>
          <cell r="I1788" t="str">
            <v>PRD</v>
          </cell>
          <cell r="J1788" t="str">
            <v>HONDA FREED</v>
          </cell>
          <cell r="K1788" t="str">
            <v>HONDA FREED W/H FLOOR</v>
          </cell>
          <cell r="L1788" t="str">
            <v>CV 4</v>
          </cell>
          <cell r="M1788" t="str">
            <v>CIRCUIT SUPPLIER 02</v>
          </cell>
          <cell r="N1788" t="str">
            <v>CIRCUIT SUPPLY</v>
          </cell>
          <cell r="O1788" t="str">
            <v>B</v>
          </cell>
        </row>
        <row r="1789">
          <cell r="A1789">
            <v>21688</v>
          </cell>
          <cell r="B1789" t="str">
            <v>YULI PRIHATINI</v>
          </cell>
          <cell r="C1789" t="str">
            <v>SAMI</v>
          </cell>
          <cell r="D1789" t="str">
            <v>OPT-537</v>
          </cell>
          <cell r="E1789">
            <v>43055</v>
          </cell>
          <cell r="F1789">
            <v>43466</v>
          </cell>
          <cell r="G1789">
            <v>43830</v>
          </cell>
          <cell r="H1789" t="str">
            <v>PRD</v>
          </cell>
          <cell r="I1789" t="str">
            <v>PRD</v>
          </cell>
          <cell r="J1789" t="str">
            <v>HONDA FREED</v>
          </cell>
          <cell r="K1789" t="str">
            <v>HONDA FREED W/H FLOOR</v>
          </cell>
          <cell r="L1789" t="str">
            <v>CV 4</v>
          </cell>
          <cell r="M1789" t="str">
            <v>PROTECTOR 1</v>
          </cell>
          <cell r="N1789" t="str">
            <v>ASSEMBLY</v>
          </cell>
          <cell r="O1789" t="str">
            <v>B</v>
          </cell>
        </row>
        <row r="1790">
          <cell r="A1790">
            <v>21772</v>
          </cell>
          <cell r="B1790" t="str">
            <v>IKA NOVIA WIDIASTUTI</v>
          </cell>
          <cell r="C1790" t="str">
            <v>SAMI</v>
          </cell>
          <cell r="D1790" t="str">
            <v>OPT-540</v>
          </cell>
          <cell r="E1790">
            <v>43090</v>
          </cell>
          <cell r="F1790">
            <v>43121</v>
          </cell>
          <cell r="G1790">
            <v>43496</v>
          </cell>
          <cell r="H1790" t="str">
            <v>PRD</v>
          </cell>
          <cell r="I1790" t="str">
            <v>PRD</v>
          </cell>
          <cell r="J1790" t="str">
            <v>HONDA FREED</v>
          </cell>
          <cell r="K1790" t="str">
            <v>HONDA FREED W/H FLOOR</v>
          </cell>
          <cell r="L1790" t="str">
            <v>CV 4</v>
          </cell>
          <cell r="M1790" t="str">
            <v>S/T 4</v>
          </cell>
          <cell r="N1790" t="str">
            <v>ASSEMBLY</v>
          </cell>
          <cell r="O1790" t="str">
            <v>B</v>
          </cell>
        </row>
        <row r="1791">
          <cell r="A1791">
            <v>21908</v>
          </cell>
          <cell r="B1791" t="str">
            <v>WAHYU WINDASARI</v>
          </cell>
          <cell r="C1791" t="str">
            <v>SAMI</v>
          </cell>
          <cell r="D1791" t="str">
            <v>OPT-542</v>
          </cell>
          <cell r="E1791">
            <v>43103</v>
          </cell>
          <cell r="F1791">
            <v>43134</v>
          </cell>
          <cell r="G1791">
            <v>43496</v>
          </cell>
          <cell r="H1791" t="str">
            <v>PRD</v>
          </cell>
          <cell r="I1791" t="str">
            <v>PRD</v>
          </cell>
          <cell r="J1791" t="str">
            <v>HONDA FREED</v>
          </cell>
          <cell r="K1791" t="str">
            <v>HONDA FREED W/H FLOOR</v>
          </cell>
          <cell r="L1791" t="str">
            <v>CV 4</v>
          </cell>
          <cell r="M1791" t="str">
            <v>S/T 3</v>
          </cell>
          <cell r="N1791" t="str">
            <v>ASSEMBLY</v>
          </cell>
          <cell r="O1791" t="str">
            <v>B</v>
          </cell>
        </row>
        <row r="1792">
          <cell r="A1792">
            <v>21909</v>
          </cell>
          <cell r="B1792" t="str">
            <v>WRI WINASIH</v>
          </cell>
          <cell r="C1792" t="str">
            <v>SAMI</v>
          </cell>
          <cell r="D1792" t="str">
            <v>OPT-542</v>
          </cell>
          <cell r="E1792">
            <v>43103</v>
          </cell>
          <cell r="F1792">
            <v>43134</v>
          </cell>
          <cell r="G1792">
            <v>43496</v>
          </cell>
          <cell r="H1792" t="str">
            <v>PRD</v>
          </cell>
          <cell r="I1792" t="str">
            <v>PRD</v>
          </cell>
          <cell r="J1792" t="str">
            <v>HONDA FREED</v>
          </cell>
          <cell r="K1792" t="str">
            <v>HONDA FREED W/H FLOOR</v>
          </cell>
          <cell r="L1792" t="str">
            <v>CV 4</v>
          </cell>
          <cell r="M1792" t="str">
            <v>CHECKER</v>
          </cell>
          <cell r="N1792" t="str">
            <v>ELECTRICAL INSPECTION</v>
          </cell>
          <cell r="O1792" t="str">
            <v>B</v>
          </cell>
        </row>
        <row r="1793">
          <cell r="A1793">
            <v>21989</v>
          </cell>
          <cell r="B1793" t="str">
            <v>DEWI AGUSTIN</v>
          </cell>
          <cell r="C1793" t="str">
            <v>SAMI</v>
          </cell>
          <cell r="D1793" t="str">
            <v>OPT-546</v>
          </cell>
          <cell r="E1793">
            <v>43139</v>
          </cell>
          <cell r="F1793">
            <v>43167</v>
          </cell>
          <cell r="G1793">
            <v>43524</v>
          </cell>
          <cell r="H1793" t="str">
            <v>PRD</v>
          </cell>
          <cell r="I1793" t="str">
            <v>PRD</v>
          </cell>
          <cell r="J1793" t="str">
            <v>HONDA FREED</v>
          </cell>
          <cell r="K1793" t="str">
            <v>HONDA FREED W/H FLOOR</v>
          </cell>
          <cell r="L1793" t="str">
            <v>CV 4</v>
          </cell>
          <cell r="M1793" t="str">
            <v>S/A 4</v>
          </cell>
          <cell r="N1793" t="str">
            <v>SUB ASSY</v>
          </cell>
          <cell r="O1793" t="str">
            <v>B</v>
          </cell>
        </row>
        <row r="1794">
          <cell r="A1794">
            <v>21991</v>
          </cell>
          <cell r="B1794" t="str">
            <v>ELI FATUN</v>
          </cell>
          <cell r="C1794" t="str">
            <v>SAMI</v>
          </cell>
          <cell r="D1794" t="str">
            <v>OPT-546</v>
          </cell>
          <cell r="E1794">
            <v>43139</v>
          </cell>
          <cell r="F1794">
            <v>43167</v>
          </cell>
          <cell r="G1794">
            <v>43524</v>
          </cell>
          <cell r="H1794" t="str">
            <v>PRD</v>
          </cell>
          <cell r="I1794" t="str">
            <v>PRD</v>
          </cell>
          <cell r="J1794" t="str">
            <v>HONDA FREED</v>
          </cell>
          <cell r="K1794" t="str">
            <v>HONDA FREED W/H FLOOR</v>
          </cell>
          <cell r="L1794" t="str">
            <v>CV 4</v>
          </cell>
          <cell r="M1794" t="str">
            <v>S/A 6</v>
          </cell>
          <cell r="N1794" t="str">
            <v>SUB ASSY</v>
          </cell>
          <cell r="O1794" t="str">
            <v>B</v>
          </cell>
        </row>
        <row r="1795">
          <cell r="A1795">
            <v>22172</v>
          </cell>
          <cell r="B1795" t="str">
            <v>DEA NABILAH AZARIA</v>
          </cell>
          <cell r="C1795" t="str">
            <v>SAMI</v>
          </cell>
          <cell r="D1795" t="str">
            <v>OPT-550</v>
          </cell>
          <cell r="E1795">
            <v>43158</v>
          </cell>
          <cell r="F1795">
            <v>43186</v>
          </cell>
          <cell r="G1795">
            <v>43555</v>
          </cell>
          <cell r="H1795" t="str">
            <v>PRD</v>
          </cell>
          <cell r="I1795" t="str">
            <v>PRD</v>
          </cell>
          <cell r="J1795" t="str">
            <v>HONDA FREED</v>
          </cell>
          <cell r="K1795" t="str">
            <v>HONDA FREED W/H FLOOR</v>
          </cell>
          <cell r="L1795" t="str">
            <v>CV 4</v>
          </cell>
          <cell r="M1795" t="str">
            <v>S/A 6</v>
          </cell>
          <cell r="N1795" t="str">
            <v>SUB ASSY</v>
          </cell>
          <cell r="O1795" t="str">
            <v>B</v>
          </cell>
        </row>
        <row r="1796">
          <cell r="A1796">
            <v>22179</v>
          </cell>
          <cell r="B1796" t="str">
            <v>DWI INDAH FAJARWATI</v>
          </cell>
          <cell r="C1796" t="str">
            <v>SAMI</v>
          </cell>
          <cell r="D1796" t="str">
            <v>OPT-550</v>
          </cell>
          <cell r="E1796">
            <v>43158</v>
          </cell>
          <cell r="F1796">
            <v>43186</v>
          </cell>
          <cell r="G1796">
            <v>43555</v>
          </cell>
          <cell r="H1796" t="str">
            <v>PRD</v>
          </cell>
          <cell r="I1796" t="str">
            <v>PRD</v>
          </cell>
          <cell r="J1796" t="str">
            <v>HONDA FREED</v>
          </cell>
          <cell r="K1796" t="str">
            <v>HONDA FREED W/H FLOOR</v>
          </cell>
          <cell r="L1796" t="str">
            <v>CV 4</v>
          </cell>
          <cell r="M1796" t="str">
            <v>T/P 6</v>
          </cell>
          <cell r="N1796" t="str">
            <v>ASSEMBLY</v>
          </cell>
          <cell r="O1796" t="str">
            <v>B</v>
          </cell>
        </row>
        <row r="1797">
          <cell r="A1797">
            <v>22189</v>
          </cell>
          <cell r="B1797" t="str">
            <v>LINANDA ALVIONITA</v>
          </cell>
          <cell r="C1797" t="str">
            <v>SAMI</v>
          </cell>
          <cell r="D1797" t="str">
            <v>OPT-550</v>
          </cell>
          <cell r="E1797">
            <v>43158</v>
          </cell>
          <cell r="F1797">
            <v>43186</v>
          </cell>
          <cell r="G1797">
            <v>43555</v>
          </cell>
          <cell r="H1797" t="str">
            <v>PRD</v>
          </cell>
          <cell r="I1797" t="str">
            <v>PRD</v>
          </cell>
          <cell r="J1797" t="str">
            <v>HONDA FREED</v>
          </cell>
          <cell r="K1797" t="str">
            <v>HONDA FREED W/H FLOOR</v>
          </cell>
          <cell r="L1797" t="str">
            <v>CV 4</v>
          </cell>
          <cell r="M1797" t="str">
            <v>MATERIAL SUPPLY</v>
          </cell>
          <cell r="N1797" t="str">
            <v>MATERIAL SUPPLY</v>
          </cell>
          <cell r="O1797" t="str">
            <v>B</v>
          </cell>
        </row>
        <row r="1798">
          <cell r="A1798">
            <v>22192</v>
          </cell>
          <cell r="B1798" t="str">
            <v>NUR AZHIZHAH</v>
          </cell>
          <cell r="C1798" t="str">
            <v>SAMI</v>
          </cell>
          <cell r="D1798" t="str">
            <v>OPT-550</v>
          </cell>
          <cell r="E1798">
            <v>43158</v>
          </cell>
          <cell r="F1798">
            <v>43186</v>
          </cell>
          <cell r="G1798">
            <v>43555</v>
          </cell>
          <cell r="H1798" t="str">
            <v>PRD</v>
          </cell>
          <cell r="I1798" t="str">
            <v>PRD</v>
          </cell>
          <cell r="J1798" t="str">
            <v>HONDA FREED</v>
          </cell>
          <cell r="K1798" t="str">
            <v>HONDA FREED W/H FLOOR</v>
          </cell>
          <cell r="L1798" t="str">
            <v>CV 4</v>
          </cell>
          <cell r="M1798" t="str">
            <v>PROTECTOR 2</v>
          </cell>
          <cell r="N1798" t="str">
            <v>ASSEMBLY</v>
          </cell>
          <cell r="O1798" t="str">
            <v>B</v>
          </cell>
        </row>
        <row r="1799">
          <cell r="A1799">
            <v>22249</v>
          </cell>
          <cell r="B1799" t="str">
            <v>DIAN AYU SUNANDAR</v>
          </cell>
          <cell r="C1799" t="str">
            <v>SAMI</v>
          </cell>
          <cell r="D1799" t="str">
            <v>OPT-552</v>
          </cell>
          <cell r="E1799">
            <v>43171</v>
          </cell>
          <cell r="F1799">
            <v>43202</v>
          </cell>
          <cell r="G1799">
            <v>43555</v>
          </cell>
          <cell r="H1799" t="str">
            <v>PRD</v>
          </cell>
          <cell r="I1799" t="str">
            <v>PRD</v>
          </cell>
          <cell r="J1799" t="str">
            <v>HONDA FREED</v>
          </cell>
          <cell r="K1799" t="str">
            <v>HONDA FREED W/H FLOOR</v>
          </cell>
          <cell r="L1799" t="str">
            <v>CV 4</v>
          </cell>
          <cell r="M1799" t="str">
            <v>S/T 4</v>
          </cell>
          <cell r="N1799" t="str">
            <v>ASSEMBLY</v>
          </cell>
          <cell r="O1799" t="str">
            <v>B</v>
          </cell>
        </row>
        <row r="1800">
          <cell r="A1800">
            <v>22251</v>
          </cell>
          <cell r="B1800" t="str">
            <v>GALIH PAGESANG</v>
          </cell>
          <cell r="C1800" t="str">
            <v>SAMI</v>
          </cell>
          <cell r="D1800" t="str">
            <v>OPT-552</v>
          </cell>
          <cell r="E1800">
            <v>43171</v>
          </cell>
          <cell r="F1800">
            <v>43202</v>
          </cell>
          <cell r="G1800">
            <v>43555</v>
          </cell>
          <cell r="H1800" t="str">
            <v>PRD</v>
          </cell>
          <cell r="I1800" t="str">
            <v>PRD</v>
          </cell>
          <cell r="J1800" t="str">
            <v>HONDA FREED</v>
          </cell>
          <cell r="K1800" t="str">
            <v>HONDA FREED W/H FLOOR</v>
          </cell>
          <cell r="L1800" t="str">
            <v>CV 4</v>
          </cell>
          <cell r="M1800" t="str">
            <v>CIRCUIT SUPPLIER 03</v>
          </cell>
          <cell r="N1800" t="str">
            <v>CIRCUIT SUPPLY</v>
          </cell>
          <cell r="O1800" t="str">
            <v>B</v>
          </cell>
        </row>
        <row r="1801">
          <cell r="A1801">
            <v>22266</v>
          </cell>
          <cell r="B1801" t="str">
            <v>DYAH RAHMAWATI</v>
          </cell>
          <cell r="C1801" t="str">
            <v>SAMI</v>
          </cell>
          <cell r="D1801" t="str">
            <v>OPT-554</v>
          </cell>
          <cell r="E1801">
            <v>43181</v>
          </cell>
          <cell r="F1801">
            <v>43212</v>
          </cell>
          <cell r="G1801">
            <v>43585</v>
          </cell>
          <cell r="H1801" t="str">
            <v>PRD</v>
          </cell>
          <cell r="I1801" t="str">
            <v>PRD</v>
          </cell>
          <cell r="J1801" t="str">
            <v>HONDA FREED</v>
          </cell>
          <cell r="K1801" t="str">
            <v>HONDA FREED W/H FLOOR</v>
          </cell>
          <cell r="L1801" t="str">
            <v>CV 4</v>
          </cell>
          <cell r="M1801" t="str">
            <v>T/P 3</v>
          </cell>
          <cell r="N1801" t="str">
            <v>ASSEMBLY</v>
          </cell>
          <cell r="O1801" t="str">
            <v>B</v>
          </cell>
        </row>
        <row r="1802">
          <cell r="A1802">
            <v>22279</v>
          </cell>
          <cell r="B1802" t="str">
            <v>ARIS WIDJIATI</v>
          </cell>
          <cell r="C1802" t="str">
            <v>SAMI</v>
          </cell>
          <cell r="D1802" t="str">
            <v>OPT-555</v>
          </cell>
          <cell r="E1802">
            <v>43192</v>
          </cell>
          <cell r="F1802">
            <v>43222</v>
          </cell>
          <cell r="G1802">
            <v>43585</v>
          </cell>
          <cell r="H1802" t="str">
            <v>PRD</v>
          </cell>
          <cell r="I1802" t="str">
            <v>PRD</v>
          </cell>
          <cell r="J1802" t="str">
            <v>HONDA FREED</v>
          </cell>
          <cell r="K1802" t="str">
            <v>HONDA FREED W/H FLOOR</v>
          </cell>
          <cell r="L1802" t="str">
            <v>CV 4</v>
          </cell>
          <cell r="M1802" t="str">
            <v>S/A 5</v>
          </cell>
          <cell r="N1802" t="str">
            <v>SUB ASSY</v>
          </cell>
          <cell r="O1802" t="str">
            <v>B</v>
          </cell>
        </row>
        <row r="1803">
          <cell r="A1803">
            <v>22335</v>
          </cell>
          <cell r="B1803" t="str">
            <v>ETI INDRIANI</v>
          </cell>
          <cell r="C1803" t="str">
            <v>SAMI</v>
          </cell>
          <cell r="D1803" t="str">
            <v>OPT-556</v>
          </cell>
          <cell r="E1803">
            <v>43195</v>
          </cell>
          <cell r="F1803">
            <v>43225</v>
          </cell>
          <cell r="G1803">
            <v>43585</v>
          </cell>
          <cell r="H1803" t="str">
            <v>PRD</v>
          </cell>
          <cell r="I1803" t="str">
            <v>PRD</v>
          </cell>
          <cell r="J1803" t="str">
            <v>HONDA FREED</v>
          </cell>
          <cell r="K1803" t="str">
            <v>HONDA FREED W/H FLOOR</v>
          </cell>
          <cell r="L1803" t="str">
            <v>CV 4</v>
          </cell>
          <cell r="M1803" t="str">
            <v>T/P 4</v>
          </cell>
          <cell r="N1803" t="str">
            <v>ASSEMBLY</v>
          </cell>
          <cell r="O1803" t="str">
            <v>B</v>
          </cell>
        </row>
        <row r="1804">
          <cell r="A1804">
            <v>22414</v>
          </cell>
          <cell r="B1804" t="str">
            <v>RIKA NUR LAILIYA</v>
          </cell>
          <cell r="C1804" t="str">
            <v>SAMI</v>
          </cell>
          <cell r="D1804" t="str">
            <v>OPT-558</v>
          </cell>
          <cell r="E1804">
            <v>43213</v>
          </cell>
          <cell r="F1804">
            <v>43243</v>
          </cell>
          <cell r="G1804">
            <v>43616</v>
          </cell>
          <cell r="H1804" t="str">
            <v>PRD</v>
          </cell>
          <cell r="I1804" t="str">
            <v>PRD</v>
          </cell>
          <cell r="J1804" t="str">
            <v>HONDA FREED</v>
          </cell>
          <cell r="K1804" t="str">
            <v>HONDA FREED W/H FLOOR</v>
          </cell>
          <cell r="L1804" t="str">
            <v>CV 4</v>
          </cell>
          <cell r="M1804" t="str">
            <v>OJT S/A 3</v>
          </cell>
          <cell r="N1804" t="str">
            <v>INTERNAL TRIAL</v>
          </cell>
          <cell r="O1804" t="str">
            <v>B</v>
          </cell>
        </row>
        <row r="1805">
          <cell r="A1805">
            <v>22646</v>
          </cell>
          <cell r="B1805" t="str">
            <v>DEWI LESTARI</v>
          </cell>
          <cell r="C1805" t="str">
            <v>SAMI</v>
          </cell>
          <cell r="D1805" t="str">
            <v>OPT-562</v>
          </cell>
          <cell r="E1805">
            <v>43241</v>
          </cell>
          <cell r="F1805">
            <v>43272</v>
          </cell>
          <cell r="G1805">
            <v>43646</v>
          </cell>
          <cell r="H1805" t="str">
            <v>PRD</v>
          </cell>
          <cell r="I1805" t="str">
            <v>PRD</v>
          </cell>
          <cell r="J1805" t="str">
            <v>HONDA FREED</v>
          </cell>
          <cell r="K1805" t="str">
            <v>HONDA FREED W/H FLOOR</v>
          </cell>
          <cell r="L1805" t="str">
            <v>CV 4</v>
          </cell>
          <cell r="M1805" t="str">
            <v>T/P 5</v>
          </cell>
          <cell r="N1805" t="str">
            <v>ASSEMBLY</v>
          </cell>
          <cell r="O1805" t="str">
            <v>B</v>
          </cell>
        </row>
        <row r="1806">
          <cell r="A1806">
            <v>22684</v>
          </cell>
          <cell r="B1806" t="str">
            <v>WIDYA ARIYANTI</v>
          </cell>
          <cell r="C1806" t="str">
            <v>SAMI</v>
          </cell>
          <cell r="D1806" t="str">
            <v>OPT-562</v>
          </cell>
          <cell r="E1806">
            <v>43241</v>
          </cell>
          <cell r="F1806">
            <v>43272</v>
          </cell>
          <cell r="G1806">
            <v>43646</v>
          </cell>
          <cell r="H1806" t="str">
            <v>PRD</v>
          </cell>
          <cell r="I1806" t="str">
            <v>PRD</v>
          </cell>
          <cell r="J1806" t="str">
            <v>HONDA FREED</v>
          </cell>
          <cell r="K1806" t="str">
            <v>HONDA FREED W/H FLOOR</v>
          </cell>
          <cell r="L1806" t="str">
            <v>CV 4</v>
          </cell>
          <cell r="M1806" t="str">
            <v>S/T 2</v>
          </cell>
          <cell r="N1806" t="str">
            <v>ASSEMBLY</v>
          </cell>
          <cell r="O1806" t="str">
            <v>B</v>
          </cell>
        </row>
        <row r="1807">
          <cell r="A1807">
            <v>22743</v>
          </cell>
          <cell r="B1807" t="str">
            <v>LULU WALIDAINI</v>
          </cell>
          <cell r="C1807" t="str">
            <v>SAMI</v>
          </cell>
          <cell r="D1807" t="str">
            <v>OPT-564</v>
          </cell>
          <cell r="E1807">
            <v>43255</v>
          </cell>
          <cell r="F1807">
            <v>43285</v>
          </cell>
          <cell r="G1807">
            <v>43646</v>
          </cell>
          <cell r="H1807" t="str">
            <v>PRD</v>
          </cell>
          <cell r="I1807" t="str">
            <v>PRD</v>
          </cell>
          <cell r="J1807" t="str">
            <v>HONDA FREED</v>
          </cell>
          <cell r="K1807" t="str">
            <v>HONDA FREED W/H FLOOR</v>
          </cell>
          <cell r="L1807" t="str">
            <v>CV 4</v>
          </cell>
          <cell r="M1807" t="str">
            <v>S/T 2</v>
          </cell>
          <cell r="N1807" t="str">
            <v>ASSEMBLY</v>
          </cell>
          <cell r="O1807" t="str">
            <v>B</v>
          </cell>
        </row>
        <row r="1808">
          <cell r="A1808">
            <v>22760</v>
          </cell>
          <cell r="B1808" t="str">
            <v>RIZQI SAFITRI</v>
          </cell>
          <cell r="C1808" t="str">
            <v>SAMI</v>
          </cell>
          <cell r="D1808" t="str">
            <v>OPT-564</v>
          </cell>
          <cell r="E1808">
            <v>43255</v>
          </cell>
          <cell r="F1808">
            <v>43285</v>
          </cell>
          <cell r="G1808">
            <v>43646</v>
          </cell>
          <cell r="H1808" t="str">
            <v>PRD</v>
          </cell>
          <cell r="I1808" t="str">
            <v>PRD</v>
          </cell>
          <cell r="J1808" t="str">
            <v>HONDA FREED</v>
          </cell>
          <cell r="K1808" t="str">
            <v>HONDA FREED W/H FLOOR</v>
          </cell>
          <cell r="L1808" t="str">
            <v>CV 4</v>
          </cell>
          <cell r="M1808" t="str">
            <v>T/P 4</v>
          </cell>
          <cell r="N1808" t="str">
            <v>ASSEMBLY</v>
          </cell>
          <cell r="O1808" t="str">
            <v>B</v>
          </cell>
        </row>
        <row r="1809">
          <cell r="A1809">
            <v>22777</v>
          </cell>
          <cell r="B1809" t="str">
            <v>WAENINGSIH</v>
          </cell>
          <cell r="C1809" t="str">
            <v>SAMI</v>
          </cell>
          <cell r="D1809" t="str">
            <v>OPT-564</v>
          </cell>
          <cell r="E1809">
            <v>43255</v>
          </cell>
          <cell r="F1809">
            <v>43285</v>
          </cell>
          <cell r="G1809">
            <v>43646</v>
          </cell>
          <cell r="H1809" t="str">
            <v>PRD</v>
          </cell>
          <cell r="I1809" t="str">
            <v>PRD</v>
          </cell>
          <cell r="J1809" t="str">
            <v>HONDA FREED</v>
          </cell>
          <cell r="K1809" t="str">
            <v>HONDA FREED W/H FLOOR</v>
          </cell>
          <cell r="L1809" t="str">
            <v>CV 4</v>
          </cell>
          <cell r="M1809" t="str">
            <v>T/P 1.1</v>
          </cell>
          <cell r="N1809" t="str">
            <v>ASSEMBLY</v>
          </cell>
          <cell r="O1809" t="str">
            <v>B</v>
          </cell>
        </row>
        <row r="1810">
          <cell r="A1810">
            <v>22825</v>
          </cell>
          <cell r="B1810" t="str">
            <v>DUANDA WIWIN DESITAWATI</v>
          </cell>
          <cell r="C1810" t="str">
            <v>SAMI</v>
          </cell>
          <cell r="D1810" t="str">
            <v>OPT-567</v>
          </cell>
          <cell r="E1810">
            <v>43333</v>
          </cell>
          <cell r="F1810">
            <v>43364</v>
          </cell>
          <cell r="G1810">
            <v>43738</v>
          </cell>
          <cell r="H1810" t="str">
            <v>PRD</v>
          </cell>
          <cell r="I1810" t="str">
            <v>PRD</v>
          </cell>
          <cell r="J1810" t="str">
            <v>HONDA FREED</v>
          </cell>
          <cell r="K1810" t="str">
            <v>HONDA FREED W/H FLOOR</v>
          </cell>
          <cell r="L1810" t="str">
            <v>CV 4</v>
          </cell>
          <cell r="M1810" t="str">
            <v>S/T 1.1</v>
          </cell>
          <cell r="N1810" t="str">
            <v>ASSEMBLY</v>
          </cell>
          <cell r="O1810" t="str">
            <v>B</v>
          </cell>
        </row>
        <row r="1811">
          <cell r="A1811">
            <v>22829</v>
          </cell>
          <cell r="B1811" t="str">
            <v>ENI PRIHATIN</v>
          </cell>
          <cell r="C1811" t="str">
            <v>SAMI</v>
          </cell>
          <cell r="D1811" t="str">
            <v>OPT-567</v>
          </cell>
          <cell r="E1811">
            <v>43333</v>
          </cell>
          <cell r="F1811">
            <v>43364</v>
          </cell>
          <cell r="G1811">
            <v>43738</v>
          </cell>
          <cell r="H1811" t="str">
            <v>PRD</v>
          </cell>
          <cell r="I1811" t="str">
            <v>PRD</v>
          </cell>
          <cell r="J1811" t="str">
            <v>HONDA FREED</v>
          </cell>
          <cell r="K1811" t="str">
            <v>HONDA FREED W/H FLOOR</v>
          </cell>
          <cell r="L1811" t="str">
            <v>CV 4</v>
          </cell>
          <cell r="M1811" t="str">
            <v>PROTECTOR 6</v>
          </cell>
          <cell r="N1811" t="str">
            <v>ASSEMBLY</v>
          </cell>
          <cell r="O1811" t="str">
            <v>B</v>
          </cell>
        </row>
        <row r="1812">
          <cell r="A1812">
            <v>22834</v>
          </cell>
          <cell r="B1812" t="str">
            <v>HESTI YUSTIANA</v>
          </cell>
          <cell r="C1812" t="str">
            <v>SAMI</v>
          </cell>
          <cell r="D1812" t="str">
            <v>OPT-567</v>
          </cell>
          <cell r="E1812">
            <v>43333</v>
          </cell>
          <cell r="F1812">
            <v>43364</v>
          </cell>
          <cell r="G1812">
            <v>43738</v>
          </cell>
          <cell r="H1812" t="str">
            <v>PRD</v>
          </cell>
          <cell r="I1812" t="str">
            <v>PRD</v>
          </cell>
          <cell r="J1812" t="str">
            <v>HONDA FREED</v>
          </cell>
          <cell r="K1812" t="str">
            <v>HONDA FREED W/H FLOOR</v>
          </cell>
          <cell r="L1812" t="str">
            <v>CV 4</v>
          </cell>
          <cell r="M1812" t="str">
            <v>MATERIAL SUPPLY</v>
          </cell>
          <cell r="N1812" t="str">
            <v>MATERIAL SUPPLY</v>
          </cell>
          <cell r="O1812" t="str">
            <v>B</v>
          </cell>
        </row>
        <row r="1813">
          <cell r="A1813">
            <v>22835</v>
          </cell>
          <cell r="B1813" t="str">
            <v>IDA UMROTUN</v>
          </cell>
          <cell r="C1813" t="str">
            <v>SAMI</v>
          </cell>
          <cell r="D1813" t="str">
            <v>OPT-567</v>
          </cell>
          <cell r="E1813">
            <v>43333</v>
          </cell>
          <cell r="F1813">
            <v>43364</v>
          </cell>
          <cell r="G1813">
            <v>43738</v>
          </cell>
          <cell r="H1813" t="str">
            <v>PRD</v>
          </cell>
          <cell r="I1813" t="str">
            <v>PRD</v>
          </cell>
          <cell r="J1813" t="str">
            <v>HONDA FREED</v>
          </cell>
          <cell r="K1813" t="str">
            <v>HONDA FREED W/H FLOOR</v>
          </cell>
          <cell r="L1813" t="str">
            <v>CV 4</v>
          </cell>
          <cell r="M1813" t="str">
            <v>PROTECTOR 3</v>
          </cell>
          <cell r="N1813" t="str">
            <v>ASSEMBLY</v>
          </cell>
          <cell r="O1813" t="str">
            <v>B</v>
          </cell>
        </row>
        <row r="1814">
          <cell r="A1814">
            <v>22844</v>
          </cell>
          <cell r="B1814" t="str">
            <v>LAIYA NIFSI SHENAZAH</v>
          </cell>
          <cell r="C1814" t="str">
            <v>SAMI</v>
          </cell>
          <cell r="D1814" t="str">
            <v>OPT-567</v>
          </cell>
          <cell r="E1814">
            <v>43333</v>
          </cell>
          <cell r="F1814">
            <v>43364</v>
          </cell>
          <cell r="G1814">
            <v>43738</v>
          </cell>
          <cell r="H1814" t="str">
            <v>PRD</v>
          </cell>
          <cell r="I1814" t="str">
            <v>PRD</v>
          </cell>
          <cell r="J1814" t="str">
            <v>HONDA FREED</v>
          </cell>
          <cell r="K1814" t="str">
            <v>HONDA FREED W/H FLOOR</v>
          </cell>
          <cell r="L1814" t="str">
            <v>CV 4</v>
          </cell>
          <cell r="M1814" t="str">
            <v>MATERIAL SUPPLY</v>
          </cell>
          <cell r="N1814" t="str">
            <v>MATERIAL SUPPLY</v>
          </cell>
          <cell r="O1814" t="str">
            <v>B</v>
          </cell>
        </row>
        <row r="1815">
          <cell r="A1815">
            <v>22930</v>
          </cell>
          <cell r="B1815" t="str">
            <v>FATMA ROSSA SAFIRA</v>
          </cell>
          <cell r="C1815" t="str">
            <v>SAMI</v>
          </cell>
          <cell r="D1815" t="str">
            <v>OPT-568</v>
          </cell>
          <cell r="E1815">
            <v>43343</v>
          </cell>
          <cell r="F1815">
            <v>43374</v>
          </cell>
          <cell r="G1815">
            <v>43738</v>
          </cell>
          <cell r="H1815" t="str">
            <v>PRD</v>
          </cell>
          <cell r="I1815" t="str">
            <v>PRD</v>
          </cell>
          <cell r="J1815" t="str">
            <v>HONDA FREED</v>
          </cell>
          <cell r="K1815" t="str">
            <v>HONDA FREED W/H FLOOR</v>
          </cell>
          <cell r="L1815" t="str">
            <v>CV 4</v>
          </cell>
          <cell r="M1815" t="str">
            <v>T/P 2B</v>
          </cell>
          <cell r="N1815" t="str">
            <v>INTERNAL TRIAL</v>
          </cell>
          <cell r="O1815" t="str">
            <v>B</v>
          </cell>
        </row>
        <row r="1816">
          <cell r="A1816">
            <v>22937</v>
          </cell>
          <cell r="B1816" t="str">
            <v>HIKMATUL AKROFIAH</v>
          </cell>
          <cell r="C1816" t="str">
            <v>SAMI</v>
          </cell>
          <cell r="D1816" t="str">
            <v>OPT-568</v>
          </cell>
          <cell r="E1816">
            <v>43343</v>
          </cell>
          <cell r="F1816">
            <v>43374</v>
          </cell>
          <cell r="G1816">
            <v>43738</v>
          </cell>
          <cell r="H1816" t="str">
            <v>PRD</v>
          </cell>
          <cell r="I1816" t="str">
            <v>PRD</v>
          </cell>
          <cell r="J1816" t="str">
            <v>HONDA FREED</v>
          </cell>
          <cell r="K1816" t="str">
            <v>HONDA FREED W/H FLOOR</v>
          </cell>
          <cell r="L1816" t="str">
            <v>CV 4</v>
          </cell>
          <cell r="M1816" t="str">
            <v>CHECKER 02</v>
          </cell>
          <cell r="N1816" t="str">
            <v>ELECTRICAL INSPECTION</v>
          </cell>
          <cell r="O1816" t="str">
            <v>B</v>
          </cell>
        </row>
        <row r="1817">
          <cell r="A1817">
            <v>23290</v>
          </cell>
          <cell r="B1817" t="str">
            <v>AFRIDA NIKMATUL HIDAYAH</v>
          </cell>
          <cell r="C1817" t="str">
            <v>SAMI</v>
          </cell>
          <cell r="D1817" t="str">
            <v>OPT-574</v>
          </cell>
          <cell r="E1817">
            <v>43427</v>
          </cell>
          <cell r="F1817">
            <v>43457</v>
          </cell>
          <cell r="G1817">
            <v>43830</v>
          </cell>
          <cell r="H1817" t="str">
            <v>PRD</v>
          </cell>
          <cell r="I1817" t="str">
            <v>PRD</v>
          </cell>
          <cell r="J1817" t="str">
            <v>HONDA FREED</v>
          </cell>
          <cell r="K1817" t="str">
            <v>HONDA FREED W/H FLOOR</v>
          </cell>
          <cell r="L1817" t="str">
            <v>CV 4</v>
          </cell>
          <cell r="M1817" t="str">
            <v>S/A 3</v>
          </cell>
          <cell r="N1817" t="str">
            <v>ASSEMBLY</v>
          </cell>
          <cell r="O1817" t="str">
            <v>B</v>
          </cell>
        </row>
        <row r="1818">
          <cell r="A1818">
            <v>23383</v>
          </cell>
          <cell r="B1818" t="str">
            <v>WINDA SUCIATI</v>
          </cell>
          <cell r="C1818" t="str">
            <v>SAMI</v>
          </cell>
          <cell r="D1818" t="str">
            <v>OPT-574</v>
          </cell>
          <cell r="E1818">
            <v>43427</v>
          </cell>
          <cell r="F1818">
            <v>43457</v>
          </cell>
          <cell r="G1818">
            <v>43830</v>
          </cell>
          <cell r="H1818" t="str">
            <v>PRD</v>
          </cell>
          <cell r="I1818" t="str">
            <v>PRD</v>
          </cell>
          <cell r="J1818" t="str">
            <v>HONDA FREED</v>
          </cell>
          <cell r="K1818" t="str">
            <v>HONDA FREED W/H FLOOR</v>
          </cell>
          <cell r="L1818" t="str">
            <v>CV 4</v>
          </cell>
          <cell r="M1818" t="str">
            <v>PROTEKTOR 5</v>
          </cell>
          <cell r="N1818" t="str">
            <v>ASSEMBLY</v>
          </cell>
          <cell r="O1818" t="str">
            <v>B</v>
          </cell>
        </row>
        <row r="1819">
          <cell r="A1819">
            <v>23411</v>
          </cell>
          <cell r="B1819" t="str">
            <v>FAIRUZ YUSUF AMIWARDANI</v>
          </cell>
          <cell r="C1819" t="str">
            <v>SAMI</v>
          </cell>
          <cell r="D1819" t="str">
            <v>OPT-575</v>
          </cell>
          <cell r="E1819">
            <v>43434</v>
          </cell>
          <cell r="F1819">
            <v>43464</v>
          </cell>
          <cell r="G1819">
            <v>43830</v>
          </cell>
          <cell r="H1819" t="str">
            <v>PRD</v>
          </cell>
          <cell r="I1819" t="str">
            <v>PRD</v>
          </cell>
          <cell r="J1819" t="str">
            <v>HONDA FREED</v>
          </cell>
          <cell r="K1819" t="str">
            <v>HONDA FREED W/H FLOOR</v>
          </cell>
          <cell r="L1819" t="str">
            <v>CV 4</v>
          </cell>
          <cell r="M1819" t="str">
            <v>T/P 5</v>
          </cell>
          <cell r="N1819" t="str">
            <v>ASSEMBLY</v>
          </cell>
          <cell r="O1819" t="str">
            <v>B</v>
          </cell>
        </row>
        <row r="1820">
          <cell r="A1820">
            <v>23467</v>
          </cell>
          <cell r="B1820" t="str">
            <v>SITI NURKAINI</v>
          </cell>
          <cell r="C1820" t="str">
            <v>SAMI</v>
          </cell>
          <cell r="D1820" t="str">
            <v>OPT-575</v>
          </cell>
          <cell r="E1820">
            <v>43434</v>
          </cell>
          <cell r="F1820">
            <v>43464</v>
          </cell>
          <cell r="G1820">
            <v>43830</v>
          </cell>
          <cell r="H1820" t="str">
            <v>PRD</v>
          </cell>
          <cell r="I1820" t="str">
            <v>PRD</v>
          </cell>
          <cell r="J1820" t="str">
            <v>HONDA FREED</v>
          </cell>
          <cell r="K1820" t="str">
            <v>HONDA FREED W/H FLOOR</v>
          </cell>
          <cell r="L1820" t="str">
            <v>CV 4</v>
          </cell>
          <cell r="M1820" t="str">
            <v>T/P 2.4</v>
          </cell>
          <cell r="N1820" t="str">
            <v>ASSEMBLY</v>
          </cell>
          <cell r="O1820" t="str">
            <v>B</v>
          </cell>
        </row>
        <row r="1821">
          <cell r="A1821">
            <v>23477</v>
          </cell>
          <cell r="B1821" t="str">
            <v>TUTIK HARYANTI</v>
          </cell>
          <cell r="C1821" t="str">
            <v>SAMI</v>
          </cell>
          <cell r="D1821" t="str">
            <v>OPT-575</v>
          </cell>
          <cell r="E1821">
            <v>43434</v>
          </cell>
          <cell r="F1821">
            <v>43464</v>
          </cell>
          <cell r="G1821">
            <v>43830</v>
          </cell>
          <cell r="H1821" t="str">
            <v>PRD</v>
          </cell>
          <cell r="I1821" t="str">
            <v>PRD</v>
          </cell>
          <cell r="J1821" t="str">
            <v>HONDA FREED</v>
          </cell>
          <cell r="K1821" t="str">
            <v>HONDA FREED W/H FLOOR</v>
          </cell>
          <cell r="L1821" t="str">
            <v>CV 4</v>
          </cell>
          <cell r="M1821" t="str">
            <v>OJT</v>
          </cell>
          <cell r="N1821" t="str">
            <v>INTERNAL TRIAL</v>
          </cell>
          <cell r="O1821" t="str">
            <v>B</v>
          </cell>
        </row>
        <row r="1822">
          <cell r="A1822">
            <v>23514</v>
          </cell>
          <cell r="B1822" t="str">
            <v>NINUK APRILIA</v>
          </cell>
          <cell r="C1822" t="str">
            <v>SAMI</v>
          </cell>
          <cell r="D1822" t="str">
            <v>OPT-576</v>
          </cell>
          <cell r="E1822">
            <v>43441</v>
          </cell>
          <cell r="F1822">
            <v>43472</v>
          </cell>
          <cell r="G1822">
            <v>43830</v>
          </cell>
          <cell r="H1822" t="str">
            <v>PRD</v>
          </cell>
          <cell r="I1822" t="str">
            <v>PRD</v>
          </cell>
          <cell r="J1822" t="str">
            <v>HONDA FREED</v>
          </cell>
          <cell r="K1822" t="str">
            <v>HONDA FREED W/H FLOOR</v>
          </cell>
          <cell r="L1822" t="str">
            <v>CV 4</v>
          </cell>
          <cell r="M1822" t="str">
            <v>OJT</v>
          </cell>
          <cell r="N1822" t="str">
            <v>INTERNAL TRIAL</v>
          </cell>
          <cell r="O1822" t="str">
            <v>B</v>
          </cell>
        </row>
        <row r="1823">
          <cell r="A1823" t="str">
            <v>B00127</v>
          </cell>
          <cell r="B1823" t="str">
            <v>EMMI OKTAVIANI</v>
          </cell>
          <cell r="C1823" t="str">
            <v>SAMI</v>
          </cell>
          <cell r="D1823" t="str">
            <v>BBF-003</v>
          </cell>
          <cell r="E1823">
            <v>40840</v>
          </cell>
          <cell r="F1823" t="str">
            <v>-</v>
          </cell>
          <cell r="G1823" t="str">
            <v>-</v>
          </cell>
          <cell r="H1823" t="str">
            <v>PRD</v>
          </cell>
          <cell r="I1823" t="str">
            <v>PRD</v>
          </cell>
          <cell r="J1823" t="str">
            <v>HONDA FREED</v>
          </cell>
          <cell r="K1823" t="str">
            <v>HONDA FREED W/H FLOOR</v>
          </cell>
          <cell r="L1823" t="str">
            <v>CV 4</v>
          </cell>
          <cell r="M1823" t="str">
            <v>S/T 3.1</v>
          </cell>
          <cell r="N1823" t="str">
            <v>ASSEMBLY</v>
          </cell>
          <cell r="O1823" t="str">
            <v>B</v>
          </cell>
        </row>
        <row r="1824">
          <cell r="A1824">
            <v>23578</v>
          </cell>
          <cell r="B1824" t="str">
            <v>NADIA AMALIYA</v>
          </cell>
          <cell r="C1824" t="str">
            <v>SAMI</v>
          </cell>
          <cell r="D1824" t="str">
            <v>OPT-577</v>
          </cell>
          <cell r="E1824">
            <v>43452</v>
          </cell>
          <cell r="F1824">
            <v>43483</v>
          </cell>
          <cell r="G1824">
            <v>43861</v>
          </cell>
          <cell r="H1824" t="str">
            <v>PRD</v>
          </cell>
          <cell r="I1824" t="str">
            <v>PRD</v>
          </cell>
          <cell r="J1824" t="str">
            <v>HONDA FREED</v>
          </cell>
          <cell r="K1824" t="str">
            <v>HONDA FREED W/H FLOOR</v>
          </cell>
          <cell r="L1824" t="str">
            <v>CV 4</v>
          </cell>
          <cell r="M1824" t="str">
            <v>OJT</v>
          </cell>
          <cell r="N1824" t="str">
            <v>INTERNAL TRIAL</v>
          </cell>
          <cell r="O1824" t="str">
            <v>B</v>
          </cell>
        </row>
        <row r="1825">
          <cell r="A1825">
            <v>530</v>
          </cell>
          <cell r="B1825" t="str">
            <v>TEMU RAHAYU</v>
          </cell>
          <cell r="C1825" t="str">
            <v>SAMI</v>
          </cell>
          <cell r="D1825" t="str">
            <v>OPT-14</v>
          </cell>
          <cell r="E1825">
            <v>37767</v>
          </cell>
          <cell r="F1825" t="str">
            <v>-</v>
          </cell>
          <cell r="G1825" t="str">
            <v>-</v>
          </cell>
          <cell r="H1825" t="str">
            <v>PRD</v>
          </cell>
          <cell r="I1825" t="str">
            <v>PRD</v>
          </cell>
          <cell r="J1825" t="str">
            <v>SUZUKI HUSTLER</v>
          </cell>
          <cell r="K1825" t="str">
            <v>SUZUKI Y0C</v>
          </cell>
          <cell r="L1825" t="str">
            <v>CV A03</v>
          </cell>
          <cell r="M1825" t="str">
            <v>BATERAY CABLE + BFT</v>
          </cell>
          <cell r="N1825" t="str">
            <v>ASSEMBLY</v>
          </cell>
          <cell r="O1825" t="str">
            <v>A</v>
          </cell>
        </row>
        <row r="1826">
          <cell r="A1826">
            <v>1200</v>
          </cell>
          <cell r="B1826" t="str">
            <v>KARTIKA SARI</v>
          </cell>
          <cell r="C1826" t="str">
            <v>SAMI</v>
          </cell>
          <cell r="D1826" t="str">
            <v>OPT-29</v>
          </cell>
          <cell r="E1826">
            <v>37907</v>
          </cell>
          <cell r="F1826" t="str">
            <v>-</v>
          </cell>
          <cell r="G1826" t="str">
            <v>-</v>
          </cell>
          <cell r="H1826" t="str">
            <v>PRD</v>
          </cell>
          <cell r="I1826" t="str">
            <v>PRD</v>
          </cell>
          <cell r="J1826" t="str">
            <v>SUZUKI HUSTLER</v>
          </cell>
          <cell r="K1826" t="str">
            <v>SUZUKI Y0C</v>
          </cell>
          <cell r="L1826" t="str">
            <v>CV A03</v>
          </cell>
          <cell r="M1826" t="str">
            <v>CHECKER + MS</v>
          </cell>
          <cell r="N1826" t="str">
            <v>ELECTRICAL INSPECTION</v>
          </cell>
          <cell r="O1826" t="str">
            <v>A</v>
          </cell>
        </row>
        <row r="1827">
          <cell r="A1827">
            <v>9473</v>
          </cell>
          <cell r="B1827" t="str">
            <v>RISKA SATRIANI</v>
          </cell>
          <cell r="C1827" t="str">
            <v>SAMI</v>
          </cell>
          <cell r="D1827" t="str">
            <v>OPT-216</v>
          </cell>
          <cell r="E1827">
            <v>40148</v>
          </cell>
          <cell r="F1827" t="str">
            <v>-</v>
          </cell>
          <cell r="G1827" t="str">
            <v>-</v>
          </cell>
          <cell r="H1827" t="str">
            <v>PRD</v>
          </cell>
          <cell r="I1827" t="str">
            <v>PRD</v>
          </cell>
          <cell r="J1827" t="str">
            <v>SUZUKI HUSTLER</v>
          </cell>
          <cell r="K1827" t="str">
            <v>SUZUKI Y0C</v>
          </cell>
          <cell r="L1827" t="str">
            <v>CV A03</v>
          </cell>
          <cell r="M1827" t="str">
            <v>VISUAL</v>
          </cell>
          <cell r="N1827" t="str">
            <v>VISUAL INSPECTION</v>
          </cell>
          <cell r="O1827" t="str">
            <v>A</v>
          </cell>
        </row>
        <row r="1828">
          <cell r="A1828">
            <v>9935</v>
          </cell>
          <cell r="B1828" t="str">
            <v>INDAH WIDYASTUTI</v>
          </cell>
          <cell r="C1828" t="str">
            <v>SAMI</v>
          </cell>
          <cell r="D1828" t="str">
            <v>OPT-246</v>
          </cell>
          <cell r="E1828">
            <v>40431</v>
          </cell>
          <cell r="F1828" t="str">
            <v>-</v>
          </cell>
          <cell r="G1828" t="str">
            <v>-</v>
          </cell>
          <cell r="H1828" t="str">
            <v>PRD</v>
          </cell>
          <cell r="I1828" t="str">
            <v>PRD</v>
          </cell>
          <cell r="J1828" t="str">
            <v>SUZUKI HUSTLER</v>
          </cell>
          <cell r="K1828" t="str">
            <v>SUZUKI Y0C</v>
          </cell>
          <cell r="L1828" t="str">
            <v>CV A03</v>
          </cell>
          <cell r="M1828" t="str">
            <v>SUB LINE CHO</v>
          </cell>
          <cell r="N1828" t="str">
            <v>GL</v>
          </cell>
          <cell r="O1828" t="str">
            <v>A</v>
          </cell>
        </row>
        <row r="1829">
          <cell r="A1829">
            <v>19580</v>
          </cell>
          <cell r="B1829" t="str">
            <v>KHOIRUL UMAM</v>
          </cell>
          <cell r="C1829" t="str">
            <v>SAMI</v>
          </cell>
          <cell r="D1829" t="str">
            <v>OPT-489</v>
          </cell>
          <cell r="E1829">
            <v>42472</v>
          </cell>
          <cell r="F1829" t="str">
            <v>-</v>
          </cell>
          <cell r="G1829" t="str">
            <v>-</v>
          </cell>
          <cell r="H1829" t="str">
            <v>PRD</v>
          </cell>
          <cell r="I1829" t="str">
            <v>PRD</v>
          </cell>
          <cell r="J1829" t="str">
            <v>SUZUKI HUSTLER</v>
          </cell>
          <cell r="K1829" t="str">
            <v>SUZUKI Y0C</v>
          </cell>
          <cell r="L1829" t="str">
            <v>CV A03</v>
          </cell>
          <cell r="M1829" t="str">
            <v>SHIAGE</v>
          </cell>
          <cell r="N1829" t="str">
            <v>ASSEMBLY</v>
          </cell>
          <cell r="O1829" t="str">
            <v>A</v>
          </cell>
        </row>
        <row r="1830">
          <cell r="A1830">
            <v>20774</v>
          </cell>
          <cell r="B1830" t="str">
            <v xml:space="preserve">WAHYUNI PUJI ASTUTI </v>
          </cell>
          <cell r="C1830" t="str">
            <v>SAMI</v>
          </cell>
          <cell r="D1830" t="str">
            <v>OPT-506</v>
          </cell>
          <cell r="E1830">
            <v>42642</v>
          </cell>
          <cell r="F1830">
            <v>43132</v>
          </cell>
          <cell r="G1830">
            <v>43496</v>
          </cell>
          <cell r="H1830" t="str">
            <v>PRD</v>
          </cell>
          <cell r="I1830" t="str">
            <v>PRD</v>
          </cell>
          <cell r="J1830" t="str">
            <v>SUZUKI HUSTLER</v>
          </cell>
          <cell r="K1830" t="str">
            <v>SUZUKI Y0C</v>
          </cell>
          <cell r="L1830" t="str">
            <v>CV A03</v>
          </cell>
          <cell r="M1830" t="str">
            <v>T/P 1</v>
          </cell>
          <cell r="N1830" t="str">
            <v>ASSEMBLY</v>
          </cell>
          <cell r="O1830" t="str">
            <v>A</v>
          </cell>
        </row>
        <row r="1831">
          <cell r="A1831">
            <v>20942</v>
          </cell>
          <cell r="B1831" t="str">
            <v>ISTRIA</v>
          </cell>
          <cell r="C1831" t="str">
            <v>SAMI</v>
          </cell>
          <cell r="D1831" t="str">
            <v>OPT-511</v>
          </cell>
          <cell r="E1831">
            <v>42667</v>
          </cell>
          <cell r="F1831">
            <v>43160</v>
          </cell>
          <cell r="G1831">
            <v>43524</v>
          </cell>
          <cell r="H1831" t="str">
            <v>PRD</v>
          </cell>
          <cell r="I1831" t="str">
            <v>PRD</v>
          </cell>
          <cell r="J1831" t="str">
            <v>SUZUKI HUSTLER</v>
          </cell>
          <cell r="K1831" t="str">
            <v>SUZUKI Y0C</v>
          </cell>
          <cell r="L1831" t="str">
            <v>CV A03</v>
          </cell>
          <cell r="M1831" t="str">
            <v>T/P 4.1</v>
          </cell>
          <cell r="N1831" t="str">
            <v>ASSEMBLY</v>
          </cell>
          <cell r="O1831" t="str">
            <v>A</v>
          </cell>
        </row>
        <row r="1832">
          <cell r="A1832">
            <v>21815</v>
          </cell>
          <cell r="B1832" t="str">
            <v>ALVINA ANISA FITRI</v>
          </cell>
          <cell r="C1832" t="str">
            <v>SAMI</v>
          </cell>
          <cell r="D1832" t="str">
            <v>OPT-541</v>
          </cell>
          <cell r="E1832">
            <v>43098</v>
          </cell>
          <cell r="F1832">
            <v>43129</v>
          </cell>
          <cell r="G1832">
            <v>43496</v>
          </cell>
          <cell r="H1832" t="str">
            <v>PRD</v>
          </cell>
          <cell r="I1832" t="str">
            <v>PRD</v>
          </cell>
          <cell r="J1832" t="str">
            <v>SUZUKI HUSTLER</v>
          </cell>
          <cell r="K1832" t="str">
            <v>SUZUKI Y0C</v>
          </cell>
          <cell r="L1832" t="str">
            <v>CV A03</v>
          </cell>
          <cell r="M1832" t="str">
            <v>CHECKER</v>
          </cell>
          <cell r="N1832" t="str">
            <v>INTERNAL TRIAL</v>
          </cell>
          <cell r="O1832" t="str">
            <v>A</v>
          </cell>
        </row>
        <row r="1833">
          <cell r="A1833">
            <v>21938</v>
          </cell>
          <cell r="B1833" t="str">
            <v>ANISA</v>
          </cell>
          <cell r="C1833" t="str">
            <v>SAMI</v>
          </cell>
          <cell r="D1833" t="str">
            <v>OPT-545</v>
          </cell>
          <cell r="E1833">
            <v>43116</v>
          </cell>
          <cell r="F1833">
            <v>43147</v>
          </cell>
          <cell r="G1833">
            <v>43524</v>
          </cell>
          <cell r="H1833" t="str">
            <v>PRD</v>
          </cell>
          <cell r="I1833" t="str">
            <v>PRD</v>
          </cell>
          <cell r="J1833" t="str">
            <v>SUZUKI HUSTLER</v>
          </cell>
          <cell r="K1833" t="str">
            <v>SUZUKI Y0C</v>
          </cell>
          <cell r="L1833" t="str">
            <v>CV A03</v>
          </cell>
          <cell r="M1833" t="str">
            <v>S/A 3</v>
          </cell>
          <cell r="N1833" t="str">
            <v>SUB ASSY</v>
          </cell>
          <cell r="O1833" t="str">
            <v>A</v>
          </cell>
        </row>
        <row r="1834">
          <cell r="A1834">
            <v>22015</v>
          </cell>
          <cell r="B1834" t="str">
            <v>AYU ARI UTAMI</v>
          </cell>
          <cell r="C1834" t="str">
            <v>SAMI</v>
          </cell>
          <cell r="D1834" t="str">
            <v>OPT-547</v>
          </cell>
          <cell r="E1834">
            <v>43144</v>
          </cell>
          <cell r="F1834">
            <v>43172</v>
          </cell>
          <cell r="G1834">
            <v>43524</v>
          </cell>
          <cell r="H1834" t="str">
            <v>PRD</v>
          </cell>
          <cell r="I1834" t="str">
            <v>PRD</v>
          </cell>
          <cell r="J1834" t="str">
            <v>SUZUKI HUSTLER</v>
          </cell>
          <cell r="K1834" t="str">
            <v>SUZUKI Y0C</v>
          </cell>
          <cell r="L1834" t="str">
            <v>CV A03</v>
          </cell>
          <cell r="M1834" t="str">
            <v>S/T 1.2</v>
          </cell>
          <cell r="N1834" t="str">
            <v>ASSEMBLY</v>
          </cell>
          <cell r="O1834" t="str">
            <v>A</v>
          </cell>
        </row>
        <row r="1835">
          <cell r="A1835">
            <v>22119</v>
          </cell>
          <cell r="B1835" t="str">
            <v>DESI ROMANDHONA</v>
          </cell>
          <cell r="C1835" t="str">
            <v>SAMI</v>
          </cell>
          <cell r="D1835" t="str">
            <v>OPT-549</v>
          </cell>
          <cell r="E1835">
            <v>43153</v>
          </cell>
          <cell r="F1835">
            <v>43181</v>
          </cell>
          <cell r="G1835">
            <v>43555</v>
          </cell>
          <cell r="H1835" t="str">
            <v>PRD</v>
          </cell>
          <cell r="I1835" t="str">
            <v>PRD</v>
          </cell>
          <cell r="J1835" t="str">
            <v>SUZUKI HUSTLER</v>
          </cell>
          <cell r="K1835" t="str">
            <v>SUZUKI Y0C</v>
          </cell>
          <cell r="L1835" t="str">
            <v>CV A03</v>
          </cell>
          <cell r="M1835" t="str">
            <v>T/P 3</v>
          </cell>
          <cell r="N1835" t="str">
            <v>ASSEMBLY</v>
          </cell>
          <cell r="O1835" t="str">
            <v>A</v>
          </cell>
        </row>
        <row r="1836">
          <cell r="A1836">
            <v>22624</v>
          </cell>
          <cell r="B1836" t="str">
            <v>PRIHATIN SETYORINI</v>
          </cell>
          <cell r="C1836" t="str">
            <v>SAMI</v>
          </cell>
          <cell r="D1836" t="str">
            <v>OPT-561</v>
          </cell>
          <cell r="E1836">
            <v>43236</v>
          </cell>
          <cell r="F1836">
            <v>43267</v>
          </cell>
          <cell r="G1836">
            <v>43646</v>
          </cell>
          <cell r="H1836" t="str">
            <v>PRD</v>
          </cell>
          <cell r="I1836" t="str">
            <v>PRD</v>
          </cell>
          <cell r="J1836" t="str">
            <v>SUZUKI HUSTLER</v>
          </cell>
          <cell r="K1836" t="str">
            <v>SUZUKI Y0C</v>
          </cell>
          <cell r="L1836" t="str">
            <v>CV A03</v>
          </cell>
          <cell r="M1836" t="str">
            <v>T/P 4.2</v>
          </cell>
          <cell r="N1836" t="str">
            <v>ASSEMBLY</v>
          </cell>
          <cell r="O1836" t="str">
            <v>A</v>
          </cell>
        </row>
        <row r="1837">
          <cell r="A1837">
            <v>22634</v>
          </cell>
          <cell r="B1837" t="str">
            <v>WEGA PRATIWI</v>
          </cell>
          <cell r="C1837" t="str">
            <v>SAMI</v>
          </cell>
          <cell r="D1837" t="str">
            <v>OPT-561</v>
          </cell>
          <cell r="E1837">
            <v>43236</v>
          </cell>
          <cell r="F1837">
            <v>43267</v>
          </cell>
          <cell r="G1837">
            <v>43646</v>
          </cell>
          <cell r="H1837" t="str">
            <v>PRD</v>
          </cell>
          <cell r="I1837" t="str">
            <v>PRD</v>
          </cell>
          <cell r="J1837" t="str">
            <v>SUZUKI HUSTLER</v>
          </cell>
          <cell r="K1837" t="str">
            <v>SUZUKI Y0C</v>
          </cell>
          <cell r="L1837" t="str">
            <v>CV A03</v>
          </cell>
          <cell r="M1837" t="str">
            <v>T/P 2</v>
          </cell>
          <cell r="N1837" t="str">
            <v>ASSEMBLY</v>
          </cell>
          <cell r="O1837" t="str">
            <v>A</v>
          </cell>
        </row>
        <row r="1838">
          <cell r="A1838">
            <v>22863</v>
          </cell>
          <cell r="B1838" t="str">
            <v>NUR FITRIYATIL LAELI</v>
          </cell>
          <cell r="C1838" t="str">
            <v>SAMI</v>
          </cell>
          <cell r="D1838" t="str">
            <v>OPT-567</v>
          </cell>
          <cell r="E1838">
            <v>43333</v>
          </cell>
          <cell r="F1838">
            <v>43364</v>
          </cell>
          <cell r="G1838">
            <v>43738</v>
          </cell>
          <cell r="H1838" t="str">
            <v>PRD</v>
          </cell>
          <cell r="I1838" t="str">
            <v>PRD</v>
          </cell>
          <cell r="J1838" t="str">
            <v>SUZUKI HUSTLER</v>
          </cell>
          <cell r="K1838" t="str">
            <v>SUZUKI Y0C</v>
          </cell>
          <cell r="L1838" t="str">
            <v>CV A03</v>
          </cell>
          <cell r="M1838" t="str">
            <v>CIRCUIT SUPPLY</v>
          </cell>
          <cell r="N1838" t="str">
            <v>CIRCUIT SUPPLY</v>
          </cell>
          <cell r="O1838" t="str">
            <v>A</v>
          </cell>
        </row>
        <row r="1839">
          <cell r="A1839">
            <v>23121</v>
          </cell>
          <cell r="B1839" t="str">
            <v>HANIK FITROTUL ILAHIYAH</v>
          </cell>
          <cell r="C1839" t="str">
            <v>SAMI</v>
          </cell>
          <cell r="D1839" t="str">
            <v>OPT-570</v>
          </cell>
          <cell r="E1839">
            <v>43369</v>
          </cell>
          <cell r="F1839">
            <v>43399</v>
          </cell>
          <cell r="G1839">
            <v>43769</v>
          </cell>
          <cell r="H1839" t="str">
            <v>PRD</v>
          </cell>
          <cell r="I1839" t="str">
            <v>PRD</v>
          </cell>
          <cell r="J1839" t="str">
            <v>SUZUKI HUSTLER</v>
          </cell>
          <cell r="K1839" t="str">
            <v>SUZUKI Y0C</v>
          </cell>
          <cell r="L1839" t="str">
            <v>CV A03</v>
          </cell>
          <cell r="M1839" t="str">
            <v>S/A 2</v>
          </cell>
          <cell r="N1839" t="str">
            <v>SUB ASSY</v>
          </cell>
          <cell r="O1839" t="str">
            <v>A</v>
          </cell>
        </row>
        <row r="1840">
          <cell r="A1840">
            <v>23382</v>
          </cell>
          <cell r="B1840" t="str">
            <v>WAHYU SETYO OVIATI</v>
          </cell>
          <cell r="C1840" t="str">
            <v>SAMI</v>
          </cell>
          <cell r="D1840" t="str">
            <v>OPT-574</v>
          </cell>
          <cell r="E1840">
            <v>43427</v>
          </cell>
          <cell r="F1840">
            <v>43457</v>
          </cell>
          <cell r="G1840">
            <v>43830</v>
          </cell>
          <cell r="H1840" t="str">
            <v>PRD</v>
          </cell>
          <cell r="I1840" t="str">
            <v>PRD</v>
          </cell>
          <cell r="J1840" t="str">
            <v>SUZUKI HUSTLER</v>
          </cell>
          <cell r="K1840" t="str">
            <v>SUZUKI Y0C</v>
          </cell>
          <cell r="L1840" t="str">
            <v>CV A03</v>
          </cell>
          <cell r="M1840" t="str">
            <v>OJT INSTAL BC</v>
          </cell>
          <cell r="N1840" t="str">
            <v>INTERNAL TRIAL</v>
          </cell>
          <cell r="O1840" t="str">
            <v>A</v>
          </cell>
        </row>
        <row r="1841">
          <cell r="A1841">
            <v>23417</v>
          </cell>
          <cell r="B1841" t="str">
            <v>FITRI SOFIYANTI</v>
          </cell>
          <cell r="C1841" t="str">
            <v>SAMI</v>
          </cell>
          <cell r="D1841" t="str">
            <v>OPT-575</v>
          </cell>
          <cell r="E1841">
            <v>43434</v>
          </cell>
          <cell r="F1841">
            <v>43464</v>
          </cell>
          <cell r="G1841">
            <v>43830</v>
          </cell>
          <cell r="H1841" t="str">
            <v>PRD</v>
          </cell>
          <cell r="I1841" t="str">
            <v>PRD</v>
          </cell>
          <cell r="J1841" t="str">
            <v>SUZUKI HUSTLER</v>
          </cell>
          <cell r="K1841" t="str">
            <v>SUZUKI Y0C</v>
          </cell>
          <cell r="L1841" t="str">
            <v>CV A03</v>
          </cell>
          <cell r="M1841" t="str">
            <v>T/P 2</v>
          </cell>
          <cell r="N1841" t="str">
            <v>ASSEMBLY</v>
          </cell>
          <cell r="O1841" t="str">
            <v>A</v>
          </cell>
        </row>
        <row r="1842">
          <cell r="A1842">
            <v>23423</v>
          </cell>
          <cell r="B1842" t="str">
            <v>KARISMA MEYLIKA SETYABUDI</v>
          </cell>
          <cell r="C1842" t="str">
            <v>SAMI</v>
          </cell>
          <cell r="D1842" t="str">
            <v>OPT-575</v>
          </cell>
          <cell r="E1842">
            <v>43434</v>
          </cell>
          <cell r="F1842">
            <v>43464</v>
          </cell>
          <cell r="G1842">
            <v>43830</v>
          </cell>
          <cell r="H1842" t="str">
            <v>PRD</v>
          </cell>
          <cell r="I1842" t="str">
            <v>PRD</v>
          </cell>
          <cell r="J1842" t="str">
            <v>SUZUKI HUSTLER</v>
          </cell>
          <cell r="K1842" t="str">
            <v>SUZUKI Y0C</v>
          </cell>
          <cell r="L1842" t="str">
            <v>CV A03</v>
          </cell>
          <cell r="M1842" t="str">
            <v>OJT T/P</v>
          </cell>
          <cell r="N1842" t="str">
            <v>INTERNAL TRIAL</v>
          </cell>
          <cell r="O1842" t="str">
            <v>A</v>
          </cell>
        </row>
        <row r="1843">
          <cell r="A1843">
            <v>23449</v>
          </cell>
          <cell r="B1843" t="str">
            <v>NUR WAHYUDAH</v>
          </cell>
          <cell r="C1843" t="str">
            <v>SAMI</v>
          </cell>
          <cell r="D1843" t="str">
            <v>OPT-575</v>
          </cell>
          <cell r="E1843">
            <v>43434</v>
          </cell>
          <cell r="F1843">
            <v>43464</v>
          </cell>
          <cell r="G1843">
            <v>43830</v>
          </cell>
          <cell r="H1843" t="str">
            <v>PRD</v>
          </cell>
          <cell r="I1843" t="str">
            <v>PRD</v>
          </cell>
          <cell r="J1843" t="str">
            <v>SUZUKI HUSTLER</v>
          </cell>
          <cell r="K1843" t="str">
            <v>SUZUKI Y0C</v>
          </cell>
          <cell r="L1843" t="str">
            <v>CV A03</v>
          </cell>
          <cell r="M1843" t="str">
            <v>OJT</v>
          </cell>
          <cell r="N1843" t="str">
            <v>INTERNAL TRIAL</v>
          </cell>
          <cell r="O1843" t="str">
            <v>A</v>
          </cell>
        </row>
        <row r="1844">
          <cell r="A1844">
            <v>23499</v>
          </cell>
          <cell r="B1844" t="str">
            <v>ELMYRA ETHALIA SENDHIKA PUTRI</v>
          </cell>
          <cell r="C1844" t="str">
            <v>SAMI</v>
          </cell>
          <cell r="D1844" t="str">
            <v>OPT-576</v>
          </cell>
          <cell r="E1844">
            <v>43441</v>
          </cell>
          <cell r="F1844">
            <v>43472</v>
          </cell>
          <cell r="G1844">
            <v>43830</v>
          </cell>
          <cell r="H1844" t="str">
            <v>PRD</v>
          </cell>
          <cell r="I1844" t="str">
            <v>PRD</v>
          </cell>
          <cell r="J1844" t="str">
            <v>SUZUKI HUSTLER</v>
          </cell>
          <cell r="K1844" t="str">
            <v>SUZUKI Y0C</v>
          </cell>
          <cell r="L1844" t="str">
            <v>CV A03</v>
          </cell>
          <cell r="M1844" t="str">
            <v>OJT S/A</v>
          </cell>
          <cell r="N1844" t="str">
            <v>INTERNAL TRIAL</v>
          </cell>
          <cell r="O1844" t="str">
            <v>A</v>
          </cell>
        </row>
        <row r="1845">
          <cell r="A1845" t="str">
            <v>B00441</v>
          </cell>
          <cell r="B1845" t="str">
            <v>FERDY ANSYAH</v>
          </cell>
          <cell r="C1845" t="str">
            <v>SAMI</v>
          </cell>
          <cell r="D1845" t="str">
            <v>BBF-007</v>
          </cell>
          <cell r="E1845">
            <v>40868</v>
          </cell>
          <cell r="F1845" t="str">
            <v>-</v>
          </cell>
          <cell r="G1845" t="str">
            <v>-</v>
          </cell>
          <cell r="H1845" t="str">
            <v>PRD</v>
          </cell>
          <cell r="I1845" t="str">
            <v>PRD</v>
          </cell>
          <cell r="J1845" t="str">
            <v>SUZUKI HUSTLER</v>
          </cell>
          <cell r="K1845" t="str">
            <v>SUZUKI Y0C</v>
          </cell>
          <cell r="L1845" t="str">
            <v>CV A03</v>
          </cell>
          <cell r="M1845" t="str">
            <v>LQC</v>
          </cell>
          <cell r="N1845" t="str">
            <v>RELIEF</v>
          </cell>
          <cell r="O1845" t="str">
            <v>A</v>
          </cell>
        </row>
        <row r="1846">
          <cell r="A1846" t="str">
            <v>B03209</v>
          </cell>
          <cell r="B1846" t="str">
            <v>RATIH APRILIA</v>
          </cell>
          <cell r="C1846" t="str">
            <v>SAMI</v>
          </cell>
          <cell r="D1846" t="str">
            <v>BBF-148</v>
          </cell>
          <cell r="E1846">
            <v>42390</v>
          </cell>
          <cell r="F1846" t="str">
            <v>-</v>
          </cell>
          <cell r="G1846" t="str">
            <v>-</v>
          </cell>
          <cell r="H1846" t="str">
            <v>PRD</v>
          </cell>
          <cell r="I1846" t="str">
            <v>PRD</v>
          </cell>
          <cell r="J1846" t="str">
            <v>SUZUKI HUSTLER</v>
          </cell>
          <cell r="K1846" t="str">
            <v>SUZUKI Y0C</v>
          </cell>
          <cell r="L1846" t="str">
            <v>CV A03</v>
          </cell>
          <cell r="M1846" t="str">
            <v>S/A 1</v>
          </cell>
          <cell r="N1846" t="str">
            <v>SUB ASSY</v>
          </cell>
          <cell r="O1846" t="str">
            <v>A</v>
          </cell>
        </row>
        <row r="1847">
          <cell r="A1847">
            <v>23579</v>
          </cell>
          <cell r="B1847" t="str">
            <v>NINOK WAHYU NINGRUM</v>
          </cell>
          <cell r="C1847" t="str">
            <v>SAMI</v>
          </cell>
          <cell r="D1847" t="str">
            <v>OPT-577</v>
          </cell>
          <cell r="E1847">
            <v>43452</v>
          </cell>
          <cell r="F1847">
            <v>43483</v>
          </cell>
          <cell r="G1847">
            <v>43861</v>
          </cell>
          <cell r="H1847" t="str">
            <v>PRD</v>
          </cell>
          <cell r="I1847" t="str">
            <v>PRD</v>
          </cell>
          <cell r="J1847" t="str">
            <v>SUZUKI HUSTLER</v>
          </cell>
          <cell r="K1847" t="str">
            <v>SUZUKI Y0C</v>
          </cell>
          <cell r="L1847" t="str">
            <v>CV A03</v>
          </cell>
          <cell r="M1847" t="str">
            <v>OJT S/T 1.2</v>
          </cell>
          <cell r="N1847" t="str">
            <v>INTERNAL TRIAL</v>
          </cell>
          <cell r="O1847" t="str">
            <v>A</v>
          </cell>
        </row>
        <row r="1848">
          <cell r="A1848" t="str">
            <v>B00101</v>
          </cell>
          <cell r="B1848" t="str">
            <v>YUNI UTAMI</v>
          </cell>
          <cell r="C1848" t="str">
            <v>SAMI</v>
          </cell>
          <cell r="D1848" t="str">
            <v>BBF-001</v>
          </cell>
          <cell r="E1848">
            <v>40826</v>
          </cell>
          <cell r="F1848" t="str">
            <v>-</v>
          </cell>
          <cell r="G1848" t="str">
            <v>-</v>
          </cell>
          <cell r="H1848" t="str">
            <v>PRD</v>
          </cell>
          <cell r="I1848" t="str">
            <v>PRD</v>
          </cell>
          <cell r="J1848" t="str">
            <v>SUZUKI HUSTLER</v>
          </cell>
          <cell r="K1848" t="str">
            <v>SUZUKI Y0C</v>
          </cell>
          <cell r="L1848" t="str">
            <v>CV A03</v>
          </cell>
          <cell r="M1848" t="str">
            <v>-</v>
          </cell>
          <cell r="N1848" t="str">
            <v>OTHERS</v>
          </cell>
          <cell r="O1848" t="str">
            <v>A (NS)</v>
          </cell>
        </row>
        <row r="1849">
          <cell r="A1849">
            <v>903</v>
          </cell>
          <cell r="B1849" t="str">
            <v>SULASMI</v>
          </cell>
          <cell r="C1849" t="str">
            <v>SAMI</v>
          </cell>
          <cell r="D1849" t="str">
            <v>OPT-23</v>
          </cell>
          <cell r="E1849">
            <v>37858</v>
          </cell>
          <cell r="F1849" t="str">
            <v>-</v>
          </cell>
          <cell r="G1849" t="str">
            <v>-</v>
          </cell>
          <cell r="H1849" t="str">
            <v>PRD</v>
          </cell>
          <cell r="I1849" t="str">
            <v>PRD</v>
          </cell>
          <cell r="J1849" t="str">
            <v>MAZDA ATENZA</v>
          </cell>
          <cell r="K1849" t="str">
            <v>MAZDA J72A</v>
          </cell>
          <cell r="L1849" t="str">
            <v>CV A04</v>
          </cell>
          <cell r="M1849" t="str">
            <v>SHIAGE 01</v>
          </cell>
          <cell r="N1849" t="str">
            <v>ASSEMBLY</v>
          </cell>
          <cell r="O1849" t="str">
            <v>A</v>
          </cell>
        </row>
        <row r="1850">
          <cell r="A1850">
            <v>5802</v>
          </cell>
          <cell r="B1850" t="str">
            <v>RINA WAHYU WIJAYANTI</v>
          </cell>
          <cell r="C1850" t="str">
            <v>SAMI</v>
          </cell>
          <cell r="D1850" t="str">
            <v>OPT-135</v>
          </cell>
          <cell r="E1850">
            <v>39114</v>
          </cell>
          <cell r="F1850" t="str">
            <v>-</v>
          </cell>
          <cell r="G1850" t="str">
            <v>-</v>
          </cell>
          <cell r="H1850" t="str">
            <v>PRD</v>
          </cell>
          <cell r="I1850" t="str">
            <v>PRD</v>
          </cell>
          <cell r="J1850" t="str">
            <v>MAZDA ATENZA</v>
          </cell>
          <cell r="K1850" t="str">
            <v>MAZDA J72A</v>
          </cell>
          <cell r="L1850" t="str">
            <v>CV A04</v>
          </cell>
          <cell r="M1850" t="str">
            <v>S/A 7</v>
          </cell>
          <cell r="N1850" t="str">
            <v>SUB ASSY</v>
          </cell>
          <cell r="O1850" t="str">
            <v>A</v>
          </cell>
        </row>
        <row r="1851">
          <cell r="A1851">
            <v>6070</v>
          </cell>
          <cell r="B1851" t="str">
            <v>MUSYRIFAH</v>
          </cell>
          <cell r="C1851" t="str">
            <v>SAMI</v>
          </cell>
          <cell r="D1851" t="str">
            <v>OPT-139</v>
          </cell>
          <cell r="E1851">
            <v>39142</v>
          </cell>
          <cell r="F1851" t="str">
            <v>-</v>
          </cell>
          <cell r="G1851" t="str">
            <v>-</v>
          </cell>
          <cell r="H1851" t="str">
            <v>PRD</v>
          </cell>
          <cell r="I1851" t="str">
            <v>PRD</v>
          </cell>
          <cell r="J1851" t="str">
            <v>MAZDA ATENZA</v>
          </cell>
          <cell r="K1851" t="str">
            <v>MAZDA J72A</v>
          </cell>
          <cell r="L1851" t="str">
            <v>CV A04</v>
          </cell>
          <cell r="M1851" t="str">
            <v>T/P 5</v>
          </cell>
          <cell r="N1851" t="str">
            <v>ASSEMBLY</v>
          </cell>
          <cell r="O1851" t="str">
            <v>A</v>
          </cell>
        </row>
        <row r="1852">
          <cell r="A1852">
            <v>6358</v>
          </cell>
          <cell r="B1852" t="str">
            <v>ANI MAGHFIROH</v>
          </cell>
          <cell r="C1852" t="str">
            <v>SAMI</v>
          </cell>
          <cell r="D1852" t="str">
            <v>OPT-148</v>
          </cell>
          <cell r="E1852">
            <v>39279</v>
          </cell>
          <cell r="F1852" t="str">
            <v>-</v>
          </cell>
          <cell r="G1852" t="str">
            <v>-</v>
          </cell>
          <cell r="H1852" t="str">
            <v>PRD</v>
          </cell>
          <cell r="I1852" t="str">
            <v>PRD</v>
          </cell>
          <cell r="J1852" t="str">
            <v>MAZDA ATENZA</v>
          </cell>
          <cell r="K1852" t="str">
            <v>MAZDA J72A</v>
          </cell>
          <cell r="L1852" t="str">
            <v>CV A04</v>
          </cell>
          <cell r="M1852" t="str">
            <v>OJT T/P SP</v>
          </cell>
          <cell r="N1852" t="str">
            <v>INTERNAL TRIAL</v>
          </cell>
          <cell r="O1852" t="str">
            <v>A</v>
          </cell>
        </row>
        <row r="1853">
          <cell r="A1853">
            <v>8677</v>
          </cell>
          <cell r="B1853" t="str">
            <v>YUNANDARI SABAHTI P.</v>
          </cell>
          <cell r="C1853" t="str">
            <v>SAMI</v>
          </cell>
          <cell r="D1853" t="str">
            <v>OPT-189</v>
          </cell>
          <cell r="E1853">
            <v>39878</v>
          </cell>
          <cell r="F1853" t="str">
            <v>-</v>
          </cell>
          <cell r="G1853" t="str">
            <v>-</v>
          </cell>
          <cell r="H1853" t="str">
            <v>PRD</v>
          </cell>
          <cell r="I1853" t="str">
            <v>PRD</v>
          </cell>
          <cell r="J1853" t="str">
            <v>MAZDA ATENZA</v>
          </cell>
          <cell r="K1853" t="str">
            <v>MAZDA J72A</v>
          </cell>
          <cell r="L1853" t="str">
            <v>CV A04</v>
          </cell>
          <cell r="M1853" t="str">
            <v>SUB LINE CHO</v>
          </cell>
          <cell r="N1853" t="str">
            <v>GL</v>
          </cell>
          <cell r="O1853" t="str">
            <v>A</v>
          </cell>
        </row>
        <row r="1854">
          <cell r="A1854">
            <v>10587</v>
          </cell>
          <cell r="B1854" t="str">
            <v>RAGIL ISTIANA</v>
          </cell>
          <cell r="C1854" t="str">
            <v>SAMI</v>
          </cell>
          <cell r="D1854" t="str">
            <v>OPT-276</v>
          </cell>
          <cell r="E1854">
            <v>40544</v>
          </cell>
          <cell r="F1854" t="str">
            <v>-</v>
          </cell>
          <cell r="G1854" t="str">
            <v>-</v>
          </cell>
          <cell r="H1854" t="str">
            <v>PRD</v>
          </cell>
          <cell r="I1854" t="str">
            <v>PRD</v>
          </cell>
          <cell r="J1854" t="str">
            <v>MAZDA ATENZA</v>
          </cell>
          <cell r="K1854" t="str">
            <v>MAZDA J72A</v>
          </cell>
          <cell r="L1854" t="str">
            <v>CV A04</v>
          </cell>
          <cell r="M1854" t="str">
            <v>SUB LINE CHO</v>
          </cell>
          <cell r="N1854" t="str">
            <v>GL</v>
          </cell>
          <cell r="O1854" t="str">
            <v>A</v>
          </cell>
        </row>
        <row r="1855">
          <cell r="A1855">
            <v>11531</v>
          </cell>
          <cell r="B1855" t="str">
            <v>DANI ASIH</v>
          </cell>
          <cell r="C1855" t="str">
            <v>SAMI</v>
          </cell>
          <cell r="D1855" t="str">
            <v>OPT-307</v>
          </cell>
          <cell r="E1855">
            <v>40707</v>
          </cell>
          <cell r="F1855" t="str">
            <v>-</v>
          </cell>
          <cell r="G1855" t="str">
            <v>-</v>
          </cell>
          <cell r="H1855" t="str">
            <v>PRD</v>
          </cell>
          <cell r="I1855" t="str">
            <v>PRD</v>
          </cell>
          <cell r="J1855" t="str">
            <v>MAZDA ATENZA</v>
          </cell>
          <cell r="K1855" t="str">
            <v>MAZDA J72A</v>
          </cell>
          <cell r="L1855" t="str">
            <v>CV A04</v>
          </cell>
          <cell r="M1855" t="str">
            <v>BFT</v>
          </cell>
          <cell r="N1855" t="str">
            <v>ASSEMBLY</v>
          </cell>
          <cell r="O1855" t="str">
            <v>A</v>
          </cell>
        </row>
        <row r="1856">
          <cell r="A1856">
            <v>12336</v>
          </cell>
          <cell r="B1856" t="str">
            <v>UMUL BADRIYAH</v>
          </cell>
          <cell r="C1856" t="str">
            <v>SAMI</v>
          </cell>
          <cell r="D1856" t="str">
            <v>OPT-316</v>
          </cell>
          <cell r="E1856">
            <v>40805</v>
          </cell>
          <cell r="F1856" t="str">
            <v>-</v>
          </cell>
          <cell r="G1856" t="str">
            <v>-</v>
          </cell>
          <cell r="H1856" t="str">
            <v>PRD</v>
          </cell>
          <cell r="I1856" t="str">
            <v>PRD</v>
          </cell>
          <cell r="J1856" t="str">
            <v>MAZDA ATENZA</v>
          </cell>
          <cell r="K1856" t="str">
            <v>MAZDA J72A</v>
          </cell>
          <cell r="L1856" t="str">
            <v>CV A04</v>
          </cell>
          <cell r="M1856" t="str">
            <v>OJT CAMERA FUSE</v>
          </cell>
          <cell r="N1856" t="str">
            <v>INTERNAL TRIAL</v>
          </cell>
          <cell r="O1856" t="str">
            <v>A</v>
          </cell>
        </row>
        <row r="1857">
          <cell r="A1857">
            <v>12699</v>
          </cell>
          <cell r="B1857" t="str">
            <v>NUR ANIS ISTIQOMAH</v>
          </cell>
          <cell r="C1857" t="str">
            <v>SAMI</v>
          </cell>
          <cell r="D1857" t="str">
            <v>OPT-320</v>
          </cell>
          <cell r="E1857">
            <v>40819</v>
          </cell>
          <cell r="F1857" t="str">
            <v>-</v>
          </cell>
          <cell r="G1857" t="str">
            <v>-</v>
          </cell>
          <cell r="H1857" t="str">
            <v>PRD</v>
          </cell>
          <cell r="I1857" t="str">
            <v>PRD</v>
          </cell>
          <cell r="J1857" t="str">
            <v>MAZDA ATENZA</v>
          </cell>
          <cell r="K1857" t="str">
            <v>MAZDA J72A</v>
          </cell>
          <cell r="L1857" t="str">
            <v>CV A04</v>
          </cell>
          <cell r="M1857" t="str">
            <v>OJT S/A 6</v>
          </cell>
          <cell r="N1857" t="str">
            <v>ASSEMBLY</v>
          </cell>
          <cell r="O1857" t="str">
            <v>A</v>
          </cell>
        </row>
        <row r="1858">
          <cell r="A1858">
            <v>13439</v>
          </cell>
          <cell r="B1858" t="str">
            <v>ARIS SETIAWAN</v>
          </cell>
          <cell r="C1858" t="str">
            <v>SAMI</v>
          </cell>
          <cell r="D1858" t="str">
            <v>OPT-338</v>
          </cell>
          <cell r="E1858">
            <v>40938</v>
          </cell>
          <cell r="F1858" t="str">
            <v>-</v>
          </cell>
          <cell r="G1858" t="str">
            <v>-</v>
          </cell>
          <cell r="H1858" t="str">
            <v>PRD</v>
          </cell>
          <cell r="I1858" t="str">
            <v>PRD</v>
          </cell>
          <cell r="J1858" t="str">
            <v>MAZDA ATENZA</v>
          </cell>
          <cell r="K1858" t="str">
            <v>MAZDA J72A</v>
          </cell>
          <cell r="L1858" t="str">
            <v>CV A04</v>
          </cell>
          <cell r="M1858" t="str">
            <v>CHECKER 1</v>
          </cell>
          <cell r="N1858" t="str">
            <v>ELECTRICAL INSPECTION</v>
          </cell>
          <cell r="O1858" t="str">
            <v>A</v>
          </cell>
        </row>
        <row r="1859">
          <cell r="A1859">
            <v>20455</v>
          </cell>
          <cell r="B1859" t="str">
            <v>ENDAH FITRIYANTI</v>
          </cell>
          <cell r="C1859" t="str">
            <v>SAMI</v>
          </cell>
          <cell r="D1859" t="str">
            <v>OPT-504</v>
          </cell>
          <cell r="E1859">
            <v>42634</v>
          </cell>
          <cell r="F1859">
            <v>43132</v>
          </cell>
          <cell r="G1859">
            <v>43496</v>
          </cell>
          <cell r="H1859" t="str">
            <v>PRD</v>
          </cell>
          <cell r="I1859" t="str">
            <v>PRD</v>
          </cell>
          <cell r="J1859" t="str">
            <v>MAZDA ATENZA</v>
          </cell>
          <cell r="K1859" t="str">
            <v>MAZDA J72A</v>
          </cell>
          <cell r="L1859" t="str">
            <v>CV A04</v>
          </cell>
          <cell r="M1859" t="str">
            <v>S/A 4</v>
          </cell>
          <cell r="N1859" t="str">
            <v>SUB ASSY</v>
          </cell>
          <cell r="O1859" t="str">
            <v>A</v>
          </cell>
        </row>
        <row r="1860">
          <cell r="A1860">
            <v>20469</v>
          </cell>
          <cell r="B1860" t="str">
            <v>IIS TRIANA</v>
          </cell>
          <cell r="C1860" t="str">
            <v>SAMI</v>
          </cell>
          <cell r="D1860" t="str">
            <v>OPT-504</v>
          </cell>
          <cell r="E1860">
            <v>42634</v>
          </cell>
          <cell r="F1860">
            <v>43132</v>
          </cell>
          <cell r="G1860">
            <v>43496</v>
          </cell>
          <cell r="H1860" t="str">
            <v>PRD</v>
          </cell>
          <cell r="I1860" t="str">
            <v>PRD</v>
          </cell>
          <cell r="J1860" t="str">
            <v>MAZDA ATENZA</v>
          </cell>
          <cell r="K1860" t="str">
            <v>MAZDA J72A</v>
          </cell>
          <cell r="L1860" t="str">
            <v>CV A04</v>
          </cell>
          <cell r="M1860" t="str">
            <v>S/T 1.1</v>
          </cell>
          <cell r="N1860" t="str">
            <v>ASSEMBLY</v>
          </cell>
          <cell r="O1860" t="str">
            <v>A</v>
          </cell>
        </row>
        <row r="1861">
          <cell r="A1861">
            <v>20552</v>
          </cell>
          <cell r="B1861" t="str">
            <v>AINUR ROFI'AH</v>
          </cell>
          <cell r="C1861" t="str">
            <v>SAMI</v>
          </cell>
          <cell r="D1861" t="str">
            <v>OPT-505</v>
          </cell>
          <cell r="E1861">
            <v>42639</v>
          </cell>
          <cell r="F1861">
            <v>43132</v>
          </cell>
          <cell r="G1861">
            <v>43496</v>
          </cell>
          <cell r="H1861" t="str">
            <v>PRD</v>
          </cell>
          <cell r="I1861" t="str">
            <v>PRD</v>
          </cell>
          <cell r="J1861" t="str">
            <v>MAZDA ATENZA</v>
          </cell>
          <cell r="K1861" t="str">
            <v>MAZDA J72A</v>
          </cell>
          <cell r="L1861" t="str">
            <v>CV A04</v>
          </cell>
          <cell r="M1861" t="str">
            <v>OFFLINE 04</v>
          </cell>
          <cell r="N1861" t="str">
            <v>ASSEMBLY</v>
          </cell>
          <cell r="O1861" t="str">
            <v>A</v>
          </cell>
        </row>
        <row r="1862">
          <cell r="A1862">
            <v>20554</v>
          </cell>
          <cell r="B1862" t="str">
            <v>ALI CHAFIDIN</v>
          </cell>
          <cell r="C1862" t="str">
            <v>SAMI</v>
          </cell>
          <cell r="D1862" t="str">
            <v>OPT-505</v>
          </cell>
          <cell r="E1862">
            <v>42639</v>
          </cell>
          <cell r="F1862">
            <v>43132</v>
          </cell>
          <cell r="G1862">
            <v>43496</v>
          </cell>
          <cell r="H1862" t="str">
            <v>PRD</v>
          </cell>
          <cell r="I1862" t="str">
            <v>PRD</v>
          </cell>
          <cell r="J1862" t="str">
            <v>MAZDA ATENZA</v>
          </cell>
          <cell r="K1862" t="str">
            <v>MAZDA J72A</v>
          </cell>
          <cell r="L1862" t="str">
            <v>CV A04</v>
          </cell>
          <cell r="M1862" t="str">
            <v>EXPANDER GROMMET</v>
          </cell>
          <cell r="N1862" t="str">
            <v>FINISHING &amp; GROMMET INJECTION</v>
          </cell>
          <cell r="O1862" t="str">
            <v>A</v>
          </cell>
        </row>
        <row r="1863">
          <cell r="A1863">
            <v>20624</v>
          </cell>
          <cell r="B1863" t="str">
            <v xml:space="preserve">NOFI ANDRIYANI </v>
          </cell>
          <cell r="C1863" t="str">
            <v>SAMI</v>
          </cell>
          <cell r="D1863" t="str">
            <v>OPT-505</v>
          </cell>
          <cell r="E1863">
            <v>42639</v>
          </cell>
          <cell r="F1863">
            <v>43132</v>
          </cell>
          <cell r="G1863">
            <v>43496</v>
          </cell>
          <cell r="H1863" t="str">
            <v>PRD</v>
          </cell>
          <cell r="I1863" t="str">
            <v>PRD</v>
          </cell>
          <cell r="J1863" t="str">
            <v>MAZDA ATENZA</v>
          </cell>
          <cell r="K1863" t="str">
            <v>MAZDA J72A</v>
          </cell>
          <cell r="L1863" t="str">
            <v>CV A04</v>
          </cell>
          <cell r="M1863" t="str">
            <v>OFFLINE 01</v>
          </cell>
          <cell r="N1863" t="str">
            <v>ASSEMBLY</v>
          </cell>
          <cell r="O1863" t="str">
            <v>A</v>
          </cell>
        </row>
        <row r="1864">
          <cell r="A1864">
            <v>20699</v>
          </cell>
          <cell r="B1864" t="str">
            <v>ARINA KHAQ</v>
          </cell>
          <cell r="C1864" t="str">
            <v>SAMI</v>
          </cell>
          <cell r="D1864" t="str">
            <v>OPT-506</v>
          </cell>
          <cell r="E1864">
            <v>42642</v>
          </cell>
          <cell r="F1864">
            <v>43132</v>
          </cell>
          <cell r="G1864">
            <v>43496</v>
          </cell>
          <cell r="H1864" t="str">
            <v>PRD</v>
          </cell>
          <cell r="I1864" t="str">
            <v>PRD</v>
          </cell>
          <cell r="J1864" t="str">
            <v>MAZDA ATENZA</v>
          </cell>
          <cell r="K1864" t="str">
            <v>MAZDA J72A</v>
          </cell>
          <cell r="L1864" t="str">
            <v>CV A04</v>
          </cell>
          <cell r="M1864" t="str">
            <v>CAMERA FUSE</v>
          </cell>
          <cell r="N1864" t="str">
            <v>ELECTRICAL INSPECTION</v>
          </cell>
          <cell r="O1864" t="str">
            <v>A</v>
          </cell>
        </row>
        <row r="1865">
          <cell r="A1865">
            <v>20739</v>
          </cell>
          <cell r="B1865" t="str">
            <v>PUJI LESTARI</v>
          </cell>
          <cell r="C1865" t="str">
            <v>SAMI</v>
          </cell>
          <cell r="D1865" t="str">
            <v>OPT-506</v>
          </cell>
          <cell r="E1865">
            <v>42642</v>
          </cell>
          <cell r="F1865">
            <v>43132</v>
          </cell>
          <cell r="G1865">
            <v>43496</v>
          </cell>
          <cell r="H1865" t="str">
            <v>PRD</v>
          </cell>
          <cell r="I1865" t="str">
            <v>PRD</v>
          </cell>
          <cell r="J1865" t="str">
            <v>MAZDA ATENZA</v>
          </cell>
          <cell r="K1865" t="str">
            <v>MAZDA J72A</v>
          </cell>
          <cell r="L1865" t="str">
            <v>CV A04</v>
          </cell>
          <cell r="M1865" t="str">
            <v>T/P 1</v>
          </cell>
          <cell r="N1865" t="str">
            <v>ASSEMBLY</v>
          </cell>
          <cell r="O1865" t="str">
            <v>A</v>
          </cell>
        </row>
        <row r="1866">
          <cell r="A1866">
            <v>20746</v>
          </cell>
          <cell r="B1866" t="str">
            <v xml:space="preserve">RUKANAH </v>
          </cell>
          <cell r="C1866" t="str">
            <v>SAMI</v>
          </cell>
          <cell r="D1866" t="str">
            <v>OPT-506</v>
          </cell>
          <cell r="E1866">
            <v>42642</v>
          </cell>
          <cell r="F1866">
            <v>43132</v>
          </cell>
          <cell r="G1866">
            <v>43496</v>
          </cell>
          <cell r="H1866" t="str">
            <v>PRD</v>
          </cell>
          <cell r="I1866" t="str">
            <v>PRD</v>
          </cell>
          <cell r="J1866" t="str">
            <v>MAZDA ATENZA</v>
          </cell>
          <cell r="K1866" t="str">
            <v>MAZDA J72A</v>
          </cell>
          <cell r="L1866" t="str">
            <v>CV A04</v>
          </cell>
          <cell r="M1866" t="str">
            <v>S/A 3</v>
          </cell>
          <cell r="N1866" t="str">
            <v>SUB ASSY</v>
          </cell>
          <cell r="O1866" t="str">
            <v>A</v>
          </cell>
        </row>
        <row r="1867">
          <cell r="A1867">
            <v>20749</v>
          </cell>
          <cell r="B1867" t="str">
            <v>SHELI KRISMARINI</v>
          </cell>
          <cell r="C1867" t="str">
            <v>SAMI</v>
          </cell>
          <cell r="D1867" t="str">
            <v>OPT-506</v>
          </cell>
          <cell r="E1867">
            <v>42642</v>
          </cell>
          <cell r="F1867">
            <v>43132</v>
          </cell>
          <cell r="G1867">
            <v>43496</v>
          </cell>
          <cell r="H1867" t="str">
            <v>PRD</v>
          </cell>
          <cell r="I1867" t="str">
            <v>PRD</v>
          </cell>
          <cell r="J1867" t="str">
            <v>MAZDA ATENZA</v>
          </cell>
          <cell r="K1867" t="str">
            <v>MAZDA J72A</v>
          </cell>
          <cell r="L1867" t="str">
            <v>CV A04</v>
          </cell>
          <cell r="M1867" t="str">
            <v>S/T 1.2</v>
          </cell>
          <cell r="N1867" t="str">
            <v>ASSEMBLY</v>
          </cell>
          <cell r="O1867" t="str">
            <v>A</v>
          </cell>
        </row>
        <row r="1868">
          <cell r="A1868">
            <v>20759</v>
          </cell>
          <cell r="B1868" t="str">
            <v xml:space="preserve">SITI ROHMATUL UMA </v>
          </cell>
          <cell r="C1868" t="str">
            <v>SAMI</v>
          </cell>
          <cell r="D1868" t="str">
            <v>OPT-506</v>
          </cell>
          <cell r="E1868">
            <v>42642</v>
          </cell>
          <cell r="F1868">
            <v>43132</v>
          </cell>
          <cell r="G1868">
            <v>43496</v>
          </cell>
          <cell r="H1868" t="str">
            <v>PRD</v>
          </cell>
          <cell r="I1868" t="str">
            <v>PRD</v>
          </cell>
          <cell r="J1868" t="str">
            <v>MAZDA ATENZA</v>
          </cell>
          <cell r="K1868" t="str">
            <v>MAZDA J72A</v>
          </cell>
          <cell r="L1868" t="str">
            <v>CV A04</v>
          </cell>
          <cell r="M1868" t="str">
            <v>T/P 4</v>
          </cell>
          <cell r="N1868" t="str">
            <v>ASSEMBLY</v>
          </cell>
          <cell r="O1868" t="str">
            <v>A</v>
          </cell>
        </row>
        <row r="1869">
          <cell r="A1869">
            <v>20805</v>
          </cell>
          <cell r="B1869" t="str">
            <v xml:space="preserve">MASITOH </v>
          </cell>
          <cell r="C1869" t="str">
            <v>SAMI</v>
          </cell>
          <cell r="D1869" t="str">
            <v>OPT-508</v>
          </cell>
          <cell r="E1869">
            <v>42649</v>
          </cell>
          <cell r="F1869">
            <v>43132</v>
          </cell>
          <cell r="G1869">
            <v>43496</v>
          </cell>
          <cell r="H1869" t="str">
            <v>PRD</v>
          </cell>
          <cell r="I1869" t="str">
            <v>PRD</v>
          </cell>
          <cell r="J1869" t="str">
            <v>MAZDA ATENZA</v>
          </cell>
          <cell r="K1869" t="str">
            <v>MAZDA J72A</v>
          </cell>
          <cell r="L1869" t="str">
            <v>CV A04</v>
          </cell>
          <cell r="M1869" t="str">
            <v>S/T 1.1</v>
          </cell>
          <cell r="N1869" t="str">
            <v>ASSEMBLY</v>
          </cell>
          <cell r="O1869" t="str">
            <v>A</v>
          </cell>
        </row>
        <row r="1870">
          <cell r="A1870">
            <v>21184</v>
          </cell>
          <cell r="B1870" t="str">
            <v>SITI AISAH</v>
          </cell>
          <cell r="C1870" t="str">
            <v>SAMI</v>
          </cell>
          <cell r="D1870" t="str">
            <v>OPT-522</v>
          </cell>
          <cell r="E1870">
            <v>42871</v>
          </cell>
          <cell r="F1870">
            <v>43374</v>
          </cell>
          <cell r="G1870">
            <v>43738</v>
          </cell>
          <cell r="H1870" t="str">
            <v>PRD</v>
          </cell>
          <cell r="I1870" t="str">
            <v>PRD</v>
          </cell>
          <cell r="J1870" t="str">
            <v>MAZDA ATENZA</v>
          </cell>
          <cell r="K1870" t="str">
            <v>MAZDA J72A</v>
          </cell>
          <cell r="L1870" t="str">
            <v>CV A04</v>
          </cell>
          <cell r="M1870" t="str">
            <v>S/A 2</v>
          </cell>
          <cell r="N1870" t="str">
            <v>SUB ASSY</v>
          </cell>
          <cell r="O1870" t="str">
            <v>A</v>
          </cell>
        </row>
        <row r="1871">
          <cell r="A1871">
            <v>21214</v>
          </cell>
          <cell r="B1871" t="str">
            <v>MALIA MARHIASARI</v>
          </cell>
          <cell r="C1871" t="str">
            <v>SAMI</v>
          </cell>
          <cell r="D1871" t="str">
            <v>OPT-523</v>
          </cell>
          <cell r="E1871">
            <v>42877</v>
          </cell>
          <cell r="F1871">
            <v>43374</v>
          </cell>
          <cell r="G1871">
            <v>43738</v>
          </cell>
          <cell r="H1871" t="str">
            <v>PRD</v>
          </cell>
          <cell r="I1871" t="str">
            <v>PRD</v>
          </cell>
          <cell r="J1871" t="str">
            <v>MAZDA ATENZA</v>
          </cell>
          <cell r="K1871" t="str">
            <v>MAZDA J72A</v>
          </cell>
          <cell r="L1871" t="str">
            <v>CV A04</v>
          </cell>
          <cell r="M1871" t="str">
            <v>PRO + CK T2</v>
          </cell>
          <cell r="N1871" t="str">
            <v>ASSEMBLY</v>
          </cell>
          <cell r="O1871" t="str">
            <v>A</v>
          </cell>
        </row>
        <row r="1872">
          <cell r="A1872">
            <v>21352</v>
          </cell>
          <cell r="B1872" t="str">
            <v>NILA ALIFFATUN KHASANAH</v>
          </cell>
          <cell r="C1872" t="str">
            <v>SAMI</v>
          </cell>
          <cell r="D1872" t="str">
            <v>OPT-531</v>
          </cell>
          <cell r="E1872">
            <v>43013</v>
          </cell>
          <cell r="F1872">
            <v>43405</v>
          </cell>
          <cell r="G1872">
            <v>43769</v>
          </cell>
          <cell r="H1872" t="str">
            <v>PRD</v>
          </cell>
          <cell r="I1872" t="str">
            <v>PRD</v>
          </cell>
          <cell r="J1872" t="str">
            <v>MAZDA ATENZA</v>
          </cell>
          <cell r="K1872" t="str">
            <v>MAZDA J72A</v>
          </cell>
          <cell r="L1872" t="str">
            <v>CV A04</v>
          </cell>
          <cell r="M1872" t="str">
            <v>VISUAL 01</v>
          </cell>
          <cell r="N1872" t="str">
            <v>VISUAL INSPECTION</v>
          </cell>
          <cell r="O1872" t="str">
            <v>A</v>
          </cell>
        </row>
        <row r="1873">
          <cell r="A1873">
            <v>21387</v>
          </cell>
          <cell r="B1873" t="str">
            <v>EVA FAZIRA</v>
          </cell>
          <cell r="C1873" t="str">
            <v>SAMI</v>
          </cell>
          <cell r="D1873" t="str">
            <v>OPT-532</v>
          </cell>
          <cell r="E1873">
            <v>43018</v>
          </cell>
          <cell r="F1873">
            <v>43405</v>
          </cell>
          <cell r="G1873">
            <v>43769</v>
          </cell>
          <cell r="H1873" t="str">
            <v>PRD</v>
          </cell>
          <cell r="I1873" t="str">
            <v>PRD</v>
          </cell>
          <cell r="J1873" t="str">
            <v>MAZDA ATENZA</v>
          </cell>
          <cell r="K1873" t="str">
            <v>MAZDA J72A</v>
          </cell>
          <cell r="L1873" t="str">
            <v>CV A04</v>
          </cell>
          <cell r="M1873" t="str">
            <v>INSERT RELAY</v>
          </cell>
          <cell r="N1873" t="str">
            <v>ELECTRICAL INSPECTION</v>
          </cell>
          <cell r="O1873" t="str">
            <v>A</v>
          </cell>
        </row>
        <row r="1874">
          <cell r="A1874">
            <v>21443</v>
          </cell>
          <cell r="B1874" t="str">
            <v>KHOLISNA INAYATI</v>
          </cell>
          <cell r="C1874" t="str">
            <v>SAMI</v>
          </cell>
          <cell r="D1874" t="str">
            <v>OPT-533</v>
          </cell>
          <cell r="E1874">
            <v>43024</v>
          </cell>
          <cell r="F1874">
            <v>43435</v>
          </cell>
          <cell r="G1874">
            <v>43799</v>
          </cell>
          <cell r="H1874" t="str">
            <v>PRD</v>
          </cell>
          <cell r="I1874" t="str">
            <v>PRD</v>
          </cell>
          <cell r="J1874" t="str">
            <v>MAZDA ATENZA</v>
          </cell>
          <cell r="K1874" t="str">
            <v>MAZDA J72A</v>
          </cell>
          <cell r="L1874" t="str">
            <v>CV A04</v>
          </cell>
          <cell r="M1874" t="str">
            <v>VISUAL 02</v>
          </cell>
          <cell r="N1874" t="str">
            <v>VISUAL INSPECTION</v>
          </cell>
          <cell r="O1874" t="str">
            <v>A</v>
          </cell>
        </row>
        <row r="1875">
          <cell r="A1875">
            <v>21454</v>
          </cell>
          <cell r="B1875" t="str">
            <v>NIA WIDYASTUTI</v>
          </cell>
          <cell r="C1875" t="str">
            <v>SAMI</v>
          </cell>
          <cell r="D1875" t="str">
            <v>OPT-533</v>
          </cell>
          <cell r="E1875">
            <v>43024</v>
          </cell>
          <cell r="F1875">
            <v>43435</v>
          </cell>
          <cell r="G1875">
            <v>43799</v>
          </cell>
          <cell r="H1875" t="str">
            <v>PRD</v>
          </cell>
          <cell r="I1875" t="str">
            <v>PRD</v>
          </cell>
          <cell r="J1875" t="str">
            <v>MAZDA ATENZA</v>
          </cell>
          <cell r="K1875" t="str">
            <v>MAZDA J72A</v>
          </cell>
          <cell r="L1875" t="str">
            <v>CV A04</v>
          </cell>
          <cell r="M1875" t="str">
            <v>S/A 10</v>
          </cell>
          <cell r="N1875" t="str">
            <v>SUB ASSY</v>
          </cell>
          <cell r="O1875" t="str">
            <v>A</v>
          </cell>
        </row>
        <row r="1876">
          <cell r="A1876">
            <v>21463</v>
          </cell>
          <cell r="B1876" t="str">
            <v xml:space="preserve">SARNITA YULIARTI </v>
          </cell>
          <cell r="C1876" t="str">
            <v>SAMI</v>
          </cell>
          <cell r="D1876" t="str">
            <v>OPT-533</v>
          </cell>
          <cell r="E1876">
            <v>43024</v>
          </cell>
          <cell r="F1876">
            <v>43435</v>
          </cell>
          <cell r="G1876">
            <v>43799</v>
          </cell>
          <cell r="H1876" t="str">
            <v>PRD</v>
          </cell>
          <cell r="I1876" t="str">
            <v>PRD</v>
          </cell>
          <cell r="J1876" t="str">
            <v>MAZDA ATENZA</v>
          </cell>
          <cell r="K1876" t="str">
            <v>MAZDA J72A</v>
          </cell>
          <cell r="L1876" t="str">
            <v>CV A04</v>
          </cell>
          <cell r="M1876" t="str">
            <v>CHECKER 03</v>
          </cell>
          <cell r="N1876" t="str">
            <v>ELECTRICAL INSPECTION</v>
          </cell>
          <cell r="O1876" t="str">
            <v>A</v>
          </cell>
        </row>
        <row r="1877">
          <cell r="A1877">
            <v>21478</v>
          </cell>
          <cell r="B1877" t="str">
            <v>ANIK PURWATI</v>
          </cell>
          <cell r="C1877" t="str">
            <v>SAMI</v>
          </cell>
          <cell r="D1877" t="str">
            <v>OPT-534</v>
          </cell>
          <cell r="E1877">
            <v>43031</v>
          </cell>
          <cell r="F1877">
            <v>43435</v>
          </cell>
          <cell r="G1877">
            <v>43799</v>
          </cell>
          <cell r="H1877" t="str">
            <v>PRD</v>
          </cell>
          <cell r="I1877" t="str">
            <v>PRD</v>
          </cell>
          <cell r="J1877" t="str">
            <v>MAZDA ATENZA</v>
          </cell>
          <cell r="K1877" t="str">
            <v>MAZDA J72A</v>
          </cell>
          <cell r="L1877" t="str">
            <v>CV A04</v>
          </cell>
          <cell r="M1877" t="str">
            <v>OFFLINE 02</v>
          </cell>
          <cell r="N1877" t="str">
            <v>ASSEMBLY</v>
          </cell>
          <cell r="O1877" t="str">
            <v>A</v>
          </cell>
        </row>
        <row r="1878">
          <cell r="A1878">
            <v>21525</v>
          </cell>
          <cell r="B1878" t="str">
            <v>EVANA SAFITRI</v>
          </cell>
          <cell r="C1878" t="str">
            <v>SAMI</v>
          </cell>
          <cell r="D1878" t="str">
            <v>OPT-535</v>
          </cell>
          <cell r="E1878">
            <v>43045</v>
          </cell>
          <cell r="F1878">
            <v>43435</v>
          </cell>
          <cell r="G1878">
            <v>43799</v>
          </cell>
          <cell r="H1878" t="str">
            <v>PRD</v>
          </cell>
          <cell r="I1878" t="str">
            <v>PRD</v>
          </cell>
          <cell r="J1878" t="str">
            <v>MAZDA ATENZA</v>
          </cell>
          <cell r="K1878" t="str">
            <v>MAZDA J72A</v>
          </cell>
          <cell r="L1878" t="str">
            <v>CV A04</v>
          </cell>
          <cell r="M1878" t="str">
            <v>T/P 2</v>
          </cell>
          <cell r="N1878" t="str">
            <v>ASSEMBLY</v>
          </cell>
          <cell r="O1878" t="str">
            <v>A</v>
          </cell>
        </row>
        <row r="1879">
          <cell r="A1879">
            <v>21559</v>
          </cell>
          <cell r="B1879" t="str">
            <v>SITI JUMALIA</v>
          </cell>
          <cell r="C1879" t="str">
            <v>SAMI</v>
          </cell>
          <cell r="D1879" t="str">
            <v>OPT-535</v>
          </cell>
          <cell r="E1879">
            <v>43045</v>
          </cell>
          <cell r="F1879">
            <v>43435</v>
          </cell>
          <cell r="G1879">
            <v>43799</v>
          </cell>
          <cell r="H1879" t="str">
            <v>PRD</v>
          </cell>
          <cell r="I1879" t="str">
            <v>PRD</v>
          </cell>
          <cell r="J1879" t="str">
            <v>MAZDA ATENZA</v>
          </cell>
          <cell r="K1879" t="str">
            <v>MAZDA J72A</v>
          </cell>
          <cell r="L1879" t="str">
            <v>CV A04</v>
          </cell>
          <cell r="M1879" t="str">
            <v>VISUAL 03</v>
          </cell>
          <cell r="N1879" t="str">
            <v>VISUAL INSPECTION</v>
          </cell>
          <cell r="O1879" t="str">
            <v>A</v>
          </cell>
        </row>
        <row r="1880">
          <cell r="A1880">
            <v>21566</v>
          </cell>
          <cell r="B1880" t="str">
            <v>TRI IRAWATI</v>
          </cell>
          <cell r="C1880" t="str">
            <v>SAMI</v>
          </cell>
          <cell r="D1880" t="str">
            <v>OPT-535</v>
          </cell>
          <cell r="E1880">
            <v>43045</v>
          </cell>
          <cell r="F1880">
            <v>43435</v>
          </cell>
          <cell r="G1880">
            <v>43799</v>
          </cell>
          <cell r="H1880" t="str">
            <v>PRD</v>
          </cell>
          <cell r="I1880" t="str">
            <v>PRD</v>
          </cell>
          <cell r="J1880" t="str">
            <v>MAZDA ATENZA</v>
          </cell>
          <cell r="K1880" t="str">
            <v>MAZDA J72A</v>
          </cell>
          <cell r="L1880" t="str">
            <v>CV A04</v>
          </cell>
          <cell r="M1880" t="str">
            <v>S/T 3</v>
          </cell>
          <cell r="N1880" t="str">
            <v>ASSEMBLY</v>
          </cell>
          <cell r="O1880" t="str">
            <v>A</v>
          </cell>
        </row>
        <row r="1881">
          <cell r="A1881">
            <v>21574</v>
          </cell>
          <cell r="B1881" t="str">
            <v>ANA SAFITRI</v>
          </cell>
          <cell r="C1881" t="str">
            <v>SAMI</v>
          </cell>
          <cell r="D1881" t="str">
            <v>OPT-536</v>
          </cell>
          <cell r="E1881">
            <v>43048</v>
          </cell>
          <cell r="F1881">
            <v>43435</v>
          </cell>
          <cell r="G1881">
            <v>43799</v>
          </cell>
          <cell r="H1881" t="str">
            <v>PRD</v>
          </cell>
          <cell r="I1881" t="str">
            <v>PRD</v>
          </cell>
          <cell r="J1881" t="str">
            <v>MAZDA ATENZA</v>
          </cell>
          <cell r="K1881" t="str">
            <v>MAZDA J72A</v>
          </cell>
          <cell r="L1881" t="str">
            <v>CV A04</v>
          </cell>
          <cell r="M1881" t="str">
            <v>MATERIAL SUPPLY</v>
          </cell>
          <cell r="N1881" t="str">
            <v>MATERIAL SUPPLY</v>
          </cell>
          <cell r="O1881" t="str">
            <v>A</v>
          </cell>
        </row>
        <row r="1882">
          <cell r="A1882">
            <v>21603</v>
          </cell>
          <cell r="B1882" t="str">
            <v>NIKMATU SAADAH</v>
          </cell>
          <cell r="C1882" t="str">
            <v>SAMI</v>
          </cell>
          <cell r="D1882" t="str">
            <v>OPT-536</v>
          </cell>
          <cell r="E1882">
            <v>43048</v>
          </cell>
          <cell r="F1882">
            <v>43435</v>
          </cell>
          <cell r="G1882">
            <v>43799</v>
          </cell>
          <cell r="H1882" t="str">
            <v>PRD</v>
          </cell>
          <cell r="I1882" t="str">
            <v>PRD</v>
          </cell>
          <cell r="J1882" t="str">
            <v>MAZDA ATENZA</v>
          </cell>
          <cell r="K1882" t="str">
            <v>MAZDA J72A</v>
          </cell>
          <cell r="L1882" t="str">
            <v>CV A04</v>
          </cell>
          <cell r="M1882" t="str">
            <v>S/A 1</v>
          </cell>
          <cell r="N1882" t="str">
            <v>SUB ASSY</v>
          </cell>
          <cell r="O1882" t="str">
            <v>A</v>
          </cell>
        </row>
        <row r="1883">
          <cell r="A1883">
            <v>21613</v>
          </cell>
          <cell r="B1883" t="str">
            <v>PUTRI YUSTIKA HIDAYAT</v>
          </cell>
          <cell r="C1883" t="str">
            <v>SAMI</v>
          </cell>
          <cell r="D1883" t="str">
            <v>OPT-536</v>
          </cell>
          <cell r="E1883">
            <v>43048</v>
          </cell>
          <cell r="F1883">
            <v>43435</v>
          </cell>
          <cell r="G1883">
            <v>43799</v>
          </cell>
          <cell r="H1883" t="str">
            <v>PRD</v>
          </cell>
          <cell r="I1883" t="str">
            <v>PRD</v>
          </cell>
          <cell r="J1883" t="str">
            <v>MAZDA ATENZA</v>
          </cell>
          <cell r="K1883" t="str">
            <v>MAZDA J72A</v>
          </cell>
          <cell r="L1883" t="str">
            <v>CV A04</v>
          </cell>
          <cell r="M1883" t="str">
            <v>INSERTION GROUP</v>
          </cell>
          <cell r="N1883" t="str">
            <v>SUB ASSY</v>
          </cell>
          <cell r="O1883" t="str">
            <v>A</v>
          </cell>
        </row>
        <row r="1884">
          <cell r="A1884">
            <v>21629</v>
          </cell>
          <cell r="B1884" t="str">
            <v>WAHYU WIDA SAPUTRA</v>
          </cell>
          <cell r="C1884" t="str">
            <v>SAMI</v>
          </cell>
          <cell r="D1884" t="str">
            <v>OPT-536</v>
          </cell>
          <cell r="E1884">
            <v>43048</v>
          </cell>
          <cell r="F1884">
            <v>43435</v>
          </cell>
          <cell r="G1884">
            <v>43799</v>
          </cell>
          <cell r="H1884" t="str">
            <v>PRD</v>
          </cell>
          <cell r="I1884" t="str">
            <v>PRD</v>
          </cell>
          <cell r="J1884" t="str">
            <v>MAZDA ATENZA</v>
          </cell>
          <cell r="K1884" t="str">
            <v>MAZDA J72A</v>
          </cell>
          <cell r="L1884" t="str">
            <v>CV A04</v>
          </cell>
          <cell r="M1884" t="str">
            <v>SHIAGE 02</v>
          </cell>
          <cell r="N1884" t="str">
            <v>ASSEMBLY</v>
          </cell>
          <cell r="O1884" t="str">
            <v>A</v>
          </cell>
        </row>
        <row r="1885">
          <cell r="A1885">
            <v>21707</v>
          </cell>
          <cell r="B1885" t="str">
            <v>DANTI JUNI ANDARI</v>
          </cell>
          <cell r="C1885" t="str">
            <v>SAMI</v>
          </cell>
          <cell r="D1885" t="str">
            <v>OPT-539</v>
          </cell>
          <cell r="E1885">
            <v>43087</v>
          </cell>
          <cell r="F1885">
            <v>43118</v>
          </cell>
          <cell r="G1885">
            <v>43496</v>
          </cell>
          <cell r="H1885" t="str">
            <v>PRD</v>
          </cell>
          <cell r="I1885" t="str">
            <v>PRD</v>
          </cell>
          <cell r="J1885" t="str">
            <v>MAZDA ATENZA</v>
          </cell>
          <cell r="K1885" t="str">
            <v>MAZDA J72A</v>
          </cell>
          <cell r="L1885" t="str">
            <v>CV A04</v>
          </cell>
          <cell r="M1885" t="str">
            <v>OJT T/P</v>
          </cell>
          <cell r="N1885" t="str">
            <v>INTERNAL TRIAL</v>
          </cell>
          <cell r="O1885" t="str">
            <v>A</v>
          </cell>
        </row>
        <row r="1886">
          <cell r="A1886">
            <v>21871</v>
          </cell>
          <cell r="B1886" t="str">
            <v>DEWI RINDIYANA SARI</v>
          </cell>
          <cell r="C1886" t="str">
            <v>SAMI</v>
          </cell>
          <cell r="D1886" t="str">
            <v>OPT-542</v>
          </cell>
          <cell r="E1886">
            <v>43103</v>
          </cell>
          <cell r="F1886">
            <v>43134</v>
          </cell>
          <cell r="G1886">
            <v>43496</v>
          </cell>
          <cell r="H1886" t="str">
            <v>PRD</v>
          </cell>
          <cell r="I1886" t="str">
            <v>PRD</v>
          </cell>
          <cell r="J1886" t="str">
            <v>MAZDA ATENZA</v>
          </cell>
          <cell r="K1886" t="str">
            <v>MAZDA J72A</v>
          </cell>
          <cell r="L1886" t="str">
            <v>CV A04</v>
          </cell>
          <cell r="M1886" t="str">
            <v>CIRCUIT SUPPLIER 01</v>
          </cell>
          <cell r="N1886" t="str">
            <v>CIRCUIT SUPPLY</v>
          </cell>
          <cell r="O1886" t="str">
            <v>A</v>
          </cell>
        </row>
        <row r="1887">
          <cell r="A1887">
            <v>22217</v>
          </cell>
          <cell r="B1887" t="str">
            <v>FATMA FIRMANDANI</v>
          </cell>
          <cell r="C1887" t="str">
            <v>SAMI</v>
          </cell>
          <cell r="D1887" t="str">
            <v>OPT-551</v>
          </cell>
          <cell r="E1887">
            <v>43161</v>
          </cell>
          <cell r="F1887">
            <v>43192</v>
          </cell>
          <cell r="G1887">
            <v>43555</v>
          </cell>
          <cell r="H1887" t="str">
            <v>PRD</v>
          </cell>
          <cell r="I1887" t="str">
            <v>PRD</v>
          </cell>
          <cell r="J1887" t="str">
            <v>MAZDA ATENZA</v>
          </cell>
          <cell r="K1887" t="str">
            <v>MAZDA J72A</v>
          </cell>
          <cell r="L1887" t="str">
            <v>CV A04</v>
          </cell>
          <cell r="M1887" t="str">
            <v>S/T</v>
          </cell>
          <cell r="N1887" t="str">
            <v>ASSEMBLY</v>
          </cell>
          <cell r="O1887" t="str">
            <v>A</v>
          </cell>
        </row>
        <row r="1888">
          <cell r="A1888">
            <v>22484</v>
          </cell>
          <cell r="B1888" t="str">
            <v>DIYAH WULANDARI</v>
          </cell>
          <cell r="C1888" t="str">
            <v>SAMI</v>
          </cell>
          <cell r="D1888" t="str">
            <v>OPT-560</v>
          </cell>
          <cell r="E1888">
            <v>43224</v>
          </cell>
          <cell r="F1888">
            <v>43255</v>
          </cell>
          <cell r="G1888">
            <v>43616</v>
          </cell>
          <cell r="H1888" t="str">
            <v>PRD</v>
          </cell>
          <cell r="I1888" t="str">
            <v>PRD</v>
          </cell>
          <cell r="J1888" t="str">
            <v>MAZDA ATENZA</v>
          </cell>
          <cell r="K1888" t="str">
            <v>MAZDA J72A</v>
          </cell>
          <cell r="L1888" t="str">
            <v>CV A04</v>
          </cell>
          <cell r="M1888" t="str">
            <v>CHECKER 1</v>
          </cell>
          <cell r="N1888" t="str">
            <v>ELECTRICAL INSPECTION</v>
          </cell>
          <cell r="O1888" t="str">
            <v>A</v>
          </cell>
        </row>
        <row r="1889">
          <cell r="A1889">
            <v>22491</v>
          </cell>
          <cell r="B1889" t="str">
            <v>IRMA SYAFITRI</v>
          </cell>
          <cell r="C1889" t="str">
            <v>SAMI</v>
          </cell>
          <cell r="D1889" t="str">
            <v>OPT-560</v>
          </cell>
          <cell r="E1889">
            <v>43224</v>
          </cell>
          <cell r="F1889">
            <v>43255</v>
          </cell>
          <cell r="G1889">
            <v>43616</v>
          </cell>
          <cell r="H1889" t="str">
            <v>PRD</v>
          </cell>
          <cell r="I1889" t="str">
            <v>PRD</v>
          </cell>
          <cell r="J1889" t="str">
            <v>MAZDA ATENZA</v>
          </cell>
          <cell r="K1889" t="str">
            <v>MAZDA J72A</v>
          </cell>
          <cell r="L1889" t="str">
            <v>CV A04</v>
          </cell>
          <cell r="M1889" t="str">
            <v>CIRCUIT SUPPLIER 02</v>
          </cell>
          <cell r="N1889" t="str">
            <v>CIRCUIT SUPPLY</v>
          </cell>
          <cell r="O1889" t="str">
            <v>A</v>
          </cell>
        </row>
        <row r="1890">
          <cell r="A1890">
            <v>22898</v>
          </cell>
          <cell r="B1890" t="str">
            <v>TITIN DYAH WARDANI</v>
          </cell>
          <cell r="C1890" t="str">
            <v>SAMI</v>
          </cell>
          <cell r="D1890" t="str">
            <v>OPT-567</v>
          </cell>
          <cell r="E1890">
            <v>43333</v>
          </cell>
          <cell r="F1890">
            <v>43364</v>
          </cell>
          <cell r="G1890">
            <v>43738</v>
          </cell>
          <cell r="H1890" t="str">
            <v>PRD</v>
          </cell>
          <cell r="I1890" t="str">
            <v>PRD</v>
          </cell>
          <cell r="J1890" t="str">
            <v>MAZDA ATENZA</v>
          </cell>
          <cell r="K1890" t="str">
            <v>MAZDA J72A</v>
          </cell>
          <cell r="L1890" t="str">
            <v>CV A04</v>
          </cell>
          <cell r="M1890" t="str">
            <v>OJT T/P 1.2</v>
          </cell>
          <cell r="N1890" t="str">
            <v>INTERNAL TRIAL</v>
          </cell>
          <cell r="O1890" t="str">
            <v>A</v>
          </cell>
        </row>
        <row r="1891">
          <cell r="A1891">
            <v>22912</v>
          </cell>
          <cell r="B1891" t="str">
            <v>AYU APRI UTAMI</v>
          </cell>
          <cell r="C1891" t="str">
            <v>SAMI</v>
          </cell>
          <cell r="D1891" t="str">
            <v>OPT-568</v>
          </cell>
          <cell r="E1891">
            <v>43343</v>
          </cell>
          <cell r="F1891">
            <v>43374</v>
          </cell>
          <cell r="G1891">
            <v>43738</v>
          </cell>
          <cell r="H1891" t="str">
            <v>PRD</v>
          </cell>
          <cell r="I1891" t="str">
            <v>PRD</v>
          </cell>
          <cell r="J1891" t="str">
            <v>MAZDA ATENZA</v>
          </cell>
          <cell r="K1891" t="str">
            <v>MAZDA J72A</v>
          </cell>
          <cell r="L1891" t="str">
            <v>CV A04</v>
          </cell>
          <cell r="M1891" t="str">
            <v>CIRCUIT SUPPLIER</v>
          </cell>
          <cell r="N1891" t="str">
            <v>CIRCUIT SUPPLY</v>
          </cell>
          <cell r="O1891" t="str">
            <v>A</v>
          </cell>
        </row>
        <row r="1892">
          <cell r="A1892">
            <v>22985</v>
          </cell>
          <cell r="B1892" t="str">
            <v>TRISNAWATI</v>
          </cell>
          <cell r="C1892" t="str">
            <v>SAMI</v>
          </cell>
          <cell r="D1892" t="str">
            <v>OPT-568</v>
          </cell>
          <cell r="E1892">
            <v>43343</v>
          </cell>
          <cell r="F1892">
            <v>43374</v>
          </cell>
          <cell r="G1892">
            <v>43738</v>
          </cell>
          <cell r="H1892" t="str">
            <v>PRD</v>
          </cell>
          <cell r="I1892" t="str">
            <v>PRD</v>
          </cell>
          <cell r="J1892" t="str">
            <v>MAZDA ATENZA</v>
          </cell>
          <cell r="K1892" t="str">
            <v>MAZDA J72A</v>
          </cell>
          <cell r="L1892" t="str">
            <v>CV A04</v>
          </cell>
          <cell r="M1892" t="str">
            <v>OJT OFFLINE 2</v>
          </cell>
          <cell r="N1892" t="str">
            <v>INTERNAL TRIAL</v>
          </cell>
          <cell r="O1892" t="str">
            <v>A</v>
          </cell>
        </row>
        <row r="1893">
          <cell r="A1893">
            <v>23046</v>
          </cell>
          <cell r="B1893" t="str">
            <v>MIRA WIJAYANTI</v>
          </cell>
          <cell r="C1893" t="str">
            <v>SAMI</v>
          </cell>
          <cell r="D1893" t="str">
            <v>OPT-569</v>
          </cell>
          <cell r="E1893">
            <v>43361</v>
          </cell>
          <cell r="F1893">
            <v>43391</v>
          </cell>
          <cell r="G1893">
            <v>43769</v>
          </cell>
          <cell r="H1893" t="str">
            <v>PRD</v>
          </cell>
          <cell r="I1893" t="str">
            <v>PRD</v>
          </cell>
          <cell r="J1893" t="str">
            <v>MAZDA ATENZA</v>
          </cell>
          <cell r="K1893" t="str">
            <v>MAZDA J72A</v>
          </cell>
          <cell r="L1893" t="str">
            <v>CV A04</v>
          </cell>
          <cell r="M1893" t="str">
            <v>OJT S/A  10</v>
          </cell>
          <cell r="N1893" t="str">
            <v>INTERNAL TRIAL</v>
          </cell>
          <cell r="O1893" t="str">
            <v>A</v>
          </cell>
        </row>
        <row r="1894">
          <cell r="A1894">
            <v>23055</v>
          </cell>
          <cell r="B1894" t="str">
            <v>NUNG NUR HAYATI</v>
          </cell>
          <cell r="C1894" t="str">
            <v>SAMI</v>
          </cell>
          <cell r="D1894" t="str">
            <v>OPT-569</v>
          </cell>
          <cell r="E1894">
            <v>43361</v>
          </cell>
          <cell r="F1894">
            <v>43391</v>
          </cell>
          <cell r="G1894">
            <v>43769</v>
          </cell>
          <cell r="H1894" t="str">
            <v>PRD</v>
          </cell>
          <cell r="I1894" t="str">
            <v>PRD</v>
          </cell>
          <cell r="J1894" t="str">
            <v>MAZDA ATENZA</v>
          </cell>
          <cell r="K1894" t="str">
            <v>MAZDA J72A</v>
          </cell>
          <cell r="L1894" t="str">
            <v>CV A04</v>
          </cell>
          <cell r="M1894" t="str">
            <v>OJT OFFLINE 4</v>
          </cell>
          <cell r="N1894" t="str">
            <v>INTERNAL TRIAL</v>
          </cell>
          <cell r="O1894" t="str">
            <v>A</v>
          </cell>
        </row>
        <row r="1895">
          <cell r="A1895">
            <v>23083</v>
          </cell>
          <cell r="B1895" t="str">
            <v>ULFIANI MAULIDA</v>
          </cell>
          <cell r="C1895" t="str">
            <v>SAMI</v>
          </cell>
          <cell r="D1895" t="str">
            <v>OPT-569</v>
          </cell>
          <cell r="E1895">
            <v>43361</v>
          </cell>
          <cell r="F1895">
            <v>43391</v>
          </cell>
          <cell r="G1895">
            <v>43769</v>
          </cell>
          <cell r="H1895" t="str">
            <v>PRD</v>
          </cell>
          <cell r="I1895" t="str">
            <v>PRD</v>
          </cell>
          <cell r="J1895" t="str">
            <v>MAZDA ATENZA</v>
          </cell>
          <cell r="K1895" t="str">
            <v>MAZDA J72A</v>
          </cell>
          <cell r="L1895" t="str">
            <v>CV A04</v>
          </cell>
          <cell r="M1895" t="str">
            <v>CIRCUIT SUPPLIER 03</v>
          </cell>
          <cell r="N1895" t="str">
            <v>CIRCUIT SUPPLY</v>
          </cell>
          <cell r="O1895" t="str">
            <v>A</v>
          </cell>
        </row>
        <row r="1896">
          <cell r="A1896">
            <v>23129</v>
          </cell>
          <cell r="B1896" t="str">
            <v>LAILY NUR SAFITRI</v>
          </cell>
          <cell r="C1896" t="str">
            <v>SAMI</v>
          </cell>
          <cell r="D1896" t="str">
            <v>OPT-570</v>
          </cell>
          <cell r="E1896">
            <v>43369</v>
          </cell>
          <cell r="F1896">
            <v>43399</v>
          </cell>
          <cell r="G1896">
            <v>43769</v>
          </cell>
          <cell r="H1896" t="str">
            <v>PRD</v>
          </cell>
          <cell r="I1896" t="str">
            <v>PRD</v>
          </cell>
          <cell r="J1896" t="str">
            <v>MAZDA ATENZA</v>
          </cell>
          <cell r="K1896" t="str">
            <v>MAZDA J72A</v>
          </cell>
          <cell r="L1896" t="str">
            <v>CV A04</v>
          </cell>
          <cell r="M1896" t="str">
            <v>T/P 4</v>
          </cell>
          <cell r="N1896" t="str">
            <v>ASSEMBLY</v>
          </cell>
          <cell r="O1896" t="str">
            <v>A</v>
          </cell>
        </row>
        <row r="1897">
          <cell r="A1897">
            <v>23262</v>
          </cell>
          <cell r="B1897" t="str">
            <v>RIZKY MAULANI</v>
          </cell>
          <cell r="C1897" t="str">
            <v>SAMI</v>
          </cell>
          <cell r="D1897" t="str">
            <v>OPT-573</v>
          </cell>
          <cell r="E1897">
            <v>43421</v>
          </cell>
          <cell r="F1897">
            <v>43451</v>
          </cell>
          <cell r="G1897">
            <v>43830</v>
          </cell>
          <cell r="H1897" t="str">
            <v>PRD</v>
          </cell>
          <cell r="I1897" t="str">
            <v>PRD</v>
          </cell>
          <cell r="J1897" t="str">
            <v>MAZDA ATENZA</v>
          </cell>
          <cell r="K1897" t="str">
            <v>MAZDA J72A</v>
          </cell>
          <cell r="L1897" t="str">
            <v>CV A04</v>
          </cell>
          <cell r="M1897" t="str">
            <v>SETTING</v>
          </cell>
          <cell r="N1897" t="str">
            <v>ASSEMBLY</v>
          </cell>
          <cell r="O1897" t="str">
            <v>A</v>
          </cell>
        </row>
        <row r="1898">
          <cell r="A1898">
            <v>23263</v>
          </cell>
          <cell r="B1898" t="str">
            <v>RIZKY MUKAROMAH</v>
          </cell>
          <cell r="C1898" t="str">
            <v>SAMI</v>
          </cell>
          <cell r="D1898" t="str">
            <v>OPT-573</v>
          </cell>
          <cell r="E1898">
            <v>43421</v>
          </cell>
          <cell r="F1898">
            <v>43451</v>
          </cell>
          <cell r="G1898">
            <v>43830</v>
          </cell>
          <cell r="H1898" t="str">
            <v>PRD</v>
          </cell>
          <cell r="I1898" t="str">
            <v>PRD</v>
          </cell>
          <cell r="J1898" t="str">
            <v>MAZDA ATENZA</v>
          </cell>
          <cell r="K1898" t="str">
            <v>MAZDA J72A</v>
          </cell>
          <cell r="L1898" t="str">
            <v>CV A04</v>
          </cell>
          <cell r="M1898" t="str">
            <v>SUB ASSY</v>
          </cell>
          <cell r="N1898" t="str">
            <v>SUB ASSY</v>
          </cell>
          <cell r="O1898" t="str">
            <v>A</v>
          </cell>
        </row>
        <row r="1899">
          <cell r="A1899">
            <v>23309</v>
          </cell>
          <cell r="B1899" t="str">
            <v>ELFA NUR KHATIJA</v>
          </cell>
          <cell r="C1899" t="str">
            <v>SAMI</v>
          </cell>
          <cell r="D1899" t="str">
            <v>OPT-574</v>
          </cell>
          <cell r="E1899">
            <v>43427</v>
          </cell>
          <cell r="F1899">
            <v>43457</v>
          </cell>
          <cell r="G1899">
            <v>43830</v>
          </cell>
          <cell r="H1899" t="str">
            <v>PRD</v>
          </cell>
          <cell r="I1899" t="str">
            <v>PRD</v>
          </cell>
          <cell r="J1899" t="str">
            <v>MAZDA ATENZA</v>
          </cell>
          <cell r="K1899" t="str">
            <v>MAZDA J72A</v>
          </cell>
          <cell r="L1899" t="str">
            <v>CV A04</v>
          </cell>
          <cell r="M1899" t="str">
            <v>OJT S/T 4</v>
          </cell>
          <cell r="N1899" t="str">
            <v>INTERNAL TRIAL</v>
          </cell>
          <cell r="O1899" t="str">
            <v>A</v>
          </cell>
        </row>
        <row r="1900">
          <cell r="A1900">
            <v>23315</v>
          </cell>
          <cell r="B1900" t="str">
            <v>IKA NUR RAHAYU</v>
          </cell>
          <cell r="C1900" t="str">
            <v>SAMI</v>
          </cell>
          <cell r="D1900" t="str">
            <v>OPT-574</v>
          </cell>
          <cell r="E1900">
            <v>43427</v>
          </cell>
          <cell r="F1900">
            <v>43457</v>
          </cell>
          <cell r="G1900">
            <v>43830</v>
          </cell>
          <cell r="H1900" t="str">
            <v>PRD</v>
          </cell>
          <cell r="I1900" t="str">
            <v>PRD</v>
          </cell>
          <cell r="J1900" t="str">
            <v>MAZDA ATENZA</v>
          </cell>
          <cell r="K1900" t="str">
            <v>MAZDA J72A</v>
          </cell>
          <cell r="L1900" t="str">
            <v>CV A04</v>
          </cell>
          <cell r="M1900" t="str">
            <v>OJT S/A 4</v>
          </cell>
          <cell r="N1900" t="str">
            <v>INTERNAL TRIAL</v>
          </cell>
          <cell r="O1900" t="str">
            <v>A</v>
          </cell>
        </row>
        <row r="1901">
          <cell r="A1901">
            <v>23318</v>
          </cell>
          <cell r="B1901" t="str">
            <v>IRA RAHMAWATI</v>
          </cell>
          <cell r="C1901" t="str">
            <v>SAMI</v>
          </cell>
          <cell r="D1901" t="str">
            <v>OPT-574</v>
          </cell>
          <cell r="E1901">
            <v>43427</v>
          </cell>
          <cell r="F1901">
            <v>43457</v>
          </cell>
          <cell r="G1901">
            <v>43830</v>
          </cell>
          <cell r="H1901" t="str">
            <v>PRD</v>
          </cell>
          <cell r="I1901" t="str">
            <v>PRD</v>
          </cell>
          <cell r="J1901" t="str">
            <v>MAZDA ATENZA</v>
          </cell>
          <cell r="K1901" t="str">
            <v>MAZDA J72A</v>
          </cell>
          <cell r="L1901" t="str">
            <v>CV A04</v>
          </cell>
          <cell r="M1901" t="str">
            <v>OJT T/P 3</v>
          </cell>
          <cell r="N1901" t="str">
            <v>INTERNAL TRIAL</v>
          </cell>
          <cell r="O1901" t="str">
            <v>A</v>
          </cell>
        </row>
        <row r="1902">
          <cell r="A1902">
            <v>23435</v>
          </cell>
          <cell r="B1902" t="str">
            <v xml:space="preserve">MERRY MURTI WIJAYA </v>
          </cell>
          <cell r="C1902" t="str">
            <v>SAMI</v>
          </cell>
          <cell r="D1902" t="str">
            <v>OPT-575</v>
          </cell>
          <cell r="E1902">
            <v>43434</v>
          </cell>
          <cell r="F1902">
            <v>43464</v>
          </cell>
          <cell r="G1902">
            <v>43830</v>
          </cell>
          <cell r="H1902" t="str">
            <v>PRD</v>
          </cell>
          <cell r="I1902" t="str">
            <v>PRD</v>
          </cell>
          <cell r="J1902" t="str">
            <v>MAZDA ATENZA</v>
          </cell>
          <cell r="K1902" t="str">
            <v>MAZDA J72A</v>
          </cell>
          <cell r="L1902" t="str">
            <v>CV A04</v>
          </cell>
          <cell r="M1902" t="str">
            <v>TPO</v>
          </cell>
          <cell r="N1902" t="str">
            <v>ELECTRICAL INSPECTION</v>
          </cell>
          <cell r="O1902" t="str">
            <v>A</v>
          </cell>
        </row>
        <row r="1903">
          <cell r="A1903">
            <v>23517</v>
          </cell>
          <cell r="B1903" t="str">
            <v>NURJANAH</v>
          </cell>
          <cell r="C1903" t="str">
            <v>SAMI</v>
          </cell>
          <cell r="D1903" t="str">
            <v>OPT-576</v>
          </cell>
          <cell r="E1903">
            <v>43441</v>
          </cell>
          <cell r="F1903">
            <v>43472</v>
          </cell>
          <cell r="G1903">
            <v>43830</v>
          </cell>
          <cell r="H1903" t="str">
            <v>PRD</v>
          </cell>
          <cell r="I1903" t="str">
            <v>PRD</v>
          </cell>
          <cell r="J1903" t="str">
            <v>MAZDA ATENZA</v>
          </cell>
          <cell r="K1903" t="str">
            <v>MAZDA J72A</v>
          </cell>
          <cell r="L1903" t="str">
            <v>CV A04</v>
          </cell>
          <cell r="M1903" t="str">
            <v>OJT S/T 1.2</v>
          </cell>
          <cell r="N1903" t="str">
            <v>INTERNAL TRIAL</v>
          </cell>
          <cell r="O1903" t="str">
            <v>A</v>
          </cell>
        </row>
        <row r="1904">
          <cell r="A1904" t="str">
            <v>B00229</v>
          </cell>
          <cell r="B1904" t="str">
            <v>SANTI PUJI RAHAYU</v>
          </cell>
          <cell r="C1904" t="str">
            <v>SAMI</v>
          </cell>
          <cell r="D1904" t="str">
            <v>BBF-004</v>
          </cell>
          <cell r="E1904">
            <v>40847</v>
          </cell>
          <cell r="F1904" t="str">
            <v>-</v>
          </cell>
          <cell r="G1904" t="str">
            <v>-</v>
          </cell>
          <cell r="H1904" t="str">
            <v>PRD</v>
          </cell>
          <cell r="I1904" t="str">
            <v>PRD</v>
          </cell>
          <cell r="J1904" t="str">
            <v>MAZDA ATENZA</v>
          </cell>
          <cell r="K1904" t="str">
            <v>MAZDA J72A</v>
          </cell>
          <cell r="L1904" t="str">
            <v>CV A04</v>
          </cell>
          <cell r="M1904" t="str">
            <v>LQC</v>
          </cell>
          <cell r="N1904" t="str">
            <v>RELIEF</v>
          </cell>
          <cell r="O1904" t="str">
            <v>A</v>
          </cell>
        </row>
        <row r="1905">
          <cell r="A1905" t="str">
            <v>B00483</v>
          </cell>
          <cell r="B1905" t="str">
            <v>SITI ROKHAYATI</v>
          </cell>
          <cell r="C1905" t="str">
            <v>SAMI</v>
          </cell>
          <cell r="D1905" t="str">
            <v>BBF-007</v>
          </cell>
          <cell r="E1905">
            <v>40868</v>
          </cell>
          <cell r="F1905" t="str">
            <v>-</v>
          </cell>
          <cell r="G1905" t="str">
            <v>-</v>
          </cell>
          <cell r="H1905" t="str">
            <v>PRD</v>
          </cell>
          <cell r="I1905" t="str">
            <v>PRD</v>
          </cell>
          <cell r="J1905" t="str">
            <v>MAZDA ATENZA</v>
          </cell>
          <cell r="K1905" t="str">
            <v>MAZDA J72A</v>
          </cell>
          <cell r="L1905" t="str">
            <v>CV A04</v>
          </cell>
          <cell r="M1905" t="str">
            <v>S/A 6</v>
          </cell>
          <cell r="N1905" t="str">
            <v>SUB ASSY</v>
          </cell>
          <cell r="O1905" t="str">
            <v>A</v>
          </cell>
        </row>
        <row r="1906">
          <cell r="A1906" t="str">
            <v>B00487</v>
          </cell>
          <cell r="B1906" t="str">
            <v>TOPAN SAPUTRO</v>
          </cell>
          <cell r="C1906" t="str">
            <v>SAMI</v>
          </cell>
          <cell r="D1906" t="str">
            <v>BBF-007</v>
          </cell>
          <cell r="E1906">
            <v>40868</v>
          </cell>
          <cell r="F1906" t="str">
            <v>-</v>
          </cell>
          <cell r="G1906" t="str">
            <v>-</v>
          </cell>
          <cell r="H1906" t="str">
            <v>PRD</v>
          </cell>
          <cell r="I1906" t="str">
            <v>PRD</v>
          </cell>
          <cell r="J1906" t="str">
            <v>MAZDA ATENZA</v>
          </cell>
          <cell r="K1906" t="str">
            <v>MAZDA J72A</v>
          </cell>
          <cell r="L1906" t="str">
            <v>CV A04</v>
          </cell>
          <cell r="M1906" t="str">
            <v>LQC</v>
          </cell>
          <cell r="N1906" t="str">
            <v>RELIEF</v>
          </cell>
          <cell r="O1906" t="str">
            <v>A</v>
          </cell>
        </row>
        <row r="1907">
          <cell r="A1907">
            <v>23552</v>
          </cell>
          <cell r="B1907" t="str">
            <v>GUNAWAN ADI SAPUTRO</v>
          </cell>
          <cell r="C1907" t="str">
            <v>SAMI</v>
          </cell>
          <cell r="D1907" t="str">
            <v>OPT-577</v>
          </cell>
          <cell r="E1907">
            <v>43452</v>
          </cell>
          <cell r="F1907">
            <v>43483</v>
          </cell>
          <cell r="G1907">
            <v>43861</v>
          </cell>
          <cell r="H1907" t="str">
            <v>PRD</v>
          </cell>
          <cell r="I1907" t="str">
            <v>PRD</v>
          </cell>
          <cell r="J1907" t="str">
            <v>MAZDA ATENZA</v>
          </cell>
          <cell r="K1907" t="str">
            <v>MAZDA J72A</v>
          </cell>
          <cell r="L1907" t="str">
            <v>CV A04</v>
          </cell>
          <cell r="M1907" t="str">
            <v>OJT EXPANDER GROMMET</v>
          </cell>
          <cell r="N1907" t="str">
            <v>INTERNAL TRIAL</v>
          </cell>
          <cell r="O1907" t="str">
            <v>A</v>
          </cell>
        </row>
        <row r="1908">
          <cell r="A1908">
            <v>23580</v>
          </cell>
          <cell r="B1908" t="str">
            <v>NOR SIYAM NIKMAH</v>
          </cell>
          <cell r="C1908" t="str">
            <v>SAMI</v>
          </cell>
          <cell r="D1908" t="str">
            <v>OPT-577</v>
          </cell>
          <cell r="E1908">
            <v>43452</v>
          </cell>
          <cell r="F1908">
            <v>43483</v>
          </cell>
          <cell r="G1908">
            <v>43861</v>
          </cell>
          <cell r="H1908" t="str">
            <v>PRD</v>
          </cell>
          <cell r="I1908" t="str">
            <v>PRD</v>
          </cell>
          <cell r="J1908" t="str">
            <v>MAZDA ATENZA</v>
          </cell>
          <cell r="K1908" t="str">
            <v>MAZDA J72A</v>
          </cell>
          <cell r="L1908" t="str">
            <v>CV A04</v>
          </cell>
          <cell r="M1908" t="str">
            <v>OJT MATERIAL SUPPLY</v>
          </cell>
          <cell r="N1908" t="str">
            <v>INTERNAL TRIAL</v>
          </cell>
          <cell r="O1908" t="str">
            <v>A</v>
          </cell>
        </row>
        <row r="1909">
          <cell r="A1909">
            <v>146</v>
          </cell>
          <cell r="B1909" t="str">
            <v>NUNUNG HANDAYANI</v>
          </cell>
          <cell r="C1909" t="str">
            <v>SAMI</v>
          </cell>
          <cell r="D1909" t="str">
            <v>OPT-4</v>
          </cell>
          <cell r="E1909">
            <v>37637</v>
          </cell>
          <cell r="F1909" t="str">
            <v>-</v>
          </cell>
          <cell r="G1909" t="str">
            <v>-</v>
          </cell>
          <cell r="H1909" t="str">
            <v>PRD</v>
          </cell>
          <cell r="I1909" t="str">
            <v>PRD</v>
          </cell>
          <cell r="J1909" t="str">
            <v>MAZDA ATENZA</v>
          </cell>
          <cell r="K1909" t="str">
            <v>MAZDA J72A</v>
          </cell>
          <cell r="L1909" t="str">
            <v>CV A04</v>
          </cell>
          <cell r="M1909" t="str">
            <v>S/A 4</v>
          </cell>
          <cell r="N1909" t="str">
            <v>SUB ASSY</v>
          </cell>
          <cell r="O1909" t="str">
            <v>B</v>
          </cell>
        </row>
        <row r="1910">
          <cell r="A1910">
            <v>802</v>
          </cell>
          <cell r="B1910" t="str">
            <v>MASRIAH</v>
          </cell>
          <cell r="C1910" t="str">
            <v>SAMI</v>
          </cell>
          <cell r="D1910" t="str">
            <v>OPT-21</v>
          </cell>
          <cell r="E1910">
            <v>37837</v>
          </cell>
          <cell r="F1910" t="str">
            <v>-</v>
          </cell>
          <cell r="G1910" t="str">
            <v>-</v>
          </cell>
          <cell r="H1910" t="str">
            <v>PRD</v>
          </cell>
          <cell r="I1910" t="str">
            <v>PRD</v>
          </cell>
          <cell r="J1910" t="str">
            <v>MAZDA ATENZA</v>
          </cell>
          <cell r="K1910" t="str">
            <v>MAZDA J72A</v>
          </cell>
          <cell r="L1910" t="str">
            <v>CV A04</v>
          </cell>
          <cell r="M1910" t="str">
            <v>BFT</v>
          </cell>
          <cell r="N1910" t="str">
            <v>ASSEMBLY</v>
          </cell>
          <cell r="O1910" t="str">
            <v>B</v>
          </cell>
        </row>
        <row r="1911">
          <cell r="A1911">
            <v>1052</v>
          </cell>
          <cell r="B1911" t="str">
            <v>NUNUNG MARDIANI</v>
          </cell>
          <cell r="C1911" t="str">
            <v>SAMI</v>
          </cell>
          <cell r="D1911" t="str">
            <v>OPT-26</v>
          </cell>
          <cell r="E1911">
            <v>37879</v>
          </cell>
          <cell r="F1911" t="str">
            <v>-</v>
          </cell>
          <cell r="G1911" t="str">
            <v>-</v>
          </cell>
          <cell r="H1911" t="str">
            <v>PRD</v>
          </cell>
          <cell r="I1911" t="str">
            <v>PRD</v>
          </cell>
          <cell r="J1911" t="str">
            <v>MAZDA ATENZA</v>
          </cell>
          <cell r="K1911" t="str">
            <v>MAZDA J72A</v>
          </cell>
          <cell r="L1911" t="str">
            <v>CV A04</v>
          </cell>
          <cell r="M1911" t="str">
            <v>CAMERA FUSE</v>
          </cell>
          <cell r="N1911" t="str">
            <v>ELECTRICAL INSPECTION</v>
          </cell>
          <cell r="O1911" t="str">
            <v>B</v>
          </cell>
        </row>
        <row r="1912">
          <cell r="A1912">
            <v>5725</v>
          </cell>
          <cell r="B1912" t="str">
            <v>PUJI MASRURROH</v>
          </cell>
          <cell r="C1912" t="str">
            <v>SAMI</v>
          </cell>
          <cell r="D1912" t="str">
            <v>OPT-134</v>
          </cell>
          <cell r="E1912">
            <v>39098</v>
          </cell>
          <cell r="F1912" t="str">
            <v>-</v>
          </cell>
          <cell r="G1912" t="str">
            <v>-</v>
          </cell>
          <cell r="H1912" t="str">
            <v>PRD</v>
          </cell>
          <cell r="I1912" t="str">
            <v>PRD</v>
          </cell>
          <cell r="J1912" t="str">
            <v>MAZDA ATENZA</v>
          </cell>
          <cell r="K1912" t="str">
            <v>MAZDA J72A</v>
          </cell>
          <cell r="L1912" t="str">
            <v>CV A04</v>
          </cell>
          <cell r="M1912" t="str">
            <v>CHECKER 2</v>
          </cell>
          <cell r="N1912" t="str">
            <v>ELECTRICAL INSPECTION</v>
          </cell>
          <cell r="O1912" t="str">
            <v>B</v>
          </cell>
        </row>
        <row r="1913">
          <cell r="A1913">
            <v>5965</v>
          </cell>
          <cell r="B1913" t="str">
            <v>YANUR LISA MIKIYANTI</v>
          </cell>
          <cell r="C1913" t="str">
            <v>SAMI</v>
          </cell>
          <cell r="D1913" t="str">
            <v>OPT-137</v>
          </cell>
          <cell r="E1913">
            <v>39129</v>
          </cell>
          <cell r="F1913" t="str">
            <v>-</v>
          </cell>
          <cell r="G1913" t="str">
            <v>-</v>
          </cell>
          <cell r="H1913" t="str">
            <v>PRD</v>
          </cell>
          <cell r="I1913" t="str">
            <v>PRD</v>
          </cell>
          <cell r="J1913" t="str">
            <v>MAZDA ATENZA</v>
          </cell>
          <cell r="K1913" t="str">
            <v>MAZDA J72A</v>
          </cell>
          <cell r="L1913" t="str">
            <v>CV A04</v>
          </cell>
          <cell r="M1913" t="str">
            <v>VISUAL 3</v>
          </cell>
          <cell r="N1913" t="str">
            <v>VISUAL INSPECTION</v>
          </cell>
          <cell r="O1913" t="str">
            <v>B</v>
          </cell>
        </row>
        <row r="1914">
          <cell r="A1914">
            <v>9453</v>
          </cell>
          <cell r="B1914" t="str">
            <v>MEKAR WIJAYANTI</v>
          </cell>
          <cell r="C1914" t="str">
            <v>SAMI</v>
          </cell>
          <cell r="D1914" t="str">
            <v>OPT-216</v>
          </cell>
          <cell r="E1914">
            <v>40148</v>
          </cell>
          <cell r="F1914" t="str">
            <v>-</v>
          </cell>
          <cell r="G1914" t="str">
            <v>-</v>
          </cell>
          <cell r="H1914" t="str">
            <v>PRD</v>
          </cell>
          <cell r="I1914" t="str">
            <v>PRD</v>
          </cell>
          <cell r="J1914" t="str">
            <v>MAZDA ATENZA</v>
          </cell>
          <cell r="K1914" t="str">
            <v>MAZDA J72A</v>
          </cell>
          <cell r="L1914" t="str">
            <v>CV A04</v>
          </cell>
          <cell r="M1914" t="str">
            <v>SUB LINE CHO</v>
          </cell>
          <cell r="N1914" t="str">
            <v>GL</v>
          </cell>
          <cell r="O1914" t="str">
            <v>B</v>
          </cell>
        </row>
        <row r="1915">
          <cell r="A1915">
            <v>9934</v>
          </cell>
          <cell r="B1915" t="str">
            <v>INDAH UMI SAKINAH</v>
          </cell>
          <cell r="C1915" t="str">
            <v>SAMI</v>
          </cell>
          <cell r="D1915" t="str">
            <v>OPT-246</v>
          </cell>
          <cell r="E1915">
            <v>40431</v>
          </cell>
          <cell r="F1915" t="str">
            <v>-</v>
          </cell>
          <cell r="G1915" t="str">
            <v>-</v>
          </cell>
          <cell r="H1915" t="str">
            <v>PRD</v>
          </cell>
          <cell r="I1915" t="str">
            <v>PRD</v>
          </cell>
          <cell r="J1915" t="str">
            <v>MAZDA ATENZA</v>
          </cell>
          <cell r="K1915" t="str">
            <v>MAZDA J72A</v>
          </cell>
          <cell r="L1915" t="str">
            <v>CV A04</v>
          </cell>
          <cell r="M1915" t="str">
            <v>LQC</v>
          </cell>
          <cell r="N1915" t="str">
            <v>RELIEF</v>
          </cell>
          <cell r="O1915" t="str">
            <v>B</v>
          </cell>
        </row>
        <row r="1916">
          <cell r="A1916">
            <v>10237</v>
          </cell>
          <cell r="B1916" t="str">
            <v>RIKNA IDA SRI WAHYUNINGSIH</v>
          </cell>
          <cell r="C1916" t="str">
            <v>SAMI</v>
          </cell>
          <cell r="D1916" t="str">
            <v>OPT-259</v>
          </cell>
          <cell r="E1916">
            <v>40489</v>
          </cell>
          <cell r="F1916" t="str">
            <v>-</v>
          </cell>
          <cell r="G1916" t="str">
            <v>-</v>
          </cell>
          <cell r="H1916" t="str">
            <v>PRD</v>
          </cell>
          <cell r="I1916" t="str">
            <v>PRD</v>
          </cell>
          <cell r="J1916" t="str">
            <v>MAZDA ATENZA</v>
          </cell>
          <cell r="K1916" t="str">
            <v>MAZDA J72A</v>
          </cell>
          <cell r="L1916" t="str">
            <v>CV A04</v>
          </cell>
          <cell r="M1916" t="str">
            <v>SUB LINE CHO</v>
          </cell>
          <cell r="N1916" t="str">
            <v>GL</v>
          </cell>
          <cell r="O1916" t="str">
            <v>B</v>
          </cell>
        </row>
        <row r="1917">
          <cell r="A1917">
            <v>12099</v>
          </cell>
          <cell r="B1917" t="str">
            <v>FIKA DEWI OKTIARINI</v>
          </cell>
          <cell r="C1917" t="str">
            <v>SAMI</v>
          </cell>
          <cell r="D1917" t="str">
            <v>OPT-314</v>
          </cell>
          <cell r="E1917">
            <v>40798</v>
          </cell>
          <cell r="F1917" t="str">
            <v>-</v>
          </cell>
          <cell r="G1917" t="str">
            <v>-</v>
          </cell>
          <cell r="H1917" t="str">
            <v>PRD</v>
          </cell>
          <cell r="I1917" t="str">
            <v>PRD</v>
          </cell>
          <cell r="J1917" t="str">
            <v>MAZDA ATENZA</v>
          </cell>
          <cell r="K1917" t="str">
            <v>MAZDA J72A</v>
          </cell>
          <cell r="L1917" t="str">
            <v>CV A04</v>
          </cell>
          <cell r="M1917" t="str">
            <v>VISUAL 1</v>
          </cell>
          <cell r="N1917" t="str">
            <v>VISUAL INSPECTION</v>
          </cell>
          <cell r="O1917" t="str">
            <v>B</v>
          </cell>
        </row>
        <row r="1918">
          <cell r="A1918">
            <v>12609</v>
          </cell>
          <cell r="B1918" t="str">
            <v>ERNI YULIANTI</v>
          </cell>
          <cell r="C1918" t="str">
            <v>SAMI</v>
          </cell>
          <cell r="D1918" t="str">
            <v>OPT-319</v>
          </cell>
          <cell r="E1918">
            <v>40816</v>
          </cell>
          <cell r="F1918" t="str">
            <v>-</v>
          </cell>
          <cell r="G1918" t="str">
            <v>-</v>
          </cell>
          <cell r="H1918" t="str">
            <v>PRD</v>
          </cell>
          <cell r="I1918" t="str">
            <v>PRD</v>
          </cell>
          <cell r="J1918" t="str">
            <v>MAZDA ATENZA</v>
          </cell>
          <cell r="K1918" t="str">
            <v>MAZDA J72A</v>
          </cell>
          <cell r="L1918" t="str">
            <v>CV A04</v>
          </cell>
          <cell r="M1918" t="str">
            <v>S/T 1.2</v>
          </cell>
          <cell r="N1918" t="str">
            <v>ASSEMBLY</v>
          </cell>
          <cell r="O1918" t="str">
            <v>B</v>
          </cell>
        </row>
        <row r="1919">
          <cell r="A1919">
            <v>16833</v>
          </cell>
          <cell r="B1919" t="str">
            <v>SARIR MUTTAQIN</v>
          </cell>
          <cell r="C1919" t="str">
            <v>SAMI</v>
          </cell>
          <cell r="D1919" t="str">
            <v>OPT-427</v>
          </cell>
          <cell r="E1919">
            <v>41694</v>
          </cell>
          <cell r="F1919" t="str">
            <v>-</v>
          </cell>
          <cell r="G1919" t="str">
            <v>-</v>
          </cell>
          <cell r="H1919" t="str">
            <v>PRD</v>
          </cell>
          <cell r="I1919" t="str">
            <v>PRD</v>
          </cell>
          <cell r="J1919" t="str">
            <v>MAZDA ATENZA</v>
          </cell>
          <cell r="K1919" t="str">
            <v>MAZDA J72A</v>
          </cell>
          <cell r="L1919" t="str">
            <v>CV A04</v>
          </cell>
          <cell r="M1919" t="str">
            <v>CHECKER 1</v>
          </cell>
          <cell r="N1919" t="str">
            <v>ELECTRICAL INSPECTION</v>
          </cell>
          <cell r="O1919" t="str">
            <v>B</v>
          </cell>
        </row>
        <row r="1920">
          <cell r="A1920">
            <v>20199</v>
          </cell>
          <cell r="B1920" t="str">
            <v>DIAN PRATIWI</v>
          </cell>
          <cell r="C1920" t="str">
            <v>SAMI</v>
          </cell>
          <cell r="D1920" t="str">
            <v>OPT-500</v>
          </cell>
          <cell r="E1920">
            <v>42604</v>
          </cell>
          <cell r="F1920" t="str">
            <v>-</v>
          </cell>
          <cell r="G1920" t="str">
            <v>-</v>
          </cell>
          <cell r="H1920" t="str">
            <v>PRD</v>
          </cell>
          <cell r="I1920" t="str">
            <v>PRD</v>
          </cell>
          <cell r="J1920" t="str">
            <v>MAZDA ATENZA</v>
          </cell>
          <cell r="K1920" t="str">
            <v>MAZDA J72A</v>
          </cell>
          <cell r="L1920" t="str">
            <v>CV A04</v>
          </cell>
          <cell r="M1920" t="str">
            <v>T/P 4</v>
          </cell>
          <cell r="N1920" t="str">
            <v>ASSEMBLY</v>
          </cell>
          <cell r="O1920" t="str">
            <v>B</v>
          </cell>
        </row>
        <row r="1921">
          <cell r="A1921">
            <v>20446</v>
          </cell>
          <cell r="B1921" t="str">
            <v>DIAH AYU SUKMAWATI</v>
          </cell>
          <cell r="C1921" t="str">
            <v>SAMI</v>
          </cell>
          <cell r="D1921" t="str">
            <v>OPT-504</v>
          </cell>
          <cell r="E1921">
            <v>42634</v>
          </cell>
          <cell r="F1921">
            <v>43132</v>
          </cell>
          <cell r="G1921">
            <v>43496</v>
          </cell>
          <cell r="H1921" t="str">
            <v>PRD</v>
          </cell>
          <cell r="I1921" t="str">
            <v>PRD</v>
          </cell>
          <cell r="J1921" t="str">
            <v>MAZDA ATENZA</v>
          </cell>
          <cell r="K1921" t="str">
            <v>MAZDA J72A</v>
          </cell>
          <cell r="L1921" t="str">
            <v>CV A04</v>
          </cell>
          <cell r="M1921" t="str">
            <v>S/A 6</v>
          </cell>
          <cell r="N1921" t="str">
            <v>SUB ASSY</v>
          </cell>
          <cell r="O1921" t="str">
            <v>B</v>
          </cell>
        </row>
        <row r="1922">
          <cell r="A1922">
            <v>20536</v>
          </cell>
          <cell r="B1922" t="str">
            <v>SINTYA FEBRIANI PRABAWATI</v>
          </cell>
          <cell r="C1922" t="str">
            <v>SAMI</v>
          </cell>
          <cell r="D1922" t="str">
            <v>OPT-504</v>
          </cell>
          <cell r="E1922">
            <v>42634</v>
          </cell>
          <cell r="F1922">
            <v>43132</v>
          </cell>
          <cell r="G1922">
            <v>43496</v>
          </cell>
          <cell r="H1922" t="str">
            <v>PRD</v>
          </cell>
          <cell r="I1922" t="str">
            <v>PRD</v>
          </cell>
          <cell r="J1922" t="str">
            <v>MAZDA ATENZA</v>
          </cell>
          <cell r="K1922" t="str">
            <v>MAZDA J72A</v>
          </cell>
          <cell r="L1922" t="str">
            <v>CV A04</v>
          </cell>
          <cell r="M1922" t="str">
            <v>S/A 2</v>
          </cell>
          <cell r="N1922" t="str">
            <v>SUB ASSY</v>
          </cell>
          <cell r="O1922" t="str">
            <v>B</v>
          </cell>
        </row>
        <row r="1923">
          <cell r="A1923">
            <v>20538</v>
          </cell>
          <cell r="B1923" t="str">
            <v>SITI ASLAMIAH</v>
          </cell>
          <cell r="C1923" t="str">
            <v>SAMI</v>
          </cell>
          <cell r="D1923" t="str">
            <v>OPT-504</v>
          </cell>
          <cell r="E1923">
            <v>42634</v>
          </cell>
          <cell r="F1923">
            <v>43132</v>
          </cell>
          <cell r="G1923">
            <v>43496</v>
          </cell>
          <cell r="H1923" t="str">
            <v>PRD</v>
          </cell>
          <cell r="I1923" t="str">
            <v>PRD</v>
          </cell>
          <cell r="J1923" t="str">
            <v>MAZDA ATENZA</v>
          </cell>
          <cell r="K1923" t="str">
            <v>MAZDA J72A</v>
          </cell>
          <cell r="L1923" t="str">
            <v>CV A04</v>
          </cell>
          <cell r="M1923" t="str">
            <v>T/P 1.2</v>
          </cell>
          <cell r="N1923" t="str">
            <v>ASSEMBLY</v>
          </cell>
          <cell r="O1923" t="str">
            <v>B</v>
          </cell>
        </row>
        <row r="1924">
          <cell r="A1924">
            <v>20783</v>
          </cell>
          <cell r="B1924" t="str">
            <v>NAHLA DIYA KHASANAH</v>
          </cell>
          <cell r="C1924" t="str">
            <v>SAMI</v>
          </cell>
          <cell r="D1924" t="str">
            <v>OPT-506</v>
          </cell>
          <cell r="E1924">
            <v>42642</v>
          </cell>
          <cell r="F1924">
            <v>43132</v>
          </cell>
          <cell r="G1924">
            <v>43496</v>
          </cell>
          <cell r="H1924" t="str">
            <v>PRD</v>
          </cell>
          <cell r="I1924" t="str">
            <v>PRD</v>
          </cell>
          <cell r="J1924" t="str">
            <v>MAZDA ATENZA</v>
          </cell>
          <cell r="K1924" t="str">
            <v>MAZDA J72A</v>
          </cell>
          <cell r="L1924" t="str">
            <v>CV A04</v>
          </cell>
          <cell r="M1924" t="str">
            <v>S/A 7</v>
          </cell>
          <cell r="N1924" t="str">
            <v>SUB ASSY</v>
          </cell>
          <cell r="O1924" t="str">
            <v>B</v>
          </cell>
        </row>
        <row r="1925">
          <cell r="A1925">
            <v>20797</v>
          </cell>
          <cell r="B1925" t="str">
            <v xml:space="preserve">FELLA SYAFAATUN AZIZAH </v>
          </cell>
          <cell r="C1925" t="str">
            <v>SAMI</v>
          </cell>
          <cell r="D1925" t="str">
            <v>OPT-508</v>
          </cell>
          <cell r="E1925">
            <v>42649</v>
          </cell>
          <cell r="F1925">
            <v>43132</v>
          </cell>
          <cell r="G1925">
            <v>43496</v>
          </cell>
          <cell r="H1925" t="str">
            <v>PRD</v>
          </cell>
          <cell r="I1925" t="str">
            <v>PRD</v>
          </cell>
          <cell r="J1925" t="str">
            <v>MAZDA ATENZA</v>
          </cell>
          <cell r="K1925" t="str">
            <v>MAZDA J72A</v>
          </cell>
          <cell r="L1925" t="str">
            <v>CV A04</v>
          </cell>
          <cell r="M1925" t="str">
            <v>S/A 1</v>
          </cell>
          <cell r="N1925" t="str">
            <v>SUB ASSY</v>
          </cell>
          <cell r="O1925" t="str">
            <v>B</v>
          </cell>
        </row>
        <row r="1926">
          <cell r="A1926">
            <v>20864</v>
          </cell>
          <cell r="B1926" t="str">
            <v>HANIF RINALDY</v>
          </cell>
          <cell r="C1926" t="str">
            <v>SAMI</v>
          </cell>
          <cell r="D1926" t="str">
            <v>OPT-510</v>
          </cell>
          <cell r="E1926">
            <v>42660</v>
          </cell>
          <cell r="F1926">
            <v>43160</v>
          </cell>
          <cell r="G1926">
            <v>43524</v>
          </cell>
          <cell r="H1926" t="str">
            <v>PRD</v>
          </cell>
          <cell r="I1926" t="str">
            <v>PRD</v>
          </cell>
          <cell r="J1926" t="str">
            <v>MAZDA ATENZA</v>
          </cell>
          <cell r="K1926" t="str">
            <v>MAZDA J72A</v>
          </cell>
          <cell r="L1926" t="str">
            <v>CV A04</v>
          </cell>
          <cell r="M1926" t="str">
            <v>CHECKER 3</v>
          </cell>
          <cell r="N1926" t="str">
            <v>ELECTRICAL INSPECTION</v>
          </cell>
          <cell r="O1926" t="str">
            <v>B</v>
          </cell>
        </row>
        <row r="1927">
          <cell r="A1927">
            <v>20930</v>
          </cell>
          <cell r="B1927" t="str">
            <v>ANJANI PUTIH</v>
          </cell>
          <cell r="C1927" t="str">
            <v>SAMI</v>
          </cell>
          <cell r="D1927" t="str">
            <v>OPT-511</v>
          </cell>
          <cell r="E1927">
            <v>42667</v>
          </cell>
          <cell r="F1927">
            <v>43160</v>
          </cell>
          <cell r="G1927">
            <v>43524</v>
          </cell>
          <cell r="H1927" t="str">
            <v>PRD</v>
          </cell>
          <cell r="I1927" t="str">
            <v>PRD</v>
          </cell>
          <cell r="J1927" t="str">
            <v>MAZDA ATENZA</v>
          </cell>
          <cell r="K1927" t="str">
            <v>MAZDA J72A</v>
          </cell>
          <cell r="L1927" t="str">
            <v>CV A04</v>
          </cell>
          <cell r="M1927" t="str">
            <v>TPO</v>
          </cell>
          <cell r="N1927" t="str">
            <v>VISUAL INSPECTION</v>
          </cell>
          <cell r="O1927" t="str">
            <v>B</v>
          </cell>
        </row>
        <row r="1928">
          <cell r="A1928">
            <v>20960</v>
          </cell>
          <cell r="B1928" t="str">
            <v>SRIYANA</v>
          </cell>
          <cell r="C1928" t="str">
            <v>SAMI</v>
          </cell>
          <cell r="D1928" t="str">
            <v>OPT-511</v>
          </cell>
          <cell r="E1928">
            <v>42667</v>
          </cell>
          <cell r="F1928">
            <v>43160</v>
          </cell>
          <cell r="G1928">
            <v>43524</v>
          </cell>
          <cell r="H1928" t="str">
            <v>PRD</v>
          </cell>
          <cell r="I1928" t="str">
            <v>PRD</v>
          </cell>
          <cell r="J1928" t="str">
            <v>MAZDA ATENZA</v>
          </cell>
          <cell r="K1928" t="str">
            <v>MAZDA J72A</v>
          </cell>
          <cell r="L1928" t="str">
            <v>CV A04</v>
          </cell>
          <cell r="M1928" t="str">
            <v>INSERT RELAY</v>
          </cell>
          <cell r="N1928" t="str">
            <v>ELECTRICAL INSPECTION</v>
          </cell>
          <cell r="O1928" t="str">
            <v>B</v>
          </cell>
        </row>
        <row r="1929">
          <cell r="A1929">
            <v>21166</v>
          </cell>
          <cell r="B1929" t="str">
            <v>LULUK DIYAH KHUMAYROH</v>
          </cell>
          <cell r="C1929" t="str">
            <v>SAMI</v>
          </cell>
          <cell r="D1929" t="str">
            <v>OPT-522</v>
          </cell>
          <cell r="E1929">
            <v>42871</v>
          </cell>
          <cell r="F1929">
            <v>43374</v>
          </cell>
          <cell r="G1929">
            <v>43738</v>
          </cell>
          <cell r="H1929" t="str">
            <v>PRD</v>
          </cell>
          <cell r="I1929" t="str">
            <v>PRD</v>
          </cell>
          <cell r="J1929" t="str">
            <v>MAZDA ATENZA</v>
          </cell>
          <cell r="K1929" t="str">
            <v>MAZDA J72A</v>
          </cell>
          <cell r="L1929" t="str">
            <v>CV A04</v>
          </cell>
          <cell r="M1929" t="str">
            <v>S/A 8</v>
          </cell>
          <cell r="N1929" t="str">
            <v>SUB ASSY</v>
          </cell>
          <cell r="O1929" t="str">
            <v>B</v>
          </cell>
        </row>
        <row r="1930">
          <cell r="A1930">
            <v>21203</v>
          </cell>
          <cell r="B1930" t="str">
            <v>AHMAD FAHRUR ROZI</v>
          </cell>
          <cell r="C1930" t="str">
            <v>SAMI</v>
          </cell>
          <cell r="D1930" t="str">
            <v>OPT-523</v>
          </cell>
          <cell r="E1930">
            <v>42877</v>
          </cell>
          <cell r="F1930">
            <v>43374</v>
          </cell>
          <cell r="G1930">
            <v>43738</v>
          </cell>
          <cell r="H1930" t="str">
            <v>PRD</v>
          </cell>
          <cell r="I1930" t="str">
            <v>PRD</v>
          </cell>
          <cell r="J1930" t="str">
            <v>MAZDA ATENZA</v>
          </cell>
          <cell r="K1930" t="str">
            <v>MAZDA J72A</v>
          </cell>
          <cell r="L1930" t="str">
            <v>CV A04</v>
          </cell>
          <cell r="M1930" t="str">
            <v>OFFLINE 3</v>
          </cell>
          <cell r="N1930" t="str">
            <v>ASSEMBLY</v>
          </cell>
          <cell r="O1930" t="str">
            <v>B</v>
          </cell>
        </row>
        <row r="1931">
          <cell r="A1931">
            <v>21218</v>
          </cell>
          <cell r="B1931" t="str">
            <v>NUR RAHMAT</v>
          </cell>
          <cell r="C1931" t="str">
            <v>SAMI</v>
          </cell>
          <cell r="D1931" t="str">
            <v>OPT-523</v>
          </cell>
          <cell r="E1931">
            <v>42877</v>
          </cell>
          <cell r="F1931">
            <v>43374</v>
          </cell>
          <cell r="G1931">
            <v>43738</v>
          </cell>
          <cell r="H1931" t="str">
            <v>PRD</v>
          </cell>
          <cell r="I1931" t="str">
            <v>PRD</v>
          </cell>
          <cell r="J1931" t="str">
            <v>MAZDA ATENZA</v>
          </cell>
          <cell r="K1931" t="str">
            <v>MAZDA J72A</v>
          </cell>
          <cell r="L1931" t="str">
            <v>CV A04</v>
          </cell>
          <cell r="M1931" t="str">
            <v>EXPANDER GROMMET</v>
          </cell>
          <cell r="N1931" t="str">
            <v>ASSEMBLY</v>
          </cell>
          <cell r="O1931" t="str">
            <v>B</v>
          </cell>
        </row>
        <row r="1932">
          <cell r="A1932">
            <v>21238</v>
          </cell>
          <cell r="B1932" t="str">
            <v>HESTI WIDYAWATI</v>
          </cell>
          <cell r="C1932" t="str">
            <v>SAMI</v>
          </cell>
          <cell r="D1932" t="str">
            <v>OPT-525</v>
          </cell>
          <cell r="E1932">
            <v>42893</v>
          </cell>
          <cell r="F1932">
            <v>43374</v>
          </cell>
          <cell r="G1932">
            <v>43738</v>
          </cell>
          <cell r="H1932" t="str">
            <v>PRD</v>
          </cell>
          <cell r="I1932" t="str">
            <v>PRD</v>
          </cell>
          <cell r="J1932" t="str">
            <v>MAZDA ATENZA</v>
          </cell>
          <cell r="K1932" t="str">
            <v>MAZDA J72A</v>
          </cell>
          <cell r="L1932" t="str">
            <v>CV A04</v>
          </cell>
          <cell r="M1932" t="str">
            <v>INSPECT RELAY</v>
          </cell>
          <cell r="N1932" t="str">
            <v>ASSEMBLY</v>
          </cell>
          <cell r="O1932" t="str">
            <v>B</v>
          </cell>
        </row>
        <row r="1933">
          <cell r="A1933">
            <v>21281</v>
          </cell>
          <cell r="B1933" t="str">
            <v>DEVI ALFIYATUL MUKARROMAH</v>
          </cell>
          <cell r="C1933" t="str">
            <v>SAMI</v>
          </cell>
          <cell r="D1933" t="str">
            <v>OPT-530</v>
          </cell>
          <cell r="E1933">
            <v>43010</v>
          </cell>
          <cell r="F1933">
            <v>43405</v>
          </cell>
          <cell r="G1933">
            <v>43769</v>
          </cell>
          <cell r="H1933" t="str">
            <v>PRD</v>
          </cell>
          <cell r="I1933" t="str">
            <v>PRD</v>
          </cell>
          <cell r="J1933" t="str">
            <v>MAZDA ATENZA</v>
          </cell>
          <cell r="K1933" t="str">
            <v>MAZDA J72A</v>
          </cell>
          <cell r="L1933" t="str">
            <v>CV A04</v>
          </cell>
          <cell r="M1933" t="str">
            <v xml:space="preserve">S/A SP </v>
          </cell>
          <cell r="N1933" t="str">
            <v>SUB ASSY</v>
          </cell>
          <cell r="O1933" t="str">
            <v>B</v>
          </cell>
        </row>
        <row r="1934">
          <cell r="A1934">
            <v>21284</v>
          </cell>
          <cell r="B1934" t="str">
            <v xml:space="preserve">DIAN PRATIWI </v>
          </cell>
          <cell r="C1934" t="str">
            <v>SAMI</v>
          </cell>
          <cell r="D1934" t="str">
            <v>OPT-530</v>
          </cell>
          <cell r="E1934">
            <v>43010</v>
          </cell>
          <cell r="F1934">
            <v>43405</v>
          </cell>
          <cell r="G1934">
            <v>43769</v>
          </cell>
          <cell r="H1934" t="str">
            <v>PRD</v>
          </cell>
          <cell r="I1934" t="str">
            <v>PRD</v>
          </cell>
          <cell r="J1934" t="str">
            <v>MAZDA ATENZA</v>
          </cell>
          <cell r="K1934" t="str">
            <v>MAZDA J72A</v>
          </cell>
          <cell r="L1934" t="str">
            <v>CV A04</v>
          </cell>
          <cell r="M1934" t="str">
            <v>S/T 4</v>
          </cell>
          <cell r="N1934" t="str">
            <v>ASSEMBLY</v>
          </cell>
          <cell r="O1934" t="str">
            <v>B</v>
          </cell>
        </row>
        <row r="1935">
          <cell r="A1935">
            <v>21296</v>
          </cell>
          <cell r="B1935" t="str">
            <v>INTAN DARMA PALUPI</v>
          </cell>
          <cell r="C1935" t="str">
            <v>SAMI</v>
          </cell>
          <cell r="D1935" t="str">
            <v>OPT-530</v>
          </cell>
          <cell r="E1935">
            <v>43010</v>
          </cell>
          <cell r="F1935">
            <v>43405</v>
          </cell>
          <cell r="G1935">
            <v>43769</v>
          </cell>
          <cell r="H1935" t="str">
            <v>PRD</v>
          </cell>
          <cell r="I1935" t="str">
            <v>PRD</v>
          </cell>
          <cell r="J1935" t="str">
            <v>MAZDA ATENZA</v>
          </cell>
          <cell r="K1935" t="str">
            <v>MAZDA J72A</v>
          </cell>
          <cell r="L1935" t="str">
            <v>CV A04</v>
          </cell>
          <cell r="M1935" t="str">
            <v>T/P 3</v>
          </cell>
          <cell r="N1935" t="str">
            <v>ASSEMBLY</v>
          </cell>
          <cell r="O1935" t="str">
            <v>B</v>
          </cell>
        </row>
        <row r="1936">
          <cell r="A1936">
            <v>21372</v>
          </cell>
          <cell r="B1936" t="str">
            <v>TIRTA SATRIAWAN MAULANA</v>
          </cell>
          <cell r="C1936" t="str">
            <v>SAMI</v>
          </cell>
          <cell r="D1936" t="str">
            <v>OPT-531</v>
          </cell>
          <cell r="E1936">
            <v>43013</v>
          </cell>
          <cell r="F1936">
            <v>43405</v>
          </cell>
          <cell r="G1936">
            <v>43769</v>
          </cell>
          <cell r="H1936" t="str">
            <v>PRD</v>
          </cell>
          <cell r="I1936" t="str">
            <v>PRD</v>
          </cell>
          <cell r="J1936" t="str">
            <v>MAZDA ATENZA</v>
          </cell>
          <cell r="K1936" t="str">
            <v>MAZDA J72A</v>
          </cell>
          <cell r="L1936" t="str">
            <v>CV A04</v>
          </cell>
          <cell r="M1936" t="str">
            <v>SHIAGE 1</v>
          </cell>
          <cell r="N1936" t="str">
            <v>ASSEMBLY</v>
          </cell>
          <cell r="O1936" t="str">
            <v>B</v>
          </cell>
        </row>
        <row r="1937">
          <cell r="A1937">
            <v>21380</v>
          </cell>
          <cell r="B1937" t="str">
            <v>ANISA NAJEMA</v>
          </cell>
          <cell r="C1937" t="str">
            <v>SAMI</v>
          </cell>
          <cell r="D1937" t="str">
            <v>OPT-532</v>
          </cell>
          <cell r="E1937">
            <v>43018</v>
          </cell>
          <cell r="F1937">
            <v>43405</v>
          </cell>
          <cell r="G1937">
            <v>43769</v>
          </cell>
          <cell r="H1937" t="str">
            <v>PRD</v>
          </cell>
          <cell r="I1937" t="str">
            <v>PRD</v>
          </cell>
          <cell r="J1937" t="str">
            <v>MAZDA ATENZA</v>
          </cell>
          <cell r="K1937" t="str">
            <v>MAZDA J72A</v>
          </cell>
          <cell r="L1937" t="str">
            <v>CV A04</v>
          </cell>
          <cell r="M1937" t="str">
            <v>S/T 2</v>
          </cell>
          <cell r="N1937" t="str">
            <v>ASSEMBLY</v>
          </cell>
          <cell r="O1937" t="str">
            <v>B</v>
          </cell>
        </row>
        <row r="1938">
          <cell r="A1938">
            <v>21382</v>
          </cell>
          <cell r="B1938" t="str">
            <v>DANAR RIWAYATI</v>
          </cell>
          <cell r="C1938" t="str">
            <v>SAMI</v>
          </cell>
          <cell r="D1938" t="str">
            <v>OPT-532</v>
          </cell>
          <cell r="E1938">
            <v>43018</v>
          </cell>
          <cell r="F1938">
            <v>43405</v>
          </cell>
          <cell r="G1938">
            <v>43769</v>
          </cell>
          <cell r="H1938" t="str">
            <v>PRD</v>
          </cell>
          <cell r="I1938" t="str">
            <v>PRD</v>
          </cell>
          <cell r="J1938" t="str">
            <v>MAZDA ATENZA</v>
          </cell>
          <cell r="K1938" t="str">
            <v>MAZDA J72A</v>
          </cell>
          <cell r="L1938" t="str">
            <v>CV A04</v>
          </cell>
          <cell r="M1938" t="str">
            <v>S/A 5</v>
          </cell>
          <cell r="N1938" t="str">
            <v>SUB ASSY</v>
          </cell>
          <cell r="O1938" t="str">
            <v>B</v>
          </cell>
        </row>
        <row r="1939">
          <cell r="A1939">
            <v>21418</v>
          </cell>
          <cell r="B1939" t="str">
            <v>SITI NURHALIMAH</v>
          </cell>
          <cell r="C1939" t="str">
            <v>SAMI</v>
          </cell>
          <cell r="D1939" t="str">
            <v>OPT-532</v>
          </cell>
          <cell r="E1939">
            <v>43018</v>
          </cell>
          <cell r="F1939">
            <v>43405</v>
          </cell>
          <cell r="G1939">
            <v>43769</v>
          </cell>
          <cell r="H1939" t="str">
            <v>PRD</v>
          </cell>
          <cell r="I1939" t="str">
            <v>PRD</v>
          </cell>
          <cell r="J1939" t="str">
            <v>MAZDA ATENZA</v>
          </cell>
          <cell r="K1939" t="str">
            <v>MAZDA J72A</v>
          </cell>
          <cell r="L1939" t="str">
            <v>CV A04</v>
          </cell>
          <cell r="M1939" t="str">
            <v>S/A 9</v>
          </cell>
          <cell r="N1939" t="str">
            <v>SUB ASSY</v>
          </cell>
          <cell r="O1939" t="str">
            <v>B</v>
          </cell>
        </row>
        <row r="1940">
          <cell r="A1940">
            <v>21419</v>
          </cell>
          <cell r="B1940" t="str">
            <v>SOFATUL INSIYYAH</v>
          </cell>
          <cell r="C1940" t="str">
            <v>SAMI</v>
          </cell>
          <cell r="D1940" t="str">
            <v>OPT-532</v>
          </cell>
          <cell r="E1940">
            <v>43018</v>
          </cell>
          <cell r="F1940">
            <v>43405</v>
          </cell>
          <cell r="G1940">
            <v>43769</v>
          </cell>
          <cell r="H1940" t="str">
            <v>PRD</v>
          </cell>
          <cell r="I1940" t="str">
            <v>PRD</v>
          </cell>
          <cell r="J1940" t="str">
            <v>MAZDA ATENZA</v>
          </cell>
          <cell r="K1940" t="str">
            <v>MAZDA J72A</v>
          </cell>
          <cell r="L1940" t="str">
            <v>CV A04</v>
          </cell>
          <cell r="M1940" t="str">
            <v>S/A 3</v>
          </cell>
          <cell r="N1940" t="str">
            <v>SUB ASSY</v>
          </cell>
          <cell r="O1940" t="str">
            <v>B</v>
          </cell>
        </row>
        <row r="1941">
          <cell r="A1941">
            <v>21535</v>
          </cell>
          <cell r="B1941" t="str">
            <v>LIA WITAHYATI</v>
          </cell>
          <cell r="C1941" t="str">
            <v>SAMI</v>
          </cell>
          <cell r="D1941" t="str">
            <v>OPT-535</v>
          </cell>
          <cell r="E1941">
            <v>43045</v>
          </cell>
          <cell r="F1941">
            <v>43435</v>
          </cell>
          <cell r="G1941">
            <v>43799</v>
          </cell>
          <cell r="H1941" t="str">
            <v>PRD</v>
          </cell>
          <cell r="I1941" t="str">
            <v>PRD</v>
          </cell>
          <cell r="J1941" t="str">
            <v>MAZDA ATENZA</v>
          </cell>
          <cell r="K1941" t="str">
            <v>MAZDA J72A</v>
          </cell>
          <cell r="L1941" t="str">
            <v>CV A04</v>
          </cell>
          <cell r="M1941" t="str">
            <v>T/P 2</v>
          </cell>
          <cell r="N1941" t="str">
            <v>ASSEMBLY</v>
          </cell>
          <cell r="O1941" t="str">
            <v>B</v>
          </cell>
        </row>
        <row r="1942">
          <cell r="A1942">
            <v>21555</v>
          </cell>
          <cell r="B1942" t="str">
            <v>RISTADILA APRILIANA KHOIRUNNISA</v>
          </cell>
          <cell r="C1942" t="str">
            <v>SAMI</v>
          </cell>
          <cell r="D1942" t="str">
            <v>OPT-535</v>
          </cell>
          <cell r="E1942">
            <v>43045</v>
          </cell>
          <cell r="F1942">
            <v>43435</v>
          </cell>
          <cell r="G1942">
            <v>43799</v>
          </cell>
          <cell r="H1942" t="str">
            <v>PRD</v>
          </cell>
          <cell r="I1942" t="str">
            <v>PRD</v>
          </cell>
          <cell r="J1942" t="str">
            <v>MAZDA ATENZA</v>
          </cell>
          <cell r="K1942" t="str">
            <v>MAZDA J72A</v>
          </cell>
          <cell r="L1942" t="str">
            <v>CV A04</v>
          </cell>
          <cell r="M1942" t="str">
            <v>VISUAL 2</v>
          </cell>
          <cell r="N1942" t="str">
            <v>VISUAL INSPECTION</v>
          </cell>
          <cell r="O1942" t="str">
            <v>B</v>
          </cell>
        </row>
        <row r="1943">
          <cell r="A1943">
            <v>21962</v>
          </cell>
          <cell r="B1943" t="str">
            <v>MELA MIRTASARI</v>
          </cell>
          <cell r="C1943" t="str">
            <v>SAMI</v>
          </cell>
          <cell r="D1943" t="str">
            <v>OPT-545</v>
          </cell>
          <cell r="E1943">
            <v>43116</v>
          </cell>
          <cell r="F1943">
            <v>43147</v>
          </cell>
          <cell r="G1943">
            <v>43524</v>
          </cell>
          <cell r="H1943" t="str">
            <v>PRD</v>
          </cell>
          <cell r="I1943" t="str">
            <v>PRD</v>
          </cell>
          <cell r="J1943" t="str">
            <v>MAZDA ATENZA</v>
          </cell>
          <cell r="K1943" t="str">
            <v>MAZDA J72A</v>
          </cell>
          <cell r="L1943" t="str">
            <v>CV A04</v>
          </cell>
          <cell r="M1943" t="str">
            <v>S/T 3</v>
          </cell>
          <cell r="N1943" t="str">
            <v>ASSEMBLY</v>
          </cell>
          <cell r="O1943" t="str">
            <v>B</v>
          </cell>
        </row>
        <row r="1944">
          <cell r="A1944">
            <v>22097</v>
          </cell>
          <cell r="B1944" t="str">
            <v>SITI KAROMAH</v>
          </cell>
          <cell r="C1944" t="str">
            <v>SAMI</v>
          </cell>
          <cell r="D1944" t="str">
            <v>OPT-548</v>
          </cell>
          <cell r="E1944">
            <v>43150</v>
          </cell>
          <cell r="F1944">
            <v>43178</v>
          </cell>
          <cell r="G1944">
            <v>43555</v>
          </cell>
          <cell r="H1944" t="str">
            <v>PRD</v>
          </cell>
          <cell r="I1944" t="str">
            <v>PRD</v>
          </cell>
          <cell r="J1944" t="str">
            <v>MAZDA ATENZA</v>
          </cell>
          <cell r="K1944" t="str">
            <v>MAZDA J72A</v>
          </cell>
          <cell r="L1944" t="str">
            <v>CV A04</v>
          </cell>
          <cell r="M1944" t="str">
            <v>S/A 2</v>
          </cell>
          <cell r="N1944" t="str">
            <v>INTERNAL TRIAL</v>
          </cell>
          <cell r="O1944" t="str">
            <v>B</v>
          </cell>
        </row>
        <row r="1945">
          <cell r="A1945">
            <v>22395</v>
          </cell>
          <cell r="B1945" t="str">
            <v>ILAN FAIQOH</v>
          </cell>
          <cell r="C1945" t="str">
            <v>SAMI</v>
          </cell>
          <cell r="D1945" t="str">
            <v>OPT-558</v>
          </cell>
          <cell r="E1945">
            <v>43213</v>
          </cell>
          <cell r="F1945">
            <v>43243</v>
          </cell>
          <cell r="G1945">
            <v>43616</v>
          </cell>
          <cell r="H1945" t="str">
            <v>PRD</v>
          </cell>
          <cell r="I1945" t="str">
            <v>PRD</v>
          </cell>
          <cell r="J1945" t="str">
            <v>MAZDA ATENZA</v>
          </cell>
          <cell r="K1945" t="str">
            <v>MAZDA J72A</v>
          </cell>
          <cell r="L1945" t="str">
            <v>CV A04</v>
          </cell>
          <cell r="M1945" t="str">
            <v>OFFLINE 2</v>
          </cell>
          <cell r="N1945" t="str">
            <v>ASSEMBLY</v>
          </cell>
          <cell r="O1945" t="str">
            <v>B</v>
          </cell>
        </row>
        <row r="1946">
          <cell r="A1946">
            <v>22457</v>
          </cell>
          <cell r="B1946" t="str">
            <v>MALIKHATUN KHASANAH</v>
          </cell>
          <cell r="C1946" t="str">
            <v>SAMI</v>
          </cell>
          <cell r="D1946" t="str">
            <v>OPT-559</v>
          </cell>
          <cell r="E1946">
            <v>43220</v>
          </cell>
          <cell r="F1946">
            <v>43250</v>
          </cell>
          <cell r="G1946">
            <v>43616</v>
          </cell>
          <cell r="H1946" t="str">
            <v>PRD</v>
          </cell>
          <cell r="I1946" t="str">
            <v>PRD</v>
          </cell>
          <cell r="J1946" t="str">
            <v>MAZDA ATENZA</v>
          </cell>
          <cell r="K1946" t="str">
            <v>MAZDA J72A</v>
          </cell>
          <cell r="L1946" t="str">
            <v>CV A04</v>
          </cell>
          <cell r="M1946" t="str">
            <v>CIRCUIT SUPPLIER 01</v>
          </cell>
          <cell r="N1946" t="str">
            <v>CIRCUIT SUPPLY</v>
          </cell>
          <cell r="O1946" t="str">
            <v>B</v>
          </cell>
        </row>
        <row r="1947">
          <cell r="A1947">
            <v>22746</v>
          </cell>
          <cell r="B1947" t="str">
            <v>MISBAHUL ANAN</v>
          </cell>
          <cell r="C1947" t="str">
            <v>SAMI</v>
          </cell>
          <cell r="D1947" t="str">
            <v>OPT-564</v>
          </cell>
          <cell r="E1947">
            <v>43255</v>
          </cell>
          <cell r="F1947">
            <v>43285</v>
          </cell>
          <cell r="G1947">
            <v>43646</v>
          </cell>
          <cell r="H1947" t="str">
            <v>PRD</v>
          </cell>
          <cell r="I1947" t="str">
            <v>PRD</v>
          </cell>
          <cell r="J1947" t="str">
            <v>MAZDA ATENZA</v>
          </cell>
          <cell r="K1947" t="str">
            <v>MAZDA J72A</v>
          </cell>
          <cell r="L1947" t="str">
            <v>CV A04</v>
          </cell>
          <cell r="M1947" t="str">
            <v>SHIAGE 2</v>
          </cell>
          <cell r="N1947" t="str">
            <v>ASSEMBLY</v>
          </cell>
          <cell r="O1947" t="str">
            <v>B</v>
          </cell>
        </row>
        <row r="1948">
          <cell r="A1948">
            <v>22771</v>
          </cell>
          <cell r="B1948" t="str">
            <v>SRI CAHYONINGSIH</v>
          </cell>
          <cell r="C1948" t="str">
            <v>SAMI</v>
          </cell>
          <cell r="D1948" t="str">
            <v>OPT-564</v>
          </cell>
          <cell r="E1948">
            <v>43255</v>
          </cell>
          <cell r="F1948">
            <v>43285</v>
          </cell>
          <cell r="G1948">
            <v>43646</v>
          </cell>
          <cell r="H1948" t="str">
            <v>PRD</v>
          </cell>
          <cell r="I1948" t="str">
            <v>PRD</v>
          </cell>
          <cell r="J1948" t="str">
            <v>MAZDA ATENZA</v>
          </cell>
          <cell r="K1948" t="str">
            <v>MAZDA J72A</v>
          </cell>
          <cell r="L1948" t="str">
            <v>CV A04</v>
          </cell>
          <cell r="M1948" t="str">
            <v>CIRCUIT SUPPLIER 03</v>
          </cell>
          <cell r="N1948" t="str">
            <v>CIRCUIT SUPPLY</v>
          </cell>
          <cell r="O1948" t="str">
            <v>B</v>
          </cell>
        </row>
        <row r="1949">
          <cell r="A1949">
            <v>22918</v>
          </cell>
          <cell r="B1949" t="str">
            <v>DILA PUSPITA</v>
          </cell>
          <cell r="C1949" t="str">
            <v>SAMI</v>
          </cell>
          <cell r="D1949" t="str">
            <v>OPT-568</v>
          </cell>
          <cell r="E1949">
            <v>43343</v>
          </cell>
          <cell r="F1949">
            <v>43374</v>
          </cell>
          <cell r="G1949">
            <v>43738</v>
          </cell>
          <cell r="H1949" t="str">
            <v>PRD</v>
          </cell>
          <cell r="I1949" t="str">
            <v>PRD</v>
          </cell>
          <cell r="J1949" t="str">
            <v>MAZDA ATENZA</v>
          </cell>
          <cell r="K1949" t="str">
            <v>MAZDA J72A</v>
          </cell>
          <cell r="L1949" t="str">
            <v>CV A04</v>
          </cell>
          <cell r="M1949" t="str">
            <v>OFFLINE 4</v>
          </cell>
          <cell r="N1949" t="str">
            <v>ASSEMBLY</v>
          </cell>
          <cell r="O1949" t="str">
            <v>B</v>
          </cell>
        </row>
        <row r="1950">
          <cell r="A1950">
            <v>22935</v>
          </cell>
          <cell r="B1950" t="str">
            <v>HELI NURLINA</v>
          </cell>
          <cell r="C1950" t="str">
            <v>SAMI</v>
          </cell>
          <cell r="D1950" t="str">
            <v>OPT-568</v>
          </cell>
          <cell r="E1950">
            <v>43343</v>
          </cell>
          <cell r="F1950">
            <v>43374</v>
          </cell>
          <cell r="G1950">
            <v>43738</v>
          </cell>
          <cell r="H1950" t="str">
            <v>PRD</v>
          </cell>
          <cell r="I1950" t="str">
            <v>PRD</v>
          </cell>
          <cell r="J1950" t="str">
            <v>MAZDA ATENZA</v>
          </cell>
          <cell r="K1950" t="str">
            <v>MAZDA J72A</v>
          </cell>
          <cell r="L1950" t="str">
            <v>CV A04</v>
          </cell>
          <cell r="M1950" t="str">
            <v>T/P SP</v>
          </cell>
          <cell r="N1950" t="str">
            <v>ASSEMBLY</v>
          </cell>
          <cell r="O1950" t="str">
            <v>B</v>
          </cell>
        </row>
        <row r="1951">
          <cell r="A1951">
            <v>23024</v>
          </cell>
          <cell r="B1951" t="str">
            <v>HESTI NUR KUSUMAWATI</v>
          </cell>
          <cell r="C1951" t="str">
            <v>SAMI</v>
          </cell>
          <cell r="D1951" t="str">
            <v>OPT-569</v>
          </cell>
          <cell r="E1951">
            <v>43361</v>
          </cell>
          <cell r="F1951">
            <v>43391</v>
          </cell>
          <cell r="G1951">
            <v>43769</v>
          </cell>
          <cell r="H1951" t="str">
            <v>PRD</v>
          </cell>
          <cell r="I1951" t="str">
            <v>PRD</v>
          </cell>
          <cell r="J1951" t="str">
            <v>MAZDA ATENZA</v>
          </cell>
          <cell r="K1951" t="str">
            <v>MAZDA J72A</v>
          </cell>
          <cell r="L1951" t="str">
            <v>CV A04</v>
          </cell>
          <cell r="M1951" t="str">
            <v>CIRCUIT SUPPLIER 02</v>
          </cell>
          <cell r="N1951" t="str">
            <v>CIRCUIT SUPPLY</v>
          </cell>
          <cell r="O1951" t="str">
            <v>B</v>
          </cell>
        </row>
        <row r="1952">
          <cell r="A1952">
            <v>23026</v>
          </cell>
          <cell r="B1952" t="str">
            <v>HURULLIN KHOEROTUN NISA'</v>
          </cell>
          <cell r="C1952" t="str">
            <v>SAMI</v>
          </cell>
          <cell r="D1952" t="str">
            <v>OPT-569</v>
          </cell>
          <cell r="E1952">
            <v>43361</v>
          </cell>
          <cell r="F1952">
            <v>43391</v>
          </cell>
          <cell r="G1952">
            <v>43769</v>
          </cell>
          <cell r="H1952" t="str">
            <v>PRD</v>
          </cell>
          <cell r="I1952" t="str">
            <v>PRD</v>
          </cell>
          <cell r="J1952" t="str">
            <v>MAZDA ATENZA</v>
          </cell>
          <cell r="K1952" t="str">
            <v>MAZDA J72A</v>
          </cell>
          <cell r="L1952" t="str">
            <v>CV A04</v>
          </cell>
          <cell r="M1952" t="str">
            <v>S/A 10</v>
          </cell>
          <cell r="N1952" t="str">
            <v>SUB ASSY</v>
          </cell>
          <cell r="O1952" t="str">
            <v>B</v>
          </cell>
        </row>
        <row r="1953">
          <cell r="A1953">
            <v>23255</v>
          </cell>
          <cell r="B1953" t="str">
            <v>REVADDI GLENN VAERO</v>
          </cell>
          <cell r="C1953" t="str">
            <v>SAMI</v>
          </cell>
          <cell r="D1953" t="str">
            <v>OPT-573</v>
          </cell>
          <cell r="E1953">
            <v>43421</v>
          </cell>
          <cell r="F1953">
            <v>43451</v>
          </cell>
          <cell r="G1953">
            <v>43830</v>
          </cell>
          <cell r="H1953" t="str">
            <v>PRD</v>
          </cell>
          <cell r="I1953" t="str">
            <v>PRD</v>
          </cell>
          <cell r="J1953" t="str">
            <v>MAZDA ATENZA</v>
          </cell>
          <cell r="K1953" t="str">
            <v>MAZDA J72A</v>
          </cell>
          <cell r="L1953" t="str">
            <v>CV A04</v>
          </cell>
          <cell r="M1953" t="str">
            <v>OFFLINE 1</v>
          </cell>
          <cell r="N1953" t="str">
            <v>ASSEMBLY</v>
          </cell>
          <cell r="O1953" t="str">
            <v>B</v>
          </cell>
        </row>
        <row r="1954">
          <cell r="A1954">
            <v>23265</v>
          </cell>
          <cell r="B1954" t="str">
            <v>SAYIDATU NURUL NIKMATUL ULIYA</v>
          </cell>
          <cell r="C1954" t="str">
            <v>SAMI</v>
          </cell>
          <cell r="D1954" t="str">
            <v>OPT-573</v>
          </cell>
          <cell r="E1954">
            <v>43421</v>
          </cell>
          <cell r="F1954">
            <v>43451</v>
          </cell>
          <cell r="G1954">
            <v>43830</v>
          </cell>
          <cell r="H1954" t="str">
            <v>PRD</v>
          </cell>
          <cell r="I1954" t="str">
            <v>PRD</v>
          </cell>
          <cell r="J1954" t="str">
            <v>MAZDA ATENZA</v>
          </cell>
          <cell r="K1954" t="str">
            <v>MAZDA J72A</v>
          </cell>
          <cell r="L1954" t="str">
            <v>CV A04</v>
          </cell>
          <cell r="M1954" t="str">
            <v>T/P 1.1</v>
          </cell>
          <cell r="N1954" t="str">
            <v>ASSEMBLY</v>
          </cell>
          <cell r="O1954" t="str">
            <v>B</v>
          </cell>
        </row>
        <row r="1955">
          <cell r="A1955">
            <v>23291</v>
          </cell>
          <cell r="B1955" t="str">
            <v>AININ ASYIFA UNISA</v>
          </cell>
          <cell r="C1955" t="str">
            <v>SAMI</v>
          </cell>
          <cell r="D1955" t="str">
            <v>OPT-574</v>
          </cell>
          <cell r="E1955">
            <v>43427</v>
          </cell>
          <cell r="F1955">
            <v>43457</v>
          </cell>
          <cell r="G1955">
            <v>43830</v>
          </cell>
          <cell r="H1955" t="str">
            <v>PRD</v>
          </cell>
          <cell r="I1955" t="str">
            <v>PRD</v>
          </cell>
          <cell r="J1955" t="str">
            <v>MAZDA ATENZA</v>
          </cell>
          <cell r="K1955" t="str">
            <v>MAZDA J72A</v>
          </cell>
          <cell r="L1955" t="str">
            <v>CV A04</v>
          </cell>
          <cell r="M1955" t="str">
            <v>S/T 1.1</v>
          </cell>
          <cell r="N1955" t="str">
            <v>ASSEMBLY</v>
          </cell>
          <cell r="O1955" t="str">
            <v>B</v>
          </cell>
        </row>
        <row r="1956">
          <cell r="A1956">
            <v>23332</v>
          </cell>
          <cell r="B1956" t="str">
            <v>MAHMUDAH</v>
          </cell>
          <cell r="C1956" t="str">
            <v>SAMI</v>
          </cell>
          <cell r="D1956" t="str">
            <v>OPT-574</v>
          </cell>
          <cell r="E1956">
            <v>43427</v>
          </cell>
          <cell r="F1956">
            <v>43457</v>
          </cell>
          <cell r="G1956">
            <v>43830</v>
          </cell>
          <cell r="H1956" t="str">
            <v>PRD</v>
          </cell>
          <cell r="I1956" t="str">
            <v>PRD</v>
          </cell>
          <cell r="J1956" t="str">
            <v>MAZDA ATENZA</v>
          </cell>
          <cell r="K1956" t="str">
            <v>MAZDA J72A</v>
          </cell>
          <cell r="L1956" t="str">
            <v>CV A04</v>
          </cell>
          <cell r="M1956" t="str">
            <v>OJT S/A</v>
          </cell>
          <cell r="N1956" t="str">
            <v>INTERNAL TRIAL</v>
          </cell>
          <cell r="O1956" t="str">
            <v>B</v>
          </cell>
        </row>
        <row r="1957">
          <cell r="A1957">
            <v>23343</v>
          </cell>
          <cell r="B1957" t="str">
            <v>NUR AINI</v>
          </cell>
          <cell r="C1957" t="str">
            <v>SAMI</v>
          </cell>
          <cell r="D1957" t="str">
            <v>OPT-574</v>
          </cell>
          <cell r="E1957">
            <v>43427</v>
          </cell>
          <cell r="F1957">
            <v>43457</v>
          </cell>
          <cell r="G1957">
            <v>43830</v>
          </cell>
          <cell r="H1957" t="str">
            <v>PRD</v>
          </cell>
          <cell r="I1957" t="str">
            <v>PRD</v>
          </cell>
          <cell r="J1957" t="str">
            <v>MAZDA ATENZA</v>
          </cell>
          <cell r="K1957" t="str">
            <v>MAZDA J72A</v>
          </cell>
          <cell r="L1957" t="str">
            <v>CV A04</v>
          </cell>
          <cell r="M1957" t="str">
            <v>OJT T/P</v>
          </cell>
          <cell r="N1957" t="str">
            <v>INTERNAL TRIAL</v>
          </cell>
          <cell r="O1957" t="str">
            <v>B</v>
          </cell>
        </row>
        <row r="1958">
          <cell r="A1958">
            <v>23516</v>
          </cell>
          <cell r="B1958" t="str">
            <v>NUR ROFIKOH</v>
          </cell>
          <cell r="C1958" t="str">
            <v>SAMI</v>
          </cell>
          <cell r="D1958" t="str">
            <v>OPT-576</v>
          </cell>
          <cell r="E1958">
            <v>43441</v>
          </cell>
          <cell r="F1958">
            <v>43472</v>
          </cell>
          <cell r="G1958">
            <v>43830</v>
          </cell>
          <cell r="H1958" t="str">
            <v>PRD</v>
          </cell>
          <cell r="I1958" t="str">
            <v>PRD</v>
          </cell>
          <cell r="J1958" t="str">
            <v>MAZDA ATENZA</v>
          </cell>
          <cell r="K1958" t="str">
            <v>MAZDA J72A</v>
          </cell>
          <cell r="L1958" t="str">
            <v>CV A04</v>
          </cell>
          <cell r="M1958" t="str">
            <v>OJT</v>
          </cell>
          <cell r="N1958" t="str">
            <v>INTERNAL TRIAL</v>
          </cell>
          <cell r="O1958" t="str">
            <v>B</v>
          </cell>
        </row>
        <row r="1959">
          <cell r="A1959">
            <v>23518</v>
          </cell>
          <cell r="B1959" t="str">
            <v>OKTAVIA INDRIYANI</v>
          </cell>
          <cell r="C1959" t="str">
            <v>SAMI</v>
          </cell>
          <cell r="D1959" t="str">
            <v>OPT-576</v>
          </cell>
          <cell r="E1959">
            <v>43441</v>
          </cell>
          <cell r="F1959">
            <v>43472</v>
          </cell>
          <cell r="G1959">
            <v>43830</v>
          </cell>
          <cell r="H1959" t="str">
            <v>PRD</v>
          </cell>
          <cell r="I1959" t="str">
            <v>PRD</v>
          </cell>
          <cell r="J1959" t="str">
            <v>MAZDA ATENZA</v>
          </cell>
          <cell r="K1959" t="str">
            <v>MAZDA J72A</v>
          </cell>
          <cell r="L1959" t="str">
            <v>CV A04</v>
          </cell>
          <cell r="M1959" t="str">
            <v>OJT</v>
          </cell>
          <cell r="N1959" t="str">
            <v>INTERNAL TRIAL</v>
          </cell>
          <cell r="O1959" t="str">
            <v>B</v>
          </cell>
        </row>
        <row r="1960">
          <cell r="A1960" t="str">
            <v>B03009</v>
          </cell>
          <cell r="B1960" t="str">
            <v>ANDI PRASETYO</v>
          </cell>
          <cell r="C1960" t="str">
            <v>SAMI</v>
          </cell>
          <cell r="D1960" t="str">
            <v>BBF-140</v>
          </cell>
          <cell r="E1960">
            <v>42289</v>
          </cell>
          <cell r="F1960" t="str">
            <v>-</v>
          </cell>
          <cell r="G1960" t="str">
            <v>-</v>
          </cell>
          <cell r="H1960" t="str">
            <v>PRD</v>
          </cell>
          <cell r="I1960" t="str">
            <v>PRD</v>
          </cell>
          <cell r="J1960" t="str">
            <v>MAZDA ATENZA</v>
          </cell>
          <cell r="K1960" t="str">
            <v>MAZDA J72A</v>
          </cell>
          <cell r="L1960" t="str">
            <v>CV A04</v>
          </cell>
          <cell r="M1960" t="str">
            <v>LQC</v>
          </cell>
          <cell r="N1960" t="str">
            <v>RELIEF</v>
          </cell>
          <cell r="O1960" t="str">
            <v>B</v>
          </cell>
        </row>
        <row r="1961">
          <cell r="A1961" t="str">
            <v>B03541</v>
          </cell>
          <cell r="B1961" t="str">
            <v>SERLY NAVISATUN KHOERIAH</v>
          </cell>
          <cell r="C1961" t="str">
            <v>SAMI</v>
          </cell>
          <cell r="D1961" t="str">
            <v>BBF-160</v>
          </cell>
          <cell r="E1961">
            <v>42634</v>
          </cell>
          <cell r="F1961">
            <v>43132</v>
          </cell>
          <cell r="G1961">
            <v>43496</v>
          </cell>
          <cell r="H1961" t="str">
            <v>PRD</v>
          </cell>
          <cell r="I1961" t="str">
            <v>PRD</v>
          </cell>
          <cell r="J1961" t="str">
            <v>MAZDA ATENZA</v>
          </cell>
          <cell r="K1961" t="str">
            <v>MAZDA J72A</v>
          </cell>
          <cell r="L1961" t="str">
            <v>CV A04</v>
          </cell>
          <cell r="M1961" t="str">
            <v>MATERIAL SUPPLY</v>
          </cell>
          <cell r="N1961" t="str">
            <v>MATERIAL SUPPLY</v>
          </cell>
          <cell r="O1961" t="str">
            <v>B</v>
          </cell>
        </row>
        <row r="1962">
          <cell r="A1962">
            <v>23581</v>
          </cell>
          <cell r="B1962" t="str">
            <v>NUR KHOTIMAH</v>
          </cell>
          <cell r="C1962" t="str">
            <v>SAMI</v>
          </cell>
          <cell r="D1962" t="str">
            <v>OPT-577</v>
          </cell>
          <cell r="E1962">
            <v>43452</v>
          </cell>
          <cell r="F1962">
            <v>43483</v>
          </cell>
          <cell r="G1962">
            <v>43861</v>
          </cell>
          <cell r="H1962" t="str">
            <v>PRD</v>
          </cell>
          <cell r="I1962" t="str">
            <v>PRD</v>
          </cell>
          <cell r="J1962" t="str">
            <v>MAZDA ATENZA</v>
          </cell>
          <cell r="K1962" t="str">
            <v>MAZDA J72A</v>
          </cell>
          <cell r="L1962" t="str">
            <v>CV A04</v>
          </cell>
          <cell r="M1962" t="str">
            <v>OJT</v>
          </cell>
          <cell r="N1962" t="str">
            <v>INTERNAL TRIAL</v>
          </cell>
          <cell r="O1962" t="str">
            <v>B</v>
          </cell>
        </row>
        <row r="1963">
          <cell r="A1963">
            <v>5415</v>
          </cell>
          <cell r="B1963" t="str">
            <v>FITRIYAH</v>
          </cell>
          <cell r="C1963" t="str">
            <v>SAMI</v>
          </cell>
          <cell r="D1963" t="str">
            <v>OPT-128</v>
          </cell>
          <cell r="E1963">
            <v>38991</v>
          </cell>
          <cell r="F1963" t="str">
            <v>-</v>
          </cell>
          <cell r="G1963" t="str">
            <v>-</v>
          </cell>
          <cell r="H1963" t="str">
            <v>PRD</v>
          </cell>
          <cell r="I1963" t="str">
            <v>PRD</v>
          </cell>
          <cell r="J1963" t="str">
            <v>MAZDA ATENZA</v>
          </cell>
          <cell r="K1963" t="str">
            <v>MAZDA J71E IPM3</v>
          </cell>
          <cell r="L1963" t="str">
            <v>CV A06</v>
          </cell>
          <cell r="M1963" t="str">
            <v>S/A 9</v>
          </cell>
          <cell r="N1963" t="str">
            <v>SUB ASSY</v>
          </cell>
          <cell r="O1963" t="str">
            <v>A</v>
          </cell>
        </row>
        <row r="1964">
          <cell r="A1964">
            <v>9532</v>
          </cell>
          <cell r="B1964" t="str">
            <v>PURYANTI</v>
          </cell>
          <cell r="C1964" t="str">
            <v>SAMI</v>
          </cell>
          <cell r="D1964" t="str">
            <v>OPT-216</v>
          </cell>
          <cell r="E1964">
            <v>40148</v>
          </cell>
          <cell r="F1964" t="str">
            <v>-</v>
          </cell>
          <cell r="G1964" t="str">
            <v>-</v>
          </cell>
          <cell r="H1964" t="str">
            <v>PRD</v>
          </cell>
          <cell r="I1964" t="str">
            <v>PRD</v>
          </cell>
          <cell r="J1964" t="str">
            <v>MAZDA ATENZA</v>
          </cell>
          <cell r="K1964" t="str">
            <v>MAZDA J71E IPM3</v>
          </cell>
          <cell r="L1964" t="str">
            <v>CV A06</v>
          </cell>
          <cell r="M1964" t="str">
            <v>SUB LINE CHO</v>
          </cell>
          <cell r="N1964" t="str">
            <v>GL</v>
          </cell>
          <cell r="O1964" t="str">
            <v>A</v>
          </cell>
        </row>
        <row r="1965">
          <cell r="A1965">
            <v>10142</v>
          </cell>
          <cell r="B1965" t="str">
            <v>MERY ZUNIANINGSIH</v>
          </cell>
          <cell r="C1965" t="str">
            <v>SAMI</v>
          </cell>
          <cell r="D1965" t="str">
            <v>OPT-251</v>
          </cell>
          <cell r="E1965">
            <v>40452</v>
          </cell>
          <cell r="F1965" t="str">
            <v>-</v>
          </cell>
          <cell r="G1965" t="str">
            <v>-</v>
          </cell>
          <cell r="H1965" t="str">
            <v>PRD</v>
          </cell>
          <cell r="I1965" t="str">
            <v>PRD</v>
          </cell>
          <cell r="J1965" t="str">
            <v>MAZDA ATENZA</v>
          </cell>
          <cell r="K1965" t="str">
            <v>MAZDA J71E IPM3</v>
          </cell>
          <cell r="L1965" t="str">
            <v>CV A06</v>
          </cell>
          <cell r="M1965" t="str">
            <v>SUB LINE CHO</v>
          </cell>
          <cell r="N1965" t="str">
            <v>GL</v>
          </cell>
          <cell r="O1965" t="str">
            <v>A</v>
          </cell>
        </row>
        <row r="1966">
          <cell r="A1966">
            <v>10562</v>
          </cell>
          <cell r="B1966" t="str">
            <v>SITI MULYATI</v>
          </cell>
          <cell r="C1966" t="str">
            <v>SAMI</v>
          </cell>
          <cell r="D1966" t="str">
            <v>OPT-275</v>
          </cell>
          <cell r="E1966">
            <v>40542</v>
          </cell>
          <cell r="F1966" t="str">
            <v>-</v>
          </cell>
          <cell r="G1966" t="str">
            <v>-</v>
          </cell>
          <cell r="H1966" t="str">
            <v>PRD</v>
          </cell>
          <cell r="I1966" t="str">
            <v>PRD</v>
          </cell>
          <cell r="J1966" t="str">
            <v>MAZDA ATENZA</v>
          </cell>
          <cell r="K1966" t="str">
            <v>MAZDA J71E IPM3</v>
          </cell>
          <cell r="L1966" t="str">
            <v>CV A06</v>
          </cell>
          <cell r="M1966" t="str">
            <v>S/A 7</v>
          </cell>
          <cell r="N1966" t="str">
            <v>SUB ASSY</v>
          </cell>
          <cell r="O1966" t="str">
            <v>A</v>
          </cell>
        </row>
        <row r="1967">
          <cell r="A1967">
            <v>10949</v>
          </cell>
          <cell r="B1967" t="str">
            <v>RINI KURNIASIH</v>
          </cell>
          <cell r="C1967" t="str">
            <v>SAMI</v>
          </cell>
          <cell r="D1967" t="str">
            <v>OPT-285</v>
          </cell>
          <cell r="E1967">
            <v>40578</v>
          </cell>
          <cell r="F1967" t="str">
            <v>-</v>
          </cell>
          <cell r="G1967" t="str">
            <v>-</v>
          </cell>
          <cell r="H1967" t="str">
            <v>PRD</v>
          </cell>
          <cell r="I1967" t="str">
            <v>PRD</v>
          </cell>
          <cell r="J1967" t="str">
            <v>MAZDA ATENZA</v>
          </cell>
          <cell r="K1967" t="str">
            <v>MAZDA J71E IPM3</v>
          </cell>
          <cell r="L1967" t="str">
            <v>CV A06</v>
          </cell>
          <cell r="M1967" t="str">
            <v>VISUAL 1</v>
          </cell>
          <cell r="N1967" t="str">
            <v>VISUAL INSPECTION</v>
          </cell>
          <cell r="O1967" t="str">
            <v>A</v>
          </cell>
        </row>
        <row r="1968">
          <cell r="A1968">
            <v>11683</v>
          </cell>
          <cell r="B1968" t="str">
            <v>ENDRIYANI</v>
          </cell>
          <cell r="C1968" t="str">
            <v>SAMI</v>
          </cell>
          <cell r="D1968" t="str">
            <v>OPT-308</v>
          </cell>
          <cell r="E1968">
            <v>40714</v>
          </cell>
          <cell r="F1968" t="str">
            <v>-</v>
          </cell>
          <cell r="G1968" t="str">
            <v>-</v>
          </cell>
          <cell r="H1968" t="str">
            <v>PRD</v>
          </cell>
          <cell r="I1968" t="str">
            <v>PRD</v>
          </cell>
          <cell r="J1968" t="str">
            <v>MAZDA ATENZA</v>
          </cell>
          <cell r="K1968" t="str">
            <v>MAZDA J71E IPM3</v>
          </cell>
          <cell r="L1968" t="str">
            <v>CV A06</v>
          </cell>
          <cell r="M1968" t="str">
            <v>VISUAL 2</v>
          </cell>
          <cell r="N1968" t="str">
            <v>VISUAL INSPECTION</v>
          </cell>
          <cell r="O1968" t="str">
            <v>A</v>
          </cell>
        </row>
        <row r="1969">
          <cell r="A1969">
            <v>19957</v>
          </cell>
          <cell r="B1969" t="str">
            <v>SITI LATIFAH</v>
          </cell>
          <cell r="C1969" t="str">
            <v>SAMI</v>
          </cell>
          <cell r="D1969" t="str">
            <v>OPT-493</v>
          </cell>
          <cell r="E1969">
            <v>42506</v>
          </cell>
          <cell r="F1969" t="str">
            <v>-</v>
          </cell>
          <cell r="G1969" t="str">
            <v>-</v>
          </cell>
          <cell r="H1969" t="str">
            <v>PRD</v>
          </cell>
          <cell r="I1969" t="str">
            <v>PRD</v>
          </cell>
          <cell r="J1969" t="str">
            <v>MAZDA ATENZA</v>
          </cell>
          <cell r="K1969" t="str">
            <v>MAZDA J71E IPM3</v>
          </cell>
          <cell r="L1969" t="str">
            <v>CV A06</v>
          </cell>
          <cell r="M1969" t="str">
            <v>T/P 3.2</v>
          </cell>
          <cell r="N1969" t="str">
            <v>ASSEMBLY</v>
          </cell>
          <cell r="O1969" t="str">
            <v>A</v>
          </cell>
        </row>
        <row r="1970">
          <cell r="A1970">
            <v>20684</v>
          </cell>
          <cell r="B1970" t="str">
            <v>YANI SUSILOWATI</v>
          </cell>
          <cell r="C1970" t="str">
            <v>SAMI</v>
          </cell>
          <cell r="D1970" t="str">
            <v>OPT-505</v>
          </cell>
          <cell r="E1970">
            <v>42639</v>
          </cell>
          <cell r="F1970">
            <v>43132</v>
          </cell>
          <cell r="G1970">
            <v>43496</v>
          </cell>
          <cell r="H1970" t="str">
            <v>PRD</v>
          </cell>
          <cell r="I1970" t="str">
            <v>PRD</v>
          </cell>
          <cell r="J1970" t="str">
            <v>MAZDA ATENZA</v>
          </cell>
          <cell r="K1970" t="str">
            <v>MAZDA J71E IPM3</v>
          </cell>
          <cell r="L1970" t="str">
            <v>CV A06</v>
          </cell>
          <cell r="M1970" t="str">
            <v>T/P 3.1</v>
          </cell>
          <cell r="N1970" t="str">
            <v>ASSEMBLY</v>
          </cell>
          <cell r="O1970" t="str">
            <v>A</v>
          </cell>
        </row>
        <row r="1971">
          <cell r="A1971">
            <v>20793</v>
          </cell>
          <cell r="B1971" t="str">
            <v>DIAH AYU WARDANI</v>
          </cell>
          <cell r="C1971" t="str">
            <v>SAMI</v>
          </cell>
          <cell r="D1971" t="str">
            <v>OPT-508</v>
          </cell>
          <cell r="E1971">
            <v>42649</v>
          </cell>
          <cell r="F1971">
            <v>43132</v>
          </cell>
          <cell r="G1971">
            <v>43496</v>
          </cell>
          <cell r="H1971" t="str">
            <v>PRD</v>
          </cell>
          <cell r="I1971" t="str">
            <v>PRD</v>
          </cell>
          <cell r="J1971" t="str">
            <v>MAZDA ATENZA</v>
          </cell>
          <cell r="K1971" t="str">
            <v>MAZDA J71E IPM3</v>
          </cell>
          <cell r="L1971" t="str">
            <v>CV A06</v>
          </cell>
          <cell r="M1971" t="str">
            <v>CHECKER 2</v>
          </cell>
          <cell r="N1971" t="str">
            <v>ELECTRICAL INSPECTION</v>
          </cell>
          <cell r="O1971" t="str">
            <v>A</v>
          </cell>
        </row>
        <row r="1972">
          <cell r="A1972">
            <v>21055</v>
          </cell>
          <cell r="B1972" t="str">
            <v>INDAH WAHYUNINGSIH</v>
          </cell>
          <cell r="C1972" t="str">
            <v>SAMI</v>
          </cell>
          <cell r="D1972" t="str">
            <v>OPT-520</v>
          </cell>
          <cell r="E1972">
            <v>42863</v>
          </cell>
          <cell r="F1972">
            <v>43344</v>
          </cell>
          <cell r="G1972">
            <v>43708</v>
          </cell>
          <cell r="H1972" t="str">
            <v>PRD</v>
          </cell>
          <cell r="I1972" t="str">
            <v>PRD</v>
          </cell>
          <cell r="J1972" t="str">
            <v>MAZDA ATENZA</v>
          </cell>
          <cell r="K1972" t="str">
            <v>MAZDA J71E IPM3</v>
          </cell>
          <cell r="L1972" t="str">
            <v>CV A06</v>
          </cell>
          <cell r="M1972" t="str">
            <v>T/P SP 2</v>
          </cell>
          <cell r="N1972" t="str">
            <v>ASSEMBLY</v>
          </cell>
          <cell r="O1972" t="str">
            <v>A</v>
          </cell>
        </row>
        <row r="1973">
          <cell r="A1973">
            <v>21421</v>
          </cell>
          <cell r="B1973" t="str">
            <v>SUSANTI</v>
          </cell>
          <cell r="C1973" t="str">
            <v>SAMI</v>
          </cell>
          <cell r="D1973" t="str">
            <v>OPT-532</v>
          </cell>
          <cell r="E1973">
            <v>43018</v>
          </cell>
          <cell r="F1973">
            <v>43405</v>
          </cell>
          <cell r="G1973">
            <v>43769</v>
          </cell>
          <cell r="H1973" t="str">
            <v>PRD</v>
          </cell>
          <cell r="I1973" t="str">
            <v>PRD</v>
          </cell>
          <cell r="J1973" t="str">
            <v>MAZDA ATENZA</v>
          </cell>
          <cell r="K1973" t="str">
            <v>MAZDA J71E IPM3</v>
          </cell>
          <cell r="L1973" t="str">
            <v>CV A06</v>
          </cell>
          <cell r="M1973" t="str">
            <v>S/T 5</v>
          </cell>
          <cell r="N1973" t="str">
            <v>ASSEMBLY</v>
          </cell>
          <cell r="O1973" t="str">
            <v>A</v>
          </cell>
        </row>
        <row r="1974">
          <cell r="A1974">
            <v>21444</v>
          </cell>
          <cell r="B1974" t="str">
            <v>LAILATUL QODRIYAH</v>
          </cell>
          <cell r="C1974" t="str">
            <v>SAMI</v>
          </cell>
          <cell r="D1974" t="str">
            <v>OPT-533</v>
          </cell>
          <cell r="E1974">
            <v>43024</v>
          </cell>
          <cell r="F1974">
            <v>43435</v>
          </cell>
          <cell r="G1974">
            <v>43799</v>
          </cell>
          <cell r="H1974" t="str">
            <v>PRD</v>
          </cell>
          <cell r="I1974" t="str">
            <v>PRD</v>
          </cell>
          <cell r="J1974" t="str">
            <v>MAZDA ATENZA</v>
          </cell>
          <cell r="K1974" t="str">
            <v>MAZDA J71E IPM3</v>
          </cell>
          <cell r="L1974" t="str">
            <v>CV A06</v>
          </cell>
          <cell r="M1974" t="str">
            <v>S/T 2.2</v>
          </cell>
          <cell r="N1974" t="str">
            <v>ASSEMBLY</v>
          </cell>
          <cell r="O1974" t="str">
            <v>A</v>
          </cell>
        </row>
        <row r="1975">
          <cell r="A1975">
            <v>21453</v>
          </cell>
          <cell r="B1975" t="str">
            <v>NIA OKTARIANI</v>
          </cell>
          <cell r="C1975" t="str">
            <v>SAMI</v>
          </cell>
          <cell r="D1975" t="str">
            <v>OPT-533</v>
          </cell>
          <cell r="E1975">
            <v>43024</v>
          </cell>
          <cell r="F1975">
            <v>43435</v>
          </cell>
          <cell r="G1975">
            <v>43799</v>
          </cell>
          <cell r="H1975" t="str">
            <v>PRD</v>
          </cell>
          <cell r="I1975" t="str">
            <v>PRD</v>
          </cell>
          <cell r="J1975" t="str">
            <v>MAZDA ATENZA</v>
          </cell>
          <cell r="K1975" t="str">
            <v>MAZDA J71E IPM3</v>
          </cell>
          <cell r="L1975" t="str">
            <v>CV A06</v>
          </cell>
          <cell r="M1975" t="str">
            <v>OFFLINE 2</v>
          </cell>
          <cell r="N1975" t="str">
            <v>ASSEMBLY</v>
          </cell>
          <cell r="O1975" t="str">
            <v>A</v>
          </cell>
        </row>
        <row r="1976">
          <cell r="A1976">
            <v>21495</v>
          </cell>
          <cell r="B1976" t="str">
            <v>SITI FADIYAH</v>
          </cell>
          <cell r="C1976" t="str">
            <v>SAMI</v>
          </cell>
          <cell r="D1976" t="str">
            <v>OPT-534</v>
          </cell>
          <cell r="E1976">
            <v>43031</v>
          </cell>
          <cell r="F1976">
            <v>43435</v>
          </cell>
          <cell r="G1976">
            <v>43799</v>
          </cell>
          <cell r="H1976" t="str">
            <v>PRD</v>
          </cell>
          <cell r="I1976" t="str">
            <v>PRD</v>
          </cell>
          <cell r="J1976" t="str">
            <v>MAZDA ATENZA</v>
          </cell>
          <cell r="K1976" t="str">
            <v>MAZDA J71E IPM3</v>
          </cell>
          <cell r="L1976" t="str">
            <v>CV A06</v>
          </cell>
          <cell r="M1976" t="str">
            <v>T/P 2</v>
          </cell>
          <cell r="N1976" t="str">
            <v>ASSEMBLY</v>
          </cell>
          <cell r="O1976" t="str">
            <v>A</v>
          </cell>
        </row>
        <row r="1977">
          <cell r="A1977">
            <v>21503</v>
          </cell>
          <cell r="B1977" t="str">
            <v>UMI KHOLISHNA</v>
          </cell>
          <cell r="C1977" t="str">
            <v>SAMI</v>
          </cell>
          <cell r="D1977" t="str">
            <v>OPT-534</v>
          </cell>
          <cell r="E1977">
            <v>43031</v>
          </cell>
          <cell r="F1977">
            <v>43435</v>
          </cell>
          <cell r="G1977">
            <v>43799</v>
          </cell>
          <cell r="H1977" t="str">
            <v>PRD</v>
          </cell>
          <cell r="I1977" t="str">
            <v>PRD</v>
          </cell>
          <cell r="J1977" t="str">
            <v>MAZDA ATENZA</v>
          </cell>
          <cell r="K1977" t="str">
            <v>MAZDA J71E IPM3</v>
          </cell>
          <cell r="L1977" t="str">
            <v>CV A06</v>
          </cell>
          <cell r="M1977" t="str">
            <v>CHECKER 1</v>
          </cell>
          <cell r="N1977" t="str">
            <v>ELECTRICAL INSPECTION</v>
          </cell>
          <cell r="O1977" t="str">
            <v>A</v>
          </cell>
        </row>
        <row r="1978">
          <cell r="A1978">
            <v>21512</v>
          </cell>
          <cell r="B1978" t="str">
            <v>ADELLA TRISIA</v>
          </cell>
          <cell r="C1978" t="str">
            <v>SAMI</v>
          </cell>
          <cell r="D1978" t="str">
            <v>OPT-535</v>
          </cell>
          <cell r="E1978">
            <v>43045</v>
          </cell>
          <cell r="F1978">
            <v>43435</v>
          </cell>
          <cell r="G1978">
            <v>43799</v>
          </cell>
          <cell r="H1978" t="str">
            <v>PRD</v>
          </cell>
          <cell r="I1978" t="str">
            <v>PRD</v>
          </cell>
          <cell r="J1978" t="str">
            <v>MAZDA ATENZA</v>
          </cell>
          <cell r="K1978" t="str">
            <v>MAZDA J71E IPM3</v>
          </cell>
          <cell r="L1978" t="str">
            <v>CV A06</v>
          </cell>
          <cell r="M1978" t="str">
            <v>OFFLINE 3</v>
          </cell>
          <cell r="N1978" t="str">
            <v>ASSEMBLY</v>
          </cell>
          <cell r="O1978" t="str">
            <v>A</v>
          </cell>
        </row>
        <row r="1979">
          <cell r="A1979">
            <v>21548</v>
          </cell>
          <cell r="B1979" t="str">
            <v>OTAVIA DWI RAHAYU</v>
          </cell>
          <cell r="C1979" t="str">
            <v>SAMI</v>
          </cell>
          <cell r="D1979" t="str">
            <v>OPT-535</v>
          </cell>
          <cell r="E1979">
            <v>43045</v>
          </cell>
          <cell r="F1979">
            <v>43435</v>
          </cell>
          <cell r="G1979">
            <v>43799</v>
          </cell>
          <cell r="H1979" t="str">
            <v>PRD</v>
          </cell>
          <cell r="I1979" t="str">
            <v>PRD</v>
          </cell>
          <cell r="J1979" t="str">
            <v>MAZDA ATENZA</v>
          </cell>
          <cell r="K1979" t="str">
            <v>MAZDA J71E IPM3</v>
          </cell>
          <cell r="L1979" t="str">
            <v>CV A06</v>
          </cell>
          <cell r="M1979" t="str">
            <v>T/P 1</v>
          </cell>
          <cell r="N1979" t="str">
            <v>ASSEMBLY</v>
          </cell>
          <cell r="O1979" t="str">
            <v>A</v>
          </cell>
        </row>
        <row r="1980">
          <cell r="A1980">
            <v>21564</v>
          </cell>
          <cell r="B1980" t="str">
            <v>SULUH PURBOWATI</v>
          </cell>
          <cell r="C1980" t="str">
            <v>SAMI</v>
          </cell>
          <cell r="D1980" t="str">
            <v>OPT-535</v>
          </cell>
          <cell r="E1980">
            <v>43045</v>
          </cell>
          <cell r="F1980">
            <v>43435</v>
          </cell>
          <cell r="G1980">
            <v>43799</v>
          </cell>
          <cell r="H1980" t="str">
            <v>PRD</v>
          </cell>
          <cell r="I1980" t="str">
            <v>PRD</v>
          </cell>
          <cell r="J1980" t="str">
            <v>MAZDA ATENZA</v>
          </cell>
          <cell r="K1980" t="str">
            <v>MAZDA J71E IPM3</v>
          </cell>
          <cell r="L1980" t="str">
            <v>CV A06</v>
          </cell>
          <cell r="M1980" t="str">
            <v>S/T 2.1</v>
          </cell>
          <cell r="N1980" t="str">
            <v>ASSEMBLY</v>
          </cell>
          <cell r="O1980" t="str">
            <v>A</v>
          </cell>
        </row>
        <row r="1981">
          <cell r="A1981">
            <v>21616</v>
          </cell>
          <cell r="B1981" t="str">
            <v>RINA DWI AGUSTIN</v>
          </cell>
          <cell r="C1981" t="str">
            <v>SAMI</v>
          </cell>
          <cell r="D1981" t="str">
            <v>OPT-536</v>
          </cell>
          <cell r="E1981">
            <v>43048</v>
          </cell>
          <cell r="F1981">
            <v>43435</v>
          </cell>
          <cell r="G1981">
            <v>43799</v>
          </cell>
          <cell r="H1981" t="str">
            <v>PRD</v>
          </cell>
          <cell r="I1981" t="str">
            <v>PRD</v>
          </cell>
          <cell r="J1981" t="str">
            <v>MAZDA ATENZA</v>
          </cell>
          <cell r="K1981" t="str">
            <v>MAZDA J71E IPM3</v>
          </cell>
          <cell r="L1981" t="str">
            <v>CV A06</v>
          </cell>
          <cell r="M1981" t="str">
            <v>S/A 6</v>
          </cell>
          <cell r="N1981" t="str">
            <v>SUB ASSY</v>
          </cell>
          <cell r="O1981" t="str">
            <v>A</v>
          </cell>
        </row>
        <row r="1982">
          <cell r="A1982">
            <v>21849</v>
          </cell>
          <cell r="B1982" t="str">
            <v>WITMA SETIANI</v>
          </cell>
          <cell r="C1982" t="str">
            <v>SAMI</v>
          </cell>
          <cell r="D1982" t="str">
            <v>OPT-541</v>
          </cell>
          <cell r="E1982">
            <v>43098</v>
          </cell>
          <cell r="F1982">
            <v>43129</v>
          </cell>
          <cell r="G1982">
            <v>43496</v>
          </cell>
          <cell r="H1982" t="str">
            <v>PRD</v>
          </cell>
          <cell r="I1982" t="str">
            <v>PRD</v>
          </cell>
          <cell r="J1982" t="str">
            <v>MAZDA ATENZA</v>
          </cell>
          <cell r="K1982" t="str">
            <v>MAZDA J71E IPM3</v>
          </cell>
          <cell r="L1982" t="str">
            <v>CV A06</v>
          </cell>
          <cell r="M1982" t="str">
            <v>S/A 8</v>
          </cell>
          <cell r="N1982" t="str">
            <v>SUB ASSY</v>
          </cell>
          <cell r="O1982" t="str">
            <v>A</v>
          </cell>
        </row>
        <row r="1983">
          <cell r="A1983">
            <v>21867</v>
          </cell>
          <cell r="B1983" t="str">
            <v>ARTI ULPIYAH</v>
          </cell>
          <cell r="C1983" t="str">
            <v>SAMI</v>
          </cell>
          <cell r="D1983" t="str">
            <v>OPT-542</v>
          </cell>
          <cell r="E1983">
            <v>43103</v>
          </cell>
          <cell r="F1983">
            <v>43134</v>
          </cell>
          <cell r="G1983">
            <v>43496</v>
          </cell>
          <cell r="H1983" t="str">
            <v>PRD</v>
          </cell>
          <cell r="I1983" t="str">
            <v>PRD</v>
          </cell>
          <cell r="J1983" t="str">
            <v>MAZDA ATENZA</v>
          </cell>
          <cell r="K1983" t="str">
            <v>MAZDA J71E IPM3</v>
          </cell>
          <cell r="L1983" t="str">
            <v>CV A06</v>
          </cell>
          <cell r="M1983" t="str">
            <v>S/A 2</v>
          </cell>
          <cell r="N1983" t="str">
            <v>SUB ASSY</v>
          </cell>
          <cell r="O1983" t="str">
            <v>A</v>
          </cell>
        </row>
        <row r="1984">
          <cell r="A1984">
            <v>21870</v>
          </cell>
          <cell r="B1984" t="str">
            <v>DEWI MURNIYATI</v>
          </cell>
          <cell r="C1984" t="str">
            <v>SAMI</v>
          </cell>
          <cell r="D1984" t="str">
            <v>OPT-542</v>
          </cell>
          <cell r="E1984">
            <v>43103</v>
          </cell>
          <cell r="F1984">
            <v>43134</v>
          </cell>
          <cell r="G1984">
            <v>43496</v>
          </cell>
          <cell r="H1984" t="str">
            <v>PRD</v>
          </cell>
          <cell r="I1984" t="str">
            <v>PRD</v>
          </cell>
          <cell r="J1984" t="str">
            <v>MAZDA ATENZA</v>
          </cell>
          <cell r="K1984" t="str">
            <v>MAZDA J71E IPM3</v>
          </cell>
          <cell r="L1984" t="str">
            <v>CV A06</v>
          </cell>
          <cell r="M1984" t="str">
            <v>S/A 5.2</v>
          </cell>
          <cell r="N1984" t="str">
            <v>SUB ASSY</v>
          </cell>
          <cell r="O1984" t="str">
            <v>A</v>
          </cell>
        </row>
        <row r="1985">
          <cell r="A1985">
            <v>21877</v>
          </cell>
          <cell r="B1985" t="str">
            <v>EVIYANAH</v>
          </cell>
          <cell r="C1985" t="str">
            <v>SAMI</v>
          </cell>
          <cell r="D1985" t="str">
            <v>OPT-542</v>
          </cell>
          <cell r="E1985">
            <v>43103</v>
          </cell>
          <cell r="F1985">
            <v>43134</v>
          </cell>
          <cell r="G1985">
            <v>43496</v>
          </cell>
          <cell r="H1985" t="str">
            <v>PRD</v>
          </cell>
          <cell r="I1985" t="str">
            <v>PRD</v>
          </cell>
          <cell r="J1985" t="str">
            <v>MAZDA ATENZA</v>
          </cell>
          <cell r="K1985" t="str">
            <v>MAZDA J71E IPM3</v>
          </cell>
          <cell r="L1985" t="str">
            <v>CV A06</v>
          </cell>
          <cell r="M1985" t="str">
            <v>S/T 1.1</v>
          </cell>
          <cell r="N1985" t="str">
            <v>ASSEMBLY</v>
          </cell>
          <cell r="O1985" t="str">
            <v>A</v>
          </cell>
        </row>
        <row r="1986">
          <cell r="A1986">
            <v>21882</v>
          </cell>
          <cell r="B1986" t="str">
            <v>INDAH FITRIANA</v>
          </cell>
          <cell r="C1986" t="str">
            <v>SAMI</v>
          </cell>
          <cell r="D1986" t="str">
            <v>OPT-542</v>
          </cell>
          <cell r="E1986">
            <v>43103</v>
          </cell>
          <cell r="F1986">
            <v>43134</v>
          </cell>
          <cell r="G1986">
            <v>43496</v>
          </cell>
          <cell r="H1986" t="str">
            <v>PRD</v>
          </cell>
          <cell r="I1986" t="str">
            <v>PRD</v>
          </cell>
          <cell r="J1986" t="str">
            <v>MAZDA ATENZA</v>
          </cell>
          <cell r="K1986" t="str">
            <v>MAZDA J71E IPM3</v>
          </cell>
          <cell r="L1986" t="str">
            <v>CV A06</v>
          </cell>
          <cell r="M1986" t="str">
            <v>OFFLINE 1</v>
          </cell>
          <cell r="N1986" t="str">
            <v>ASSEMBLY</v>
          </cell>
          <cell r="O1986" t="str">
            <v>A</v>
          </cell>
        </row>
        <row r="1987">
          <cell r="A1987">
            <v>21888</v>
          </cell>
          <cell r="B1987" t="str">
            <v>LILIK LUTFIYATUL HIKMAH</v>
          </cell>
          <cell r="C1987" t="str">
            <v>SAMI</v>
          </cell>
          <cell r="D1987" t="str">
            <v>OPT-542</v>
          </cell>
          <cell r="E1987">
            <v>43103</v>
          </cell>
          <cell r="F1987">
            <v>43134</v>
          </cell>
          <cell r="G1987">
            <v>43496</v>
          </cell>
          <cell r="H1987" t="str">
            <v>PRD</v>
          </cell>
          <cell r="I1987" t="str">
            <v>PRD</v>
          </cell>
          <cell r="J1987" t="str">
            <v>MAZDA ATENZA</v>
          </cell>
          <cell r="K1987" t="str">
            <v>MAZDA J71E IPM3</v>
          </cell>
          <cell r="L1987" t="str">
            <v>CV A06</v>
          </cell>
          <cell r="M1987" t="str">
            <v>T/P 4.1</v>
          </cell>
          <cell r="N1987" t="str">
            <v>ASSEMBLY</v>
          </cell>
          <cell r="O1987" t="str">
            <v>A</v>
          </cell>
        </row>
        <row r="1988">
          <cell r="A1988">
            <v>21895</v>
          </cell>
          <cell r="B1988" t="str">
            <v>NICHLATUN NUROINI</v>
          </cell>
          <cell r="C1988" t="str">
            <v>SAMI</v>
          </cell>
          <cell r="D1988" t="str">
            <v>OPT-542</v>
          </cell>
          <cell r="E1988">
            <v>43103</v>
          </cell>
          <cell r="F1988">
            <v>43134</v>
          </cell>
          <cell r="G1988">
            <v>43496</v>
          </cell>
          <cell r="H1988" t="str">
            <v>PRD</v>
          </cell>
          <cell r="I1988" t="str">
            <v>PRD</v>
          </cell>
          <cell r="J1988" t="str">
            <v>MAZDA ATENZA</v>
          </cell>
          <cell r="K1988" t="str">
            <v>MAZDA J71E IPM3</v>
          </cell>
          <cell r="L1988" t="str">
            <v>CV A06</v>
          </cell>
          <cell r="M1988" t="str">
            <v>MATERIAL SUPPLY</v>
          </cell>
          <cell r="N1988" t="str">
            <v>MATERIAL SUPPLY</v>
          </cell>
          <cell r="O1988" t="str">
            <v>A</v>
          </cell>
        </row>
        <row r="1989">
          <cell r="A1989">
            <v>21896</v>
          </cell>
          <cell r="B1989" t="str">
            <v>NOVITA ASTRIANA</v>
          </cell>
          <cell r="C1989" t="str">
            <v>SAMI</v>
          </cell>
          <cell r="D1989" t="str">
            <v>OPT-542</v>
          </cell>
          <cell r="E1989">
            <v>43103</v>
          </cell>
          <cell r="F1989">
            <v>43134</v>
          </cell>
          <cell r="G1989">
            <v>43496</v>
          </cell>
          <cell r="H1989" t="str">
            <v>PRD</v>
          </cell>
          <cell r="I1989" t="str">
            <v>PRD</v>
          </cell>
          <cell r="J1989" t="str">
            <v>MAZDA ATENZA</v>
          </cell>
          <cell r="K1989" t="str">
            <v>MAZDA J71E IPM3</v>
          </cell>
          <cell r="L1989" t="str">
            <v>CV A06</v>
          </cell>
          <cell r="M1989" t="str">
            <v>CIRCUIT SUPPLIER 2</v>
          </cell>
          <cell r="N1989" t="str">
            <v>CIRCUIT SUPPLY</v>
          </cell>
          <cell r="O1989" t="str">
            <v>A</v>
          </cell>
        </row>
        <row r="1990">
          <cell r="A1990">
            <v>21899</v>
          </cell>
          <cell r="B1990" t="str">
            <v>RINI SRI UTAMI</v>
          </cell>
          <cell r="C1990" t="str">
            <v>SAMI</v>
          </cell>
          <cell r="D1990" t="str">
            <v>OPT-542</v>
          </cell>
          <cell r="E1990">
            <v>43103</v>
          </cell>
          <cell r="F1990">
            <v>43134</v>
          </cell>
          <cell r="G1990">
            <v>43496</v>
          </cell>
          <cell r="H1990" t="str">
            <v>PRD</v>
          </cell>
          <cell r="I1990" t="str">
            <v>PRD</v>
          </cell>
          <cell r="J1990" t="str">
            <v>MAZDA ATENZA</v>
          </cell>
          <cell r="K1990" t="str">
            <v>MAZDA J71E IPM3</v>
          </cell>
          <cell r="L1990" t="str">
            <v>CV A06</v>
          </cell>
          <cell r="M1990" t="str">
            <v>S/T SP</v>
          </cell>
          <cell r="N1990" t="str">
            <v>ASSEMBLY</v>
          </cell>
          <cell r="O1990" t="str">
            <v>A</v>
          </cell>
        </row>
        <row r="1991">
          <cell r="A1991">
            <v>21905</v>
          </cell>
          <cell r="B1991" t="str">
            <v>SITI NUR KHOLIJAH</v>
          </cell>
          <cell r="C1991" t="str">
            <v>SAMI</v>
          </cell>
          <cell r="D1991" t="str">
            <v>OPT-542</v>
          </cell>
          <cell r="E1991">
            <v>43103</v>
          </cell>
          <cell r="F1991">
            <v>43134</v>
          </cell>
          <cell r="G1991">
            <v>43496</v>
          </cell>
          <cell r="H1991" t="str">
            <v>PRD</v>
          </cell>
          <cell r="I1991" t="str">
            <v>PRD</v>
          </cell>
          <cell r="J1991" t="str">
            <v>MAZDA ATENZA</v>
          </cell>
          <cell r="K1991" t="str">
            <v>MAZDA J71E IPM3</v>
          </cell>
          <cell r="L1991" t="str">
            <v>CV A06</v>
          </cell>
          <cell r="M1991" t="str">
            <v>TPO</v>
          </cell>
          <cell r="N1991" t="str">
            <v>VISUAL INSPECTION</v>
          </cell>
          <cell r="O1991" t="str">
            <v>A</v>
          </cell>
        </row>
        <row r="1992">
          <cell r="A1992">
            <v>21907</v>
          </cell>
          <cell r="B1992" t="str">
            <v>UMUL BAROROH</v>
          </cell>
          <cell r="C1992" t="str">
            <v>SAMI</v>
          </cell>
          <cell r="D1992" t="str">
            <v>OPT-542</v>
          </cell>
          <cell r="E1992">
            <v>43103</v>
          </cell>
          <cell r="F1992">
            <v>43134</v>
          </cell>
          <cell r="G1992">
            <v>43496</v>
          </cell>
          <cell r="H1992" t="str">
            <v>PRD</v>
          </cell>
          <cell r="I1992" t="str">
            <v>PRD</v>
          </cell>
          <cell r="J1992" t="str">
            <v>MAZDA ATENZA</v>
          </cell>
          <cell r="K1992" t="str">
            <v>MAZDA J71E IPM3</v>
          </cell>
          <cell r="L1992" t="str">
            <v>CV A06</v>
          </cell>
          <cell r="M1992" t="str">
            <v>T/P 5</v>
          </cell>
          <cell r="N1992" t="str">
            <v>ASSEMBLY</v>
          </cell>
          <cell r="O1992" t="str">
            <v>A</v>
          </cell>
        </row>
        <row r="1993">
          <cell r="A1993">
            <v>21911</v>
          </cell>
          <cell r="B1993" t="str">
            <v>YULIA YUSUF</v>
          </cell>
          <cell r="C1993" t="str">
            <v>SAMI</v>
          </cell>
          <cell r="D1993" t="str">
            <v>OPT-542</v>
          </cell>
          <cell r="E1993">
            <v>43103</v>
          </cell>
          <cell r="F1993">
            <v>43134</v>
          </cell>
          <cell r="G1993">
            <v>43496</v>
          </cell>
          <cell r="H1993" t="str">
            <v>PRD</v>
          </cell>
          <cell r="I1993" t="str">
            <v>PRD</v>
          </cell>
          <cell r="J1993" t="str">
            <v>MAZDA ATENZA</v>
          </cell>
          <cell r="K1993" t="str">
            <v>MAZDA J71E IPM3</v>
          </cell>
          <cell r="L1993" t="str">
            <v>CV A06</v>
          </cell>
          <cell r="M1993" t="str">
            <v>S/T 3.1</v>
          </cell>
          <cell r="N1993" t="str">
            <v>ASSEMBLY</v>
          </cell>
          <cell r="O1993" t="str">
            <v>A</v>
          </cell>
        </row>
        <row r="1994">
          <cell r="A1994">
            <v>21919</v>
          </cell>
          <cell r="B1994" t="str">
            <v>NUR LAILATUL MA'RIFAH</v>
          </cell>
          <cell r="C1994" t="str">
            <v>SAMI</v>
          </cell>
          <cell r="D1994" t="str">
            <v>OPT-543</v>
          </cell>
          <cell r="E1994">
            <v>43108</v>
          </cell>
          <cell r="F1994">
            <v>43139</v>
          </cell>
          <cell r="G1994">
            <v>43496</v>
          </cell>
          <cell r="H1994" t="str">
            <v>PRD</v>
          </cell>
          <cell r="I1994" t="str">
            <v>PRD</v>
          </cell>
          <cell r="J1994" t="str">
            <v>MAZDA ATENZA</v>
          </cell>
          <cell r="K1994" t="str">
            <v>MAZDA J71E IPM3</v>
          </cell>
          <cell r="L1994" t="str">
            <v>CV A06</v>
          </cell>
          <cell r="M1994" t="str">
            <v>S/A 1.2</v>
          </cell>
          <cell r="N1994" t="str">
            <v>SUB ASSY</v>
          </cell>
          <cell r="O1994" t="str">
            <v>A</v>
          </cell>
        </row>
        <row r="1995">
          <cell r="A1995">
            <v>22206</v>
          </cell>
          <cell r="B1995" t="str">
            <v>TUFA KHOERIYAH</v>
          </cell>
          <cell r="C1995" t="str">
            <v>SAMI</v>
          </cell>
          <cell r="D1995" t="str">
            <v>OPT-550</v>
          </cell>
          <cell r="E1995">
            <v>43158</v>
          </cell>
          <cell r="F1995">
            <v>43186</v>
          </cell>
          <cell r="G1995">
            <v>43555</v>
          </cell>
          <cell r="H1995" t="str">
            <v>PRD</v>
          </cell>
          <cell r="I1995" t="str">
            <v>PRD</v>
          </cell>
          <cell r="J1995" t="str">
            <v>MAZDA ATENZA</v>
          </cell>
          <cell r="K1995" t="str">
            <v>MAZDA J71E IPM3</v>
          </cell>
          <cell r="L1995" t="str">
            <v>CV A06</v>
          </cell>
          <cell r="M1995" t="str">
            <v>T/P SP 1</v>
          </cell>
          <cell r="N1995" t="str">
            <v>ASSEMBLY</v>
          </cell>
          <cell r="O1995" t="str">
            <v>A</v>
          </cell>
        </row>
        <row r="1996">
          <cell r="A1996">
            <v>22516</v>
          </cell>
          <cell r="B1996" t="str">
            <v>APRILIA FATMAWATI</v>
          </cell>
          <cell r="C1996" t="str">
            <v>SAMI</v>
          </cell>
          <cell r="D1996" t="str">
            <v>OPT-560</v>
          </cell>
          <cell r="E1996">
            <v>43224</v>
          </cell>
          <cell r="F1996">
            <v>43255</v>
          </cell>
          <cell r="G1996">
            <v>43616</v>
          </cell>
          <cell r="H1996" t="str">
            <v>PRD</v>
          </cell>
          <cell r="I1996" t="str">
            <v>PRD</v>
          </cell>
          <cell r="J1996" t="str">
            <v>MAZDA ATENZA</v>
          </cell>
          <cell r="K1996" t="str">
            <v>MAZDA J71E IPM3</v>
          </cell>
          <cell r="L1996" t="str">
            <v>CV A06</v>
          </cell>
          <cell r="M1996" t="str">
            <v>S/A 5.1</v>
          </cell>
          <cell r="N1996" t="str">
            <v>SUB ASSY</v>
          </cell>
          <cell r="O1996" t="str">
            <v>A</v>
          </cell>
        </row>
        <row r="1997">
          <cell r="A1997">
            <v>22838</v>
          </cell>
          <cell r="B1997" t="str">
            <v>ISTIROHAH</v>
          </cell>
          <cell r="C1997" t="str">
            <v>SAMI</v>
          </cell>
          <cell r="D1997" t="str">
            <v>OPT-567</v>
          </cell>
          <cell r="E1997">
            <v>43333</v>
          </cell>
          <cell r="F1997">
            <v>43364</v>
          </cell>
          <cell r="G1997">
            <v>43738</v>
          </cell>
          <cell r="H1997" t="str">
            <v>PRD</v>
          </cell>
          <cell r="I1997" t="str">
            <v>PRD</v>
          </cell>
          <cell r="J1997" t="str">
            <v>MAZDA ATENZA</v>
          </cell>
          <cell r="K1997" t="str">
            <v>MAZDA J71E IPM3</v>
          </cell>
          <cell r="L1997" t="str">
            <v>CV A06</v>
          </cell>
          <cell r="M1997" t="str">
            <v>S/A 1.1</v>
          </cell>
          <cell r="N1997" t="str">
            <v>SUB ASSY</v>
          </cell>
          <cell r="O1997" t="str">
            <v>A</v>
          </cell>
        </row>
        <row r="1998">
          <cell r="A1998">
            <v>22923</v>
          </cell>
          <cell r="B1998" t="str">
            <v>ELLY FITRIANI</v>
          </cell>
          <cell r="C1998" t="str">
            <v>SAMI</v>
          </cell>
          <cell r="D1998" t="str">
            <v>OPT-568</v>
          </cell>
          <cell r="E1998">
            <v>43343</v>
          </cell>
          <cell r="F1998">
            <v>43374</v>
          </cell>
          <cell r="G1998">
            <v>43738</v>
          </cell>
          <cell r="H1998" t="str">
            <v>PRD</v>
          </cell>
          <cell r="I1998" t="str">
            <v>PRD</v>
          </cell>
          <cell r="J1998" t="str">
            <v>MAZDA ATENZA</v>
          </cell>
          <cell r="K1998" t="str">
            <v>MAZDA J71E IPM3</v>
          </cell>
          <cell r="L1998" t="str">
            <v>CV A06</v>
          </cell>
          <cell r="M1998" t="str">
            <v>S/A 4</v>
          </cell>
          <cell r="N1998" t="str">
            <v>SUB ASSY</v>
          </cell>
          <cell r="O1998" t="str">
            <v>A</v>
          </cell>
        </row>
        <row r="1999">
          <cell r="A1999">
            <v>23017</v>
          </cell>
          <cell r="B1999" t="str">
            <v>FAJAR NUR SAID</v>
          </cell>
          <cell r="C1999" t="str">
            <v>SAMI</v>
          </cell>
          <cell r="D1999" t="str">
            <v>OPT-569</v>
          </cell>
          <cell r="E1999">
            <v>43361</v>
          </cell>
          <cell r="F1999">
            <v>43391</v>
          </cell>
          <cell r="G1999">
            <v>43769</v>
          </cell>
          <cell r="H1999" t="str">
            <v>PRD</v>
          </cell>
          <cell r="I1999" t="str">
            <v>PRD</v>
          </cell>
          <cell r="J1999" t="str">
            <v>MAZDA ATENZA</v>
          </cell>
          <cell r="K1999" t="str">
            <v>MAZDA J71E IPM3</v>
          </cell>
          <cell r="L1999" t="str">
            <v>CV A06</v>
          </cell>
          <cell r="M1999" t="str">
            <v>T/P 6</v>
          </cell>
          <cell r="N1999" t="str">
            <v>ASSEMBLY</v>
          </cell>
          <cell r="O1999" t="str">
            <v>A</v>
          </cell>
        </row>
        <row r="2000">
          <cell r="A2000">
            <v>23063</v>
          </cell>
          <cell r="B2000" t="str">
            <v>NURUL YUCHA ILAIYA</v>
          </cell>
          <cell r="C2000" t="str">
            <v>SAMI</v>
          </cell>
          <cell r="D2000" t="str">
            <v>OPT-569</v>
          </cell>
          <cell r="E2000">
            <v>43361</v>
          </cell>
          <cell r="F2000">
            <v>43391</v>
          </cell>
          <cell r="G2000">
            <v>43769</v>
          </cell>
          <cell r="H2000" t="str">
            <v>PRD</v>
          </cell>
          <cell r="I2000" t="str">
            <v>PRD</v>
          </cell>
          <cell r="J2000" t="str">
            <v>MAZDA ATENZA</v>
          </cell>
          <cell r="K2000" t="str">
            <v>MAZDA J71E IPM3</v>
          </cell>
          <cell r="L2000" t="str">
            <v>CV A06</v>
          </cell>
          <cell r="M2000" t="str">
            <v>OJT OFFLINE 1</v>
          </cell>
          <cell r="N2000" t="str">
            <v>INTERNAL TRIAL</v>
          </cell>
          <cell r="O2000" t="str">
            <v>A</v>
          </cell>
        </row>
        <row r="2001">
          <cell r="A2001">
            <v>23069</v>
          </cell>
          <cell r="B2001" t="str">
            <v>RIZKIA YUNIARTIKA</v>
          </cell>
          <cell r="C2001" t="str">
            <v>SAMI</v>
          </cell>
          <cell r="D2001" t="str">
            <v>OPT-569</v>
          </cell>
          <cell r="E2001">
            <v>43361</v>
          </cell>
          <cell r="F2001">
            <v>43391</v>
          </cell>
          <cell r="G2001">
            <v>43769</v>
          </cell>
          <cell r="H2001" t="str">
            <v>PRD</v>
          </cell>
          <cell r="I2001" t="str">
            <v>PRD</v>
          </cell>
          <cell r="J2001" t="str">
            <v>MAZDA ATENZA</v>
          </cell>
          <cell r="K2001" t="str">
            <v>MAZDA J71E IPM3</v>
          </cell>
          <cell r="L2001" t="str">
            <v>CV A06</v>
          </cell>
          <cell r="M2001" t="str">
            <v>S/T 1.2</v>
          </cell>
          <cell r="N2001" t="str">
            <v>ASSEMBLY</v>
          </cell>
          <cell r="O2001" t="str">
            <v>A</v>
          </cell>
        </row>
        <row r="2002">
          <cell r="A2002">
            <v>23152</v>
          </cell>
          <cell r="B2002" t="str">
            <v>NURUL ALFIATURRAHMANIAH</v>
          </cell>
          <cell r="C2002" t="str">
            <v>SAMI</v>
          </cell>
          <cell r="D2002" t="str">
            <v>OPT-570</v>
          </cell>
          <cell r="E2002">
            <v>43369</v>
          </cell>
          <cell r="F2002">
            <v>43399</v>
          </cell>
          <cell r="G2002">
            <v>43769</v>
          </cell>
          <cell r="H2002" t="str">
            <v>PRD</v>
          </cell>
          <cell r="I2002" t="str">
            <v>PRD</v>
          </cell>
          <cell r="J2002" t="str">
            <v>MAZDA ATENZA</v>
          </cell>
          <cell r="K2002" t="str">
            <v>MAZDA J71E IPM3</v>
          </cell>
          <cell r="L2002" t="str">
            <v>CV A06</v>
          </cell>
          <cell r="M2002" t="str">
            <v>CIRCUIT SUPPLIER 1</v>
          </cell>
          <cell r="N2002" t="str">
            <v>CIRCUIT SUPPLY</v>
          </cell>
          <cell r="O2002" t="str">
            <v>A</v>
          </cell>
        </row>
        <row r="2003">
          <cell r="A2003">
            <v>23258</v>
          </cell>
          <cell r="B2003" t="str">
            <v>RINDA AYU WULANDARI</v>
          </cell>
          <cell r="C2003" t="str">
            <v>SAMI</v>
          </cell>
          <cell r="D2003" t="str">
            <v>OPT-573</v>
          </cell>
          <cell r="E2003">
            <v>43421</v>
          </cell>
          <cell r="F2003">
            <v>43451</v>
          </cell>
          <cell r="G2003">
            <v>43830</v>
          </cell>
          <cell r="H2003" t="str">
            <v>PRD</v>
          </cell>
          <cell r="I2003" t="str">
            <v>PRD</v>
          </cell>
          <cell r="J2003" t="str">
            <v>MAZDA ATENZA</v>
          </cell>
          <cell r="K2003" t="str">
            <v>MAZDA J71E IPM3</v>
          </cell>
          <cell r="L2003" t="str">
            <v>CV A06</v>
          </cell>
          <cell r="M2003" t="str">
            <v xml:space="preserve"> T/P 4.2</v>
          </cell>
          <cell r="N2003" t="str">
            <v>ASSEMBLY</v>
          </cell>
          <cell r="O2003" t="str">
            <v>A</v>
          </cell>
        </row>
        <row r="2004">
          <cell r="A2004">
            <v>23259</v>
          </cell>
          <cell r="B2004" t="str">
            <v>RIRIS TRIANA</v>
          </cell>
          <cell r="C2004" t="str">
            <v>SAMI</v>
          </cell>
          <cell r="D2004" t="str">
            <v>OPT-573</v>
          </cell>
          <cell r="E2004">
            <v>43421</v>
          </cell>
          <cell r="F2004">
            <v>43451</v>
          </cell>
          <cell r="G2004">
            <v>43830</v>
          </cell>
          <cell r="H2004" t="str">
            <v>PRD</v>
          </cell>
          <cell r="I2004" t="str">
            <v>PRD</v>
          </cell>
          <cell r="J2004" t="str">
            <v>MAZDA ATENZA</v>
          </cell>
          <cell r="K2004" t="str">
            <v>MAZDA J71E IPM3</v>
          </cell>
          <cell r="L2004" t="str">
            <v>CV A06</v>
          </cell>
          <cell r="M2004" t="str">
            <v>S/A 3</v>
          </cell>
          <cell r="N2004" t="str">
            <v>SUB ASSY</v>
          </cell>
          <cell r="O2004" t="str">
            <v>A</v>
          </cell>
        </row>
        <row r="2005">
          <cell r="A2005">
            <v>23310</v>
          </cell>
          <cell r="B2005" t="str">
            <v>EVA YULIANA</v>
          </cell>
          <cell r="C2005" t="str">
            <v>SAMI</v>
          </cell>
          <cell r="D2005" t="str">
            <v>OPT-574</v>
          </cell>
          <cell r="E2005">
            <v>43427</v>
          </cell>
          <cell r="F2005">
            <v>43457</v>
          </cell>
          <cell r="G2005">
            <v>43830</v>
          </cell>
          <cell r="H2005" t="str">
            <v>PRD</v>
          </cell>
          <cell r="I2005" t="str">
            <v>PRD</v>
          </cell>
          <cell r="J2005" t="str">
            <v>MAZDA ATENZA</v>
          </cell>
          <cell r="K2005" t="str">
            <v>MAZDA J71E IPM3</v>
          </cell>
          <cell r="L2005" t="str">
            <v>CV A06</v>
          </cell>
          <cell r="M2005" t="str">
            <v>OJT CHECKER</v>
          </cell>
          <cell r="N2005" t="str">
            <v>INTERNAL TRIAL</v>
          </cell>
          <cell r="O2005" t="str">
            <v>A</v>
          </cell>
        </row>
        <row r="2006">
          <cell r="A2006">
            <v>23323</v>
          </cell>
          <cell r="B2006" t="str">
            <v>LAILY MUNIROTUL MUTMAINNAH</v>
          </cell>
          <cell r="C2006" t="str">
            <v>SAMI</v>
          </cell>
          <cell r="D2006" t="str">
            <v>OPT-574</v>
          </cell>
          <cell r="E2006">
            <v>43427</v>
          </cell>
          <cell r="F2006">
            <v>43457</v>
          </cell>
          <cell r="G2006">
            <v>43830</v>
          </cell>
          <cell r="H2006" t="str">
            <v>PRD</v>
          </cell>
          <cell r="I2006" t="str">
            <v>PRD</v>
          </cell>
          <cell r="J2006" t="str">
            <v>MAZDA ATENZA</v>
          </cell>
          <cell r="K2006" t="str">
            <v>MAZDA J71E IPM3</v>
          </cell>
          <cell r="L2006" t="str">
            <v>CV A06</v>
          </cell>
          <cell r="M2006" t="str">
            <v>OJT MATERIAL SUPPLIER</v>
          </cell>
          <cell r="N2006" t="str">
            <v>INTERNAL TRIAL</v>
          </cell>
          <cell r="O2006" t="str">
            <v>A</v>
          </cell>
        </row>
        <row r="2007">
          <cell r="A2007">
            <v>23329</v>
          </cell>
          <cell r="B2007" t="str">
            <v>LUTFIANI</v>
          </cell>
          <cell r="C2007" t="str">
            <v>SAMI</v>
          </cell>
          <cell r="D2007" t="str">
            <v>OPT-574</v>
          </cell>
          <cell r="E2007">
            <v>43427</v>
          </cell>
          <cell r="F2007">
            <v>43457</v>
          </cell>
          <cell r="G2007">
            <v>43830</v>
          </cell>
          <cell r="H2007" t="str">
            <v>PRD</v>
          </cell>
          <cell r="I2007" t="str">
            <v>PRD</v>
          </cell>
          <cell r="J2007" t="str">
            <v>MAZDA ATENZA</v>
          </cell>
          <cell r="K2007" t="str">
            <v>MAZDA J71E IPM3</v>
          </cell>
          <cell r="L2007" t="str">
            <v>CV A06</v>
          </cell>
          <cell r="M2007" t="str">
            <v>S/T 3.2</v>
          </cell>
          <cell r="N2007" t="str">
            <v>ASSEMBLY</v>
          </cell>
          <cell r="O2007" t="str">
            <v>A</v>
          </cell>
        </row>
        <row r="2008">
          <cell r="A2008">
            <v>23418</v>
          </cell>
          <cell r="B2008" t="str">
            <v>FLOREN SYAH EKAPUTRI</v>
          </cell>
          <cell r="C2008" t="str">
            <v>SAMI</v>
          </cell>
          <cell r="D2008" t="str">
            <v>OPT-575</v>
          </cell>
          <cell r="E2008">
            <v>43434</v>
          </cell>
          <cell r="F2008">
            <v>43464</v>
          </cell>
          <cell r="G2008">
            <v>43830</v>
          </cell>
          <cell r="H2008" t="str">
            <v>PRD</v>
          </cell>
          <cell r="I2008" t="str">
            <v>PRD</v>
          </cell>
          <cell r="J2008" t="str">
            <v>MAZDA ATENZA</v>
          </cell>
          <cell r="K2008" t="str">
            <v>MAZDA J71E IPM3</v>
          </cell>
          <cell r="L2008" t="str">
            <v>CV A06</v>
          </cell>
          <cell r="M2008" t="str">
            <v>OJT S/T SP</v>
          </cell>
          <cell r="N2008" t="str">
            <v>INTERNAL TRIAL</v>
          </cell>
          <cell r="O2008" t="str">
            <v>A</v>
          </cell>
        </row>
        <row r="2009">
          <cell r="A2009">
            <v>23501</v>
          </cell>
          <cell r="B2009" t="str">
            <v>ETIKA NUR VIANI</v>
          </cell>
          <cell r="C2009" t="str">
            <v>SAMI</v>
          </cell>
          <cell r="D2009" t="str">
            <v>OPT-576</v>
          </cell>
          <cell r="E2009">
            <v>43441</v>
          </cell>
          <cell r="F2009">
            <v>43472</v>
          </cell>
          <cell r="G2009">
            <v>43830</v>
          </cell>
          <cell r="H2009" t="str">
            <v>PRD</v>
          </cell>
          <cell r="I2009" t="str">
            <v>PRD</v>
          </cell>
          <cell r="J2009" t="str">
            <v>MAZDA ATENZA</v>
          </cell>
          <cell r="K2009" t="str">
            <v>MAZDA J71E IPM3</v>
          </cell>
          <cell r="L2009" t="str">
            <v>CV A06</v>
          </cell>
          <cell r="M2009" t="str">
            <v>OJT S/A 2</v>
          </cell>
          <cell r="N2009" t="str">
            <v>INTERNAL TRIAL</v>
          </cell>
          <cell r="O2009" t="str">
            <v>A</v>
          </cell>
        </row>
        <row r="2010">
          <cell r="A2010">
            <v>23519</v>
          </cell>
          <cell r="B2010" t="str">
            <v xml:space="preserve">SAFITRI </v>
          </cell>
          <cell r="C2010" t="str">
            <v>SAMI</v>
          </cell>
          <cell r="D2010" t="str">
            <v>OPT-576</v>
          </cell>
          <cell r="E2010">
            <v>43441</v>
          </cell>
          <cell r="F2010">
            <v>43472</v>
          </cell>
          <cell r="G2010">
            <v>43830</v>
          </cell>
          <cell r="H2010" t="str">
            <v>PRD</v>
          </cell>
          <cell r="I2010" t="str">
            <v>PRD</v>
          </cell>
          <cell r="J2010" t="str">
            <v>MAZDA ATENZA</v>
          </cell>
          <cell r="K2010" t="str">
            <v>MAZDA J71E IPM3</v>
          </cell>
          <cell r="L2010" t="str">
            <v>CV A06</v>
          </cell>
          <cell r="M2010" t="str">
            <v>OJT T/P 3.1</v>
          </cell>
          <cell r="N2010" t="str">
            <v>INTERNAL TRIAL</v>
          </cell>
          <cell r="O2010" t="str">
            <v>A</v>
          </cell>
        </row>
        <row r="2011">
          <cell r="A2011" t="str">
            <v>B00024</v>
          </cell>
          <cell r="B2011" t="str">
            <v>ERNA ROSITA DEWI</v>
          </cell>
          <cell r="C2011" t="str">
            <v>SAMI</v>
          </cell>
          <cell r="D2011" t="str">
            <v>BBF-001</v>
          </cell>
          <cell r="E2011">
            <v>40826</v>
          </cell>
          <cell r="F2011" t="str">
            <v>-</v>
          </cell>
          <cell r="G2011" t="str">
            <v>-</v>
          </cell>
          <cell r="H2011" t="str">
            <v>PRD</v>
          </cell>
          <cell r="I2011" t="str">
            <v>PRD</v>
          </cell>
          <cell r="J2011" t="str">
            <v>MAZDA ATENZA</v>
          </cell>
          <cell r="K2011" t="str">
            <v>MAZDA J71E IPM3</v>
          </cell>
          <cell r="L2011" t="str">
            <v>CV A06</v>
          </cell>
          <cell r="M2011" t="str">
            <v>S/T 4</v>
          </cell>
          <cell r="N2011" t="str">
            <v>ASSEMBLY</v>
          </cell>
          <cell r="O2011" t="str">
            <v>A</v>
          </cell>
        </row>
        <row r="2012">
          <cell r="A2012" t="str">
            <v>B02262</v>
          </cell>
          <cell r="B2012" t="str">
            <v>ANDI NUR EFENDI</v>
          </cell>
          <cell r="C2012" t="str">
            <v>SAMI</v>
          </cell>
          <cell r="D2012" t="str">
            <v>BBF-095</v>
          </cell>
          <cell r="E2012">
            <v>41724</v>
          </cell>
          <cell r="F2012" t="str">
            <v>-</v>
          </cell>
          <cell r="G2012" t="str">
            <v>-</v>
          </cell>
          <cell r="H2012" t="str">
            <v>PRD</v>
          </cell>
          <cell r="I2012" t="str">
            <v>PRD</v>
          </cell>
          <cell r="J2012" t="str">
            <v>MAZDA ATENZA</v>
          </cell>
          <cell r="K2012" t="str">
            <v>MAZDA J71E IPM3</v>
          </cell>
          <cell r="L2012" t="str">
            <v>CV A06</v>
          </cell>
          <cell r="M2012" t="str">
            <v>LQC</v>
          </cell>
          <cell r="N2012" t="str">
            <v>RELIEF</v>
          </cell>
          <cell r="O2012" t="str">
            <v>A</v>
          </cell>
        </row>
        <row r="2013">
          <cell r="A2013">
            <v>23540</v>
          </cell>
          <cell r="B2013" t="str">
            <v>ANJAR ANI WIDIATI</v>
          </cell>
          <cell r="C2013" t="str">
            <v>SAMI</v>
          </cell>
          <cell r="D2013" t="str">
            <v>OPT-577</v>
          </cell>
          <cell r="E2013">
            <v>43452</v>
          </cell>
          <cell r="F2013">
            <v>43483</v>
          </cell>
          <cell r="G2013">
            <v>43861</v>
          </cell>
          <cell r="H2013" t="str">
            <v>PRD</v>
          </cell>
          <cell r="I2013" t="str">
            <v>PRD</v>
          </cell>
          <cell r="J2013" t="str">
            <v>MAZDA ATENZA</v>
          </cell>
          <cell r="K2013" t="str">
            <v>MAZDA J71E IPM3</v>
          </cell>
          <cell r="L2013" t="str">
            <v>CV A06</v>
          </cell>
          <cell r="M2013" t="str">
            <v>OJT T/P 3.2</v>
          </cell>
          <cell r="N2013" t="str">
            <v>INTERNAL TRIAL</v>
          </cell>
          <cell r="O2013" t="str">
            <v>A</v>
          </cell>
        </row>
        <row r="2014">
          <cell r="A2014" t="str">
            <v>M23624</v>
          </cell>
          <cell r="B2014" t="str">
            <v>KRISNI YULIYANTI</v>
          </cell>
          <cell r="C2014" t="str">
            <v>SAMI</v>
          </cell>
          <cell r="D2014" t="str">
            <v>OPT-578</v>
          </cell>
          <cell r="E2014">
            <v>43467</v>
          </cell>
          <cell r="F2014">
            <v>43467</v>
          </cell>
          <cell r="G2014">
            <v>43497</v>
          </cell>
          <cell r="H2014" t="str">
            <v>PRD</v>
          </cell>
          <cell r="I2014" t="str">
            <v>PRD</v>
          </cell>
          <cell r="J2014" t="str">
            <v>MAZDA ATENZA</v>
          </cell>
          <cell r="K2014" t="str">
            <v>MAZDA J71E IPM3</v>
          </cell>
          <cell r="L2014" t="str">
            <v>CV A06</v>
          </cell>
          <cell r="M2014" t="str">
            <v>S/T 4</v>
          </cell>
          <cell r="N2014" t="str">
            <v>ASSEMBLY</v>
          </cell>
          <cell r="O2014" t="str">
            <v>A</v>
          </cell>
        </row>
        <row r="2015">
          <cell r="A2015">
            <v>4852</v>
          </cell>
          <cell r="B2015" t="str">
            <v>SUTRISNO</v>
          </cell>
          <cell r="C2015" t="str">
            <v>SAMI</v>
          </cell>
          <cell r="D2015" t="str">
            <v>OPT-120</v>
          </cell>
          <cell r="E2015">
            <v>38930</v>
          </cell>
          <cell r="F2015" t="str">
            <v>-</v>
          </cell>
          <cell r="G2015" t="str">
            <v>-</v>
          </cell>
          <cell r="H2015" t="str">
            <v>PRD</v>
          </cell>
          <cell r="I2015" t="str">
            <v>PRD</v>
          </cell>
          <cell r="J2015" t="str">
            <v>MAZDA ATENZA</v>
          </cell>
          <cell r="K2015" t="str">
            <v>MAZDA J71E IPM3</v>
          </cell>
          <cell r="L2015" t="str">
            <v>CV A06</v>
          </cell>
          <cell r="M2015" t="str">
            <v>SUB LINE CHO</v>
          </cell>
          <cell r="N2015" t="str">
            <v>GL</v>
          </cell>
          <cell r="O2015" t="str">
            <v>B</v>
          </cell>
        </row>
        <row r="2016">
          <cell r="A2016">
            <v>10481</v>
          </cell>
          <cell r="B2016" t="str">
            <v>SULISTYOWATI</v>
          </cell>
          <cell r="C2016" t="str">
            <v>SAMI</v>
          </cell>
          <cell r="D2016" t="str">
            <v>OPT-270</v>
          </cell>
          <cell r="E2016">
            <v>40524</v>
          </cell>
          <cell r="F2016" t="str">
            <v>-</v>
          </cell>
          <cell r="G2016" t="str">
            <v>-</v>
          </cell>
          <cell r="H2016" t="str">
            <v>PRD</v>
          </cell>
          <cell r="I2016" t="str">
            <v>PRD</v>
          </cell>
          <cell r="J2016" t="str">
            <v>MAZDA ATENZA</v>
          </cell>
          <cell r="K2016" t="str">
            <v>MAZDA J71E IPM3</v>
          </cell>
          <cell r="L2016" t="str">
            <v>CV A06</v>
          </cell>
          <cell r="M2016" t="str">
            <v>T/P 6</v>
          </cell>
          <cell r="N2016" t="str">
            <v>ASSEMBLY</v>
          </cell>
          <cell r="O2016" t="str">
            <v>B</v>
          </cell>
        </row>
        <row r="2017">
          <cell r="A2017">
            <v>11172</v>
          </cell>
          <cell r="B2017" t="str">
            <v>FRANSISCA ANDRIYANI</v>
          </cell>
          <cell r="C2017" t="str">
            <v>SAMI</v>
          </cell>
          <cell r="D2017" t="str">
            <v>OPT-292</v>
          </cell>
          <cell r="E2017">
            <v>40610</v>
          </cell>
          <cell r="F2017" t="str">
            <v>-</v>
          </cell>
          <cell r="G2017" t="str">
            <v>-</v>
          </cell>
          <cell r="H2017" t="str">
            <v>PRD</v>
          </cell>
          <cell r="I2017" t="str">
            <v>PRD</v>
          </cell>
          <cell r="J2017" t="str">
            <v>MAZDA ATENZA</v>
          </cell>
          <cell r="K2017" t="str">
            <v>MAZDA J71E IPM3</v>
          </cell>
          <cell r="L2017" t="str">
            <v>CV A06</v>
          </cell>
          <cell r="M2017" t="str">
            <v>S/T 5</v>
          </cell>
          <cell r="N2017" t="str">
            <v>ASSEMBLY</v>
          </cell>
          <cell r="O2017" t="str">
            <v>B</v>
          </cell>
        </row>
        <row r="2018">
          <cell r="A2018">
            <v>11318</v>
          </cell>
          <cell r="B2018" t="str">
            <v>WAHYU MEITASARI</v>
          </cell>
          <cell r="C2018" t="str">
            <v>SAMI</v>
          </cell>
          <cell r="D2018" t="str">
            <v>OPT-299</v>
          </cell>
          <cell r="E2018">
            <v>40660</v>
          </cell>
          <cell r="F2018" t="str">
            <v>-</v>
          </cell>
          <cell r="G2018" t="str">
            <v>-</v>
          </cell>
          <cell r="H2018" t="str">
            <v>PRD</v>
          </cell>
          <cell r="I2018" t="str">
            <v>PRD</v>
          </cell>
          <cell r="J2018" t="str">
            <v>MAZDA ATENZA</v>
          </cell>
          <cell r="K2018" t="str">
            <v>MAZDA J71E IPM3</v>
          </cell>
          <cell r="L2018" t="str">
            <v>CV A06</v>
          </cell>
          <cell r="M2018" t="str">
            <v>S/A 7</v>
          </cell>
          <cell r="N2018" t="str">
            <v>SUB ASSY</v>
          </cell>
          <cell r="O2018" t="str">
            <v>B</v>
          </cell>
        </row>
        <row r="2019">
          <cell r="A2019">
            <v>12779</v>
          </cell>
          <cell r="B2019" t="str">
            <v>TUTIK HARIYANTI</v>
          </cell>
          <cell r="C2019" t="str">
            <v>SAMI</v>
          </cell>
          <cell r="D2019" t="str">
            <v>OPT-320</v>
          </cell>
          <cell r="E2019">
            <v>40819</v>
          </cell>
          <cell r="F2019" t="str">
            <v>-</v>
          </cell>
          <cell r="G2019" t="str">
            <v>-</v>
          </cell>
          <cell r="H2019" t="str">
            <v>PRD</v>
          </cell>
          <cell r="I2019" t="str">
            <v>PRD</v>
          </cell>
          <cell r="J2019" t="str">
            <v>MAZDA ATENZA</v>
          </cell>
          <cell r="K2019" t="str">
            <v>MAZDA J71E IPM3</v>
          </cell>
          <cell r="L2019" t="str">
            <v>CV A06</v>
          </cell>
          <cell r="M2019" t="str">
            <v>SUB LINE CHO</v>
          </cell>
          <cell r="N2019" t="str">
            <v>GL</v>
          </cell>
          <cell r="O2019" t="str">
            <v>B</v>
          </cell>
        </row>
        <row r="2020">
          <cell r="A2020">
            <v>13376</v>
          </cell>
          <cell r="B2020" t="str">
            <v>FITRI IRAWATI</v>
          </cell>
          <cell r="C2020" t="str">
            <v>SAMI</v>
          </cell>
          <cell r="D2020" t="str">
            <v>OPT-337</v>
          </cell>
          <cell r="E2020">
            <v>40932</v>
          </cell>
          <cell r="F2020" t="str">
            <v>-</v>
          </cell>
          <cell r="G2020" t="str">
            <v>-</v>
          </cell>
          <cell r="H2020" t="str">
            <v>PRD</v>
          </cell>
          <cell r="I2020" t="str">
            <v>PRD</v>
          </cell>
          <cell r="J2020" t="str">
            <v>MAZDA ATENZA</v>
          </cell>
          <cell r="K2020" t="str">
            <v>MAZDA J71E IPM3</v>
          </cell>
          <cell r="L2020" t="str">
            <v>CV A06</v>
          </cell>
          <cell r="M2020" t="str">
            <v>S/A 9</v>
          </cell>
          <cell r="N2020" t="str">
            <v>SUB ASSY</v>
          </cell>
          <cell r="O2020" t="str">
            <v>B</v>
          </cell>
        </row>
        <row r="2021">
          <cell r="A2021">
            <v>14618</v>
          </cell>
          <cell r="B2021" t="str">
            <v>SRI SUNARSIH</v>
          </cell>
          <cell r="C2021" t="str">
            <v>SAMI</v>
          </cell>
          <cell r="D2021" t="str">
            <v>OPT-376</v>
          </cell>
          <cell r="E2021">
            <v>41394</v>
          </cell>
          <cell r="F2021" t="str">
            <v>-</v>
          </cell>
          <cell r="G2021" t="str">
            <v>-</v>
          </cell>
          <cell r="H2021" t="str">
            <v>PRD</v>
          </cell>
          <cell r="I2021" t="str">
            <v>PRD</v>
          </cell>
          <cell r="J2021" t="str">
            <v>MAZDA ATENZA</v>
          </cell>
          <cell r="K2021" t="str">
            <v>MAZDA J71E IPM3</v>
          </cell>
          <cell r="L2021" t="str">
            <v>CV A06</v>
          </cell>
          <cell r="M2021" t="str">
            <v>VISUAL 02</v>
          </cell>
          <cell r="N2021" t="str">
            <v>VISUAL INSPECTION</v>
          </cell>
          <cell r="O2021" t="str">
            <v>B</v>
          </cell>
        </row>
        <row r="2022">
          <cell r="A2022">
            <v>17598</v>
          </cell>
          <cell r="B2022" t="str">
            <v>USWATUN KHASANAH</v>
          </cell>
          <cell r="C2022" t="str">
            <v>SAMI</v>
          </cell>
          <cell r="D2022" t="str">
            <v>OPT-444</v>
          </cell>
          <cell r="E2022">
            <v>41781</v>
          </cell>
          <cell r="F2022" t="str">
            <v>-</v>
          </cell>
          <cell r="G2022" t="str">
            <v>-</v>
          </cell>
          <cell r="H2022" t="str">
            <v>PRD</v>
          </cell>
          <cell r="I2022" t="str">
            <v>PRD</v>
          </cell>
          <cell r="J2022" t="str">
            <v>MAZDA ATENZA</v>
          </cell>
          <cell r="K2022" t="str">
            <v>MAZDA J71E IPM3</v>
          </cell>
          <cell r="L2022" t="str">
            <v>CV A06</v>
          </cell>
          <cell r="M2022" t="str">
            <v>LQC</v>
          </cell>
          <cell r="N2022" t="str">
            <v>RELIEF</v>
          </cell>
          <cell r="O2022" t="str">
            <v>B</v>
          </cell>
        </row>
        <row r="2023">
          <cell r="A2023">
            <v>17920</v>
          </cell>
          <cell r="B2023" t="str">
            <v>SRI WIDIYANTI</v>
          </cell>
          <cell r="C2023" t="str">
            <v>SAMI</v>
          </cell>
          <cell r="D2023" t="str">
            <v>OPT-450</v>
          </cell>
          <cell r="E2023">
            <v>41830</v>
          </cell>
          <cell r="F2023" t="str">
            <v>-</v>
          </cell>
          <cell r="G2023" t="str">
            <v>-</v>
          </cell>
          <cell r="H2023" t="str">
            <v>PRD</v>
          </cell>
          <cell r="I2023" t="str">
            <v>PRD</v>
          </cell>
          <cell r="J2023" t="str">
            <v>MAZDA ATENZA</v>
          </cell>
          <cell r="K2023" t="str">
            <v>MAZDA J71E IPM3</v>
          </cell>
          <cell r="L2023" t="str">
            <v>CV A06</v>
          </cell>
          <cell r="M2023" t="str">
            <v>S/T 3.1</v>
          </cell>
          <cell r="N2023" t="str">
            <v>ASSEMBLY</v>
          </cell>
          <cell r="O2023" t="str">
            <v>B</v>
          </cell>
        </row>
        <row r="2024">
          <cell r="A2024">
            <v>19378</v>
          </cell>
          <cell r="B2024" t="str">
            <v>NDARNI</v>
          </cell>
          <cell r="C2024" t="str">
            <v>SAMI</v>
          </cell>
          <cell r="D2024" t="str">
            <v>OPT-479</v>
          </cell>
          <cell r="E2024">
            <v>42289</v>
          </cell>
          <cell r="F2024" t="str">
            <v>-</v>
          </cell>
          <cell r="G2024" t="str">
            <v>-</v>
          </cell>
          <cell r="H2024" t="str">
            <v>PRD</v>
          </cell>
          <cell r="I2024" t="str">
            <v>PRD</v>
          </cell>
          <cell r="J2024" t="str">
            <v>MAZDA ATENZA</v>
          </cell>
          <cell r="K2024" t="str">
            <v>MAZDA J71E IPM3</v>
          </cell>
          <cell r="L2024" t="str">
            <v>CV A06</v>
          </cell>
          <cell r="M2024" t="str">
            <v>S/T 4</v>
          </cell>
          <cell r="N2024" t="str">
            <v>ASSEMBLY</v>
          </cell>
          <cell r="O2024" t="str">
            <v>B</v>
          </cell>
        </row>
        <row r="2025">
          <cell r="A2025">
            <v>19480</v>
          </cell>
          <cell r="B2025" t="str">
            <v>LULUK ULFIYANTI</v>
          </cell>
          <cell r="C2025" t="str">
            <v>SAMI</v>
          </cell>
          <cell r="D2025" t="str">
            <v>OPT-487</v>
          </cell>
          <cell r="E2025">
            <v>42464</v>
          </cell>
          <cell r="F2025" t="str">
            <v>-</v>
          </cell>
          <cell r="G2025" t="str">
            <v>-</v>
          </cell>
          <cell r="H2025" t="str">
            <v>PRD</v>
          </cell>
          <cell r="I2025" t="str">
            <v>PRD</v>
          </cell>
          <cell r="J2025" t="str">
            <v>MAZDA ATENZA</v>
          </cell>
          <cell r="K2025" t="str">
            <v>MAZDA J71E IPM3</v>
          </cell>
          <cell r="L2025" t="str">
            <v>CV A06</v>
          </cell>
          <cell r="M2025" t="str">
            <v>T/P 5</v>
          </cell>
          <cell r="N2025" t="str">
            <v>ASSEMBLY</v>
          </cell>
          <cell r="O2025" t="str">
            <v>B</v>
          </cell>
        </row>
        <row r="2026">
          <cell r="A2026">
            <v>20456</v>
          </cell>
          <cell r="B2026" t="str">
            <v>ENI KHOIRIYAH</v>
          </cell>
          <cell r="C2026" t="str">
            <v>SAMI</v>
          </cell>
          <cell r="D2026" t="str">
            <v>OPT-504</v>
          </cell>
          <cell r="E2026">
            <v>42634</v>
          </cell>
          <cell r="F2026">
            <v>43132</v>
          </cell>
          <cell r="G2026">
            <v>43496</v>
          </cell>
          <cell r="H2026" t="str">
            <v>PRD</v>
          </cell>
          <cell r="I2026" t="str">
            <v>PRD</v>
          </cell>
          <cell r="J2026" t="str">
            <v>MAZDA ATENZA</v>
          </cell>
          <cell r="K2026" t="str">
            <v>MAZDA J71E IPM3</v>
          </cell>
          <cell r="L2026" t="str">
            <v>CV A06</v>
          </cell>
          <cell r="M2026" t="str">
            <v>T/P 3.2</v>
          </cell>
          <cell r="N2026" t="str">
            <v>ASSEMBLY</v>
          </cell>
          <cell r="O2026" t="str">
            <v>B</v>
          </cell>
        </row>
        <row r="2027">
          <cell r="A2027">
            <v>20458</v>
          </cell>
          <cell r="B2027" t="str">
            <v>ERLINA PURSITA DEWI</v>
          </cell>
          <cell r="C2027" t="str">
            <v>SAMI</v>
          </cell>
          <cell r="D2027" t="str">
            <v>OPT-504</v>
          </cell>
          <cell r="E2027">
            <v>42634</v>
          </cell>
          <cell r="F2027">
            <v>43132</v>
          </cell>
          <cell r="G2027">
            <v>43496</v>
          </cell>
          <cell r="H2027" t="str">
            <v>PRD</v>
          </cell>
          <cell r="I2027" t="str">
            <v>PRD</v>
          </cell>
          <cell r="J2027" t="str">
            <v>MAZDA ATENZA</v>
          </cell>
          <cell r="K2027" t="str">
            <v>MAZDA J71E IPM3</v>
          </cell>
          <cell r="L2027" t="str">
            <v>CV A06</v>
          </cell>
          <cell r="M2027" t="str">
            <v>S/A 2</v>
          </cell>
          <cell r="N2027" t="str">
            <v>SUB ASSY</v>
          </cell>
          <cell r="O2027" t="str">
            <v>B</v>
          </cell>
        </row>
        <row r="2028">
          <cell r="A2028">
            <v>20468</v>
          </cell>
          <cell r="B2028" t="str">
            <v>IDA SOLICATUN NUR ROCHMAH</v>
          </cell>
          <cell r="C2028" t="str">
            <v>SAMI</v>
          </cell>
          <cell r="D2028" t="str">
            <v>OPT-504</v>
          </cell>
          <cell r="E2028">
            <v>42634</v>
          </cell>
          <cell r="F2028">
            <v>43132</v>
          </cell>
          <cell r="G2028">
            <v>43496</v>
          </cell>
          <cell r="H2028" t="str">
            <v>PRD</v>
          </cell>
          <cell r="I2028" t="str">
            <v>PRD</v>
          </cell>
          <cell r="J2028" t="str">
            <v>MAZDA ATENZA</v>
          </cell>
          <cell r="K2028" t="str">
            <v>MAZDA J71E IPM3</v>
          </cell>
          <cell r="L2028" t="str">
            <v>CV A06</v>
          </cell>
          <cell r="M2028" t="str">
            <v>S/T 1.1</v>
          </cell>
          <cell r="N2028" t="str">
            <v>ASSEMBLY</v>
          </cell>
          <cell r="O2028" t="str">
            <v>B</v>
          </cell>
        </row>
        <row r="2029">
          <cell r="A2029">
            <v>20520</v>
          </cell>
          <cell r="B2029" t="str">
            <v>NURUL MAULA FITRIANA</v>
          </cell>
          <cell r="C2029" t="str">
            <v>SAMI</v>
          </cell>
          <cell r="D2029" t="str">
            <v>OPT-504</v>
          </cell>
          <cell r="E2029">
            <v>42634</v>
          </cell>
          <cell r="F2029">
            <v>43132</v>
          </cell>
          <cell r="G2029">
            <v>43496</v>
          </cell>
          <cell r="H2029" t="str">
            <v>PRD</v>
          </cell>
          <cell r="I2029" t="str">
            <v>PRD</v>
          </cell>
          <cell r="J2029" t="str">
            <v>MAZDA ATENZA</v>
          </cell>
          <cell r="K2029" t="str">
            <v>MAZDA J71E IPM3</v>
          </cell>
          <cell r="L2029" t="str">
            <v>CV A06</v>
          </cell>
          <cell r="M2029" t="str">
            <v>T/P 1</v>
          </cell>
          <cell r="N2029" t="str">
            <v>ASSEMBLY</v>
          </cell>
          <cell r="O2029" t="str">
            <v>B</v>
          </cell>
        </row>
        <row r="2030">
          <cell r="A2030">
            <v>20609</v>
          </cell>
          <cell r="B2030" t="str">
            <v>LISTIYORINI</v>
          </cell>
          <cell r="C2030" t="str">
            <v>SAMI</v>
          </cell>
          <cell r="D2030" t="str">
            <v>OPT-505</v>
          </cell>
          <cell r="E2030">
            <v>42639</v>
          </cell>
          <cell r="F2030">
            <v>43132</v>
          </cell>
          <cell r="G2030">
            <v>43496</v>
          </cell>
          <cell r="H2030" t="str">
            <v>PRD</v>
          </cell>
          <cell r="I2030" t="str">
            <v>PRD</v>
          </cell>
          <cell r="J2030" t="str">
            <v>MAZDA ATENZA</v>
          </cell>
          <cell r="K2030" t="str">
            <v>MAZDA J71E IPM3</v>
          </cell>
          <cell r="L2030" t="str">
            <v>CV A06</v>
          </cell>
          <cell r="M2030" t="str">
            <v>S/T SP</v>
          </cell>
          <cell r="N2030" t="str">
            <v>ASSEMBLY</v>
          </cell>
          <cell r="O2030" t="str">
            <v>B</v>
          </cell>
        </row>
        <row r="2031">
          <cell r="A2031">
            <v>21003</v>
          </cell>
          <cell r="B2031" t="str">
            <v>EKA PUTRI JUNIARTI</v>
          </cell>
          <cell r="C2031" t="str">
            <v>SAMI</v>
          </cell>
          <cell r="D2031" t="str">
            <v>OPT-513</v>
          </cell>
          <cell r="E2031">
            <v>42674</v>
          </cell>
          <cell r="F2031">
            <v>43160</v>
          </cell>
          <cell r="G2031">
            <v>43524</v>
          </cell>
          <cell r="H2031" t="str">
            <v>PRD</v>
          </cell>
          <cell r="I2031" t="str">
            <v>PRD</v>
          </cell>
          <cell r="J2031" t="str">
            <v>MAZDA ATENZA</v>
          </cell>
          <cell r="K2031" t="str">
            <v>MAZDA J71E IPM3</v>
          </cell>
          <cell r="L2031" t="str">
            <v>CV A06</v>
          </cell>
          <cell r="M2031" t="str">
            <v>OFFLINE 2</v>
          </cell>
          <cell r="N2031" t="str">
            <v>ASSEMBLY</v>
          </cell>
          <cell r="O2031" t="str">
            <v>B</v>
          </cell>
        </row>
        <row r="2032">
          <cell r="A2032">
            <v>21323</v>
          </cell>
          <cell r="B2032" t="str">
            <v>YUNI RAHMAWATI</v>
          </cell>
          <cell r="C2032" t="str">
            <v>SAMI</v>
          </cell>
          <cell r="D2032" t="str">
            <v>OPT-530</v>
          </cell>
          <cell r="E2032">
            <v>43010</v>
          </cell>
          <cell r="F2032">
            <v>43405</v>
          </cell>
          <cell r="G2032">
            <v>43769</v>
          </cell>
          <cell r="H2032" t="str">
            <v>PRD</v>
          </cell>
          <cell r="I2032" t="str">
            <v>PRD</v>
          </cell>
          <cell r="J2032" t="str">
            <v>MAZDA ATENZA</v>
          </cell>
          <cell r="K2032" t="str">
            <v>MAZDA J71E IPM3</v>
          </cell>
          <cell r="L2032" t="str">
            <v>CV A06</v>
          </cell>
          <cell r="M2032" t="str">
            <v>S/A 6</v>
          </cell>
          <cell r="N2032" t="str">
            <v>SUB ASSY</v>
          </cell>
          <cell r="O2032" t="str">
            <v>B</v>
          </cell>
        </row>
        <row r="2033">
          <cell r="A2033">
            <v>21486</v>
          </cell>
          <cell r="B2033" t="str">
            <v>LAILA MU'AFAH</v>
          </cell>
          <cell r="C2033" t="str">
            <v>SAMI</v>
          </cell>
          <cell r="D2033" t="str">
            <v>OPT-534</v>
          </cell>
          <cell r="E2033">
            <v>43031</v>
          </cell>
          <cell r="F2033">
            <v>43435</v>
          </cell>
          <cell r="G2033">
            <v>43799</v>
          </cell>
          <cell r="H2033" t="str">
            <v>PRD</v>
          </cell>
          <cell r="I2033" t="str">
            <v>PRD</v>
          </cell>
          <cell r="J2033" t="str">
            <v>MAZDA ATENZA</v>
          </cell>
          <cell r="K2033" t="str">
            <v>MAZDA J71E IPM3</v>
          </cell>
          <cell r="L2033" t="str">
            <v>CV A06</v>
          </cell>
          <cell r="M2033" t="str">
            <v>CIRCUIT SUPPLIER</v>
          </cell>
          <cell r="N2033" t="str">
            <v>CIRCUIT SUPPLY</v>
          </cell>
          <cell r="O2033" t="str">
            <v>B</v>
          </cell>
        </row>
        <row r="2034">
          <cell r="A2034">
            <v>21727</v>
          </cell>
          <cell r="B2034" t="str">
            <v>LIVIATUL MUAMMAROH</v>
          </cell>
          <cell r="C2034" t="str">
            <v>SAMI</v>
          </cell>
          <cell r="D2034" t="str">
            <v>OPT-539</v>
          </cell>
          <cell r="E2034">
            <v>43087</v>
          </cell>
          <cell r="F2034">
            <v>43118</v>
          </cell>
          <cell r="G2034">
            <v>43496</v>
          </cell>
          <cell r="H2034" t="str">
            <v>PRD</v>
          </cell>
          <cell r="I2034" t="str">
            <v>PRD</v>
          </cell>
          <cell r="J2034" t="str">
            <v>MAZDA ATENZA</v>
          </cell>
          <cell r="K2034" t="str">
            <v>MAZDA J71E IPM3</v>
          </cell>
          <cell r="L2034" t="str">
            <v>CV A06</v>
          </cell>
          <cell r="M2034" t="str">
            <v>S/A 1.2</v>
          </cell>
          <cell r="N2034" t="str">
            <v>SUB ASSY</v>
          </cell>
          <cell r="O2034" t="str">
            <v>B</v>
          </cell>
        </row>
        <row r="2035">
          <cell r="A2035">
            <v>21890</v>
          </cell>
          <cell r="B2035" t="str">
            <v>MARHATUN SOLEHA</v>
          </cell>
          <cell r="C2035" t="str">
            <v>SAMI</v>
          </cell>
          <cell r="D2035" t="str">
            <v>OPT-542</v>
          </cell>
          <cell r="E2035">
            <v>43103</v>
          </cell>
          <cell r="F2035">
            <v>43134</v>
          </cell>
          <cell r="G2035">
            <v>43496</v>
          </cell>
          <cell r="H2035" t="str">
            <v>PRD</v>
          </cell>
          <cell r="I2035" t="str">
            <v>PRD</v>
          </cell>
          <cell r="J2035" t="str">
            <v>MAZDA ATENZA</v>
          </cell>
          <cell r="K2035" t="str">
            <v>MAZDA J71E IPM3</v>
          </cell>
          <cell r="L2035" t="str">
            <v>CV A06</v>
          </cell>
          <cell r="M2035" t="str">
            <v>CHECKER 1B</v>
          </cell>
          <cell r="N2035" t="str">
            <v>ELECTRICAL INSPECTION</v>
          </cell>
          <cell r="O2035" t="str">
            <v>B</v>
          </cell>
        </row>
        <row r="2036">
          <cell r="A2036">
            <v>21930</v>
          </cell>
          <cell r="B2036" t="str">
            <v>WULAN SUSTIYANINGSIH</v>
          </cell>
          <cell r="C2036" t="str">
            <v>SAMI</v>
          </cell>
          <cell r="D2036" t="str">
            <v>OPT-543</v>
          </cell>
          <cell r="E2036">
            <v>43108</v>
          </cell>
          <cell r="F2036">
            <v>43139</v>
          </cell>
          <cell r="G2036">
            <v>43496</v>
          </cell>
          <cell r="H2036" t="str">
            <v>PRD</v>
          </cell>
          <cell r="I2036" t="str">
            <v>PRD</v>
          </cell>
          <cell r="J2036" t="str">
            <v>MAZDA ATENZA</v>
          </cell>
          <cell r="K2036" t="str">
            <v>MAZDA J71E IPM3</v>
          </cell>
          <cell r="L2036" t="str">
            <v>CV A06</v>
          </cell>
          <cell r="M2036" t="str">
            <v>MATERIAL SUPPLY</v>
          </cell>
          <cell r="N2036" t="str">
            <v>MATERIAL SUPPLY</v>
          </cell>
          <cell r="O2036" t="str">
            <v>B</v>
          </cell>
        </row>
        <row r="2037">
          <cell r="A2037">
            <v>21968</v>
          </cell>
          <cell r="B2037" t="str">
            <v>NOVIA YUNITA</v>
          </cell>
          <cell r="C2037" t="str">
            <v>SAMI</v>
          </cell>
          <cell r="D2037" t="str">
            <v>OPT-545</v>
          </cell>
          <cell r="E2037">
            <v>43116</v>
          </cell>
          <cell r="F2037">
            <v>43147</v>
          </cell>
          <cell r="G2037">
            <v>43524</v>
          </cell>
          <cell r="H2037" t="str">
            <v>PRD</v>
          </cell>
          <cell r="I2037" t="str">
            <v>PRD</v>
          </cell>
          <cell r="J2037" t="str">
            <v>MAZDA ATENZA</v>
          </cell>
          <cell r="K2037" t="str">
            <v>MAZDA J71E IPM3</v>
          </cell>
          <cell r="L2037" t="str">
            <v>CV A06</v>
          </cell>
          <cell r="M2037" t="str">
            <v>S/A 1.1A</v>
          </cell>
          <cell r="N2037" t="str">
            <v>SUB ASSY</v>
          </cell>
          <cell r="O2037" t="str">
            <v>B</v>
          </cell>
        </row>
        <row r="2038">
          <cell r="A2038">
            <v>22001</v>
          </cell>
          <cell r="B2038" t="str">
            <v>RODHOTUL NUR AMALIA</v>
          </cell>
          <cell r="C2038" t="str">
            <v>SAMI</v>
          </cell>
          <cell r="D2038" t="str">
            <v>OPT-546</v>
          </cell>
          <cell r="E2038">
            <v>43139</v>
          </cell>
          <cell r="F2038">
            <v>43167</v>
          </cell>
          <cell r="G2038">
            <v>43524</v>
          </cell>
          <cell r="H2038" t="str">
            <v>PRD</v>
          </cell>
          <cell r="I2038" t="str">
            <v>PRD</v>
          </cell>
          <cell r="J2038" t="str">
            <v>MAZDA ATENZA</v>
          </cell>
          <cell r="K2038" t="str">
            <v>MAZDA J71E IPM3</v>
          </cell>
          <cell r="L2038" t="str">
            <v>CV A06</v>
          </cell>
          <cell r="M2038" t="str">
            <v>S/T 3.2</v>
          </cell>
          <cell r="N2038" t="str">
            <v>ASSEMBLY</v>
          </cell>
          <cell r="O2038" t="str">
            <v>B</v>
          </cell>
        </row>
        <row r="2039">
          <cell r="A2039">
            <v>22049</v>
          </cell>
          <cell r="B2039" t="str">
            <v>RISKA SAFITRI</v>
          </cell>
          <cell r="C2039" t="str">
            <v>SAMI</v>
          </cell>
          <cell r="D2039" t="str">
            <v>OPT-547</v>
          </cell>
          <cell r="E2039">
            <v>43144</v>
          </cell>
          <cell r="F2039">
            <v>43172</v>
          </cell>
          <cell r="G2039">
            <v>43524</v>
          </cell>
          <cell r="H2039" t="str">
            <v>PRD</v>
          </cell>
          <cell r="I2039" t="str">
            <v>PRD</v>
          </cell>
          <cell r="J2039" t="str">
            <v>MAZDA ATENZA</v>
          </cell>
          <cell r="K2039" t="str">
            <v>MAZDA J71E IPM3</v>
          </cell>
          <cell r="L2039" t="str">
            <v>CV A06</v>
          </cell>
          <cell r="M2039" t="str">
            <v>CIRCUIT SUPPLIER</v>
          </cell>
          <cell r="N2039" t="str">
            <v>CIRCUIT SUPPLY</v>
          </cell>
          <cell r="O2039" t="str">
            <v>B</v>
          </cell>
        </row>
        <row r="2040">
          <cell r="A2040">
            <v>22389</v>
          </cell>
          <cell r="B2040" t="str">
            <v>FAMEILIA MURTHYAS SARI</v>
          </cell>
          <cell r="C2040" t="str">
            <v>SAMI</v>
          </cell>
          <cell r="D2040" t="str">
            <v>OPT-558</v>
          </cell>
          <cell r="E2040">
            <v>43213</v>
          </cell>
          <cell r="F2040">
            <v>43243</v>
          </cell>
          <cell r="G2040">
            <v>43616</v>
          </cell>
          <cell r="H2040" t="str">
            <v>PRD</v>
          </cell>
          <cell r="I2040" t="str">
            <v>PRD</v>
          </cell>
          <cell r="J2040" t="str">
            <v>MAZDA ATENZA</v>
          </cell>
          <cell r="K2040" t="str">
            <v>MAZDA J71E IPM3</v>
          </cell>
          <cell r="L2040" t="str">
            <v>CV A06</v>
          </cell>
          <cell r="M2040" t="str">
            <v>TPO</v>
          </cell>
          <cell r="N2040" t="str">
            <v>VISUAL INSPECTION</v>
          </cell>
          <cell r="O2040" t="str">
            <v>B</v>
          </cell>
        </row>
        <row r="2041">
          <cell r="A2041">
            <v>22487</v>
          </cell>
          <cell r="B2041" t="str">
            <v>FIFI NANDA SARI</v>
          </cell>
          <cell r="C2041" t="str">
            <v>SAMI</v>
          </cell>
          <cell r="D2041" t="str">
            <v>OPT-560</v>
          </cell>
          <cell r="E2041">
            <v>43224</v>
          </cell>
          <cell r="F2041">
            <v>43255</v>
          </cell>
          <cell r="G2041">
            <v>43616</v>
          </cell>
          <cell r="H2041" t="str">
            <v>PRD</v>
          </cell>
          <cell r="I2041" t="str">
            <v>PRD</v>
          </cell>
          <cell r="J2041" t="str">
            <v>MAZDA ATENZA</v>
          </cell>
          <cell r="K2041" t="str">
            <v>MAZDA J71E IPM3</v>
          </cell>
          <cell r="L2041" t="str">
            <v>CV A06</v>
          </cell>
          <cell r="M2041" t="str">
            <v>T/P SP 1</v>
          </cell>
          <cell r="N2041" t="str">
            <v>ASSEMBLY</v>
          </cell>
          <cell r="O2041" t="str">
            <v>B</v>
          </cell>
        </row>
        <row r="2042">
          <cell r="A2042">
            <v>22555</v>
          </cell>
          <cell r="B2042" t="str">
            <v>PIPIT SHOLEKHAH</v>
          </cell>
          <cell r="C2042" t="str">
            <v>SAMI</v>
          </cell>
          <cell r="D2042" t="str">
            <v>OPT-560</v>
          </cell>
          <cell r="E2042">
            <v>43224</v>
          </cell>
          <cell r="F2042">
            <v>43255</v>
          </cell>
          <cell r="G2042">
            <v>43616</v>
          </cell>
          <cell r="H2042" t="str">
            <v>PRD</v>
          </cell>
          <cell r="I2042" t="str">
            <v>PRD</v>
          </cell>
          <cell r="J2042" t="str">
            <v>MAZDA ATENZA</v>
          </cell>
          <cell r="K2042" t="str">
            <v>MAZDA J71E IPM3</v>
          </cell>
          <cell r="L2042" t="str">
            <v>CV A06</v>
          </cell>
          <cell r="M2042" t="str">
            <v>OFFLINE 1</v>
          </cell>
          <cell r="N2042" t="str">
            <v>ASSEMBLY</v>
          </cell>
          <cell r="O2042" t="str">
            <v>B</v>
          </cell>
        </row>
        <row r="2043">
          <cell r="A2043">
            <v>22679</v>
          </cell>
          <cell r="B2043" t="str">
            <v>SINTA IRIANI</v>
          </cell>
          <cell r="C2043" t="str">
            <v>SAMI</v>
          </cell>
          <cell r="D2043" t="str">
            <v>OPT-562</v>
          </cell>
          <cell r="E2043">
            <v>43241</v>
          </cell>
          <cell r="F2043">
            <v>43272</v>
          </cell>
          <cell r="G2043">
            <v>43646</v>
          </cell>
          <cell r="H2043" t="str">
            <v>PRD</v>
          </cell>
          <cell r="I2043" t="str">
            <v>PRD</v>
          </cell>
          <cell r="J2043" t="str">
            <v>MAZDA ATENZA</v>
          </cell>
          <cell r="K2043" t="str">
            <v>MAZDA J71E IPM3</v>
          </cell>
          <cell r="L2043" t="str">
            <v>CV A06</v>
          </cell>
          <cell r="M2043" t="str">
            <v>S/A 8</v>
          </cell>
          <cell r="N2043" t="str">
            <v>SUB ASSY</v>
          </cell>
          <cell r="O2043" t="str">
            <v>B</v>
          </cell>
        </row>
        <row r="2044">
          <cell r="A2044">
            <v>22809</v>
          </cell>
          <cell r="B2044" t="str">
            <v>APRILIA WAHYUNINGSIH</v>
          </cell>
          <cell r="C2044" t="str">
            <v>SAMI</v>
          </cell>
          <cell r="D2044" t="str">
            <v>OPT-567</v>
          </cell>
          <cell r="E2044">
            <v>43333</v>
          </cell>
          <cell r="F2044">
            <v>43364</v>
          </cell>
          <cell r="G2044">
            <v>43738</v>
          </cell>
          <cell r="H2044" t="str">
            <v>PRD</v>
          </cell>
          <cell r="I2044" t="str">
            <v>PRD</v>
          </cell>
          <cell r="J2044" t="str">
            <v>MAZDA ATENZA</v>
          </cell>
          <cell r="K2044" t="str">
            <v>MAZDA J71E IPM3</v>
          </cell>
          <cell r="L2044" t="str">
            <v>CV A06</v>
          </cell>
          <cell r="M2044" t="str">
            <v>T/P 4.1</v>
          </cell>
          <cell r="N2044" t="str">
            <v>ASSEMBLY</v>
          </cell>
          <cell r="O2044" t="str">
            <v>B</v>
          </cell>
        </row>
        <row r="2045">
          <cell r="A2045">
            <v>22828</v>
          </cell>
          <cell r="B2045" t="str">
            <v>ENI FEBRIANA</v>
          </cell>
          <cell r="C2045" t="str">
            <v>SAMI</v>
          </cell>
          <cell r="D2045" t="str">
            <v>OPT-567</v>
          </cell>
          <cell r="E2045">
            <v>43333</v>
          </cell>
          <cell r="F2045">
            <v>43364</v>
          </cell>
          <cell r="G2045">
            <v>43738</v>
          </cell>
          <cell r="H2045" t="str">
            <v>PRD</v>
          </cell>
          <cell r="I2045" t="str">
            <v>PRD</v>
          </cell>
          <cell r="J2045" t="str">
            <v>MAZDA ATENZA</v>
          </cell>
          <cell r="K2045" t="str">
            <v>MAZDA J71E IPM3</v>
          </cell>
          <cell r="L2045" t="str">
            <v>CV A06</v>
          </cell>
          <cell r="M2045" t="str">
            <v>S/T 1.2</v>
          </cell>
          <cell r="N2045" t="str">
            <v>ASSEMBLY</v>
          </cell>
          <cell r="O2045" t="str">
            <v>B</v>
          </cell>
        </row>
        <row r="2046">
          <cell r="A2046">
            <v>22926</v>
          </cell>
          <cell r="B2046" t="str">
            <v>ERNA MURYATI</v>
          </cell>
          <cell r="C2046" t="str">
            <v>SAMI</v>
          </cell>
          <cell r="D2046" t="str">
            <v>OPT-568</v>
          </cell>
          <cell r="E2046">
            <v>43343</v>
          </cell>
          <cell r="F2046">
            <v>43374</v>
          </cell>
          <cell r="G2046">
            <v>43738</v>
          </cell>
          <cell r="H2046" t="str">
            <v>PRD</v>
          </cell>
          <cell r="I2046" t="str">
            <v>PRD</v>
          </cell>
          <cell r="J2046" t="str">
            <v>MAZDA ATENZA</v>
          </cell>
          <cell r="K2046" t="str">
            <v>MAZDA J71E IPM3</v>
          </cell>
          <cell r="L2046" t="str">
            <v>CV A06</v>
          </cell>
          <cell r="M2046" t="str">
            <v>T/P SP 2</v>
          </cell>
          <cell r="N2046" t="str">
            <v>ASSEMBLY</v>
          </cell>
          <cell r="O2046" t="str">
            <v>B</v>
          </cell>
        </row>
        <row r="2047">
          <cell r="A2047">
            <v>23059</v>
          </cell>
          <cell r="B2047" t="str">
            <v>NUR HIDAYAH</v>
          </cell>
          <cell r="C2047" t="str">
            <v>SAMI</v>
          </cell>
          <cell r="D2047" t="str">
            <v>OPT-569</v>
          </cell>
          <cell r="E2047">
            <v>43361</v>
          </cell>
          <cell r="F2047">
            <v>43391</v>
          </cell>
          <cell r="G2047">
            <v>43769</v>
          </cell>
          <cell r="H2047" t="str">
            <v>PRD</v>
          </cell>
          <cell r="I2047" t="str">
            <v>PRD</v>
          </cell>
          <cell r="J2047" t="str">
            <v>MAZDA ATENZA</v>
          </cell>
          <cell r="K2047" t="str">
            <v>MAZDA J71E IPM3</v>
          </cell>
          <cell r="L2047" t="str">
            <v>CV A06</v>
          </cell>
          <cell r="M2047" t="str">
            <v>S/A 5.2</v>
          </cell>
          <cell r="N2047" t="str">
            <v>SUB ASSY</v>
          </cell>
          <cell r="O2047" t="str">
            <v>B</v>
          </cell>
        </row>
        <row r="2048">
          <cell r="A2048">
            <v>23112</v>
          </cell>
          <cell r="B2048" t="str">
            <v>EVANA KURNIA SARI</v>
          </cell>
          <cell r="C2048" t="str">
            <v>SAMI</v>
          </cell>
          <cell r="D2048" t="str">
            <v>OPT-570</v>
          </cell>
          <cell r="E2048">
            <v>43369</v>
          </cell>
          <cell r="F2048">
            <v>43399</v>
          </cell>
          <cell r="G2048">
            <v>43769</v>
          </cell>
          <cell r="H2048" t="str">
            <v>PRD</v>
          </cell>
          <cell r="I2048" t="str">
            <v>PRD</v>
          </cell>
          <cell r="J2048" t="str">
            <v>MAZDA ATENZA</v>
          </cell>
          <cell r="K2048" t="str">
            <v>MAZDA J71E IPM3</v>
          </cell>
          <cell r="L2048" t="str">
            <v>CV A06</v>
          </cell>
          <cell r="M2048" t="str">
            <v>OJT S/T SP</v>
          </cell>
          <cell r="N2048" t="str">
            <v>INTERNAL TRIAL</v>
          </cell>
          <cell r="O2048" t="str">
            <v>B</v>
          </cell>
        </row>
        <row r="2049">
          <cell r="A2049">
            <v>23148</v>
          </cell>
          <cell r="B2049" t="str">
            <v>NUR AFIDA</v>
          </cell>
          <cell r="C2049" t="str">
            <v>SAMI</v>
          </cell>
          <cell r="D2049" t="str">
            <v>OPT-570</v>
          </cell>
          <cell r="E2049">
            <v>43369</v>
          </cell>
          <cell r="F2049">
            <v>43399</v>
          </cell>
          <cell r="G2049">
            <v>43769</v>
          </cell>
          <cell r="H2049" t="str">
            <v>PRD</v>
          </cell>
          <cell r="I2049" t="str">
            <v>PRD</v>
          </cell>
          <cell r="J2049" t="str">
            <v>MAZDA ATENZA</v>
          </cell>
          <cell r="K2049" t="str">
            <v>MAZDA J71E IPM3</v>
          </cell>
          <cell r="L2049" t="str">
            <v>CV A06</v>
          </cell>
          <cell r="M2049" t="str">
            <v>S/A 3</v>
          </cell>
          <cell r="N2049" t="str">
            <v>SUB ASSY</v>
          </cell>
          <cell r="O2049" t="str">
            <v>B</v>
          </cell>
        </row>
        <row r="2050">
          <cell r="A2050">
            <v>23153</v>
          </cell>
          <cell r="B2050" t="str">
            <v>NURUL FAJARIYAH</v>
          </cell>
          <cell r="C2050" t="str">
            <v>SAMI</v>
          </cell>
          <cell r="D2050" t="str">
            <v>OPT-570</v>
          </cell>
          <cell r="E2050">
            <v>43369</v>
          </cell>
          <cell r="F2050">
            <v>43399</v>
          </cell>
          <cell r="G2050">
            <v>43769</v>
          </cell>
          <cell r="H2050" t="str">
            <v>PRD</v>
          </cell>
          <cell r="I2050" t="str">
            <v>PRD</v>
          </cell>
          <cell r="J2050" t="str">
            <v>MAZDA ATENZA</v>
          </cell>
          <cell r="K2050" t="str">
            <v>MAZDA J71E IPM3</v>
          </cell>
          <cell r="L2050" t="str">
            <v>CV A06</v>
          </cell>
          <cell r="M2050" t="str">
            <v>CHECKER 1A</v>
          </cell>
          <cell r="N2050" t="str">
            <v>ELECTRICAL INSPECTION</v>
          </cell>
          <cell r="O2050" t="str">
            <v>B</v>
          </cell>
        </row>
        <row r="2051">
          <cell r="A2051">
            <v>23154</v>
          </cell>
          <cell r="B2051" t="str">
            <v>NURUL HIDAYAH</v>
          </cell>
          <cell r="C2051" t="str">
            <v>SAMI</v>
          </cell>
          <cell r="D2051" t="str">
            <v>OPT-570</v>
          </cell>
          <cell r="E2051">
            <v>43369</v>
          </cell>
          <cell r="F2051">
            <v>43399</v>
          </cell>
          <cell r="G2051">
            <v>43769</v>
          </cell>
          <cell r="H2051" t="str">
            <v>PRD</v>
          </cell>
          <cell r="I2051" t="str">
            <v>PRD</v>
          </cell>
          <cell r="J2051" t="str">
            <v>MAZDA ATENZA</v>
          </cell>
          <cell r="K2051" t="str">
            <v>MAZDA J71E IPM3</v>
          </cell>
          <cell r="L2051" t="str">
            <v>CV A06</v>
          </cell>
          <cell r="M2051" t="str">
            <v>T/P 3.1</v>
          </cell>
          <cell r="N2051" t="str">
            <v>ASSEMBLY</v>
          </cell>
          <cell r="O2051" t="str">
            <v>B</v>
          </cell>
        </row>
        <row r="2052">
          <cell r="A2052">
            <v>23260</v>
          </cell>
          <cell r="B2052" t="str">
            <v>RITNA PRATI DEWI</v>
          </cell>
          <cell r="C2052" t="str">
            <v>SAMI</v>
          </cell>
          <cell r="D2052" t="str">
            <v>OPT-573</v>
          </cell>
          <cell r="E2052">
            <v>43421</v>
          </cell>
          <cell r="F2052">
            <v>43451</v>
          </cell>
          <cell r="G2052">
            <v>43830</v>
          </cell>
          <cell r="H2052" t="str">
            <v>PRD</v>
          </cell>
          <cell r="I2052" t="str">
            <v>PRD</v>
          </cell>
          <cell r="J2052" t="str">
            <v>MAZDA ATENZA</v>
          </cell>
          <cell r="K2052" t="str">
            <v>MAZDA J71E IPM3</v>
          </cell>
          <cell r="L2052" t="str">
            <v>CV A06</v>
          </cell>
          <cell r="M2052" t="str">
            <v>S/A 4</v>
          </cell>
          <cell r="N2052" t="str">
            <v>SUB ASSY</v>
          </cell>
          <cell r="O2052" t="str">
            <v>B</v>
          </cell>
        </row>
        <row r="2053">
          <cell r="A2053">
            <v>23261</v>
          </cell>
          <cell r="B2053" t="str">
            <v>RIYADHOTUL IKA NUFITA</v>
          </cell>
          <cell r="C2053" t="str">
            <v>SAMI</v>
          </cell>
          <cell r="D2053" t="str">
            <v>OPT-573</v>
          </cell>
          <cell r="E2053">
            <v>43421</v>
          </cell>
          <cell r="F2053">
            <v>43451</v>
          </cell>
          <cell r="G2053">
            <v>43830</v>
          </cell>
          <cell r="H2053" t="str">
            <v>PRD</v>
          </cell>
          <cell r="I2053" t="str">
            <v>PRD</v>
          </cell>
          <cell r="J2053" t="str">
            <v>MAZDA ATENZA</v>
          </cell>
          <cell r="K2053" t="str">
            <v>MAZDA J71E IPM3</v>
          </cell>
          <cell r="L2053" t="str">
            <v>CV A06</v>
          </cell>
          <cell r="M2053" t="str">
            <v>T/P 2</v>
          </cell>
          <cell r="N2053" t="str">
            <v>ASSEMBLY</v>
          </cell>
          <cell r="O2053" t="str">
            <v>B</v>
          </cell>
        </row>
        <row r="2054">
          <cell r="A2054">
            <v>23320</v>
          </cell>
          <cell r="B2054" t="str">
            <v>KHUSNUL KHOTIMAH</v>
          </cell>
          <cell r="C2054" t="str">
            <v>SAMI</v>
          </cell>
          <cell r="D2054" t="str">
            <v>OPT-574</v>
          </cell>
          <cell r="E2054">
            <v>43427</v>
          </cell>
          <cell r="F2054">
            <v>43457</v>
          </cell>
          <cell r="G2054">
            <v>43830</v>
          </cell>
          <cell r="H2054" t="str">
            <v>PRD</v>
          </cell>
          <cell r="I2054" t="str">
            <v>PRD</v>
          </cell>
          <cell r="J2054" t="str">
            <v>MAZDA ATENZA</v>
          </cell>
          <cell r="K2054" t="str">
            <v>MAZDA J71E IPM3</v>
          </cell>
          <cell r="L2054" t="str">
            <v>CV A06</v>
          </cell>
          <cell r="M2054" t="str">
            <v>OJT S/A 2</v>
          </cell>
          <cell r="N2054" t="str">
            <v>INTERNAL TRIAL</v>
          </cell>
          <cell r="O2054" t="str">
            <v>B</v>
          </cell>
        </row>
        <row r="2055">
          <cell r="A2055">
            <v>23443</v>
          </cell>
          <cell r="B2055" t="str">
            <v>NUR AINI</v>
          </cell>
          <cell r="C2055" t="str">
            <v>SAMI</v>
          </cell>
          <cell r="D2055" t="str">
            <v>OPT-575</v>
          </cell>
          <cell r="E2055">
            <v>43434</v>
          </cell>
          <cell r="F2055">
            <v>43464</v>
          </cell>
          <cell r="G2055">
            <v>43830</v>
          </cell>
          <cell r="H2055" t="str">
            <v>PRD</v>
          </cell>
          <cell r="I2055" t="str">
            <v>PRD</v>
          </cell>
          <cell r="J2055" t="str">
            <v>MAZDA ATENZA</v>
          </cell>
          <cell r="K2055" t="str">
            <v>MAZDA J71E IPM3</v>
          </cell>
          <cell r="L2055" t="str">
            <v>CV A06</v>
          </cell>
          <cell r="M2055" t="str">
            <v>S/T 2.1</v>
          </cell>
          <cell r="N2055" t="str">
            <v>ASSEMBLY</v>
          </cell>
          <cell r="O2055" t="str">
            <v>B</v>
          </cell>
        </row>
        <row r="2056">
          <cell r="A2056">
            <v>23479</v>
          </cell>
          <cell r="B2056" t="str">
            <v>ULFATUS SOLEKHAH</v>
          </cell>
          <cell r="C2056" t="str">
            <v>SAMI</v>
          </cell>
          <cell r="D2056" t="str">
            <v>OPT-575</v>
          </cell>
          <cell r="E2056">
            <v>43434</v>
          </cell>
          <cell r="F2056">
            <v>43464</v>
          </cell>
          <cell r="G2056">
            <v>43830</v>
          </cell>
          <cell r="H2056" t="str">
            <v>PRD</v>
          </cell>
          <cell r="I2056" t="str">
            <v>PRD</v>
          </cell>
          <cell r="J2056" t="str">
            <v>MAZDA ATENZA</v>
          </cell>
          <cell r="K2056" t="str">
            <v>MAZDA J71E IPM3</v>
          </cell>
          <cell r="L2056" t="str">
            <v>CV A06</v>
          </cell>
          <cell r="M2056" t="str">
            <v>T/P 4.2</v>
          </cell>
          <cell r="N2056" t="str">
            <v>ASSEMBLY</v>
          </cell>
          <cell r="O2056" t="str">
            <v>B</v>
          </cell>
        </row>
        <row r="2057">
          <cell r="A2057">
            <v>23520</v>
          </cell>
          <cell r="B2057" t="str">
            <v>SHOLEKAH</v>
          </cell>
          <cell r="C2057" t="str">
            <v>SAMI</v>
          </cell>
          <cell r="D2057" t="str">
            <v>OPT-576</v>
          </cell>
          <cell r="E2057">
            <v>43441</v>
          </cell>
          <cell r="F2057">
            <v>43472</v>
          </cell>
          <cell r="G2057">
            <v>43830</v>
          </cell>
          <cell r="H2057" t="str">
            <v>PRD</v>
          </cell>
          <cell r="I2057" t="str">
            <v>PRD</v>
          </cell>
          <cell r="J2057" t="str">
            <v>MAZDA ATENZA</v>
          </cell>
          <cell r="K2057" t="str">
            <v>MAZDA J71E IPM3</v>
          </cell>
          <cell r="L2057" t="str">
            <v>CV A06</v>
          </cell>
          <cell r="M2057" t="str">
            <v>OJT</v>
          </cell>
          <cell r="N2057" t="str">
            <v>INTERNAL TRIAL</v>
          </cell>
          <cell r="O2057" t="str">
            <v>B</v>
          </cell>
        </row>
        <row r="2058">
          <cell r="A2058" t="str">
            <v>B00203</v>
          </cell>
          <cell r="B2058" t="str">
            <v>KOYIMAH</v>
          </cell>
          <cell r="C2058" t="str">
            <v>SAMI</v>
          </cell>
          <cell r="D2058" t="str">
            <v>BBF-004</v>
          </cell>
          <cell r="E2058">
            <v>40847</v>
          </cell>
          <cell r="F2058" t="str">
            <v>-</v>
          </cell>
          <cell r="G2058" t="str">
            <v>-</v>
          </cell>
          <cell r="H2058" t="str">
            <v>PRD</v>
          </cell>
          <cell r="I2058" t="str">
            <v>PRD</v>
          </cell>
          <cell r="J2058" t="str">
            <v>MAZDA ATENZA</v>
          </cell>
          <cell r="K2058" t="str">
            <v>MAZDA J71E IPM3</v>
          </cell>
          <cell r="L2058" t="str">
            <v>CV A06</v>
          </cell>
          <cell r="M2058" t="str">
            <v>VISUAL 01</v>
          </cell>
          <cell r="N2058" t="str">
            <v>VISUAL INSPECTION</v>
          </cell>
          <cell r="O2058" t="str">
            <v>B</v>
          </cell>
        </row>
        <row r="2059">
          <cell r="A2059" t="str">
            <v>B01144</v>
          </cell>
          <cell r="B2059" t="str">
            <v>JAROH DWI HANDAYANI</v>
          </cell>
          <cell r="C2059" t="str">
            <v>SAMI</v>
          </cell>
          <cell r="D2059" t="str">
            <v>BBF-030</v>
          </cell>
          <cell r="E2059">
            <v>41165</v>
          </cell>
          <cell r="F2059" t="str">
            <v>-</v>
          </cell>
          <cell r="G2059" t="str">
            <v>-</v>
          </cell>
          <cell r="H2059" t="str">
            <v>PRD</v>
          </cell>
          <cell r="I2059" t="str">
            <v>PRD</v>
          </cell>
          <cell r="J2059" t="str">
            <v>MAZDA ATENZA</v>
          </cell>
          <cell r="K2059" t="str">
            <v>MAZDA J71E IPM3</v>
          </cell>
          <cell r="L2059" t="str">
            <v>CV A06</v>
          </cell>
          <cell r="M2059" t="str">
            <v>S/A 5.1</v>
          </cell>
          <cell r="N2059" t="str">
            <v>SUB ASSY</v>
          </cell>
          <cell r="O2059" t="str">
            <v>B</v>
          </cell>
        </row>
        <row r="2060">
          <cell r="A2060" t="str">
            <v>B01614</v>
          </cell>
          <cell r="B2060" t="str">
            <v>DEFI AYU WIDYAWATI</v>
          </cell>
          <cell r="C2060" t="str">
            <v>SAMI</v>
          </cell>
          <cell r="D2060" t="str">
            <v>BBF-058</v>
          </cell>
          <cell r="E2060">
            <v>41396</v>
          </cell>
          <cell r="F2060" t="str">
            <v>-</v>
          </cell>
          <cell r="G2060" t="str">
            <v>-</v>
          </cell>
          <cell r="H2060" t="str">
            <v>PRD</v>
          </cell>
          <cell r="I2060" t="str">
            <v>PRD</v>
          </cell>
          <cell r="J2060" t="str">
            <v>MAZDA ATENZA</v>
          </cell>
          <cell r="K2060" t="str">
            <v>MAZDA J71E IPM3</v>
          </cell>
          <cell r="L2060" t="str">
            <v>CV A06</v>
          </cell>
          <cell r="M2060" t="str">
            <v>S/T 2.2</v>
          </cell>
          <cell r="N2060" t="str">
            <v>ASSEMBLY</v>
          </cell>
          <cell r="O2060" t="str">
            <v>B</v>
          </cell>
        </row>
        <row r="2061">
          <cell r="A2061">
            <v>23582</v>
          </cell>
          <cell r="B2061" t="str">
            <v xml:space="preserve">RENATA NOOR JULYANA </v>
          </cell>
          <cell r="C2061" t="str">
            <v>SAMI</v>
          </cell>
          <cell r="D2061" t="str">
            <v>OPT-577</v>
          </cell>
          <cell r="E2061">
            <v>43452</v>
          </cell>
          <cell r="F2061">
            <v>43483</v>
          </cell>
          <cell r="G2061">
            <v>43861</v>
          </cell>
          <cell r="H2061" t="str">
            <v>PRD</v>
          </cell>
          <cell r="I2061" t="str">
            <v>PRD</v>
          </cell>
          <cell r="J2061" t="str">
            <v>MAZDA ATENZA</v>
          </cell>
          <cell r="K2061" t="str">
            <v>MAZDA J71E IPM3</v>
          </cell>
          <cell r="L2061" t="str">
            <v>CV A06</v>
          </cell>
          <cell r="M2061" t="str">
            <v>OJT</v>
          </cell>
          <cell r="N2061" t="str">
            <v>INTERNAL TRIAL</v>
          </cell>
          <cell r="O2061" t="str">
            <v>B</v>
          </cell>
        </row>
        <row r="2062">
          <cell r="A2062" t="str">
            <v>M23616</v>
          </cell>
          <cell r="B2062" t="str">
            <v xml:space="preserve">DWI PURWANTI </v>
          </cell>
          <cell r="C2062" t="str">
            <v>SAMI</v>
          </cell>
          <cell r="D2062" t="str">
            <v>OPT-578</v>
          </cell>
          <cell r="E2062">
            <v>43467</v>
          </cell>
          <cell r="F2062">
            <v>43467</v>
          </cell>
          <cell r="G2062">
            <v>43497</v>
          </cell>
          <cell r="H2062" t="str">
            <v>PRD</v>
          </cell>
          <cell r="I2062" t="str">
            <v>PRD</v>
          </cell>
          <cell r="J2062" t="str">
            <v>MAZDA ATENZA</v>
          </cell>
          <cell r="K2062" t="str">
            <v>MAZDA J71E IPM3</v>
          </cell>
          <cell r="L2062" t="str">
            <v>CV A06</v>
          </cell>
          <cell r="M2062" t="str">
            <v>OJT</v>
          </cell>
          <cell r="N2062" t="str">
            <v>INTERNAL TRIAL</v>
          </cell>
          <cell r="O2062" t="str">
            <v>B</v>
          </cell>
        </row>
        <row r="2063">
          <cell r="A2063" t="str">
            <v>M23627</v>
          </cell>
          <cell r="B2063" t="str">
            <v>MEGA OKTA SIFA'ATI</v>
          </cell>
          <cell r="C2063" t="str">
            <v>SAMI</v>
          </cell>
          <cell r="D2063" t="str">
            <v>OPT-578</v>
          </cell>
          <cell r="E2063">
            <v>43467</v>
          </cell>
          <cell r="F2063">
            <v>43467</v>
          </cell>
          <cell r="G2063">
            <v>43497</v>
          </cell>
          <cell r="H2063" t="str">
            <v>PRD</v>
          </cell>
          <cell r="I2063" t="str">
            <v>PRD</v>
          </cell>
          <cell r="J2063" t="str">
            <v>MAZDA ATENZA</v>
          </cell>
          <cell r="K2063" t="str">
            <v>MAZDA J71E IPM3</v>
          </cell>
          <cell r="L2063" t="str">
            <v>CV A06</v>
          </cell>
          <cell r="M2063" t="str">
            <v>OJT</v>
          </cell>
          <cell r="N2063" t="str">
            <v>INTERNAL TRIAL</v>
          </cell>
          <cell r="O2063" t="str">
            <v>B</v>
          </cell>
        </row>
        <row r="2064">
          <cell r="A2064">
            <v>22931</v>
          </cell>
          <cell r="B2064" t="str">
            <v>FERAWATI</v>
          </cell>
          <cell r="C2064" t="str">
            <v>SAMI</v>
          </cell>
          <cell r="D2064" t="str">
            <v>OPT-568</v>
          </cell>
          <cell r="E2064">
            <v>43343</v>
          </cell>
          <cell r="F2064">
            <v>43374</v>
          </cell>
          <cell r="G2064">
            <v>43738</v>
          </cell>
          <cell r="H2064" t="str">
            <v>PRD</v>
          </cell>
          <cell r="I2064" t="str">
            <v>PRD</v>
          </cell>
          <cell r="J2064" t="str">
            <v>MAZDA ATENZA</v>
          </cell>
          <cell r="K2064" t="str">
            <v>MAZDA J71E IPM3</v>
          </cell>
          <cell r="L2064" t="str">
            <v>CV A07</v>
          </cell>
          <cell r="M2064" t="str">
            <v>OJT T/P 3.1</v>
          </cell>
          <cell r="N2064" t="str">
            <v>INTERNAL TRIAL</v>
          </cell>
          <cell r="O2064" t="str">
            <v>A</v>
          </cell>
        </row>
        <row r="2065">
          <cell r="A2065">
            <v>23182</v>
          </cell>
          <cell r="B2065" t="str">
            <v>YULIA WIDYA NINGSIH</v>
          </cell>
          <cell r="C2065" t="str">
            <v>SAMI</v>
          </cell>
          <cell r="D2065" t="str">
            <v>OPT-570</v>
          </cell>
          <cell r="E2065">
            <v>43369</v>
          </cell>
          <cell r="F2065">
            <v>43399</v>
          </cell>
          <cell r="G2065">
            <v>43769</v>
          </cell>
          <cell r="H2065" t="str">
            <v>PRD</v>
          </cell>
          <cell r="I2065" t="str">
            <v>PRD</v>
          </cell>
          <cell r="J2065" t="str">
            <v>MAZDA ATENZA</v>
          </cell>
          <cell r="K2065" t="str">
            <v>MAZDA J71E IPM3</v>
          </cell>
          <cell r="L2065" t="str">
            <v>CV A07</v>
          </cell>
          <cell r="M2065" t="str">
            <v>OJT OFFLINE 01</v>
          </cell>
          <cell r="N2065" t="str">
            <v>INTERNAL TRIAL</v>
          </cell>
          <cell r="O2065" t="str">
            <v>A</v>
          </cell>
        </row>
        <row r="2066">
          <cell r="A2066" t="str">
            <v>M23626</v>
          </cell>
          <cell r="B2066" t="str">
            <v>LUPITA SARI</v>
          </cell>
          <cell r="C2066" t="str">
            <v>SAMI</v>
          </cell>
          <cell r="D2066" t="str">
            <v>OPT-578</v>
          </cell>
          <cell r="E2066">
            <v>43467</v>
          </cell>
          <cell r="F2066">
            <v>43467</v>
          </cell>
          <cell r="G2066">
            <v>43497</v>
          </cell>
          <cell r="H2066" t="str">
            <v>PRD</v>
          </cell>
          <cell r="I2066" t="str">
            <v>PRD</v>
          </cell>
          <cell r="J2066" t="str">
            <v>MAZDA ATENZA</v>
          </cell>
          <cell r="K2066" t="str">
            <v>MAZDA J71E IPM3</v>
          </cell>
          <cell r="L2066" t="str">
            <v>CV A07</v>
          </cell>
          <cell r="M2066" t="str">
            <v>OJT TPO</v>
          </cell>
          <cell r="N2066" t="str">
            <v>INTERNAL TRIAL</v>
          </cell>
          <cell r="O2066" t="str">
            <v>A</v>
          </cell>
        </row>
        <row r="2067">
          <cell r="A2067" t="str">
            <v>M23639</v>
          </cell>
          <cell r="B2067" t="str">
            <v>SITI WAHIDAH</v>
          </cell>
          <cell r="C2067" t="str">
            <v>SAMI</v>
          </cell>
          <cell r="D2067" t="str">
            <v>OPT-578</v>
          </cell>
          <cell r="E2067">
            <v>43467</v>
          </cell>
          <cell r="F2067">
            <v>43467</v>
          </cell>
          <cell r="G2067">
            <v>43497</v>
          </cell>
          <cell r="H2067" t="str">
            <v>PRD</v>
          </cell>
          <cell r="I2067" t="str">
            <v>PRD</v>
          </cell>
          <cell r="J2067" t="str">
            <v>MAZDA ATENZA</v>
          </cell>
          <cell r="K2067" t="str">
            <v>MAZDA J71E IPM3</v>
          </cell>
          <cell r="L2067" t="str">
            <v>CV A07</v>
          </cell>
          <cell r="M2067" t="str">
            <v>OJT</v>
          </cell>
          <cell r="N2067" t="str">
            <v>INTERNAL TRIAL</v>
          </cell>
          <cell r="O2067" t="str">
            <v>A</v>
          </cell>
        </row>
        <row r="2068">
          <cell r="A2068">
            <v>5479</v>
          </cell>
          <cell r="B2068" t="str">
            <v>SURYA HINDRIYANI</v>
          </cell>
          <cell r="C2068" t="str">
            <v>SAMI</v>
          </cell>
          <cell r="D2068" t="str">
            <v>ADM-28</v>
          </cell>
          <cell r="E2068">
            <v>38991</v>
          </cell>
          <cell r="F2068" t="str">
            <v>-</v>
          </cell>
          <cell r="G2068" t="str">
            <v>-</v>
          </cell>
          <cell r="H2068" t="str">
            <v>PRD</v>
          </cell>
          <cell r="I2068" t="str">
            <v>PRD</v>
          </cell>
          <cell r="J2068" t="str">
            <v>MAZDA ATENZA</v>
          </cell>
          <cell r="K2068" t="str">
            <v>MAZDA J71E IPM3</v>
          </cell>
          <cell r="L2068" t="str">
            <v>CV A07</v>
          </cell>
          <cell r="M2068" t="str">
            <v>S/A 6</v>
          </cell>
          <cell r="N2068" t="str">
            <v>SUB ASSY</v>
          </cell>
          <cell r="O2068" t="str">
            <v>A (NS)</v>
          </cell>
        </row>
        <row r="2069">
          <cell r="A2069">
            <v>8832</v>
          </cell>
          <cell r="B2069" t="str">
            <v>LIA EKOWATI</v>
          </cell>
          <cell r="C2069" t="str">
            <v>SAMI</v>
          </cell>
          <cell r="D2069" t="str">
            <v>OPT-195</v>
          </cell>
          <cell r="E2069">
            <v>39937</v>
          </cell>
          <cell r="F2069" t="str">
            <v>-</v>
          </cell>
          <cell r="G2069" t="str">
            <v>-</v>
          </cell>
          <cell r="H2069" t="str">
            <v>PRD</v>
          </cell>
          <cell r="I2069" t="str">
            <v>PRD</v>
          </cell>
          <cell r="J2069" t="str">
            <v>MAZDA ATENZA</v>
          </cell>
          <cell r="K2069" t="str">
            <v>MAZDA J71E IPM3</v>
          </cell>
          <cell r="L2069" t="str">
            <v>CV A07</v>
          </cell>
          <cell r="M2069" t="str">
            <v>T/P SP</v>
          </cell>
          <cell r="N2069" t="str">
            <v>ASSEMBLY</v>
          </cell>
          <cell r="O2069" t="str">
            <v>A (NS)</v>
          </cell>
        </row>
        <row r="2070">
          <cell r="A2070">
            <v>9057</v>
          </cell>
          <cell r="B2070" t="str">
            <v>ANIS NUR HIDAYATI</v>
          </cell>
          <cell r="C2070" t="str">
            <v>SAMI</v>
          </cell>
          <cell r="D2070" t="str">
            <v>OPT-203</v>
          </cell>
          <cell r="E2070">
            <v>39993</v>
          </cell>
          <cell r="F2070" t="str">
            <v>-</v>
          </cell>
          <cell r="G2070" t="str">
            <v>-</v>
          </cell>
          <cell r="H2070" t="str">
            <v>PRD</v>
          </cell>
          <cell r="I2070" t="str">
            <v>PRD</v>
          </cell>
          <cell r="J2070" t="str">
            <v>MAZDA ATENZA</v>
          </cell>
          <cell r="K2070" t="str">
            <v>MAZDA J71E IPM3</v>
          </cell>
          <cell r="L2070" t="str">
            <v>CV A07</v>
          </cell>
          <cell r="M2070" t="str">
            <v>SUB LINE CHO</v>
          </cell>
          <cell r="N2070" t="str">
            <v>GL</v>
          </cell>
          <cell r="O2070" t="str">
            <v>A (NS)</v>
          </cell>
        </row>
        <row r="2071">
          <cell r="A2071">
            <v>9872</v>
          </cell>
          <cell r="B2071" t="str">
            <v>SIFA'UL MUYASSAROH</v>
          </cell>
          <cell r="C2071" t="str">
            <v>SAMI</v>
          </cell>
          <cell r="D2071" t="str">
            <v>OPT-240</v>
          </cell>
          <cell r="E2071">
            <v>40411</v>
          </cell>
          <cell r="F2071" t="str">
            <v>-</v>
          </cell>
          <cell r="G2071" t="str">
            <v>-</v>
          </cell>
          <cell r="H2071" t="str">
            <v>PRD</v>
          </cell>
          <cell r="I2071" t="str">
            <v>PRD</v>
          </cell>
          <cell r="J2071" t="str">
            <v>MAZDA ATENZA</v>
          </cell>
          <cell r="K2071" t="str">
            <v>MAZDA J71E IPM3</v>
          </cell>
          <cell r="L2071" t="str">
            <v>CV A07</v>
          </cell>
          <cell r="M2071" t="str">
            <v>T/P 6</v>
          </cell>
          <cell r="N2071" t="str">
            <v>ASSEMBLY</v>
          </cell>
          <cell r="O2071" t="str">
            <v>A (NS)</v>
          </cell>
        </row>
        <row r="2072">
          <cell r="A2072">
            <v>10291</v>
          </cell>
          <cell r="B2072" t="str">
            <v>ROHAYATI SAKDANAH</v>
          </cell>
          <cell r="C2072" t="str">
            <v>SAMI</v>
          </cell>
          <cell r="D2072" t="str">
            <v>OPT-263</v>
          </cell>
          <cell r="E2072">
            <v>40504</v>
          </cell>
          <cell r="F2072" t="str">
            <v>-</v>
          </cell>
          <cell r="G2072" t="str">
            <v>-</v>
          </cell>
          <cell r="H2072" t="str">
            <v>PRD</v>
          </cell>
          <cell r="I2072" t="str">
            <v>PRD</v>
          </cell>
          <cell r="J2072" t="str">
            <v>MAZDA ATENZA</v>
          </cell>
          <cell r="K2072" t="str">
            <v>MAZDA J71E IPM3</v>
          </cell>
          <cell r="L2072" t="str">
            <v>CV A07</v>
          </cell>
          <cell r="M2072" t="str">
            <v>S/A 1.2</v>
          </cell>
          <cell r="N2072" t="str">
            <v>SUB ASSY</v>
          </cell>
          <cell r="O2072" t="str">
            <v>A (NS)</v>
          </cell>
        </row>
        <row r="2073">
          <cell r="A2073">
            <v>10466</v>
          </cell>
          <cell r="B2073" t="str">
            <v>NUR CHOLIDAH</v>
          </cell>
          <cell r="C2073" t="str">
            <v>SAMI</v>
          </cell>
          <cell r="D2073" t="str">
            <v>OPT-270</v>
          </cell>
          <cell r="E2073">
            <v>40524</v>
          </cell>
          <cell r="F2073" t="str">
            <v>-</v>
          </cell>
          <cell r="G2073" t="str">
            <v>-</v>
          </cell>
          <cell r="H2073" t="str">
            <v>PRD</v>
          </cell>
          <cell r="I2073" t="str">
            <v>PRD</v>
          </cell>
          <cell r="J2073" t="str">
            <v>MAZDA ATENZA</v>
          </cell>
          <cell r="K2073" t="str">
            <v>MAZDA J71E IPM3</v>
          </cell>
          <cell r="L2073" t="str">
            <v>CV A07</v>
          </cell>
          <cell r="M2073" t="str">
            <v>LQC</v>
          </cell>
          <cell r="N2073" t="str">
            <v>RELIEF</v>
          </cell>
          <cell r="O2073" t="str">
            <v>A (NS)</v>
          </cell>
        </row>
        <row r="2074">
          <cell r="A2074">
            <v>10488</v>
          </cell>
          <cell r="B2074" t="str">
            <v>TRIYANTI</v>
          </cell>
          <cell r="C2074" t="str">
            <v>SAMI</v>
          </cell>
          <cell r="D2074" t="str">
            <v>OPT-270</v>
          </cell>
          <cell r="E2074">
            <v>40524</v>
          </cell>
          <cell r="F2074" t="str">
            <v>-</v>
          </cell>
          <cell r="G2074" t="str">
            <v>-</v>
          </cell>
          <cell r="H2074" t="str">
            <v>PRD</v>
          </cell>
          <cell r="I2074" t="str">
            <v>PRD</v>
          </cell>
          <cell r="J2074" t="str">
            <v>MAZDA ATENZA</v>
          </cell>
          <cell r="K2074" t="str">
            <v>MAZDA J71E IPM3</v>
          </cell>
          <cell r="L2074" t="str">
            <v>CV A07</v>
          </cell>
          <cell r="M2074" t="str">
            <v>S/T 2.1</v>
          </cell>
          <cell r="N2074" t="str">
            <v>ASSEMBLY</v>
          </cell>
          <cell r="O2074" t="str">
            <v>A (NS)</v>
          </cell>
        </row>
        <row r="2075">
          <cell r="A2075">
            <v>10751</v>
          </cell>
          <cell r="B2075" t="str">
            <v>RETNO WULAN SETYANINGRUM</v>
          </cell>
          <cell r="C2075" t="str">
            <v>SAMI</v>
          </cell>
          <cell r="D2075" t="str">
            <v>OPT-281</v>
          </cell>
          <cell r="E2075">
            <v>40566</v>
          </cell>
          <cell r="F2075" t="str">
            <v>-</v>
          </cell>
          <cell r="G2075" t="str">
            <v>-</v>
          </cell>
          <cell r="H2075" t="str">
            <v>PRD</v>
          </cell>
          <cell r="I2075" t="str">
            <v>PRD</v>
          </cell>
          <cell r="J2075" t="str">
            <v>MAZDA ATENZA</v>
          </cell>
          <cell r="K2075" t="str">
            <v>MAZDA J71E IPM3</v>
          </cell>
          <cell r="L2075" t="str">
            <v>CV A07</v>
          </cell>
          <cell r="M2075" t="str">
            <v>S/T 4</v>
          </cell>
          <cell r="N2075" t="str">
            <v>ASSEMBLY</v>
          </cell>
          <cell r="O2075" t="str">
            <v>A (NS)</v>
          </cell>
        </row>
        <row r="2076">
          <cell r="A2076">
            <v>11329</v>
          </cell>
          <cell r="B2076" t="str">
            <v>SITI MARFUAH</v>
          </cell>
          <cell r="C2076" t="str">
            <v>SAMI</v>
          </cell>
          <cell r="D2076" t="str">
            <v>OPT-300</v>
          </cell>
          <cell r="E2076">
            <v>40666</v>
          </cell>
          <cell r="F2076" t="str">
            <v>-</v>
          </cell>
          <cell r="G2076" t="str">
            <v>-</v>
          </cell>
          <cell r="H2076" t="str">
            <v>PRD</v>
          </cell>
          <cell r="I2076" t="str">
            <v>PRD</v>
          </cell>
          <cell r="J2076" t="str">
            <v>MAZDA ATENZA</v>
          </cell>
          <cell r="K2076" t="str">
            <v>MAZDA J71E IPM3</v>
          </cell>
          <cell r="L2076" t="str">
            <v>CV A07</v>
          </cell>
          <cell r="M2076" t="str">
            <v>T/P 5</v>
          </cell>
          <cell r="N2076" t="str">
            <v>ASSEMBLY</v>
          </cell>
          <cell r="O2076" t="str">
            <v>A (NS)</v>
          </cell>
        </row>
        <row r="2077">
          <cell r="A2077">
            <v>11436</v>
          </cell>
          <cell r="B2077" t="str">
            <v>HANI ANUNG MURTINI</v>
          </cell>
          <cell r="C2077" t="str">
            <v>SAMI</v>
          </cell>
          <cell r="D2077" t="str">
            <v>OPT-306</v>
          </cell>
          <cell r="E2077">
            <v>40701</v>
          </cell>
          <cell r="F2077" t="str">
            <v>-</v>
          </cell>
          <cell r="G2077" t="str">
            <v>-</v>
          </cell>
          <cell r="H2077" t="str">
            <v>PRD</v>
          </cell>
          <cell r="I2077" t="str">
            <v>PRD</v>
          </cell>
          <cell r="J2077" t="str">
            <v>MAZDA ATENZA</v>
          </cell>
          <cell r="K2077" t="str">
            <v>MAZDA J71E IPM3</v>
          </cell>
          <cell r="L2077" t="str">
            <v>CV A07</v>
          </cell>
          <cell r="M2077" t="str">
            <v>S/T 1.1</v>
          </cell>
          <cell r="N2077" t="str">
            <v>ASSEMBLY</v>
          </cell>
          <cell r="O2077" t="str">
            <v>A (NS)</v>
          </cell>
        </row>
        <row r="2078">
          <cell r="A2078">
            <v>11496</v>
          </cell>
          <cell r="B2078" t="str">
            <v>TRI NOVITA SARI</v>
          </cell>
          <cell r="C2078" t="str">
            <v>SAMI</v>
          </cell>
          <cell r="D2078" t="str">
            <v>OPT-306</v>
          </cell>
          <cell r="E2078">
            <v>40701</v>
          </cell>
          <cell r="F2078" t="str">
            <v>-</v>
          </cell>
          <cell r="G2078" t="str">
            <v>-</v>
          </cell>
          <cell r="H2078" t="str">
            <v>PRD</v>
          </cell>
          <cell r="I2078" t="str">
            <v>PRD</v>
          </cell>
          <cell r="J2078" t="str">
            <v>MAZDA ATENZA</v>
          </cell>
          <cell r="K2078" t="str">
            <v>MAZDA J71E IPM3</v>
          </cell>
          <cell r="L2078" t="str">
            <v>CV A07</v>
          </cell>
          <cell r="M2078" t="str">
            <v>SUB LINE CHO</v>
          </cell>
          <cell r="N2078" t="str">
            <v>GL</v>
          </cell>
          <cell r="O2078" t="str">
            <v>A (NS)</v>
          </cell>
        </row>
        <row r="2079">
          <cell r="A2079">
            <v>12677</v>
          </cell>
          <cell r="B2079" t="str">
            <v>MIFTAKUL KHOIR</v>
          </cell>
          <cell r="C2079" t="str">
            <v>SAMI</v>
          </cell>
          <cell r="D2079" t="str">
            <v>OPT-320</v>
          </cell>
          <cell r="E2079">
            <v>40819</v>
          </cell>
          <cell r="F2079" t="str">
            <v>-</v>
          </cell>
          <cell r="G2079" t="str">
            <v>-</v>
          </cell>
          <cell r="H2079" t="str">
            <v>PRD</v>
          </cell>
          <cell r="I2079" t="str">
            <v>PRD</v>
          </cell>
          <cell r="J2079" t="str">
            <v>MAZDA ATENZA</v>
          </cell>
          <cell r="K2079" t="str">
            <v>MAZDA J71E IPM3</v>
          </cell>
          <cell r="L2079" t="str">
            <v>CV A07</v>
          </cell>
          <cell r="M2079" t="str">
            <v>VISUAL</v>
          </cell>
          <cell r="N2079" t="str">
            <v>VISUAL INSPECTION</v>
          </cell>
          <cell r="O2079" t="str">
            <v>A (NS)</v>
          </cell>
        </row>
        <row r="2080">
          <cell r="A2080">
            <v>17448</v>
          </cell>
          <cell r="B2080" t="str">
            <v>KHIKMATUS SHOLIKHAH</v>
          </cell>
          <cell r="C2080" t="str">
            <v>SAMI</v>
          </cell>
          <cell r="D2080" t="str">
            <v>OPT-443</v>
          </cell>
          <cell r="E2080">
            <v>41778</v>
          </cell>
          <cell r="F2080" t="str">
            <v>-</v>
          </cell>
          <cell r="G2080" t="str">
            <v>-</v>
          </cell>
          <cell r="H2080" t="str">
            <v>PRD</v>
          </cell>
          <cell r="I2080" t="str">
            <v>PRD</v>
          </cell>
          <cell r="J2080" t="str">
            <v>MAZDA ATENZA</v>
          </cell>
          <cell r="K2080" t="str">
            <v>MAZDA J71E IPM3</v>
          </cell>
          <cell r="L2080" t="str">
            <v>CV A07</v>
          </cell>
          <cell r="M2080" t="str">
            <v>S/A 9</v>
          </cell>
          <cell r="N2080" t="str">
            <v>SUB ASSY</v>
          </cell>
          <cell r="O2080" t="str">
            <v>A (NS)</v>
          </cell>
        </row>
        <row r="2081">
          <cell r="A2081">
            <v>20462</v>
          </cell>
          <cell r="B2081" t="str">
            <v>FEBRI HANDAYANI</v>
          </cell>
          <cell r="C2081" t="str">
            <v>SAMI</v>
          </cell>
          <cell r="D2081" t="str">
            <v>OPT-504</v>
          </cell>
          <cell r="E2081">
            <v>42634</v>
          </cell>
          <cell r="F2081">
            <v>43132</v>
          </cell>
          <cell r="G2081">
            <v>43496</v>
          </cell>
          <cell r="H2081" t="str">
            <v>PRD</v>
          </cell>
          <cell r="I2081" t="str">
            <v>PRD</v>
          </cell>
          <cell r="J2081" t="str">
            <v>MAZDA ATENZA</v>
          </cell>
          <cell r="K2081" t="str">
            <v>MAZDA J71E IPM3</v>
          </cell>
          <cell r="L2081" t="str">
            <v>CV A07</v>
          </cell>
          <cell r="M2081" t="str">
            <v>S/T SP</v>
          </cell>
          <cell r="N2081" t="str">
            <v>ASSEMBLY</v>
          </cell>
          <cell r="O2081" t="str">
            <v>A (NS)</v>
          </cell>
        </row>
        <row r="2082">
          <cell r="A2082">
            <v>20463</v>
          </cell>
          <cell r="B2082" t="str">
            <v>FIQI INAYATUS SA'ADAH</v>
          </cell>
          <cell r="C2082" t="str">
            <v>SAMI</v>
          </cell>
          <cell r="D2082" t="str">
            <v>OPT-504</v>
          </cell>
          <cell r="E2082">
            <v>42634</v>
          </cell>
          <cell r="F2082">
            <v>43132</v>
          </cell>
          <cell r="G2082">
            <v>43496</v>
          </cell>
          <cell r="H2082" t="str">
            <v>PRD</v>
          </cell>
          <cell r="I2082" t="str">
            <v>PRD</v>
          </cell>
          <cell r="J2082" t="str">
            <v>MAZDA ATENZA</v>
          </cell>
          <cell r="K2082" t="str">
            <v>MAZDA J71E IPM3</v>
          </cell>
          <cell r="L2082" t="str">
            <v>CV A07</v>
          </cell>
          <cell r="M2082" t="str">
            <v>T/P 3.2</v>
          </cell>
          <cell r="N2082" t="str">
            <v>ASSEMBLY</v>
          </cell>
          <cell r="O2082" t="str">
            <v>A (NS)</v>
          </cell>
        </row>
        <row r="2083">
          <cell r="A2083">
            <v>20650</v>
          </cell>
          <cell r="B2083" t="str">
            <v xml:space="preserve">SARTINI </v>
          </cell>
          <cell r="C2083" t="str">
            <v>SAMI</v>
          </cell>
          <cell r="D2083" t="str">
            <v>OPT-505</v>
          </cell>
          <cell r="E2083">
            <v>42639</v>
          </cell>
          <cell r="F2083">
            <v>43132</v>
          </cell>
          <cell r="G2083">
            <v>43496</v>
          </cell>
          <cell r="H2083" t="str">
            <v>PRD</v>
          </cell>
          <cell r="I2083" t="str">
            <v>PRD</v>
          </cell>
          <cell r="J2083" t="str">
            <v>MAZDA ATENZA</v>
          </cell>
          <cell r="K2083" t="str">
            <v>MAZDA J71E IPM3</v>
          </cell>
          <cell r="L2083" t="str">
            <v>CV A07</v>
          </cell>
          <cell r="M2083" t="str">
            <v>CIRCUIT SUPPLIER</v>
          </cell>
          <cell r="N2083" t="str">
            <v>CIRCUIT SUPPLY</v>
          </cell>
          <cell r="O2083" t="str">
            <v>A (NS)</v>
          </cell>
        </row>
        <row r="2084">
          <cell r="A2084">
            <v>20718</v>
          </cell>
          <cell r="B2084" t="str">
            <v>ANILA SUSANTI</v>
          </cell>
          <cell r="C2084" t="str">
            <v>SAMI</v>
          </cell>
          <cell r="D2084" t="str">
            <v>OPT-506</v>
          </cell>
          <cell r="E2084">
            <v>42642</v>
          </cell>
          <cell r="F2084">
            <v>43132</v>
          </cell>
          <cell r="G2084">
            <v>43496</v>
          </cell>
          <cell r="H2084" t="str">
            <v>PRD</v>
          </cell>
          <cell r="I2084" t="str">
            <v>PRD</v>
          </cell>
          <cell r="J2084" t="str">
            <v>MAZDA ATENZA</v>
          </cell>
          <cell r="K2084" t="str">
            <v>MAZDA J71E IPM3</v>
          </cell>
          <cell r="L2084" t="str">
            <v>CV A07</v>
          </cell>
          <cell r="M2084" t="str">
            <v>OFFLINE 1</v>
          </cell>
          <cell r="N2084" t="str">
            <v>ASSEMBLY</v>
          </cell>
          <cell r="O2084" t="str">
            <v>A (NS)</v>
          </cell>
        </row>
        <row r="2085">
          <cell r="A2085">
            <v>20769</v>
          </cell>
          <cell r="B2085" t="str">
            <v xml:space="preserve">ULAN SARI </v>
          </cell>
          <cell r="C2085" t="str">
            <v>SAMI</v>
          </cell>
          <cell r="D2085" t="str">
            <v>OPT-506</v>
          </cell>
          <cell r="E2085">
            <v>42642</v>
          </cell>
          <cell r="F2085">
            <v>43132</v>
          </cell>
          <cell r="G2085">
            <v>43496</v>
          </cell>
          <cell r="H2085" t="str">
            <v>PRD</v>
          </cell>
          <cell r="I2085" t="str">
            <v>PRD</v>
          </cell>
          <cell r="J2085" t="str">
            <v>MAZDA ATENZA</v>
          </cell>
          <cell r="K2085" t="str">
            <v>MAZDA J71E IPM3</v>
          </cell>
          <cell r="L2085" t="str">
            <v>CV A07</v>
          </cell>
          <cell r="M2085" t="str">
            <v>TPO</v>
          </cell>
          <cell r="N2085" t="str">
            <v>VISUAL INSPECTION</v>
          </cell>
          <cell r="O2085" t="str">
            <v>A (NS)</v>
          </cell>
        </row>
        <row r="2086">
          <cell r="A2086">
            <v>20925</v>
          </cell>
          <cell r="B2086" t="str">
            <v>ALMA DEWI AMBARWATI</v>
          </cell>
          <cell r="C2086" t="str">
            <v>SAMI</v>
          </cell>
          <cell r="D2086" t="str">
            <v>OPT-511</v>
          </cell>
          <cell r="E2086">
            <v>42667</v>
          </cell>
          <cell r="F2086">
            <v>43160</v>
          </cell>
          <cell r="G2086">
            <v>43524</v>
          </cell>
          <cell r="H2086" t="str">
            <v>PRD</v>
          </cell>
          <cell r="I2086" t="str">
            <v>PRD</v>
          </cell>
          <cell r="J2086" t="str">
            <v>MAZDA ATENZA</v>
          </cell>
          <cell r="K2086" t="str">
            <v>MAZDA J71E IPM3</v>
          </cell>
          <cell r="L2086" t="str">
            <v>CV A07</v>
          </cell>
          <cell r="M2086" t="str">
            <v>S/A 8</v>
          </cell>
          <cell r="N2086" t="str">
            <v>SUB ASSY</v>
          </cell>
          <cell r="O2086" t="str">
            <v>A (NS)</v>
          </cell>
        </row>
        <row r="2087">
          <cell r="A2087">
            <v>20934</v>
          </cell>
          <cell r="B2087" t="str">
            <v xml:space="preserve">DESI PERMATASARI </v>
          </cell>
          <cell r="C2087" t="str">
            <v>SAMI</v>
          </cell>
          <cell r="D2087" t="str">
            <v>OPT-511</v>
          </cell>
          <cell r="E2087">
            <v>42667</v>
          </cell>
          <cell r="F2087">
            <v>43160</v>
          </cell>
          <cell r="G2087">
            <v>43524</v>
          </cell>
          <cell r="H2087" t="str">
            <v>PRD</v>
          </cell>
          <cell r="I2087" t="str">
            <v>PRD</v>
          </cell>
          <cell r="J2087" t="str">
            <v>MAZDA ATENZA</v>
          </cell>
          <cell r="K2087" t="str">
            <v>MAZDA J71E IPM3</v>
          </cell>
          <cell r="L2087" t="str">
            <v>CV A07</v>
          </cell>
          <cell r="M2087" t="str">
            <v>VISUAL</v>
          </cell>
          <cell r="N2087" t="str">
            <v>VISUAL INSPECTION</v>
          </cell>
          <cell r="O2087" t="str">
            <v>A (NS)</v>
          </cell>
        </row>
        <row r="2088">
          <cell r="A2088">
            <v>21249</v>
          </cell>
          <cell r="B2088" t="str">
            <v>RADZIATUL FITRIANI</v>
          </cell>
          <cell r="C2088" t="str">
            <v>SAMI</v>
          </cell>
          <cell r="D2088" t="str">
            <v>OPT-525</v>
          </cell>
          <cell r="E2088">
            <v>42893</v>
          </cell>
          <cell r="F2088">
            <v>43374</v>
          </cell>
          <cell r="G2088">
            <v>43738</v>
          </cell>
          <cell r="H2088" t="str">
            <v>PRD</v>
          </cell>
          <cell r="I2088" t="str">
            <v>PRD</v>
          </cell>
          <cell r="J2088" t="str">
            <v>MAZDA ATENZA</v>
          </cell>
          <cell r="K2088" t="str">
            <v>MAZDA J71E IPM3</v>
          </cell>
          <cell r="L2088" t="str">
            <v>CV A07</v>
          </cell>
          <cell r="M2088" t="str">
            <v>S/A 1.1</v>
          </cell>
          <cell r="N2088" t="str">
            <v>SUB ASSY</v>
          </cell>
          <cell r="O2088" t="str">
            <v>A (NS)</v>
          </cell>
        </row>
        <row r="2089">
          <cell r="A2089">
            <v>21288</v>
          </cell>
          <cell r="B2089" t="str">
            <v>FACHRUNNISA</v>
          </cell>
          <cell r="C2089" t="str">
            <v>SAMI</v>
          </cell>
          <cell r="D2089" t="str">
            <v>OPT-530</v>
          </cell>
          <cell r="E2089">
            <v>43010</v>
          </cell>
          <cell r="F2089">
            <v>43405</v>
          </cell>
          <cell r="G2089">
            <v>43769</v>
          </cell>
          <cell r="H2089" t="str">
            <v>PRD</v>
          </cell>
          <cell r="I2089" t="str">
            <v>PRD</v>
          </cell>
          <cell r="J2089" t="str">
            <v>MAZDA ATENZA</v>
          </cell>
          <cell r="K2089" t="str">
            <v>MAZDA J71E IPM3</v>
          </cell>
          <cell r="L2089" t="str">
            <v>CV A07</v>
          </cell>
          <cell r="M2089" t="str">
            <v>CHECKER 02</v>
          </cell>
          <cell r="N2089" t="str">
            <v>ELECTRICAL INSPECTION</v>
          </cell>
          <cell r="O2089" t="str">
            <v>A (NS)</v>
          </cell>
        </row>
        <row r="2090">
          <cell r="A2090">
            <v>21400</v>
          </cell>
          <cell r="B2090" t="str">
            <v>LINDA NURLITA SARI</v>
          </cell>
          <cell r="C2090" t="str">
            <v>SAMI</v>
          </cell>
          <cell r="D2090" t="str">
            <v>OPT-532</v>
          </cell>
          <cell r="E2090">
            <v>43018</v>
          </cell>
          <cell r="F2090">
            <v>43405</v>
          </cell>
          <cell r="G2090">
            <v>43769</v>
          </cell>
          <cell r="H2090" t="str">
            <v>PRD</v>
          </cell>
          <cell r="I2090" t="str">
            <v>PRD</v>
          </cell>
          <cell r="J2090" t="str">
            <v>MAZDA ATENZA</v>
          </cell>
          <cell r="K2090" t="str">
            <v>MAZDA J71E IPM3</v>
          </cell>
          <cell r="L2090" t="str">
            <v>CV A07</v>
          </cell>
          <cell r="M2090" t="str">
            <v>S/T 1.2</v>
          </cell>
          <cell r="N2090" t="str">
            <v>ASSEMBLY</v>
          </cell>
          <cell r="O2090" t="str">
            <v>A (NS)</v>
          </cell>
        </row>
        <row r="2091">
          <cell r="A2091">
            <v>21993</v>
          </cell>
          <cell r="B2091" t="str">
            <v>FIRDANIA SAFITRI</v>
          </cell>
          <cell r="C2091" t="str">
            <v>SAMI</v>
          </cell>
          <cell r="D2091" t="str">
            <v>OPT-546</v>
          </cell>
          <cell r="E2091">
            <v>43139</v>
          </cell>
          <cell r="F2091">
            <v>43167</v>
          </cell>
          <cell r="G2091">
            <v>43524</v>
          </cell>
          <cell r="H2091" t="str">
            <v>PRD</v>
          </cell>
          <cell r="I2091" t="str">
            <v>PRD</v>
          </cell>
          <cell r="J2091" t="str">
            <v>MAZDA ATENZA</v>
          </cell>
          <cell r="K2091" t="str">
            <v>MAZDA J71E IPM3</v>
          </cell>
          <cell r="L2091" t="str">
            <v>CV A07</v>
          </cell>
          <cell r="M2091" t="str">
            <v>T/P 3.1</v>
          </cell>
          <cell r="N2091" t="str">
            <v>ASSEMBLY</v>
          </cell>
          <cell r="O2091" t="str">
            <v>A (NS)</v>
          </cell>
        </row>
        <row r="2092">
          <cell r="A2092">
            <v>22014</v>
          </cell>
          <cell r="B2092" t="str">
            <v>ANISSATUL MUNAWAROH</v>
          </cell>
          <cell r="C2092" t="str">
            <v>SAMI</v>
          </cell>
          <cell r="D2092" t="str">
            <v>OPT-547</v>
          </cell>
          <cell r="E2092">
            <v>43144</v>
          </cell>
          <cell r="F2092">
            <v>43172</v>
          </cell>
          <cell r="G2092">
            <v>43524</v>
          </cell>
          <cell r="H2092" t="str">
            <v>PRD</v>
          </cell>
          <cell r="I2092" t="str">
            <v>PRD</v>
          </cell>
          <cell r="J2092" t="str">
            <v>MAZDA ATENZA</v>
          </cell>
          <cell r="K2092" t="str">
            <v>MAZDA J71E IPM3</v>
          </cell>
          <cell r="L2092" t="str">
            <v>CV A07</v>
          </cell>
          <cell r="M2092" t="str">
            <v>T/P SP</v>
          </cell>
          <cell r="N2092" t="str">
            <v>ASSEMBLY</v>
          </cell>
          <cell r="O2092" t="str">
            <v>A (NS)</v>
          </cell>
        </row>
        <row r="2093">
          <cell r="A2093">
            <v>22310</v>
          </cell>
          <cell r="B2093" t="str">
            <v>RIWAYATI INDRIYANI</v>
          </cell>
          <cell r="C2093" t="str">
            <v>SAMI</v>
          </cell>
          <cell r="D2093" t="str">
            <v>OPT-555</v>
          </cell>
          <cell r="E2093">
            <v>43192</v>
          </cell>
          <cell r="F2093">
            <v>43222</v>
          </cell>
          <cell r="G2093">
            <v>43585</v>
          </cell>
          <cell r="H2093" t="str">
            <v>PRD</v>
          </cell>
          <cell r="I2093" t="str">
            <v>PRD</v>
          </cell>
          <cell r="J2093" t="str">
            <v>MAZDA ATENZA</v>
          </cell>
          <cell r="K2093" t="str">
            <v>MAZDA J71E IPM3</v>
          </cell>
          <cell r="L2093" t="str">
            <v>CV A07</v>
          </cell>
          <cell r="M2093" t="str">
            <v>S/T 3.1</v>
          </cell>
          <cell r="N2093" t="str">
            <v>ASSEMBLY</v>
          </cell>
          <cell r="O2093" t="str">
            <v>A (NS)</v>
          </cell>
        </row>
        <row r="2094">
          <cell r="A2094">
            <v>22506</v>
          </cell>
          <cell r="B2094" t="str">
            <v>YOSHINTA NOYA DEVI</v>
          </cell>
          <cell r="C2094" t="str">
            <v>SAMI</v>
          </cell>
          <cell r="D2094" t="str">
            <v>OPT-560</v>
          </cell>
          <cell r="E2094">
            <v>43224</v>
          </cell>
          <cell r="F2094">
            <v>43255</v>
          </cell>
          <cell r="G2094">
            <v>43616</v>
          </cell>
          <cell r="H2094" t="str">
            <v>PRD</v>
          </cell>
          <cell r="I2094" t="str">
            <v>PRD</v>
          </cell>
          <cell r="J2094" t="str">
            <v>MAZDA ATENZA</v>
          </cell>
          <cell r="K2094" t="str">
            <v>MAZDA J71E IPM3</v>
          </cell>
          <cell r="L2094" t="str">
            <v>CV A07</v>
          </cell>
          <cell r="M2094" t="str">
            <v>S/A 7</v>
          </cell>
          <cell r="N2094" t="str">
            <v>SUB ASSY</v>
          </cell>
          <cell r="O2094" t="str">
            <v>A (NS)</v>
          </cell>
        </row>
        <row r="2095">
          <cell r="A2095">
            <v>22664</v>
          </cell>
          <cell r="B2095" t="str">
            <v>MUHAMAD SYAIFUL AMAR</v>
          </cell>
          <cell r="C2095" t="str">
            <v>SAMI</v>
          </cell>
          <cell r="D2095" t="str">
            <v>OPT-562</v>
          </cell>
          <cell r="E2095">
            <v>43241</v>
          </cell>
          <cell r="F2095">
            <v>43272</v>
          </cell>
          <cell r="G2095">
            <v>43646</v>
          </cell>
          <cell r="H2095" t="str">
            <v>PRD</v>
          </cell>
          <cell r="I2095" t="str">
            <v>PRD</v>
          </cell>
          <cell r="J2095" t="str">
            <v>MAZDA ATENZA</v>
          </cell>
          <cell r="K2095" t="str">
            <v>MAZDA J71E IPM3</v>
          </cell>
          <cell r="L2095" t="str">
            <v>CV A07</v>
          </cell>
          <cell r="M2095" t="str">
            <v>OFFLINE 3</v>
          </cell>
          <cell r="N2095" t="str">
            <v>ASSEMBLY</v>
          </cell>
          <cell r="O2095" t="str">
            <v>A (NS)</v>
          </cell>
        </row>
        <row r="2096">
          <cell r="A2096">
            <v>22678</v>
          </cell>
          <cell r="B2096" t="str">
            <v>SINDI MILENIA</v>
          </cell>
          <cell r="C2096" t="str">
            <v>SAMI</v>
          </cell>
          <cell r="D2096" t="str">
            <v>OPT-562</v>
          </cell>
          <cell r="E2096">
            <v>43241</v>
          </cell>
          <cell r="F2096">
            <v>43272</v>
          </cell>
          <cell r="G2096">
            <v>43646</v>
          </cell>
          <cell r="H2096" t="str">
            <v>PRD</v>
          </cell>
          <cell r="I2096" t="str">
            <v>PRD</v>
          </cell>
          <cell r="J2096" t="str">
            <v>MAZDA ATENZA</v>
          </cell>
          <cell r="K2096" t="str">
            <v>MAZDA J71E IPM3</v>
          </cell>
          <cell r="L2096" t="str">
            <v>CV A07</v>
          </cell>
          <cell r="M2096" t="str">
            <v>S/A 4</v>
          </cell>
          <cell r="N2096" t="str">
            <v>SUB ASSY</v>
          </cell>
          <cell r="O2096" t="str">
            <v>A (NS)</v>
          </cell>
        </row>
        <row r="2097">
          <cell r="A2097">
            <v>22847</v>
          </cell>
          <cell r="B2097" t="str">
            <v>LILIS ROKHAYATI</v>
          </cell>
          <cell r="C2097" t="str">
            <v>SAMI</v>
          </cell>
          <cell r="D2097" t="str">
            <v>OPT-567</v>
          </cell>
          <cell r="E2097">
            <v>43333</v>
          </cell>
          <cell r="F2097">
            <v>43364</v>
          </cell>
          <cell r="G2097">
            <v>43738</v>
          </cell>
          <cell r="H2097" t="str">
            <v>PRD</v>
          </cell>
          <cell r="I2097" t="str">
            <v>PRD</v>
          </cell>
          <cell r="J2097" t="str">
            <v>MAZDA ATENZA</v>
          </cell>
          <cell r="K2097" t="str">
            <v>MAZDA J71E IPM3</v>
          </cell>
          <cell r="L2097" t="str">
            <v>CV A07</v>
          </cell>
          <cell r="M2097" t="str">
            <v>S/A 5.2</v>
          </cell>
          <cell r="N2097" t="str">
            <v>SUB ASSY</v>
          </cell>
          <cell r="O2097" t="str">
            <v>A (NS)</v>
          </cell>
        </row>
        <row r="2098">
          <cell r="A2098">
            <v>22934</v>
          </cell>
          <cell r="B2098" t="str">
            <v>HANIFA</v>
          </cell>
          <cell r="C2098" t="str">
            <v>SAMI</v>
          </cell>
          <cell r="D2098" t="str">
            <v>OPT-568</v>
          </cell>
          <cell r="E2098">
            <v>43343</v>
          </cell>
          <cell r="F2098">
            <v>43374</v>
          </cell>
          <cell r="G2098">
            <v>43738</v>
          </cell>
          <cell r="H2098" t="str">
            <v>PRD</v>
          </cell>
          <cell r="I2098" t="str">
            <v>PRD</v>
          </cell>
          <cell r="J2098" t="str">
            <v>MAZDA ATENZA</v>
          </cell>
          <cell r="K2098" t="str">
            <v>MAZDA J71E IPM3</v>
          </cell>
          <cell r="L2098" t="str">
            <v>CV A07</v>
          </cell>
          <cell r="M2098" t="str">
            <v>S/T 3.2</v>
          </cell>
          <cell r="N2098" t="str">
            <v>ASSEMBLY</v>
          </cell>
          <cell r="O2098" t="str">
            <v>A (NS)</v>
          </cell>
        </row>
        <row r="2099">
          <cell r="A2099">
            <v>22960</v>
          </cell>
          <cell r="B2099" t="str">
            <v>NUNUK SEPTIANAH</v>
          </cell>
          <cell r="C2099" t="str">
            <v>SAMI</v>
          </cell>
          <cell r="D2099" t="str">
            <v>OPT-568</v>
          </cell>
          <cell r="E2099">
            <v>43343</v>
          </cell>
          <cell r="F2099">
            <v>43374</v>
          </cell>
          <cell r="G2099">
            <v>43738</v>
          </cell>
          <cell r="H2099" t="str">
            <v>PRD</v>
          </cell>
          <cell r="I2099" t="str">
            <v>PRD</v>
          </cell>
          <cell r="J2099" t="str">
            <v>MAZDA ATENZA</v>
          </cell>
          <cell r="K2099" t="str">
            <v>MAZDA J71E IPM3</v>
          </cell>
          <cell r="L2099" t="str">
            <v>CV A07</v>
          </cell>
          <cell r="M2099" t="str">
            <v>T/P 1</v>
          </cell>
          <cell r="N2099" t="str">
            <v>ASSEMBLY</v>
          </cell>
          <cell r="O2099" t="str">
            <v>A (NS)</v>
          </cell>
        </row>
        <row r="2100">
          <cell r="A2100">
            <v>23028</v>
          </cell>
          <cell r="B2100" t="str">
            <v>IDA PRATIWI</v>
          </cell>
          <cell r="C2100" t="str">
            <v>SAMI</v>
          </cell>
          <cell r="D2100" t="str">
            <v>OPT-569</v>
          </cell>
          <cell r="E2100">
            <v>43361</v>
          </cell>
          <cell r="F2100">
            <v>43391</v>
          </cell>
          <cell r="G2100">
            <v>43769</v>
          </cell>
          <cell r="H2100" t="str">
            <v>PRD</v>
          </cell>
          <cell r="I2100" t="str">
            <v>PRD</v>
          </cell>
          <cell r="J2100" t="str">
            <v>MAZDA ATENZA</v>
          </cell>
          <cell r="K2100" t="str">
            <v>MAZDA J71E IPM3</v>
          </cell>
          <cell r="L2100" t="str">
            <v>CV A07</v>
          </cell>
          <cell r="M2100" t="str">
            <v>CIRCUIT SUPPLIER</v>
          </cell>
          <cell r="N2100" t="str">
            <v>CIRCUIT SUPPLY</v>
          </cell>
          <cell r="O2100" t="str">
            <v>A (NS)</v>
          </cell>
        </row>
        <row r="2101">
          <cell r="A2101">
            <v>23096</v>
          </cell>
          <cell r="B2101" t="str">
            <v>ANIK UMI SA'ADAH AINUL ROCHMAH</v>
          </cell>
          <cell r="C2101" t="str">
            <v>SAMI</v>
          </cell>
          <cell r="D2101" t="str">
            <v>OPT-570</v>
          </cell>
          <cell r="E2101">
            <v>43369</v>
          </cell>
          <cell r="F2101">
            <v>43399</v>
          </cell>
          <cell r="G2101">
            <v>43769</v>
          </cell>
          <cell r="H2101" t="str">
            <v>PRD</v>
          </cell>
          <cell r="I2101" t="str">
            <v>PRD</v>
          </cell>
          <cell r="J2101" t="str">
            <v>MAZDA ATENZA</v>
          </cell>
          <cell r="K2101" t="str">
            <v>MAZDA J71E IPM3</v>
          </cell>
          <cell r="L2101" t="str">
            <v>CV A07</v>
          </cell>
          <cell r="M2101" t="str">
            <v>MATERIAL SUPPLY</v>
          </cell>
          <cell r="N2101" t="str">
            <v>MATERIAL SUPPLY</v>
          </cell>
          <cell r="O2101" t="str">
            <v>A (NS)</v>
          </cell>
        </row>
        <row r="2102">
          <cell r="A2102">
            <v>23159</v>
          </cell>
          <cell r="B2102" t="str">
            <v>RAFIKA HIDAYAH</v>
          </cell>
          <cell r="C2102" t="str">
            <v>SAMI</v>
          </cell>
          <cell r="D2102" t="str">
            <v>OPT-570</v>
          </cell>
          <cell r="E2102">
            <v>43369</v>
          </cell>
          <cell r="F2102">
            <v>43399</v>
          </cell>
          <cell r="G2102">
            <v>43769</v>
          </cell>
          <cell r="H2102" t="str">
            <v>PRD</v>
          </cell>
          <cell r="I2102" t="str">
            <v>PRD</v>
          </cell>
          <cell r="J2102" t="str">
            <v>MAZDA ATENZA</v>
          </cell>
          <cell r="K2102" t="str">
            <v>MAZDA J71E IPM3</v>
          </cell>
          <cell r="L2102" t="str">
            <v>CV A07</v>
          </cell>
          <cell r="M2102" t="str">
            <v>CHECKER 01</v>
          </cell>
          <cell r="N2102" t="str">
            <v>ELECTRICAL INSPECTION</v>
          </cell>
          <cell r="O2102" t="str">
            <v>A (NS)</v>
          </cell>
        </row>
        <row r="2103">
          <cell r="A2103">
            <v>23160</v>
          </cell>
          <cell r="B2103" t="str">
            <v>RAFIKA NISFATUL HIDAYAH</v>
          </cell>
          <cell r="C2103" t="str">
            <v>SAMI</v>
          </cell>
          <cell r="D2103" t="str">
            <v>OPT-570</v>
          </cell>
          <cell r="E2103">
            <v>43369</v>
          </cell>
          <cell r="F2103">
            <v>43399</v>
          </cell>
          <cell r="G2103">
            <v>43769</v>
          </cell>
          <cell r="H2103" t="str">
            <v>PRD</v>
          </cell>
          <cell r="I2103" t="str">
            <v>PRD</v>
          </cell>
          <cell r="J2103" t="str">
            <v>MAZDA ATENZA</v>
          </cell>
          <cell r="K2103" t="str">
            <v>MAZDA J71E IPM3</v>
          </cell>
          <cell r="L2103" t="str">
            <v>CV A07</v>
          </cell>
          <cell r="M2103" t="str">
            <v>S/A 5.1</v>
          </cell>
          <cell r="N2103" t="str">
            <v>SUB ASSY</v>
          </cell>
          <cell r="O2103" t="str">
            <v>A (NS)</v>
          </cell>
        </row>
        <row r="2104">
          <cell r="A2104">
            <v>23161</v>
          </cell>
          <cell r="B2104" t="str">
            <v>RINI FATMAWATI</v>
          </cell>
          <cell r="C2104" t="str">
            <v>SAMI</v>
          </cell>
          <cell r="D2104" t="str">
            <v>OPT-570</v>
          </cell>
          <cell r="E2104">
            <v>43369</v>
          </cell>
          <cell r="F2104">
            <v>43399</v>
          </cell>
          <cell r="G2104">
            <v>43769</v>
          </cell>
          <cell r="H2104" t="str">
            <v>PRD</v>
          </cell>
          <cell r="I2104" t="str">
            <v>PRD</v>
          </cell>
          <cell r="J2104" t="str">
            <v>MAZDA ATENZA</v>
          </cell>
          <cell r="K2104" t="str">
            <v>MAZDA J71E IPM3</v>
          </cell>
          <cell r="L2104" t="str">
            <v>CV A07</v>
          </cell>
          <cell r="M2104" t="str">
            <v>S/T 5</v>
          </cell>
          <cell r="N2104" t="str">
            <v>ASSEMBLY</v>
          </cell>
          <cell r="O2104" t="str">
            <v>A (NS)</v>
          </cell>
        </row>
        <row r="2105">
          <cell r="A2105">
            <v>23254</v>
          </cell>
          <cell r="B2105" t="str">
            <v>RETNO PALUPI</v>
          </cell>
          <cell r="C2105" t="str">
            <v>SAMI</v>
          </cell>
          <cell r="D2105" t="str">
            <v>OPT-573</v>
          </cell>
          <cell r="E2105">
            <v>43421</v>
          </cell>
          <cell r="F2105">
            <v>43451</v>
          </cell>
          <cell r="G2105">
            <v>43830</v>
          </cell>
          <cell r="H2105" t="str">
            <v>PRD</v>
          </cell>
          <cell r="I2105" t="str">
            <v>PRD</v>
          </cell>
          <cell r="J2105" t="str">
            <v>MAZDA ATENZA</v>
          </cell>
          <cell r="K2105" t="str">
            <v>MAZDA J71E IPM3</v>
          </cell>
          <cell r="L2105" t="str">
            <v>CV A07</v>
          </cell>
          <cell r="M2105" t="str">
            <v>S/A 2</v>
          </cell>
          <cell r="N2105" t="str">
            <v>SUB ASSY</v>
          </cell>
          <cell r="O2105" t="str">
            <v>A (NS)</v>
          </cell>
        </row>
        <row r="2106">
          <cell r="A2106">
            <v>23256</v>
          </cell>
          <cell r="B2106" t="str">
            <v>RIA IRMAWATI</v>
          </cell>
          <cell r="C2106" t="str">
            <v>SAMI</v>
          </cell>
          <cell r="D2106" t="str">
            <v>OPT-573</v>
          </cell>
          <cell r="E2106">
            <v>43421</v>
          </cell>
          <cell r="F2106">
            <v>43451</v>
          </cell>
          <cell r="G2106">
            <v>43830</v>
          </cell>
          <cell r="H2106" t="str">
            <v>PRD</v>
          </cell>
          <cell r="I2106" t="str">
            <v>PRD</v>
          </cell>
          <cell r="J2106" t="str">
            <v>MAZDA ATENZA</v>
          </cell>
          <cell r="K2106" t="str">
            <v>MAZDA J71E IPM3</v>
          </cell>
          <cell r="L2106" t="str">
            <v>CV A07</v>
          </cell>
          <cell r="M2106" t="str">
            <v>S/A 3</v>
          </cell>
          <cell r="N2106" t="str">
            <v>SUB ASSY</v>
          </cell>
          <cell r="O2106" t="str">
            <v>A (NS)</v>
          </cell>
        </row>
        <row r="2107">
          <cell r="A2107">
            <v>23300</v>
          </cell>
          <cell r="B2107" t="str">
            <v>BAYU INDAH WIDYOWATI</v>
          </cell>
          <cell r="C2107" t="str">
            <v>SAMI</v>
          </cell>
          <cell r="D2107" t="str">
            <v>OPT-574</v>
          </cell>
          <cell r="E2107">
            <v>43427</v>
          </cell>
          <cell r="F2107">
            <v>43457</v>
          </cell>
          <cell r="G2107">
            <v>43830</v>
          </cell>
          <cell r="H2107" t="str">
            <v>PRD</v>
          </cell>
          <cell r="I2107" t="str">
            <v>PRD</v>
          </cell>
          <cell r="J2107" t="str">
            <v>MAZDA ATENZA</v>
          </cell>
          <cell r="K2107" t="str">
            <v>MAZDA J71E IPM3</v>
          </cell>
          <cell r="L2107" t="str">
            <v>CV A07</v>
          </cell>
          <cell r="M2107" t="str">
            <v>T/P 4.2</v>
          </cell>
          <cell r="N2107" t="str">
            <v>ASSEMBLY</v>
          </cell>
          <cell r="O2107" t="str">
            <v>A (NS)</v>
          </cell>
        </row>
        <row r="2108">
          <cell r="A2108">
            <v>23440</v>
          </cell>
          <cell r="B2108" t="str">
            <v>NAYLI ROCHMAH</v>
          </cell>
          <cell r="C2108" t="str">
            <v>SAMI</v>
          </cell>
          <cell r="D2108" t="str">
            <v>OPT-575</v>
          </cell>
          <cell r="E2108">
            <v>43434</v>
          </cell>
          <cell r="F2108">
            <v>43464</v>
          </cell>
          <cell r="G2108">
            <v>43830</v>
          </cell>
          <cell r="H2108" t="str">
            <v>PRD</v>
          </cell>
          <cell r="I2108" t="str">
            <v>PRD</v>
          </cell>
          <cell r="J2108" t="str">
            <v>MAZDA ATENZA</v>
          </cell>
          <cell r="K2108" t="str">
            <v>MAZDA J71E IPM3</v>
          </cell>
          <cell r="L2108" t="str">
            <v>CV A07</v>
          </cell>
          <cell r="M2108" t="str">
            <v>OFFLINE 2</v>
          </cell>
          <cell r="N2108" t="str">
            <v>ASSEMBLY</v>
          </cell>
          <cell r="O2108" t="str">
            <v>A (NS)</v>
          </cell>
        </row>
        <row r="2109">
          <cell r="A2109">
            <v>23521</v>
          </cell>
          <cell r="B2109" t="str">
            <v>SITI ANIATI FAJRI</v>
          </cell>
          <cell r="C2109" t="str">
            <v>SAMI</v>
          </cell>
          <cell r="D2109" t="str">
            <v>OPT-576</v>
          </cell>
          <cell r="E2109">
            <v>43441</v>
          </cell>
          <cell r="F2109">
            <v>43472</v>
          </cell>
          <cell r="G2109">
            <v>43830</v>
          </cell>
          <cell r="H2109" t="str">
            <v>PRD</v>
          </cell>
          <cell r="I2109" t="str">
            <v>PRD</v>
          </cell>
          <cell r="J2109" t="str">
            <v>MAZDA ATENZA</v>
          </cell>
          <cell r="K2109" t="str">
            <v>MAZDA J71E IPM3</v>
          </cell>
          <cell r="L2109" t="str">
            <v>CV A07</v>
          </cell>
          <cell r="M2109" t="str">
            <v>OJT S/T SP</v>
          </cell>
          <cell r="N2109" t="str">
            <v>INTERNAL TRIAL</v>
          </cell>
          <cell r="O2109" t="str">
            <v>A (NS)</v>
          </cell>
        </row>
        <row r="2110">
          <cell r="A2110">
            <v>23522</v>
          </cell>
          <cell r="B2110" t="str">
            <v>SITI MIS AFIFAH</v>
          </cell>
          <cell r="C2110" t="str">
            <v>SAMI</v>
          </cell>
          <cell r="D2110" t="str">
            <v>OPT-576</v>
          </cell>
          <cell r="E2110">
            <v>43441</v>
          </cell>
          <cell r="F2110">
            <v>43472</v>
          </cell>
          <cell r="G2110">
            <v>43830</v>
          </cell>
          <cell r="H2110" t="str">
            <v>PRD</v>
          </cell>
          <cell r="I2110" t="str">
            <v>PRD</v>
          </cell>
          <cell r="J2110" t="str">
            <v>MAZDA ATENZA</v>
          </cell>
          <cell r="K2110" t="str">
            <v>MAZDA J71E IPM3</v>
          </cell>
          <cell r="L2110" t="str">
            <v>CV A07</v>
          </cell>
          <cell r="M2110" t="str">
            <v>OJT CIRCUIT SUPPLIER 02</v>
          </cell>
          <cell r="N2110" t="str">
            <v>INTERNAL TRIAL</v>
          </cell>
          <cell r="O2110" t="str">
            <v>A (NS)</v>
          </cell>
        </row>
        <row r="2111">
          <cell r="A2111" t="str">
            <v>B00092</v>
          </cell>
          <cell r="B2111" t="str">
            <v>TRI WIDIYASTUTI</v>
          </cell>
          <cell r="C2111" t="str">
            <v>SAMI</v>
          </cell>
          <cell r="D2111" t="str">
            <v>BBF-001</v>
          </cell>
          <cell r="E2111">
            <v>40826</v>
          </cell>
          <cell r="F2111" t="str">
            <v>-</v>
          </cell>
          <cell r="G2111" t="str">
            <v>-</v>
          </cell>
          <cell r="H2111" t="str">
            <v>PRD</v>
          </cell>
          <cell r="I2111" t="str">
            <v>PRD</v>
          </cell>
          <cell r="J2111" t="str">
            <v>MAZDA ATENZA</v>
          </cell>
          <cell r="K2111" t="str">
            <v>MAZDA J71E IPM3</v>
          </cell>
          <cell r="L2111" t="str">
            <v>CV A07</v>
          </cell>
          <cell r="M2111" t="str">
            <v>T/P 2</v>
          </cell>
          <cell r="N2111" t="str">
            <v>ASSEMBLY</v>
          </cell>
          <cell r="O2111" t="str">
            <v>A (NS)</v>
          </cell>
        </row>
        <row r="2112">
          <cell r="A2112" t="str">
            <v>B00362</v>
          </cell>
          <cell r="B2112" t="str">
            <v>ETIK SURYANI</v>
          </cell>
          <cell r="C2112" t="str">
            <v>SAMI</v>
          </cell>
          <cell r="D2112" t="str">
            <v>BBF-006</v>
          </cell>
          <cell r="E2112">
            <v>40861</v>
          </cell>
          <cell r="F2112" t="str">
            <v>-</v>
          </cell>
          <cell r="G2112" t="str">
            <v>-</v>
          </cell>
          <cell r="H2112" t="str">
            <v>PRD</v>
          </cell>
          <cell r="I2112" t="str">
            <v>PRD</v>
          </cell>
          <cell r="J2112" t="str">
            <v>MAZDA ATENZA</v>
          </cell>
          <cell r="K2112" t="str">
            <v>MAZDA J71E IPM3</v>
          </cell>
          <cell r="L2112" t="str">
            <v>CV A07</v>
          </cell>
          <cell r="M2112" t="str">
            <v>T/P 4.1</v>
          </cell>
          <cell r="N2112" t="str">
            <v>ASSEMBLY</v>
          </cell>
          <cell r="O2112" t="str">
            <v>A (NS)</v>
          </cell>
        </row>
        <row r="2113">
          <cell r="A2113">
            <v>1259</v>
          </cell>
          <cell r="B2113" t="str">
            <v>SETIANI</v>
          </cell>
          <cell r="C2113" t="str">
            <v>SAMI</v>
          </cell>
          <cell r="D2113" t="str">
            <v>OPT-31</v>
          </cell>
          <cell r="E2113">
            <v>37921</v>
          </cell>
          <cell r="F2113" t="str">
            <v>-</v>
          </cell>
          <cell r="G2113" t="str">
            <v>-</v>
          </cell>
          <cell r="H2113" t="str">
            <v>PRD</v>
          </cell>
          <cell r="I2113" t="str">
            <v>PRD</v>
          </cell>
          <cell r="J2113" t="str">
            <v>HONDA CRV</v>
          </cell>
          <cell r="K2113" t="str">
            <v>HONDA CRV CORD TAIL GATE</v>
          </cell>
          <cell r="L2113" t="str">
            <v>CV A08</v>
          </cell>
          <cell r="M2113" t="str">
            <v>VISUAL 1.1B</v>
          </cell>
          <cell r="N2113" t="str">
            <v>VISUAL INSPECTION</v>
          </cell>
          <cell r="O2113" t="str">
            <v>A</v>
          </cell>
        </row>
        <row r="2114">
          <cell r="A2114">
            <v>5957</v>
          </cell>
          <cell r="B2114" t="str">
            <v>TRI MULYANI</v>
          </cell>
          <cell r="C2114" t="str">
            <v>SAMI</v>
          </cell>
          <cell r="D2114" t="str">
            <v>OPT-137</v>
          </cell>
          <cell r="E2114">
            <v>39129</v>
          </cell>
          <cell r="F2114" t="str">
            <v>-</v>
          </cell>
          <cell r="G2114" t="str">
            <v>-</v>
          </cell>
          <cell r="H2114" t="str">
            <v>PRD</v>
          </cell>
          <cell r="I2114" t="str">
            <v>PRD</v>
          </cell>
          <cell r="J2114" t="str">
            <v>HONDA CRV</v>
          </cell>
          <cell r="K2114" t="str">
            <v>HONDA CRV CORD TAIL GATE</v>
          </cell>
          <cell r="L2114" t="str">
            <v>CV A08</v>
          </cell>
          <cell r="M2114" t="str">
            <v>T/P 6A</v>
          </cell>
          <cell r="N2114" t="str">
            <v>ASSEMBLY</v>
          </cell>
          <cell r="O2114" t="str">
            <v>A</v>
          </cell>
        </row>
        <row r="2115">
          <cell r="A2115">
            <v>9027</v>
          </cell>
          <cell r="B2115" t="str">
            <v>TATIK APRIYANTI</v>
          </cell>
          <cell r="C2115" t="str">
            <v>SAMI</v>
          </cell>
          <cell r="D2115" t="str">
            <v>OPT-201</v>
          </cell>
          <cell r="E2115">
            <v>39975</v>
          </cell>
          <cell r="F2115" t="str">
            <v>-</v>
          </cell>
          <cell r="G2115" t="str">
            <v>-</v>
          </cell>
          <cell r="H2115" t="str">
            <v>PRD</v>
          </cell>
          <cell r="I2115" t="str">
            <v>PRD</v>
          </cell>
          <cell r="J2115" t="str">
            <v>HONDA CRV</v>
          </cell>
          <cell r="K2115" t="str">
            <v>HONDA CRV CORD TAIL GATE</v>
          </cell>
          <cell r="L2115" t="str">
            <v>CV A08</v>
          </cell>
          <cell r="M2115" t="str">
            <v>SUB LINE CHO</v>
          </cell>
          <cell r="N2115" t="str">
            <v>GL</v>
          </cell>
          <cell r="O2115" t="str">
            <v>A</v>
          </cell>
        </row>
        <row r="2116">
          <cell r="A2116">
            <v>10084</v>
          </cell>
          <cell r="B2116" t="str">
            <v>ELZA FREDIANTAMA NURTIAS</v>
          </cell>
          <cell r="C2116" t="str">
            <v>SAMI</v>
          </cell>
          <cell r="D2116" t="str">
            <v>OPT-248</v>
          </cell>
          <cell r="E2116">
            <v>40444</v>
          </cell>
          <cell r="F2116" t="str">
            <v>-</v>
          </cell>
          <cell r="G2116" t="str">
            <v>-</v>
          </cell>
          <cell r="H2116" t="str">
            <v>PRD</v>
          </cell>
          <cell r="I2116" t="str">
            <v>PRD</v>
          </cell>
          <cell r="J2116" t="str">
            <v>HONDA CRV</v>
          </cell>
          <cell r="K2116" t="str">
            <v>HONDA CRV CORD TAIL GATE</v>
          </cell>
          <cell r="L2116" t="str">
            <v>CV A08</v>
          </cell>
          <cell r="M2116" t="str">
            <v>LQC</v>
          </cell>
          <cell r="N2116" t="str">
            <v>RELIEF</v>
          </cell>
          <cell r="O2116" t="str">
            <v>A</v>
          </cell>
        </row>
        <row r="2117">
          <cell r="A2117">
            <v>10186</v>
          </cell>
          <cell r="B2117" t="str">
            <v>LISTIYA FAJAR ISNAINI</v>
          </cell>
          <cell r="C2117" t="str">
            <v>SAMI</v>
          </cell>
          <cell r="D2117" t="str">
            <v>OPT-253</v>
          </cell>
          <cell r="E2117">
            <v>40458</v>
          </cell>
          <cell r="F2117" t="str">
            <v>-</v>
          </cell>
          <cell r="G2117" t="str">
            <v>-</v>
          </cell>
          <cell r="H2117" t="str">
            <v>PRD</v>
          </cell>
          <cell r="I2117" t="str">
            <v>PRD</v>
          </cell>
          <cell r="J2117" t="str">
            <v>HONDA CRV</v>
          </cell>
          <cell r="K2117" t="str">
            <v>HONDA CRV CORD TAIL GATE</v>
          </cell>
          <cell r="L2117" t="str">
            <v>CV A08</v>
          </cell>
          <cell r="M2117" t="str">
            <v>T/P 7.2B</v>
          </cell>
          <cell r="N2117" t="str">
            <v>ASSEMBLY</v>
          </cell>
          <cell r="O2117" t="str">
            <v>A</v>
          </cell>
        </row>
        <row r="2118">
          <cell r="A2118">
            <v>11316</v>
          </cell>
          <cell r="B2118" t="str">
            <v>NOVI INDRIANI</v>
          </cell>
          <cell r="C2118" t="str">
            <v>SAMI</v>
          </cell>
          <cell r="D2118" t="str">
            <v>OPT-299</v>
          </cell>
          <cell r="E2118">
            <v>40660</v>
          </cell>
          <cell r="F2118" t="str">
            <v>-</v>
          </cell>
          <cell r="G2118" t="str">
            <v>-</v>
          </cell>
          <cell r="H2118" t="str">
            <v>PRD</v>
          </cell>
          <cell r="I2118" t="str">
            <v>PRD</v>
          </cell>
          <cell r="J2118" t="str">
            <v>HONDA CRV</v>
          </cell>
          <cell r="K2118" t="str">
            <v>HONDA CRV CORD TAIL GATE</v>
          </cell>
          <cell r="L2118" t="str">
            <v>CV A08</v>
          </cell>
          <cell r="M2118" t="str">
            <v>S/T 1.2A</v>
          </cell>
          <cell r="N2118" t="str">
            <v>ASSEMBLY</v>
          </cell>
          <cell r="O2118" t="str">
            <v>A</v>
          </cell>
        </row>
        <row r="2119">
          <cell r="A2119">
            <v>13451</v>
          </cell>
          <cell r="B2119" t="str">
            <v>LANNY ANGGITA SARI</v>
          </cell>
          <cell r="C2119" t="str">
            <v>SAMI</v>
          </cell>
          <cell r="D2119" t="str">
            <v>OPT-338</v>
          </cell>
          <cell r="E2119">
            <v>40938</v>
          </cell>
          <cell r="F2119" t="str">
            <v>-</v>
          </cell>
          <cell r="G2119" t="str">
            <v>-</v>
          </cell>
          <cell r="H2119" t="str">
            <v>PRD</v>
          </cell>
          <cell r="I2119" t="str">
            <v>PRD</v>
          </cell>
          <cell r="J2119" t="str">
            <v>HONDA CRV</v>
          </cell>
          <cell r="K2119" t="str">
            <v>HONDA CRV CORD TAIL GATE</v>
          </cell>
          <cell r="L2119" t="str">
            <v>CV A08</v>
          </cell>
          <cell r="M2119" t="str">
            <v>VISUAL 1.1A</v>
          </cell>
          <cell r="N2119" t="str">
            <v>VISUAL INSPECTION</v>
          </cell>
          <cell r="O2119" t="str">
            <v>A</v>
          </cell>
        </row>
        <row r="2120">
          <cell r="A2120">
            <v>20489</v>
          </cell>
          <cell r="B2120" t="str">
            <v>LARAS NOVITASARI</v>
          </cell>
          <cell r="C2120" t="str">
            <v>SAMI</v>
          </cell>
          <cell r="D2120" t="str">
            <v>OPT-504</v>
          </cell>
          <cell r="E2120">
            <v>42634</v>
          </cell>
          <cell r="F2120">
            <v>43132</v>
          </cell>
          <cell r="G2120">
            <v>43496</v>
          </cell>
          <cell r="H2120" t="str">
            <v>PRD</v>
          </cell>
          <cell r="I2120" t="str">
            <v>PRD</v>
          </cell>
          <cell r="J2120" t="str">
            <v>HONDA CRV</v>
          </cell>
          <cell r="K2120" t="str">
            <v>HONDA CRV CORD TAIL GATE</v>
          </cell>
          <cell r="L2120" t="str">
            <v>CV A08</v>
          </cell>
          <cell r="M2120" t="str">
            <v>T/P 5A</v>
          </cell>
          <cell r="N2120" t="str">
            <v>ASSEMBLY</v>
          </cell>
          <cell r="O2120" t="str">
            <v>A</v>
          </cell>
        </row>
        <row r="2121">
          <cell r="A2121">
            <v>20667</v>
          </cell>
          <cell r="B2121" t="str">
            <v>ULFI AULIA</v>
          </cell>
          <cell r="C2121" t="str">
            <v>SAMI</v>
          </cell>
          <cell r="D2121" t="str">
            <v>OPT-505</v>
          </cell>
          <cell r="E2121">
            <v>42639</v>
          </cell>
          <cell r="F2121">
            <v>43132</v>
          </cell>
          <cell r="G2121">
            <v>43496</v>
          </cell>
          <cell r="H2121" t="str">
            <v>PRD</v>
          </cell>
          <cell r="I2121" t="str">
            <v>PRD</v>
          </cell>
          <cell r="J2121" t="str">
            <v>HONDA CRV</v>
          </cell>
          <cell r="K2121" t="str">
            <v>HONDA CRV CORD TAIL GATE</v>
          </cell>
          <cell r="L2121" t="str">
            <v>CV A08</v>
          </cell>
          <cell r="M2121" t="str">
            <v>T/P 4A</v>
          </cell>
          <cell r="N2121" t="str">
            <v>ASSEMBLY</v>
          </cell>
          <cell r="O2121" t="str">
            <v>A</v>
          </cell>
        </row>
        <row r="2122">
          <cell r="A2122">
            <v>20826</v>
          </cell>
          <cell r="B2122" t="str">
            <v xml:space="preserve">WIDIYA ROSELA </v>
          </cell>
          <cell r="C2122" t="str">
            <v>SAMI</v>
          </cell>
          <cell r="D2122" t="str">
            <v>OPT-508</v>
          </cell>
          <cell r="E2122">
            <v>42649</v>
          </cell>
          <cell r="F2122">
            <v>43132</v>
          </cell>
          <cell r="G2122">
            <v>43496</v>
          </cell>
          <cell r="H2122" t="str">
            <v>PRD</v>
          </cell>
          <cell r="I2122" t="str">
            <v>PRD</v>
          </cell>
          <cell r="J2122" t="str">
            <v>HONDA CRV</v>
          </cell>
          <cell r="K2122" t="str">
            <v>HONDA CRV CORD TAIL GATE</v>
          </cell>
          <cell r="L2122" t="str">
            <v>CV A08</v>
          </cell>
          <cell r="M2122" t="str">
            <v>VISUAL 1.2A</v>
          </cell>
          <cell r="N2122" t="str">
            <v>VISUAL INSPECTION</v>
          </cell>
          <cell r="O2122" t="str">
            <v>A</v>
          </cell>
        </row>
        <row r="2123">
          <cell r="A2123">
            <v>20851</v>
          </cell>
          <cell r="B2123" t="str">
            <v>BAYU SURYO ANGGONO</v>
          </cell>
          <cell r="C2123" t="str">
            <v>SAMI</v>
          </cell>
          <cell r="D2123" t="str">
            <v>OPT-510</v>
          </cell>
          <cell r="E2123">
            <v>42660</v>
          </cell>
          <cell r="F2123">
            <v>43160</v>
          </cell>
          <cell r="G2123">
            <v>43524</v>
          </cell>
          <cell r="H2123" t="str">
            <v>PRD</v>
          </cell>
          <cell r="I2123" t="str">
            <v>PRD</v>
          </cell>
          <cell r="J2123" t="str">
            <v>HONDA CRV</v>
          </cell>
          <cell r="K2123" t="str">
            <v>HONDA CRV CORD TAIL GATE</v>
          </cell>
          <cell r="L2123" t="str">
            <v>CV A08</v>
          </cell>
          <cell r="M2123" t="str">
            <v>CHECKER 1.1A</v>
          </cell>
          <cell r="N2123" t="str">
            <v>ELECTRICAL INSPECTION</v>
          </cell>
          <cell r="O2123" t="str">
            <v>A</v>
          </cell>
        </row>
        <row r="2124">
          <cell r="A2124">
            <v>20933</v>
          </cell>
          <cell r="B2124" t="str">
            <v>DESI LIANA WATI</v>
          </cell>
          <cell r="C2124" t="str">
            <v>SAMI</v>
          </cell>
          <cell r="D2124" t="str">
            <v>OPT-511</v>
          </cell>
          <cell r="E2124">
            <v>42667</v>
          </cell>
          <cell r="F2124">
            <v>43160</v>
          </cell>
          <cell r="G2124">
            <v>43524</v>
          </cell>
          <cell r="H2124" t="str">
            <v>PRD</v>
          </cell>
          <cell r="I2124" t="str">
            <v>PRD</v>
          </cell>
          <cell r="J2124" t="str">
            <v>HONDA CRV</v>
          </cell>
          <cell r="K2124" t="str">
            <v>HONDA CRV CORD TAIL GATE</v>
          </cell>
          <cell r="L2124" t="str">
            <v>CV A08</v>
          </cell>
          <cell r="M2124" t="str">
            <v>T/P 1.2B</v>
          </cell>
          <cell r="N2124" t="str">
            <v>ASSEMBLY</v>
          </cell>
          <cell r="O2124" t="str">
            <v>A</v>
          </cell>
        </row>
        <row r="2125">
          <cell r="A2125">
            <v>21009</v>
          </cell>
          <cell r="B2125" t="str">
            <v xml:space="preserve">LAELATUL FADHILA </v>
          </cell>
          <cell r="C2125" t="str">
            <v>SAMI</v>
          </cell>
          <cell r="D2125" t="str">
            <v>OPT-514</v>
          </cell>
          <cell r="E2125">
            <v>42682</v>
          </cell>
          <cell r="F2125">
            <v>43160</v>
          </cell>
          <cell r="G2125">
            <v>43524</v>
          </cell>
          <cell r="H2125" t="str">
            <v>PRD</v>
          </cell>
          <cell r="I2125" t="str">
            <v>PRD</v>
          </cell>
          <cell r="J2125" t="str">
            <v>HONDA CRV</v>
          </cell>
          <cell r="K2125" t="str">
            <v>HONDA CRV CORD TAIL GATE</v>
          </cell>
          <cell r="L2125" t="str">
            <v>CV A08</v>
          </cell>
          <cell r="M2125" t="str">
            <v>S/A 1.1A</v>
          </cell>
          <cell r="N2125" t="str">
            <v>SUB ASSY</v>
          </cell>
          <cell r="O2125" t="str">
            <v>A</v>
          </cell>
        </row>
        <row r="2126">
          <cell r="A2126">
            <v>21060</v>
          </cell>
          <cell r="B2126" t="str">
            <v xml:space="preserve">MAUDY KURNIAWATI </v>
          </cell>
          <cell r="C2126" t="str">
            <v>SAMI</v>
          </cell>
          <cell r="D2126" t="str">
            <v>OPT-520</v>
          </cell>
          <cell r="E2126">
            <v>42863</v>
          </cell>
          <cell r="F2126">
            <v>43344</v>
          </cell>
          <cell r="G2126">
            <v>43708</v>
          </cell>
          <cell r="H2126" t="str">
            <v>PRD</v>
          </cell>
          <cell r="I2126" t="str">
            <v>PRD</v>
          </cell>
          <cell r="J2126" t="str">
            <v>HONDA CRV</v>
          </cell>
          <cell r="K2126" t="str">
            <v>HONDA CRV CORD TAIL GATE</v>
          </cell>
          <cell r="L2126" t="str">
            <v>CV A08</v>
          </cell>
          <cell r="M2126" t="str">
            <v>S/A 2.1A</v>
          </cell>
          <cell r="N2126" t="str">
            <v>SUB ASSY</v>
          </cell>
          <cell r="O2126" t="str">
            <v>A</v>
          </cell>
        </row>
        <row r="2127">
          <cell r="A2127">
            <v>21094</v>
          </cell>
          <cell r="B2127" t="str">
            <v>ASIH LESTARI</v>
          </cell>
          <cell r="C2127" t="str">
            <v>SAMI</v>
          </cell>
          <cell r="D2127" t="str">
            <v>OPT-521</v>
          </cell>
          <cell r="E2127">
            <v>42867</v>
          </cell>
          <cell r="F2127">
            <v>43344</v>
          </cell>
          <cell r="G2127">
            <v>43708</v>
          </cell>
          <cell r="H2127" t="str">
            <v>PRD</v>
          </cell>
          <cell r="I2127" t="str">
            <v>PRD</v>
          </cell>
          <cell r="J2127" t="str">
            <v>HONDA CRV</v>
          </cell>
          <cell r="K2127" t="str">
            <v>HONDA CRV CORD TAIL GATE</v>
          </cell>
          <cell r="L2127" t="str">
            <v>CV A08</v>
          </cell>
          <cell r="M2127" t="str">
            <v>T/P 3A</v>
          </cell>
          <cell r="N2127" t="str">
            <v>ASSEMBLY</v>
          </cell>
          <cell r="O2127" t="str">
            <v>A</v>
          </cell>
        </row>
        <row r="2128">
          <cell r="A2128">
            <v>21101</v>
          </cell>
          <cell r="B2128" t="str">
            <v xml:space="preserve">ENY SURYANTI </v>
          </cell>
          <cell r="C2128" t="str">
            <v>SAMI</v>
          </cell>
          <cell r="D2128" t="str">
            <v>OPT-521</v>
          </cell>
          <cell r="E2128">
            <v>42867</v>
          </cell>
          <cell r="F2128">
            <v>43344</v>
          </cell>
          <cell r="G2128">
            <v>43708</v>
          </cell>
          <cell r="H2128" t="str">
            <v>PRD</v>
          </cell>
          <cell r="I2128" t="str">
            <v>PRD</v>
          </cell>
          <cell r="J2128" t="str">
            <v>HONDA CRV</v>
          </cell>
          <cell r="K2128" t="str">
            <v>HONDA CRV CORD TAIL GATE</v>
          </cell>
          <cell r="L2128" t="str">
            <v>CV A08</v>
          </cell>
          <cell r="M2128" t="str">
            <v>S/T 1.1A</v>
          </cell>
          <cell r="N2128" t="str">
            <v>ASSEMBLY</v>
          </cell>
          <cell r="O2128" t="str">
            <v>A</v>
          </cell>
        </row>
        <row r="2129">
          <cell r="A2129">
            <v>21102</v>
          </cell>
          <cell r="B2129" t="str">
            <v xml:space="preserve">ERMA WAHYUNINGSIH </v>
          </cell>
          <cell r="C2129" t="str">
            <v>SAMI</v>
          </cell>
          <cell r="D2129" t="str">
            <v>OPT-521</v>
          </cell>
          <cell r="E2129">
            <v>42867</v>
          </cell>
          <cell r="F2129">
            <v>43344</v>
          </cell>
          <cell r="G2129">
            <v>43708</v>
          </cell>
          <cell r="H2129" t="str">
            <v>PRD</v>
          </cell>
          <cell r="I2129" t="str">
            <v>PRD</v>
          </cell>
          <cell r="J2129" t="str">
            <v>HONDA CRV</v>
          </cell>
          <cell r="K2129" t="str">
            <v>HONDA CRV CORD TAIL GATE</v>
          </cell>
          <cell r="L2129" t="str">
            <v>CV A08</v>
          </cell>
          <cell r="M2129" t="str">
            <v>S/T 1.1B</v>
          </cell>
          <cell r="N2129" t="str">
            <v>ASSEMBLY</v>
          </cell>
          <cell r="O2129" t="str">
            <v>A</v>
          </cell>
        </row>
        <row r="2130">
          <cell r="A2130">
            <v>21109</v>
          </cell>
          <cell r="B2130" t="str">
            <v>IMAS HANIFAH</v>
          </cell>
          <cell r="C2130" t="str">
            <v>SAMI</v>
          </cell>
          <cell r="D2130" t="str">
            <v>OPT-521</v>
          </cell>
          <cell r="E2130">
            <v>42867</v>
          </cell>
          <cell r="F2130">
            <v>43344</v>
          </cell>
          <cell r="G2130">
            <v>43708</v>
          </cell>
          <cell r="H2130" t="str">
            <v>PRD</v>
          </cell>
          <cell r="I2130" t="str">
            <v>PRD</v>
          </cell>
          <cell r="J2130" t="str">
            <v>HONDA CRV</v>
          </cell>
          <cell r="K2130" t="str">
            <v>HONDA CRV CORD TAIL GATE</v>
          </cell>
          <cell r="L2130" t="str">
            <v>CV A08</v>
          </cell>
          <cell r="M2130" t="str">
            <v>T/P 1.1B</v>
          </cell>
          <cell r="N2130" t="str">
            <v>ASSEMBLY</v>
          </cell>
          <cell r="O2130" t="str">
            <v>A</v>
          </cell>
        </row>
        <row r="2131">
          <cell r="A2131">
            <v>21115</v>
          </cell>
          <cell r="B2131" t="str">
            <v>LABIBATUL MA' RIFAH</v>
          </cell>
          <cell r="C2131" t="str">
            <v>SAMI</v>
          </cell>
          <cell r="D2131" t="str">
            <v>OPT-521</v>
          </cell>
          <cell r="E2131">
            <v>42867</v>
          </cell>
          <cell r="F2131">
            <v>43344</v>
          </cell>
          <cell r="G2131">
            <v>43708</v>
          </cell>
          <cell r="H2131" t="str">
            <v>PRD</v>
          </cell>
          <cell r="I2131" t="str">
            <v>PRD</v>
          </cell>
          <cell r="J2131" t="str">
            <v>HONDA CRV</v>
          </cell>
          <cell r="K2131" t="str">
            <v>HONDA CRV CORD TAIL GATE</v>
          </cell>
          <cell r="L2131" t="str">
            <v>CV A08</v>
          </cell>
          <cell r="M2131" t="str">
            <v>MATERIAL SUPPLY 1B</v>
          </cell>
          <cell r="N2131" t="str">
            <v>MATERIAL SUPPLY</v>
          </cell>
          <cell r="O2131" t="str">
            <v>A</v>
          </cell>
        </row>
        <row r="2132">
          <cell r="A2132">
            <v>21125</v>
          </cell>
          <cell r="B2132" t="str">
            <v>NURLAILI MARATUL  HUSNA</v>
          </cell>
          <cell r="C2132" t="str">
            <v>SAMI</v>
          </cell>
          <cell r="D2132" t="str">
            <v>OPT-521</v>
          </cell>
          <cell r="E2132">
            <v>42867</v>
          </cell>
          <cell r="F2132">
            <v>43344</v>
          </cell>
          <cell r="G2132">
            <v>43708</v>
          </cell>
          <cell r="H2132" t="str">
            <v>PRD</v>
          </cell>
          <cell r="I2132" t="str">
            <v>PRD</v>
          </cell>
          <cell r="J2132" t="str">
            <v>HONDA CRV</v>
          </cell>
          <cell r="K2132" t="str">
            <v>HONDA CRV CORD TAIL GATE</v>
          </cell>
          <cell r="L2132" t="str">
            <v>CV A08</v>
          </cell>
          <cell r="M2132" t="str">
            <v>T/P 2.1A</v>
          </cell>
          <cell r="N2132" t="str">
            <v>ASSEMBLY</v>
          </cell>
          <cell r="O2132" t="str">
            <v>A</v>
          </cell>
        </row>
        <row r="2133">
          <cell r="A2133">
            <v>21127</v>
          </cell>
          <cell r="B2133" t="str">
            <v>RAHMANITA KHOIRUNNISA</v>
          </cell>
          <cell r="C2133" t="str">
            <v>SAMI</v>
          </cell>
          <cell r="D2133" t="str">
            <v>OPT-521</v>
          </cell>
          <cell r="E2133">
            <v>42867</v>
          </cell>
          <cell r="F2133">
            <v>43344</v>
          </cell>
          <cell r="G2133">
            <v>43708</v>
          </cell>
          <cell r="H2133" t="str">
            <v>PRD</v>
          </cell>
          <cell r="I2133" t="str">
            <v>PRD</v>
          </cell>
          <cell r="J2133" t="str">
            <v>HONDA CRV</v>
          </cell>
          <cell r="K2133" t="str">
            <v>HONDA CRV CORD TAIL GATE</v>
          </cell>
          <cell r="L2133" t="str">
            <v>CV A08</v>
          </cell>
          <cell r="M2133" t="str">
            <v>T/P 6B</v>
          </cell>
          <cell r="N2133" t="str">
            <v>ASSEMBLY</v>
          </cell>
          <cell r="O2133" t="str">
            <v>A</v>
          </cell>
        </row>
        <row r="2134">
          <cell r="A2134">
            <v>21162</v>
          </cell>
          <cell r="B2134" t="str">
            <v>INDAH DEWI LESTARI</v>
          </cell>
          <cell r="C2134" t="str">
            <v>SAMI</v>
          </cell>
          <cell r="D2134" t="str">
            <v>OPT-522</v>
          </cell>
          <cell r="E2134">
            <v>42871</v>
          </cell>
          <cell r="F2134">
            <v>43374</v>
          </cell>
          <cell r="G2134">
            <v>43738</v>
          </cell>
          <cell r="H2134" t="str">
            <v>PRD</v>
          </cell>
          <cell r="I2134" t="str">
            <v>PRD</v>
          </cell>
          <cell r="J2134" t="str">
            <v>HONDA CRV</v>
          </cell>
          <cell r="K2134" t="str">
            <v>HONDA CRV CORD TAIL GATE</v>
          </cell>
          <cell r="L2134" t="str">
            <v>CV A08</v>
          </cell>
          <cell r="M2134" t="str">
            <v>S/A 1.2B</v>
          </cell>
          <cell r="N2134" t="str">
            <v>SUB ASSY</v>
          </cell>
          <cell r="O2134" t="str">
            <v>A</v>
          </cell>
        </row>
        <row r="2135">
          <cell r="A2135">
            <v>21173</v>
          </cell>
          <cell r="B2135" t="str">
            <v>NI'MATUL KHIKMAH</v>
          </cell>
          <cell r="C2135" t="str">
            <v>SAMI</v>
          </cell>
          <cell r="D2135" t="str">
            <v>OPT-522</v>
          </cell>
          <cell r="E2135">
            <v>42871</v>
          </cell>
          <cell r="F2135">
            <v>43374</v>
          </cell>
          <cell r="G2135">
            <v>43738</v>
          </cell>
          <cell r="H2135" t="str">
            <v>PRD</v>
          </cell>
          <cell r="I2135" t="str">
            <v>PRD</v>
          </cell>
          <cell r="J2135" t="str">
            <v>HONDA CRV</v>
          </cell>
          <cell r="K2135" t="str">
            <v>HONDA CRV CORD TAIL GATE</v>
          </cell>
          <cell r="L2135" t="str">
            <v>CV A08</v>
          </cell>
          <cell r="M2135" t="str">
            <v>S/A 1.1B</v>
          </cell>
          <cell r="N2135" t="str">
            <v>SUB ASSY</v>
          </cell>
          <cell r="O2135" t="str">
            <v>A</v>
          </cell>
        </row>
        <row r="2136">
          <cell r="A2136">
            <v>21178</v>
          </cell>
          <cell r="B2136" t="str">
            <v>NURLAELATUS SANIYAH</v>
          </cell>
          <cell r="C2136" t="str">
            <v>SAMI</v>
          </cell>
          <cell r="D2136" t="str">
            <v>OPT-522</v>
          </cell>
          <cell r="E2136">
            <v>42871</v>
          </cell>
          <cell r="F2136">
            <v>43374</v>
          </cell>
          <cell r="G2136">
            <v>43738</v>
          </cell>
          <cell r="H2136" t="str">
            <v>PRD</v>
          </cell>
          <cell r="I2136" t="str">
            <v>PRD</v>
          </cell>
          <cell r="J2136" t="str">
            <v>HONDA CRV</v>
          </cell>
          <cell r="K2136" t="str">
            <v>HONDA CRV CORD TAIL GATE</v>
          </cell>
          <cell r="L2136" t="str">
            <v>CV A08</v>
          </cell>
          <cell r="M2136" t="str">
            <v>S/A 2.2A</v>
          </cell>
          <cell r="N2136" t="str">
            <v>SUB ASSY</v>
          </cell>
          <cell r="O2136" t="str">
            <v>A</v>
          </cell>
        </row>
        <row r="2137">
          <cell r="A2137">
            <v>21180</v>
          </cell>
          <cell r="B2137" t="str">
            <v>RIZQI NUR WIJAYANTI</v>
          </cell>
          <cell r="C2137" t="str">
            <v>SAMI</v>
          </cell>
          <cell r="D2137" t="str">
            <v>OPT-522</v>
          </cell>
          <cell r="E2137">
            <v>42871</v>
          </cell>
          <cell r="F2137">
            <v>43374</v>
          </cell>
          <cell r="G2137">
            <v>43738</v>
          </cell>
          <cell r="H2137" t="str">
            <v>PRD</v>
          </cell>
          <cell r="I2137" t="str">
            <v>PRD</v>
          </cell>
          <cell r="J2137" t="str">
            <v>HONDA CRV</v>
          </cell>
          <cell r="K2137" t="str">
            <v>HONDA CRV CORD TAIL GATE</v>
          </cell>
          <cell r="L2137" t="str">
            <v>CV A08</v>
          </cell>
          <cell r="M2137" t="str">
            <v>S/A 2.1B</v>
          </cell>
          <cell r="N2137" t="str">
            <v>SUB ASSY</v>
          </cell>
          <cell r="O2137" t="str">
            <v>A</v>
          </cell>
        </row>
        <row r="2138">
          <cell r="A2138">
            <v>21196</v>
          </cell>
          <cell r="B2138" t="str">
            <v>WAHYU SYILVI RIWAYATI</v>
          </cell>
          <cell r="C2138" t="str">
            <v>SAMI</v>
          </cell>
          <cell r="D2138" t="str">
            <v>OPT-522</v>
          </cell>
          <cell r="E2138">
            <v>42871</v>
          </cell>
          <cell r="F2138">
            <v>43374</v>
          </cell>
          <cell r="G2138">
            <v>43738</v>
          </cell>
          <cell r="H2138" t="str">
            <v>PRD</v>
          </cell>
          <cell r="I2138" t="str">
            <v>PRD</v>
          </cell>
          <cell r="J2138" t="str">
            <v>HONDA CRV</v>
          </cell>
          <cell r="K2138" t="str">
            <v>HONDA CRV CORD TAIL GATE</v>
          </cell>
          <cell r="L2138" t="str">
            <v>CV A08</v>
          </cell>
          <cell r="M2138" t="str">
            <v>S/A 1.2A</v>
          </cell>
          <cell r="N2138" t="str">
            <v>SUB ASSY</v>
          </cell>
          <cell r="O2138" t="str">
            <v>A</v>
          </cell>
        </row>
        <row r="2139">
          <cell r="A2139">
            <v>21217</v>
          </cell>
          <cell r="B2139" t="str">
            <v>NILA MAYASARI</v>
          </cell>
          <cell r="C2139" t="str">
            <v>SAMI</v>
          </cell>
          <cell r="D2139" t="str">
            <v>OPT-523</v>
          </cell>
          <cell r="E2139">
            <v>42877</v>
          </cell>
          <cell r="F2139">
            <v>43374</v>
          </cell>
          <cell r="G2139">
            <v>43738</v>
          </cell>
          <cell r="H2139" t="str">
            <v>PRD</v>
          </cell>
          <cell r="I2139" t="str">
            <v>PRD</v>
          </cell>
          <cell r="J2139" t="str">
            <v>HONDA CRV</v>
          </cell>
          <cell r="K2139" t="str">
            <v>HONDA CRV CORD TAIL GATE</v>
          </cell>
          <cell r="L2139" t="str">
            <v>CV A08</v>
          </cell>
          <cell r="M2139" t="str">
            <v>VISUAL 1.2B</v>
          </cell>
          <cell r="N2139" t="str">
            <v>VISUAL INSPECTION</v>
          </cell>
          <cell r="O2139" t="str">
            <v>A</v>
          </cell>
        </row>
        <row r="2140">
          <cell r="A2140">
            <v>21324</v>
          </cell>
          <cell r="B2140" t="str">
            <v>ACHMAD FURQON</v>
          </cell>
          <cell r="C2140" t="str">
            <v>SAMI</v>
          </cell>
          <cell r="D2140" t="str">
            <v>OPT-531</v>
          </cell>
          <cell r="E2140">
            <v>43013</v>
          </cell>
          <cell r="F2140">
            <v>43405</v>
          </cell>
          <cell r="G2140">
            <v>43769</v>
          </cell>
          <cell r="H2140" t="str">
            <v>PRD</v>
          </cell>
          <cell r="I2140" t="str">
            <v>PRD</v>
          </cell>
          <cell r="J2140" t="str">
            <v>HONDA CRV</v>
          </cell>
          <cell r="K2140" t="str">
            <v>HONDA CRV CORD TAIL GATE</v>
          </cell>
          <cell r="L2140" t="str">
            <v>CV A08</v>
          </cell>
          <cell r="M2140" t="str">
            <v>T/P 7.2A</v>
          </cell>
          <cell r="N2140" t="str">
            <v>ASSEMBLY</v>
          </cell>
          <cell r="O2140" t="str">
            <v>A</v>
          </cell>
        </row>
        <row r="2141">
          <cell r="A2141">
            <v>21376</v>
          </cell>
          <cell r="B2141" t="str">
            <v>VELLA SIFATUN NISA</v>
          </cell>
          <cell r="C2141" t="str">
            <v>SAMI</v>
          </cell>
          <cell r="D2141" t="str">
            <v>OPT-531</v>
          </cell>
          <cell r="E2141">
            <v>43013</v>
          </cell>
          <cell r="F2141">
            <v>43405</v>
          </cell>
          <cell r="G2141">
            <v>43769</v>
          </cell>
          <cell r="H2141" t="str">
            <v>PRD</v>
          </cell>
          <cell r="I2141" t="str">
            <v>PRD</v>
          </cell>
          <cell r="J2141" t="str">
            <v>HONDA CRV</v>
          </cell>
          <cell r="K2141" t="str">
            <v>HONDA CRV CORD TAIL GATE</v>
          </cell>
          <cell r="L2141" t="str">
            <v>CV A08</v>
          </cell>
          <cell r="M2141" t="str">
            <v>CIRCUIT SUPPLIER</v>
          </cell>
          <cell r="N2141" t="str">
            <v>CIRCUIT SUPPLY</v>
          </cell>
          <cell r="O2141" t="str">
            <v>A</v>
          </cell>
        </row>
        <row r="2142">
          <cell r="A2142">
            <v>21620</v>
          </cell>
          <cell r="B2142" t="str">
            <v>SARAH FARADIFA</v>
          </cell>
          <cell r="C2142" t="str">
            <v>SAMI</v>
          </cell>
          <cell r="D2142" t="str">
            <v>OPT-536</v>
          </cell>
          <cell r="E2142">
            <v>43048</v>
          </cell>
          <cell r="F2142">
            <v>43435</v>
          </cell>
          <cell r="G2142">
            <v>43799</v>
          </cell>
          <cell r="H2142" t="str">
            <v>PRD</v>
          </cell>
          <cell r="I2142" t="str">
            <v>PRD</v>
          </cell>
          <cell r="J2142" t="str">
            <v>HONDA CRV</v>
          </cell>
          <cell r="K2142" t="str">
            <v>HONDA CRV CORD TAIL GATE</v>
          </cell>
          <cell r="L2142" t="str">
            <v>CV A08</v>
          </cell>
          <cell r="M2142" t="str">
            <v>T/P 2.2B</v>
          </cell>
          <cell r="N2142" t="str">
            <v>ASSEMBLY</v>
          </cell>
          <cell r="O2142" t="str">
            <v>A</v>
          </cell>
        </row>
        <row r="2143">
          <cell r="A2143">
            <v>21679</v>
          </cell>
          <cell r="B2143" t="str">
            <v>SITI NUR RODIYAH</v>
          </cell>
          <cell r="C2143" t="str">
            <v>SAMI</v>
          </cell>
          <cell r="D2143" t="str">
            <v>OPT-537</v>
          </cell>
          <cell r="E2143">
            <v>43055</v>
          </cell>
          <cell r="F2143">
            <v>43466</v>
          </cell>
          <cell r="G2143">
            <v>43830</v>
          </cell>
          <cell r="H2143" t="str">
            <v>PRD</v>
          </cell>
          <cell r="I2143" t="str">
            <v>PRD</v>
          </cell>
          <cell r="J2143" t="str">
            <v>HONDA CRV</v>
          </cell>
          <cell r="K2143" t="str">
            <v>HONDA CRV CORD TAIL GATE</v>
          </cell>
          <cell r="L2143" t="str">
            <v>CV A08</v>
          </cell>
          <cell r="M2143" t="str">
            <v>CIRCUIT SUPPLIER</v>
          </cell>
          <cell r="N2143" t="str">
            <v>CIRCUIT SUPPLY</v>
          </cell>
          <cell r="O2143" t="str">
            <v>A</v>
          </cell>
        </row>
        <row r="2144">
          <cell r="A2144">
            <v>21681</v>
          </cell>
          <cell r="B2144" t="str">
            <v>SITI YULIASIH</v>
          </cell>
          <cell r="C2144" t="str">
            <v>SAMI</v>
          </cell>
          <cell r="D2144" t="str">
            <v>OPT-537</v>
          </cell>
          <cell r="E2144">
            <v>43055</v>
          </cell>
          <cell r="F2144">
            <v>43466</v>
          </cell>
          <cell r="G2144">
            <v>43830</v>
          </cell>
          <cell r="H2144" t="str">
            <v>PRD</v>
          </cell>
          <cell r="I2144" t="str">
            <v>PRD</v>
          </cell>
          <cell r="J2144" t="str">
            <v>HONDA CRV</v>
          </cell>
          <cell r="K2144" t="str">
            <v>HONDA CRV CORD TAIL GATE</v>
          </cell>
          <cell r="L2144" t="str">
            <v>CV A08</v>
          </cell>
          <cell r="M2144" t="str">
            <v>T/P 4B</v>
          </cell>
          <cell r="N2144" t="str">
            <v>ASSEMBLY</v>
          </cell>
          <cell r="O2144" t="str">
            <v>A</v>
          </cell>
        </row>
        <row r="2145">
          <cell r="A2145">
            <v>21718</v>
          </cell>
          <cell r="B2145" t="str">
            <v>ITA RAHMAWATI</v>
          </cell>
          <cell r="C2145" t="str">
            <v>SAMI</v>
          </cell>
          <cell r="D2145" t="str">
            <v>OPT-539</v>
          </cell>
          <cell r="E2145">
            <v>43087</v>
          </cell>
          <cell r="F2145">
            <v>43118</v>
          </cell>
          <cell r="G2145">
            <v>43496</v>
          </cell>
          <cell r="H2145" t="str">
            <v>PRD</v>
          </cell>
          <cell r="I2145" t="str">
            <v>PRD</v>
          </cell>
          <cell r="J2145" t="str">
            <v>HONDA CRV</v>
          </cell>
          <cell r="K2145" t="str">
            <v>HONDA CRV CORD TAIL GATE</v>
          </cell>
          <cell r="L2145" t="str">
            <v>CV A08</v>
          </cell>
          <cell r="M2145" t="str">
            <v>MATERIAL SUPPLY 1A</v>
          </cell>
          <cell r="N2145" t="str">
            <v>MATERIAL SUPPLY</v>
          </cell>
          <cell r="O2145" t="str">
            <v>A</v>
          </cell>
        </row>
        <row r="2146">
          <cell r="A2146">
            <v>22030</v>
          </cell>
          <cell r="B2146" t="str">
            <v>INTAN LUTFIYANTI</v>
          </cell>
          <cell r="C2146" t="str">
            <v>SAMI</v>
          </cell>
          <cell r="D2146" t="str">
            <v>OPT-547</v>
          </cell>
          <cell r="E2146">
            <v>43144</v>
          </cell>
          <cell r="F2146">
            <v>43172</v>
          </cell>
          <cell r="G2146">
            <v>43524</v>
          </cell>
          <cell r="H2146" t="str">
            <v>PRD</v>
          </cell>
          <cell r="I2146" t="str">
            <v>PRD</v>
          </cell>
          <cell r="J2146" t="str">
            <v>HONDA CRV</v>
          </cell>
          <cell r="K2146" t="str">
            <v>HONDA CRV CORD TAIL GATE</v>
          </cell>
          <cell r="L2146" t="str">
            <v>CV A08</v>
          </cell>
          <cell r="M2146" t="str">
            <v>T/P 2.2A</v>
          </cell>
          <cell r="N2146" t="str">
            <v>ASSEMBLY</v>
          </cell>
          <cell r="O2146" t="str">
            <v>A</v>
          </cell>
        </row>
        <row r="2147">
          <cell r="A2147">
            <v>22160</v>
          </cell>
          <cell r="B2147" t="str">
            <v>VIKA MASRUROH</v>
          </cell>
          <cell r="C2147" t="str">
            <v>SAMI</v>
          </cell>
          <cell r="D2147" t="str">
            <v>OPT-549</v>
          </cell>
          <cell r="E2147">
            <v>43153</v>
          </cell>
          <cell r="F2147">
            <v>43181</v>
          </cell>
          <cell r="G2147">
            <v>43555</v>
          </cell>
          <cell r="H2147" t="str">
            <v>PRD</v>
          </cell>
          <cell r="I2147" t="str">
            <v>PRD</v>
          </cell>
          <cell r="J2147" t="str">
            <v>HONDA CRV</v>
          </cell>
          <cell r="K2147" t="str">
            <v>HONDA CRV CORD TAIL GATE</v>
          </cell>
          <cell r="L2147" t="str">
            <v>CV A08</v>
          </cell>
          <cell r="M2147" t="str">
            <v>T/P 1.2A</v>
          </cell>
          <cell r="N2147" t="str">
            <v>ASSEMBLY</v>
          </cell>
          <cell r="O2147" t="str">
            <v>A</v>
          </cell>
        </row>
        <row r="2148">
          <cell r="A2148">
            <v>22166</v>
          </cell>
          <cell r="B2148" t="str">
            <v>ARDIA MUFIDHATUL ULYA</v>
          </cell>
          <cell r="C2148" t="str">
            <v>SAMI</v>
          </cell>
          <cell r="D2148" t="str">
            <v>OPT-550</v>
          </cell>
          <cell r="E2148">
            <v>43158</v>
          </cell>
          <cell r="F2148">
            <v>43186</v>
          </cell>
          <cell r="G2148">
            <v>43555</v>
          </cell>
          <cell r="H2148" t="str">
            <v>PRD</v>
          </cell>
          <cell r="I2148" t="str">
            <v>PRD</v>
          </cell>
          <cell r="J2148" t="str">
            <v>HONDA CRV</v>
          </cell>
          <cell r="K2148" t="str">
            <v>HONDA CRV CORD TAIL GATE</v>
          </cell>
          <cell r="L2148" t="str">
            <v>CV A08</v>
          </cell>
          <cell r="M2148" t="str">
            <v>S/A 3.2A</v>
          </cell>
          <cell r="N2148" t="str">
            <v>SUB ASSY</v>
          </cell>
          <cell r="O2148" t="str">
            <v>A</v>
          </cell>
        </row>
        <row r="2149">
          <cell r="A2149">
            <v>22261</v>
          </cell>
          <cell r="B2149" t="str">
            <v>BAGUS MAULANA</v>
          </cell>
          <cell r="C2149" t="str">
            <v>SAMI</v>
          </cell>
          <cell r="D2149" t="str">
            <v>OPT-553</v>
          </cell>
          <cell r="E2149">
            <v>43175</v>
          </cell>
          <cell r="F2149">
            <v>43206</v>
          </cell>
          <cell r="G2149">
            <v>43585</v>
          </cell>
          <cell r="H2149" t="str">
            <v>PRD</v>
          </cell>
          <cell r="I2149" t="str">
            <v>PRD</v>
          </cell>
          <cell r="J2149" t="str">
            <v>HONDA CRV</v>
          </cell>
          <cell r="K2149" t="str">
            <v>HONDA CRV CORD TAIL GATE</v>
          </cell>
          <cell r="L2149" t="str">
            <v>CV A08</v>
          </cell>
          <cell r="M2149" t="str">
            <v>INSERTION GROUP</v>
          </cell>
          <cell r="N2149" t="str">
            <v>SUB ASSY</v>
          </cell>
          <cell r="O2149" t="str">
            <v>A</v>
          </cell>
        </row>
        <row r="2150">
          <cell r="A2150">
            <v>22523</v>
          </cell>
          <cell r="B2150" t="str">
            <v>DHIAH NOVITASARI</v>
          </cell>
          <cell r="C2150" t="str">
            <v>SAMI</v>
          </cell>
          <cell r="D2150" t="str">
            <v>OPT-560</v>
          </cell>
          <cell r="E2150">
            <v>43224</v>
          </cell>
          <cell r="F2150">
            <v>43255</v>
          </cell>
          <cell r="G2150">
            <v>43616</v>
          </cell>
          <cell r="H2150" t="str">
            <v>PRD</v>
          </cell>
          <cell r="I2150" t="str">
            <v>PRD</v>
          </cell>
          <cell r="J2150" t="str">
            <v>HONDA CRV</v>
          </cell>
          <cell r="K2150" t="str">
            <v>HONDA CRV CORD TAIL GATE</v>
          </cell>
          <cell r="L2150" t="str">
            <v>CV A08</v>
          </cell>
          <cell r="M2150" t="str">
            <v>OJT VISUAL 1.2A</v>
          </cell>
          <cell r="N2150" t="str">
            <v>INTERNAL TRIAL</v>
          </cell>
          <cell r="O2150" t="str">
            <v>A</v>
          </cell>
        </row>
        <row r="2151">
          <cell r="A2151">
            <v>22573</v>
          </cell>
          <cell r="B2151" t="str">
            <v>SITI AROFAH</v>
          </cell>
          <cell r="C2151" t="str">
            <v>SAMI</v>
          </cell>
          <cell r="D2151" t="str">
            <v>OPT-560</v>
          </cell>
          <cell r="E2151">
            <v>43224</v>
          </cell>
          <cell r="F2151">
            <v>43255</v>
          </cell>
          <cell r="G2151">
            <v>43616</v>
          </cell>
          <cell r="H2151" t="str">
            <v>PRD</v>
          </cell>
          <cell r="I2151" t="str">
            <v>PRD</v>
          </cell>
          <cell r="J2151" t="str">
            <v>HONDA CRV</v>
          </cell>
          <cell r="K2151" t="str">
            <v>HONDA CRV CORD TAIL GATE</v>
          </cell>
          <cell r="L2151" t="str">
            <v>CV A08</v>
          </cell>
          <cell r="M2151" t="str">
            <v>S/A 3.1B</v>
          </cell>
          <cell r="N2151" t="str">
            <v>SUB ASSY</v>
          </cell>
          <cell r="O2151" t="str">
            <v>A</v>
          </cell>
        </row>
        <row r="2152">
          <cell r="A2152">
            <v>22681</v>
          </cell>
          <cell r="B2152" t="str">
            <v>SITI NUR KHOLISAH</v>
          </cell>
          <cell r="C2152" t="str">
            <v>SAMI</v>
          </cell>
          <cell r="D2152" t="str">
            <v>OPT-562</v>
          </cell>
          <cell r="E2152">
            <v>43241</v>
          </cell>
          <cell r="F2152">
            <v>43272</v>
          </cell>
          <cell r="G2152">
            <v>43646</v>
          </cell>
          <cell r="H2152" t="str">
            <v>PRD</v>
          </cell>
          <cell r="I2152" t="str">
            <v>PRD</v>
          </cell>
          <cell r="J2152" t="str">
            <v>HONDA CRV</v>
          </cell>
          <cell r="K2152" t="str">
            <v>HONDA CRV CORD TAIL GATE</v>
          </cell>
          <cell r="L2152" t="str">
            <v>CV A08</v>
          </cell>
          <cell r="M2152" t="str">
            <v>S/T 1.2B</v>
          </cell>
          <cell r="N2152" t="str">
            <v>ASSEMBLY</v>
          </cell>
          <cell r="O2152" t="str">
            <v>A</v>
          </cell>
        </row>
        <row r="2153">
          <cell r="A2153">
            <v>22710</v>
          </cell>
          <cell r="B2153" t="str">
            <v xml:space="preserve">PUSPA LARASATI </v>
          </cell>
          <cell r="C2153" t="str">
            <v>SAMI</v>
          </cell>
          <cell r="D2153" t="str">
            <v>OPT-563</v>
          </cell>
          <cell r="E2153">
            <v>43244</v>
          </cell>
          <cell r="F2153">
            <v>43275</v>
          </cell>
          <cell r="G2153">
            <v>43646</v>
          </cell>
          <cell r="H2153" t="str">
            <v>PRD</v>
          </cell>
          <cell r="I2153" t="str">
            <v>PRD</v>
          </cell>
          <cell r="J2153" t="str">
            <v>HONDA CRV</v>
          </cell>
          <cell r="K2153" t="str">
            <v>HONDA CRV CORD TAIL GATE</v>
          </cell>
          <cell r="L2153" t="str">
            <v>CV A08</v>
          </cell>
          <cell r="M2153" t="str">
            <v>S/A 2.2B</v>
          </cell>
          <cell r="N2153" t="str">
            <v>SUB ASSY</v>
          </cell>
          <cell r="O2153" t="str">
            <v>A</v>
          </cell>
        </row>
        <row r="2154">
          <cell r="A2154">
            <v>22758</v>
          </cell>
          <cell r="B2154" t="str">
            <v>RISMA GINTARI</v>
          </cell>
          <cell r="C2154" t="str">
            <v>SAMI</v>
          </cell>
          <cell r="D2154" t="str">
            <v>OPT-564</v>
          </cell>
          <cell r="E2154">
            <v>43255</v>
          </cell>
          <cell r="F2154">
            <v>43285</v>
          </cell>
          <cell r="G2154">
            <v>43646</v>
          </cell>
          <cell r="H2154" t="str">
            <v>PRD</v>
          </cell>
          <cell r="I2154" t="str">
            <v>PRD</v>
          </cell>
          <cell r="J2154" t="str">
            <v>HONDA CRV</v>
          </cell>
          <cell r="K2154" t="str">
            <v>HONDA CRV CORD TAIL GATE</v>
          </cell>
          <cell r="L2154" t="str">
            <v>CV A08</v>
          </cell>
          <cell r="M2154" t="str">
            <v>T/P 5B</v>
          </cell>
          <cell r="N2154" t="str">
            <v>ASSEMBLY</v>
          </cell>
          <cell r="O2154" t="str">
            <v>A</v>
          </cell>
        </row>
        <row r="2155">
          <cell r="A2155">
            <v>22792</v>
          </cell>
          <cell r="B2155" t="str">
            <v>NUR HIDAYAH</v>
          </cell>
          <cell r="C2155" t="str">
            <v>SAMI</v>
          </cell>
          <cell r="D2155" t="str">
            <v>OPT-565</v>
          </cell>
          <cell r="E2155">
            <v>43283</v>
          </cell>
          <cell r="F2155">
            <v>43314</v>
          </cell>
          <cell r="G2155">
            <v>43677</v>
          </cell>
          <cell r="H2155" t="str">
            <v>PRD</v>
          </cell>
          <cell r="I2155" t="str">
            <v>PRD</v>
          </cell>
          <cell r="J2155" t="str">
            <v>HONDA CRV</v>
          </cell>
          <cell r="K2155" t="str">
            <v>HONDA CRV CORD TAIL GATE</v>
          </cell>
          <cell r="L2155" t="str">
            <v>CV A08</v>
          </cell>
          <cell r="M2155" t="str">
            <v>S/A 3.2B</v>
          </cell>
          <cell r="N2155" t="str">
            <v>SUB ASSY</v>
          </cell>
          <cell r="O2155" t="str">
            <v>A</v>
          </cell>
        </row>
        <row r="2156">
          <cell r="A2156">
            <v>22852</v>
          </cell>
          <cell r="B2156" t="str">
            <v>MEI SAROH</v>
          </cell>
          <cell r="C2156" t="str">
            <v>SAMI</v>
          </cell>
          <cell r="D2156" t="str">
            <v>OPT-567</v>
          </cell>
          <cell r="E2156">
            <v>43333</v>
          </cell>
          <cell r="F2156">
            <v>43364</v>
          </cell>
          <cell r="G2156">
            <v>43738</v>
          </cell>
          <cell r="H2156" t="str">
            <v>PRD</v>
          </cell>
          <cell r="I2156" t="str">
            <v>PRD</v>
          </cell>
          <cell r="J2156" t="str">
            <v>HONDA CRV</v>
          </cell>
          <cell r="K2156" t="str">
            <v>HONDA CRV CORD TAIL GATE</v>
          </cell>
          <cell r="L2156" t="str">
            <v>CV A08</v>
          </cell>
          <cell r="M2156" t="str">
            <v>CHECKER 1.2A</v>
          </cell>
          <cell r="N2156" t="str">
            <v>ELECTRICAL INSPECTION</v>
          </cell>
          <cell r="O2156" t="str">
            <v>A</v>
          </cell>
        </row>
        <row r="2157">
          <cell r="A2157">
            <v>23127</v>
          </cell>
          <cell r="B2157" t="str">
            <v>LAELATUL KHUSNA</v>
          </cell>
          <cell r="C2157" t="str">
            <v>SAMI</v>
          </cell>
          <cell r="D2157" t="str">
            <v>OPT-570</v>
          </cell>
          <cell r="E2157">
            <v>43369</v>
          </cell>
          <cell r="F2157">
            <v>43399</v>
          </cell>
          <cell r="G2157">
            <v>43769</v>
          </cell>
          <cell r="H2157" t="str">
            <v>PRD</v>
          </cell>
          <cell r="I2157" t="str">
            <v>PRD</v>
          </cell>
          <cell r="J2157" t="str">
            <v>HONDA CRV</v>
          </cell>
          <cell r="K2157" t="str">
            <v>HONDA CRV CORD TAIL GATE</v>
          </cell>
          <cell r="L2157" t="str">
            <v>CV A08</v>
          </cell>
          <cell r="M2157" t="str">
            <v>T/P 3B</v>
          </cell>
          <cell r="N2157" t="str">
            <v>ASSEMBLY</v>
          </cell>
          <cell r="O2157" t="str">
            <v>A</v>
          </cell>
        </row>
        <row r="2158">
          <cell r="A2158">
            <v>23162</v>
          </cell>
          <cell r="B2158" t="str">
            <v>RISKA LESTARI</v>
          </cell>
          <cell r="C2158" t="str">
            <v>SAMI</v>
          </cell>
          <cell r="D2158" t="str">
            <v>OPT-570</v>
          </cell>
          <cell r="E2158">
            <v>43369</v>
          </cell>
          <cell r="F2158">
            <v>43399</v>
          </cell>
          <cell r="G2158">
            <v>43769</v>
          </cell>
          <cell r="H2158" t="str">
            <v>PRD</v>
          </cell>
          <cell r="I2158" t="str">
            <v>PRD</v>
          </cell>
          <cell r="J2158" t="str">
            <v>HONDA CRV</v>
          </cell>
          <cell r="K2158" t="str">
            <v>HONDA CRV CORD TAIL GATE</v>
          </cell>
          <cell r="L2158" t="str">
            <v>CV A08</v>
          </cell>
          <cell r="M2158" t="str">
            <v>CHECKER 1.1B</v>
          </cell>
          <cell r="N2158" t="str">
            <v>ELECTRICAL INSPECTION</v>
          </cell>
          <cell r="O2158" t="str">
            <v>A</v>
          </cell>
        </row>
        <row r="2159">
          <cell r="A2159">
            <v>23242</v>
          </cell>
          <cell r="B2159" t="str">
            <v>MONICA INDAH NURHAYATI</v>
          </cell>
          <cell r="C2159" t="str">
            <v>SAMI</v>
          </cell>
          <cell r="D2159" t="str">
            <v>OPT-573</v>
          </cell>
          <cell r="E2159">
            <v>43421</v>
          </cell>
          <cell r="F2159">
            <v>43451</v>
          </cell>
          <cell r="G2159">
            <v>43830</v>
          </cell>
          <cell r="H2159" t="str">
            <v>PRD</v>
          </cell>
          <cell r="I2159" t="str">
            <v>PRD</v>
          </cell>
          <cell r="J2159" t="str">
            <v>HONDA CRV</v>
          </cell>
          <cell r="K2159" t="str">
            <v>HONDA CRV CORD TAIL GATE</v>
          </cell>
          <cell r="L2159" t="str">
            <v>CV A08</v>
          </cell>
          <cell r="M2159" t="str">
            <v>T/P 2.1B</v>
          </cell>
          <cell r="N2159" t="str">
            <v>ASSEMBLY</v>
          </cell>
          <cell r="O2159" t="str">
            <v>A</v>
          </cell>
        </row>
        <row r="2160">
          <cell r="A2160">
            <v>23384</v>
          </cell>
          <cell r="B2160" t="str">
            <v>YENI DINDA PRATIWI</v>
          </cell>
          <cell r="C2160" t="str">
            <v>SAMI</v>
          </cell>
          <cell r="D2160" t="str">
            <v>OPT-574</v>
          </cell>
          <cell r="E2160">
            <v>43427</v>
          </cell>
          <cell r="F2160">
            <v>43457</v>
          </cell>
          <cell r="G2160">
            <v>43830</v>
          </cell>
          <cell r="H2160" t="str">
            <v>PRD</v>
          </cell>
          <cell r="I2160" t="str">
            <v>PRD</v>
          </cell>
          <cell r="J2160" t="str">
            <v>HONDA CRV</v>
          </cell>
          <cell r="K2160" t="str">
            <v>HONDA CRV CORD TAIL GATE</v>
          </cell>
          <cell r="L2160" t="str">
            <v>CV A08</v>
          </cell>
          <cell r="M2160" t="str">
            <v>S/A 3.1A</v>
          </cell>
          <cell r="N2160" t="str">
            <v>SUB ASSY</v>
          </cell>
          <cell r="O2160" t="str">
            <v>A</v>
          </cell>
        </row>
        <row r="2161">
          <cell r="A2161">
            <v>23386</v>
          </cell>
          <cell r="B2161" t="str">
            <v>YULISSA ALI PUTRI</v>
          </cell>
          <cell r="C2161" t="str">
            <v>SAMI</v>
          </cell>
          <cell r="D2161" t="str">
            <v>OPT-574</v>
          </cell>
          <cell r="E2161">
            <v>43427</v>
          </cell>
          <cell r="F2161">
            <v>43457</v>
          </cell>
          <cell r="G2161">
            <v>43830</v>
          </cell>
          <cell r="H2161" t="str">
            <v>PRD</v>
          </cell>
          <cell r="I2161" t="str">
            <v>PRD</v>
          </cell>
          <cell r="J2161" t="str">
            <v>HONDA CRV</v>
          </cell>
          <cell r="K2161" t="str">
            <v>HONDA CRV CORD TAIL GATE</v>
          </cell>
          <cell r="L2161" t="str">
            <v>CV A08</v>
          </cell>
          <cell r="M2161" t="str">
            <v>CHECKER 1.2B</v>
          </cell>
          <cell r="N2161" t="str">
            <v>ELECTRICAL INSPECTION</v>
          </cell>
          <cell r="O2161" t="str">
            <v>A</v>
          </cell>
        </row>
        <row r="2162">
          <cell r="A2162">
            <v>23523</v>
          </cell>
          <cell r="B2162" t="str">
            <v>SITI NAFIAH</v>
          </cell>
          <cell r="C2162" t="str">
            <v>SAMI</v>
          </cell>
          <cell r="D2162" t="str">
            <v>OPT-576</v>
          </cell>
          <cell r="E2162">
            <v>43441</v>
          </cell>
          <cell r="F2162">
            <v>43472</v>
          </cell>
          <cell r="G2162">
            <v>43830</v>
          </cell>
          <cell r="H2162" t="str">
            <v>PRD</v>
          </cell>
          <cell r="I2162" t="str">
            <v>PRD</v>
          </cell>
          <cell r="J2162" t="str">
            <v>HONDA CRV</v>
          </cell>
          <cell r="K2162" t="str">
            <v>HONDA CRV CORD TAIL GATE</v>
          </cell>
          <cell r="L2162" t="str">
            <v>CV A08</v>
          </cell>
          <cell r="M2162" t="str">
            <v>OJT T/P 5A</v>
          </cell>
          <cell r="N2162" t="str">
            <v>INTERNAL TRIAL</v>
          </cell>
          <cell r="O2162" t="str">
            <v>A</v>
          </cell>
        </row>
        <row r="2163">
          <cell r="A2163">
            <v>23586</v>
          </cell>
          <cell r="B2163" t="str">
            <v>SAHILATUN</v>
          </cell>
          <cell r="C2163" t="str">
            <v>SAMI</v>
          </cell>
          <cell r="D2163" t="str">
            <v>OPT-577</v>
          </cell>
          <cell r="E2163">
            <v>43452</v>
          </cell>
          <cell r="F2163">
            <v>43483</v>
          </cell>
          <cell r="G2163">
            <v>43861</v>
          </cell>
          <cell r="H2163" t="str">
            <v>PRD</v>
          </cell>
          <cell r="I2163" t="str">
            <v>PRD</v>
          </cell>
          <cell r="J2163" t="str">
            <v>HONDA CRV</v>
          </cell>
          <cell r="K2163" t="str">
            <v>HONDA CRV CORD TAIL GATE</v>
          </cell>
          <cell r="L2163" t="str">
            <v>CV A08</v>
          </cell>
          <cell r="M2163" t="str">
            <v>OJT T/P 4A</v>
          </cell>
          <cell r="N2163" t="str">
            <v>INTERNAL TRIAL</v>
          </cell>
          <cell r="O2163" t="str">
            <v>A</v>
          </cell>
        </row>
        <row r="2164">
          <cell r="A2164" t="str">
            <v>M23621</v>
          </cell>
          <cell r="B2164" t="str">
            <v>GHONIMATUL MAGHFIROH</v>
          </cell>
          <cell r="C2164" t="str">
            <v>SAMI</v>
          </cell>
          <cell r="D2164" t="str">
            <v>OPT-578</v>
          </cell>
          <cell r="E2164">
            <v>43467</v>
          </cell>
          <cell r="F2164">
            <v>43467</v>
          </cell>
          <cell r="G2164">
            <v>43497</v>
          </cell>
          <cell r="H2164" t="str">
            <v>PRD</v>
          </cell>
          <cell r="I2164" t="str">
            <v>PRD</v>
          </cell>
          <cell r="J2164" t="str">
            <v>HONDA CRV</v>
          </cell>
          <cell r="K2164" t="str">
            <v>HONDA CRV CORD TAIL GATE</v>
          </cell>
          <cell r="L2164" t="str">
            <v>CV A08</v>
          </cell>
          <cell r="M2164" t="str">
            <v>T/P 1.1A</v>
          </cell>
          <cell r="N2164" t="str">
            <v>ASSEMBLY</v>
          </cell>
          <cell r="O2164" t="str">
            <v>A</v>
          </cell>
        </row>
        <row r="2165">
          <cell r="A2165">
            <v>5688</v>
          </cell>
          <cell r="B2165" t="str">
            <v>ANIK SAFAATI</v>
          </cell>
          <cell r="C2165" t="str">
            <v>SAMI</v>
          </cell>
          <cell r="D2165" t="str">
            <v>OPT-134</v>
          </cell>
          <cell r="E2165">
            <v>39098</v>
          </cell>
          <cell r="F2165" t="str">
            <v>-</v>
          </cell>
          <cell r="G2165" t="str">
            <v>-</v>
          </cell>
          <cell r="H2165" t="str">
            <v>PRD</v>
          </cell>
          <cell r="I2165" t="str">
            <v>PRD</v>
          </cell>
          <cell r="J2165" t="str">
            <v>HONDA CRV</v>
          </cell>
          <cell r="K2165" t="str">
            <v>HONDA CRV CORD TAIL GATE</v>
          </cell>
          <cell r="L2165" t="str">
            <v>CV A08</v>
          </cell>
          <cell r="M2165" t="str">
            <v>VISUAL 1.2B</v>
          </cell>
          <cell r="N2165" t="str">
            <v>VISUAL INSPECTION</v>
          </cell>
          <cell r="O2165" t="str">
            <v>B</v>
          </cell>
        </row>
        <row r="2166">
          <cell r="A2166">
            <v>8685</v>
          </cell>
          <cell r="B2166" t="str">
            <v>INA MUFLICHAH</v>
          </cell>
          <cell r="C2166" t="str">
            <v>SAMI</v>
          </cell>
          <cell r="D2166" t="str">
            <v>OPT-190</v>
          </cell>
          <cell r="E2166">
            <v>39888</v>
          </cell>
          <cell r="F2166" t="str">
            <v>-</v>
          </cell>
          <cell r="G2166" t="str">
            <v>-</v>
          </cell>
          <cell r="H2166" t="str">
            <v>PRD</v>
          </cell>
          <cell r="I2166" t="str">
            <v>PRD</v>
          </cell>
          <cell r="J2166" t="str">
            <v>HONDA CRV</v>
          </cell>
          <cell r="K2166" t="str">
            <v>HONDA CRV CORD TAIL GATE</v>
          </cell>
          <cell r="L2166" t="str">
            <v>CV A08</v>
          </cell>
          <cell r="M2166" t="str">
            <v>LQC</v>
          </cell>
          <cell r="N2166" t="str">
            <v>RELIEF</v>
          </cell>
          <cell r="O2166" t="str">
            <v>B</v>
          </cell>
        </row>
        <row r="2167">
          <cell r="A2167">
            <v>8798</v>
          </cell>
          <cell r="B2167" t="str">
            <v>SRI HIDAYATI</v>
          </cell>
          <cell r="C2167" t="str">
            <v>SAMI</v>
          </cell>
          <cell r="D2167" t="str">
            <v>OPT-194</v>
          </cell>
          <cell r="E2167">
            <v>39931</v>
          </cell>
          <cell r="F2167" t="str">
            <v>-</v>
          </cell>
          <cell r="G2167" t="str">
            <v>-</v>
          </cell>
          <cell r="H2167" t="str">
            <v>PRD</v>
          </cell>
          <cell r="I2167" t="str">
            <v>PRD</v>
          </cell>
          <cell r="J2167" t="str">
            <v>HONDA CRV</v>
          </cell>
          <cell r="K2167" t="str">
            <v>HONDA CRV CORD TAIL GATE</v>
          </cell>
          <cell r="L2167" t="str">
            <v>CV A08</v>
          </cell>
          <cell r="M2167" t="str">
            <v>VISUAL 2.2A</v>
          </cell>
          <cell r="N2167" t="str">
            <v>VISUAL INSPECTION</v>
          </cell>
          <cell r="O2167" t="str">
            <v>B</v>
          </cell>
        </row>
        <row r="2168">
          <cell r="A2168">
            <v>10351</v>
          </cell>
          <cell r="B2168" t="str">
            <v>ADHE ERMA S.</v>
          </cell>
          <cell r="C2168" t="str">
            <v>SAMI</v>
          </cell>
          <cell r="D2168" t="str">
            <v>OPT-267</v>
          </cell>
          <cell r="E2168">
            <v>40513</v>
          </cell>
          <cell r="F2168" t="str">
            <v>-</v>
          </cell>
          <cell r="G2168" t="str">
            <v>-</v>
          </cell>
          <cell r="H2168" t="str">
            <v>PRD</v>
          </cell>
          <cell r="I2168" t="str">
            <v>PRD</v>
          </cell>
          <cell r="J2168" t="str">
            <v>HONDA CRV</v>
          </cell>
          <cell r="K2168" t="str">
            <v>HONDA CRV CORD TAIL GATE</v>
          </cell>
          <cell r="L2168" t="str">
            <v>CV A08</v>
          </cell>
          <cell r="M2168" t="str">
            <v>SUB LINE CHO</v>
          </cell>
          <cell r="N2168" t="str">
            <v>GL</v>
          </cell>
          <cell r="O2168" t="str">
            <v>B</v>
          </cell>
        </row>
        <row r="2169">
          <cell r="A2169">
            <v>10863</v>
          </cell>
          <cell r="B2169" t="str">
            <v>SUPRIADI</v>
          </cell>
          <cell r="C2169" t="str">
            <v>SAMI</v>
          </cell>
          <cell r="D2169" t="str">
            <v>OPT-283</v>
          </cell>
          <cell r="E2169">
            <v>40572</v>
          </cell>
          <cell r="F2169" t="str">
            <v>-</v>
          </cell>
          <cell r="G2169" t="str">
            <v>-</v>
          </cell>
          <cell r="H2169" t="str">
            <v>PRD</v>
          </cell>
          <cell r="I2169" t="str">
            <v>PRD</v>
          </cell>
          <cell r="J2169" t="str">
            <v>HONDA CRV</v>
          </cell>
          <cell r="K2169" t="str">
            <v>HONDA CRV CORD TAIL GATE</v>
          </cell>
          <cell r="L2169" t="str">
            <v>CV A08</v>
          </cell>
          <cell r="M2169" t="str">
            <v>T/P 7A</v>
          </cell>
          <cell r="N2169" t="str">
            <v>ASSEMBLY</v>
          </cell>
          <cell r="O2169" t="str">
            <v>B</v>
          </cell>
        </row>
        <row r="2170">
          <cell r="A2170">
            <v>11051</v>
          </cell>
          <cell r="B2170" t="str">
            <v>SITI ROBANDIYAH</v>
          </cell>
          <cell r="C2170" t="str">
            <v>SAMI</v>
          </cell>
          <cell r="D2170" t="str">
            <v>OPT-288</v>
          </cell>
          <cell r="E2170">
            <v>40592</v>
          </cell>
          <cell r="F2170" t="str">
            <v>-</v>
          </cell>
          <cell r="G2170" t="str">
            <v>-</v>
          </cell>
          <cell r="H2170" t="str">
            <v>PRD</v>
          </cell>
          <cell r="I2170" t="str">
            <v>PRD</v>
          </cell>
          <cell r="J2170" t="str">
            <v>HONDA CRV</v>
          </cell>
          <cell r="K2170" t="str">
            <v>HONDA CRV CORD TAIL GATE</v>
          </cell>
          <cell r="L2170" t="str">
            <v>CV A08</v>
          </cell>
          <cell r="M2170" t="str">
            <v>VISUAL 2.1A</v>
          </cell>
          <cell r="N2170" t="str">
            <v>VISUAL INSPECTION</v>
          </cell>
          <cell r="O2170" t="str">
            <v>B</v>
          </cell>
        </row>
        <row r="2171">
          <cell r="A2171">
            <v>12452</v>
          </cell>
          <cell r="B2171" t="str">
            <v>FAJAR OCTAVIANI</v>
          </cell>
          <cell r="C2171" t="str">
            <v>SAMI</v>
          </cell>
          <cell r="D2171" t="str">
            <v>OPT-318</v>
          </cell>
          <cell r="E2171">
            <v>40812</v>
          </cell>
          <cell r="F2171" t="str">
            <v>-</v>
          </cell>
          <cell r="G2171" t="str">
            <v>-</v>
          </cell>
          <cell r="H2171" t="str">
            <v>PRD</v>
          </cell>
          <cell r="I2171" t="str">
            <v>PRD</v>
          </cell>
          <cell r="J2171" t="str">
            <v>HONDA CRV</v>
          </cell>
          <cell r="K2171" t="str">
            <v>HONDA CRV CORD TAIL GATE</v>
          </cell>
          <cell r="L2171" t="str">
            <v>CV A08</v>
          </cell>
          <cell r="M2171" t="str">
            <v>T/P 7B</v>
          </cell>
          <cell r="N2171" t="str">
            <v>ASSEMBLY</v>
          </cell>
          <cell r="O2171" t="str">
            <v>B</v>
          </cell>
        </row>
        <row r="2172">
          <cell r="A2172">
            <v>17801</v>
          </cell>
          <cell r="B2172" t="str">
            <v>ISMATUL MAULA</v>
          </cell>
          <cell r="C2172" t="str">
            <v>SAMI</v>
          </cell>
          <cell r="D2172" t="str">
            <v>OPT-448</v>
          </cell>
          <cell r="E2172">
            <v>41813</v>
          </cell>
          <cell r="F2172" t="str">
            <v>-</v>
          </cell>
          <cell r="G2172" t="str">
            <v>-</v>
          </cell>
          <cell r="H2172" t="str">
            <v>PRD</v>
          </cell>
          <cell r="I2172" t="str">
            <v>PRD</v>
          </cell>
          <cell r="J2172" t="str">
            <v>HONDA CRV</v>
          </cell>
          <cell r="K2172" t="str">
            <v>HONDA CRV CORD TAIL GATE</v>
          </cell>
          <cell r="L2172" t="str">
            <v>CV A08</v>
          </cell>
          <cell r="M2172" t="str">
            <v>T/P 6B</v>
          </cell>
          <cell r="N2172" t="str">
            <v>ASSEMBLY</v>
          </cell>
          <cell r="O2172" t="str">
            <v>B</v>
          </cell>
        </row>
        <row r="2173">
          <cell r="A2173">
            <v>19571</v>
          </cell>
          <cell r="B2173" t="str">
            <v>DESI NUR PRIHATIN</v>
          </cell>
          <cell r="C2173" t="str">
            <v>SAMI</v>
          </cell>
          <cell r="D2173" t="str">
            <v>OPT-489</v>
          </cell>
          <cell r="E2173">
            <v>42472</v>
          </cell>
          <cell r="F2173" t="str">
            <v>-</v>
          </cell>
          <cell r="G2173" t="str">
            <v>-</v>
          </cell>
          <cell r="H2173" t="str">
            <v>PRD</v>
          </cell>
          <cell r="I2173" t="str">
            <v>PRD</v>
          </cell>
          <cell r="J2173" t="str">
            <v>HONDA CRV</v>
          </cell>
          <cell r="K2173" t="str">
            <v>HONDA CRV CORD TAIL GATE</v>
          </cell>
          <cell r="L2173" t="str">
            <v>CV A08</v>
          </cell>
          <cell r="M2173" t="str">
            <v>S/A 3.2B</v>
          </cell>
          <cell r="N2173" t="str">
            <v>SUB ASSY</v>
          </cell>
          <cell r="O2173" t="str">
            <v>B</v>
          </cell>
        </row>
        <row r="2174">
          <cell r="A2174">
            <v>20598</v>
          </cell>
          <cell r="B2174" t="str">
            <v>IKA IRINDA APRILIA</v>
          </cell>
          <cell r="C2174" t="str">
            <v>SAMI</v>
          </cell>
          <cell r="D2174" t="str">
            <v>OPT-505</v>
          </cell>
          <cell r="E2174">
            <v>42639</v>
          </cell>
          <cell r="F2174">
            <v>43132</v>
          </cell>
          <cell r="G2174">
            <v>43496</v>
          </cell>
          <cell r="H2174" t="str">
            <v>PRD</v>
          </cell>
          <cell r="I2174" t="str">
            <v>PRD</v>
          </cell>
          <cell r="J2174" t="str">
            <v>HONDA CRV</v>
          </cell>
          <cell r="K2174" t="str">
            <v>HONDA CRV CORD TAIL GATE</v>
          </cell>
          <cell r="L2174" t="str">
            <v>CV A08</v>
          </cell>
          <cell r="M2174" t="str">
            <v>S/A 1.2A</v>
          </cell>
          <cell r="N2174" t="str">
            <v>SUB ASSY</v>
          </cell>
          <cell r="O2174" t="str">
            <v>B</v>
          </cell>
        </row>
        <row r="2175">
          <cell r="A2175">
            <v>20604</v>
          </cell>
          <cell r="B2175" t="str">
            <v>LAILATUL RISAYANAH</v>
          </cell>
          <cell r="C2175" t="str">
            <v>SAMI</v>
          </cell>
          <cell r="D2175" t="str">
            <v>OPT-505</v>
          </cell>
          <cell r="E2175">
            <v>42639</v>
          </cell>
          <cell r="F2175">
            <v>43132</v>
          </cell>
          <cell r="G2175">
            <v>43496</v>
          </cell>
          <cell r="H2175" t="str">
            <v>PRD</v>
          </cell>
          <cell r="I2175" t="str">
            <v>PRD</v>
          </cell>
          <cell r="J2175" t="str">
            <v>HONDA CRV</v>
          </cell>
          <cell r="K2175" t="str">
            <v>HONDA CRV CORD TAIL GATE</v>
          </cell>
          <cell r="L2175" t="str">
            <v>CV A08</v>
          </cell>
          <cell r="M2175" t="str">
            <v>T/P 6A</v>
          </cell>
          <cell r="N2175" t="str">
            <v>ASSEMBLY</v>
          </cell>
          <cell r="O2175" t="str">
            <v>B</v>
          </cell>
        </row>
        <row r="2176">
          <cell r="A2176">
            <v>20683</v>
          </cell>
          <cell r="B2176" t="str">
            <v>WIWIK YULIANITAMI</v>
          </cell>
          <cell r="C2176" t="str">
            <v>SAMI</v>
          </cell>
          <cell r="D2176" t="str">
            <v>OPT-505</v>
          </cell>
          <cell r="E2176">
            <v>42639</v>
          </cell>
          <cell r="F2176">
            <v>43132</v>
          </cell>
          <cell r="G2176">
            <v>43496</v>
          </cell>
          <cell r="H2176" t="str">
            <v>PRD</v>
          </cell>
          <cell r="I2176" t="str">
            <v>PRD</v>
          </cell>
          <cell r="J2176" t="str">
            <v>HONDA CRV</v>
          </cell>
          <cell r="K2176" t="str">
            <v>HONDA CRV CORD TAIL GATE</v>
          </cell>
          <cell r="L2176" t="str">
            <v>CV A08</v>
          </cell>
          <cell r="M2176" t="str">
            <v>T/P 1.1B</v>
          </cell>
          <cell r="N2176" t="str">
            <v>ASSEMBLY</v>
          </cell>
          <cell r="O2176" t="str">
            <v>B</v>
          </cell>
        </row>
        <row r="2177">
          <cell r="A2177">
            <v>20899</v>
          </cell>
          <cell r="B2177" t="str">
            <v>SITI NUROFA .F</v>
          </cell>
          <cell r="C2177" t="str">
            <v>SAMI</v>
          </cell>
          <cell r="D2177" t="str">
            <v>OPT-510</v>
          </cell>
          <cell r="E2177">
            <v>42660</v>
          </cell>
          <cell r="F2177">
            <v>43160</v>
          </cell>
          <cell r="G2177">
            <v>43524</v>
          </cell>
          <cell r="H2177" t="str">
            <v>PRD</v>
          </cell>
          <cell r="I2177" t="str">
            <v>PRD</v>
          </cell>
          <cell r="J2177" t="str">
            <v>HONDA CRV</v>
          </cell>
          <cell r="K2177" t="str">
            <v>HONDA CRV CORD TAIL GATE</v>
          </cell>
          <cell r="L2177" t="str">
            <v>CV A08</v>
          </cell>
          <cell r="M2177" t="str">
            <v>S/A 1.1B</v>
          </cell>
          <cell r="N2177" t="str">
            <v>SUB ASSY</v>
          </cell>
          <cell r="O2177" t="str">
            <v>B</v>
          </cell>
        </row>
        <row r="2178">
          <cell r="A2178">
            <v>21048</v>
          </cell>
          <cell r="B2178" t="str">
            <v xml:space="preserve">DITA MARNIS KUNTARI </v>
          </cell>
          <cell r="C2178" t="str">
            <v>SAMI</v>
          </cell>
          <cell r="D2178" t="str">
            <v>OPT-520</v>
          </cell>
          <cell r="E2178">
            <v>42863</v>
          </cell>
          <cell r="F2178">
            <v>43344</v>
          </cell>
          <cell r="G2178">
            <v>43708</v>
          </cell>
          <cell r="H2178" t="str">
            <v>PRD</v>
          </cell>
          <cell r="I2178" t="str">
            <v>PRD</v>
          </cell>
          <cell r="J2178" t="str">
            <v>HONDA CRV</v>
          </cell>
          <cell r="K2178" t="str">
            <v>HONDA CRV CORD TAIL GATE</v>
          </cell>
          <cell r="L2178" t="str">
            <v>CV A08</v>
          </cell>
          <cell r="M2178" t="str">
            <v>S/A 1.1A</v>
          </cell>
          <cell r="N2178" t="str">
            <v>SUB ASSY</v>
          </cell>
          <cell r="O2178" t="str">
            <v>B</v>
          </cell>
        </row>
        <row r="2179">
          <cell r="A2179">
            <v>21090</v>
          </cell>
          <cell r="B2179" t="str">
            <v>ANA MEILIA SARI</v>
          </cell>
          <cell r="C2179" t="str">
            <v>SAMI</v>
          </cell>
          <cell r="D2179" t="str">
            <v>OPT-521</v>
          </cell>
          <cell r="E2179">
            <v>42867</v>
          </cell>
          <cell r="F2179">
            <v>43344</v>
          </cell>
          <cell r="G2179">
            <v>43708</v>
          </cell>
          <cell r="H2179" t="str">
            <v>PRD</v>
          </cell>
          <cell r="I2179" t="str">
            <v>PRD</v>
          </cell>
          <cell r="J2179" t="str">
            <v>HONDA CRV</v>
          </cell>
          <cell r="K2179" t="str">
            <v>HONDA CRV CORD TAIL GATE</v>
          </cell>
          <cell r="L2179" t="str">
            <v>CV A08</v>
          </cell>
          <cell r="M2179" t="str">
            <v>T/P 2.1B</v>
          </cell>
          <cell r="N2179" t="str">
            <v>ASSEMBLY</v>
          </cell>
          <cell r="O2179" t="str">
            <v>B</v>
          </cell>
        </row>
        <row r="2180">
          <cell r="A2180">
            <v>21100</v>
          </cell>
          <cell r="B2180" t="str">
            <v>ENDAH LARASATI</v>
          </cell>
          <cell r="C2180" t="str">
            <v>SAMI</v>
          </cell>
          <cell r="D2180" t="str">
            <v>OPT-521</v>
          </cell>
          <cell r="E2180">
            <v>42867</v>
          </cell>
          <cell r="F2180">
            <v>43344</v>
          </cell>
          <cell r="G2180">
            <v>43708</v>
          </cell>
          <cell r="H2180" t="str">
            <v>PRD</v>
          </cell>
          <cell r="I2180" t="str">
            <v>PRD</v>
          </cell>
          <cell r="J2180" t="str">
            <v>HONDA CRV</v>
          </cell>
          <cell r="K2180" t="str">
            <v>HONDA CRV CORD TAIL GATE</v>
          </cell>
          <cell r="L2180" t="str">
            <v>CV A08</v>
          </cell>
          <cell r="M2180" t="str">
            <v>T/P 4A</v>
          </cell>
          <cell r="N2180" t="str">
            <v>ASSEMBLY</v>
          </cell>
          <cell r="O2180" t="str">
            <v>B</v>
          </cell>
        </row>
        <row r="2181">
          <cell r="A2181">
            <v>21120</v>
          </cell>
          <cell r="B2181" t="str">
            <v>MAYLIA PUTRI ARDIYANTI</v>
          </cell>
          <cell r="C2181" t="str">
            <v>SAMI</v>
          </cell>
          <cell r="D2181" t="str">
            <v>OPT-521</v>
          </cell>
          <cell r="E2181">
            <v>42867</v>
          </cell>
          <cell r="F2181">
            <v>43344</v>
          </cell>
          <cell r="G2181">
            <v>43708</v>
          </cell>
          <cell r="H2181" t="str">
            <v>PRD</v>
          </cell>
          <cell r="I2181" t="str">
            <v>PRD</v>
          </cell>
          <cell r="J2181" t="str">
            <v>HONDA CRV</v>
          </cell>
          <cell r="K2181" t="str">
            <v>HONDA CRV CORD TAIL GATE</v>
          </cell>
          <cell r="L2181" t="str">
            <v>CV A08</v>
          </cell>
          <cell r="M2181" t="str">
            <v>S/A 2.1A</v>
          </cell>
          <cell r="N2181" t="str">
            <v>SUB ASSY</v>
          </cell>
          <cell r="O2181" t="str">
            <v>B</v>
          </cell>
        </row>
        <row r="2182">
          <cell r="A2182">
            <v>21124</v>
          </cell>
          <cell r="B2182" t="str">
            <v xml:space="preserve">NIKEN WAHYUNI </v>
          </cell>
          <cell r="C2182" t="str">
            <v>SAMI</v>
          </cell>
          <cell r="D2182" t="str">
            <v>OPT-521</v>
          </cell>
          <cell r="E2182">
            <v>42867</v>
          </cell>
          <cell r="F2182">
            <v>43344</v>
          </cell>
          <cell r="G2182">
            <v>43708</v>
          </cell>
          <cell r="H2182" t="str">
            <v>PRD</v>
          </cell>
          <cell r="I2182" t="str">
            <v>PRD</v>
          </cell>
          <cell r="J2182" t="str">
            <v>HONDA CRV</v>
          </cell>
          <cell r="K2182" t="str">
            <v>HONDA CRV CORD TAIL GATE</v>
          </cell>
          <cell r="L2182" t="str">
            <v>CV A08</v>
          </cell>
          <cell r="M2182" t="str">
            <v>T/P 2.1A</v>
          </cell>
          <cell r="N2182" t="str">
            <v>ASSEMBLY</v>
          </cell>
          <cell r="O2182" t="str">
            <v>B</v>
          </cell>
        </row>
        <row r="2183">
          <cell r="A2183">
            <v>21132</v>
          </cell>
          <cell r="B2183" t="str">
            <v>RUFI NUR AISAH</v>
          </cell>
          <cell r="C2183" t="str">
            <v>SAMI</v>
          </cell>
          <cell r="D2183" t="str">
            <v>OPT-521</v>
          </cell>
          <cell r="E2183">
            <v>42867</v>
          </cell>
          <cell r="F2183">
            <v>43344</v>
          </cell>
          <cell r="G2183">
            <v>43708</v>
          </cell>
          <cell r="H2183" t="str">
            <v>PRD</v>
          </cell>
          <cell r="I2183" t="str">
            <v>PRD</v>
          </cell>
          <cell r="J2183" t="str">
            <v>HONDA CRV</v>
          </cell>
          <cell r="K2183" t="str">
            <v>HONDA CRV CORD TAIL GATE</v>
          </cell>
          <cell r="L2183" t="str">
            <v>CV A08</v>
          </cell>
          <cell r="M2183" t="str">
            <v>T/P 4B</v>
          </cell>
          <cell r="N2183" t="str">
            <v>ASSEMBLY</v>
          </cell>
          <cell r="O2183" t="str">
            <v>B</v>
          </cell>
        </row>
        <row r="2184">
          <cell r="A2184">
            <v>21142</v>
          </cell>
          <cell r="B2184" t="str">
            <v xml:space="preserve">WINULAT SUSILOWATI </v>
          </cell>
          <cell r="C2184" t="str">
            <v>SAMI</v>
          </cell>
          <cell r="D2184" t="str">
            <v>OPT-521</v>
          </cell>
          <cell r="E2184">
            <v>42867</v>
          </cell>
          <cell r="F2184">
            <v>43344</v>
          </cell>
          <cell r="G2184">
            <v>43708</v>
          </cell>
          <cell r="H2184" t="str">
            <v>PRD</v>
          </cell>
          <cell r="I2184" t="str">
            <v>PRD</v>
          </cell>
          <cell r="J2184" t="str">
            <v>HONDA CRV</v>
          </cell>
          <cell r="K2184" t="str">
            <v>HONDA CRV CORD TAIL GATE</v>
          </cell>
          <cell r="L2184" t="str">
            <v>CV A08</v>
          </cell>
          <cell r="M2184" t="str">
            <v>T/P 5B</v>
          </cell>
          <cell r="N2184" t="str">
            <v>ASSEMBLY</v>
          </cell>
          <cell r="O2184" t="str">
            <v>B</v>
          </cell>
        </row>
        <row r="2185">
          <cell r="A2185">
            <v>21168</v>
          </cell>
          <cell r="B2185" t="str">
            <v>MASRUROH</v>
          </cell>
          <cell r="C2185" t="str">
            <v>SAMI</v>
          </cell>
          <cell r="D2185" t="str">
            <v>OPT-522</v>
          </cell>
          <cell r="E2185">
            <v>42871</v>
          </cell>
          <cell r="F2185">
            <v>43374</v>
          </cell>
          <cell r="G2185">
            <v>43738</v>
          </cell>
          <cell r="H2185" t="str">
            <v>PRD</v>
          </cell>
          <cell r="I2185" t="str">
            <v>PRD</v>
          </cell>
          <cell r="J2185" t="str">
            <v>HONDA CRV</v>
          </cell>
          <cell r="K2185" t="str">
            <v>HONDA CRV CORD TAIL GATE</v>
          </cell>
          <cell r="L2185" t="str">
            <v>CV A08</v>
          </cell>
          <cell r="M2185" t="str">
            <v>MATERIAL SUPPLY 1B</v>
          </cell>
          <cell r="N2185" t="str">
            <v>MATERIAL SUPPLY</v>
          </cell>
          <cell r="O2185" t="str">
            <v>B</v>
          </cell>
        </row>
        <row r="2186">
          <cell r="A2186">
            <v>21187</v>
          </cell>
          <cell r="B2186" t="str">
            <v>SITI NUR HIDAYAH</v>
          </cell>
          <cell r="C2186" t="str">
            <v>SAMI</v>
          </cell>
          <cell r="D2186" t="str">
            <v>OPT-522</v>
          </cell>
          <cell r="E2186">
            <v>42871</v>
          </cell>
          <cell r="F2186">
            <v>43374</v>
          </cell>
          <cell r="G2186">
            <v>43738</v>
          </cell>
          <cell r="H2186" t="str">
            <v>PRD</v>
          </cell>
          <cell r="I2186" t="str">
            <v>PRD</v>
          </cell>
          <cell r="J2186" t="str">
            <v>HONDA CRV</v>
          </cell>
          <cell r="K2186" t="str">
            <v>HONDA CRV CORD TAIL GATE</v>
          </cell>
          <cell r="L2186" t="str">
            <v>CV A08</v>
          </cell>
          <cell r="M2186" t="str">
            <v>S/A 2.1B</v>
          </cell>
          <cell r="N2186" t="str">
            <v>SUB ASSY</v>
          </cell>
          <cell r="O2186" t="str">
            <v>B</v>
          </cell>
        </row>
        <row r="2187">
          <cell r="A2187">
            <v>21221</v>
          </cell>
          <cell r="B2187" t="str">
            <v>SAIBATUL KHUSNAH</v>
          </cell>
          <cell r="C2187" t="str">
            <v>SAMI</v>
          </cell>
          <cell r="D2187" t="str">
            <v>OPT-523</v>
          </cell>
          <cell r="E2187">
            <v>42877</v>
          </cell>
          <cell r="F2187">
            <v>43374</v>
          </cell>
          <cell r="G2187">
            <v>43738</v>
          </cell>
          <cell r="H2187" t="str">
            <v>PRD</v>
          </cell>
          <cell r="I2187" t="str">
            <v>PRD</v>
          </cell>
          <cell r="J2187" t="str">
            <v>HONDA CRV</v>
          </cell>
          <cell r="K2187" t="str">
            <v>HONDA CRV CORD TAIL GATE</v>
          </cell>
          <cell r="L2187" t="str">
            <v>CV A08</v>
          </cell>
          <cell r="M2187" t="str">
            <v>CHECKER 2.2A</v>
          </cell>
          <cell r="N2187" t="str">
            <v>ELECTRICAL INSPECTION</v>
          </cell>
          <cell r="O2187" t="str">
            <v>B</v>
          </cell>
        </row>
        <row r="2188">
          <cell r="A2188">
            <v>21251</v>
          </cell>
          <cell r="B2188" t="str">
            <v>RITA KUSUMADANI</v>
          </cell>
          <cell r="C2188" t="str">
            <v>SAMI</v>
          </cell>
          <cell r="D2188" t="str">
            <v>OPT-525</v>
          </cell>
          <cell r="E2188">
            <v>42893</v>
          </cell>
          <cell r="F2188">
            <v>43374</v>
          </cell>
          <cell r="G2188">
            <v>43738</v>
          </cell>
          <cell r="H2188" t="str">
            <v>PRD</v>
          </cell>
          <cell r="I2188" t="str">
            <v>PRD</v>
          </cell>
          <cell r="J2188" t="str">
            <v>HONDA CRV</v>
          </cell>
          <cell r="K2188" t="str">
            <v>HONDA CRV CORD TAIL GATE</v>
          </cell>
          <cell r="L2188" t="str">
            <v>CV A08</v>
          </cell>
          <cell r="M2188" t="str">
            <v>T/P 1.2B</v>
          </cell>
          <cell r="N2188" t="str">
            <v>ASSEMBLY</v>
          </cell>
          <cell r="O2188" t="str">
            <v>B</v>
          </cell>
        </row>
        <row r="2189">
          <cell r="A2189">
            <v>21258</v>
          </cell>
          <cell r="B2189" t="str">
            <v>UMI LATIFAH</v>
          </cell>
          <cell r="C2189" t="str">
            <v>SAMI</v>
          </cell>
          <cell r="D2189" t="str">
            <v>OPT-525</v>
          </cell>
          <cell r="E2189">
            <v>42893</v>
          </cell>
          <cell r="F2189">
            <v>43374</v>
          </cell>
          <cell r="G2189">
            <v>43738</v>
          </cell>
          <cell r="H2189" t="str">
            <v>PRD</v>
          </cell>
          <cell r="I2189" t="str">
            <v>PRD</v>
          </cell>
          <cell r="J2189" t="str">
            <v>HONDA CRV</v>
          </cell>
          <cell r="K2189" t="str">
            <v>HONDA CRV CORD TAIL GATE</v>
          </cell>
          <cell r="L2189" t="str">
            <v>CV A08</v>
          </cell>
          <cell r="M2189" t="str">
            <v>T/P 3B</v>
          </cell>
          <cell r="N2189" t="str">
            <v>ASSEMBLY</v>
          </cell>
          <cell r="O2189" t="str">
            <v>B</v>
          </cell>
        </row>
        <row r="2190">
          <cell r="A2190">
            <v>21465</v>
          </cell>
          <cell r="B2190" t="str">
            <v>SITI NURJANAH</v>
          </cell>
          <cell r="C2190" t="str">
            <v>SAMI</v>
          </cell>
          <cell r="D2190" t="str">
            <v>OPT-533</v>
          </cell>
          <cell r="E2190">
            <v>43024</v>
          </cell>
          <cell r="F2190">
            <v>43435</v>
          </cell>
          <cell r="G2190">
            <v>43799</v>
          </cell>
          <cell r="H2190" t="str">
            <v>PRD</v>
          </cell>
          <cell r="I2190" t="str">
            <v>PRD</v>
          </cell>
          <cell r="J2190" t="str">
            <v>HONDA CRV</v>
          </cell>
          <cell r="K2190" t="str">
            <v>HONDA CRV CORD TAIL GATE</v>
          </cell>
          <cell r="L2190" t="str">
            <v>CV A08</v>
          </cell>
          <cell r="M2190" t="str">
            <v>CHECKER 2.1A</v>
          </cell>
          <cell r="N2190" t="str">
            <v>ELECTRICAL INSPECTION</v>
          </cell>
          <cell r="O2190" t="str">
            <v>B</v>
          </cell>
        </row>
        <row r="2191">
          <cell r="A2191">
            <v>21513</v>
          </cell>
          <cell r="B2191" t="str">
            <v>ALFI HIDAYATUSSYARIFAH</v>
          </cell>
          <cell r="C2191" t="str">
            <v>SAMI</v>
          </cell>
          <cell r="D2191" t="str">
            <v>OPT-535</v>
          </cell>
          <cell r="E2191">
            <v>43045</v>
          </cell>
          <cell r="F2191">
            <v>43435</v>
          </cell>
          <cell r="G2191">
            <v>43799</v>
          </cell>
          <cell r="H2191" t="str">
            <v>PRD</v>
          </cell>
          <cell r="I2191" t="str">
            <v>PRD</v>
          </cell>
          <cell r="J2191" t="str">
            <v>HONDA CRV</v>
          </cell>
          <cell r="K2191" t="str">
            <v>HONDA CRV CORD TAIL GATE</v>
          </cell>
          <cell r="L2191" t="str">
            <v>CV A08</v>
          </cell>
          <cell r="M2191" t="str">
            <v>T/P 2.2B</v>
          </cell>
          <cell r="N2191" t="str">
            <v>ASSEMBLY</v>
          </cell>
          <cell r="O2191" t="str">
            <v>B</v>
          </cell>
        </row>
        <row r="2192">
          <cell r="A2192">
            <v>21580</v>
          </cell>
          <cell r="B2192" t="str">
            <v>DIANA INDRIANA</v>
          </cell>
          <cell r="C2192" t="str">
            <v>SAMI</v>
          </cell>
          <cell r="D2192" t="str">
            <v>OPT-536</v>
          </cell>
          <cell r="E2192">
            <v>43048</v>
          </cell>
          <cell r="F2192">
            <v>43435</v>
          </cell>
          <cell r="G2192">
            <v>43799</v>
          </cell>
          <cell r="H2192" t="str">
            <v>PRD</v>
          </cell>
          <cell r="I2192" t="str">
            <v>PRD</v>
          </cell>
          <cell r="J2192" t="str">
            <v>HONDA CRV</v>
          </cell>
          <cell r="K2192" t="str">
            <v>HONDA CRV CORD TAIL GATE</v>
          </cell>
          <cell r="L2192" t="str">
            <v>CV A08</v>
          </cell>
          <cell r="M2192" t="str">
            <v>S/A 2.2A</v>
          </cell>
          <cell r="N2192" t="str">
            <v>SUB ASSY</v>
          </cell>
          <cell r="O2192" t="str">
            <v>B</v>
          </cell>
        </row>
        <row r="2193">
          <cell r="A2193">
            <v>21666</v>
          </cell>
          <cell r="B2193" t="str">
            <v>MAULIDATI ROBIAH</v>
          </cell>
          <cell r="C2193" t="str">
            <v>SAMI</v>
          </cell>
          <cell r="D2193" t="str">
            <v>OPT-537</v>
          </cell>
          <cell r="E2193">
            <v>43055</v>
          </cell>
          <cell r="F2193">
            <v>43466</v>
          </cell>
          <cell r="G2193">
            <v>43830</v>
          </cell>
          <cell r="H2193" t="str">
            <v>PRD</v>
          </cell>
          <cell r="I2193" t="str">
            <v>PRD</v>
          </cell>
          <cell r="J2193" t="str">
            <v>HONDA CRV</v>
          </cell>
          <cell r="K2193" t="str">
            <v>HONDA CRV CORD TAIL GATE</v>
          </cell>
          <cell r="L2193" t="str">
            <v>CV A08</v>
          </cell>
          <cell r="M2193" t="str">
            <v>S/A 3.2A</v>
          </cell>
          <cell r="N2193" t="str">
            <v>SUB ASSY</v>
          </cell>
          <cell r="O2193" t="str">
            <v>B</v>
          </cell>
        </row>
        <row r="2194">
          <cell r="A2194">
            <v>21671</v>
          </cell>
          <cell r="B2194" t="str">
            <v>NUR MUAMALIYA KHORIYANTI</v>
          </cell>
          <cell r="C2194" t="str">
            <v>SAMI</v>
          </cell>
          <cell r="D2194" t="str">
            <v>OPT-537</v>
          </cell>
          <cell r="E2194">
            <v>43055</v>
          </cell>
          <cell r="F2194">
            <v>43466</v>
          </cell>
          <cell r="G2194">
            <v>43830</v>
          </cell>
          <cell r="H2194" t="str">
            <v>PRD</v>
          </cell>
          <cell r="I2194" t="str">
            <v>PRD</v>
          </cell>
          <cell r="J2194" t="str">
            <v>HONDA CRV</v>
          </cell>
          <cell r="K2194" t="str">
            <v>HONDA CRV CORD TAIL GATE</v>
          </cell>
          <cell r="L2194" t="str">
            <v>CV A08</v>
          </cell>
          <cell r="M2194" t="str">
            <v>T/P 1.1A</v>
          </cell>
          <cell r="N2194" t="str">
            <v>ASSEMBLY</v>
          </cell>
          <cell r="O2194" t="str">
            <v>B</v>
          </cell>
        </row>
        <row r="2195">
          <cell r="A2195">
            <v>21680</v>
          </cell>
          <cell r="B2195" t="str">
            <v>SITI SETIASIH</v>
          </cell>
          <cell r="C2195" t="str">
            <v>SAMI</v>
          </cell>
          <cell r="D2195" t="str">
            <v>OPT-537</v>
          </cell>
          <cell r="E2195">
            <v>43055</v>
          </cell>
          <cell r="F2195">
            <v>43466</v>
          </cell>
          <cell r="G2195">
            <v>43830</v>
          </cell>
          <cell r="H2195" t="str">
            <v>PRD</v>
          </cell>
          <cell r="I2195" t="str">
            <v>PRD</v>
          </cell>
          <cell r="J2195" t="str">
            <v>HONDA CRV</v>
          </cell>
          <cell r="K2195" t="str">
            <v>HONDA CRV CORD TAIL GATE</v>
          </cell>
          <cell r="L2195" t="str">
            <v>CV A08</v>
          </cell>
          <cell r="M2195" t="str">
            <v>S/A 1.2B</v>
          </cell>
          <cell r="N2195" t="str">
            <v>SUB ASSY</v>
          </cell>
          <cell r="O2195" t="str">
            <v>B</v>
          </cell>
        </row>
        <row r="2196">
          <cell r="A2196">
            <v>21691</v>
          </cell>
          <cell r="B2196" t="str">
            <v>HARYANTI</v>
          </cell>
          <cell r="C2196" t="str">
            <v>SAMI</v>
          </cell>
          <cell r="D2196" t="str">
            <v>OPT-538</v>
          </cell>
          <cell r="E2196">
            <v>43073</v>
          </cell>
          <cell r="F2196">
            <v>43466</v>
          </cell>
          <cell r="G2196">
            <v>43830</v>
          </cell>
          <cell r="H2196" t="str">
            <v>PRD</v>
          </cell>
          <cell r="I2196" t="str">
            <v>PRD</v>
          </cell>
          <cell r="J2196" t="str">
            <v>HONDA CRV</v>
          </cell>
          <cell r="K2196" t="str">
            <v>HONDA CRV CORD TAIL GATE</v>
          </cell>
          <cell r="L2196" t="str">
            <v>CV A08</v>
          </cell>
          <cell r="M2196" t="str">
            <v>S/A 2.2B</v>
          </cell>
          <cell r="N2196" t="str">
            <v>SUB ASSY</v>
          </cell>
          <cell r="O2196" t="str">
            <v>B</v>
          </cell>
        </row>
        <row r="2197">
          <cell r="A2197">
            <v>21723</v>
          </cell>
          <cell r="B2197" t="str">
            <v>KRESA DIAH PRATIWI</v>
          </cell>
          <cell r="C2197" t="str">
            <v>SAMI</v>
          </cell>
          <cell r="D2197" t="str">
            <v>OPT-539</v>
          </cell>
          <cell r="E2197">
            <v>43087</v>
          </cell>
          <cell r="F2197">
            <v>43118</v>
          </cell>
          <cell r="G2197">
            <v>43496</v>
          </cell>
          <cell r="H2197" t="str">
            <v>PRD</v>
          </cell>
          <cell r="I2197" t="str">
            <v>PRD</v>
          </cell>
          <cell r="J2197" t="str">
            <v>HONDA CRV</v>
          </cell>
          <cell r="K2197" t="str">
            <v>HONDA CRV CORD TAIL GATE</v>
          </cell>
          <cell r="L2197" t="str">
            <v>CV A08</v>
          </cell>
          <cell r="M2197" t="str">
            <v>CHECKER 1.2B</v>
          </cell>
          <cell r="N2197" t="str">
            <v>ELECTRICAL INSPECTION</v>
          </cell>
          <cell r="O2197" t="str">
            <v>B</v>
          </cell>
        </row>
        <row r="2198">
          <cell r="A2198">
            <v>21934</v>
          </cell>
          <cell r="B2198" t="str">
            <v>KARTIKA DARA WIDAYANI</v>
          </cell>
          <cell r="C2198" t="str">
            <v>SAMI</v>
          </cell>
          <cell r="D2198" t="str">
            <v>OPT-544</v>
          </cell>
          <cell r="E2198">
            <v>43111</v>
          </cell>
          <cell r="F2198">
            <v>43142</v>
          </cell>
          <cell r="G2198">
            <v>43496</v>
          </cell>
          <cell r="H2198" t="str">
            <v>PRD</v>
          </cell>
          <cell r="I2198" t="str">
            <v>PRD</v>
          </cell>
          <cell r="J2198" t="str">
            <v>HONDA CRV</v>
          </cell>
          <cell r="K2198" t="str">
            <v>HONDA CRV CORD TAIL GATE</v>
          </cell>
          <cell r="L2198" t="str">
            <v>CV A08</v>
          </cell>
          <cell r="M2198" t="str">
            <v>INSERTION GROUP</v>
          </cell>
          <cell r="N2198" t="str">
            <v>SUB ASSY</v>
          </cell>
          <cell r="O2198" t="str">
            <v>B</v>
          </cell>
        </row>
        <row r="2199">
          <cell r="A2199">
            <v>22163</v>
          </cell>
          <cell r="B2199" t="str">
            <v>ALFI YUNITA ASTARI</v>
          </cell>
          <cell r="C2199" t="str">
            <v>SAMI</v>
          </cell>
          <cell r="D2199" t="str">
            <v>OPT-550</v>
          </cell>
          <cell r="E2199">
            <v>43158</v>
          </cell>
          <cell r="F2199">
            <v>43186</v>
          </cell>
          <cell r="G2199">
            <v>43555</v>
          </cell>
          <cell r="H2199" t="str">
            <v>PRD</v>
          </cell>
          <cell r="I2199" t="str">
            <v>PRD</v>
          </cell>
          <cell r="J2199" t="str">
            <v>HONDA CRV</v>
          </cell>
          <cell r="K2199" t="str">
            <v>HONDA CRV CORD TAIL GATE</v>
          </cell>
          <cell r="L2199" t="str">
            <v>CV A08</v>
          </cell>
          <cell r="M2199" t="str">
            <v>S/T 1.1B</v>
          </cell>
          <cell r="N2199" t="str">
            <v>ASSEMBLY</v>
          </cell>
          <cell r="O2199" t="str">
            <v>B</v>
          </cell>
        </row>
        <row r="2200">
          <cell r="A2200">
            <v>22349</v>
          </cell>
          <cell r="B2200" t="str">
            <v>RIRIN AGUSTINA</v>
          </cell>
          <cell r="C2200" t="str">
            <v>SAMI</v>
          </cell>
          <cell r="D2200" t="str">
            <v>OPT-556</v>
          </cell>
          <cell r="E2200">
            <v>43195</v>
          </cell>
          <cell r="F2200">
            <v>43225</v>
          </cell>
          <cell r="G2200">
            <v>43585</v>
          </cell>
          <cell r="H2200" t="str">
            <v>PRD</v>
          </cell>
          <cell r="I2200" t="str">
            <v>PRD</v>
          </cell>
          <cell r="J2200" t="str">
            <v>HONDA CRV</v>
          </cell>
          <cell r="K2200" t="str">
            <v>HONDA CRV CORD TAIL GATE</v>
          </cell>
          <cell r="L2200" t="str">
            <v>CV A08</v>
          </cell>
          <cell r="M2200" t="str">
            <v>T/P 2.2A</v>
          </cell>
          <cell r="N2200" t="str">
            <v>ASSEMBLY</v>
          </cell>
          <cell r="O2200" t="str">
            <v>B</v>
          </cell>
        </row>
        <row r="2201">
          <cell r="A2201">
            <v>22411</v>
          </cell>
          <cell r="B2201" t="str">
            <v>PUPUT SEPTIYANINGRUM</v>
          </cell>
          <cell r="C2201" t="str">
            <v>SAMI</v>
          </cell>
          <cell r="D2201" t="str">
            <v>OPT-558</v>
          </cell>
          <cell r="E2201">
            <v>43213</v>
          </cell>
          <cell r="F2201">
            <v>43243</v>
          </cell>
          <cell r="G2201">
            <v>43616</v>
          </cell>
          <cell r="H2201" t="str">
            <v>PRD</v>
          </cell>
          <cell r="I2201" t="str">
            <v>PRD</v>
          </cell>
          <cell r="J2201" t="str">
            <v>HONDA CRV</v>
          </cell>
          <cell r="K2201" t="str">
            <v>HONDA CRV CORD TAIL GATE</v>
          </cell>
          <cell r="L2201" t="str">
            <v>CV A08</v>
          </cell>
          <cell r="M2201" t="str">
            <v>S/T 1.2B</v>
          </cell>
          <cell r="N2201" t="str">
            <v>ASSEMBLY</v>
          </cell>
          <cell r="O2201" t="str">
            <v>B</v>
          </cell>
        </row>
        <row r="2202">
          <cell r="A2202">
            <v>22606</v>
          </cell>
          <cell r="B2202" t="str">
            <v>KHOLIFATUL JANNAH</v>
          </cell>
          <cell r="C2202" t="str">
            <v>SAMI</v>
          </cell>
          <cell r="D2202" t="str">
            <v>OPT-561</v>
          </cell>
          <cell r="E2202">
            <v>43236</v>
          </cell>
          <cell r="F2202">
            <v>43267</v>
          </cell>
          <cell r="G2202">
            <v>43646</v>
          </cell>
          <cell r="H2202" t="str">
            <v>PRD</v>
          </cell>
          <cell r="I2202" t="str">
            <v>PRD</v>
          </cell>
          <cell r="J2202" t="str">
            <v>HONDA CRV</v>
          </cell>
          <cell r="K2202" t="str">
            <v>HONDA CRV CORD TAIL GATE</v>
          </cell>
          <cell r="L2202" t="str">
            <v>CV A08</v>
          </cell>
          <cell r="M2202" t="str">
            <v>S/T 1.2A</v>
          </cell>
          <cell r="N2202" t="str">
            <v>ASSEMBLY</v>
          </cell>
          <cell r="O2202" t="str">
            <v>B</v>
          </cell>
        </row>
        <row r="2203">
          <cell r="A2203">
            <v>22648</v>
          </cell>
          <cell r="B2203" t="str">
            <v>DINA KURNIAWATI</v>
          </cell>
          <cell r="C2203" t="str">
            <v>SAMI</v>
          </cell>
          <cell r="D2203" t="str">
            <v>OPT-562</v>
          </cell>
          <cell r="E2203">
            <v>43241</v>
          </cell>
          <cell r="F2203">
            <v>43272</v>
          </cell>
          <cell r="G2203">
            <v>43646</v>
          </cell>
          <cell r="H2203" t="str">
            <v>PRD</v>
          </cell>
          <cell r="I2203" t="str">
            <v>PRD</v>
          </cell>
          <cell r="J2203" t="str">
            <v>HONDA CRV</v>
          </cell>
          <cell r="K2203" t="str">
            <v>HONDA CRV CORD TAIL GATE</v>
          </cell>
          <cell r="L2203" t="str">
            <v>CV A08</v>
          </cell>
          <cell r="M2203" t="str">
            <v>T/P 5A</v>
          </cell>
          <cell r="N2203" t="str">
            <v>ASSEMBLY</v>
          </cell>
          <cell r="O2203" t="str">
            <v>B</v>
          </cell>
        </row>
        <row r="2204">
          <cell r="A2204">
            <v>22759</v>
          </cell>
          <cell r="B2204" t="str">
            <v>RIZKI PUJIRAHAYU</v>
          </cell>
          <cell r="C2204" t="str">
            <v>SAMI</v>
          </cell>
          <cell r="D2204" t="str">
            <v>OPT-564</v>
          </cell>
          <cell r="E2204">
            <v>43255</v>
          </cell>
          <cell r="F2204">
            <v>43285</v>
          </cell>
          <cell r="G2204">
            <v>43646</v>
          </cell>
          <cell r="H2204" t="str">
            <v>PRD</v>
          </cell>
          <cell r="I2204" t="str">
            <v>PRD</v>
          </cell>
          <cell r="J2204" t="str">
            <v>HONDA CRV</v>
          </cell>
          <cell r="K2204" t="str">
            <v>HONDA CRV CORD TAIL GATE</v>
          </cell>
          <cell r="L2204" t="str">
            <v>CV A08</v>
          </cell>
          <cell r="M2204" t="str">
            <v>CIRCUIT SUPPLIER B</v>
          </cell>
          <cell r="N2204" t="str">
            <v>CIRCUIT SUPPLY</v>
          </cell>
          <cell r="O2204" t="str">
            <v>B</v>
          </cell>
        </row>
        <row r="2205">
          <cell r="A2205">
            <v>22845</v>
          </cell>
          <cell r="B2205" t="str">
            <v>LENI PUSPITA ASIH</v>
          </cell>
          <cell r="C2205" t="str">
            <v>SAMI</v>
          </cell>
          <cell r="D2205" t="str">
            <v>OPT-567</v>
          </cell>
          <cell r="E2205">
            <v>43333</v>
          </cell>
          <cell r="F2205">
            <v>43364</v>
          </cell>
          <cell r="G2205">
            <v>43738</v>
          </cell>
          <cell r="H2205" t="str">
            <v>PRD</v>
          </cell>
          <cell r="I2205" t="str">
            <v>PRD</v>
          </cell>
          <cell r="J2205" t="str">
            <v>HONDA CRV</v>
          </cell>
          <cell r="K2205" t="str">
            <v>HONDA CRV CORD TAIL GATE</v>
          </cell>
          <cell r="L2205" t="str">
            <v>CV A08</v>
          </cell>
          <cell r="M2205" t="str">
            <v>S/T 1.1A</v>
          </cell>
          <cell r="N2205" t="str">
            <v>ASSEMBLY</v>
          </cell>
          <cell r="O2205" t="str">
            <v>B</v>
          </cell>
        </row>
        <row r="2206">
          <cell r="A2206">
            <v>22927</v>
          </cell>
          <cell r="B2206" t="str">
            <v>EVA ARDILA NOVITA SARI</v>
          </cell>
          <cell r="C2206" t="str">
            <v>SAMI</v>
          </cell>
          <cell r="D2206" t="str">
            <v>OPT-568</v>
          </cell>
          <cell r="E2206">
            <v>43343</v>
          </cell>
          <cell r="F2206">
            <v>43374</v>
          </cell>
          <cell r="G2206">
            <v>43738</v>
          </cell>
          <cell r="H2206" t="str">
            <v>PRD</v>
          </cell>
          <cell r="I2206" t="str">
            <v>PRD</v>
          </cell>
          <cell r="J2206" t="str">
            <v>HONDA CRV</v>
          </cell>
          <cell r="K2206" t="str">
            <v>HONDA CRV CORD TAIL GATE</v>
          </cell>
          <cell r="L2206" t="str">
            <v>CV A08</v>
          </cell>
          <cell r="M2206" t="str">
            <v>MATERIAL SUPPLY 1A</v>
          </cell>
          <cell r="N2206" t="str">
            <v>MATERIAL SUPPLY</v>
          </cell>
          <cell r="O2206" t="str">
            <v>B</v>
          </cell>
        </row>
        <row r="2207">
          <cell r="A2207">
            <v>23070</v>
          </cell>
          <cell r="B2207" t="str">
            <v>ROSSI ANGGY PURBOWATI</v>
          </cell>
          <cell r="C2207" t="str">
            <v>SAMI</v>
          </cell>
          <cell r="D2207" t="str">
            <v>OPT-569</v>
          </cell>
          <cell r="E2207">
            <v>43361</v>
          </cell>
          <cell r="F2207">
            <v>43391</v>
          </cell>
          <cell r="G2207">
            <v>43769</v>
          </cell>
          <cell r="H2207" t="str">
            <v>PRD</v>
          </cell>
          <cell r="I2207" t="str">
            <v>PRD</v>
          </cell>
          <cell r="J2207" t="str">
            <v>HONDA CRV</v>
          </cell>
          <cell r="K2207" t="str">
            <v>HONDA CRV CORD TAIL GATE</v>
          </cell>
          <cell r="L2207" t="str">
            <v>CV A08</v>
          </cell>
          <cell r="M2207" t="str">
            <v>S/A 3.1A</v>
          </cell>
          <cell r="N2207" t="str">
            <v>SUB ASSY</v>
          </cell>
          <cell r="O2207" t="str">
            <v>B</v>
          </cell>
        </row>
        <row r="2208">
          <cell r="A2208">
            <v>23076</v>
          </cell>
          <cell r="B2208" t="str">
            <v>SITI NUR HIDAYAH</v>
          </cell>
          <cell r="C2208" t="str">
            <v>SAMI</v>
          </cell>
          <cell r="D2208" t="str">
            <v>OPT-569</v>
          </cell>
          <cell r="E2208">
            <v>43361</v>
          </cell>
          <cell r="F2208">
            <v>43391</v>
          </cell>
          <cell r="G2208">
            <v>43769</v>
          </cell>
          <cell r="H2208" t="str">
            <v>PRD</v>
          </cell>
          <cell r="I2208" t="str">
            <v>PRD</v>
          </cell>
          <cell r="J2208" t="str">
            <v>HONDA CRV</v>
          </cell>
          <cell r="K2208" t="str">
            <v>HONDA CRV CORD TAIL GATE</v>
          </cell>
          <cell r="L2208" t="str">
            <v>CV A08</v>
          </cell>
          <cell r="M2208" t="str">
            <v>CIRCUIT SUPPLIER A</v>
          </cell>
          <cell r="N2208" t="str">
            <v>CIRCUIT SUPPLY</v>
          </cell>
          <cell r="O2208" t="str">
            <v>B</v>
          </cell>
        </row>
        <row r="2209">
          <cell r="A2209">
            <v>23128</v>
          </cell>
          <cell r="B2209" t="str">
            <v>LAILI FITRIANI</v>
          </cell>
          <cell r="C2209" t="str">
            <v>SAMI</v>
          </cell>
          <cell r="D2209" t="str">
            <v>OPT-570</v>
          </cell>
          <cell r="E2209">
            <v>43369</v>
          </cell>
          <cell r="F2209">
            <v>43399</v>
          </cell>
          <cell r="G2209">
            <v>43769</v>
          </cell>
          <cell r="H2209" t="str">
            <v>PRD</v>
          </cell>
          <cell r="I2209" t="str">
            <v>PRD</v>
          </cell>
          <cell r="J2209" t="str">
            <v>HONDA CRV</v>
          </cell>
          <cell r="K2209" t="str">
            <v>HONDA CRV CORD TAIL GATE</v>
          </cell>
          <cell r="L2209" t="str">
            <v>CV A08</v>
          </cell>
          <cell r="M2209" t="str">
            <v>S/A 3.1B</v>
          </cell>
          <cell r="N2209" t="str">
            <v>SUB ASSY</v>
          </cell>
          <cell r="O2209" t="str">
            <v>B</v>
          </cell>
        </row>
        <row r="2210">
          <cell r="A2210">
            <v>23244</v>
          </cell>
          <cell r="B2210" t="str">
            <v>NARIYAH</v>
          </cell>
          <cell r="C2210" t="str">
            <v>SAMI</v>
          </cell>
          <cell r="D2210" t="str">
            <v>OPT-573</v>
          </cell>
          <cell r="E2210">
            <v>43421</v>
          </cell>
          <cell r="F2210">
            <v>43451</v>
          </cell>
          <cell r="G2210">
            <v>43830</v>
          </cell>
          <cell r="H2210" t="str">
            <v>PRD</v>
          </cell>
          <cell r="I2210" t="str">
            <v>PRD</v>
          </cell>
          <cell r="J2210" t="str">
            <v>HONDA CRV</v>
          </cell>
          <cell r="K2210" t="str">
            <v>HONDA CRV CORD TAIL GATE</v>
          </cell>
          <cell r="L2210" t="str">
            <v>CV A08</v>
          </cell>
          <cell r="M2210" t="str">
            <v>T/P 3A</v>
          </cell>
          <cell r="N2210" t="str">
            <v>ASSEMBLY</v>
          </cell>
          <cell r="O2210" t="str">
            <v>B</v>
          </cell>
        </row>
        <row r="2211">
          <cell r="A2211">
            <v>23353</v>
          </cell>
          <cell r="B2211" t="str">
            <v>ROFIKA DWI RAHAYU</v>
          </cell>
          <cell r="C2211" t="str">
            <v>SAMI</v>
          </cell>
          <cell r="D2211" t="str">
            <v>OPT-574</v>
          </cell>
          <cell r="E2211">
            <v>43427</v>
          </cell>
          <cell r="F2211">
            <v>43457</v>
          </cell>
          <cell r="G2211">
            <v>43830</v>
          </cell>
          <cell r="H2211" t="str">
            <v>PRD</v>
          </cell>
          <cell r="I2211" t="str">
            <v>PRD</v>
          </cell>
          <cell r="J2211" t="str">
            <v>HONDA CRV</v>
          </cell>
          <cell r="K2211" t="str">
            <v>HONDA CRV CORD TAIL GATE</v>
          </cell>
          <cell r="L2211" t="str">
            <v>CV A08</v>
          </cell>
          <cell r="M2211" t="str">
            <v>OJT T/P 3</v>
          </cell>
          <cell r="N2211" t="str">
            <v>INTERNAL TRIAL</v>
          </cell>
          <cell r="O2211" t="str">
            <v>B</v>
          </cell>
        </row>
        <row r="2212">
          <cell r="A2212">
            <v>23471</v>
          </cell>
          <cell r="B2212" t="str">
            <v>SRI WAHYUNI HANDAYANI</v>
          </cell>
          <cell r="C2212" t="str">
            <v>SAMI</v>
          </cell>
          <cell r="D2212" t="str">
            <v>OPT-575</v>
          </cell>
          <cell r="E2212">
            <v>43434</v>
          </cell>
          <cell r="F2212">
            <v>43464</v>
          </cell>
          <cell r="G2212">
            <v>43830</v>
          </cell>
          <cell r="H2212" t="str">
            <v>PRD</v>
          </cell>
          <cell r="I2212" t="str">
            <v>PRD</v>
          </cell>
          <cell r="J2212" t="str">
            <v>HONDA CRV</v>
          </cell>
          <cell r="K2212" t="str">
            <v>HONDA CRV CORD TAIL GATE</v>
          </cell>
          <cell r="L2212" t="str">
            <v>CV A08</v>
          </cell>
          <cell r="M2212" t="str">
            <v>T/P 1.2</v>
          </cell>
          <cell r="N2212" t="str">
            <v>INTERNAL TRIAL</v>
          </cell>
          <cell r="O2212" t="str">
            <v>B</v>
          </cell>
        </row>
        <row r="2213">
          <cell r="A2213">
            <v>23524</v>
          </cell>
          <cell r="B2213" t="str">
            <v>SITI NUR KHOLIPAH</v>
          </cell>
          <cell r="C2213" t="str">
            <v>SAMI</v>
          </cell>
          <cell r="D2213" t="str">
            <v>OPT-576</v>
          </cell>
          <cell r="E2213">
            <v>43441</v>
          </cell>
          <cell r="F2213">
            <v>43472</v>
          </cell>
          <cell r="G2213">
            <v>43830</v>
          </cell>
          <cell r="H2213" t="str">
            <v>PRD</v>
          </cell>
          <cell r="I2213" t="str">
            <v>PRD</v>
          </cell>
          <cell r="J2213" t="str">
            <v>HONDA CRV</v>
          </cell>
          <cell r="K2213" t="str">
            <v>HONDA CRV CORD TAIL GATE</v>
          </cell>
          <cell r="L2213" t="str">
            <v>CV A08</v>
          </cell>
          <cell r="M2213" t="str">
            <v>OJT</v>
          </cell>
          <cell r="N2213" t="str">
            <v>INTERNAL TRIAL</v>
          </cell>
          <cell r="O2213" t="str">
            <v>B</v>
          </cell>
        </row>
        <row r="2214">
          <cell r="A2214" t="str">
            <v>B00220</v>
          </cell>
          <cell r="B2214" t="str">
            <v>RAFI TIA WATI</v>
          </cell>
          <cell r="C2214" t="str">
            <v>SAMI</v>
          </cell>
          <cell r="D2214" t="str">
            <v>BBF-004</v>
          </cell>
          <cell r="E2214">
            <v>40847</v>
          </cell>
          <cell r="F2214" t="str">
            <v>-</v>
          </cell>
          <cell r="G2214" t="str">
            <v>-</v>
          </cell>
          <cell r="H2214" t="str">
            <v>PRD</v>
          </cell>
          <cell r="I2214" t="str">
            <v>PRD</v>
          </cell>
          <cell r="J2214" t="str">
            <v>HONDA CRV</v>
          </cell>
          <cell r="K2214" t="str">
            <v>HONDA CRV CORD TAIL GATE</v>
          </cell>
          <cell r="L2214" t="str">
            <v>CV A08</v>
          </cell>
          <cell r="M2214" t="str">
            <v>VISUAL 1.1B</v>
          </cell>
          <cell r="N2214" t="str">
            <v>VISUAL INSPECTION</v>
          </cell>
          <cell r="O2214" t="str">
            <v>B</v>
          </cell>
        </row>
        <row r="2215">
          <cell r="A2215">
            <v>23585</v>
          </cell>
          <cell r="B2215" t="str">
            <v>RIZKA AFIVASARI</v>
          </cell>
          <cell r="C2215" t="str">
            <v>SAMI</v>
          </cell>
          <cell r="D2215" t="str">
            <v>OPT-577</v>
          </cell>
          <cell r="E2215">
            <v>43452</v>
          </cell>
          <cell r="F2215">
            <v>43483</v>
          </cell>
          <cell r="G2215">
            <v>43861</v>
          </cell>
          <cell r="H2215" t="str">
            <v>PRD</v>
          </cell>
          <cell r="I2215" t="str">
            <v>PRD</v>
          </cell>
          <cell r="J2215" t="str">
            <v>HONDA CRV</v>
          </cell>
          <cell r="K2215" t="str">
            <v>HONDA CRV CORD TAIL GATE</v>
          </cell>
          <cell r="L2215" t="str">
            <v>CV A08</v>
          </cell>
          <cell r="M2215" t="str">
            <v>OJT</v>
          </cell>
          <cell r="N2215" t="str">
            <v>INTERNAL TRIAL</v>
          </cell>
          <cell r="O2215" t="str">
            <v>B</v>
          </cell>
        </row>
        <row r="2216">
          <cell r="A2216" t="str">
            <v>M23625</v>
          </cell>
          <cell r="B2216" t="str">
            <v xml:space="preserve">LIA AGUSTINA </v>
          </cell>
          <cell r="C2216" t="str">
            <v>SAMI</v>
          </cell>
          <cell r="D2216" t="str">
            <v>OPT-578</v>
          </cell>
          <cell r="E2216">
            <v>43467</v>
          </cell>
          <cell r="F2216">
            <v>43467</v>
          </cell>
          <cell r="G2216">
            <v>43497</v>
          </cell>
          <cell r="H2216" t="str">
            <v>PRD</v>
          </cell>
          <cell r="I2216" t="str">
            <v>PRD</v>
          </cell>
          <cell r="J2216" t="str">
            <v>HONDA CRV</v>
          </cell>
          <cell r="K2216" t="str">
            <v>HONDA CRV CORD TAIL GATE</v>
          </cell>
          <cell r="L2216" t="str">
            <v>CV A08</v>
          </cell>
          <cell r="M2216" t="str">
            <v>OJT</v>
          </cell>
          <cell r="N2216" t="str">
            <v>INTERNAL TRIAL</v>
          </cell>
          <cell r="O2216" t="str">
            <v>B</v>
          </cell>
        </row>
        <row r="2217">
          <cell r="A2217">
            <v>280</v>
          </cell>
          <cell r="B2217" t="str">
            <v>DEWI WURYAN</v>
          </cell>
          <cell r="C2217" t="str">
            <v>SAMI</v>
          </cell>
          <cell r="D2217" t="str">
            <v>OPT-8</v>
          </cell>
          <cell r="E2217">
            <v>37718</v>
          </cell>
          <cell r="F2217" t="str">
            <v>-</v>
          </cell>
          <cell r="G2217" t="str">
            <v>-</v>
          </cell>
          <cell r="H2217" t="str">
            <v>PRD</v>
          </cell>
          <cell r="I2217" t="str">
            <v>PRD</v>
          </cell>
          <cell r="J2217" t="str">
            <v>HONDA CRV</v>
          </cell>
          <cell r="K2217" t="str">
            <v>HONDA CRV CORD R TAIL GATE SUB</v>
          </cell>
          <cell r="L2217" t="str">
            <v>CV A09</v>
          </cell>
          <cell r="M2217" t="str">
            <v>SUB LINE CHO</v>
          </cell>
          <cell r="N2217" t="str">
            <v>GL</v>
          </cell>
          <cell r="O2217" t="str">
            <v>A</v>
          </cell>
        </row>
        <row r="2218">
          <cell r="A2218">
            <v>11901</v>
          </cell>
          <cell r="B2218" t="str">
            <v>TUTIK AMBARWATI</v>
          </cell>
          <cell r="C2218" t="str">
            <v>SAMI</v>
          </cell>
          <cell r="D2218" t="str">
            <v>OPT-310</v>
          </cell>
          <cell r="E2218">
            <v>40735</v>
          </cell>
          <cell r="F2218" t="str">
            <v>-</v>
          </cell>
          <cell r="G2218" t="str">
            <v>-</v>
          </cell>
          <cell r="H2218" t="str">
            <v>PRD</v>
          </cell>
          <cell r="I2218" t="str">
            <v>PRD</v>
          </cell>
          <cell r="J2218" t="str">
            <v>HONDA CRV</v>
          </cell>
          <cell r="K2218" t="str">
            <v>HONDA CRV CORD R TAIL GATE SUB</v>
          </cell>
          <cell r="L2218" t="str">
            <v>CV A09</v>
          </cell>
          <cell r="M2218" t="str">
            <v>LQC</v>
          </cell>
          <cell r="N2218" t="str">
            <v>RELIEF</v>
          </cell>
          <cell r="O2218" t="str">
            <v>A</v>
          </cell>
        </row>
        <row r="2219">
          <cell r="A2219">
            <v>20689</v>
          </cell>
          <cell r="B2219" t="str">
            <v>YUNI ROHMANTIKASARI</v>
          </cell>
          <cell r="C2219" t="str">
            <v>SAMI</v>
          </cell>
          <cell r="D2219" t="str">
            <v>OPT-505</v>
          </cell>
          <cell r="E2219">
            <v>42639</v>
          </cell>
          <cell r="F2219">
            <v>43132</v>
          </cell>
          <cell r="G2219">
            <v>43496</v>
          </cell>
          <cell r="H2219" t="str">
            <v>PRD</v>
          </cell>
          <cell r="I2219" t="str">
            <v>PRD</v>
          </cell>
          <cell r="J2219" t="str">
            <v>HONDA CRV</v>
          </cell>
          <cell r="K2219" t="str">
            <v>HONDA CRV CORD R TAIL GATE SUB</v>
          </cell>
          <cell r="L2219" t="str">
            <v>CV A09</v>
          </cell>
          <cell r="M2219" t="str">
            <v>S/A 1</v>
          </cell>
          <cell r="N2219" t="str">
            <v>SUB ASSY</v>
          </cell>
          <cell r="O2219" t="str">
            <v>A</v>
          </cell>
        </row>
        <row r="2220">
          <cell r="A2220">
            <v>21381</v>
          </cell>
          <cell r="B2220" t="str">
            <v>ARIK DWI LESTYOWATI</v>
          </cell>
          <cell r="C2220" t="str">
            <v>SAMI</v>
          </cell>
          <cell r="D2220" t="str">
            <v>OPT-532</v>
          </cell>
          <cell r="E2220">
            <v>43018</v>
          </cell>
          <cell r="F2220">
            <v>43405</v>
          </cell>
          <cell r="G2220">
            <v>43769</v>
          </cell>
          <cell r="H2220" t="str">
            <v>PRD</v>
          </cell>
          <cell r="I2220" t="str">
            <v>PRD</v>
          </cell>
          <cell r="J2220" t="str">
            <v>HONDA CRV</v>
          </cell>
          <cell r="K2220" t="str">
            <v>HONDA CRV CORD R TAIL GATE SUB</v>
          </cell>
          <cell r="L2220" t="str">
            <v>CV A09</v>
          </cell>
          <cell r="M2220" t="str">
            <v>T/P 1</v>
          </cell>
          <cell r="N2220" t="str">
            <v>ASSEMBLY</v>
          </cell>
          <cell r="O2220" t="str">
            <v>A</v>
          </cell>
        </row>
        <row r="2221">
          <cell r="A2221">
            <v>21394</v>
          </cell>
          <cell r="B2221" t="str">
            <v>IRA APRILYANA</v>
          </cell>
          <cell r="C2221" t="str">
            <v>SAMI</v>
          </cell>
          <cell r="D2221" t="str">
            <v>OPT-532</v>
          </cell>
          <cell r="E2221">
            <v>43018</v>
          </cell>
          <cell r="F2221">
            <v>43405</v>
          </cell>
          <cell r="G2221">
            <v>43769</v>
          </cell>
          <cell r="H2221" t="str">
            <v>PRD</v>
          </cell>
          <cell r="I2221" t="str">
            <v>PRD</v>
          </cell>
          <cell r="J2221" t="str">
            <v>HONDA CRV</v>
          </cell>
          <cell r="K2221" t="str">
            <v>HONDA CRV CORD R TAIL GATE SUB</v>
          </cell>
          <cell r="L2221" t="str">
            <v>CV A09</v>
          </cell>
          <cell r="M2221" t="str">
            <v>T/P 3</v>
          </cell>
          <cell r="N2221" t="str">
            <v>ASSEMBLY</v>
          </cell>
          <cell r="O2221" t="str">
            <v>A</v>
          </cell>
        </row>
        <row r="2222">
          <cell r="A2222">
            <v>21569</v>
          </cell>
          <cell r="B2222" t="str">
            <v>UMI WAKHIDAH</v>
          </cell>
          <cell r="C2222" t="str">
            <v>SAMI</v>
          </cell>
          <cell r="D2222" t="str">
            <v>OPT-535</v>
          </cell>
          <cell r="E2222">
            <v>43045</v>
          </cell>
          <cell r="F2222">
            <v>43435</v>
          </cell>
          <cell r="G2222">
            <v>43799</v>
          </cell>
          <cell r="H2222" t="str">
            <v>PRD</v>
          </cell>
          <cell r="I2222" t="str">
            <v>PRD</v>
          </cell>
          <cell r="J2222" t="str">
            <v>HONDA CRV</v>
          </cell>
          <cell r="K2222" t="str">
            <v>HONDA CRV CORD R TAIL GATE SUB</v>
          </cell>
          <cell r="L2222" t="str">
            <v>CV A09</v>
          </cell>
          <cell r="M2222" t="str">
            <v>CHECKER</v>
          </cell>
          <cell r="N2222" t="str">
            <v>ELECTRICAL INSPECTION</v>
          </cell>
          <cell r="O2222" t="str">
            <v>A</v>
          </cell>
        </row>
        <row r="2223">
          <cell r="A2223">
            <v>22203</v>
          </cell>
          <cell r="B2223" t="str">
            <v>SUWARNI SUSILOWATI</v>
          </cell>
          <cell r="C2223" t="str">
            <v>SAMI</v>
          </cell>
          <cell r="D2223" t="str">
            <v>OPT-550</v>
          </cell>
          <cell r="E2223">
            <v>43158</v>
          </cell>
          <cell r="F2223">
            <v>43186</v>
          </cell>
          <cell r="G2223">
            <v>43555</v>
          </cell>
          <cell r="H2223" t="str">
            <v>PRD</v>
          </cell>
          <cell r="I2223" t="str">
            <v>PRD</v>
          </cell>
          <cell r="J2223" t="str">
            <v>HONDA CRV</v>
          </cell>
          <cell r="K2223" t="str">
            <v>HONDA CRV CORD R TAIL GATE SUB</v>
          </cell>
          <cell r="L2223" t="str">
            <v>CV A09</v>
          </cell>
          <cell r="M2223" t="str">
            <v>S/A 4</v>
          </cell>
          <cell r="N2223" t="str">
            <v>SUB ASSY</v>
          </cell>
          <cell r="O2223" t="str">
            <v>A</v>
          </cell>
        </row>
        <row r="2224">
          <cell r="A2224">
            <v>22405</v>
          </cell>
          <cell r="B2224" t="str">
            <v>NUR FAIDAH</v>
          </cell>
          <cell r="C2224" t="str">
            <v>SAMI</v>
          </cell>
          <cell r="D2224" t="str">
            <v>OPT-558</v>
          </cell>
          <cell r="E2224">
            <v>43213</v>
          </cell>
          <cell r="F2224">
            <v>43243</v>
          </cell>
          <cell r="G2224">
            <v>43616</v>
          </cell>
          <cell r="H2224" t="str">
            <v>PRD</v>
          </cell>
          <cell r="I2224" t="str">
            <v>PRD</v>
          </cell>
          <cell r="J2224" t="str">
            <v>HONDA CRV</v>
          </cell>
          <cell r="K2224" t="str">
            <v>HONDA CRV CORD R TAIL GATE SUB</v>
          </cell>
          <cell r="L2224" t="str">
            <v>CV A09</v>
          </cell>
          <cell r="M2224" t="str">
            <v>S/A 3</v>
          </cell>
          <cell r="N2224" t="str">
            <v>SUB ASSY</v>
          </cell>
          <cell r="O2224" t="str">
            <v>A</v>
          </cell>
        </row>
        <row r="2225">
          <cell r="A2225">
            <v>22889</v>
          </cell>
          <cell r="B2225" t="str">
            <v>SITI MASRUROH</v>
          </cell>
          <cell r="C2225" t="str">
            <v>SAMI</v>
          </cell>
          <cell r="D2225" t="str">
            <v>OPT-567</v>
          </cell>
          <cell r="E2225">
            <v>43333</v>
          </cell>
          <cell r="F2225">
            <v>43364</v>
          </cell>
          <cell r="G2225">
            <v>43738</v>
          </cell>
          <cell r="H2225" t="str">
            <v>PRD</v>
          </cell>
          <cell r="I2225" t="str">
            <v>PRD</v>
          </cell>
          <cell r="J2225" t="str">
            <v>HONDA CRV</v>
          </cell>
          <cell r="K2225" t="str">
            <v>HONDA CRV CORD R TAIL GATE SUB</v>
          </cell>
          <cell r="L2225" t="str">
            <v>CV A09</v>
          </cell>
          <cell r="M2225" t="str">
            <v>T/P 4</v>
          </cell>
          <cell r="N2225" t="str">
            <v>ASSEMBLY</v>
          </cell>
          <cell r="O2225" t="str">
            <v>A</v>
          </cell>
        </row>
        <row r="2226">
          <cell r="A2226">
            <v>22991</v>
          </cell>
          <cell r="B2226" t="str">
            <v>AINAYA FATEKHAH</v>
          </cell>
          <cell r="C2226" t="str">
            <v>SAMI</v>
          </cell>
          <cell r="D2226" t="str">
            <v>OPT-569</v>
          </cell>
          <cell r="E2226">
            <v>43361</v>
          </cell>
          <cell r="F2226">
            <v>43391</v>
          </cell>
          <cell r="G2226">
            <v>43769</v>
          </cell>
          <cell r="H2226" t="str">
            <v>PRD</v>
          </cell>
          <cell r="I2226" t="str">
            <v>PRD</v>
          </cell>
          <cell r="J2226" t="str">
            <v>HONDA CRV</v>
          </cell>
          <cell r="K2226" t="str">
            <v>HONDA CRV CORD R TAIL GATE SUB</v>
          </cell>
          <cell r="L2226" t="str">
            <v>CV A09</v>
          </cell>
          <cell r="M2226" t="str">
            <v>S/A 2</v>
          </cell>
          <cell r="N2226" t="str">
            <v>SUB ASSY</v>
          </cell>
          <cell r="O2226" t="str">
            <v>A</v>
          </cell>
        </row>
        <row r="2227">
          <cell r="A2227">
            <v>23245</v>
          </cell>
          <cell r="B2227" t="str">
            <v>NUR AFIFAH</v>
          </cell>
          <cell r="C2227" t="str">
            <v>SAMI</v>
          </cell>
          <cell r="D2227" t="str">
            <v>OPT-573</v>
          </cell>
          <cell r="E2227">
            <v>43421</v>
          </cell>
          <cell r="F2227">
            <v>43451</v>
          </cell>
          <cell r="G2227">
            <v>43830</v>
          </cell>
          <cell r="H2227" t="str">
            <v>PRD</v>
          </cell>
          <cell r="I2227" t="str">
            <v>PRD</v>
          </cell>
          <cell r="J2227" t="str">
            <v>HONDA CRV</v>
          </cell>
          <cell r="K2227" t="str">
            <v>HONDA CRV CORD R TAIL GATE SUB</v>
          </cell>
          <cell r="L2227" t="str">
            <v>CV A09</v>
          </cell>
          <cell r="M2227" t="str">
            <v>CIRCUIT SUPPLIER</v>
          </cell>
          <cell r="N2227" t="str">
            <v>CIRCUIT SUPPLY</v>
          </cell>
          <cell r="O2227" t="str">
            <v>A</v>
          </cell>
        </row>
        <row r="2228">
          <cell r="A2228">
            <v>23400</v>
          </cell>
          <cell r="B2228" t="str">
            <v>AYU DWI LESTARI</v>
          </cell>
          <cell r="C2228" t="str">
            <v>SAMI</v>
          </cell>
          <cell r="D2228" t="str">
            <v>OPT-575</v>
          </cell>
          <cell r="E2228">
            <v>43434</v>
          </cell>
          <cell r="F2228">
            <v>43464</v>
          </cell>
          <cell r="G2228">
            <v>43830</v>
          </cell>
          <cell r="H2228" t="str">
            <v>PRD</v>
          </cell>
          <cell r="I2228" t="str">
            <v>PRD</v>
          </cell>
          <cell r="J2228" t="str">
            <v>HONDA CRV</v>
          </cell>
          <cell r="K2228" t="str">
            <v>HONDA CRV CORD R TAIL GATE SUB</v>
          </cell>
          <cell r="L2228" t="str">
            <v>CV A09</v>
          </cell>
          <cell r="M2228" t="str">
            <v>OJT MATERIAL SUPPLY</v>
          </cell>
          <cell r="N2228" t="str">
            <v>INTERNAL TRIAL</v>
          </cell>
          <cell r="O2228" t="str">
            <v>A</v>
          </cell>
        </row>
        <row r="2229">
          <cell r="A2229">
            <v>23587</v>
          </cell>
          <cell r="B2229" t="str">
            <v>SEPTI LIANA SARI</v>
          </cell>
          <cell r="C2229" t="str">
            <v>SAMI</v>
          </cell>
          <cell r="D2229" t="str">
            <v>OPT-577</v>
          </cell>
          <cell r="E2229">
            <v>43452</v>
          </cell>
          <cell r="F2229">
            <v>43483</v>
          </cell>
          <cell r="G2229">
            <v>43861</v>
          </cell>
          <cell r="H2229" t="str">
            <v>PRD</v>
          </cell>
          <cell r="I2229" t="str">
            <v>PRD</v>
          </cell>
          <cell r="J2229" t="str">
            <v>HONDA CRV</v>
          </cell>
          <cell r="K2229" t="str">
            <v>HONDA CRV  CORD R TAIL GATE SUB</v>
          </cell>
          <cell r="L2229" t="str">
            <v>CV A09</v>
          </cell>
          <cell r="M2229" t="str">
            <v>OJT S/A 1</v>
          </cell>
          <cell r="N2229" t="str">
            <v>INTERNAL TRIAL</v>
          </cell>
          <cell r="O2229" t="str">
            <v>A</v>
          </cell>
        </row>
        <row r="2230">
          <cell r="A2230">
            <v>213</v>
          </cell>
          <cell r="B2230" t="str">
            <v>NISWATIN FAUZIAH</v>
          </cell>
          <cell r="C2230" t="str">
            <v>SAMI</v>
          </cell>
          <cell r="D2230" t="str">
            <v>OPT-6</v>
          </cell>
          <cell r="E2230">
            <v>37697</v>
          </cell>
          <cell r="F2230" t="str">
            <v>-</v>
          </cell>
          <cell r="G2230" t="str">
            <v>-</v>
          </cell>
          <cell r="H2230" t="str">
            <v>PRD</v>
          </cell>
          <cell r="I2230" t="str">
            <v>PRD</v>
          </cell>
          <cell r="J2230" t="str">
            <v>HONDA CRV</v>
          </cell>
          <cell r="K2230" t="str">
            <v>HONDA CRV CORD R TAIL GATE SUB</v>
          </cell>
          <cell r="L2230" t="str">
            <v>CV A09</v>
          </cell>
          <cell r="M2230" t="str">
            <v>SUB LINE CHO</v>
          </cell>
          <cell r="N2230" t="str">
            <v>GL</v>
          </cell>
          <cell r="O2230" t="str">
            <v>B</v>
          </cell>
        </row>
        <row r="2231">
          <cell r="A2231">
            <v>5495</v>
          </cell>
          <cell r="B2231" t="str">
            <v>ENDRA APRIYANI</v>
          </cell>
          <cell r="C2231" t="str">
            <v>SAMI</v>
          </cell>
          <cell r="D2231" t="str">
            <v>OPT-129</v>
          </cell>
          <cell r="E2231">
            <v>39022</v>
          </cell>
          <cell r="F2231" t="str">
            <v>-</v>
          </cell>
          <cell r="G2231" t="str">
            <v>-</v>
          </cell>
          <cell r="H2231" t="str">
            <v>PRD</v>
          </cell>
          <cell r="I2231" t="str">
            <v>PRD</v>
          </cell>
          <cell r="J2231" t="str">
            <v>HONDA CRV</v>
          </cell>
          <cell r="K2231" t="str">
            <v>HONDA CRV CORD R TAIL GATE SUB</v>
          </cell>
          <cell r="L2231" t="str">
            <v>CV A09</v>
          </cell>
          <cell r="M2231" t="str">
            <v>LQC</v>
          </cell>
          <cell r="N2231" t="str">
            <v>RELIEF</v>
          </cell>
          <cell r="O2231" t="str">
            <v>B</v>
          </cell>
        </row>
        <row r="2232">
          <cell r="A2232">
            <v>21245</v>
          </cell>
          <cell r="B2232" t="str">
            <v>NUR LAELI</v>
          </cell>
          <cell r="C2232" t="str">
            <v>SAMI</v>
          </cell>
          <cell r="D2232" t="str">
            <v>OPT-525</v>
          </cell>
          <cell r="E2232">
            <v>42893</v>
          </cell>
          <cell r="F2232">
            <v>43374</v>
          </cell>
          <cell r="G2232">
            <v>43738</v>
          </cell>
          <cell r="H2232" t="str">
            <v>PRD</v>
          </cell>
          <cell r="I2232" t="str">
            <v>PRD</v>
          </cell>
          <cell r="J2232" t="str">
            <v>HONDA CRV</v>
          </cell>
          <cell r="K2232" t="str">
            <v>HONDA CRV CORD R TAIL GATE SUB</v>
          </cell>
          <cell r="L2232" t="str">
            <v>CV A09</v>
          </cell>
          <cell r="M2232" t="str">
            <v>T/P 2</v>
          </cell>
          <cell r="N2232" t="str">
            <v>ASSEMBLY</v>
          </cell>
          <cell r="O2232" t="str">
            <v>B</v>
          </cell>
        </row>
        <row r="2233">
          <cell r="A2233">
            <v>21399</v>
          </cell>
          <cell r="B2233" t="str">
            <v>LARAS APRILIYATI</v>
          </cell>
          <cell r="C2233" t="str">
            <v>SAMI</v>
          </cell>
          <cell r="D2233" t="str">
            <v>OPT-532</v>
          </cell>
          <cell r="E2233">
            <v>43018</v>
          </cell>
          <cell r="F2233">
            <v>43405</v>
          </cell>
          <cell r="G2233">
            <v>43769</v>
          </cell>
          <cell r="H2233" t="str">
            <v>PRD</v>
          </cell>
          <cell r="I2233" t="str">
            <v>PRD</v>
          </cell>
          <cell r="J2233" t="str">
            <v>HONDA CRV</v>
          </cell>
          <cell r="K2233" t="str">
            <v>HONDA CRV CORD R TAIL GATE SUB</v>
          </cell>
          <cell r="L2233" t="str">
            <v>CV A09</v>
          </cell>
          <cell r="M2233" t="str">
            <v>T/P 3</v>
          </cell>
          <cell r="N2233" t="str">
            <v>ASSEMBLY</v>
          </cell>
          <cell r="O2233" t="str">
            <v>B</v>
          </cell>
        </row>
        <row r="2234">
          <cell r="A2234">
            <v>21426</v>
          </cell>
          <cell r="B2234" t="str">
            <v>YULI SETIYAWATI</v>
          </cell>
          <cell r="C2234" t="str">
            <v>SAMI</v>
          </cell>
          <cell r="D2234" t="str">
            <v>OPT-532</v>
          </cell>
          <cell r="E2234">
            <v>43018</v>
          </cell>
          <cell r="F2234">
            <v>43405</v>
          </cell>
          <cell r="G2234">
            <v>43769</v>
          </cell>
          <cell r="H2234" t="str">
            <v>PRD</v>
          </cell>
          <cell r="I2234" t="str">
            <v>PRD</v>
          </cell>
          <cell r="J2234" t="str">
            <v>HONDA CRV</v>
          </cell>
          <cell r="K2234" t="str">
            <v>HONDA CRV CORD R TAIL GATE SUB</v>
          </cell>
          <cell r="L2234" t="str">
            <v>CV A09</v>
          </cell>
          <cell r="M2234" t="str">
            <v>S/A 2</v>
          </cell>
          <cell r="N2234" t="str">
            <v>SUB ASSY</v>
          </cell>
          <cell r="O2234" t="str">
            <v>B</v>
          </cell>
        </row>
        <row r="2235">
          <cell r="A2235">
            <v>22150</v>
          </cell>
          <cell r="B2235" t="str">
            <v>SITI MUSYAFA'AH</v>
          </cell>
          <cell r="C2235" t="str">
            <v>SAMI</v>
          </cell>
          <cell r="D2235" t="str">
            <v>OPT-549</v>
          </cell>
          <cell r="E2235">
            <v>43153</v>
          </cell>
          <cell r="F2235">
            <v>43181</v>
          </cell>
          <cell r="G2235">
            <v>43555</v>
          </cell>
          <cell r="H2235" t="str">
            <v>PRD</v>
          </cell>
          <cell r="I2235" t="str">
            <v>PRD</v>
          </cell>
          <cell r="J2235" t="str">
            <v>HONDA CRV</v>
          </cell>
          <cell r="K2235" t="str">
            <v>HONDA CRV CORD R TAIL GATE SUB</v>
          </cell>
          <cell r="L2235" t="str">
            <v>CV A09</v>
          </cell>
          <cell r="M2235" t="str">
            <v>T/P 4</v>
          </cell>
          <cell r="N2235" t="str">
            <v>ASSEMBLY</v>
          </cell>
          <cell r="O2235" t="str">
            <v>B</v>
          </cell>
        </row>
        <row r="2236">
          <cell r="A2236">
            <v>22328</v>
          </cell>
          <cell r="B2236" t="str">
            <v>ANISAH</v>
          </cell>
          <cell r="C2236" t="str">
            <v>SAMI</v>
          </cell>
          <cell r="D2236" t="str">
            <v>OPT-556</v>
          </cell>
          <cell r="E2236">
            <v>43195</v>
          </cell>
          <cell r="F2236">
            <v>43225</v>
          </cell>
          <cell r="G2236">
            <v>43585</v>
          </cell>
          <cell r="H2236" t="str">
            <v>PRD</v>
          </cell>
          <cell r="I2236" t="str">
            <v>PRD</v>
          </cell>
          <cell r="J2236" t="str">
            <v>HONDA CRV</v>
          </cell>
          <cell r="K2236" t="str">
            <v>HONDA CRV CORD R TAIL GATE SUB</v>
          </cell>
          <cell r="L2236" t="str">
            <v>CV A09</v>
          </cell>
          <cell r="M2236" t="str">
            <v>S/A 1</v>
          </cell>
          <cell r="N2236" t="str">
            <v>SUB ASSY</v>
          </cell>
          <cell r="O2236" t="str">
            <v>B</v>
          </cell>
        </row>
        <row r="2237">
          <cell r="A2237">
            <v>22406</v>
          </cell>
          <cell r="B2237" t="str">
            <v>NUR MIFTAKUL HIKMAH</v>
          </cell>
          <cell r="C2237" t="str">
            <v>SAMI</v>
          </cell>
          <cell r="D2237" t="str">
            <v>OPT-558</v>
          </cell>
          <cell r="E2237">
            <v>43213</v>
          </cell>
          <cell r="F2237">
            <v>43243</v>
          </cell>
          <cell r="G2237">
            <v>43616</v>
          </cell>
          <cell r="H2237" t="str">
            <v>PRD</v>
          </cell>
          <cell r="I2237" t="str">
            <v>PRD</v>
          </cell>
          <cell r="J2237" t="str">
            <v>HONDA CRV</v>
          </cell>
          <cell r="K2237" t="str">
            <v>HONDA CRV CORD R TAIL GATE SUB</v>
          </cell>
          <cell r="L2237" t="str">
            <v>CV A09</v>
          </cell>
          <cell r="M2237" t="str">
            <v>T/P 1</v>
          </cell>
          <cell r="N2237" t="str">
            <v>ASSEMBLY</v>
          </cell>
          <cell r="O2237" t="str">
            <v>B</v>
          </cell>
        </row>
        <row r="2238">
          <cell r="A2238">
            <v>22562</v>
          </cell>
          <cell r="B2238" t="str">
            <v>RINTA HANDAYANI</v>
          </cell>
          <cell r="C2238" t="str">
            <v>SAMI</v>
          </cell>
          <cell r="D2238" t="str">
            <v>OPT-560</v>
          </cell>
          <cell r="E2238">
            <v>43224</v>
          </cell>
          <cell r="F2238">
            <v>43255</v>
          </cell>
          <cell r="G2238">
            <v>43616</v>
          </cell>
          <cell r="H2238" t="str">
            <v>PRD</v>
          </cell>
          <cell r="I2238" t="str">
            <v>PRD</v>
          </cell>
          <cell r="J2238" t="str">
            <v>HONDA CRV</v>
          </cell>
          <cell r="K2238" t="str">
            <v>HONDA CRV CORD R TAIL GATE SUB</v>
          </cell>
          <cell r="L2238" t="str">
            <v>CV A09</v>
          </cell>
          <cell r="M2238" t="str">
            <v>OFFLINE 3</v>
          </cell>
          <cell r="N2238" t="str">
            <v>ASSEMBLY</v>
          </cell>
          <cell r="O2238" t="str">
            <v>B</v>
          </cell>
        </row>
        <row r="2239">
          <cell r="A2239">
            <v>23169</v>
          </cell>
          <cell r="B2239" t="str">
            <v>SITI MUSDALIFAH</v>
          </cell>
          <cell r="C2239" t="str">
            <v>SAMI</v>
          </cell>
          <cell r="D2239" t="str">
            <v>OPT-570</v>
          </cell>
          <cell r="E2239">
            <v>43369</v>
          </cell>
          <cell r="F2239">
            <v>43399</v>
          </cell>
          <cell r="G2239">
            <v>43769</v>
          </cell>
          <cell r="H2239" t="str">
            <v>PRD</v>
          </cell>
          <cell r="I2239" t="str">
            <v>PRD</v>
          </cell>
          <cell r="J2239" t="str">
            <v>HONDA CRV</v>
          </cell>
          <cell r="K2239" t="str">
            <v>HONDA CRV CORD R TAIL GATE SUB</v>
          </cell>
          <cell r="L2239" t="str">
            <v>CV A09</v>
          </cell>
          <cell r="M2239" t="str">
            <v>S/A 4</v>
          </cell>
          <cell r="N2239" t="str">
            <v>SUB ASSY</v>
          </cell>
          <cell r="O2239" t="str">
            <v>B</v>
          </cell>
        </row>
        <row r="2240">
          <cell r="A2240">
            <v>23246</v>
          </cell>
          <cell r="B2240" t="str">
            <v>NUR AZIZAH</v>
          </cell>
          <cell r="C2240" t="str">
            <v>SAMI</v>
          </cell>
          <cell r="D2240" t="str">
            <v>OPT-573</v>
          </cell>
          <cell r="E2240">
            <v>43421</v>
          </cell>
          <cell r="F2240">
            <v>43451</v>
          </cell>
          <cell r="G2240">
            <v>43830</v>
          </cell>
          <cell r="H2240" t="str">
            <v>PRD</v>
          </cell>
          <cell r="I2240" t="str">
            <v>PRD</v>
          </cell>
          <cell r="J2240" t="str">
            <v>HONDA CRV</v>
          </cell>
          <cell r="K2240" t="str">
            <v>HONDA CRV CORD R TAIL GATE SUB</v>
          </cell>
          <cell r="L2240" t="str">
            <v>CV A09</v>
          </cell>
          <cell r="M2240" t="str">
            <v>MS+S/T</v>
          </cell>
          <cell r="N2240" t="str">
            <v>MATERIAL SUPPLY</v>
          </cell>
          <cell r="O2240" t="str">
            <v>B</v>
          </cell>
        </row>
        <row r="2241">
          <cell r="A2241">
            <v>23392</v>
          </cell>
          <cell r="B2241" t="str">
            <v xml:space="preserve">AMALLIYA </v>
          </cell>
          <cell r="C2241" t="str">
            <v>SAMI</v>
          </cell>
          <cell r="D2241" t="str">
            <v>OPT-575</v>
          </cell>
          <cell r="E2241">
            <v>43434</v>
          </cell>
          <cell r="F2241">
            <v>43464</v>
          </cell>
          <cell r="G2241">
            <v>43830</v>
          </cell>
          <cell r="H2241" t="str">
            <v>PRD</v>
          </cell>
          <cell r="I2241" t="str">
            <v>PRD</v>
          </cell>
          <cell r="J2241" t="str">
            <v>HONDA CRV</v>
          </cell>
          <cell r="K2241" t="str">
            <v>HONDA CRV CORD R TAIL GATE SUB</v>
          </cell>
          <cell r="L2241" t="str">
            <v>CV A09</v>
          </cell>
          <cell r="M2241" t="str">
            <v>S/A 3</v>
          </cell>
          <cell r="N2241" t="str">
            <v>SUB ASSY</v>
          </cell>
          <cell r="O2241" t="str">
            <v>B</v>
          </cell>
        </row>
        <row r="2242">
          <cell r="A2242">
            <v>23399</v>
          </cell>
          <cell r="B2242" t="str">
            <v>ARY FRIDAYANI</v>
          </cell>
          <cell r="C2242" t="str">
            <v>SAMI</v>
          </cell>
          <cell r="D2242" t="str">
            <v>OPT-575</v>
          </cell>
          <cell r="E2242">
            <v>43434</v>
          </cell>
          <cell r="F2242">
            <v>43464</v>
          </cell>
          <cell r="G2242">
            <v>43830</v>
          </cell>
          <cell r="H2242" t="str">
            <v>PRD</v>
          </cell>
          <cell r="I2242" t="str">
            <v>PRD</v>
          </cell>
          <cell r="J2242" t="str">
            <v>HONDA CRV</v>
          </cell>
          <cell r="K2242" t="str">
            <v>HONDA CRV CORD R TAIL GATE SUB</v>
          </cell>
          <cell r="L2242" t="str">
            <v>CV A09</v>
          </cell>
          <cell r="M2242" t="str">
            <v>CIRCUIT SUPPLIER</v>
          </cell>
          <cell r="N2242" t="str">
            <v>INTERNAL TRIAL</v>
          </cell>
          <cell r="O2242" t="str">
            <v>B</v>
          </cell>
        </row>
        <row r="2243">
          <cell r="A2243">
            <v>23488</v>
          </cell>
          <cell r="B2243" t="str">
            <v>ALFIANA NURUL HIDAYAH</v>
          </cell>
          <cell r="C2243" t="str">
            <v>SAMI</v>
          </cell>
          <cell r="D2243" t="str">
            <v>OPT-576</v>
          </cell>
          <cell r="E2243">
            <v>43441</v>
          </cell>
          <cell r="F2243">
            <v>43472</v>
          </cell>
          <cell r="G2243">
            <v>43830</v>
          </cell>
          <cell r="H2243" t="str">
            <v>PRD</v>
          </cell>
          <cell r="I2243" t="str">
            <v>PRD</v>
          </cell>
          <cell r="J2243" t="str">
            <v>HONDA CRV</v>
          </cell>
          <cell r="K2243" t="str">
            <v>HONDA CRV CORD R TAIL GATE SUB</v>
          </cell>
          <cell r="L2243" t="str">
            <v>CV A09</v>
          </cell>
          <cell r="M2243" t="str">
            <v>CHECKER</v>
          </cell>
          <cell r="N2243" t="str">
            <v>ELECTRICAL INSPECTION</v>
          </cell>
          <cell r="O2243" t="str">
            <v>B</v>
          </cell>
        </row>
        <row r="2244">
          <cell r="A2244">
            <v>1188</v>
          </cell>
          <cell r="B2244" t="str">
            <v>ENI KUSRINI</v>
          </cell>
          <cell r="C2244" t="str">
            <v>SAMI</v>
          </cell>
          <cell r="D2244" t="str">
            <v>OPT-29</v>
          </cell>
          <cell r="E2244">
            <v>37907</v>
          </cell>
          <cell r="F2244" t="str">
            <v>-</v>
          </cell>
          <cell r="G2244" t="str">
            <v>-</v>
          </cell>
          <cell r="H2244" t="str">
            <v>PRD</v>
          </cell>
          <cell r="I2244" t="str">
            <v>PRD</v>
          </cell>
          <cell r="J2244" t="str">
            <v>HONDA CRV</v>
          </cell>
          <cell r="K2244" t="str">
            <v>HONDA CRV CORD TAIL L GATE SUB</v>
          </cell>
          <cell r="L2244" t="str">
            <v>CV A10</v>
          </cell>
          <cell r="M2244" t="str">
            <v>SUB LINE CHO</v>
          </cell>
          <cell r="N2244" t="str">
            <v>GL</v>
          </cell>
          <cell r="O2244" t="str">
            <v>A</v>
          </cell>
        </row>
        <row r="2245">
          <cell r="A2245">
            <v>9857</v>
          </cell>
          <cell r="B2245" t="str">
            <v>NILNAL MINAH</v>
          </cell>
          <cell r="C2245" t="str">
            <v>SAMI</v>
          </cell>
          <cell r="D2245" t="str">
            <v>OPT-240</v>
          </cell>
          <cell r="E2245">
            <v>40411</v>
          </cell>
          <cell r="F2245" t="str">
            <v>-</v>
          </cell>
          <cell r="G2245" t="str">
            <v>-</v>
          </cell>
          <cell r="H2245" t="str">
            <v>PRD</v>
          </cell>
          <cell r="I2245" t="str">
            <v>PRD</v>
          </cell>
          <cell r="J2245" t="str">
            <v>HONDA CRV</v>
          </cell>
          <cell r="K2245" t="str">
            <v>HONDA CRV CORD TAIL L GATE SUB</v>
          </cell>
          <cell r="L2245" t="str">
            <v>CV A10</v>
          </cell>
          <cell r="M2245" t="str">
            <v>LQC</v>
          </cell>
          <cell r="N2245" t="str">
            <v>RELIEF</v>
          </cell>
          <cell r="O2245" t="str">
            <v>A</v>
          </cell>
        </row>
        <row r="2246">
          <cell r="A2246">
            <v>9939</v>
          </cell>
          <cell r="B2246" t="str">
            <v>ITA AYUNINGRUM</v>
          </cell>
          <cell r="C2246" t="str">
            <v>SAMI</v>
          </cell>
          <cell r="D2246" t="str">
            <v>OPT-246</v>
          </cell>
          <cell r="E2246">
            <v>40431</v>
          </cell>
          <cell r="F2246" t="str">
            <v>-</v>
          </cell>
          <cell r="G2246" t="str">
            <v>-</v>
          </cell>
          <cell r="H2246" t="str">
            <v>PRD</v>
          </cell>
          <cell r="I2246" t="str">
            <v>PRD</v>
          </cell>
          <cell r="J2246" t="str">
            <v>HONDA CRV</v>
          </cell>
          <cell r="K2246" t="str">
            <v>HONDA CRV CORD TAIL L GATE SUB</v>
          </cell>
          <cell r="L2246" t="str">
            <v>CV A10</v>
          </cell>
          <cell r="M2246" t="str">
            <v>VISUAL</v>
          </cell>
          <cell r="N2246" t="str">
            <v>VISUAL INSPECTION</v>
          </cell>
          <cell r="O2246" t="str">
            <v>A</v>
          </cell>
        </row>
        <row r="2247">
          <cell r="A2247">
            <v>11774</v>
          </cell>
          <cell r="B2247" t="str">
            <v>RIZKI ASIH</v>
          </cell>
          <cell r="C2247" t="str">
            <v>SAMI</v>
          </cell>
          <cell r="D2247" t="str">
            <v>OPT-308</v>
          </cell>
          <cell r="E2247">
            <v>40714</v>
          </cell>
          <cell r="F2247" t="str">
            <v>-</v>
          </cell>
          <cell r="G2247" t="str">
            <v>-</v>
          </cell>
          <cell r="H2247" t="str">
            <v>PRD</v>
          </cell>
          <cell r="I2247" t="str">
            <v>PRD</v>
          </cell>
          <cell r="J2247" t="str">
            <v>HONDA CRV</v>
          </cell>
          <cell r="K2247" t="str">
            <v>HONDA CRV CORD TAIL L GATE SUB</v>
          </cell>
          <cell r="L2247" t="str">
            <v>CV A10</v>
          </cell>
          <cell r="M2247" t="str">
            <v>VISUAL</v>
          </cell>
          <cell r="N2247" t="str">
            <v>VISUAL INSPECTION</v>
          </cell>
          <cell r="O2247" t="str">
            <v>A</v>
          </cell>
        </row>
        <row r="2248">
          <cell r="A2248">
            <v>20737</v>
          </cell>
          <cell r="B2248" t="str">
            <v>OKTAVIANI</v>
          </cell>
          <cell r="C2248" t="str">
            <v>SAMI</v>
          </cell>
          <cell r="D2248" t="str">
            <v>OPT-506</v>
          </cell>
          <cell r="E2248">
            <v>42642</v>
          </cell>
          <cell r="F2248">
            <v>43132</v>
          </cell>
          <cell r="G2248">
            <v>43496</v>
          </cell>
          <cell r="H2248" t="str">
            <v>PRD</v>
          </cell>
          <cell r="I2248" t="str">
            <v>PRD</v>
          </cell>
          <cell r="J2248" t="str">
            <v>HONDA CRV</v>
          </cell>
          <cell r="K2248" t="str">
            <v>HONDA CRV CORD TAIL L GATE SUB</v>
          </cell>
          <cell r="L2248" t="str">
            <v>CV A10</v>
          </cell>
          <cell r="M2248" t="str">
            <v>T/P 3B</v>
          </cell>
          <cell r="N2248" t="str">
            <v>ASSEMBLY</v>
          </cell>
          <cell r="O2248" t="str">
            <v>A</v>
          </cell>
        </row>
        <row r="2249">
          <cell r="A2249">
            <v>20756</v>
          </cell>
          <cell r="B2249" t="str">
            <v>SITI NUR HIDAYATUL KARIMAH</v>
          </cell>
          <cell r="C2249" t="str">
            <v>SAMI</v>
          </cell>
          <cell r="D2249" t="str">
            <v>OPT-506</v>
          </cell>
          <cell r="E2249">
            <v>42642</v>
          </cell>
          <cell r="F2249">
            <v>43132</v>
          </cell>
          <cell r="G2249">
            <v>43496</v>
          </cell>
          <cell r="H2249" t="str">
            <v>PRD</v>
          </cell>
          <cell r="I2249" t="str">
            <v>PRD</v>
          </cell>
          <cell r="J2249" t="str">
            <v>HONDA CRV</v>
          </cell>
          <cell r="K2249" t="str">
            <v>HONDA CRV CORD TAIL L GATE SUB</v>
          </cell>
          <cell r="L2249" t="str">
            <v>CV A10</v>
          </cell>
          <cell r="M2249" t="str">
            <v>S/T 1B</v>
          </cell>
          <cell r="N2249" t="str">
            <v>ASSEMBLY</v>
          </cell>
          <cell r="O2249" t="str">
            <v>A</v>
          </cell>
        </row>
        <row r="2250">
          <cell r="A2250">
            <v>20857</v>
          </cell>
          <cell r="B2250" t="str">
            <v>DUROTUN NASEKHAH</v>
          </cell>
          <cell r="C2250" t="str">
            <v>SAMI</v>
          </cell>
          <cell r="D2250" t="str">
            <v>OPT-510</v>
          </cell>
          <cell r="E2250">
            <v>42660</v>
          </cell>
          <cell r="F2250">
            <v>43160</v>
          </cell>
          <cell r="G2250">
            <v>43524</v>
          </cell>
          <cell r="H2250" t="str">
            <v>PRD</v>
          </cell>
          <cell r="I2250" t="str">
            <v>PRD</v>
          </cell>
          <cell r="J2250" t="str">
            <v>HONDA CRV</v>
          </cell>
          <cell r="K2250" t="str">
            <v>HONDA CRV CORD TAIL L GATE SUB</v>
          </cell>
          <cell r="L2250" t="str">
            <v>CV A10</v>
          </cell>
          <cell r="M2250" t="str">
            <v>S/A 2.2B</v>
          </cell>
          <cell r="N2250" t="str">
            <v>SUB ASSY</v>
          </cell>
          <cell r="O2250" t="str">
            <v>A</v>
          </cell>
        </row>
        <row r="2251">
          <cell r="A2251">
            <v>21056</v>
          </cell>
          <cell r="B2251" t="str">
            <v xml:space="preserve">INGGIT CONISA </v>
          </cell>
          <cell r="C2251" t="str">
            <v>SAMI</v>
          </cell>
          <cell r="D2251" t="str">
            <v>OPT-520</v>
          </cell>
          <cell r="E2251">
            <v>42863</v>
          </cell>
          <cell r="F2251">
            <v>43344</v>
          </cell>
          <cell r="G2251">
            <v>43708</v>
          </cell>
          <cell r="H2251" t="str">
            <v>PRD</v>
          </cell>
          <cell r="I2251" t="str">
            <v>PRD</v>
          </cell>
          <cell r="J2251" t="str">
            <v>HONDA CRV</v>
          </cell>
          <cell r="K2251" t="str">
            <v>HONDA CRV CORD TAIL L GATE SUB</v>
          </cell>
          <cell r="L2251" t="str">
            <v>CV A10</v>
          </cell>
          <cell r="M2251" t="str">
            <v>T/P 3A</v>
          </cell>
          <cell r="N2251" t="str">
            <v>ASSEMBLY</v>
          </cell>
          <cell r="O2251" t="str">
            <v>A</v>
          </cell>
        </row>
        <row r="2252">
          <cell r="A2252">
            <v>21145</v>
          </cell>
          <cell r="B2252" t="str">
            <v>CITRA ARUM SARI</v>
          </cell>
          <cell r="C2252" t="str">
            <v>SAMI</v>
          </cell>
          <cell r="D2252" t="str">
            <v>OPT-522</v>
          </cell>
          <cell r="E2252">
            <v>42871</v>
          </cell>
          <cell r="F2252">
            <v>43374</v>
          </cell>
          <cell r="G2252">
            <v>43738</v>
          </cell>
          <cell r="H2252" t="str">
            <v>PRD</v>
          </cell>
          <cell r="I2252" t="str">
            <v>PRD</v>
          </cell>
          <cell r="J2252" t="str">
            <v>HONDA CRV</v>
          </cell>
          <cell r="K2252" t="str">
            <v>HONDA CRV CORD TAIL L GATE SUB</v>
          </cell>
          <cell r="L2252" t="str">
            <v>CV A10</v>
          </cell>
          <cell r="M2252" t="str">
            <v>S/A 2.2A</v>
          </cell>
          <cell r="N2252" t="str">
            <v>SUB ASSY</v>
          </cell>
          <cell r="O2252" t="str">
            <v>A</v>
          </cell>
        </row>
        <row r="2253">
          <cell r="A2253">
            <v>21152</v>
          </cell>
          <cell r="B2253" t="str">
            <v>ENDANG SETIANI</v>
          </cell>
          <cell r="C2253" t="str">
            <v>SAMI</v>
          </cell>
          <cell r="D2253" t="str">
            <v>OPT-522</v>
          </cell>
          <cell r="E2253">
            <v>42871</v>
          </cell>
          <cell r="F2253">
            <v>43374</v>
          </cell>
          <cell r="G2253">
            <v>43738</v>
          </cell>
          <cell r="H2253" t="str">
            <v>PRD</v>
          </cell>
          <cell r="I2253" t="str">
            <v>PRD</v>
          </cell>
          <cell r="J2253" t="str">
            <v>HONDA CRV</v>
          </cell>
          <cell r="K2253" t="str">
            <v>HONDA CRV CORD TAIL L GATE SUB</v>
          </cell>
          <cell r="L2253" t="str">
            <v>CV A10</v>
          </cell>
          <cell r="M2253" t="str">
            <v>S/A 2.1B</v>
          </cell>
          <cell r="N2253" t="str">
            <v>SUB ASSY</v>
          </cell>
          <cell r="O2253" t="str">
            <v>A</v>
          </cell>
        </row>
        <row r="2254">
          <cell r="A2254">
            <v>21172</v>
          </cell>
          <cell r="B2254" t="str">
            <v>NANDA AYU RAHMAWATI</v>
          </cell>
          <cell r="C2254" t="str">
            <v>SAMI</v>
          </cell>
          <cell r="D2254" t="str">
            <v>OPT-522</v>
          </cell>
          <cell r="E2254">
            <v>42871</v>
          </cell>
          <cell r="F2254">
            <v>43374</v>
          </cell>
          <cell r="G2254">
            <v>43738</v>
          </cell>
          <cell r="H2254" t="str">
            <v>PRD</v>
          </cell>
          <cell r="I2254" t="str">
            <v>PRD</v>
          </cell>
          <cell r="J2254" t="str">
            <v>HONDA CRV</v>
          </cell>
          <cell r="K2254" t="str">
            <v>HONDA CRV CORD TAIL L GATE SUB</v>
          </cell>
          <cell r="L2254" t="str">
            <v>CV A10</v>
          </cell>
          <cell r="M2254" t="str">
            <v>T/P 1B</v>
          </cell>
          <cell r="N2254" t="str">
            <v>ASSEMBLY</v>
          </cell>
          <cell r="O2254" t="str">
            <v>A</v>
          </cell>
        </row>
        <row r="2255">
          <cell r="A2255">
            <v>21240</v>
          </cell>
          <cell r="B2255" t="str">
            <v>KHIKMATUL IFADAH</v>
          </cell>
          <cell r="C2255" t="str">
            <v>SAMI</v>
          </cell>
          <cell r="D2255" t="str">
            <v>OPT-525</v>
          </cell>
          <cell r="E2255">
            <v>42893</v>
          </cell>
          <cell r="F2255">
            <v>43374</v>
          </cell>
          <cell r="G2255">
            <v>43738</v>
          </cell>
          <cell r="H2255" t="str">
            <v>PRD</v>
          </cell>
          <cell r="I2255" t="str">
            <v>PRD</v>
          </cell>
          <cell r="J2255" t="str">
            <v>HONDA CRV</v>
          </cell>
          <cell r="K2255" t="str">
            <v>HONDA CRV CORD TAIL L GATE SUB</v>
          </cell>
          <cell r="L2255" t="str">
            <v>CV A10</v>
          </cell>
          <cell r="M2255" t="str">
            <v>S/A 2.1A</v>
          </cell>
          <cell r="N2255" t="str">
            <v>SUB ASSY</v>
          </cell>
          <cell r="O2255" t="str">
            <v>A</v>
          </cell>
        </row>
        <row r="2256">
          <cell r="A2256">
            <v>21341</v>
          </cell>
          <cell r="B2256" t="str">
            <v xml:space="preserve">FIFI AFRELIYANI </v>
          </cell>
          <cell r="C2256" t="str">
            <v>SAMI</v>
          </cell>
          <cell r="D2256" t="str">
            <v>OPT-531</v>
          </cell>
          <cell r="E2256">
            <v>43013</v>
          </cell>
          <cell r="F2256">
            <v>43405</v>
          </cell>
          <cell r="G2256">
            <v>43769</v>
          </cell>
          <cell r="H2256" t="str">
            <v>PRD</v>
          </cell>
          <cell r="I2256" t="str">
            <v>PRD</v>
          </cell>
          <cell r="J2256" t="str">
            <v>HONDA CRV</v>
          </cell>
          <cell r="K2256" t="str">
            <v>HONDA CRV CORD TAIL L GATE SUB</v>
          </cell>
          <cell r="L2256" t="str">
            <v>CV A10</v>
          </cell>
          <cell r="M2256" t="str">
            <v>CHECKER</v>
          </cell>
          <cell r="N2256" t="str">
            <v>ELECTRICAL INSPECTION</v>
          </cell>
          <cell r="O2256" t="str">
            <v>A</v>
          </cell>
        </row>
        <row r="2257">
          <cell r="A2257">
            <v>21344</v>
          </cell>
          <cell r="B2257" t="str">
            <v>JULYUS AGUNG KRIS PRIYANTO</v>
          </cell>
          <cell r="C2257" t="str">
            <v>SAMI</v>
          </cell>
          <cell r="D2257" t="str">
            <v>OPT-531</v>
          </cell>
          <cell r="E2257">
            <v>43013</v>
          </cell>
          <cell r="F2257">
            <v>43405</v>
          </cell>
          <cell r="G2257">
            <v>43769</v>
          </cell>
          <cell r="H2257" t="str">
            <v>PRD</v>
          </cell>
          <cell r="I2257" t="str">
            <v>PRD</v>
          </cell>
          <cell r="J2257" t="str">
            <v>HONDA CRV</v>
          </cell>
          <cell r="K2257" t="str">
            <v>HONDA CRV CORD TAIL L GATE SUB</v>
          </cell>
          <cell r="L2257" t="str">
            <v>CV A10</v>
          </cell>
          <cell r="M2257" t="str">
            <v>T/P 4B</v>
          </cell>
          <cell r="N2257" t="str">
            <v>ASSEMBLY</v>
          </cell>
          <cell r="O2257" t="str">
            <v>A</v>
          </cell>
        </row>
        <row r="2258">
          <cell r="A2258">
            <v>21360</v>
          </cell>
          <cell r="B2258" t="str">
            <v>QUNNATUS SA'DIYYAH</v>
          </cell>
          <cell r="C2258" t="str">
            <v>SAMI</v>
          </cell>
          <cell r="D2258" t="str">
            <v>OPT-531</v>
          </cell>
          <cell r="E2258">
            <v>43013</v>
          </cell>
          <cell r="F2258">
            <v>43405</v>
          </cell>
          <cell r="G2258">
            <v>43769</v>
          </cell>
          <cell r="H2258" t="str">
            <v>PRD</v>
          </cell>
          <cell r="I2258" t="str">
            <v>PRD</v>
          </cell>
          <cell r="J2258" t="str">
            <v>HONDA CRV</v>
          </cell>
          <cell r="K2258" t="str">
            <v>HONDA CRV CORD TAIL L GATE SUB</v>
          </cell>
          <cell r="L2258" t="str">
            <v>CV A10</v>
          </cell>
          <cell r="M2258" t="str">
            <v>T/P 1A</v>
          </cell>
          <cell r="N2258" t="str">
            <v>ASSEMBLY</v>
          </cell>
          <cell r="O2258" t="str">
            <v>A</v>
          </cell>
        </row>
        <row r="2259">
          <cell r="A2259">
            <v>21377</v>
          </cell>
          <cell r="B2259" t="str">
            <v>ZAHROTUL AWALIYAH</v>
          </cell>
          <cell r="C2259" t="str">
            <v>SAMI</v>
          </cell>
          <cell r="D2259" t="str">
            <v>OPT-531</v>
          </cell>
          <cell r="E2259">
            <v>43013</v>
          </cell>
          <cell r="F2259">
            <v>43405</v>
          </cell>
          <cell r="G2259">
            <v>43769</v>
          </cell>
          <cell r="H2259" t="str">
            <v>PRD</v>
          </cell>
          <cell r="I2259" t="str">
            <v>PRD</v>
          </cell>
          <cell r="J2259" t="str">
            <v>HONDA CRV</v>
          </cell>
          <cell r="K2259" t="str">
            <v>HONDA CRV CORD TAIL L GATE SUB</v>
          </cell>
          <cell r="L2259" t="str">
            <v>CV A10</v>
          </cell>
          <cell r="M2259" t="str">
            <v>S/A 1.2B</v>
          </cell>
          <cell r="N2259" t="str">
            <v>SUB ASSY</v>
          </cell>
          <cell r="O2259" t="str">
            <v>A</v>
          </cell>
        </row>
        <row r="2260">
          <cell r="A2260">
            <v>21431</v>
          </cell>
          <cell r="B2260" t="str">
            <v>DESI SUGIARTI</v>
          </cell>
          <cell r="C2260" t="str">
            <v>SAMI</v>
          </cell>
          <cell r="D2260" t="str">
            <v>OPT-533</v>
          </cell>
          <cell r="E2260">
            <v>43024</v>
          </cell>
          <cell r="F2260">
            <v>43435</v>
          </cell>
          <cell r="G2260">
            <v>43799</v>
          </cell>
          <cell r="H2260" t="str">
            <v>PRD</v>
          </cell>
          <cell r="I2260" t="str">
            <v>PRD</v>
          </cell>
          <cell r="J2260" t="str">
            <v>HONDA CRV</v>
          </cell>
          <cell r="K2260" t="str">
            <v>HONDA CRV CORD TAIL L GATE SUB</v>
          </cell>
          <cell r="L2260" t="str">
            <v>CV A10</v>
          </cell>
          <cell r="M2260" t="str">
            <v>S/A 1.1A</v>
          </cell>
          <cell r="N2260" t="str">
            <v>SUB ASSY</v>
          </cell>
          <cell r="O2260" t="str">
            <v>A</v>
          </cell>
        </row>
        <row r="2261">
          <cell r="A2261">
            <v>21432</v>
          </cell>
          <cell r="B2261" t="str">
            <v>DEVI PURWANTI</v>
          </cell>
          <cell r="C2261" t="str">
            <v>SAMI</v>
          </cell>
          <cell r="D2261" t="str">
            <v>OPT-533</v>
          </cell>
          <cell r="E2261">
            <v>43024</v>
          </cell>
          <cell r="F2261">
            <v>43435</v>
          </cell>
          <cell r="G2261">
            <v>43799</v>
          </cell>
          <cell r="H2261" t="str">
            <v>PRD</v>
          </cell>
          <cell r="I2261" t="str">
            <v>PRD</v>
          </cell>
          <cell r="J2261" t="str">
            <v>HONDA CRV</v>
          </cell>
          <cell r="K2261" t="str">
            <v>HONDA CRV CORD TAIL L GATE SUB</v>
          </cell>
          <cell r="L2261" t="str">
            <v>CV A10</v>
          </cell>
          <cell r="M2261" t="str">
            <v>CHECKER</v>
          </cell>
          <cell r="N2261" t="str">
            <v>ELECTRICAL INSPECTION</v>
          </cell>
          <cell r="O2261" t="str">
            <v>A</v>
          </cell>
        </row>
        <row r="2262">
          <cell r="A2262">
            <v>21473</v>
          </cell>
          <cell r="B2262" t="str">
            <v>TRI AGUSTINA</v>
          </cell>
          <cell r="C2262" t="str">
            <v>SAMI</v>
          </cell>
          <cell r="D2262" t="str">
            <v>OPT-533</v>
          </cell>
          <cell r="E2262">
            <v>43024</v>
          </cell>
          <cell r="F2262">
            <v>43435</v>
          </cell>
          <cell r="G2262">
            <v>43799</v>
          </cell>
          <cell r="H2262" t="str">
            <v>PRD</v>
          </cell>
          <cell r="I2262" t="str">
            <v>PRD</v>
          </cell>
          <cell r="J2262" t="str">
            <v>HONDA CRV</v>
          </cell>
          <cell r="K2262" t="str">
            <v>HONDA CRV CORD TAIL L GATE SUB</v>
          </cell>
          <cell r="L2262" t="str">
            <v>CV A10</v>
          </cell>
          <cell r="M2262" t="str">
            <v>T/P 2B</v>
          </cell>
          <cell r="N2262" t="str">
            <v>ASSEMBLY</v>
          </cell>
          <cell r="O2262" t="str">
            <v>A</v>
          </cell>
        </row>
        <row r="2263">
          <cell r="A2263">
            <v>21795</v>
          </cell>
          <cell r="B2263" t="str">
            <v>SITI NUR WAQIAH</v>
          </cell>
          <cell r="C2263" t="str">
            <v>SAMI</v>
          </cell>
          <cell r="D2263" t="str">
            <v>OPT-540</v>
          </cell>
          <cell r="E2263">
            <v>43090</v>
          </cell>
          <cell r="F2263">
            <v>43121</v>
          </cell>
          <cell r="G2263">
            <v>43496</v>
          </cell>
          <cell r="H2263" t="str">
            <v>PRD</v>
          </cell>
          <cell r="I2263" t="str">
            <v>PRD</v>
          </cell>
          <cell r="J2263" t="str">
            <v>HONDA CRV</v>
          </cell>
          <cell r="K2263" t="str">
            <v>HONDA CRV CORD TAIL L GATE SUB</v>
          </cell>
          <cell r="L2263" t="str">
            <v>CV A10</v>
          </cell>
          <cell r="M2263" t="str">
            <v>T/P 2A</v>
          </cell>
          <cell r="N2263" t="str">
            <v>ASSEMBLY</v>
          </cell>
          <cell r="O2263" t="str">
            <v>A</v>
          </cell>
        </row>
        <row r="2264">
          <cell r="A2264">
            <v>22101</v>
          </cell>
          <cell r="B2264" t="str">
            <v>SRI ROKHANI</v>
          </cell>
          <cell r="C2264" t="str">
            <v>SAMI</v>
          </cell>
          <cell r="D2264" t="str">
            <v>OPT-548</v>
          </cell>
          <cell r="E2264">
            <v>43150</v>
          </cell>
          <cell r="F2264">
            <v>43178</v>
          </cell>
          <cell r="G2264">
            <v>43555</v>
          </cell>
          <cell r="H2264" t="str">
            <v>PRD</v>
          </cell>
          <cell r="I2264" t="str">
            <v>PRD</v>
          </cell>
          <cell r="J2264" t="str">
            <v>HONDA CRV</v>
          </cell>
          <cell r="K2264" t="str">
            <v>HONDA CRV CORD TAIL L GATE SUB</v>
          </cell>
          <cell r="L2264" t="str">
            <v>CV A10</v>
          </cell>
          <cell r="M2264" t="str">
            <v xml:space="preserve">MATERIAL SUPPLY B </v>
          </cell>
          <cell r="N2264" t="str">
            <v>MATERIAL SUPPLY</v>
          </cell>
          <cell r="O2264" t="str">
            <v>A</v>
          </cell>
        </row>
        <row r="2265">
          <cell r="A2265">
            <v>22148</v>
          </cell>
          <cell r="B2265" t="str">
            <v>SIPTIYANI PUTRI ROHMAWATI</v>
          </cell>
          <cell r="C2265" t="str">
            <v>SAMI</v>
          </cell>
          <cell r="D2265" t="str">
            <v>OPT-549</v>
          </cell>
          <cell r="E2265">
            <v>43153</v>
          </cell>
          <cell r="F2265">
            <v>43181</v>
          </cell>
          <cell r="G2265">
            <v>43555</v>
          </cell>
          <cell r="H2265" t="str">
            <v>PRD</v>
          </cell>
          <cell r="I2265" t="str">
            <v>PRD</v>
          </cell>
          <cell r="J2265" t="str">
            <v>HONDA CRV</v>
          </cell>
          <cell r="K2265" t="str">
            <v>HONDA CRV CORD TAIL L GATE SUB</v>
          </cell>
          <cell r="L2265" t="str">
            <v>CV A10</v>
          </cell>
          <cell r="M2265" t="str">
            <v>S/A 1.1B</v>
          </cell>
          <cell r="N2265" t="str">
            <v>SUB ASSY</v>
          </cell>
          <cell r="O2265" t="str">
            <v>A</v>
          </cell>
        </row>
        <row r="2266">
          <cell r="A2266">
            <v>22218</v>
          </cell>
          <cell r="B2266" t="str">
            <v>FINA WIDIYANTI</v>
          </cell>
          <cell r="C2266" t="str">
            <v>SAMI</v>
          </cell>
          <cell r="D2266" t="str">
            <v>OPT-551</v>
          </cell>
          <cell r="E2266">
            <v>43161</v>
          </cell>
          <cell r="F2266">
            <v>43192</v>
          </cell>
          <cell r="G2266">
            <v>43555</v>
          </cell>
          <cell r="H2266" t="str">
            <v>PRD</v>
          </cell>
          <cell r="I2266" t="str">
            <v>PRD</v>
          </cell>
          <cell r="J2266" t="str">
            <v>HONDA CRV</v>
          </cell>
          <cell r="K2266" t="str">
            <v>HONDA CRV CORD TAIL L GATE SUB</v>
          </cell>
          <cell r="L2266" t="str">
            <v>CV A10</v>
          </cell>
          <cell r="M2266" t="str">
            <v xml:space="preserve">MATERIAL SUPPLY A </v>
          </cell>
          <cell r="N2266" t="str">
            <v>MATERIAL SUPPLY</v>
          </cell>
          <cell r="O2266" t="str">
            <v>A</v>
          </cell>
        </row>
        <row r="2267">
          <cell r="A2267">
            <v>22368</v>
          </cell>
          <cell r="B2267" t="str">
            <v>AHMAD ZAENURROFIK</v>
          </cell>
          <cell r="C2267" t="str">
            <v>SAMI</v>
          </cell>
          <cell r="D2267" t="str">
            <v>OPT-558</v>
          </cell>
          <cell r="E2267">
            <v>43213</v>
          </cell>
          <cell r="F2267">
            <v>43243</v>
          </cell>
          <cell r="G2267">
            <v>43616</v>
          </cell>
          <cell r="H2267" t="str">
            <v>PRD</v>
          </cell>
          <cell r="I2267" t="str">
            <v>PRD</v>
          </cell>
          <cell r="J2267" t="str">
            <v>HONDA CRV</v>
          </cell>
          <cell r="K2267" t="str">
            <v>HONDA CRV CORD TAIL L GATE SUB</v>
          </cell>
          <cell r="L2267" t="str">
            <v>CV A10</v>
          </cell>
          <cell r="M2267" t="str">
            <v>T/P 4A</v>
          </cell>
          <cell r="N2267" t="str">
            <v>ASSEMBLY</v>
          </cell>
          <cell r="O2267" t="str">
            <v>A</v>
          </cell>
        </row>
        <row r="2268">
          <cell r="A2268">
            <v>23060</v>
          </cell>
          <cell r="B2268" t="str">
            <v>NUR KHOLIFAH</v>
          </cell>
          <cell r="C2268" t="str">
            <v>SAMI</v>
          </cell>
          <cell r="D2268" t="str">
            <v>OPT-569</v>
          </cell>
          <cell r="E2268">
            <v>43361</v>
          </cell>
          <cell r="F2268">
            <v>43391</v>
          </cell>
          <cell r="G2268">
            <v>43769</v>
          </cell>
          <cell r="H2268" t="str">
            <v>PRD</v>
          </cell>
          <cell r="I2268" t="str">
            <v>PRD</v>
          </cell>
          <cell r="J2268" t="str">
            <v>HONDA CRV</v>
          </cell>
          <cell r="K2268" t="str">
            <v>HONDA CRV CORD TAIL L GATE SUB</v>
          </cell>
          <cell r="L2268" t="str">
            <v>CV A10</v>
          </cell>
          <cell r="M2268" t="str">
            <v>S/T 1A</v>
          </cell>
          <cell r="N2268" t="str">
            <v>ASSEMBLY</v>
          </cell>
          <cell r="O2268" t="str">
            <v>A</v>
          </cell>
        </row>
        <row r="2269">
          <cell r="A2269">
            <v>23247</v>
          </cell>
          <cell r="B2269" t="str">
            <v>NUR KHASANAH</v>
          </cell>
          <cell r="C2269" t="str">
            <v>SAMI</v>
          </cell>
          <cell r="D2269" t="str">
            <v>OPT-573</v>
          </cell>
          <cell r="E2269">
            <v>43421</v>
          </cell>
          <cell r="F2269">
            <v>43451</v>
          </cell>
          <cell r="G2269">
            <v>43830</v>
          </cell>
          <cell r="H2269" t="str">
            <v>PRD</v>
          </cell>
          <cell r="I2269" t="str">
            <v>PRD</v>
          </cell>
          <cell r="J2269" t="str">
            <v>HONDA CRV</v>
          </cell>
          <cell r="K2269" t="str">
            <v>HONDA CRV CORD R TAIL GATE SUB</v>
          </cell>
          <cell r="L2269" t="str">
            <v>CV A10</v>
          </cell>
          <cell r="M2269" t="str">
            <v>CIRCUIT SUPPLIER</v>
          </cell>
          <cell r="N2269" t="str">
            <v>CIRCUIT SUPPLY</v>
          </cell>
          <cell r="O2269" t="str">
            <v>A</v>
          </cell>
        </row>
        <row r="2270">
          <cell r="A2270">
            <v>23403</v>
          </cell>
          <cell r="B2270" t="str">
            <v>DESI ANISATUS SOLEKHAH</v>
          </cell>
          <cell r="C2270" t="str">
            <v>SAMI</v>
          </cell>
          <cell r="D2270" t="str">
            <v>OPT-575</v>
          </cell>
          <cell r="E2270">
            <v>43434</v>
          </cell>
          <cell r="F2270">
            <v>43464</v>
          </cell>
          <cell r="G2270">
            <v>43830</v>
          </cell>
          <cell r="H2270" t="str">
            <v>PRD</v>
          </cell>
          <cell r="I2270" t="str">
            <v>PRD</v>
          </cell>
          <cell r="J2270" t="str">
            <v>HONDA CRV</v>
          </cell>
          <cell r="K2270" t="str">
            <v>HONDA CRV CORD R TAIL GATE SUB</v>
          </cell>
          <cell r="L2270" t="str">
            <v>CV A10</v>
          </cell>
          <cell r="M2270" t="str">
            <v>S/A 1.2A</v>
          </cell>
          <cell r="N2270" t="str">
            <v>SUB ASSY</v>
          </cell>
          <cell r="O2270" t="str">
            <v>A</v>
          </cell>
        </row>
        <row r="2271">
          <cell r="A2271">
            <v>23588</v>
          </cell>
          <cell r="B2271" t="str">
            <v>SERLITA YULIANTI</v>
          </cell>
          <cell r="C2271" t="str">
            <v>SAMI</v>
          </cell>
          <cell r="D2271" t="str">
            <v>OPT-577</v>
          </cell>
          <cell r="E2271">
            <v>43452</v>
          </cell>
          <cell r="F2271">
            <v>43483</v>
          </cell>
          <cell r="G2271">
            <v>43861</v>
          </cell>
          <cell r="H2271" t="str">
            <v>PRD</v>
          </cell>
          <cell r="I2271" t="str">
            <v>PRD</v>
          </cell>
          <cell r="J2271" t="str">
            <v>HONDA CRV</v>
          </cell>
          <cell r="K2271" t="str">
            <v>HONDA CRV CORD TAIL L GATE SUB</v>
          </cell>
          <cell r="L2271" t="str">
            <v>CV A10</v>
          </cell>
          <cell r="M2271" t="str">
            <v>OJT MATERIAL SUPPLY A</v>
          </cell>
          <cell r="N2271" t="str">
            <v>INTERNAL TRIAL</v>
          </cell>
          <cell r="O2271" t="str">
            <v>A</v>
          </cell>
        </row>
        <row r="2272">
          <cell r="A2272" t="str">
            <v>M23643</v>
          </cell>
          <cell r="B2272" t="str">
            <v>VONY SYAH</v>
          </cell>
          <cell r="C2272" t="str">
            <v>SAMI</v>
          </cell>
          <cell r="D2272" t="str">
            <v>OPT-578</v>
          </cell>
          <cell r="E2272">
            <v>43467</v>
          </cell>
          <cell r="F2272">
            <v>43467</v>
          </cell>
          <cell r="G2272">
            <v>43497</v>
          </cell>
          <cell r="H2272" t="str">
            <v>PRD</v>
          </cell>
          <cell r="I2272" t="str">
            <v>PRD</v>
          </cell>
          <cell r="J2272" t="str">
            <v>HONDA CRV</v>
          </cell>
          <cell r="K2272" t="str">
            <v>HONDA CRV CORD TAIL L GATE SUB</v>
          </cell>
          <cell r="L2272" t="str">
            <v>CV A10</v>
          </cell>
          <cell r="M2272" t="str">
            <v>OJT MATERIAL SUPPLY B</v>
          </cell>
          <cell r="N2272" t="str">
            <v>INTERNAL TRIAL</v>
          </cell>
          <cell r="O2272" t="str">
            <v>A</v>
          </cell>
        </row>
        <row r="2273">
          <cell r="A2273">
            <v>60</v>
          </cell>
          <cell r="B2273" t="str">
            <v>MARIA NINGSIH</v>
          </cell>
          <cell r="C2273" t="str">
            <v>SAMI</v>
          </cell>
          <cell r="D2273" t="str">
            <v>OPT-1</v>
          </cell>
          <cell r="E2273">
            <v>37578</v>
          </cell>
          <cell r="F2273" t="str">
            <v>-</v>
          </cell>
          <cell r="G2273" t="str">
            <v>-</v>
          </cell>
          <cell r="H2273" t="str">
            <v>PRD</v>
          </cell>
          <cell r="I2273" t="str">
            <v>PRD</v>
          </cell>
          <cell r="J2273" t="str">
            <v>HONDA CRV</v>
          </cell>
          <cell r="K2273" t="str">
            <v>HONDA CRV CORD TAIL L GATE SUB</v>
          </cell>
          <cell r="L2273" t="str">
            <v>CV A10</v>
          </cell>
          <cell r="M2273" t="str">
            <v>SUB LINE CHO</v>
          </cell>
          <cell r="N2273" t="str">
            <v>GL</v>
          </cell>
          <cell r="O2273" t="str">
            <v>B</v>
          </cell>
        </row>
        <row r="2274">
          <cell r="A2274">
            <v>10335</v>
          </cell>
          <cell r="B2274" t="str">
            <v>SEVIANA DWI SETYANINGSIH</v>
          </cell>
          <cell r="C2274" t="str">
            <v>SAMI</v>
          </cell>
          <cell r="D2274" t="str">
            <v>OPT-265</v>
          </cell>
          <cell r="E2274">
            <v>40511</v>
          </cell>
          <cell r="F2274" t="str">
            <v>-</v>
          </cell>
          <cell r="G2274" t="str">
            <v>-</v>
          </cell>
          <cell r="H2274" t="str">
            <v>PRD</v>
          </cell>
          <cell r="I2274" t="str">
            <v>PRD</v>
          </cell>
          <cell r="J2274" t="str">
            <v>HONDA CRV</v>
          </cell>
          <cell r="K2274" t="str">
            <v>HONDA CRV CORD TAIL L GATE SUB</v>
          </cell>
          <cell r="L2274" t="str">
            <v>CV A10</v>
          </cell>
          <cell r="M2274" t="str">
            <v>LQC</v>
          </cell>
          <cell r="N2274" t="str">
            <v>RELIEF</v>
          </cell>
          <cell r="O2274" t="str">
            <v>B</v>
          </cell>
        </row>
        <row r="2275">
          <cell r="A2275">
            <v>11167</v>
          </cell>
          <cell r="B2275" t="str">
            <v>DEWI SURYANI</v>
          </cell>
          <cell r="C2275" t="str">
            <v>SAMI</v>
          </cell>
          <cell r="D2275" t="str">
            <v>OPT-292</v>
          </cell>
          <cell r="E2275">
            <v>40610</v>
          </cell>
          <cell r="F2275" t="str">
            <v>-</v>
          </cell>
          <cell r="G2275" t="str">
            <v>-</v>
          </cell>
          <cell r="H2275" t="str">
            <v>PRD</v>
          </cell>
          <cell r="I2275" t="str">
            <v>PRD</v>
          </cell>
          <cell r="J2275" t="str">
            <v>HONDA CRV</v>
          </cell>
          <cell r="K2275" t="str">
            <v>HONDA CRV CORD TAIL L GATE SUB</v>
          </cell>
          <cell r="L2275" t="str">
            <v>CV A10</v>
          </cell>
          <cell r="M2275" t="str">
            <v>VISUAL</v>
          </cell>
          <cell r="N2275" t="str">
            <v>VISUAL INSPECTION</v>
          </cell>
          <cell r="O2275" t="str">
            <v>B</v>
          </cell>
        </row>
        <row r="2276">
          <cell r="A2276">
            <v>21189</v>
          </cell>
          <cell r="B2276" t="str">
            <v>SITI NURUL MAESAROH</v>
          </cell>
          <cell r="C2276" t="str">
            <v>SAMI</v>
          </cell>
          <cell r="D2276" t="str">
            <v>OPT-522</v>
          </cell>
          <cell r="E2276">
            <v>42871</v>
          </cell>
          <cell r="F2276">
            <v>43374</v>
          </cell>
          <cell r="G2276">
            <v>43738</v>
          </cell>
          <cell r="H2276" t="str">
            <v>PRD</v>
          </cell>
          <cell r="I2276" t="str">
            <v>PRD</v>
          </cell>
          <cell r="J2276" t="str">
            <v>HONDA CRV</v>
          </cell>
          <cell r="K2276" t="str">
            <v>HONDA CRV CORD TAIL L GATE SUB</v>
          </cell>
          <cell r="L2276" t="str">
            <v>CV A10</v>
          </cell>
          <cell r="M2276" t="str">
            <v>S/A 2.2A</v>
          </cell>
          <cell r="N2276" t="str">
            <v>SUB ASSY</v>
          </cell>
          <cell r="O2276" t="str">
            <v>B</v>
          </cell>
        </row>
        <row r="2277">
          <cell r="A2277">
            <v>21336</v>
          </cell>
          <cell r="B2277" t="str">
            <v>EKA RIWAYANTI</v>
          </cell>
          <cell r="C2277" t="str">
            <v>SAMI</v>
          </cell>
          <cell r="D2277" t="str">
            <v>OPT-531</v>
          </cell>
          <cell r="E2277">
            <v>43013</v>
          </cell>
          <cell r="F2277">
            <v>43405</v>
          </cell>
          <cell r="G2277">
            <v>43769</v>
          </cell>
          <cell r="H2277" t="str">
            <v>PRD</v>
          </cell>
          <cell r="I2277" t="str">
            <v>PRD</v>
          </cell>
          <cell r="J2277" t="str">
            <v>HONDA CRV</v>
          </cell>
          <cell r="K2277" t="str">
            <v>HONDA CRV CORD TAIL L GATE SUB</v>
          </cell>
          <cell r="L2277" t="str">
            <v>CV A10</v>
          </cell>
          <cell r="M2277" t="str">
            <v>S/A 2.2B</v>
          </cell>
          <cell r="N2277" t="str">
            <v>SUB ASSY</v>
          </cell>
          <cell r="O2277" t="str">
            <v>B</v>
          </cell>
        </row>
        <row r="2278">
          <cell r="A2278">
            <v>21351</v>
          </cell>
          <cell r="B2278" t="str">
            <v>NIKEN PRADITA</v>
          </cell>
          <cell r="C2278" t="str">
            <v>SAMI</v>
          </cell>
          <cell r="D2278" t="str">
            <v>OPT-531</v>
          </cell>
          <cell r="E2278">
            <v>43013</v>
          </cell>
          <cell r="F2278">
            <v>43405</v>
          </cell>
          <cell r="G2278">
            <v>43769</v>
          </cell>
          <cell r="H2278" t="str">
            <v>PRD</v>
          </cell>
          <cell r="I2278" t="str">
            <v>PRD</v>
          </cell>
          <cell r="J2278" t="str">
            <v>HONDA CRV</v>
          </cell>
          <cell r="K2278" t="str">
            <v>HONDA CRV CORD TAIL L GATE SUB</v>
          </cell>
          <cell r="L2278" t="str">
            <v>CV A10</v>
          </cell>
          <cell r="M2278" t="str">
            <v>T/P 2A</v>
          </cell>
          <cell r="N2278" t="str">
            <v>ASSEMBLY</v>
          </cell>
          <cell r="O2278" t="str">
            <v>B</v>
          </cell>
        </row>
        <row r="2279">
          <cell r="A2279">
            <v>21363</v>
          </cell>
          <cell r="B2279" t="str">
            <v>RIKA LESTARI</v>
          </cell>
          <cell r="C2279" t="str">
            <v>SAMI</v>
          </cell>
          <cell r="D2279" t="str">
            <v>OPT-531</v>
          </cell>
          <cell r="E2279">
            <v>43013</v>
          </cell>
          <cell r="F2279">
            <v>43405</v>
          </cell>
          <cell r="G2279">
            <v>43769</v>
          </cell>
          <cell r="H2279" t="str">
            <v>PRD</v>
          </cell>
          <cell r="I2279" t="str">
            <v>PRD</v>
          </cell>
          <cell r="J2279" t="str">
            <v>HONDA CRV</v>
          </cell>
          <cell r="K2279" t="str">
            <v>HONDA CRV CORD TAIL L GATE SUB</v>
          </cell>
          <cell r="L2279" t="str">
            <v>CV A10</v>
          </cell>
          <cell r="M2279" t="str">
            <v>CHECKER</v>
          </cell>
          <cell r="N2279" t="str">
            <v>ELECTRICAL INSPECTION</v>
          </cell>
          <cell r="O2279" t="str">
            <v>B</v>
          </cell>
        </row>
        <row r="2280">
          <cell r="A2280">
            <v>21368</v>
          </cell>
          <cell r="B2280" t="str">
            <v>SITI NUR AFIFAH</v>
          </cell>
          <cell r="C2280" t="str">
            <v>SAMI</v>
          </cell>
          <cell r="D2280" t="str">
            <v>OPT-531</v>
          </cell>
          <cell r="E2280">
            <v>43013</v>
          </cell>
          <cell r="F2280">
            <v>43405</v>
          </cell>
          <cell r="G2280">
            <v>43769</v>
          </cell>
          <cell r="H2280" t="str">
            <v>PRD</v>
          </cell>
          <cell r="I2280" t="str">
            <v>PRD</v>
          </cell>
          <cell r="J2280" t="str">
            <v>HONDA CRV</v>
          </cell>
          <cell r="K2280" t="str">
            <v>HONDA CRV CORD TAIL L GATE SUB</v>
          </cell>
          <cell r="L2280" t="str">
            <v>CV A10</v>
          </cell>
          <cell r="M2280" t="str">
            <v>S/A 2.1A</v>
          </cell>
          <cell r="N2280" t="str">
            <v>SUB ASSY</v>
          </cell>
          <cell r="O2280" t="str">
            <v>B</v>
          </cell>
        </row>
        <row r="2281">
          <cell r="A2281">
            <v>21428</v>
          </cell>
          <cell r="B2281" t="str">
            <v>ARIYANA MAGA HASTAWI</v>
          </cell>
          <cell r="C2281" t="str">
            <v>SAMI</v>
          </cell>
          <cell r="D2281" t="str">
            <v>OPT-533</v>
          </cell>
          <cell r="E2281">
            <v>43024</v>
          </cell>
          <cell r="F2281">
            <v>43435</v>
          </cell>
          <cell r="G2281">
            <v>43799</v>
          </cell>
          <cell r="H2281" t="str">
            <v>PRD</v>
          </cell>
          <cell r="I2281" t="str">
            <v>PRD</v>
          </cell>
          <cell r="J2281" t="str">
            <v>HONDA CRV</v>
          </cell>
          <cell r="K2281" t="str">
            <v>HONDA CRV CORD TAIL L GATE SUB</v>
          </cell>
          <cell r="L2281" t="str">
            <v>CV A10</v>
          </cell>
          <cell r="M2281" t="str">
            <v>T/P 1B</v>
          </cell>
          <cell r="N2281" t="str">
            <v>ASSEMBLY</v>
          </cell>
          <cell r="O2281" t="str">
            <v>B</v>
          </cell>
        </row>
        <row r="2282">
          <cell r="A2282">
            <v>21438</v>
          </cell>
          <cell r="B2282" t="str">
            <v>FITRI DWI ASTUTI</v>
          </cell>
          <cell r="C2282" t="str">
            <v>SAMI</v>
          </cell>
          <cell r="D2282" t="str">
            <v>OPT-533</v>
          </cell>
          <cell r="E2282">
            <v>43024</v>
          </cell>
          <cell r="F2282">
            <v>43435</v>
          </cell>
          <cell r="G2282">
            <v>43799</v>
          </cell>
          <cell r="H2282" t="str">
            <v>PRD</v>
          </cell>
          <cell r="I2282" t="str">
            <v>PRD</v>
          </cell>
          <cell r="J2282" t="str">
            <v>HONDA CRV</v>
          </cell>
          <cell r="K2282" t="str">
            <v>HONDA CRV CORD TAIL L GATE SUB</v>
          </cell>
          <cell r="L2282" t="str">
            <v>CV A10</v>
          </cell>
          <cell r="M2282" t="str">
            <v>CHECKER</v>
          </cell>
          <cell r="N2282" t="str">
            <v>ELECTRICAL INSPECTION</v>
          </cell>
          <cell r="O2282" t="str">
            <v>B</v>
          </cell>
        </row>
        <row r="2283">
          <cell r="A2283">
            <v>21467</v>
          </cell>
          <cell r="B2283" t="str">
            <v>YENNY SETYAWATI</v>
          </cell>
          <cell r="C2283" t="str">
            <v>SAMI</v>
          </cell>
          <cell r="D2283" t="str">
            <v>OPT-533</v>
          </cell>
          <cell r="E2283">
            <v>43024</v>
          </cell>
          <cell r="F2283">
            <v>43435</v>
          </cell>
          <cell r="G2283">
            <v>43799</v>
          </cell>
          <cell r="H2283" t="str">
            <v>PRD</v>
          </cell>
          <cell r="I2283" t="str">
            <v>PRD</v>
          </cell>
          <cell r="J2283" t="str">
            <v>HONDA CRV</v>
          </cell>
          <cell r="K2283" t="str">
            <v>HONDA CRV CORD TAIL L GATE SUB</v>
          </cell>
          <cell r="L2283" t="str">
            <v>CV A10</v>
          </cell>
          <cell r="M2283" t="str">
            <v>MATERIAL SUPPLY B</v>
          </cell>
          <cell r="N2283" t="str">
            <v>MATERIAL SUPPLY</v>
          </cell>
          <cell r="O2283" t="str">
            <v>B</v>
          </cell>
        </row>
        <row r="2284">
          <cell r="A2284">
            <v>21770</v>
          </cell>
          <cell r="B2284" t="str">
            <v>EVA MAULIANA</v>
          </cell>
          <cell r="C2284" t="str">
            <v>SAMI</v>
          </cell>
          <cell r="D2284" t="str">
            <v>OPT-540</v>
          </cell>
          <cell r="E2284">
            <v>43090</v>
          </cell>
          <cell r="F2284">
            <v>43121</v>
          </cell>
          <cell r="G2284">
            <v>43496</v>
          </cell>
          <cell r="H2284" t="str">
            <v>PRD</v>
          </cell>
          <cell r="I2284" t="str">
            <v>PRD</v>
          </cell>
          <cell r="J2284" t="str">
            <v>HONDA CRV</v>
          </cell>
          <cell r="K2284" t="str">
            <v>HONDA CRV CORD TAIL L GATE SUB</v>
          </cell>
          <cell r="L2284" t="str">
            <v>CV A10</v>
          </cell>
          <cell r="M2284" t="str">
            <v>T/P 1A</v>
          </cell>
          <cell r="N2284" t="str">
            <v>ASSEMBLY</v>
          </cell>
          <cell r="O2284" t="str">
            <v>B</v>
          </cell>
        </row>
        <row r="2285">
          <cell r="A2285">
            <v>22098</v>
          </cell>
          <cell r="B2285" t="str">
            <v>SITI MUZTAKIMAH</v>
          </cell>
          <cell r="C2285" t="str">
            <v>SAMI</v>
          </cell>
          <cell r="D2285" t="str">
            <v>OPT-548</v>
          </cell>
          <cell r="E2285">
            <v>43150</v>
          </cell>
          <cell r="F2285">
            <v>43178</v>
          </cell>
          <cell r="G2285">
            <v>43555</v>
          </cell>
          <cell r="H2285" t="str">
            <v>PRD</v>
          </cell>
          <cell r="I2285" t="str">
            <v>PRD</v>
          </cell>
          <cell r="J2285" t="str">
            <v>HONDA CRV</v>
          </cell>
          <cell r="K2285" t="str">
            <v>HONDA CRV CORD TAIL L GATE SUB</v>
          </cell>
          <cell r="L2285" t="str">
            <v>CV A10</v>
          </cell>
          <cell r="M2285" t="str">
            <v>VISUAL</v>
          </cell>
          <cell r="N2285" t="str">
            <v>VISUAL INSPECTION</v>
          </cell>
          <cell r="O2285" t="str">
            <v>B</v>
          </cell>
        </row>
        <row r="2286">
          <cell r="A2286">
            <v>22257</v>
          </cell>
          <cell r="B2286" t="str">
            <v>TRI YULIANI</v>
          </cell>
          <cell r="C2286" t="str">
            <v>SAMI</v>
          </cell>
          <cell r="D2286" t="str">
            <v>OPT-552</v>
          </cell>
          <cell r="E2286">
            <v>43171</v>
          </cell>
          <cell r="F2286">
            <v>43202</v>
          </cell>
          <cell r="G2286">
            <v>43555</v>
          </cell>
          <cell r="H2286" t="str">
            <v>PRD</v>
          </cell>
          <cell r="I2286" t="str">
            <v>PRD</v>
          </cell>
          <cell r="J2286" t="str">
            <v>HONDA CRV</v>
          </cell>
          <cell r="K2286" t="str">
            <v>HONDA CRV CORD TAIL L GATE SUB</v>
          </cell>
          <cell r="L2286" t="str">
            <v>CV A10</v>
          </cell>
          <cell r="M2286" t="str">
            <v>S/T 1B</v>
          </cell>
          <cell r="N2286" t="str">
            <v>ASSEMBLY</v>
          </cell>
          <cell r="O2286" t="str">
            <v>B</v>
          </cell>
        </row>
        <row r="2287">
          <cell r="A2287">
            <v>22271</v>
          </cell>
          <cell r="B2287" t="str">
            <v>VIKRI NUR FATEKHAH</v>
          </cell>
          <cell r="C2287" t="str">
            <v>SAMI</v>
          </cell>
          <cell r="D2287" t="str">
            <v>OPT-554</v>
          </cell>
          <cell r="E2287">
            <v>43181</v>
          </cell>
          <cell r="F2287">
            <v>43212</v>
          </cell>
          <cell r="G2287">
            <v>43585</v>
          </cell>
          <cell r="H2287" t="str">
            <v>PRD</v>
          </cell>
          <cell r="I2287" t="str">
            <v>PRD</v>
          </cell>
          <cell r="J2287" t="str">
            <v>HONDA CRV</v>
          </cell>
          <cell r="K2287" t="str">
            <v>HONDA CRV CORD TAIL L GATE SUB</v>
          </cell>
          <cell r="L2287" t="str">
            <v>CV A10</v>
          </cell>
          <cell r="M2287" t="str">
            <v>S/A 1.1A</v>
          </cell>
          <cell r="N2287" t="str">
            <v>SUB ASSY</v>
          </cell>
          <cell r="O2287" t="str">
            <v>B</v>
          </cell>
        </row>
        <row r="2288">
          <cell r="A2288">
            <v>22348</v>
          </cell>
          <cell r="B2288" t="str">
            <v>RINA ARISTIANI</v>
          </cell>
          <cell r="C2288" t="str">
            <v>SAMI</v>
          </cell>
          <cell r="D2288" t="str">
            <v>OPT-556</v>
          </cell>
          <cell r="E2288">
            <v>43195</v>
          </cell>
          <cell r="F2288">
            <v>43225</v>
          </cell>
          <cell r="G2288">
            <v>43585</v>
          </cell>
          <cell r="H2288" t="str">
            <v>PRD</v>
          </cell>
          <cell r="I2288" t="str">
            <v>PRD</v>
          </cell>
          <cell r="J2288" t="str">
            <v>HONDA CRV</v>
          </cell>
          <cell r="K2288" t="str">
            <v>HONDA CRV CORD TAIL L GATE SUB</v>
          </cell>
          <cell r="L2288" t="str">
            <v>CV A10</v>
          </cell>
          <cell r="M2288" t="str">
            <v>T/P 3A</v>
          </cell>
          <cell r="N2288" t="str">
            <v>ASSEMBLY</v>
          </cell>
          <cell r="O2288" t="str">
            <v>B</v>
          </cell>
        </row>
        <row r="2289">
          <cell r="A2289">
            <v>22425</v>
          </cell>
          <cell r="B2289" t="str">
            <v>SITI NUR HALIMAH</v>
          </cell>
          <cell r="C2289" t="str">
            <v>SAMI</v>
          </cell>
          <cell r="D2289" t="str">
            <v>OPT-558</v>
          </cell>
          <cell r="E2289">
            <v>43213</v>
          </cell>
          <cell r="F2289">
            <v>43243</v>
          </cell>
          <cell r="G2289">
            <v>43616</v>
          </cell>
          <cell r="H2289" t="str">
            <v>PRD</v>
          </cell>
          <cell r="I2289" t="str">
            <v>PRD</v>
          </cell>
          <cell r="J2289" t="str">
            <v>HONDA CRV</v>
          </cell>
          <cell r="K2289" t="str">
            <v>HONDA CRV CORD TAIL L GATE SUB</v>
          </cell>
          <cell r="L2289" t="str">
            <v>CV A10</v>
          </cell>
          <cell r="M2289" t="str">
            <v>T/P 4B</v>
          </cell>
          <cell r="N2289" t="str">
            <v>ASSEMBLY</v>
          </cell>
          <cell r="O2289" t="str">
            <v>B</v>
          </cell>
        </row>
        <row r="2290">
          <cell r="A2290">
            <v>22474</v>
          </cell>
          <cell r="B2290" t="str">
            <v>WAHYU NURAENI</v>
          </cell>
          <cell r="C2290" t="str">
            <v>SAMI</v>
          </cell>
          <cell r="D2290" t="str">
            <v>OPT-559</v>
          </cell>
          <cell r="E2290">
            <v>43220</v>
          </cell>
          <cell r="F2290">
            <v>43250</v>
          </cell>
          <cell r="G2290">
            <v>43616</v>
          </cell>
          <cell r="H2290" t="str">
            <v>PRD</v>
          </cell>
          <cell r="I2290" t="str">
            <v>PRD</v>
          </cell>
          <cell r="J2290" t="str">
            <v>HONDA CRV</v>
          </cell>
          <cell r="K2290" t="str">
            <v>HONDA CRV CORD TAIL L GATE SUB</v>
          </cell>
          <cell r="L2290" t="str">
            <v>CV A10</v>
          </cell>
          <cell r="M2290" t="str">
            <v>CIRCUIT SUPPLIER</v>
          </cell>
          <cell r="N2290" t="str">
            <v>CIRCUIT SUPPLY</v>
          </cell>
          <cell r="O2290" t="str">
            <v>B</v>
          </cell>
        </row>
        <row r="2291">
          <cell r="A2291">
            <v>22775</v>
          </cell>
          <cell r="B2291" t="str">
            <v>TRI PRIHARTININGRUM</v>
          </cell>
          <cell r="C2291" t="str">
            <v>SAMI</v>
          </cell>
          <cell r="D2291" t="str">
            <v>OPT-564</v>
          </cell>
          <cell r="E2291">
            <v>43255</v>
          </cell>
          <cell r="F2291">
            <v>43285</v>
          </cell>
          <cell r="G2291">
            <v>43646</v>
          </cell>
          <cell r="H2291" t="str">
            <v>PRD</v>
          </cell>
          <cell r="I2291" t="str">
            <v>PRD</v>
          </cell>
          <cell r="J2291" t="str">
            <v>HONDA CRV</v>
          </cell>
          <cell r="K2291" t="str">
            <v>HONDA CRV CORD TAIL L GATE SUB</v>
          </cell>
          <cell r="L2291" t="str">
            <v>CV A10</v>
          </cell>
          <cell r="M2291" t="str">
            <v>T/P 3B</v>
          </cell>
          <cell r="N2291" t="str">
            <v>ASSEMBLY</v>
          </cell>
          <cell r="O2291" t="str">
            <v>B</v>
          </cell>
        </row>
        <row r="2292">
          <cell r="A2292">
            <v>22841</v>
          </cell>
          <cell r="B2292" t="str">
            <v>KURNIA FAJARWATI</v>
          </cell>
          <cell r="C2292" t="str">
            <v>SAMI</v>
          </cell>
          <cell r="D2292" t="str">
            <v>OPT-567</v>
          </cell>
          <cell r="E2292">
            <v>43333</v>
          </cell>
          <cell r="F2292">
            <v>43364</v>
          </cell>
          <cell r="G2292">
            <v>43738</v>
          </cell>
          <cell r="H2292" t="str">
            <v>PRD</v>
          </cell>
          <cell r="I2292" t="str">
            <v>PRD</v>
          </cell>
          <cell r="J2292" t="str">
            <v>HONDA CRV</v>
          </cell>
          <cell r="K2292" t="str">
            <v>HONDA CRV CORD TAIL L GATE SUB</v>
          </cell>
          <cell r="L2292" t="str">
            <v>CV A10</v>
          </cell>
          <cell r="M2292" t="str">
            <v>S/A 1.2A</v>
          </cell>
          <cell r="N2292" t="str">
            <v>SUB ASSY</v>
          </cell>
          <cell r="O2292" t="str">
            <v>B</v>
          </cell>
        </row>
        <row r="2293">
          <cell r="A2293">
            <v>22843</v>
          </cell>
          <cell r="B2293" t="str">
            <v>LAELIYATUL MUNAWAROH</v>
          </cell>
          <cell r="C2293" t="str">
            <v>SAMI</v>
          </cell>
          <cell r="D2293" t="str">
            <v>OPT-567</v>
          </cell>
          <cell r="E2293">
            <v>43333</v>
          </cell>
          <cell r="F2293">
            <v>43364</v>
          </cell>
          <cell r="G2293">
            <v>43738</v>
          </cell>
          <cell r="H2293" t="str">
            <v>PRD</v>
          </cell>
          <cell r="I2293" t="str">
            <v>PRD</v>
          </cell>
          <cell r="J2293" t="str">
            <v>HONDA CRV</v>
          </cell>
          <cell r="K2293" t="str">
            <v>HONDA CRV CORD TAIL L GATE SUB</v>
          </cell>
          <cell r="L2293" t="str">
            <v>CV A10</v>
          </cell>
          <cell r="M2293" t="str">
            <v>S/A 2.1B</v>
          </cell>
          <cell r="N2293" t="str">
            <v>SUB ASSY</v>
          </cell>
          <cell r="O2293" t="str">
            <v>B</v>
          </cell>
        </row>
        <row r="2294">
          <cell r="A2294">
            <v>23075</v>
          </cell>
          <cell r="B2294" t="str">
            <v>SITI LIYASARI</v>
          </cell>
          <cell r="C2294" t="str">
            <v>SAMI</v>
          </cell>
          <cell r="D2294" t="str">
            <v>OPT-569</v>
          </cell>
          <cell r="E2294">
            <v>43361</v>
          </cell>
          <cell r="F2294">
            <v>43391</v>
          </cell>
          <cell r="G2294">
            <v>43769</v>
          </cell>
          <cell r="H2294" t="str">
            <v>PRD</v>
          </cell>
          <cell r="I2294" t="str">
            <v>PRD</v>
          </cell>
          <cell r="J2294" t="str">
            <v>HONDA CRV</v>
          </cell>
          <cell r="K2294" t="str">
            <v>HONDA CRV CORD TAIL L GATE SUB</v>
          </cell>
          <cell r="L2294" t="str">
            <v>CV A10</v>
          </cell>
          <cell r="M2294" t="str">
            <v>S/A 1.2B</v>
          </cell>
          <cell r="N2294" t="str">
            <v>SUB ASSY</v>
          </cell>
          <cell r="O2294" t="str">
            <v>B</v>
          </cell>
        </row>
        <row r="2295">
          <cell r="A2295">
            <v>23201</v>
          </cell>
          <cell r="B2295" t="str">
            <v>BAGAS PINGKI SUWARNO</v>
          </cell>
          <cell r="C2295" t="str">
            <v>SAMI</v>
          </cell>
          <cell r="D2295" t="str">
            <v>OPT-573</v>
          </cell>
          <cell r="E2295">
            <v>43421</v>
          </cell>
          <cell r="F2295">
            <v>43451</v>
          </cell>
          <cell r="G2295">
            <v>43830</v>
          </cell>
          <cell r="H2295" t="str">
            <v>PRD</v>
          </cell>
          <cell r="I2295" t="str">
            <v>PRD</v>
          </cell>
          <cell r="J2295" t="str">
            <v>HONDA CRV</v>
          </cell>
          <cell r="K2295" t="str">
            <v>HONDA CRV CORD R TAIL GATE SUB</v>
          </cell>
          <cell r="L2295" t="str">
            <v>CV A10</v>
          </cell>
          <cell r="M2295" t="str">
            <v>T/P 4A</v>
          </cell>
          <cell r="N2295" t="str">
            <v>ASSEMBLY</v>
          </cell>
          <cell r="O2295" t="str">
            <v>B</v>
          </cell>
        </row>
        <row r="2296">
          <cell r="A2296">
            <v>23393</v>
          </cell>
          <cell r="B2296" t="str">
            <v>ANA MAFIROH</v>
          </cell>
          <cell r="C2296" t="str">
            <v>SAMI</v>
          </cell>
          <cell r="D2296" t="str">
            <v>OPT-575</v>
          </cell>
          <cell r="E2296">
            <v>43434</v>
          </cell>
          <cell r="F2296">
            <v>43464</v>
          </cell>
          <cell r="G2296">
            <v>43830</v>
          </cell>
          <cell r="H2296" t="str">
            <v>PRD</v>
          </cell>
          <cell r="I2296" t="str">
            <v>PRD</v>
          </cell>
          <cell r="J2296" t="str">
            <v>HONDA CRV</v>
          </cell>
          <cell r="K2296" t="str">
            <v>HONDA CRV CORD R TAIL GATE SUB</v>
          </cell>
          <cell r="L2296" t="str">
            <v>CV A10</v>
          </cell>
          <cell r="M2296" t="str">
            <v>S/A 1.1B</v>
          </cell>
          <cell r="N2296" t="str">
            <v>SUB ASSY</v>
          </cell>
          <cell r="O2296" t="str">
            <v>B</v>
          </cell>
        </row>
        <row r="2297">
          <cell r="A2297">
            <v>23487</v>
          </cell>
          <cell r="B2297" t="str">
            <v>AISAH</v>
          </cell>
          <cell r="C2297" t="str">
            <v>SAMI</v>
          </cell>
          <cell r="D2297" t="str">
            <v>OPT-576</v>
          </cell>
          <cell r="E2297">
            <v>43441</v>
          </cell>
          <cell r="F2297">
            <v>43472</v>
          </cell>
          <cell r="G2297">
            <v>43830</v>
          </cell>
          <cell r="H2297" t="str">
            <v>PRD</v>
          </cell>
          <cell r="I2297" t="str">
            <v>PRD</v>
          </cell>
          <cell r="J2297" t="str">
            <v>HONDA CRV</v>
          </cell>
          <cell r="K2297" t="str">
            <v>HONDA CRV CORD TAIL L GATE SUB</v>
          </cell>
          <cell r="L2297" t="str">
            <v>CV A10</v>
          </cell>
          <cell r="M2297" t="str">
            <v>MATERIAL SUPPLY A</v>
          </cell>
          <cell r="N2297" t="str">
            <v>MATERIAL SUPPLY</v>
          </cell>
          <cell r="O2297" t="str">
            <v>B</v>
          </cell>
        </row>
        <row r="2298">
          <cell r="A2298" t="str">
            <v>B00126</v>
          </cell>
          <cell r="B2298" t="str">
            <v>ELLA SOFFIATI</v>
          </cell>
          <cell r="C2298" t="str">
            <v>SAMI</v>
          </cell>
          <cell r="D2298" t="str">
            <v>BBF-003</v>
          </cell>
          <cell r="E2298">
            <v>40840</v>
          </cell>
          <cell r="F2298" t="str">
            <v>-</v>
          </cell>
          <cell r="G2298" t="str">
            <v>-</v>
          </cell>
          <cell r="H2298" t="str">
            <v>PRD</v>
          </cell>
          <cell r="I2298" t="str">
            <v>PRD</v>
          </cell>
          <cell r="J2298" t="str">
            <v>HONDA CRV</v>
          </cell>
          <cell r="K2298" t="str">
            <v>HONDA CRV CORD TAIL L GATE SUB</v>
          </cell>
          <cell r="L2298" t="str">
            <v>CV A10</v>
          </cell>
          <cell r="M2298" t="str">
            <v>T/P 4</v>
          </cell>
          <cell r="N2298" t="str">
            <v>ASSEMBLY</v>
          </cell>
          <cell r="O2298" t="str">
            <v>B</v>
          </cell>
        </row>
        <row r="2299">
          <cell r="A2299">
            <v>23601</v>
          </cell>
          <cell r="B2299" t="str">
            <v>UMI SYA'ADAH</v>
          </cell>
          <cell r="C2299" t="str">
            <v>SAMI</v>
          </cell>
          <cell r="D2299" t="str">
            <v>OPT-577</v>
          </cell>
          <cell r="E2299">
            <v>43452</v>
          </cell>
          <cell r="F2299">
            <v>43483</v>
          </cell>
          <cell r="G2299">
            <v>43861</v>
          </cell>
          <cell r="H2299" t="str">
            <v>PRD</v>
          </cell>
          <cell r="I2299" t="str">
            <v>PRD</v>
          </cell>
          <cell r="J2299" t="str">
            <v>HONDA CRV</v>
          </cell>
          <cell r="K2299" t="str">
            <v>HONDA CRV CORD TAIL L GATE SUB</v>
          </cell>
          <cell r="L2299" t="str">
            <v>CV A10</v>
          </cell>
          <cell r="M2299" t="str">
            <v>T/P 2B</v>
          </cell>
          <cell r="N2299" t="str">
            <v>ASSEMBLY</v>
          </cell>
          <cell r="O2299" t="str">
            <v>B</v>
          </cell>
        </row>
        <row r="2300">
          <cell r="A2300">
            <v>10383</v>
          </cell>
          <cell r="B2300" t="str">
            <v>SHARI IRIANI</v>
          </cell>
          <cell r="C2300" t="str">
            <v>SAMI</v>
          </cell>
          <cell r="D2300" t="str">
            <v>OPT-267</v>
          </cell>
          <cell r="E2300">
            <v>40513</v>
          </cell>
          <cell r="F2300" t="str">
            <v>-</v>
          </cell>
          <cell r="G2300" t="str">
            <v>-</v>
          </cell>
          <cell r="H2300" t="str">
            <v>PRD</v>
          </cell>
          <cell r="I2300" t="str">
            <v>PRD</v>
          </cell>
          <cell r="J2300" t="str">
            <v>HONDA CRV</v>
          </cell>
          <cell r="K2300" t="str">
            <v>HONDA CRV CABLE REAR SUB</v>
          </cell>
          <cell r="L2300" t="str">
            <v>CV A11</v>
          </cell>
          <cell r="M2300" t="str">
            <v>SUB LINE CHO</v>
          </cell>
          <cell r="N2300" t="str">
            <v>GL</v>
          </cell>
          <cell r="O2300" t="str">
            <v>A</v>
          </cell>
        </row>
        <row r="2301">
          <cell r="A2301">
            <v>12782</v>
          </cell>
          <cell r="B2301" t="str">
            <v>ULUL AMRIYAH</v>
          </cell>
          <cell r="C2301" t="str">
            <v>SAMI</v>
          </cell>
          <cell r="D2301" t="str">
            <v>OPT-320</v>
          </cell>
          <cell r="E2301">
            <v>40819</v>
          </cell>
          <cell r="F2301" t="str">
            <v>-</v>
          </cell>
          <cell r="G2301" t="str">
            <v>-</v>
          </cell>
          <cell r="H2301" t="str">
            <v>PRD</v>
          </cell>
          <cell r="I2301" t="str">
            <v>PRD</v>
          </cell>
          <cell r="J2301" t="str">
            <v>HONDA CRV</v>
          </cell>
          <cell r="K2301" t="str">
            <v>HONDA CRV CABLE REAR SUB</v>
          </cell>
          <cell r="L2301" t="str">
            <v>CV A11</v>
          </cell>
          <cell r="M2301" t="str">
            <v>OJT LQC</v>
          </cell>
          <cell r="N2301" t="str">
            <v>INTERNAL TRIAL</v>
          </cell>
          <cell r="O2301" t="str">
            <v>A</v>
          </cell>
        </row>
        <row r="2302">
          <cell r="A2302">
            <v>20535</v>
          </cell>
          <cell r="B2302" t="str">
            <v>SEPTI AMALIAH DEWI</v>
          </cell>
          <cell r="C2302" t="str">
            <v>SAMI</v>
          </cell>
          <cell r="D2302" t="str">
            <v>OPT-504</v>
          </cell>
          <cell r="E2302">
            <v>42634</v>
          </cell>
          <cell r="F2302">
            <v>43132</v>
          </cell>
          <cell r="G2302">
            <v>43496</v>
          </cell>
          <cell r="H2302" t="str">
            <v>PRD</v>
          </cell>
          <cell r="I2302" t="str">
            <v>PRD</v>
          </cell>
          <cell r="J2302" t="str">
            <v>HONDA CRV</v>
          </cell>
          <cell r="K2302" t="str">
            <v>HONDA CRV CABLE REAR SUB</v>
          </cell>
          <cell r="L2302" t="str">
            <v>CV A11</v>
          </cell>
          <cell r="M2302" t="str">
            <v>LQC</v>
          </cell>
          <cell r="N2302" t="str">
            <v>RELIEF</v>
          </cell>
          <cell r="O2302" t="str">
            <v>A</v>
          </cell>
        </row>
        <row r="2303">
          <cell r="A2303">
            <v>20615</v>
          </cell>
          <cell r="B2303" t="str">
            <v>MUFRIKHATUL FAIQOH</v>
          </cell>
          <cell r="C2303" t="str">
            <v>SAMI</v>
          </cell>
          <cell r="D2303" t="str">
            <v>OPT-505</v>
          </cell>
          <cell r="E2303">
            <v>42639</v>
          </cell>
          <cell r="F2303">
            <v>43132</v>
          </cell>
          <cell r="G2303">
            <v>43496</v>
          </cell>
          <cell r="H2303" t="str">
            <v>PRD</v>
          </cell>
          <cell r="I2303" t="str">
            <v>PRD</v>
          </cell>
          <cell r="J2303" t="str">
            <v>HONDA CRV</v>
          </cell>
          <cell r="K2303" t="str">
            <v>HONDA CRV CABLE REAR SUB</v>
          </cell>
          <cell r="L2303" t="str">
            <v>CV A11</v>
          </cell>
          <cell r="M2303" t="str">
            <v>INSERTION GROUP</v>
          </cell>
          <cell r="N2303" t="str">
            <v>SUB ASSY</v>
          </cell>
          <cell r="O2303" t="str">
            <v>A</v>
          </cell>
        </row>
        <row r="2304">
          <cell r="A2304">
            <v>20660</v>
          </cell>
          <cell r="B2304" t="str">
            <v>TRI BAKTI ANGGAR NOFIANA</v>
          </cell>
          <cell r="C2304" t="str">
            <v>SAMI</v>
          </cell>
          <cell r="D2304" t="str">
            <v>OPT-505</v>
          </cell>
          <cell r="E2304">
            <v>42639</v>
          </cell>
          <cell r="F2304">
            <v>43132</v>
          </cell>
          <cell r="G2304">
            <v>43496</v>
          </cell>
          <cell r="H2304" t="str">
            <v>PRD</v>
          </cell>
          <cell r="I2304" t="str">
            <v>PRD</v>
          </cell>
          <cell r="J2304" t="str">
            <v>HONDA CRV</v>
          </cell>
          <cell r="K2304" t="str">
            <v>HONDA CRV CABLE REAR SUB</v>
          </cell>
          <cell r="L2304" t="str">
            <v>CV A11</v>
          </cell>
          <cell r="M2304" t="str">
            <v>T/P SP</v>
          </cell>
          <cell r="N2304" t="str">
            <v>ASSEMBLY</v>
          </cell>
          <cell r="O2304" t="str">
            <v>A</v>
          </cell>
        </row>
        <row r="2305">
          <cell r="A2305">
            <v>21235</v>
          </cell>
          <cell r="B2305" t="str">
            <v>FASIHATUL IFROH</v>
          </cell>
          <cell r="C2305" t="str">
            <v>SAMI</v>
          </cell>
          <cell r="D2305" t="str">
            <v>OPT-525</v>
          </cell>
          <cell r="E2305">
            <v>42893</v>
          </cell>
          <cell r="F2305">
            <v>43374</v>
          </cell>
          <cell r="G2305">
            <v>43738</v>
          </cell>
          <cell r="H2305" t="str">
            <v>PRD</v>
          </cell>
          <cell r="I2305" t="str">
            <v>PRD</v>
          </cell>
          <cell r="J2305" t="str">
            <v>HONDA CRV</v>
          </cell>
          <cell r="K2305" t="str">
            <v>HONDA CRV CABLE REAR SUB</v>
          </cell>
          <cell r="L2305" t="str">
            <v>CV A11</v>
          </cell>
          <cell r="M2305" t="str">
            <v>T/P 2A</v>
          </cell>
          <cell r="N2305" t="str">
            <v>ASSEMBLY</v>
          </cell>
          <cell r="O2305" t="str">
            <v>A</v>
          </cell>
        </row>
        <row r="2306">
          <cell r="A2306">
            <v>21355</v>
          </cell>
          <cell r="B2306" t="str">
            <v>NUR ALIYA</v>
          </cell>
          <cell r="C2306" t="str">
            <v>SAMI</v>
          </cell>
          <cell r="D2306" t="str">
            <v>OPT-531</v>
          </cell>
          <cell r="E2306">
            <v>43013</v>
          </cell>
          <cell r="F2306">
            <v>43405</v>
          </cell>
          <cell r="G2306">
            <v>43769</v>
          </cell>
          <cell r="H2306" t="str">
            <v>PRD</v>
          </cell>
          <cell r="I2306" t="str">
            <v>PRD</v>
          </cell>
          <cell r="J2306" t="str">
            <v>HONDA CRV</v>
          </cell>
          <cell r="K2306" t="str">
            <v>HONDA CRV CABLE REAR SUB</v>
          </cell>
          <cell r="L2306" t="str">
            <v>CV A11</v>
          </cell>
          <cell r="M2306" t="str">
            <v>CHECKER</v>
          </cell>
          <cell r="N2306" t="str">
            <v>ELECTRICAL INSPECTION</v>
          </cell>
          <cell r="O2306" t="str">
            <v>A</v>
          </cell>
        </row>
        <row r="2307">
          <cell r="A2307">
            <v>21581</v>
          </cell>
          <cell r="B2307" t="str">
            <v>ENDANG SRIYANTI</v>
          </cell>
          <cell r="C2307" t="str">
            <v>SAMI</v>
          </cell>
          <cell r="D2307" t="str">
            <v>OPT-536</v>
          </cell>
          <cell r="E2307">
            <v>43048</v>
          </cell>
          <cell r="F2307">
            <v>43435</v>
          </cell>
          <cell r="G2307">
            <v>43799</v>
          </cell>
          <cell r="H2307" t="str">
            <v>PRD</v>
          </cell>
          <cell r="I2307" t="str">
            <v>PRD</v>
          </cell>
          <cell r="J2307" t="str">
            <v>HONDA CRV</v>
          </cell>
          <cell r="K2307" t="str">
            <v>HONDA CRV CABLE REAR SUB</v>
          </cell>
          <cell r="L2307" t="str">
            <v>CV A11</v>
          </cell>
          <cell r="M2307" t="str">
            <v>S/A A</v>
          </cell>
          <cell r="N2307" t="str">
            <v>SUB ASSY</v>
          </cell>
          <cell r="O2307" t="str">
            <v>A</v>
          </cell>
        </row>
        <row r="2308">
          <cell r="A2308">
            <v>21733</v>
          </cell>
          <cell r="B2308" t="str">
            <v>MUSLIKHA</v>
          </cell>
          <cell r="C2308" t="str">
            <v>SAMI</v>
          </cell>
          <cell r="D2308" t="str">
            <v>OPT-539</v>
          </cell>
          <cell r="E2308">
            <v>43087</v>
          </cell>
          <cell r="F2308">
            <v>43118</v>
          </cell>
          <cell r="G2308">
            <v>43496</v>
          </cell>
          <cell r="H2308" t="str">
            <v>PRD</v>
          </cell>
          <cell r="I2308" t="str">
            <v>PRD</v>
          </cell>
          <cell r="J2308" t="str">
            <v>HONDA CRV</v>
          </cell>
          <cell r="K2308" t="str">
            <v>HONDA CRV CABLE REAR SUB</v>
          </cell>
          <cell r="L2308" t="str">
            <v>CV A11</v>
          </cell>
          <cell r="M2308" t="str">
            <v>CHECKER</v>
          </cell>
          <cell r="N2308" t="str">
            <v>ELECTRICAL INSPECTION</v>
          </cell>
          <cell r="O2308" t="str">
            <v>A</v>
          </cell>
        </row>
        <row r="2309">
          <cell r="A2309">
            <v>21786</v>
          </cell>
          <cell r="B2309" t="str">
            <v>RIZA NUR 'AMILAH</v>
          </cell>
          <cell r="C2309" t="str">
            <v>SAMI</v>
          </cell>
          <cell r="D2309" t="str">
            <v>OPT-540</v>
          </cell>
          <cell r="E2309">
            <v>43090</v>
          </cell>
          <cell r="F2309">
            <v>43121</v>
          </cell>
          <cell r="G2309">
            <v>43496</v>
          </cell>
          <cell r="H2309" t="str">
            <v>PRD</v>
          </cell>
          <cell r="I2309" t="str">
            <v>PRD</v>
          </cell>
          <cell r="J2309" t="str">
            <v>HONDA CRV</v>
          </cell>
          <cell r="K2309" t="str">
            <v>HONDA CRV CABLE REAR SUB</v>
          </cell>
          <cell r="L2309" t="str">
            <v>CV A11</v>
          </cell>
          <cell r="M2309" t="str">
            <v>T/P 1B</v>
          </cell>
          <cell r="N2309" t="str">
            <v>ASSEMBLY</v>
          </cell>
          <cell r="O2309" t="str">
            <v>A</v>
          </cell>
        </row>
        <row r="2310">
          <cell r="A2310">
            <v>21803</v>
          </cell>
          <cell r="B2310" t="str">
            <v>SUKMAINAH</v>
          </cell>
          <cell r="C2310" t="str">
            <v>SAMI</v>
          </cell>
          <cell r="D2310" t="str">
            <v>OPT-540</v>
          </cell>
          <cell r="E2310">
            <v>43090</v>
          </cell>
          <cell r="F2310">
            <v>43121</v>
          </cell>
          <cell r="G2310">
            <v>43496</v>
          </cell>
          <cell r="H2310" t="str">
            <v>PRD</v>
          </cell>
          <cell r="I2310" t="str">
            <v>PRD</v>
          </cell>
          <cell r="J2310" t="str">
            <v>HONDA CRV</v>
          </cell>
          <cell r="K2310" t="str">
            <v>HONDA CRV CABLE REAR SUB</v>
          </cell>
          <cell r="L2310" t="str">
            <v>CV A11</v>
          </cell>
          <cell r="M2310" t="str">
            <v>S/A SP</v>
          </cell>
          <cell r="N2310" t="str">
            <v>SUB ASSY</v>
          </cell>
          <cell r="O2310" t="str">
            <v>A</v>
          </cell>
        </row>
        <row r="2311">
          <cell r="A2311">
            <v>22392</v>
          </cell>
          <cell r="B2311" t="str">
            <v>HERLINA NOVIYANTI</v>
          </cell>
          <cell r="C2311" t="str">
            <v>SAMI</v>
          </cell>
          <cell r="D2311" t="str">
            <v>OPT-558</v>
          </cell>
          <cell r="E2311">
            <v>43213</v>
          </cell>
          <cell r="F2311">
            <v>43243</v>
          </cell>
          <cell r="G2311">
            <v>43616</v>
          </cell>
          <cell r="H2311" t="str">
            <v>PRD</v>
          </cell>
          <cell r="I2311" t="str">
            <v>PRD</v>
          </cell>
          <cell r="J2311" t="str">
            <v>HONDA CRV</v>
          </cell>
          <cell r="K2311" t="str">
            <v>HONDA CRV CABLE REAR SUB</v>
          </cell>
          <cell r="L2311" t="str">
            <v>CV A11</v>
          </cell>
          <cell r="M2311" t="str">
            <v>T/P 2B</v>
          </cell>
          <cell r="N2311" t="str">
            <v>ASSEMBLY</v>
          </cell>
          <cell r="O2311" t="str">
            <v>A</v>
          </cell>
        </row>
        <row r="2312">
          <cell r="A2312">
            <v>22482</v>
          </cell>
          <cell r="B2312" t="str">
            <v xml:space="preserve">DEWI SETYOWATI </v>
          </cell>
          <cell r="C2312" t="str">
            <v>SAMI</v>
          </cell>
          <cell r="D2312" t="str">
            <v>OPT-560</v>
          </cell>
          <cell r="E2312">
            <v>43224</v>
          </cell>
          <cell r="F2312">
            <v>43255</v>
          </cell>
          <cell r="G2312">
            <v>43616</v>
          </cell>
          <cell r="H2312" t="str">
            <v>PRD</v>
          </cell>
          <cell r="I2312" t="str">
            <v>PRD</v>
          </cell>
          <cell r="J2312" t="str">
            <v>HONDA CRV</v>
          </cell>
          <cell r="K2312" t="str">
            <v>HONDA CRV CABLE REAR SUB</v>
          </cell>
          <cell r="L2312" t="str">
            <v>CV A11</v>
          </cell>
          <cell r="M2312" t="str">
            <v>S/A B</v>
          </cell>
          <cell r="N2312" t="str">
            <v>SUB ASSY</v>
          </cell>
          <cell r="O2312" t="str">
            <v>A</v>
          </cell>
        </row>
        <row r="2313">
          <cell r="A2313">
            <v>23248</v>
          </cell>
          <cell r="B2313" t="str">
            <v>NUR YUNIARTI</v>
          </cell>
          <cell r="C2313" t="str">
            <v>SAMI</v>
          </cell>
          <cell r="D2313" t="str">
            <v>OPT-573</v>
          </cell>
          <cell r="E2313">
            <v>43421</v>
          </cell>
          <cell r="F2313">
            <v>43451</v>
          </cell>
          <cell r="G2313">
            <v>43830</v>
          </cell>
          <cell r="H2313" t="str">
            <v>PRD</v>
          </cell>
          <cell r="I2313" t="str">
            <v>PRD</v>
          </cell>
          <cell r="J2313" t="str">
            <v>HONDA CRV</v>
          </cell>
          <cell r="K2313" t="str">
            <v>HONDA CRV CABLE REAR SUB</v>
          </cell>
          <cell r="L2313" t="str">
            <v>CV A11</v>
          </cell>
          <cell r="M2313" t="str">
            <v>INSERTION GROUP</v>
          </cell>
          <cell r="N2313" t="str">
            <v>SUB ASSY</v>
          </cell>
          <cell r="O2313" t="str">
            <v>A</v>
          </cell>
        </row>
        <row r="2314">
          <cell r="A2314">
            <v>23495</v>
          </cell>
          <cell r="B2314" t="str">
            <v>DEVI KUSUMANINGRUM</v>
          </cell>
          <cell r="C2314" t="str">
            <v>SAMI</v>
          </cell>
          <cell r="D2314" t="str">
            <v>OPT-576</v>
          </cell>
          <cell r="E2314">
            <v>43441</v>
          </cell>
          <cell r="F2314">
            <v>43472</v>
          </cell>
          <cell r="G2314">
            <v>43830</v>
          </cell>
          <cell r="H2314" t="str">
            <v>PRD</v>
          </cell>
          <cell r="I2314" t="str">
            <v>PRD</v>
          </cell>
          <cell r="J2314" t="str">
            <v>HONDA CRV</v>
          </cell>
          <cell r="K2314" t="str">
            <v>HONDA CRV CABLE REAR SUB</v>
          </cell>
          <cell r="L2314" t="str">
            <v>CV A11</v>
          </cell>
          <cell r="M2314" t="str">
            <v>OJT T/P 1</v>
          </cell>
          <cell r="N2314" t="str">
            <v>INTERNAL TRIAL</v>
          </cell>
          <cell r="O2314" t="str">
            <v>A</v>
          </cell>
        </row>
        <row r="2315">
          <cell r="A2315">
            <v>23526</v>
          </cell>
          <cell r="B2315" t="str">
            <v>SYIFA AULIA</v>
          </cell>
          <cell r="C2315" t="str">
            <v>SAMI</v>
          </cell>
          <cell r="D2315" t="str">
            <v>OPT-576</v>
          </cell>
          <cell r="E2315">
            <v>43441</v>
          </cell>
          <cell r="F2315">
            <v>43472</v>
          </cell>
          <cell r="G2315">
            <v>43830</v>
          </cell>
          <cell r="H2315" t="str">
            <v>PRD</v>
          </cell>
          <cell r="I2315" t="str">
            <v>PRD</v>
          </cell>
          <cell r="J2315" t="str">
            <v>HONDA CRV</v>
          </cell>
          <cell r="K2315" t="str">
            <v>HONDA CRV CABLE REAR SUB</v>
          </cell>
          <cell r="L2315" t="str">
            <v>CV A11</v>
          </cell>
          <cell r="M2315" t="str">
            <v>OJT INSERTION GROUP</v>
          </cell>
          <cell r="N2315" t="str">
            <v>INTERNAL TRIAL</v>
          </cell>
          <cell r="O2315" t="str">
            <v>A</v>
          </cell>
        </row>
        <row r="2316">
          <cell r="A2316">
            <v>23572</v>
          </cell>
          <cell r="B2316" t="str">
            <v>MILA ARDIYA RAMADHANI</v>
          </cell>
          <cell r="C2316" t="str">
            <v>SAMI</v>
          </cell>
          <cell r="D2316" t="str">
            <v>OPT-577</v>
          </cell>
          <cell r="E2316">
            <v>43452</v>
          </cell>
          <cell r="F2316">
            <v>43483</v>
          </cell>
          <cell r="G2316">
            <v>43861</v>
          </cell>
          <cell r="H2316" t="str">
            <v>PRD</v>
          </cell>
          <cell r="I2316" t="str">
            <v>PRD</v>
          </cell>
          <cell r="J2316" t="str">
            <v>HONDA CRV</v>
          </cell>
          <cell r="K2316" t="str">
            <v>HONDA CRV CABLE REAR SUB</v>
          </cell>
          <cell r="L2316" t="str">
            <v>CV A11</v>
          </cell>
          <cell r="M2316" t="str">
            <v>OJT T/P SP</v>
          </cell>
          <cell r="N2316" t="str">
            <v>INTERNAL TRIAL</v>
          </cell>
          <cell r="O2316" t="str">
            <v>A</v>
          </cell>
        </row>
        <row r="2317">
          <cell r="A2317">
            <v>8786</v>
          </cell>
          <cell r="B2317" t="str">
            <v>PONCO YUNIA SISTANTI</v>
          </cell>
          <cell r="C2317" t="str">
            <v>SAMI</v>
          </cell>
          <cell r="D2317" t="str">
            <v>OPT-194</v>
          </cell>
          <cell r="E2317">
            <v>39931</v>
          </cell>
          <cell r="F2317" t="str">
            <v>-</v>
          </cell>
          <cell r="G2317" t="str">
            <v>-</v>
          </cell>
          <cell r="H2317" t="str">
            <v>PRD</v>
          </cell>
          <cell r="I2317" t="str">
            <v>PRD</v>
          </cell>
          <cell r="J2317" t="str">
            <v>HONDA CRV</v>
          </cell>
          <cell r="K2317" t="str">
            <v>HONDA CRV CABLE REAR SUB</v>
          </cell>
          <cell r="L2317" t="str">
            <v>CV A11</v>
          </cell>
          <cell r="M2317" t="str">
            <v>SUB LINE CHO</v>
          </cell>
          <cell r="N2317" t="str">
            <v>GL</v>
          </cell>
          <cell r="O2317" t="str">
            <v>B</v>
          </cell>
        </row>
        <row r="2318">
          <cell r="A2318">
            <v>11189</v>
          </cell>
          <cell r="B2318" t="str">
            <v>SUSI AMBARWATI</v>
          </cell>
          <cell r="C2318" t="str">
            <v>SAMI</v>
          </cell>
          <cell r="D2318" t="str">
            <v>OPT-292</v>
          </cell>
          <cell r="E2318">
            <v>40610</v>
          </cell>
          <cell r="F2318" t="str">
            <v>-</v>
          </cell>
          <cell r="G2318" t="str">
            <v>-</v>
          </cell>
          <cell r="H2318" t="str">
            <v>PRD</v>
          </cell>
          <cell r="I2318" t="str">
            <v>PRD</v>
          </cell>
          <cell r="J2318" t="str">
            <v>HONDA CRV</v>
          </cell>
          <cell r="K2318" t="str">
            <v>HONDA CRV CABLE REAR SUB</v>
          </cell>
          <cell r="L2318" t="str">
            <v>CV A11</v>
          </cell>
          <cell r="M2318" t="str">
            <v>S/A A</v>
          </cell>
          <cell r="N2318" t="str">
            <v>SUB ASSY</v>
          </cell>
          <cell r="O2318" t="str">
            <v>B</v>
          </cell>
        </row>
        <row r="2319">
          <cell r="A2319">
            <v>12201</v>
          </cell>
          <cell r="B2319" t="str">
            <v>OKTY WIDYASTUTI</v>
          </cell>
          <cell r="C2319" t="str">
            <v>SAMI</v>
          </cell>
          <cell r="D2319" t="str">
            <v>OPT-315</v>
          </cell>
          <cell r="E2319">
            <v>40802</v>
          </cell>
          <cell r="F2319" t="str">
            <v>-</v>
          </cell>
          <cell r="G2319" t="str">
            <v>-</v>
          </cell>
          <cell r="H2319" t="str">
            <v>PRD</v>
          </cell>
          <cell r="I2319" t="str">
            <v>PRD</v>
          </cell>
          <cell r="J2319" t="str">
            <v>HONDA CRV</v>
          </cell>
          <cell r="K2319" t="str">
            <v>HONDA CRV CABLE REAR SUB</v>
          </cell>
          <cell r="L2319" t="str">
            <v>CV A11</v>
          </cell>
          <cell r="M2319" t="str">
            <v>OJT PJK</v>
          </cell>
          <cell r="N2319" t="str">
            <v>INTERNAL TRIAL</v>
          </cell>
          <cell r="O2319" t="str">
            <v>B</v>
          </cell>
        </row>
        <row r="2320">
          <cell r="A2320">
            <v>20518</v>
          </cell>
          <cell r="B2320" t="str">
            <v>NURUL INAYATUL AZIMAH</v>
          </cell>
          <cell r="C2320" t="str">
            <v>SAMI</v>
          </cell>
          <cell r="D2320" t="str">
            <v>OPT-504</v>
          </cell>
          <cell r="E2320">
            <v>42634</v>
          </cell>
          <cell r="F2320">
            <v>43132</v>
          </cell>
          <cell r="G2320">
            <v>43496</v>
          </cell>
          <cell r="H2320" t="str">
            <v>PRD</v>
          </cell>
          <cell r="I2320" t="str">
            <v>PRD</v>
          </cell>
          <cell r="J2320" t="str">
            <v>HONDA CRV</v>
          </cell>
          <cell r="K2320" t="str">
            <v>HONDA CRV CABLE REAR SUB</v>
          </cell>
          <cell r="L2320" t="str">
            <v>CV A11</v>
          </cell>
          <cell r="M2320" t="str">
            <v>T/P 2A</v>
          </cell>
          <cell r="N2320" t="str">
            <v>ASSEMBLY</v>
          </cell>
          <cell r="O2320" t="str">
            <v>B</v>
          </cell>
        </row>
        <row r="2321">
          <cell r="A2321">
            <v>20692</v>
          </cell>
          <cell r="B2321" t="str">
            <v>ZIDA FARIHATUL ULFAH</v>
          </cell>
          <cell r="C2321" t="str">
            <v>SAMI</v>
          </cell>
          <cell r="D2321" t="str">
            <v>OPT-505</v>
          </cell>
          <cell r="E2321">
            <v>42639</v>
          </cell>
          <cell r="F2321">
            <v>43132</v>
          </cell>
          <cell r="G2321">
            <v>43496</v>
          </cell>
          <cell r="H2321" t="str">
            <v>PRD</v>
          </cell>
          <cell r="I2321" t="str">
            <v>PRD</v>
          </cell>
          <cell r="J2321" t="str">
            <v>HONDA CRV</v>
          </cell>
          <cell r="K2321" t="str">
            <v>HONDA CRV CABLE REAR SUB</v>
          </cell>
          <cell r="L2321" t="str">
            <v>CV A11</v>
          </cell>
          <cell r="M2321" t="str">
            <v>LQC</v>
          </cell>
          <cell r="N2321" t="str">
            <v>RELIEF</v>
          </cell>
          <cell r="O2321" t="str">
            <v>B</v>
          </cell>
        </row>
        <row r="2322">
          <cell r="A2322">
            <v>21151</v>
          </cell>
          <cell r="B2322" t="str">
            <v>EKA SAFITRI</v>
          </cell>
          <cell r="C2322" t="str">
            <v>SAMI</v>
          </cell>
          <cell r="D2322" t="str">
            <v>OPT-522</v>
          </cell>
          <cell r="E2322">
            <v>42871</v>
          </cell>
          <cell r="F2322">
            <v>43374</v>
          </cell>
          <cell r="G2322">
            <v>43738</v>
          </cell>
          <cell r="H2322" t="str">
            <v>PRD</v>
          </cell>
          <cell r="I2322" t="str">
            <v>PRD</v>
          </cell>
          <cell r="J2322" t="str">
            <v>HONDA CRV</v>
          </cell>
          <cell r="K2322" t="str">
            <v>HONDA CRV CABLE REAR SUB</v>
          </cell>
          <cell r="L2322" t="str">
            <v>CV A11</v>
          </cell>
          <cell r="M2322" t="str">
            <v>T/P 2B</v>
          </cell>
          <cell r="N2322" t="str">
            <v>ASSEMBLY</v>
          </cell>
          <cell r="O2322" t="str">
            <v>B</v>
          </cell>
        </row>
        <row r="2323">
          <cell r="A2323">
            <v>22064</v>
          </cell>
          <cell r="B2323" t="str">
            <v>ASTI DEBBY MAHARANI</v>
          </cell>
          <cell r="C2323" t="str">
            <v>SAMI</v>
          </cell>
          <cell r="D2323" t="str">
            <v>OPT-548</v>
          </cell>
          <cell r="E2323">
            <v>43150</v>
          </cell>
          <cell r="F2323">
            <v>43178</v>
          </cell>
          <cell r="G2323">
            <v>43555</v>
          </cell>
          <cell r="H2323" t="str">
            <v>PRD</v>
          </cell>
          <cell r="I2323" t="str">
            <v>PRD</v>
          </cell>
          <cell r="J2323" t="str">
            <v>HONDA CRV</v>
          </cell>
          <cell r="K2323" t="str">
            <v>HONDA CRV CABLE REAR SUB</v>
          </cell>
          <cell r="L2323" t="str">
            <v>CV A11</v>
          </cell>
          <cell r="M2323" t="str">
            <v>INSERTION GROUP A</v>
          </cell>
          <cell r="N2323" t="str">
            <v>SUB ASSY</v>
          </cell>
          <cell r="O2323" t="str">
            <v>B</v>
          </cell>
        </row>
        <row r="2324">
          <cell r="A2324">
            <v>22091</v>
          </cell>
          <cell r="B2324" t="str">
            <v>REZEKI ASRI ANI</v>
          </cell>
          <cell r="C2324" t="str">
            <v>SAMI</v>
          </cell>
          <cell r="D2324" t="str">
            <v>OPT-548</v>
          </cell>
          <cell r="E2324">
            <v>43150</v>
          </cell>
          <cell r="F2324">
            <v>43178</v>
          </cell>
          <cell r="G2324">
            <v>43555</v>
          </cell>
          <cell r="H2324" t="str">
            <v>PRD</v>
          </cell>
          <cell r="I2324" t="str">
            <v>PRD</v>
          </cell>
          <cell r="J2324" t="str">
            <v>HONDA CRV</v>
          </cell>
          <cell r="K2324" t="str">
            <v>HONDA CRV CABLE REAR SUB</v>
          </cell>
          <cell r="L2324" t="str">
            <v>CV A11</v>
          </cell>
          <cell r="M2324" t="str">
            <v>INSERTION GROUP B</v>
          </cell>
          <cell r="N2324" t="str">
            <v>SUB ASSY</v>
          </cell>
          <cell r="O2324" t="str">
            <v>B</v>
          </cell>
        </row>
        <row r="2325">
          <cell r="A2325">
            <v>22536</v>
          </cell>
          <cell r="B2325" t="str">
            <v>INTAN SAFIRA</v>
          </cell>
          <cell r="C2325" t="str">
            <v>SAMI</v>
          </cell>
          <cell r="D2325" t="str">
            <v>OPT-560</v>
          </cell>
          <cell r="E2325">
            <v>43224</v>
          </cell>
          <cell r="F2325">
            <v>43255</v>
          </cell>
          <cell r="G2325">
            <v>43616</v>
          </cell>
          <cell r="H2325" t="str">
            <v>PRD</v>
          </cell>
          <cell r="I2325" t="str">
            <v>PRD</v>
          </cell>
          <cell r="J2325" t="str">
            <v>HONDA CRV</v>
          </cell>
          <cell r="K2325" t="str">
            <v>HONDA CRV CABLE REAR SUB</v>
          </cell>
          <cell r="L2325" t="str">
            <v>CV A11</v>
          </cell>
          <cell r="M2325" t="str">
            <v>S/A B</v>
          </cell>
          <cell r="N2325" t="str">
            <v>SUB ASSY</v>
          </cell>
          <cell r="O2325" t="str">
            <v>B</v>
          </cell>
        </row>
        <row r="2326">
          <cell r="A2326">
            <v>22818</v>
          </cell>
          <cell r="B2326" t="str">
            <v>DEVY NOVITA SARI</v>
          </cell>
          <cell r="C2326" t="str">
            <v>SAMI</v>
          </cell>
          <cell r="D2326" t="str">
            <v>OPT-567</v>
          </cell>
          <cell r="E2326">
            <v>43333</v>
          </cell>
          <cell r="F2326">
            <v>43364</v>
          </cell>
          <cell r="G2326">
            <v>43738</v>
          </cell>
          <cell r="H2326" t="str">
            <v>PRD</v>
          </cell>
          <cell r="I2326" t="str">
            <v>PRD</v>
          </cell>
          <cell r="J2326" t="str">
            <v>HONDA CRV</v>
          </cell>
          <cell r="K2326" t="str">
            <v>HONDA CRV CABLE REAR SUB</v>
          </cell>
          <cell r="L2326" t="str">
            <v>CV A11</v>
          </cell>
          <cell r="M2326" t="str">
            <v>CHECKER B</v>
          </cell>
          <cell r="N2326" t="str">
            <v>ELECTRICAL INSPECTION</v>
          </cell>
          <cell r="O2326" t="str">
            <v>B</v>
          </cell>
        </row>
        <row r="2327">
          <cell r="A2327">
            <v>22933</v>
          </cell>
          <cell r="B2327" t="str">
            <v>FRIDA YANTI MEYLANI</v>
          </cell>
          <cell r="C2327" t="str">
            <v>SAMI</v>
          </cell>
          <cell r="D2327" t="str">
            <v>OPT-568</v>
          </cell>
          <cell r="E2327">
            <v>43343</v>
          </cell>
          <cell r="F2327">
            <v>43374</v>
          </cell>
          <cell r="G2327">
            <v>43738</v>
          </cell>
          <cell r="H2327" t="str">
            <v>PRD</v>
          </cell>
          <cell r="I2327" t="str">
            <v>PRD</v>
          </cell>
          <cell r="J2327" t="str">
            <v>HONDA CRV</v>
          </cell>
          <cell r="K2327" t="str">
            <v>HONDA CRV CABLE REAR SUB</v>
          </cell>
          <cell r="L2327" t="str">
            <v>CV A11</v>
          </cell>
          <cell r="M2327" t="str">
            <v>CHECKER A</v>
          </cell>
          <cell r="N2327" t="str">
            <v>ELECTRICAL INSPECTION</v>
          </cell>
          <cell r="O2327" t="str">
            <v>B</v>
          </cell>
        </row>
        <row r="2328">
          <cell r="A2328">
            <v>22986</v>
          </cell>
          <cell r="B2328" t="str">
            <v>ULFIYANA LATIFAH</v>
          </cell>
          <cell r="C2328" t="str">
            <v>SAMI</v>
          </cell>
          <cell r="D2328" t="str">
            <v>OPT-568</v>
          </cell>
          <cell r="E2328">
            <v>43343</v>
          </cell>
          <cell r="F2328">
            <v>43374</v>
          </cell>
          <cell r="G2328">
            <v>43738</v>
          </cell>
          <cell r="H2328" t="str">
            <v>PRD</v>
          </cell>
          <cell r="I2328" t="str">
            <v>PRD</v>
          </cell>
          <cell r="J2328" t="str">
            <v>HONDA CRV</v>
          </cell>
          <cell r="K2328" t="str">
            <v>HONDA CRV CABLE REAR SUB</v>
          </cell>
          <cell r="L2328" t="str">
            <v>CV A11</v>
          </cell>
          <cell r="M2328" t="str">
            <v>T/P SP</v>
          </cell>
          <cell r="N2328" t="str">
            <v>ASSEMBLY</v>
          </cell>
          <cell r="O2328" t="str">
            <v>B</v>
          </cell>
        </row>
        <row r="2329">
          <cell r="A2329">
            <v>23057</v>
          </cell>
          <cell r="B2329" t="str">
            <v>NUR ARIFAH KURNIYAWATI</v>
          </cell>
          <cell r="C2329" t="str">
            <v>SAMI</v>
          </cell>
          <cell r="D2329" t="str">
            <v>OPT-569</v>
          </cell>
          <cell r="E2329">
            <v>43361</v>
          </cell>
          <cell r="F2329">
            <v>43391</v>
          </cell>
          <cell r="G2329">
            <v>43769</v>
          </cell>
          <cell r="H2329" t="str">
            <v>PRD</v>
          </cell>
          <cell r="I2329" t="str">
            <v>PRD</v>
          </cell>
          <cell r="J2329" t="str">
            <v>HONDA CRV</v>
          </cell>
          <cell r="K2329" t="str">
            <v>HONDA CRV CABLE REAR SUB</v>
          </cell>
          <cell r="L2329" t="str">
            <v>CV A11</v>
          </cell>
          <cell r="M2329" t="str">
            <v>T/P 1A</v>
          </cell>
          <cell r="N2329" t="str">
            <v>ASSEMBLY</v>
          </cell>
          <cell r="O2329" t="str">
            <v>B</v>
          </cell>
        </row>
        <row r="2330">
          <cell r="A2330">
            <v>23249</v>
          </cell>
          <cell r="B2330" t="str">
            <v>NUR'AINI RIA AGUSTIN</v>
          </cell>
          <cell r="C2330" t="str">
            <v>SAMI</v>
          </cell>
          <cell r="D2330" t="str">
            <v>OPT-573</v>
          </cell>
          <cell r="E2330">
            <v>43421</v>
          </cell>
          <cell r="F2330">
            <v>43451</v>
          </cell>
          <cell r="G2330">
            <v>43830</v>
          </cell>
          <cell r="H2330" t="str">
            <v>PRD</v>
          </cell>
          <cell r="I2330" t="str">
            <v>PRD</v>
          </cell>
          <cell r="J2330" t="str">
            <v>HONDA CRV</v>
          </cell>
          <cell r="K2330" t="str">
            <v>HONDA CRV CABLE REAR SUB</v>
          </cell>
          <cell r="L2330" t="str">
            <v>CV A11</v>
          </cell>
          <cell r="M2330" t="str">
            <v>S/A SP</v>
          </cell>
          <cell r="N2330" t="str">
            <v>SUB ASSY</v>
          </cell>
          <cell r="O2330" t="str">
            <v>B</v>
          </cell>
        </row>
        <row r="2331">
          <cell r="A2331">
            <v>23442</v>
          </cell>
          <cell r="B2331" t="str">
            <v>NOVA DYAH FRANSISCA</v>
          </cell>
          <cell r="C2331" t="str">
            <v>SAMI</v>
          </cell>
          <cell r="D2331" t="str">
            <v>OPT-575</v>
          </cell>
          <cell r="E2331">
            <v>43434</v>
          </cell>
          <cell r="F2331">
            <v>43464</v>
          </cell>
          <cell r="G2331">
            <v>43830</v>
          </cell>
          <cell r="H2331" t="str">
            <v>PRD</v>
          </cell>
          <cell r="I2331" t="str">
            <v>PRD</v>
          </cell>
          <cell r="J2331" t="str">
            <v>HONDA CRV</v>
          </cell>
          <cell r="K2331" t="str">
            <v>HONDA CRV CABLE REAR SUB</v>
          </cell>
          <cell r="L2331" t="str">
            <v>CV A11</v>
          </cell>
          <cell r="M2331" t="str">
            <v>OJT T/P 1B</v>
          </cell>
          <cell r="N2331" t="str">
            <v>INTERNAL TRIAL</v>
          </cell>
          <cell r="O2331" t="str">
            <v>B</v>
          </cell>
        </row>
        <row r="2332">
          <cell r="A2332">
            <v>23589</v>
          </cell>
          <cell r="B2332" t="str">
            <v>SETYANINGRUM</v>
          </cell>
          <cell r="C2332" t="str">
            <v>SAMI</v>
          </cell>
          <cell r="D2332" t="str">
            <v>OPT-577</v>
          </cell>
          <cell r="E2332">
            <v>43452</v>
          </cell>
          <cell r="F2332">
            <v>43483</v>
          </cell>
          <cell r="G2332">
            <v>43861</v>
          </cell>
          <cell r="H2332" t="str">
            <v>PRD</v>
          </cell>
          <cell r="I2332" t="str">
            <v>PRD</v>
          </cell>
          <cell r="J2332" t="str">
            <v>HONDA CRV</v>
          </cell>
          <cell r="K2332" t="str">
            <v>HONDA CRV CABLE REAR SUB</v>
          </cell>
          <cell r="L2332" t="str">
            <v>CV A11</v>
          </cell>
          <cell r="M2332" t="str">
            <v>OJT</v>
          </cell>
          <cell r="N2332" t="str">
            <v>INTERNAL TRIAL</v>
          </cell>
          <cell r="O2332" t="str">
            <v>B</v>
          </cell>
        </row>
        <row r="2333">
          <cell r="A2333">
            <v>74</v>
          </cell>
          <cell r="B2333" t="str">
            <v>TRI UTARI</v>
          </cell>
          <cell r="C2333" t="str">
            <v>SAMI</v>
          </cell>
          <cell r="D2333" t="str">
            <v>OPT-1</v>
          </cell>
          <cell r="E2333">
            <v>37578</v>
          </cell>
          <cell r="F2333" t="str">
            <v>-</v>
          </cell>
          <cell r="G2333" t="str">
            <v>-</v>
          </cell>
          <cell r="H2333" t="str">
            <v>PRD</v>
          </cell>
          <cell r="I2333" t="str">
            <v>PRD</v>
          </cell>
          <cell r="J2333" t="str">
            <v>HONDA CRV</v>
          </cell>
          <cell r="K2333" t="str">
            <v>HONDA CRV CORD HM STOP LT SUB</v>
          </cell>
          <cell r="L2333" t="str">
            <v>CV A12</v>
          </cell>
          <cell r="M2333" t="str">
            <v>SUB LINE CHO</v>
          </cell>
          <cell r="N2333" t="str">
            <v>GL</v>
          </cell>
          <cell r="O2333" t="str">
            <v>A</v>
          </cell>
        </row>
        <row r="2334">
          <cell r="A2334">
            <v>10679</v>
          </cell>
          <cell r="B2334" t="str">
            <v>SAFAROTUL MU'AZIZAH</v>
          </cell>
          <cell r="C2334" t="str">
            <v>SAMI</v>
          </cell>
          <cell r="D2334" t="str">
            <v>OPT-279</v>
          </cell>
          <cell r="E2334">
            <v>40553</v>
          </cell>
          <cell r="F2334" t="str">
            <v>-</v>
          </cell>
          <cell r="G2334" t="str">
            <v>-</v>
          </cell>
          <cell r="H2334" t="str">
            <v>PRD</v>
          </cell>
          <cell r="I2334" t="str">
            <v>PRD</v>
          </cell>
          <cell r="J2334" t="str">
            <v>HONDA CRV</v>
          </cell>
          <cell r="K2334" t="str">
            <v>HONDA CRV CORD HM STOP LT SUB</v>
          </cell>
          <cell r="L2334" t="str">
            <v>CV A12</v>
          </cell>
          <cell r="M2334" t="str">
            <v>ASM 2</v>
          </cell>
          <cell r="N2334" t="str">
            <v>ASSEMBLY</v>
          </cell>
          <cell r="O2334" t="str">
            <v>A</v>
          </cell>
        </row>
        <row r="2335">
          <cell r="A2335">
            <v>11587</v>
          </cell>
          <cell r="B2335" t="str">
            <v>NUR KHOLIFAH</v>
          </cell>
          <cell r="C2335" t="str">
            <v>SAMI</v>
          </cell>
          <cell r="D2335" t="str">
            <v>OPT-307</v>
          </cell>
          <cell r="E2335">
            <v>40707</v>
          </cell>
          <cell r="F2335" t="str">
            <v>-</v>
          </cell>
          <cell r="G2335" t="str">
            <v>-</v>
          </cell>
          <cell r="H2335" t="str">
            <v>PRD</v>
          </cell>
          <cell r="I2335" t="str">
            <v>PRD</v>
          </cell>
          <cell r="J2335" t="str">
            <v>HONDA CRV</v>
          </cell>
          <cell r="K2335" t="str">
            <v>HONDA CRV CORD HM STOP LT SUB</v>
          </cell>
          <cell r="L2335" t="str">
            <v>CV A12</v>
          </cell>
          <cell r="M2335" t="str">
            <v>LQC</v>
          </cell>
          <cell r="N2335" t="str">
            <v>RELIEF</v>
          </cell>
          <cell r="O2335" t="str">
            <v>A</v>
          </cell>
        </row>
        <row r="2336">
          <cell r="A2336">
            <v>22053</v>
          </cell>
          <cell r="B2336" t="str">
            <v>SITI MAU'IDHOTUL MUKAROMAH</v>
          </cell>
          <cell r="C2336" t="str">
            <v>SAMI</v>
          </cell>
          <cell r="D2336" t="str">
            <v>OPT-547</v>
          </cell>
          <cell r="E2336">
            <v>43144</v>
          </cell>
          <cell r="F2336">
            <v>43172</v>
          </cell>
          <cell r="G2336">
            <v>43524</v>
          </cell>
          <cell r="H2336" t="str">
            <v>PRD</v>
          </cell>
          <cell r="I2336" t="str">
            <v>PRD</v>
          </cell>
          <cell r="J2336" t="str">
            <v>HONDA CRV</v>
          </cell>
          <cell r="K2336" t="str">
            <v>HONDA CRV CORD HM STOP LT SUB</v>
          </cell>
          <cell r="L2336" t="str">
            <v>CV A12</v>
          </cell>
          <cell r="M2336" t="str">
            <v>ASM 3</v>
          </cell>
          <cell r="N2336" t="str">
            <v>ASSEMBLY</v>
          </cell>
          <cell r="O2336" t="str">
            <v>A</v>
          </cell>
        </row>
        <row r="2337">
          <cell r="A2337">
            <v>23250</v>
          </cell>
          <cell r="B2337" t="str">
            <v>NURUL IFADA</v>
          </cell>
          <cell r="C2337" t="str">
            <v>SAMI</v>
          </cell>
          <cell r="D2337" t="str">
            <v>OPT-573</v>
          </cell>
          <cell r="E2337">
            <v>43421</v>
          </cell>
          <cell r="F2337">
            <v>43451</v>
          </cell>
          <cell r="G2337">
            <v>43830</v>
          </cell>
          <cell r="H2337" t="str">
            <v>PRD</v>
          </cell>
          <cell r="I2337" t="str">
            <v>PRD</v>
          </cell>
          <cell r="J2337" t="str">
            <v>HONDA CRV</v>
          </cell>
          <cell r="K2337" t="str">
            <v>HONDA CRV CORD HM STOP LT SUB</v>
          </cell>
          <cell r="L2337" t="str">
            <v>CV A12</v>
          </cell>
          <cell r="M2337" t="str">
            <v>ASM 4</v>
          </cell>
          <cell r="N2337" t="str">
            <v>ASSEMBLY</v>
          </cell>
          <cell r="O2337" t="str">
            <v>A</v>
          </cell>
        </row>
        <row r="2338">
          <cell r="A2338">
            <v>23404</v>
          </cell>
          <cell r="B2338" t="str">
            <v>DEVI NOVI SETYOYUNI ASTUTI</v>
          </cell>
          <cell r="C2338" t="str">
            <v>SAMI</v>
          </cell>
          <cell r="D2338" t="str">
            <v>OPT-575</v>
          </cell>
          <cell r="E2338">
            <v>43434</v>
          </cell>
          <cell r="F2338">
            <v>43464</v>
          </cell>
          <cell r="G2338">
            <v>43830</v>
          </cell>
          <cell r="H2338" t="str">
            <v>PRD</v>
          </cell>
          <cell r="I2338" t="str">
            <v>PRD</v>
          </cell>
          <cell r="J2338" t="str">
            <v>HONDA CRV</v>
          </cell>
          <cell r="K2338" t="str">
            <v>HONDA CRV CORD HM STOP LT SUB</v>
          </cell>
          <cell r="L2338" t="str">
            <v>CV A12</v>
          </cell>
          <cell r="M2338" t="str">
            <v>ASM</v>
          </cell>
          <cell r="N2338" t="str">
            <v>INTERNAL TRIAL</v>
          </cell>
          <cell r="O2338" t="str">
            <v>A</v>
          </cell>
        </row>
        <row r="2339">
          <cell r="A2339">
            <v>23407</v>
          </cell>
          <cell r="B2339" t="str">
            <v>DWIK NOVITA ANGGREINI</v>
          </cell>
          <cell r="C2339" t="str">
            <v>SAMI</v>
          </cell>
          <cell r="D2339" t="str">
            <v>OPT-575</v>
          </cell>
          <cell r="E2339">
            <v>43434</v>
          </cell>
          <cell r="F2339">
            <v>43464</v>
          </cell>
          <cell r="G2339">
            <v>43830</v>
          </cell>
          <cell r="H2339" t="str">
            <v>PRD</v>
          </cell>
          <cell r="I2339" t="str">
            <v>PRD</v>
          </cell>
          <cell r="J2339" t="str">
            <v>HONDA CRV</v>
          </cell>
          <cell r="K2339" t="str">
            <v>HONDA CRV CORD HM STOP LT SUB</v>
          </cell>
          <cell r="L2339" t="str">
            <v>CV A12</v>
          </cell>
          <cell r="M2339" t="str">
            <v>ASM</v>
          </cell>
          <cell r="N2339" t="str">
            <v>INTERNAL TRIAL</v>
          </cell>
          <cell r="O2339" t="str">
            <v>A</v>
          </cell>
        </row>
        <row r="2340">
          <cell r="A2340">
            <v>299</v>
          </cell>
          <cell r="B2340" t="str">
            <v>MUSDZALIFAH</v>
          </cell>
          <cell r="C2340" t="str">
            <v>SAMI</v>
          </cell>
          <cell r="D2340" t="str">
            <v>OPT-8</v>
          </cell>
          <cell r="E2340">
            <v>37718</v>
          </cell>
          <cell r="F2340" t="str">
            <v>-</v>
          </cell>
          <cell r="G2340" t="str">
            <v>-</v>
          </cell>
          <cell r="H2340" t="str">
            <v>PRD</v>
          </cell>
          <cell r="I2340" t="str">
            <v>PRD</v>
          </cell>
          <cell r="J2340" t="str">
            <v>HONDA CRV</v>
          </cell>
          <cell r="K2340" t="str">
            <v>HONDA CRV CORD HM STOP LT SUB</v>
          </cell>
          <cell r="L2340" t="str">
            <v>CV A12</v>
          </cell>
          <cell r="M2340" t="str">
            <v>SUB LINE CHO</v>
          </cell>
          <cell r="N2340" t="str">
            <v>GL</v>
          </cell>
          <cell r="O2340" t="str">
            <v>B</v>
          </cell>
        </row>
        <row r="2341">
          <cell r="A2341">
            <v>8646</v>
          </cell>
          <cell r="B2341" t="str">
            <v>LIA INDRAYUNINGSIH</v>
          </cell>
          <cell r="C2341" t="str">
            <v>SAMI</v>
          </cell>
          <cell r="D2341" t="str">
            <v>OPT-189</v>
          </cell>
          <cell r="E2341">
            <v>39878</v>
          </cell>
          <cell r="F2341" t="str">
            <v>-</v>
          </cell>
          <cell r="G2341" t="str">
            <v>-</v>
          </cell>
          <cell r="H2341" t="str">
            <v>PRD</v>
          </cell>
          <cell r="I2341" t="str">
            <v>PRD</v>
          </cell>
          <cell r="J2341" t="str">
            <v>HONDA CRV</v>
          </cell>
          <cell r="K2341" t="str">
            <v>HONDA CRV CORD HM STOP LT SUB</v>
          </cell>
          <cell r="L2341" t="str">
            <v>CV A12</v>
          </cell>
          <cell r="M2341" t="str">
            <v>LQC</v>
          </cell>
          <cell r="N2341" t="str">
            <v>RELIEF</v>
          </cell>
          <cell r="O2341" t="str">
            <v>B</v>
          </cell>
        </row>
        <row r="2342">
          <cell r="A2342">
            <v>21255</v>
          </cell>
          <cell r="B2342" t="str">
            <v>SULASTRININGSIH</v>
          </cell>
          <cell r="C2342" t="str">
            <v>SAMI</v>
          </cell>
          <cell r="D2342" t="str">
            <v>OPT-525</v>
          </cell>
          <cell r="E2342">
            <v>42893</v>
          </cell>
          <cell r="F2342">
            <v>43374</v>
          </cell>
          <cell r="G2342">
            <v>43738</v>
          </cell>
          <cell r="H2342" t="str">
            <v>PRD</v>
          </cell>
          <cell r="I2342" t="str">
            <v>PRD</v>
          </cell>
          <cell r="J2342" t="str">
            <v>HONDA CRV</v>
          </cell>
          <cell r="K2342" t="str">
            <v>HONDA CRV CORD HM STOP LT SUB</v>
          </cell>
          <cell r="L2342" t="str">
            <v>CV A12</v>
          </cell>
          <cell r="M2342" t="str">
            <v>ASM 3</v>
          </cell>
          <cell r="N2342" t="str">
            <v>ASSEMBLY</v>
          </cell>
          <cell r="O2342" t="str">
            <v>B</v>
          </cell>
        </row>
        <row r="2343">
          <cell r="A2343">
            <v>21976</v>
          </cell>
          <cell r="B2343" t="str">
            <v>NURUL KODARIYAH</v>
          </cell>
          <cell r="C2343" t="str">
            <v>SAMI</v>
          </cell>
          <cell r="D2343" t="str">
            <v>OPT-545</v>
          </cell>
          <cell r="E2343">
            <v>43116</v>
          </cell>
          <cell r="F2343">
            <v>43147</v>
          </cell>
          <cell r="G2343">
            <v>43524</v>
          </cell>
          <cell r="H2343" t="str">
            <v>PRD</v>
          </cell>
          <cell r="I2343" t="str">
            <v>PRD</v>
          </cell>
          <cell r="J2343" t="str">
            <v>HONDA CRV</v>
          </cell>
          <cell r="K2343" t="str">
            <v>HONDA CRV CORD HM STOP LT SUB</v>
          </cell>
          <cell r="L2343" t="str">
            <v>CV A12</v>
          </cell>
          <cell r="M2343" t="str">
            <v>ASM 5</v>
          </cell>
          <cell r="N2343" t="str">
            <v>ASSEMBLY</v>
          </cell>
          <cell r="O2343" t="str">
            <v>B</v>
          </cell>
        </row>
        <row r="2344">
          <cell r="A2344">
            <v>22029</v>
          </cell>
          <cell r="B2344" t="str">
            <v>INTAN KUNI ARIFAH</v>
          </cell>
          <cell r="C2344" t="str">
            <v>SAMI</v>
          </cell>
          <cell r="D2344" t="str">
            <v>OPT-547</v>
          </cell>
          <cell r="E2344">
            <v>43144</v>
          </cell>
          <cell r="F2344">
            <v>43172</v>
          </cell>
          <cell r="G2344">
            <v>43524</v>
          </cell>
          <cell r="H2344" t="str">
            <v>PRD</v>
          </cell>
          <cell r="I2344" t="str">
            <v>PRD</v>
          </cell>
          <cell r="J2344" t="str">
            <v>HONDA CRV</v>
          </cell>
          <cell r="K2344" t="str">
            <v>HONDA CRV CORD HM STOP LT SUB</v>
          </cell>
          <cell r="L2344" t="str">
            <v>CV A12</v>
          </cell>
          <cell r="M2344" t="str">
            <v>ASM 2</v>
          </cell>
          <cell r="N2344" t="str">
            <v>ASSEMBLY</v>
          </cell>
          <cell r="O2344" t="str">
            <v>B</v>
          </cell>
        </row>
        <row r="2345">
          <cell r="A2345">
            <v>23251</v>
          </cell>
          <cell r="B2345" t="str">
            <v>NURUL WAKHIDAH</v>
          </cell>
          <cell r="C2345" t="str">
            <v>SAMI</v>
          </cell>
          <cell r="D2345" t="str">
            <v>OPT-573</v>
          </cell>
          <cell r="E2345">
            <v>43421</v>
          </cell>
          <cell r="F2345">
            <v>43451</v>
          </cell>
          <cell r="G2345">
            <v>43830</v>
          </cell>
          <cell r="H2345" t="str">
            <v>PRD</v>
          </cell>
          <cell r="I2345" t="str">
            <v>PRD</v>
          </cell>
          <cell r="J2345" t="str">
            <v>HONDA CRV</v>
          </cell>
          <cell r="K2345" t="str">
            <v>HONDA CRV CORD HM STOP LT SUB</v>
          </cell>
          <cell r="L2345" t="str">
            <v>CV A12</v>
          </cell>
          <cell r="M2345" t="str">
            <v>ASM 4</v>
          </cell>
          <cell r="N2345" t="str">
            <v>ASSEMBLY</v>
          </cell>
          <cell r="O2345" t="str">
            <v>B</v>
          </cell>
        </row>
        <row r="2346">
          <cell r="A2346">
            <v>23394</v>
          </cell>
          <cell r="B2346" t="str">
            <v>ANA SUSILOWATI</v>
          </cell>
          <cell r="C2346" t="str">
            <v>SAMI</v>
          </cell>
          <cell r="D2346" t="str">
            <v>OPT-575</v>
          </cell>
          <cell r="E2346">
            <v>43434</v>
          </cell>
          <cell r="F2346">
            <v>43464</v>
          </cell>
          <cell r="G2346">
            <v>43830</v>
          </cell>
          <cell r="H2346" t="str">
            <v>PRD</v>
          </cell>
          <cell r="I2346" t="str">
            <v>PRD</v>
          </cell>
          <cell r="J2346" t="str">
            <v>HONDA CRV</v>
          </cell>
          <cell r="K2346" t="str">
            <v>HONDA CRV CORD HM STOP LT SUB</v>
          </cell>
          <cell r="L2346" t="str">
            <v>CV A12</v>
          </cell>
          <cell r="M2346" t="str">
            <v>ASM 01</v>
          </cell>
          <cell r="N2346" t="str">
            <v>ASSEMBLY</v>
          </cell>
          <cell r="O2346" t="str">
            <v>B</v>
          </cell>
        </row>
        <row r="2347">
          <cell r="A2347">
            <v>1168</v>
          </cell>
          <cell r="B2347" t="str">
            <v>EVIN MEI SETA</v>
          </cell>
          <cell r="C2347" t="str">
            <v>SAMI</v>
          </cell>
          <cell r="D2347" t="str">
            <v>OPT-29</v>
          </cell>
          <cell r="E2347">
            <v>37907</v>
          </cell>
          <cell r="F2347" t="str">
            <v>-</v>
          </cell>
          <cell r="G2347" t="str">
            <v>-</v>
          </cell>
          <cell r="H2347" t="str">
            <v>PRD</v>
          </cell>
          <cell r="I2347" t="str">
            <v>PRD</v>
          </cell>
          <cell r="J2347" t="str">
            <v>HONDA N-VAN</v>
          </cell>
          <cell r="K2347" t="str">
            <v>HONDA ENGINE ROOM L/R CABIN</v>
          </cell>
          <cell r="L2347" t="str">
            <v>CV B01</v>
          </cell>
          <cell r="M2347" t="str">
            <v>SUB LINE CHO</v>
          </cell>
          <cell r="N2347" t="str">
            <v>GL</v>
          </cell>
          <cell r="O2347" t="str">
            <v>A</v>
          </cell>
        </row>
        <row r="2348">
          <cell r="A2348">
            <v>9058</v>
          </cell>
          <cell r="B2348" t="str">
            <v>ANITA VIDYANWATI</v>
          </cell>
          <cell r="C2348" t="str">
            <v>SAMI</v>
          </cell>
          <cell r="D2348" t="str">
            <v>OPT-203</v>
          </cell>
          <cell r="E2348">
            <v>39993</v>
          </cell>
          <cell r="F2348" t="str">
            <v>-</v>
          </cell>
          <cell r="G2348" t="str">
            <v>-</v>
          </cell>
          <cell r="H2348" t="str">
            <v>PRD</v>
          </cell>
          <cell r="I2348" t="str">
            <v>PRD</v>
          </cell>
          <cell r="J2348" t="str">
            <v>HONDA N-VAN</v>
          </cell>
          <cell r="K2348" t="str">
            <v>HONDA ENGINE ROOM L/R CABIN</v>
          </cell>
          <cell r="L2348" t="str">
            <v>CV B01</v>
          </cell>
          <cell r="M2348" t="str">
            <v>VISUAL</v>
          </cell>
          <cell r="N2348" t="str">
            <v>VISUAL INSPECTION</v>
          </cell>
          <cell r="O2348" t="str">
            <v>A</v>
          </cell>
        </row>
        <row r="2349">
          <cell r="A2349">
            <v>10320</v>
          </cell>
          <cell r="B2349" t="str">
            <v>NAIMATUS SALAFIYAH</v>
          </cell>
          <cell r="C2349" t="str">
            <v>SAMI</v>
          </cell>
          <cell r="D2349" t="str">
            <v>OPT-265</v>
          </cell>
          <cell r="E2349">
            <v>40511</v>
          </cell>
          <cell r="F2349" t="str">
            <v>-</v>
          </cell>
          <cell r="G2349" t="str">
            <v>-</v>
          </cell>
          <cell r="H2349" t="str">
            <v>PRD</v>
          </cell>
          <cell r="I2349" t="str">
            <v>PRD</v>
          </cell>
          <cell r="J2349" t="str">
            <v>HONDA N-VAN</v>
          </cell>
          <cell r="K2349" t="str">
            <v>HONDA ENGINE ROOM L/R CABIN</v>
          </cell>
          <cell r="L2349" t="str">
            <v>CV B01</v>
          </cell>
          <cell r="M2349" t="str">
            <v>CHECKER</v>
          </cell>
          <cell r="N2349" t="str">
            <v>ELECTRICAL INSPECTION</v>
          </cell>
          <cell r="O2349" t="str">
            <v>A</v>
          </cell>
        </row>
        <row r="2350">
          <cell r="A2350">
            <v>12237</v>
          </cell>
          <cell r="B2350" t="str">
            <v>AHMAD NUR WAHID</v>
          </cell>
          <cell r="C2350" t="str">
            <v>SAMI</v>
          </cell>
          <cell r="D2350" t="str">
            <v>OPT-316</v>
          </cell>
          <cell r="E2350">
            <v>40805</v>
          </cell>
          <cell r="F2350" t="str">
            <v>-</v>
          </cell>
          <cell r="G2350" t="str">
            <v>-</v>
          </cell>
          <cell r="H2350" t="str">
            <v>PRD</v>
          </cell>
          <cell r="I2350" t="str">
            <v>PRD</v>
          </cell>
          <cell r="J2350" t="str">
            <v>HONDA N-VAN</v>
          </cell>
          <cell r="K2350" t="str">
            <v>HONDA ENGINE ROOM L/R CABIN</v>
          </cell>
          <cell r="L2350" t="str">
            <v>CV B01</v>
          </cell>
          <cell r="M2350" t="str">
            <v>LQC</v>
          </cell>
          <cell r="N2350" t="str">
            <v>RELIEF</v>
          </cell>
          <cell r="O2350" t="str">
            <v>A</v>
          </cell>
        </row>
        <row r="2351">
          <cell r="A2351">
            <v>12339</v>
          </cell>
          <cell r="B2351" t="str">
            <v>USWATUN KHASANAH</v>
          </cell>
          <cell r="C2351" t="str">
            <v>SAMI</v>
          </cell>
          <cell r="D2351" t="str">
            <v>OPT-316</v>
          </cell>
          <cell r="E2351">
            <v>40805</v>
          </cell>
          <cell r="F2351" t="str">
            <v>-</v>
          </cell>
          <cell r="G2351" t="str">
            <v>-</v>
          </cell>
          <cell r="H2351" t="str">
            <v>PRD</v>
          </cell>
          <cell r="I2351" t="str">
            <v>PRD</v>
          </cell>
          <cell r="J2351" t="str">
            <v>HONDA N-VAN</v>
          </cell>
          <cell r="K2351" t="str">
            <v>HONDA ENGINE ROOM L/R CABIN</v>
          </cell>
          <cell r="L2351" t="str">
            <v>CV B01</v>
          </cell>
          <cell r="M2351" t="str">
            <v>T/P 7</v>
          </cell>
          <cell r="N2351" t="str">
            <v>ASSEMBLY</v>
          </cell>
          <cell r="O2351" t="str">
            <v>A</v>
          </cell>
        </row>
        <row r="2352">
          <cell r="A2352">
            <v>20493</v>
          </cell>
          <cell r="B2352" t="str">
            <v>LULUK NUR WIGAYATI</v>
          </cell>
          <cell r="C2352" t="str">
            <v>SAMI</v>
          </cell>
          <cell r="D2352" t="str">
            <v>OPT-504</v>
          </cell>
          <cell r="E2352">
            <v>42634</v>
          </cell>
          <cell r="F2352">
            <v>43132</v>
          </cell>
          <cell r="G2352">
            <v>43496</v>
          </cell>
          <cell r="H2352" t="str">
            <v>PRD</v>
          </cell>
          <cell r="I2352" t="str">
            <v>PRD</v>
          </cell>
          <cell r="J2352" t="str">
            <v>HONDA N-VAN</v>
          </cell>
          <cell r="K2352" t="str">
            <v>HONDA ENGINE ROOM L/R CABIN</v>
          </cell>
          <cell r="L2352" t="str">
            <v>CV B01</v>
          </cell>
          <cell r="M2352" t="str">
            <v>T/P 4.1</v>
          </cell>
          <cell r="N2352" t="str">
            <v>ASSEMBLY</v>
          </cell>
          <cell r="O2352" t="str">
            <v>A</v>
          </cell>
        </row>
        <row r="2353">
          <cell r="A2353">
            <v>20630</v>
          </cell>
          <cell r="B2353" t="str">
            <v xml:space="preserve">NURUL AINUL FITRI </v>
          </cell>
          <cell r="C2353" t="str">
            <v>SAMI</v>
          </cell>
          <cell r="D2353" t="str">
            <v>OPT-505</v>
          </cell>
          <cell r="E2353">
            <v>42639</v>
          </cell>
          <cell r="F2353">
            <v>43132</v>
          </cell>
          <cell r="G2353">
            <v>43496</v>
          </cell>
          <cell r="H2353" t="str">
            <v>PRD</v>
          </cell>
          <cell r="I2353" t="str">
            <v>PRD</v>
          </cell>
          <cell r="J2353" t="str">
            <v>HONDA N-VAN</v>
          </cell>
          <cell r="K2353" t="str">
            <v>HONDA ENGINE ROOM L/R CABIN</v>
          </cell>
          <cell r="L2353" t="str">
            <v>CV B01</v>
          </cell>
          <cell r="M2353" t="str">
            <v>T/P 1.2</v>
          </cell>
          <cell r="N2353" t="str">
            <v>ASSEMBLY</v>
          </cell>
          <cell r="O2353" t="str">
            <v>A</v>
          </cell>
        </row>
        <row r="2354">
          <cell r="A2354">
            <v>20631</v>
          </cell>
          <cell r="B2354" t="str">
            <v xml:space="preserve">NURUL AISAH </v>
          </cell>
          <cell r="C2354" t="str">
            <v>SAMI</v>
          </cell>
          <cell r="D2354" t="str">
            <v>OPT-505</v>
          </cell>
          <cell r="E2354">
            <v>42639</v>
          </cell>
          <cell r="F2354">
            <v>43132</v>
          </cell>
          <cell r="G2354">
            <v>43496</v>
          </cell>
          <cell r="H2354" t="str">
            <v>PRD</v>
          </cell>
          <cell r="I2354" t="str">
            <v>PRD</v>
          </cell>
          <cell r="J2354" t="str">
            <v>HONDA N-VAN</v>
          </cell>
          <cell r="K2354" t="str">
            <v>HONDA ENGINE ROOM L/R CABIN</v>
          </cell>
          <cell r="L2354" t="str">
            <v>CV B01</v>
          </cell>
          <cell r="M2354" t="str">
            <v>T/P 1.1</v>
          </cell>
          <cell r="N2354" t="str">
            <v>ASSEMBLY</v>
          </cell>
          <cell r="O2354" t="str">
            <v>A</v>
          </cell>
        </row>
        <row r="2355">
          <cell r="A2355">
            <v>20685</v>
          </cell>
          <cell r="B2355" t="str">
            <v>YARSISKA OCTAVIANI</v>
          </cell>
          <cell r="C2355" t="str">
            <v>SAMI</v>
          </cell>
          <cell r="D2355" t="str">
            <v>OPT-505</v>
          </cell>
          <cell r="E2355">
            <v>42639</v>
          </cell>
          <cell r="F2355">
            <v>43132</v>
          </cell>
          <cell r="G2355">
            <v>43496</v>
          </cell>
          <cell r="H2355" t="str">
            <v>PRD</v>
          </cell>
          <cell r="I2355" t="str">
            <v>PRD</v>
          </cell>
          <cell r="J2355" t="str">
            <v>HONDA N-VAN</v>
          </cell>
          <cell r="K2355" t="str">
            <v>HONDA ENGINE ROOM L/R CABIN</v>
          </cell>
          <cell r="L2355" t="str">
            <v>CV B01</v>
          </cell>
          <cell r="M2355" t="str">
            <v>S/A 1</v>
          </cell>
          <cell r="N2355" t="str">
            <v>SUB ASSY</v>
          </cell>
          <cell r="O2355" t="str">
            <v>A</v>
          </cell>
        </row>
        <row r="2356">
          <cell r="A2356">
            <v>20830</v>
          </cell>
          <cell r="B2356" t="str">
            <v>AVIA SETIANINGSIH</v>
          </cell>
          <cell r="C2356" t="str">
            <v>SAMI</v>
          </cell>
          <cell r="D2356" t="str">
            <v>OPT-509</v>
          </cell>
          <cell r="E2356">
            <v>42656</v>
          </cell>
          <cell r="F2356">
            <v>43132</v>
          </cell>
          <cell r="G2356">
            <v>43496</v>
          </cell>
          <cell r="H2356" t="str">
            <v>PRD</v>
          </cell>
          <cell r="I2356" t="str">
            <v>PRD</v>
          </cell>
          <cell r="J2356" t="str">
            <v>HONDA N-VAN</v>
          </cell>
          <cell r="K2356" t="str">
            <v>HONDA ENGINE ROOM L/R CABIN</v>
          </cell>
          <cell r="L2356" t="str">
            <v>CV B01</v>
          </cell>
          <cell r="M2356" t="str">
            <v>S/A 3</v>
          </cell>
          <cell r="N2356" t="str">
            <v>SUB ASSY</v>
          </cell>
          <cell r="O2356" t="str">
            <v>A</v>
          </cell>
        </row>
        <row r="2357">
          <cell r="A2357">
            <v>20834</v>
          </cell>
          <cell r="B2357" t="str">
            <v>HIDAYATUR ROHMANIYAH</v>
          </cell>
          <cell r="C2357" t="str">
            <v>SAMI</v>
          </cell>
          <cell r="D2357" t="str">
            <v>OPT-509</v>
          </cell>
          <cell r="E2357">
            <v>42656</v>
          </cell>
          <cell r="F2357">
            <v>43132</v>
          </cell>
          <cell r="G2357">
            <v>43496</v>
          </cell>
          <cell r="H2357" t="str">
            <v>PRD</v>
          </cell>
          <cell r="I2357" t="str">
            <v>PRD</v>
          </cell>
          <cell r="J2357" t="str">
            <v>HONDA N-VAN</v>
          </cell>
          <cell r="K2357" t="str">
            <v>HONDA ENGINE ROOM L/R CABIN</v>
          </cell>
          <cell r="L2357" t="str">
            <v>CV B01</v>
          </cell>
          <cell r="M2357" t="str">
            <v>S/A 2</v>
          </cell>
          <cell r="N2357" t="str">
            <v>SUB ASSY</v>
          </cell>
          <cell r="O2357" t="str">
            <v>A</v>
          </cell>
        </row>
        <row r="2358">
          <cell r="A2358">
            <v>20842</v>
          </cell>
          <cell r="B2358" t="str">
            <v>RISKA ANGGRAINI</v>
          </cell>
          <cell r="C2358" t="str">
            <v>SAMI</v>
          </cell>
          <cell r="D2358" t="str">
            <v>OPT-509</v>
          </cell>
          <cell r="E2358">
            <v>42656</v>
          </cell>
          <cell r="F2358">
            <v>43132</v>
          </cell>
          <cell r="G2358">
            <v>43496</v>
          </cell>
          <cell r="H2358" t="str">
            <v>PRD</v>
          </cell>
          <cell r="I2358" t="str">
            <v>PRD</v>
          </cell>
          <cell r="J2358" t="str">
            <v>HONDA N-VAN</v>
          </cell>
          <cell r="K2358" t="str">
            <v>HONDA ENGINE ROOM L/R CABIN</v>
          </cell>
          <cell r="L2358" t="str">
            <v>CV B01</v>
          </cell>
          <cell r="M2358" t="str">
            <v>S/A 6</v>
          </cell>
          <cell r="N2358" t="str">
            <v>SUB ASSY</v>
          </cell>
          <cell r="O2358" t="str">
            <v>A</v>
          </cell>
        </row>
        <row r="2359">
          <cell r="A2359">
            <v>20927</v>
          </cell>
          <cell r="B2359" t="str">
            <v>ANAWATI</v>
          </cell>
          <cell r="C2359" t="str">
            <v>SAMI</v>
          </cell>
          <cell r="D2359" t="str">
            <v>OPT-511</v>
          </cell>
          <cell r="E2359">
            <v>42667</v>
          </cell>
          <cell r="F2359">
            <v>43160</v>
          </cell>
          <cell r="G2359">
            <v>43524</v>
          </cell>
          <cell r="H2359" t="str">
            <v>PRD</v>
          </cell>
          <cell r="I2359" t="str">
            <v>PRD</v>
          </cell>
          <cell r="J2359" t="str">
            <v>HONDA N-VAN</v>
          </cell>
          <cell r="K2359" t="str">
            <v>HONDA ENGINE ROOM L/R CABIN</v>
          </cell>
          <cell r="L2359" t="str">
            <v>CV B01</v>
          </cell>
          <cell r="M2359" t="str">
            <v>T/P 5</v>
          </cell>
          <cell r="N2359" t="str">
            <v>ASSEMBLY</v>
          </cell>
          <cell r="O2359" t="str">
            <v>A</v>
          </cell>
        </row>
        <row r="2360">
          <cell r="A2360">
            <v>21244</v>
          </cell>
          <cell r="B2360" t="str">
            <v>NI'MATUL HIDAYAH</v>
          </cell>
          <cell r="C2360" t="str">
            <v>SAMI</v>
          </cell>
          <cell r="D2360" t="str">
            <v>OPT-525</v>
          </cell>
          <cell r="E2360">
            <v>42893</v>
          </cell>
          <cell r="F2360">
            <v>43374</v>
          </cell>
          <cell r="G2360">
            <v>43738</v>
          </cell>
          <cell r="H2360" t="str">
            <v>PRD</v>
          </cell>
          <cell r="I2360" t="str">
            <v>PRD</v>
          </cell>
          <cell r="J2360" t="str">
            <v>HONDA N-VAN</v>
          </cell>
          <cell r="K2360" t="str">
            <v>HONDA ENGINE ROOM L/R CABIN</v>
          </cell>
          <cell r="L2360" t="str">
            <v>CV B01</v>
          </cell>
          <cell r="M2360" t="str">
            <v>T/P 3</v>
          </cell>
          <cell r="N2360" t="str">
            <v>ASSEMBLY</v>
          </cell>
          <cell r="O2360" t="str">
            <v>A</v>
          </cell>
        </row>
        <row r="2361">
          <cell r="A2361">
            <v>21248</v>
          </cell>
          <cell r="B2361" t="str">
            <v>NURUL NIKMAH</v>
          </cell>
          <cell r="C2361" t="str">
            <v>SAMI</v>
          </cell>
          <cell r="D2361" t="str">
            <v>OPT-525</v>
          </cell>
          <cell r="E2361">
            <v>42893</v>
          </cell>
          <cell r="F2361">
            <v>43374</v>
          </cell>
          <cell r="G2361">
            <v>43738</v>
          </cell>
          <cell r="H2361" t="str">
            <v>PRD</v>
          </cell>
          <cell r="I2361" t="str">
            <v>PRD</v>
          </cell>
          <cell r="J2361" t="str">
            <v>HONDA N-VAN</v>
          </cell>
          <cell r="K2361" t="str">
            <v>HONDA ENGINE ROOM L/R CABIN</v>
          </cell>
          <cell r="L2361" t="str">
            <v>CV B01</v>
          </cell>
          <cell r="M2361" t="str">
            <v>S/T 1.2</v>
          </cell>
          <cell r="N2361" t="str">
            <v>ASSEMBLY</v>
          </cell>
          <cell r="O2361" t="str">
            <v>A</v>
          </cell>
        </row>
        <row r="2362">
          <cell r="A2362">
            <v>21257</v>
          </cell>
          <cell r="B2362" t="str">
            <v>TRI HARIYANTI</v>
          </cell>
          <cell r="C2362" t="str">
            <v>SAMI</v>
          </cell>
          <cell r="D2362" t="str">
            <v>OPT-525</v>
          </cell>
          <cell r="E2362">
            <v>42893</v>
          </cell>
          <cell r="F2362">
            <v>43374</v>
          </cell>
          <cell r="G2362">
            <v>43738</v>
          </cell>
          <cell r="H2362" t="str">
            <v>PRD</v>
          </cell>
          <cell r="I2362" t="str">
            <v>PRD</v>
          </cell>
          <cell r="J2362" t="str">
            <v>HONDA N-VAN</v>
          </cell>
          <cell r="K2362" t="str">
            <v>HONDA ENGINE ROOM L/R CABIN</v>
          </cell>
          <cell r="L2362" t="str">
            <v>CV B01</v>
          </cell>
          <cell r="M2362" t="str">
            <v>T/P 6</v>
          </cell>
          <cell r="N2362" t="str">
            <v>ASSEMBLY</v>
          </cell>
          <cell r="O2362" t="str">
            <v>A</v>
          </cell>
        </row>
        <row r="2363">
          <cell r="A2363">
            <v>21315</v>
          </cell>
          <cell r="B2363" t="str">
            <v>SITI DEWI NOVIASARI</v>
          </cell>
          <cell r="C2363" t="str">
            <v>SAMI</v>
          </cell>
          <cell r="D2363" t="str">
            <v>OPT-530</v>
          </cell>
          <cell r="E2363">
            <v>43010</v>
          </cell>
          <cell r="F2363">
            <v>43405</v>
          </cell>
          <cell r="G2363">
            <v>43769</v>
          </cell>
          <cell r="H2363" t="str">
            <v>PRD</v>
          </cell>
          <cell r="I2363" t="str">
            <v>PRD</v>
          </cell>
          <cell r="J2363" t="str">
            <v>HONDA N-VAN</v>
          </cell>
          <cell r="K2363" t="str">
            <v>HONDA ENGINE ROOM L/R CABIN</v>
          </cell>
          <cell r="L2363" t="str">
            <v>CV B01</v>
          </cell>
          <cell r="M2363" t="str">
            <v>T/P 4.2</v>
          </cell>
          <cell r="N2363" t="str">
            <v>ASSEMBLY</v>
          </cell>
          <cell r="O2363" t="str">
            <v>A</v>
          </cell>
        </row>
        <row r="2364">
          <cell r="A2364">
            <v>21390</v>
          </cell>
          <cell r="B2364" t="str">
            <v>GALUH PUSPA RIYANTI</v>
          </cell>
          <cell r="C2364" t="str">
            <v>SAMI</v>
          </cell>
          <cell r="D2364" t="str">
            <v>OPT-532</v>
          </cell>
          <cell r="E2364">
            <v>43018</v>
          </cell>
          <cell r="F2364">
            <v>43405</v>
          </cell>
          <cell r="G2364">
            <v>43769</v>
          </cell>
          <cell r="H2364" t="str">
            <v>PRD</v>
          </cell>
          <cell r="I2364" t="str">
            <v>PRD</v>
          </cell>
          <cell r="J2364" t="str">
            <v>HONDA N-VAN</v>
          </cell>
          <cell r="K2364" t="str">
            <v>HONDA ENGINE ROOM L/R CABIN</v>
          </cell>
          <cell r="L2364" t="str">
            <v>CV B01</v>
          </cell>
          <cell r="M2364" t="str">
            <v>T/P 2</v>
          </cell>
          <cell r="N2364" t="str">
            <v>ASSEMBLY</v>
          </cell>
          <cell r="O2364" t="str">
            <v>A</v>
          </cell>
        </row>
        <row r="2365">
          <cell r="A2365">
            <v>21482</v>
          </cell>
          <cell r="B2365" t="str">
            <v>ERNA KHUSNIASARI</v>
          </cell>
          <cell r="C2365" t="str">
            <v>SAMI</v>
          </cell>
          <cell r="D2365" t="str">
            <v>OPT-534</v>
          </cell>
          <cell r="E2365">
            <v>43031</v>
          </cell>
          <cell r="F2365">
            <v>43435</v>
          </cell>
          <cell r="G2365">
            <v>43799</v>
          </cell>
          <cell r="H2365" t="str">
            <v>PRD</v>
          </cell>
          <cell r="I2365" t="str">
            <v>PRD</v>
          </cell>
          <cell r="J2365" t="str">
            <v>HONDA N-VAN</v>
          </cell>
          <cell r="K2365" t="str">
            <v>HONDA ENGINE ROOM L/R CABIN</v>
          </cell>
          <cell r="L2365" t="str">
            <v>CV B01</v>
          </cell>
          <cell r="M2365" t="str">
            <v>CHECKER</v>
          </cell>
          <cell r="N2365" t="str">
            <v>ELECTRICAL INSPECTION</v>
          </cell>
          <cell r="O2365" t="str">
            <v>A</v>
          </cell>
        </row>
        <row r="2366">
          <cell r="A2366">
            <v>21515</v>
          </cell>
          <cell r="B2366" t="str">
            <v>ANIS KURNI LATIFA</v>
          </cell>
          <cell r="C2366" t="str">
            <v>SAMI</v>
          </cell>
          <cell r="D2366" t="str">
            <v>OPT-535</v>
          </cell>
          <cell r="E2366">
            <v>43045</v>
          </cell>
          <cell r="F2366">
            <v>43435</v>
          </cell>
          <cell r="G2366">
            <v>43799</v>
          </cell>
          <cell r="H2366" t="str">
            <v>PRD</v>
          </cell>
          <cell r="I2366" t="str">
            <v>PRD</v>
          </cell>
          <cell r="J2366" t="str">
            <v>HONDA N-VAN</v>
          </cell>
          <cell r="K2366" t="str">
            <v>HONDA ENGINE ROOM L/R CABIN</v>
          </cell>
          <cell r="L2366" t="str">
            <v>CV B01</v>
          </cell>
          <cell r="M2366" t="str">
            <v>S/T 2.1</v>
          </cell>
          <cell r="N2366" t="str">
            <v>ASSEMBLY</v>
          </cell>
          <cell r="O2366" t="str">
            <v>A</v>
          </cell>
        </row>
        <row r="2367">
          <cell r="A2367">
            <v>21592</v>
          </cell>
          <cell r="B2367" t="str">
            <v>ITA LISTARI</v>
          </cell>
          <cell r="C2367" t="str">
            <v>SAMI</v>
          </cell>
          <cell r="D2367" t="str">
            <v>OPT-536</v>
          </cell>
          <cell r="E2367">
            <v>43048</v>
          </cell>
          <cell r="F2367">
            <v>43435</v>
          </cell>
          <cell r="G2367">
            <v>43799</v>
          </cell>
          <cell r="H2367" t="str">
            <v>PRD</v>
          </cell>
          <cell r="I2367" t="str">
            <v>PRD</v>
          </cell>
          <cell r="J2367" t="str">
            <v>HONDA N-VAN</v>
          </cell>
          <cell r="K2367" t="str">
            <v>HONDA ENGINE ROOM L/R CABIN</v>
          </cell>
          <cell r="L2367" t="str">
            <v>CV B01</v>
          </cell>
          <cell r="M2367" t="str">
            <v>CIRCUIT SUPPLIER</v>
          </cell>
          <cell r="N2367" t="str">
            <v>CIRCUIT SUPPLY</v>
          </cell>
          <cell r="O2367" t="str">
            <v>A</v>
          </cell>
        </row>
        <row r="2368">
          <cell r="A2368">
            <v>21705</v>
          </cell>
          <cell r="B2368" t="str">
            <v>AYU WERDININGTYAS</v>
          </cell>
          <cell r="C2368" t="str">
            <v>SAMI</v>
          </cell>
          <cell r="D2368" t="str">
            <v>OPT-539</v>
          </cell>
          <cell r="E2368">
            <v>43087</v>
          </cell>
          <cell r="F2368">
            <v>43118</v>
          </cell>
          <cell r="G2368">
            <v>43496</v>
          </cell>
          <cell r="H2368" t="str">
            <v>PRD</v>
          </cell>
          <cell r="I2368" t="str">
            <v>PRD</v>
          </cell>
          <cell r="J2368" t="str">
            <v>HONDA N-VAN</v>
          </cell>
          <cell r="K2368" t="str">
            <v>HONDA ENGINE ROOM L/R CABIN</v>
          </cell>
          <cell r="L2368" t="str">
            <v>CV B01</v>
          </cell>
          <cell r="M2368" t="str">
            <v>MATERIAL SUPPLY</v>
          </cell>
          <cell r="N2368" t="str">
            <v>MATERIAL SUPPLY</v>
          </cell>
          <cell r="O2368" t="str">
            <v>A</v>
          </cell>
        </row>
        <row r="2369">
          <cell r="A2369">
            <v>21743</v>
          </cell>
          <cell r="B2369" t="str">
            <v>PUTRI PUJI WINARTI</v>
          </cell>
          <cell r="C2369" t="str">
            <v>SAMI</v>
          </cell>
          <cell r="D2369" t="str">
            <v>OPT-539</v>
          </cell>
          <cell r="E2369">
            <v>43087</v>
          </cell>
          <cell r="F2369">
            <v>43118</v>
          </cell>
          <cell r="G2369">
            <v>43496</v>
          </cell>
          <cell r="H2369" t="str">
            <v>PRD</v>
          </cell>
          <cell r="I2369" t="str">
            <v>PRD</v>
          </cell>
          <cell r="J2369" t="str">
            <v>HONDA N-VAN</v>
          </cell>
          <cell r="K2369" t="str">
            <v>HONDA ENGINE ROOM L/R CABIN</v>
          </cell>
          <cell r="L2369" t="str">
            <v>CV B01</v>
          </cell>
          <cell r="M2369" t="str">
            <v>T/P 8</v>
          </cell>
          <cell r="N2369" t="str">
            <v>ASSEMBLY</v>
          </cell>
          <cell r="O2369" t="str">
            <v>A</v>
          </cell>
        </row>
        <row r="2370">
          <cell r="A2370">
            <v>21894</v>
          </cell>
          <cell r="B2370" t="str">
            <v>MUHAMMAD IRFAN ALI</v>
          </cell>
          <cell r="C2370" t="str">
            <v>SAMI</v>
          </cell>
          <cell r="D2370" t="str">
            <v>OPT-542</v>
          </cell>
          <cell r="E2370">
            <v>43103</v>
          </cell>
          <cell r="F2370">
            <v>43134</v>
          </cell>
          <cell r="G2370">
            <v>43496</v>
          </cell>
          <cell r="H2370" t="str">
            <v>PRD</v>
          </cell>
          <cell r="I2370" t="str">
            <v>PRD</v>
          </cell>
          <cell r="J2370" t="str">
            <v>HONDA N-VAN</v>
          </cell>
          <cell r="K2370" t="str">
            <v>HONDA ENGINE ROOM L/R CABIN</v>
          </cell>
          <cell r="L2370" t="str">
            <v>CV B01</v>
          </cell>
          <cell r="M2370" t="str">
            <v>CHECK FUSE</v>
          </cell>
          <cell r="N2370" t="str">
            <v>ELECTRICAL INSPECTION</v>
          </cell>
          <cell r="O2370" t="str">
            <v>A</v>
          </cell>
        </row>
        <row r="2371">
          <cell r="A2371">
            <v>21903</v>
          </cell>
          <cell r="B2371" t="str">
            <v>SILVESTER EKO KRISTIANTORO</v>
          </cell>
          <cell r="C2371" t="str">
            <v>SAMI</v>
          </cell>
          <cell r="D2371" t="str">
            <v>OPT-542</v>
          </cell>
          <cell r="E2371">
            <v>43103</v>
          </cell>
          <cell r="F2371">
            <v>43134</v>
          </cell>
          <cell r="G2371">
            <v>43496</v>
          </cell>
          <cell r="H2371" t="str">
            <v>PRD</v>
          </cell>
          <cell r="I2371" t="str">
            <v>PRD</v>
          </cell>
          <cell r="J2371" t="str">
            <v>HONDA N-VAN</v>
          </cell>
          <cell r="K2371" t="str">
            <v>HONDA ENGINE ROOM L/R CABIN</v>
          </cell>
          <cell r="L2371" t="str">
            <v>CV B01</v>
          </cell>
          <cell r="M2371" t="str">
            <v>EXPANDER GROMMET</v>
          </cell>
          <cell r="N2371" t="str">
            <v>FINISHING &amp; GROMMET INJECTION</v>
          </cell>
          <cell r="O2371" t="str">
            <v>A</v>
          </cell>
        </row>
        <row r="2372">
          <cell r="A2372">
            <v>21954</v>
          </cell>
          <cell r="B2372" t="str">
            <v>EVI ROKHAYATI</v>
          </cell>
          <cell r="C2372" t="str">
            <v>SAMI</v>
          </cell>
          <cell r="D2372" t="str">
            <v>OPT-545</v>
          </cell>
          <cell r="E2372">
            <v>43116</v>
          </cell>
          <cell r="F2372">
            <v>43147</v>
          </cell>
          <cell r="G2372">
            <v>43524</v>
          </cell>
          <cell r="H2372" t="str">
            <v>PRD</v>
          </cell>
          <cell r="I2372" t="str">
            <v>PRD</v>
          </cell>
          <cell r="J2372" t="str">
            <v>HONDA N-VAN</v>
          </cell>
          <cell r="K2372" t="str">
            <v>HONDA ENGINE ROOM L/R CABIN</v>
          </cell>
          <cell r="L2372" t="str">
            <v>CV B01</v>
          </cell>
          <cell r="M2372" t="str">
            <v>S/A 4</v>
          </cell>
          <cell r="N2372" t="str">
            <v>SUB ASSY</v>
          </cell>
          <cell r="O2372" t="str">
            <v>A</v>
          </cell>
        </row>
        <row r="2373">
          <cell r="A2373">
            <v>21959</v>
          </cell>
          <cell r="B2373" t="str">
            <v>LILI DANI</v>
          </cell>
          <cell r="C2373" t="str">
            <v>SAMI</v>
          </cell>
          <cell r="D2373" t="str">
            <v>OPT-545</v>
          </cell>
          <cell r="E2373">
            <v>43116</v>
          </cell>
          <cell r="F2373">
            <v>43147</v>
          </cell>
          <cell r="G2373">
            <v>43524</v>
          </cell>
          <cell r="H2373" t="str">
            <v>PRD</v>
          </cell>
          <cell r="I2373" t="str">
            <v>PRD</v>
          </cell>
          <cell r="J2373" t="str">
            <v>HONDA N-VAN</v>
          </cell>
          <cell r="K2373" t="str">
            <v>HONDA ENGINE ROOM L/R CABIN</v>
          </cell>
          <cell r="L2373" t="str">
            <v>CV B01</v>
          </cell>
          <cell r="M2373" t="str">
            <v>MATERIAL SUPPLY</v>
          </cell>
          <cell r="N2373" t="str">
            <v>MATERIAL SUPPLY</v>
          </cell>
          <cell r="O2373" t="str">
            <v>A</v>
          </cell>
        </row>
        <row r="2374">
          <cell r="A2374">
            <v>22209</v>
          </cell>
          <cell r="B2374" t="str">
            <v>VITA MELATI</v>
          </cell>
          <cell r="C2374" t="str">
            <v>SAMI</v>
          </cell>
          <cell r="D2374" t="str">
            <v>OPT-550</v>
          </cell>
          <cell r="E2374">
            <v>43158</v>
          </cell>
          <cell r="F2374">
            <v>43186</v>
          </cell>
          <cell r="G2374">
            <v>43555</v>
          </cell>
          <cell r="H2374" t="str">
            <v>PRD</v>
          </cell>
          <cell r="I2374" t="str">
            <v>PRD</v>
          </cell>
          <cell r="J2374" t="str">
            <v>HONDA N-VAN</v>
          </cell>
          <cell r="K2374" t="str">
            <v>HONDA ENGINE ROOM L/R CABIN</v>
          </cell>
          <cell r="L2374" t="str">
            <v>CV B01</v>
          </cell>
          <cell r="M2374" t="str">
            <v>ASM 1</v>
          </cell>
          <cell r="N2374" t="str">
            <v>INTERNAL TRIAL</v>
          </cell>
          <cell r="O2374" t="str">
            <v>A</v>
          </cell>
        </row>
        <row r="2375">
          <cell r="A2375">
            <v>22544</v>
          </cell>
          <cell r="B2375" t="str">
            <v>MEGA ZANI RAHMA</v>
          </cell>
          <cell r="C2375" t="str">
            <v>SAMI</v>
          </cell>
          <cell r="D2375" t="str">
            <v>OPT-560</v>
          </cell>
          <cell r="E2375">
            <v>43224</v>
          </cell>
          <cell r="F2375">
            <v>43255</v>
          </cell>
          <cell r="G2375">
            <v>43616</v>
          </cell>
          <cell r="H2375" t="str">
            <v>PRD</v>
          </cell>
          <cell r="I2375" t="str">
            <v>PRD</v>
          </cell>
          <cell r="J2375" t="str">
            <v>HONDA N-VAN</v>
          </cell>
          <cell r="K2375" t="str">
            <v>HONDA ENGINE ROOM L/R CABIN</v>
          </cell>
          <cell r="L2375" t="str">
            <v>CV B01</v>
          </cell>
          <cell r="M2375" t="str">
            <v>S/A 1.2A</v>
          </cell>
          <cell r="N2375" t="str">
            <v>INTERNAL TRIAL</v>
          </cell>
          <cell r="O2375" t="str">
            <v>A</v>
          </cell>
        </row>
        <row r="2376">
          <cell r="A2376">
            <v>22706</v>
          </cell>
          <cell r="B2376" t="str">
            <v>MAYA ROSIDATUN NIKMAH</v>
          </cell>
          <cell r="C2376" t="str">
            <v>SAMI</v>
          </cell>
          <cell r="D2376" t="str">
            <v>OPT-563</v>
          </cell>
          <cell r="E2376">
            <v>43244</v>
          </cell>
          <cell r="F2376">
            <v>43275</v>
          </cell>
          <cell r="G2376">
            <v>43646</v>
          </cell>
          <cell r="H2376" t="str">
            <v>PRD</v>
          </cell>
          <cell r="I2376" t="str">
            <v>PRD</v>
          </cell>
          <cell r="J2376" t="str">
            <v>HONDA N-VAN</v>
          </cell>
          <cell r="K2376" t="str">
            <v>HONDA ENGINE ROOM L/R CABIN</v>
          </cell>
          <cell r="L2376" t="str">
            <v>CV B01</v>
          </cell>
          <cell r="M2376" t="str">
            <v>INSERTION GROUP</v>
          </cell>
          <cell r="N2376" t="str">
            <v>SUB ASSY</v>
          </cell>
          <cell r="O2376" t="str">
            <v>A</v>
          </cell>
        </row>
        <row r="2377">
          <cell r="A2377">
            <v>22708</v>
          </cell>
          <cell r="B2377" t="str">
            <v>MUHAMMAD ZAENAL MUSTAIN</v>
          </cell>
          <cell r="C2377" t="str">
            <v>SAMI</v>
          </cell>
          <cell r="D2377" t="str">
            <v>OPT-563</v>
          </cell>
          <cell r="E2377">
            <v>43244</v>
          </cell>
          <cell r="F2377">
            <v>43275</v>
          </cell>
          <cell r="G2377">
            <v>43646</v>
          </cell>
          <cell r="H2377" t="str">
            <v>PRD</v>
          </cell>
          <cell r="I2377" t="str">
            <v>PRD</v>
          </cell>
          <cell r="J2377" t="str">
            <v>HONDA N-VAN</v>
          </cell>
          <cell r="K2377" t="str">
            <v>HONDA ENGINE ROOM L/R CABIN</v>
          </cell>
          <cell r="L2377" t="str">
            <v>CV B01</v>
          </cell>
          <cell r="M2377" t="str">
            <v>SHIAGE 1</v>
          </cell>
          <cell r="N2377" t="str">
            <v>ASSEMBLY</v>
          </cell>
          <cell r="O2377" t="str">
            <v>A</v>
          </cell>
        </row>
        <row r="2378">
          <cell r="A2378">
            <v>22770</v>
          </cell>
          <cell r="B2378" t="str">
            <v>SITI KHOLIFAH</v>
          </cell>
          <cell r="C2378" t="str">
            <v>SAMI</v>
          </cell>
          <cell r="D2378" t="str">
            <v>OPT-564</v>
          </cell>
          <cell r="E2378">
            <v>43255</v>
          </cell>
          <cell r="F2378">
            <v>43285</v>
          </cell>
          <cell r="G2378">
            <v>43646</v>
          </cell>
          <cell r="H2378" t="str">
            <v>PRD</v>
          </cell>
          <cell r="I2378" t="str">
            <v>PRD</v>
          </cell>
          <cell r="J2378" t="str">
            <v>HONDA N-VAN</v>
          </cell>
          <cell r="K2378" t="str">
            <v>HONDA ENGINE ROOM L/R CABIN</v>
          </cell>
          <cell r="L2378" t="str">
            <v>CV B01</v>
          </cell>
          <cell r="M2378" t="str">
            <v>S/A 5</v>
          </cell>
          <cell r="N2378" t="str">
            <v>SUB ASSY</v>
          </cell>
          <cell r="O2378" t="str">
            <v>A</v>
          </cell>
        </row>
        <row r="2379">
          <cell r="A2379">
            <v>22856</v>
          </cell>
          <cell r="B2379" t="str">
            <v>MUAHAMMAD FAHMI FARIZ</v>
          </cell>
          <cell r="C2379" t="str">
            <v>SAMI</v>
          </cell>
          <cell r="D2379" t="str">
            <v>OPT-567</v>
          </cell>
          <cell r="E2379">
            <v>43333</v>
          </cell>
          <cell r="F2379">
            <v>43364</v>
          </cell>
          <cell r="G2379">
            <v>43738</v>
          </cell>
          <cell r="H2379" t="str">
            <v>PRD</v>
          </cell>
          <cell r="I2379" t="str">
            <v>PRD</v>
          </cell>
          <cell r="J2379" t="str">
            <v>HONDA N-VAN</v>
          </cell>
          <cell r="K2379" t="str">
            <v>HONDA ENGINE ROOM L/R CABIN</v>
          </cell>
          <cell r="L2379" t="str">
            <v>CV B01</v>
          </cell>
          <cell r="M2379" t="str">
            <v>SHIAGE 3</v>
          </cell>
          <cell r="N2379" t="str">
            <v>ASSEMBLY</v>
          </cell>
          <cell r="O2379" t="str">
            <v>A</v>
          </cell>
        </row>
        <row r="2380">
          <cell r="A2380">
            <v>22886</v>
          </cell>
          <cell r="B2380" t="str">
            <v>SAKINAH</v>
          </cell>
          <cell r="C2380" t="str">
            <v>SAMI</v>
          </cell>
          <cell r="D2380" t="str">
            <v>OPT-567</v>
          </cell>
          <cell r="E2380">
            <v>43333</v>
          </cell>
          <cell r="F2380">
            <v>43364</v>
          </cell>
          <cell r="G2380">
            <v>43738</v>
          </cell>
          <cell r="H2380" t="str">
            <v>PRD</v>
          </cell>
          <cell r="I2380" t="str">
            <v>PRD</v>
          </cell>
          <cell r="J2380" t="str">
            <v>HONDA N-VAN</v>
          </cell>
          <cell r="K2380" t="str">
            <v>HONDA ENGINE ROOM L/R CABIN</v>
          </cell>
          <cell r="L2380" t="str">
            <v>CV B01</v>
          </cell>
          <cell r="M2380" t="str">
            <v>S/T 2.2</v>
          </cell>
          <cell r="N2380" t="str">
            <v>ASSEMBLY</v>
          </cell>
          <cell r="O2380" t="str">
            <v>A</v>
          </cell>
        </row>
        <row r="2381">
          <cell r="A2381">
            <v>22914</v>
          </cell>
          <cell r="B2381" t="str">
            <v xml:space="preserve">DEWI APRILIANI </v>
          </cell>
          <cell r="C2381" t="str">
            <v>SAMI</v>
          </cell>
          <cell r="D2381" t="str">
            <v>OPT-568</v>
          </cell>
          <cell r="E2381">
            <v>43343</v>
          </cell>
          <cell r="F2381">
            <v>43374</v>
          </cell>
          <cell r="G2381">
            <v>43738</v>
          </cell>
          <cell r="H2381" t="str">
            <v>PRD</v>
          </cell>
          <cell r="I2381" t="str">
            <v>PRD</v>
          </cell>
          <cell r="J2381" t="str">
            <v>HONDA N-VAN</v>
          </cell>
          <cell r="K2381" t="str">
            <v>HONDA ENGINE ROOM L/R CABIN</v>
          </cell>
          <cell r="L2381" t="str">
            <v>CV B01</v>
          </cell>
          <cell r="M2381" t="str">
            <v>S/A</v>
          </cell>
          <cell r="N2381" t="str">
            <v>INTERNAL TRIAL</v>
          </cell>
          <cell r="O2381" t="str">
            <v>A</v>
          </cell>
        </row>
        <row r="2382">
          <cell r="A2382">
            <v>23084</v>
          </cell>
          <cell r="B2382" t="str">
            <v>USWATUN WIDYA KASANAH</v>
          </cell>
          <cell r="C2382" t="str">
            <v>SAMI</v>
          </cell>
          <cell r="D2382" t="str">
            <v>OPT-569</v>
          </cell>
          <cell r="E2382">
            <v>43361</v>
          </cell>
          <cell r="F2382">
            <v>43391</v>
          </cell>
          <cell r="G2382">
            <v>43769</v>
          </cell>
          <cell r="H2382" t="str">
            <v>PRD</v>
          </cell>
          <cell r="I2382" t="str">
            <v>PRD</v>
          </cell>
          <cell r="J2382" t="str">
            <v>HONDA N-VAN</v>
          </cell>
          <cell r="K2382" t="str">
            <v>HONDA ENGINE ROOM L/R CABIN</v>
          </cell>
          <cell r="L2382" t="str">
            <v>CV B01</v>
          </cell>
          <cell r="M2382" t="str">
            <v>CIRCUIT SUPPLIER</v>
          </cell>
          <cell r="N2382" t="str">
            <v>CIRCUIT SUPPLY</v>
          </cell>
          <cell r="O2382" t="str">
            <v>A</v>
          </cell>
        </row>
        <row r="2383">
          <cell r="A2383">
            <v>23209</v>
          </cell>
          <cell r="B2383" t="str">
            <v>DIAH AYU RISNAWATI</v>
          </cell>
          <cell r="C2383" t="str">
            <v>SAMI</v>
          </cell>
          <cell r="D2383" t="str">
            <v>OPT-573</v>
          </cell>
          <cell r="E2383">
            <v>43421</v>
          </cell>
          <cell r="F2383">
            <v>43451</v>
          </cell>
          <cell r="G2383">
            <v>43830</v>
          </cell>
          <cell r="H2383" t="str">
            <v>PRD</v>
          </cell>
          <cell r="I2383" t="str">
            <v>PRD</v>
          </cell>
          <cell r="J2383" t="str">
            <v>HONDA N-VAN</v>
          </cell>
          <cell r="K2383" t="str">
            <v>HONDA ENGINE ROOM L/R CABIN</v>
          </cell>
          <cell r="L2383" t="str">
            <v>CV B01</v>
          </cell>
          <cell r="M2383" t="str">
            <v>S/T 1.1</v>
          </cell>
          <cell r="N2383" t="str">
            <v>ASSEMBLY</v>
          </cell>
          <cell r="O2383" t="str">
            <v>A</v>
          </cell>
        </row>
        <row r="2384">
          <cell r="A2384">
            <v>23295</v>
          </cell>
          <cell r="B2384" t="str">
            <v>ANAFSI TOYIBATUL NADIA</v>
          </cell>
          <cell r="C2384" t="str">
            <v>SAMI</v>
          </cell>
          <cell r="D2384" t="str">
            <v>OPT-574</v>
          </cell>
          <cell r="E2384">
            <v>43427</v>
          </cell>
          <cell r="F2384">
            <v>43457</v>
          </cell>
          <cell r="G2384">
            <v>43830</v>
          </cell>
          <cell r="H2384" t="str">
            <v>PRD</v>
          </cell>
          <cell r="I2384" t="str">
            <v>PRD</v>
          </cell>
          <cell r="J2384" t="str">
            <v>HONDA N-VAN</v>
          </cell>
          <cell r="K2384" t="str">
            <v>HONDA ENGINE ROOM L/R CABIN</v>
          </cell>
          <cell r="L2384" t="str">
            <v>CV B01</v>
          </cell>
          <cell r="M2384" t="str">
            <v>S/T 3</v>
          </cell>
          <cell r="N2384" t="str">
            <v>ASSEMBLY</v>
          </cell>
          <cell r="O2384" t="str">
            <v>A</v>
          </cell>
        </row>
        <row r="2385">
          <cell r="A2385">
            <v>23305</v>
          </cell>
          <cell r="B2385" t="str">
            <v>DUWI LESTARI</v>
          </cell>
          <cell r="C2385" t="str">
            <v>SAMI</v>
          </cell>
          <cell r="D2385" t="str">
            <v>OPT-574</v>
          </cell>
          <cell r="E2385">
            <v>43427</v>
          </cell>
          <cell r="F2385">
            <v>43457</v>
          </cell>
          <cell r="G2385">
            <v>43830</v>
          </cell>
          <cell r="H2385" t="str">
            <v>PRD</v>
          </cell>
          <cell r="I2385" t="str">
            <v>PRD</v>
          </cell>
          <cell r="J2385" t="str">
            <v>HONDA N-VAN</v>
          </cell>
          <cell r="K2385" t="str">
            <v>HONDA ENGINE ROOM L/R CABIN</v>
          </cell>
          <cell r="L2385" t="str">
            <v>CV B01</v>
          </cell>
          <cell r="M2385" t="str">
            <v>OJT T/P</v>
          </cell>
          <cell r="N2385" t="str">
            <v>INTERNAL TRIAL</v>
          </cell>
          <cell r="O2385" t="str">
            <v>A</v>
          </cell>
        </row>
        <row r="2386">
          <cell r="A2386">
            <v>23321</v>
          </cell>
          <cell r="B2386" t="str">
            <v>LAELA MASRUROTI</v>
          </cell>
          <cell r="C2386" t="str">
            <v>SAMI</v>
          </cell>
          <cell r="D2386" t="str">
            <v>OPT-574</v>
          </cell>
          <cell r="E2386">
            <v>43427</v>
          </cell>
          <cell r="F2386">
            <v>43457</v>
          </cell>
          <cell r="G2386">
            <v>43830</v>
          </cell>
          <cell r="H2386" t="str">
            <v>PRD</v>
          </cell>
          <cell r="I2386" t="str">
            <v>PRD</v>
          </cell>
          <cell r="J2386" t="str">
            <v>HONDA N-VAN</v>
          </cell>
          <cell r="K2386" t="str">
            <v>HONDA ENGINE ROOM L/R CABIN</v>
          </cell>
          <cell r="L2386" t="str">
            <v>CV B01</v>
          </cell>
          <cell r="M2386" t="str">
            <v>OJT S/A</v>
          </cell>
          <cell r="N2386" t="str">
            <v>INTERNAL TRIAL</v>
          </cell>
          <cell r="O2386" t="str">
            <v>A</v>
          </cell>
        </row>
        <row r="2387">
          <cell r="A2387">
            <v>23325</v>
          </cell>
          <cell r="B2387" t="str">
            <v>LENI RESTI WIDIANI</v>
          </cell>
          <cell r="C2387" t="str">
            <v>SAMI</v>
          </cell>
          <cell r="D2387" t="str">
            <v>OPT-574</v>
          </cell>
          <cell r="E2387">
            <v>43427</v>
          </cell>
          <cell r="F2387">
            <v>43457</v>
          </cell>
          <cell r="G2387">
            <v>43830</v>
          </cell>
          <cell r="H2387" t="str">
            <v>PRD</v>
          </cell>
          <cell r="I2387" t="str">
            <v>PRD</v>
          </cell>
          <cell r="J2387" t="str">
            <v>HONDA N-VAN</v>
          </cell>
          <cell r="K2387" t="str">
            <v>HONDA ENGINE ROOM L/R CABIN</v>
          </cell>
          <cell r="L2387" t="str">
            <v>CV B01</v>
          </cell>
          <cell r="M2387" t="str">
            <v>OJT S/A</v>
          </cell>
          <cell r="N2387" t="str">
            <v>INTERNAL TRIAL</v>
          </cell>
          <cell r="O2387" t="str">
            <v>A</v>
          </cell>
        </row>
        <row r="2388">
          <cell r="A2388" t="str">
            <v>B00495</v>
          </cell>
          <cell r="B2388" t="str">
            <v>YOHAN SETIAWAN</v>
          </cell>
          <cell r="C2388" t="str">
            <v>SAMI</v>
          </cell>
          <cell r="D2388" t="str">
            <v>BBF-007</v>
          </cell>
          <cell r="E2388">
            <v>40868</v>
          </cell>
          <cell r="F2388" t="str">
            <v>-</v>
          </cell>
          <cell r="G2388" t="str">
            <v>-</v>
          </cell>
          <cell r="H2388" t="str">
            <v>PRD</v>
          </cell>
          <cell r="I2388" t="str">
            <v>PRD</v>
          </cell>
          <cell r="J2388" t="str">
            <v>HONDA N-VAN</v>
          </cell>
          <cell r="K2388" t="str">
            <v>HONDA ENGINE ROOM L/R CABIN</v>
          </cell>
          <cell r="L2388" t="str">
            <v>CV B01</v>
          </cell>
          <cell r="M2388" t="str">
            <v>SHIAGE 2</v>
          </cell>
          <cell r="N2388" t="str">
            <v>ASSEMBLY</v>
          </cell>
          <cell r="O2388" t="str">
            <v>A</v>
          </cell>
        </row>
        <row r="2389">
          <cell r="A2389">
            <v>23541</v>
          </cell>
          <cell r="B2389" t="str">
            <v xml:space="preserve">APRILIA TRI UTAMI </v>
          </cell>
          <cell r="C2389" t="str">
            <v>SAMI</v>
          </cell>
          <cell r="D2389" t="str">
            <v>OPT-577</v>
          </cell>
          <cell r="E2389">
            <v>43452</v>
          </cell>
          <cell r="F2389">
            <v>43483</v>
          </cell>
          <cell r="G2389">
            <v>43861</v>
          </cell>
          <cell r="H2389" t="str">
            <v>PRD</v>
          </cell>
          <cell r="I2389" t="str">
            <v>PRD</v>
          </cell>
          <cell r="J2389" t="str">
            <v>HONDA N-VAN</v>
          </cell>
          <cell r="K2389" t="str">
            <v>HONDA ENGINE ROOM L/R CABIN</v>
          </cell>
          <cell r="L2389" t="str">
            <v>CV B01</v>
          </cell>
          <cell r="M2389" t="str">
            <v>OJT</v>
          </cell>
          <cell r="N2389" t="str">
            <v>INTERNAL TRIAL</v>
          </cell>
          <cell r="O2389" t="str">
            <v>A</v>
          </cell>
        </row>
        <row r="2390">
          <cell r="A2390">
            <v>5824</v>
          </cell>
          <cell r="B2390" t="str">
            <v>SUNARTO</v>
          </cell>
          <cell r="C2390" t="str">
            <v>SAMI</v>
          </cell>
          <cell r="D2390" t="str">
            <v>OPT-135</v>
          </cell>
          <cell r="E2390">
            <v>39114</v>
          </cell>
          <cell r="F2390" t="str">
            <v>-</v>
          </cell>
          <cell r="G2390" t="str">
            <v>-</v>
          </cell>
          <cell r="H2390" t="str">
            <v>PRD</v>
          </cell>
          <cell r="I2390" t="str">
            <v>PRD</v>
          </cell>
          <cell r="J2390" t="str">
            <v>HONDA N-VAN</v>
          </cell>
          <cell r="K2390" t="str">
            <v>HONDA ENGINE ROOM L/R CABIN</v>
          </cell>
          <cell r="L2390" t="str">
            <v>CV B01</v>
          </cell>
          <cell r="M2390" t="str">
            <v>SUB LINE CHO</v>
          </cell>
          <cell r="N2390" t="str">
            <v>GL</v>
          </cell>
          <cell r="O2390" t="str">
            <v>B</v>
          </cell>
        </row>
        <row r="2391">
          <cell r="A2391">
            <v>6125</v>
          </cell>
          <cell r="B2391" t="str">
            <v>BIYANTI</v>
          </cell>
          <cell r="C2391" t="str">
            <v>SAMI</v>
          </cell>
          <cell r="D2391" t="str">
            <v>OPT-140</v>
          </cell>
          <cell r="E2391">
            <v>39157</v>
          </cell>
          <cell r="F2391" t="str">
            <v>-</v>
          </cell>
          <cell r="G2391" t="str">
            <v>-</v>
          </cell>
          <cell r="H2391" t="str">
            <v>PRD</v>
          </cell>
          <cell r="I2391" t="str">
            <v>PRD</v>
          </cell>
          <cell r="J2391" t="str">
            <v>HONDA N-VAN</v>
          </cell>
          <cell r="K2391" t="str">
            <v>HONDA ENGINE ROOM L/R CABIN</v>
          </cell>
          <cell r="L2391" t="str">
            <v>CV B01</v>
          </cell>
          <cell r="M2391" t="str">
            <v>S/T 2.1</v>
          </cell>
          <cell r="N2391" t="str">
            <v>ASSEMBLY</v>
          </cell>
          <cell r="O2391" t="str">
            <v>B</v>
          </cell>
        </row>
        <row r="2392">
          <cell r="A2392">
            <v>9527</v>
          </cell>
          <cell r="B2392" t="str">
            <v>NURHAYATI</v>
          </cell>
          <cell r="C2392" t="str">
            <v>SAMI</v>
          </cell>
          <cell r="D2392" t="str">
            <v>OPT-216</v>
          </cell>
          <cell r="E2392">
            <v>40148</v>
          </cell>
          <cell r="F2392" t="str">
            <v>-</v>
          </cell>
          <cell r="G2392" t="str">
            <v>-</v>
          </cell>
          <cell r="H2392" t="str">
            <v>PRD</v>
          </cell>
          <cell r="I2392" t="str">
            <v>PRD</v>
          </cell>
          <cell r="J2392" t="str">
            <v>HONDA N-VAN</v>
          </cell>
          <cell r="K2392" t="str">
            <v>HONDA ENGINE ROOM L/R CABIN</v>
          </cell>
          <cell r="L2392" t="str">
            <v>CV B01</v>
          </cell>
          <cell r="M2392" t="str">
            <v>CHECKER</v>
          </cell>
          <cell r="N2392" t="str">
            <v>ELECTRICAL INSPECTION</v>
          </cell>
          <cell r="O2392" t="str">
            <v>B</v>
          </cell>
        </row>
        <row r="2393">
          <cell r="A2393">
            <v>11783</v>
          </cell>
          <cell r="B2393" t="str">
            <v>SITI ROKHIMATUL MAULA</v>
          </cell>
          <cell r="C2393" t="str">
            <v>SAMI</v>
          </cell>
          <cell r="D2393" t="str">
            <v>OPT-308</v>
          </cell>
          <cell r="E2393">
            <v>40714</v>
          </cell>
          <cell r="F2393" t="str">
            <v>-</v>
          </cell>
          <cell r="G2393" t="str">
            <v>-</v>
          </cell>
          <cell r="H2393" t="str">
            <v>PRD</v>
          </cell>
          <cell r="I2393" t="str">
            <v>PRD</v>
          </cell>
          <cell r="J2393" t="str">
            <v>HONDA N-VAN</v>
          </cell>
          <cell r="K2393" t="str">
            <v>HONDA ENGINE ROOM L/R CABIN</v>
          </cell>
          <cell r="L2393" t="str">
            <v>CV B01</v>
          </cell>
          <cell r="M2393" t="str">
            <v>LQC</v>
          </cell>
          <cell r="N2393" t="str">
            <v>RELIEF</v>
          </cell>
          <cell r="O2393" t="str">
            <v>B</v>
          </cell>
        </row>
        <row r="2394">
          <cell r="A2394">
            <v>12234</v>
          </cell>
          <cell r="B2394" t="str">
            <v>AHMAD ABDUL GHOFUR</v>
          </cell>
          <cell r="C2394" t="str">
            <v>SAMI</v>
          </cell>
          <cell r="D2394" t="str">
            <v>OPT-316</v>
          </cell>
          <cell r="E2394">
            <v>40805</v>
          </cell>
          <cell r="F2394" t="str">
            <v>-</v>
          </cell>
          <cell r="G2394" t="str">
            <v>-</v>
          </cell>
          <cell r="H2394" t="str">
            <v>PRD</v>
          </cell>
          <cell r="I2394" t="str">
            <v>PRD</v>
          </cell>
          <cell r="J2394" t="str">
            <v>HONDA N-VAN</v>
          </cell>
          <cell r="K2394" t="str">
            <v>HONDA ENGINE ROOM L/R CABIN</v>
          </cell>
          <cell r="L2394" t="str">
            <v>CV B01</v>
          </cell>
          <cell r="M2394" t="str">
            <v>SHIAGE 1</v>
          </cell>
          <cell r="N2394" t="str">
            <v>ASSEMBLY</v>
          </cell>
          <cell r="O2394" t="str">
            <v>B</v>
          </cell>
        </row>
        <row r="2395">
          <cell r="A2395">
            <v>12883</v>
          </cell>
          <cell r="B2395" t="str">
            <v>JARIYAH</v>
          </cell>
          <cell r="C2395" t="str">
            <v>SAMI</v>
          </cell>
          <cell r="D2395" t="str">
            <v>OPT-322</v>
          </cell>
          <cell r="E2395">
            <v>40833</v>
          </cell>
          <cell r="F2395" t="str">
            <v>-</v>
          </cell>
          <cell r="G2395" t="str">
            <v>-</v>
          </cell>
          <cell r="H2395" t="str">
            <v>PRD</v>
          </cell>
          <cell r="I2395" t="str">
            <v>PRD</v>
          </cell>
          <cell r="J2395" t="str">
            <v>HONDA N-VAN</v>
          </cell>
          <cell r="K2395" t="str">
            <v>HONDA ENGINE ROOM L/R CABIN</v>
          </cell>
          <cell r="L2395" t="str">
            <v>CV B01</v>
          </cell>
          <cell r="M2395" t="str">
            <v>VISUAL</v>
          </cell>
          <cell r="N2395" t="str">
            <v>VISUAL INSPECTION</v>
          </cell>
          <cell r="O2395" t="str">
            <v>B</v>
          </cell>
        </row>
        <row r="2396">
          <cell r="A2396">
            <v>20441</v>
          </cell>
          <cell r="B2396" t="str">
            <v>BAYUMI GUSTI AINUL AZIZAH</v>
          </cell>
          <cell r="C2396" t="str">
            <v>SAMI</v>
          </cell>
          <cell r="D2396" t="str">
            <v>OPT-504</v>
          </cell>
          <cell r="E2396">
            <v>42634</v>
          </cell>
          <cell r="F2396">
            <v>43132</v>
          </cell>
          <cell r="G2396">
            <v>43496</v>
          </cell>
          <cell r="H2396" t="str">
            <v>PRD</v>
          </cell>
          <cell r="I2396" t="str">
            <v>PRD</v>
          </cell>
          <cell r="J2396" t="str">
            <v>HONDA N-VAN</v>
          </cell>
          <cell r="K2396" t="str">
            <v>HONDA ENGINE ROOM L/R CABIN</v>
          </cell>
          <cell r="L2396" t="str">
            <v>CV B01</v>
          </cell>
          <cell r="M2396" t="str">
            <v>S/A 3</v>
          </cell>
          <cell r="N2396" t="str">
            <v>SUB ASSY</v>
          </cell>
          <cell r="O2396" t="str">
            <v>B</v>
          </cell>
        </row>
        <row r="2397">
          <cell r="A2397">
            <v>20551</v>
          </cell>
          <cell r="B2397" t="str">
            <v xml:space="preserve">AHMAD SALAFUDIN </v>
          </cell>
          <cell r="C2397" t="str">
            <v>SAMI</v>
          </cell>
          <cell r="D2397" t="str">
            <v>OPT-505</v>
          </cell>
          <cell r="E2397">
            <v>42639</v>
          </cell>
          <cell r="F2397">
            <v>43132</v>
          </cell>
          <cell r="G2397">
            <v>43496</v>
          </cell>
          <cell r="H2397" t="str">
            <v>PRD</v>
          </cell>
          <cell r="I2397" t="str">
            <v>PRD</v>
          </cell>
          <cell r="J2397" t="str">
            <v>HONDA N-VAN</v>
          </cell>
          <cell r="K2397" t="str">
            <v>HONDA ENGINE ROOM L/R CABIN</v>
          </cell>
          <cell r="L2397" t="str">
            <v>CV B01</v>
          </cell>
          <cell r="M2397" t="str">
            <v>SHIAGE 3</v>
          </cell>
          <cell r="N2397" t="str">
            <v>ASSEMBLY</v>
          </cell>
          <cell r="O2397" t="str">
            <v>B</v>
          </cell>
        </row>
        <row r="2398">
          <cell r="A2398">
            <v>20617</v>
          </cell>
          <cell r="B2398" t="str">
            <v>MUHAMMAD ZAELANI</v>
          </cell>
          <cell r="C2398" t="str">
            <v>SAMI</v>
          </cell>
          <cell r="D2398" t="str">
            <v>OPT-505</v>
          </cell>
          <cell r="E2398">
            <v>42639</v>
          </cell>
          <cell r="F2398">
            <v>43132</v>
          </cell>
          <cell r="G2398">
            <v>43496</v>
          </cell>
          <cell r="H2398" t="str">
            <v>PRD</v>
          </cell>
          <cell r="I2398" t="str">
            <v>PRD</v>
          </cell>
          <cell r="J2398" t="str">
            <v>HONDA N-VAN</v>
          </cell>
          <cell r="K2398" t="str">
            <v>HONDA ENGINE ROOM L/R CABIN</v>
          </cell>
          <cell r="L2398" t="str">
            <v>CV B01</v>
          </cell>
          <cell r="M2398" t="str">
            <v>EXPANDER GROMMET</v>
          </cell>
          <cell r="N2398" t="str">
            <v>FINISHING &amp; GROMMET INJECTION</v>
          </cell>
          <cell r="O2398" t="str">
            <v>B</v>
          </cell>
        </row>
        <row r="2399">
          <cell r="A2399">
            <v>20743</v>
          </cell>
          <cell r="B2399" t="str">
            <v>RIZKY NURALITA</v>
          </cell>
          <cell r="C2399" t="str">
            <v>SAMI</v>
          </cell>
          <cell r="D2399" t="str">
            <v>OPT-506</v>
          </cell>
          <cell r="E2399">
            <v>42642</v>
          </cell>
          <cell r="F2399">
            <v>43132</v>
          </cell>
          <cell r="G2399">
            <v>43496</v>
          </cell>
          <cell r="H2399" t="str">
            <v>PRD</v>
          </cell>
          <cell r="I2399" t="str">
            <v>PRD</v>
          </cell>
          <cell r="J2399" t="str">
            <v>HONDA N-VAN</v>
          </cell>
          <cell r="K2399" t="str">
            <v>HONDA ENGINE ROOM L/R CABIN</v>
          </cell>
          <cell r="L2399" t="str">
            <v>CV B01</v>
          </cell>
          <cell r="M2399" t="str">
            <v>T/P 6</v>
          </cell>
          <cell r="N2399" t="str">
            <v>ASSEMBLY</v>
          </cell>
          <cell r="O2399" t="str">
            <v>B</v>
          </cell>
        </row>
        <row r="2400">
          <cell r="A2400">
            <v>20856</v>
          </cell>
          <cell r="B2400" t="str">
            <v>DITA RISKI YUNIA</v>
          </cell>
          <cell r="C2400" t="str">
            <v>SAMI</v>
          </cell>
          <cell r="D2400" t="str">
            <v>OPT-510</v>
          </cell>
          <cell r="E2400">
            <v>42660</v>
          </cell>
          <cell r="F2400">
            <v>43160</v>
          </cell>
          <cell r="G2400">
            <v>43524</v>
          </cell>
          <cell r="H2400" t="str">
            <v>PRD</v>
          </cell>
          <cell r="I2400" t="str">
            <v>PRD</v>
          </cell>
          <cell r="J2400" t="str">
            <v>HONDA N-VAN</v>
          </cell>
          <cell r="K2400" t="str">
            <v>HONDA ENGINE ROOM L/R CABIN</v>
          </cell>
          <cell r="L2400" t="str">
            <v>CV B01</v>
          </cell>
          <cell r="M2400" t="str">
            <v>T/P 7</v>
          </cell>
          <cell r="N2400" t="str">
            <v>ASSEMBLY</v>
          </cell>
          <cell r="O2400" t="str">
            <v>B</v>
          </cell>
        </row>
        <row r="2401">
          <cell r="A2401">
            <v>21010</v>
          </cell>
          <cell r="B2401" t="str">
            <v xml:space="preserve">NENENG SETIANINGSIH </v>
          </cell>
          <cell r="C2401" t="str">
            <v>SAMI</v>
          </cell>
          <cell r="D2401" t="str">
            <v>OPT-514</v>
          </cell>
          <cell r="E2401">
            <v>42682</v>
          </cell>
          <cell r="F2401">
            <v>43160</v>
          </cell>
          <cell r="G2401">
            <v>43524</v>
          </cell>
          <cell r="H2401" t="str">
            <v>PRD</v>
          </cell>
          <cell r="I2401" t="str">
            <v>PRD</v>
          </cell>
          <cell r="J2401" t="str">
            <v>HONDA N-VAN</v>
          </cell>
          <cell r="K2401" t="str">
            <v>HONDA ENGINE ROOM L/R CABIN</v>
          </cell>
          <cell r="L2401" t="str">
            <v>CV B01</v>
          </cell>
          <cell r="M2401" t="str">
            <v>S/A 4</v>
          </cell>
          <cell r="N2401" t="str">
            <v>SUB ASSY</v>
          </cell>
          <cell r="O2401" t="str">
            <v>B</v>
          </cell>
        </row>
        <row r="2402">
          <cell r="A2402">
            <v>21098</v>
          </cell>
          <cell r="B2402" t="str">
            <v>EKKA NUR DIAN NINGSIH</v>
          </cell>
          <cell r="C2402" t="str">
            <v>SAMI</v>
          </cell>
          <cell r="D2402" t="str">
            <v>OPT-521</v>
          </cell>
          <cell r="E2402">
            <v>42867</v>
          </cell>
          <cell r="F2402">
            <v>43344</v>
          </cell>
          <cell r="G2402">
            <v>43708</v>
          </cell>
          <cell r="H2402" t="str">
            <v>PRD</v>
          </cell>
          <cell r="I2402" t="str">
            <v>PRD</v>
          </cell>
          <cell r="J2402" t="str">
            <v>HONDA N-VAN</v>
          </cell>
          <cell r="K2402" t="str">
            <v>HONDA ENGINE ROOM L/R CABIN</v>
          </cell>
          <cell r="L2402" t="str">
            <v>CV B01</v>
          </cell>
          <cell r="M2402" t="str">
            <v>T/P 4.2</v>
          </cell>
          <cell r="N2402" t="str">
            <v>ASSEMBLY</v>
          </cell>
          <cell r="O2402" t="str">
            <v>B</v>
          </cell>
        </row>
        <row r="2403">
          <cell r="A2403">
            <v>21130</v>
          </cell>
          <cell r="B2403" t="str">
            <v>RESTU PAMELA EFANSYAH</v>
          </cell>
          <cell r="C2403" t="str">
            <v>SAMI</v>
          </cell>
          <cell r="D2403" t="str">
            <v>OPT-521</v>
          </cell>
          <cell r="E2403">
            <v>42867</v>
          </cell>
          <cell r="F2403">
            <v>43344</v>
          </cell>
          <cell r="G2403">
            <v>43708</v>
          </cell>
          <cell r="H2403" t="str">
            <v>PRD</v>
          </cell>
          <cell r="I2403" t="str">
            <v>PRD</v>
          </cell>
          <cell r="J2403" t="str">
            <v>HONDA N-VAN</v>
          </cell>
          <cell r="K2403" t="str">
            <v>HONDA ENGINE ROOM L/R CABIN</v>
          </cell>
          <cell r="L2403" t="str">
            <v>CV B01</v>
          </cell>
          <cell r="M2403" t="str">
            <v>T/P 1.2</v>
          </cell>
          <cell r="N2403" t="str">
            <v>ASSEMBLY</v>
          </cell>
          <cell r="O2403" t="str">
            <v>B</v>
          </cell>
        </row>
        <row r="2404">
          <cell r="A2404">
            <v>21231</v>
          </cell>
          <cell r="B2404" t="str">
            <v>ANJAYANI TARAKANI</v>
          </cell>
          <cell r="C2404" t="str">
            <v>SAMI</v>
          </cell>
          <cell r="D2404" t="str">
            <v>OPT-525</v>
          </cell>
          <cell r="E2404">
            <v>42893</v>
          </cell>
          <cell r="F2404">
            <v>43374</v>
          </cell>
          <cell r="G2404">
            <v>43738</v>
          </cell>
          <cell r="H2404" t="str">
            <v>PRD</v>
          </cell>
          <cell r="I2404" t="str">
            <v>PRD</v>
          </cell>
          <cell r="J2404" t="str">
            <v>HONDA N-VAN</v>
          </cell>
          <cell r="K2404" t="str">
            <v>HONDA ENGINE ROOM L/R CABIN</v>
          </cell>
          <cell r="L2404" t="str">
            <v>CV B01</v>
          </cell>
          <cell r="M2404" t="str">
            <v>CHECKER</v>
          </cell>
          <cell r="N2404" t="str">
            <v>ELECTRICAL INSPECTION</v>
          </cell>
          <cell r="O2404" t="str">
            <v>B</v>
          </cell>
        </row>
        <row r="2405">
          <cell r="A2405">
            <v>21405</v>
          </cell>
          <cell r="B2405" t="str">
            <v>NOFITA SARI</v>
          </cell>
          <cell r="C2405" t="str">
            <v>SAMI</v>
          </cell>
          <cell r="D2405" t="str">
            <v>OPT-532</v>
          </cell>
          <cell r="E2405">
            <v>43018</v>
          </cell>
          <cell r="F2405">
            <v>43405</v>
          </cell>
          <cell r="G2405">
            <v>43769</v>
          </cell>
          <cell r="H2405" t="str">
            <v>PRD</v>
          </cell>
          <cell r="I2405" t="str">
            <v>PRD</v>
          </cell>
          <cell r="J2405" t="str">
            <v>HONDA N-VAN</v>
          </cell>
          <cell r="K2405" t="str">
            <v>HONDA ENGINE ROOM L/R CABIN</v>
          </cell>
          <cell r="L2405" t="str">
            <v>CV B01</v>
          </cell>
          <cell r="M2405" t="str">
            <v>T/P 5</v>
          </cell>
          <cell r="N2405" t="str">
            <v>ASSEMBLY</v>
          </cell>
          <cell r="O2405" t="str">
            <v>B</v>
          </cell>
        </row>
        <row r="2406">
          <cell r="A2406">
            <v>21528</v>
          </cell>
          <cell r="B2406" t="str">
            <v>FIKI AULIYYAH</v>
          </cell>
          <cell r="C2406" t="str">
            <v>SAMI</v>
          </cell>
          <cell r="D2406" t="str">
            <v>OPT-535</v>
          </cell>
          <cell r="E2406">
            <v>43045</v>
          </cell>
          <cell r="F2406">
            <v>43435</v>
          </cell>
          <cell r="G2406">
            <v>43799</v>
          </cell>
          <cell r="H2406" t="str">
            <v>PRD</v>
          </cell>
          <cell r="I2406" t="str">
            <v>PRD</v>
          </cell>
          <cell r="J2406" t="str">
            <v>HONDA N-VAN</v>
          </cell>
          <cell r="K2406" t="str">
            <v>HONDA ENGINE ROOM L/R CABIN</v>
          </cell>
          <cell r="L2406" t="str">
            <v>CV B01</v>
          </cell>
          <cell r="M2406" t="str">
            <v>S/A 1</v>
          </cell>
          <cell r="N2406" t="str">
            <v>SUB ASSY</v>
          </cell>
          <cell r="O2406" t="str">
            <v>B</v>
          </cell>
        </row>
        <row r="2407">
          <cell r="A2407">
            <v>21749</v>
          </cell>
          <cell r="B2407" t="str">
            <v>TRI AMILA</v>
          </cell>
          <cell r="C2407" t="str">
            <v>SAMI</v>
          </cell>
          <cell r="D2407" t="str">
            <v>OPT-539</v>
          </cell>
          <cell r="E2407">
            <v>43087</v>
          </cell>
          <cell r="F2407">
            <v>43118</v>
          </cell>
          <cell r="G2407">
            <v>43496</v>
          </cell>
          <cell r="H2407" t="str">
            <v>PRD</v>
          </cell>
          <cell r="I2407" t="str">
            <v>PRD</v>
          </cell>
          <cell r="J2407" t="str">
            <v>HONDA N-VAN</v>
          </cell>
          <cell r="K2407" t="str">
            <v>HONDA ENGINE ROOM L/R CABIN</v>
          </cell>
          <cell r="L2407" t="str">
            <v>CV B01</v>
          </cell>
          <cell r="M2407" t="str">
            <v>T/P 2</v>
          </cell>
          <cell r="N2407" t="str">
            <v>ASSEMBLY</v>
          </cell>
          <cell r="O2407" t="str">
            <v>B</v>
          </cell>
        </row>
        <row r="2408">
          <cell r="A2408">
            <v>21878</v>
          </cell>
          <cell r="B2408" t="str">
            <v>FINA MASLAHATI</v>
          </cell>
          <cell r="C2408" t="str">
            <v>SAMI</v>
          </cell>
          <cell r="D2408" t="str">
            <v>OPT-542</v>
          </cell>
          <cell r="E2408">
            <v>43103</v>
          </cell>
          <cell r="F2408">
            <v>43134</v>
          </cell>
          <cell r="G2408">
            <v>43496</v>
          </cell>
          <cell r="H2408" t="str">
            <v>PRD</v>
          </cell>
          <cell r="I2408" t="str">
            <v>PRD</v>
          </cell>
          <cell r="J2408" t="str">
            <v>HONDA N-VAN</v>
          </cell>
          <cell r="K2408" t="str">
            <v>HONDA ENGINE ROOM L/R CABIN</v>
          </cell>
          <cell r="L2408" t="str">
            <v>CV B01</v>
          </cell>
          <cell r="M2408" t="str">
            <v>S/A 5</v>
          </cell>
          <cell r="N2408" t="str">
            <v>SUB ASSY</v>
          </cell>
          <cell r="O2408" t="str">
            <v>B</v>
          </cell>
        </row>
        <row r="2409">
          <cell r="A2409">
            <v>21948</v>
          </cell>
          <cell r="B2409" t="str">
            <v>DEWI RAHMAWATI</v>
          </cell>
          <cell r="C2409" t="str">
            <v>SAMI</v>
          </cell>
          <cell r="D2409" t="str">
            <v>OPT-545</v>
          </cell>
          <cell r="E2409">
            <v>43116</v>
          </cell>
          <cell r="F2409">
            <v>43147</v>
          </cell>
          <cell r="G2409">
            <v>43524</v>
          </cell>
          <cell r="H2409" t="str">
            <v>PRD</v>
          </cell>
          <cell r="I2409" t="str">
            <v>PRD</v>
          </cell>
          <cell r="J2409" t="str">
            <v>HONDA N-VAN</v>
          </cell>
          <cell r="K2409" t="str">
            <v>HONDA ENGINE ROOM L/R CABIN</v>
          </cell>
          <cell r="L2409" t="str">
            <v>CV B01</v>
          </cell>
          <cell r="M2409" t="str">
            <v>S/A 2</v>
          </cell>
          <cell r="N2409" t="str">
            <v>SUB ASSY</v>
          </cell>
          <cell r="O2409" t="str">
            <v>B</v>
          </cell>
        </row>
        <row r="2410">
          <cell r="A2410">
            <v>22090</v>
          </cell>
          <cell r="B2410" t="str">
            <v>RANI OKTAVIANI</v>
          </cell>
          <cell r="C2410" t="str">
            <v>SAMI</v>
          </cell>
          <cell r="D2410" t="str">
            <v>OPT-548</v>
          </cell>
          <cell r="E2410">
            <v>43150</v>
          </cell>
          <cell r="F2410">
            <v>43178</v>
          </cell>
          <cell r="G2410">
            <v>43555</v>
          </cell>
          <cell r="H2410" t="str">
            <v>PRD</v>
          </cell>
          <cell r="I2410" t="str">
            <v>PRD</v>
          </cell>
          <cell r="J2410" t="str">
            <v>HONDA N-VAN</v>
          </cell>
          <cell r="K2410" t="str">
            <v>HONDA ENGINE ROOM L/R CABIN</v>
          </cell>
          <cell r="L2410" t="str">
            <v>CV B01</v>
          </cell>
          <cell r="M2410" t="str">
            <v>S/A 6</v>
          </cell>
          <cell r="N2410" t="str">
            <v>SUB ASSY</v>
          </cell>
          <cell r="O2410" t="str">
            <v>B</v>
          </cell>
        </row>
        <row r="2411">
          <cell r="A2411">
            <v>22113</v>
          </cell>
          <cell r="B2411" t="str">
            <v>ALIF VATUL LATIFAH</v>
          </cell>
          <cell r="C2411" t="str">
            <v>SAMI</v>
          </cell>
          <cell r="D2411" t="str">
            <v>OPT-549</v>
          </cell>
          <cell r="E2411">
            <v>43153</v>
          </cell>
          <cell r="F2411">
            <v>43181</v>
          </cell>
          <cell r="G2411">
            <v>43555</v>
          </cell>
          <cell r="H2411" t="str">
            <v>PRD</v>
          </cell>
          <cell r="I2411" t="str">
            <v>PRD</v>
          </cell>
          <cell r="J2411" t="str">
            <v>HONDA N-VAN</v>
          </cell>
          <cell r="K2411" t="str">
            <v>HONDA ENGINE ROOM L/R CABIN</v>
          </cell>
          <cell r="L2411" t="str">
            <v>CV B01</v>
          </cell>
          <cell r="M2411" t="str">
            <v>MATERIAL SUPPLY 2</v>
          </cell>
          <cell r="N2411" t="str">
            <v>MATERIAL SUPPLY</v>
          </cell>
          <cell r="O2411" t="str">
            <v>B</v>
          </cell>
        </row>
        <row r="2412">
          <cell r="A2412">
            <v>22270</v>
          </cell>
          <cell r="B2412" t="str">
            <v>SITI MUKHADAH</v>
          </cell>
          <cell r="C2412" t="str">
            <v>SAMI</v>
          </cell>
          <cell r="D2412" t="str">
            <v>OPT-554</v>
          </cell>
          <cell r="E2412">
            <v>43181</v>
          </cell>
          <cell r="F2412">
            <v>43212</v>
          </cell>
          <cell r="G2412">
            <v>43585</v>
          </cell>
          <cell r="H2412" t="str">
            <v>PRD</v>
          </cell>
          <cell r="I2412" t="str">
            <v>PRD</v>
          </cell>
          <cell r="J2412" t="str">
            <v>HONDA N-VAN</v>
          </cell>
          <cell r="K2412" t="str">
            <v>HONDA ENGINE ROOM L/R CABIN</v>
          </cell>
          <cell r="L2412" t="str">
            <v>CV B01</v>
          </cell>
          <cell r="M2412" t="str">
            <v>CIRCUIT SUPPLIER 1</v>
          </cell>
          <cell r="N2412" t="str">
            <v>CIRCUIT SUPPLY</v>
          </cell>
          <cell r="O2412" t="str">
            <v>B</v>
          </cell>
        </row>
        <row r="2413">
          <cell r="A2413">
            <v>22653</v>
          </cell>
          <cell r="B2413" t="str">
            <v>FATHUR HIDAYAT</v>
          </cell>
          <cell r="C2413" t="str">
            <v>SAMI</v>
          </cell>
          <cell r="D2413" t="str">
            <v>OPT-562</v>
          </cell>
          <cell r="E2413">
            <v>43241</v>
          </cell>
          <cell r="F2413">
            <v>43272</v>
          </cell>
          <cell r="G2413">
            <v>43646</v>
          </cell>
          <cell r="H2413" t="str">
            <v>PRD</v>
          </cell>
          <cell r="I2413" t="str">
            <v>PRD</v>
          </cell>
          <cell r="J2413" t="str">
            <v>HONDA N-VAN</v>
          </cell>
          <cell r="K2413" t="str">
            <v>HONDA ENGINE ROOM L/R CABIN</v>
          </cell>
          <cell r="L2413" t="str">
            <v>CV B01</v>
          </cell>
          <cell r="M2413" t="str">
            <v>SHIAGE 2</v>
          </cell>
          <cell r="N2413" t="str">
            <v>ASSEMBLY</v>
          </cell>
          <cell r="O2413" t="str">
            <v>B</v>
          </cell>
        </row>
        <row r="2414">
          <cell r="A2414">
            <v>22702</v>
          </cell>
          <cell r="B2414" t="str">
            <v>LUSI MIRA NURJANAH</v>
          </cell>
          <cell r="C2414" t="str">
            <v>SAMI</v>
          </cell>
          <cell r="D2414" t="str">
            <v>OPT-563</v>
          </cell>
          <cell r="E2414">
            <v>43244</v>
          </cell>
          <cell r="F2414">
            <v>43275</v>
          </cell>
          <cell r="G2414">
            <v>43646</v>
          </cell>
          <cell r="H2414" t="str">
            <v>PRD</v>
          </cell>
          <cell r="I2414" t="str">
            <v>PRD</v>
          </cell>
          <cell r="J2414" t="str">
            <v>HONDA N-VAN</v>
          </cell>
          <cell r="K2414" t="str">
            <v>HONDA ENGINE ROOM L/R CABIN</v>
          </cell>
          <cell r="L2414" t="str">
            <v>CV B01</v>
          </cell>
          <cell r="M2414" t="str">
            <v>S/T 1.1</v>
          </cell>
          <cell r="N2414" t="str">
            <v>ASSEMBLY</v>
          </cell>
          <cell r="O2414" t="str">
            <v>B</v>
          </cell>
        </row>
        <row r="2415">
          <cell r="A2415">
            <v>22732</v>
          </cell>
          <cell r="B2415" t="str">
            <v>EKA SERLY ANJANI</v>
          </cell>
          <cell r="C2415" t="str">
            <v>SAMI</v>
          </cell>
          <cell r="D2415" t="str">
            <v>OPT-564</v>
          </cell>
          <cell r="E2415">
            <v>43255</v>
          </cell>
          <cell r="F2415">
            <v>43285</v>
          </cell>
          <cell r="G2415">
            <v>43646</v>
          </cell>
          <cell r="H2415" t="str">
            <v>PRD</v>
          </cell>
          <cell r="I2415" t="str">
            <v>PRD</v>
          </cell>
          <cell r="J2415" t="str">
            <v>HONDA N-VAN</v>
          </cell>
          <cell r="K2415" t="str">
            <v>HONDA ENGINE ROOM L/R CABIN</v>
          </cell>
          <cell r="L2415" t="str">
            <v>CV B01</v>
          </cell>
          <cell r="M2415" t="str">
            <v>T/P 3</v>
          </cell>
          <cell r="N2415" t="str">
            <v>ASSEMBLY</v>
          </cell>
          <cell r="O2415" t="str">
            <v>B</v>
          </cell>
        </row>
        <row r="2416">
          <cell r="A2416">
            <v>22920</v>
          </cell>
          <cell r="B2416" t="str">
            <v>DWI ZAIDAH</v>
          </cell>
          <cell r="C2416" t="str">
            <v>SAMI</v>
          </cell>
          <cell r="D2416" t="str">
            <v>OPT-568</v>
          </cell>
          <cell r="E2416">
            <v>43343</v>
          </cell>
          <cell r="F2416">
            <v>43374</v>
          </cell>
          <cell r="G2416">
            <v>43738</v>
          </cell>
          <cell r="H2416" t="str">
            <v>PRD</v>
          </cell>
          <cell r="I2416" t="str">
            <v>PRD</v>
          </cell>
          <cell r="J2416" t="str">
            <v>HONDA N-VAN</v>
          </cell>
          <cell r="K2416" t="str">
            <v>HONDA ENGINE ROOM L/R CABIN</v>
          </cell>
          <cell r="L2416" t="str">
            <v>CV B01</v>
          </cell>
          <cell r="M2416" t="str">
            <v>S/A IG + AB</v>
          </cell>
          <cell r="N2416" t="str">
            <v>SUB ASSY</v>
          </cell>
          <cell r="O2416" t="str">
            <v>B</v>
          </cell>
        </row>
        <row r="2417">
          <cell r="A2417">
            <v>22921</v>
          </cell>
          <cell r="B2417" t="str">
            <v>EGI FEBRIANI</v>
          </cell>
          <cell r="C2417" t="str">
            <v>SAMI</v>
          </cell>
          <cell r="D2417" t="str">
            <v>OPT-568</v>
          </cell>
          <cell r="E2417">
            <v>43343</v>
          </cell>
          <cell r="F2417">
            <v>43374</v>
          </cell>
          <cell r="G2417">
            <v>43738</v>
          </cell>
          <cell r="H2417" t="str">
            <v>PRD</v>
          </cell>
          <cell r="I2417" t="str">
            <v>PRD</v>
          </cell>
          <cell r="J2417" t="str">
            <v>HONDA N-VAN</v>
          </cell>
          <cell r="K2417" t="str">
            <v>HONDA ENGINE ROOM L/R CABIN</v>
          </cell>
          <cell r="L2417" t="str">
            <v>CV B01</v>
          </cell>
          <cell r="M2417" t="str">
            <v>T/P 4.1</v>
          </cell>
          <cell r="N2417" t="str">
            <v>ASSEMBLY</v>
          </cell>
          <cell r="O2417" t="str">
            <v>B</v>
          </cell>
        </row>
        <row r="2418">
          <cell r="A2418">
            <v>22955</v>
          </cell>
          <cell r="B2418" t="str">
            <v>MUHAMMAD IQBAL FAHMI GHOZALI</v>
          </cell>
          <cell r="C2418" t="str">
            <v>SAMI</v>
          </cell>
          <cell r="D2418" t="str">
            <v>OPT-568</v>
          </cell>
          <cell r="E2418">
            <v>43343</v>
          </cell>
          <cell r="F2418">
            <v>43374</v>
          </cell>
          <cell r="G2418">
            <v>43738</v>
          </cell>
          <cell r="H2418" t="str">
            <v>PRD</v>
          </cell>
          <cell r="I2418" t="str">
            <v>PRD</v>
          </cell>
          <cell r="J2418" t="str">
            <v>HONDA N-VAN</v>
          </cell>
          <cell r="K2418" t="str">
            <v>HONDA ENGINE ROOM L/R CABIN</v>
          </cell>
          <cell r="L2418" t="str">
            <v>CV B01</v>
          </cell>
          <cell r="M2418" t="str">
            <v>CAMERA FUSE</v>
          </cell>
          <cell r="N2418" t="str">
            <v>ASSEMBLY</v>
          </cell>
          <cell r="O2418" t="str">
            <v>B</v>
          </cell>
        </row>
        <row r="2419">
          <cell r="A2419">
            <v>23033</v>
          </cell>
          <cell r="B2419" t="str">
            <v>ISTIKOMAH</v>
          </cell>
          <cell r="C2419" t="str">
            <v>SAMI</v>
          </cell>
          <cell r="D2419" t="str">
            <v>OPT-569</v>
          </cell>
          <cell r="E2419">
            <v>43361</v>
          </cell>
          <cell r="F2419">
            <v>43391</v>
          </cell>
          <cell r="G2419">
            <v>43769</v>
          </cell>
          <cell r="H2419" t="str">
            <v>PRD</v>
          </cell>
          <cell r="I2419" t="str">
            <v>PRD</v>
          </cell>
          <cell r="J2419" t="str">
            <v>HONDA N-VAN</v>
          </cell>
          <cell r="K2419" t="str">
            <v>HONDA ENGINE ROOM L/R CABIN</v>
          </cell>
          <cell r="L2419" t="str">
            <v>CV B01</v>
          </cell>
          <cell r="M2419" t="str">
            <v>CIRCUIT SUPPLIER 02</v>
          </cell>
          <cell r="N2419" t="str">
            <v>CIRCUIT SUPPLY</v>
          </cell>
          <cell r="O2419" t="str">
            <v>B</v>
          </cell>
        </row>
        <row r="2420">
          <cell r="A2420">
            <v>23047</v>
          </cell>
          <cell r="B2420" t="str">
            <v>MITA SISMIATI</v>
          </cell>
          <cell r="C2420" t="str">
            <v>SAMI</v>
          </cell>
          <cell r="D2420" t="str">
            <v>OPT-569</v>
          </cell>
          <cell r="E2420">
            <v>43361</v>
          </cell>
          <cell r="F2420">
            <v>43391</v>
          </cell>
          <cell r="G2420">
            <v>43769</v>
          </cell>
          <cell r="H2420" t="str">
            <v>PRD</v>
          </cell>
          <cell r="I2420" t="str">
            <v>PRD</v>
          </cell>
          <cell r="J2420" t="str">
            <v>HONDA N-VAN</v>
          </cell>
          <cell r="K2420" t="str">
            <v>HONDA ENGINE ROOM L/R CABIN</v>
          </cell>
          <cell r="L2420" t="str">
            <v>CV B01</v>
          </cell>
          <cell r="M2420" t="str">
            <v>T/P 8</v>
          </cell>
          <cell r="N2420" t="str">
            <v>ASSEMBLY</v>
          </cell>
          <cell r="O2420" t="str">
            <v>B</v>
          </cell>
        </row>
        <row r="2421">
          <cell r="A2421">
            <v>23054</v>
          </cell>
          <cell r="B2421" t="str">
            <v>NILTA OKTAFIANI</v>
          </cell>
          <cell r="C2421" t="str">
            <v>SAMI</v>
          </cell>
          <cell r="D2421" t="str">
            <v>OPT-569</v>
          </cell>
          <cell r="E2421">
            <v>43361</v>
          </cell>
          <cell r="F2421">
            <v>43391</v>
          </cell>
          <cell r="G2421">
            <v>43769</v>
          </cell>
          <cell r="H2421" t="str">
            <v>PRD</v>
          </cell>
          <cell r="I2421" t="str">
            <v>PRD</v>
          </cell>
          <cell r="J2421" t="str">
            <v>HONDA N-VAN</v>
          </cell>
          <cell r="K2421" t="str">
            <v>HONDA ENGINE ROOM L/R CABIN</v>
          </cell>
          <cell r="L2421" t="str">
            <v>CV B01</v>
          </cell>
          <cell r="M2421" t="str">
            <v>S/T 2.2</v>
          </cell>
          <cell r="N2421" t="str">
            <v>ASSEMBLY</v>
          </cell>
          <cell r="O2421" t="str">
            <v>B</v>
          </cell>
        </row>
        <row r="2422">
          <cell r="A2422">
            <v>23210</v>
          </cell>
          <cell r="B2422" t="str">
            <v>DIAH TRI LESTARI</v>
          </cell>
          <cell r="C2422" t="str">
            <v>SAMI</v>
          </cell>
          <cell r="D2422" t="str">
            <v>OPT-573</v>
          </cell>
          <cell r="E2422">
            <v>43421</v>
          </cell>
          <cell r="F2422">
            <v>43451</v>
          </cell>
          <cell r="G2422">
            <v>43830</v>
          </cell>
          <cell r="H2422" t="str">
            <v>PRD</v>
          </cell>
          <cell r="I2422" t="str">
            <v>PRD</v>
          </cell>
          <cell r="J2422" t="str">
            <v>HONDA N-VAN</v>
          </cell>
          <cell r="K2422" t="str">
            <v>HONDA ENGINE ROOM L/R CABIN</v>
          </cell>
          <cell r="L2422" t="str">
            <v>CV B01</v>
          </cell>
          <cell r="M2422" t="str">
            <v>MATERIAL SUPPLIER</v>
          </cell>
          <cell r="N2422" t="str">
            <v>ASSEMBLY</v>
          </cell>
          <cell r="O2422" t="str">
            <v>B</v>
          </cell>
        </row>
        <row r="2423">
          <cell r="A2423">
            <v>23211</v>
          </cell>
          <cell r="B2423" t="str">
            <v>DIANA ISLAMIYATI</v>
          </cell>
          <cell r="C2423" t="str">
            <v>SAMI</v>
          </cell>
          <cell r="D2423" t="str">
            <v>OPT-573</v>
          </cell>
          <cell r="E2423">
            <v>43421</v>
          </cell>
          <cell r="F2423">
            <v>43451</v>
          </cell>
          <cell r="G2423">
            <v>43830</v>
          </cell>
          <cell r="H2423" t="str">
            <v>PRD</v>
          </cell>
          <cell r="I2423" t="str">
            <v>PRD</v>
          </cell>
          <cell r="J2423" t="str">
            <v>HONDA N-VAN</v>
          </cell>
          <cell r="K2423" t="str">
            <v>HONDA ENGINE ROOM L/R CABIN</v>
          </cell>
          <cell r="L2423" t="str">
            <v>CV B01</v>
          </cell>
          <cell r="M2423" t="str">
            <v>T/P 1.1</v>
          </cell>
          <cell r="N2423" t="str">
            <v>ASSEMBLY</v>
          </cell>
          <cell r="O2423" t="str">
            <v>B</v>
          </cell>
        </row>
        <row r="2424">
          <cell r="A2424">
            <v>23337</v>
          </cell>
          <cell r="B2424" t="str">
            <v>MUKHAMMAD AJRI KARIM</v>
          </cell>
          <cell r="C2424" t="str">
            <v>SAMI</v>
          </cell>
          <cell r="D2424" t="str">
            <v>OPT-574</v>
          </cell>
          <cell r="E2424">
            <v>43427</v>
          </cell>
          <cell r="F2424">
            <v>43457</v>
          </cell>
          <cell r="G2424">
            <v>43830</v>
          </cell>
          <cell r="H2424" t="str">
            <v>PRD</v>
          </cell>
          <cell r="I2424" t="str">
            <v>PRD</v>
          </cell>
          <cell r="J2424" t="str">
            <v>HONDA N-VAN</v>
          </cell>
          <cell r="K2424" t="str">
            <v>HONDA ENGINE ROOM L/R CABIN</v>
          </cell>
          <cell r="L2424" t="str">
            <v>CV B01</v>
          </cell>
          <cell r="M2424" t="str">
            <v>OJT SHIAGE</v>
          </cell>
          <cell r="N2424" t="str">
            <v>INTERNAL TRIAL</v>
          </cell>
          <cell r="O2424" t="str">
            <v>B</v>
          </cell>
        </row>
        <row r="2425">
          <cell r="A2425">
            <v>23338</v>
          </cell>
          <cell r="B2425" t="str">
            <v>MUNADHIRIN</v>
          </cell>
          <cell r="C2425" t="str">
            <v>SAMI</v>
          </cell>
          <cell r="D2425" t="str">
            <v>OPT-574</v>
          </cell>
          <cell r="E2425">
            <v>43427</v>
          </cell>
          <cell r="F2425">
            <v>43457</v>
          </cell>
          <cell r="G2425">
            <v>43830</v>
          </cell>
          <cell r="H2425" t="str">
            <v>PRD</v>
          </cell>
          <cell r="I2425" t="str">
            <v>PRD</v>
          </cell>
          <cell r="J2425" t="str">
            <v>HONDA N-VAN</v>
          </cell>
          <cell r="K2425" t="str">
            <v>HONDA ENGINE ROOM L/R CABIN</v>
          </cell>
          <cell r="L2425" t="str">
            <v>CV B01</v>
          </cell>
          <cell r="M2425" t="str">
            <v xml:space="preserve"> OJT EXPENDER GROMMET</v>
          </cell>
          <cell r="N2425" t="str">
            <v>INTERNAL TRIAL</v>
          </cell>
          <cell r="O2425" t="str">
            <v>B</v>
          </cell>
        </row>
        <row r="2426">
          <cell r="A2426">
            <v>23554</v>
          </cell>
          <cell r="B2426" t="str">
            <v>IFFAH NAILUS SA'ADAH</v>
          </cell>
          <cell r="C2426" t="str">
            <v>SAMI</v>
          </cell>
          <cell r="D2426" t="str">
            <v>OPT-577</v>
          </cell>
          <cell r="E2426">
            <v>43452</v>
          </cell>
          <cell r="F2426">
            <v>43483</v>
          </cell>
          <cell r="G2426">
            <v>43861</v>
          </cell>
          <cell r="H2426" t="str">
            <v>PRD</v>
          </cell>
          <cell r="I2426" t="str">
            <v>PRD</v>
          </cell>
          <cell r="J2426" t="str">
            <v>HONDA N-VAN</v>
          </cell>
          <cell r="K2426" t="str">
            <v>HONDA ENGINE ROOM L/R CABIN</v>
          </cell>
          <cell r="L2426" t="str">
            <v>CV B01</v>
          </cell>
          <cell r="M2426" t="str">
            <v>OJT</v>
          </cell>
          <cell r="N2426" t="str">
            <v>INTERNAL TRIAL</v>
          </cell>
          <cell r="O2426" t="str">
            <v>B</v>
          </cell>
        </row>
        <row r="2427">
          <cell r="A2427">
            <v>23590</v>
          </cell>
          <cell r="B2427" t="str">
            <v>SHIFANY NAZILAH</v>
          </cell>
          <cell r="C2427" t="str">
            <v>SAMI</v>
          </cell>
          <cell r="D2427" t="str">
            <v>OPT-577</v>
          </cell>
          <cell r="E2427">
            <v>43452</v>
          </cell>
          <cell r="F2427">
            <v>43483</v>
          </cell>
          <cell r="G2427">
            <v>43861</v>
          </cell>
          <cell r="H2427" t="str">
            <v>PRD</v>
          </cell>
          <cell r="I2427" t="str">
            <v>PRD</v>
          </cell>
          <cell r="J2427" t="str">
            <v>HONDA N-VAN</v>
          </cell>
          <cell r="K2427" t="str">
            <v>HONDA ENGINE ROOM L/R CABIN</v>
          </cell>
          <cell r="L2427" t="str">
            <v>CV B01</v>
          </cell>
          <cell r="M2427" t="str">
            <v>OJT</v>
          </cell>
          <cell r="N2427" t="str">
            <v>INTERNAL TRIAL</v>
          </cell>
          <cell r="O2427" t="str">
            <v>B</v>
          </cell>
        </row>
        <row r="2428">
          <cell r="A2428">
            <v>23591</v>
          </cell>
          <cell r="B2428" t="str">
            <v>SITI JAZIROH</v>
          </cell>
          <cell r="C2428" t="str">
            <v>SAMI</v>
          </cell>
          <cell r="D2428" t="str">
            <v>OPT-577</v>
          </cell>
          <cell r="E2428">
            <v>43452</v>
          </cell>
          <cell r="F2428">
            <v>43483</v>
          </cell>
          <cell r="G2428">
            <v>43861</v>
          </cell>
          <cell r="H2428" t="str">
            <v>PRD</v>
          </cell>
          <cell r="I2428" t="str">
            <v>PRD</v>
          </cell>
          <cell r="J2428" t="str">
            <v>HONDA N-VAN</v>
          </cell>
          <cell r="K2428" t="str">
            <v>HONDA ENGINE ROOM L/R CABIN</v>
          </cell>
          <cell r="L2428" t="str">
            <v>CV B01</v>
          </cell>
          <cell r="M2428" t="str">
            <v>OJT</v>
          </cell>
          <cell r="N2428" t="str">
            <v>INTERNAL TRIAL</v>
          </cell>
          <cell r="O2428" t="str">
            <v>B</v>
          </cell>
        </row>
        <row r="2429">
          <cell r="A2429" t="str">
            <v>M23634</v>
          </cell>
          <cell r="B2429" t="str">
            <v xml:space="preserve">ROSITIANA </v>
          </cell>
          <cell r="C2429" t="str">
            <v>SAMI</v>
          </cell>
          <cell r="D2429" t="str">
            <v>OPT-578</v>
          </cell>
          <cell r="E2429">
            <v>43467</v>
          </cell>
          <cell r="F2429">
            <v>43467</v>
          </cell>
          <cell r="G2429">
            <v>43497</v>
          </cell>
          <cell r="H2429" t="str">
            <v>PRD</v>
          </cell>
          <cell r="I2429" t="str">
            <v>PRD</v>
          </cell>
          <cell r="J2429" t="str">
            <v>HONDA N-VAN</v>
          </cell>
          <cell r="K2429" t="str">
            <v>HONDA ENGINE ROOM L/R CABIN</v>
          </cell>
          <cell r="L2429" t="str">
            <v>CV B01</v>
          </cell>
          <cell r="M2429" t="str">
            <v>OJT</v>
          </cell>
          <cell r="N2429" t="str">
            <v>INTERNAL TRIAL</v>
          </cell>
          <cell r="O2429" t="str">
            <v>B</v>
          </cell>
        </row>
        <row r="2430">
          <cell r="A2430" t="str">
            <v>M23642</v>
          </cell>
          <cell r="B2430" t="str">
            <v>VIVIN WAHYU WULANDARI</v>
          </cell>
          <cell r="C2430" t="str">
            <v>SAMI</v>
          </cell>
          <cell r="D2430" t="str">
            <v>OPT-578</v>
          </cell>
          <cell r="E2430">
            <v>43467</v>
          </cell>
          <cell r="F2430">
            <v>43467</v>
          </cell>
          <cell r="G2430">
            <v>43497</v>
          </cell>
          <cell r="H2430" t="str">
            <v>PRD</v>
          </cell>
          <cell r="I2430" t="str">
            <v>PRD</v>
          </cell>
          <cell r="J2430" t="str">
            <v>HONDA N-VAN</v>
          </cell>
          <cell r="K2430" t="str">
            <v>HONDA ENGINE ROOM L/R CABIN</v>
          </cell>
          <cell r="L2430" t="str">
            <v>CV B01</v>
          </cell>
          <cell r="M2430" t="str">
            <v>OJT</v>
          </cell>
          <cell r="N2430" t="str">
            <v>INTERNAL TRIAL</v>
          </cell>
          <cell r="O2430" t="str">
            <v>B</v>
          </cell>
        </row>
        <row r="2431">
          <cell r="A2431">
            <v>5713</v>
          </cell>
          <cell r="B2431" t="str">
            <v>MASUDAH</v>
          </cell>
          <cell r="C2431" t="str">
            <v>SAMI</v>
          </cell>
          <cell r="D2431" t="str">
            <v>OPT-134</v>
          </cell>
          <cell r="E2431">
            <v>39098</v>
          </cell>
          <cell r="F2431" t="str">
            <v>-</v>
          </cell>
          <cell r="G2431" t="str">
            <v>-</v>
          </cell>
          <cell r="H2431" t="str">
            <v>PRD</v>
          </cell>
          <cell r="I2431" t="str">
            <v>PRD</v>
          </cell>
          <cell r="J2431" t="str">
            <v>HONDA FIT</v>
          </cell>
          <cell r="K2431" t="str">
            <v>HONDA FIT SHUTTLE WH L CABIN</v>
          </cell>
          <cell r="L2431" t="str">
            <v>CV B09</v>
          </cell>
          <cell r="M2431" t="str">
            <v>BATERAY CABLE</v>
          </cell>
          <cell r="N2431" t="str">
            <v>ASSEMBLY</v>
          </cell>
          <cell r="O2431" t="str">
            <v>A</v>
          </cell>
        </row>
        <row r="2432">
          <cell r="A2432">
            <v>8952</v>
          </cell>
          <cell r="B2432" t="str">
            <v>SRI HARYANTI</v>
          </cell>
          <cell r="C2432" t="str">
            <v>SAMI</v>
          </cell>
          <cell r="D2432" t="str">
            <v>OPT-199</v>
          </cell>
          <cell r="E2432">
            <v>39968</v>
          </cell>
          <cell r="F2432" t="str">
            <v>-</v>
          </cell>
          <cell r="G2432" t="str">
            <v>-</v>
          </cell>
          <cell r="H2432" t="str">
            <v>PRD</v>
          </cell>
          <cell r="I2432" t="str">
            <v>PRD</v>
          </cell>
          <cell r="J2432" t="str">
            <v>HONDA FIT</v>
          </cell>
          <cell r="K2432" t="str">
            <v>HONDA FIT SHUTTLE WH L CABIN</v>
          </cell>
          <cell r="L2432" t="str">
            <v>CV B09</v>
          </cell>
          <cell r="M2432" t="str">
            <v>CHECKER 1</v>
          </cell>
          <cell r="N2432" t="str">
            <v>ELECTRICAL INSPECTION</v>
          </cell>
          <cell r="O2432" t="str">
            <v>A</v>
          </cell>
        </row>
        <row r="2433">
          <cell r="A2433">
            <v>9488</v>
          </cell>
          <cell r="B2433" t="str">
            <v>AKHMAD YAZIDUL HUDA</v>
          </cell>
          <cell r="C2433" t="str">
            <v>SAMI</v>
          </cell>
          <cell r="D2433" t="str">
            <v>OPT-216</v>
          </cell>
          <cell r="E2433">
            <v>40148</v>
          </cell>
          <cell r="F2433" t="str">
            <v>-</v>
          </cell>
          <cell r="G2433" t="str">
            <v>-</v>
          </cell>
          <cell r="H2433" t="str">
            <v>PRD</v>
          </cell>
          <cell r="I2433" t="str">
            <v>PRD</v>
          </cell>
          <cell r="J2433" t="str">
            <v>HONDA FIT</v>
          </cell>
          <cell r="K2433" t="str">
            <v>HONDA FIT SHUTTLE WH L CABIN</v>
          </cell>
          <cell r="L2433" t="str">
            <v>CV B09</v>
          </cell>
          <cell r="M2433" t="str">
            <v>LQC</v>
          </cell>
          <cell r="N2433" t="str">
            <v>RELIEF</v>
          </cell>
          <cell r="O2433" t="str">
            <v>A</v>
          </cell>
        </row>
        <row r="2434">
          <cell r="A2434">
            <v>10568</v>
          </cell>
          <cell r="B2434" t="str">
            <v>SRI SULASTRI</v>
          </cell>
          <cell r="C2434" t="str">
            <v>SAMI</v>
          </cell>
          <cell r="D2434" t="str">
            <v>OPT-275</v>
          </cell>
          <cell r="E2434">
            <v>40542</v>
          </cell>
          <cell r="F2434" t="str">
            <v>-</v>
          </cell>
          <cell r="G2434" t="str">
            <v>-</v>
          </cell>
          <cell r="H2434" t="str">
            <v>PRD</v>
          </cell>
          <cell r="I2434" t="str">
            <v>PRD</v>
          </cell>
          <cell r="J2434" t="str">
            <v>HONDA FIT</v>
          </cell>
          <cell r="K2434" t="str">
            <v>HONDA FIT SHUTTLE WH L CABIN</v>
          </cell>
          <cell r="L2434" t="str">
            <v>CV B09</v>
          </cell>
          <cell r="M2434" t="str">
            <v>S/A 2</v>
          </cell>
          <cell r="N2434" t="str">
            <v>SUB ASSY</v>
          </cell>
          <cell r="O2434" t="str">
            <v>A</v>
          </cell>
        </row>
        <row r="2435">
          <cell r="A2435">
            <v>10580</v>
          </cell>
          <cell r="B2435" t="str">
            <v>DESTY ARIYANI</v>
          </cell>
          <cell r="C2435" t="str">
            <v>SAMI</v>
          </cell>
          <cell r="D2435" t="str">
            <v>OPT-276</v>
          </cell>
          <cell r="E2435">
            <v>40544</v>
          </cell>
          <cell r="F2435" t="str">
            <v>-</v>
          </cell>
          <cell r="G2435" t="str">
            <v>-</v>
          </cell>
          <cell r="H2435" t="str">
            <v>PRD</v>
          </cell>
          <cell r="I2435" t="str">
            <v>PRD</v>
          </cell>
          <cell r="J2435" t="str">
            <v>HONDA FIT</v>
          </cell>
          <cell r="K2435" t="str">
            <v>HONDA FIT SHUTTLE WH L CABIN</v>
          </cell>
          <cell r="L2435" t="str">
            <v>CV B09</v>
          </cell>
          <cell r="M2435" t="str">
            <v>SUB LINE CHO</v>
          </cell>
          <cell r="N2435" t="str">
            <v>GL</v>
          </cell>
          <cell r="O2435" t="str">
            <v>A</v>
          </cell>
        </row>
        <row r="2436">
          <cell r="A2436">
            <v>10695</v>
          </cell>
          <cell r="B2436" t="str">
            <v>AYU ROSO WULAN</v>
          </cell>
          <cell r="C2436" t="str">
            <v>SAMI</v>
          </cell>
          <cell r="D2436" t="str">
            <v>OPT-280</v>
          </cell>
          <cell r="E2436">
            <v>40560</v>
          </cell>
          <cell r="F2436" t="str">
            <v>-</v>
          </cell>
          <cell r="G2436" t="str">
            <v>-</v>
          </cell>
          <cell r="H2436" t="str">
            <v>PRD</v>
          </cell>
          <cell r="I2436" t="str">
            <v>PRD</v>
          </cell>
          <cell r="J2436" t="str">
            <v>HONDA FIT</v>
          </cell>
          <cell r="K2436" t="str">
            <v>HONDA FIT SHUTTLE WH L CABIN</v>
          </cell>
          <cell r="L2436" t="str">
            <v>CV B09</v>
          </cell>
          <cell r="M2436" t="str">
            <v>S/A 3.2</v>
          </cell>
          <cell r="N2436" t="str">
            <v>SUB ASSY</v>
          </cell>
          <cell r="O2436" t="str">
            <v>A</v>
          </cell>
        </row>
        <row r="2437">
          <cell r="A2437">
            <v>11894</v>
          </cell>
          <cell r="B2437" t="str">
            <v>SOFIANA QOLBA</v>
          </cell>
          <cell r="C2437" t="str">
            <v>SAMI</v>
          </cell>
          <cell r="D2437" t="str">
            <v>OPT-310</v>
          </cell>
          <cell r="E2437">
            <v>40735</v>
          </cell>
          <cell r="F2437" t="str">
            <v>-</v>
          </cell>
          <cell r="G2437" t="str">
            <v>-</v>
          </cell>
          <cell r="H2437" t="str">
            <v>PRD</v>
          </cell>
          <cell r="I2437" t="str">
            <v>PRD</v>
          </cell>
          <cell r="J2437" t="str">
            <v>HONDA FIT</v>
          </cell>
          <cell r="K2437" t="str">
            <v>HONDA FIT SHUTTLE WH L CABIN</v>
          </cell>
          <cell r="L2437" t="str">
            <v>CV B09</v>
          </cell>
          <cell r="M2437" t="str">
            <v>CAMERA FUSE</v>
          </cell>
          <cell r="N2437" t="str">
            <v>ELECTRICAL INSPECTION</v>
          </cell>
          <cell r="O2437" t="str">
            <v>A</v>
          </cell>
        </row>
        <row r="2438">
          <cell r="A2438">
            <v>12538</v>
          </cell>
          <cell r="B2438" t="str">
            <v>SITI ROHMATUN</v>
          </cell>
          <cell r="C2438" t="str">
            <v>SAMI</v>
          </cell>
          <cell r="D2438" t="str">
            <v>OPT-318</v>
          </cell>
          <cell r="E2438">
            <v>40812</v>
          </cell>
          <cell r="F2438" t="str">
            <v>-</v>
          </cell>
          <cell r="G2438" t="str">
            <v>-</v>
          </cell>
          <cell r="H2438" t="str">
            <v>PRD</v>
          </cell>
          <cell r="I2438" t="str">
            <v>PRD</v>
          </cell>
          <cell r="J2438" t="str">
            <v>HONDA FIT</v>
          </cell>
          <cell r="K2438" t="str">
            <v>HONDA FIT SHUTTLE WH L CABIN</v>
          </cell>
          <cell r="L2438" t="str">
            <v>CV B09</v>
          </cell>
          <cell r="M2438" t="str">
            <v>VISUAL</v>
          </cell>
          <cell r="N2438" t="str">
            <v>VISUAL INSPECTION</v>
          </cell>
          <cell r="O2438" t="str">
            <v>A</v>
          </cell>
        </row>
        <row r="2439">
          <cell r="A2439">
            <v>12709</v>
          </cell>
          <cell r="B2439" t="str">
            <v>PRISANTI DWI A.</v>
          </cell>
          <cell r="C2439" t="str">
            <v>SAMI</v>
          </cell>
          <cell r="D2439" t="str">
            <v>OPT-320</v>
          </cell>
          <cell r="E2439">
            <v>40819</v>
          </cell>
          <cell r="F2439" t="str">
            <v>-</v>
          </cell>
          <cell r="G2439" t="str">
            <v>-</v>
          </cell>
          <cell r="H2439" t="str">
            <v>PRD</v>
          </cell>
          <cell r="I2439" t="str">
            <v>PRD</v>
          </cell>
          <cell r="J2439" t="str">
            <v>HONDA FIT</v>
          </cell>
          <cell r="K2439" t="str">
            <v>HONDA FIT SHUTTLE WH L CABIN</v>
          </cell>
          <cell r="L2439" t="str">
            <v>CV B09</v>
          </cell>
          <cell r="M2439" t="str">
            <v>S/T 2.2</v>
          </cell>
          <cell r="N2439" t="str">
            <v>ASSEMBLY</v>
          </cell>
          <cell r="O2439" t="str">
            <v>A</v>
          </cell>
        </row>
        <row r="2440">
          <cell r="A2440">
            <v>12764</v>
          </cell>
          <cell r="B2440" t="str">
            <v>SUCI AJI MARYASA</v>
          </cell>
          <cell r="C2440" t="str">
            <v>SAMI</v>
          </cell>
          <cell r="D2440" t="str">
            <v>OPT-320</v>
          </cell>
          <cell r="E2440">
            <v>40819</v>
          </cell>
          <cell r="F2440" t="str">
            <v>-</v>
          </cell>
          <cell r="G2440" t="str">
            <v>-</v>
          </cell>
          <cell r="H2440" t="str">
            <v>PRD</v>
          </cell>
          <cell r="I2440" t="str">
            <v>PRD</v>
          </cell>
          <cell r="J2440" t="str">
            <v>HONDA FIT</v>
          </cell>
          <cell r="K2440" t="str">
            <v>HONDA FIT SHUTTLE WH L CABIN</v>
          </cell>
          <cell r="L2440" t="str">
            <v>CV B09</v>
          </cell>
          <cell r="M2440" t="str">
            <v>LQC</v>
          </cell>
          <cell r="N2440" t="str">
            <v>RELIEF</v>
          </cell>
          <cell r="O2440" t="str">
            <v>A</v>
          </cell>
        </row>
        <row r="2441">
          <cell r="A2441">
            <v>12813</v>
          </cell>
          <cell r="B2441" t="str">
            <v>EKO TRIYONO</v>
          </cell>
          <cell r="C2441" t="str">
            <v>SAMI</v>
          </cell>
          <cell r="D2441" t="str">
            <v>OPT-321</v>
          </cell>
          <cell r="E2441">
            <v>40826</v>
          </cell>
          <cell r="F2441" t="str">
            <v>-</v>
          </cell>
          <cell r="G2441" t="str">
            <v>-</v>
          </cell>
          <cell r="H2441" t="str">
            <v>PRD</v>
          </cell>
          <cell r="I2441" t="str">
            <v>PRD</v>
          </cell>
          <cell r="J2441" t="str">
            <v>HONDA FIT</v>
          </cell>
          <cell r="K2441" t="str">
            <v>HONDA FIT SHUTTLE WH L CABIN</v>
          </cell>
          <cell r="L2441" t="str">
            <v>CV B09</v>
          </cell>
          <cell r="M2441" t="str">
            <v>SUB LINE CHO</v>
          </cell>
          <cell r="N2441" t="str">
            <v>GL</v>
          </cell>
          <cell r="O2441" t="str">
            <v>A</v>
          </cell>
        </row>
        <row r="2442">
          <cell r="A2442">
            <v>12981</v>
          </cell>
          <cell r="B2442" t="str">
            <v>NIKMATUL HIDAYAH</v>
          </cell>
          <cell r="C2442" t="str">
            <v>SAMI</v>
          </cell>
          <cell r="D2442" t="str">
            <v>OPT-323</v>
          </cell>
          <cell r="E2442">
            <v>40840</v>
          </cell>
          <cell r="F2442" t="str">
            <v>-</v>
          </cell>
          <cell r="G2442" t="str">
            <v>-</v>
          </cell>
          <cell r="H2442" t="str">
            <v>PRD</v>
          </cell>
          <cell r="I2442" t="str">
            <v>PRD</v>
          </cell>
          <cell r="J2442" t="str">
            <v>HONDA FIT</v>
          </cell>
          <cell r="K2442" t="str">
            <v>HONDA FIT SHUTTLE WH L CABIN</v>
          </cell>
          <cell r="L2442" t="str">
            <v>CV B09</v>
          </cell>
          <cell r="M2442" t="str">
            <v>T/P 1.2</v>
          </cell>
          <cell r="N2442" t="str">
            <v>ASSEMBLY</v>
          </cell>
          <cell r="O2442" t="str">
            <v>A</v>
          </cell>
        </row>
        <row r="2443">
          <cell r="A2443">
            <v>18844</v>
          </cell>
          <cell r="B2443" t="str">
            <v>HERU RETNO WIDYASTUTI</v>
          </cell>
          <cell r="C2443" t="str">
            <v>SAMI</v>
          </cell>
          <cell r="D2443" t="str">
            <v>OPT-469</v>
          </cell>
          <cell r="E2443">
            <v>42210</v>
          </cell>
          <cell r="F2443" t="str">
            <v>-</v>
          </cell>
          <cell r="G2443" t="str">
            <v>-</v>
          </cell>
          <cell r="H2443" t="str">
            <v>PRD</v>
          </cell>
          <cell r="I2443" t="str">
            <v>PRD</v>
          </cell>
          <cell r="J2443" t="str">
            <v>HONDA FIT</v>
          </cell>
          <cell r="K2443" t="str">
            <v>HONDA FIT SHUTTLE WH L CABIN</v>
          </cell>
          <cell r="L2443" t="str">
            <v>CV B09</v>
          </cell>
          <cell r="M2443" t="str">
            <v>S/T 4</v>
          </cell>
          <cell r="N2443" t="str">
            <v>ASSEMBLY</v>
          </cell>
          <cell r="O2443" t="str">
            <v>A</v>
          </cell>
        </row>
        <row r="2444">
          <cell r="A2444">
            <v>20439</v>
          </cell>
          <cell r="B2444" t="str">
            <v>ATIK NURJANAH</v>
          </cell>
          <cell r="C2444" t="str">
            <v>SAMI</v>
          </cell>
          <cell r="D2444" t="str">
            <v>OPT-504</v>
          </cell>
          <cell r="E2444">
            <v>42634</v>
          </cell>
          <cell r="F2444">
            <v>43132</v>
          </cell>
          <cell r="G2444">
            <v>43496</v>
          </cell>
          <cell r="H2444" t="str">
            <v>PRD</v>
          </cell>
          <cell r="I2444" t="str">
            <v>PRD</v>
          </cell>
          <cell r="J2444" t="str">
            <v>HONDA FIT</v>
          </cell>
          <cell r="K2444" t="str">
            <v>HONDA FIT SHUTTLE WH L CABIN</v>
          </cell>
          <cell r="L2444" t="str">
            <v>CV B09</v>
          </cell>
          <cell r="M2444" t="str">
            <v>S/T 1.2</v>
          </cell>
          <cell r="N2444" t="str">
            <v>ASSEMBLY</v>
          </cell>
          <cell r="O2444" t="str">
            <v>A</v>
          </cell>
        </row>
        <row r="2445">
          <cell r="A2445">
            <v>20457</v>
          </cell>
          <cell r="B2445" t="str">
            <v>MEGA BINTANG MAHALLIA</v>
          </cell>
          <cell r="C2445" t="str">
            <v>SAMI</v>
          </cell>
          <cell r="D2445" t="str">
            <v>OPT-504</v>
          </cell>
          <cell r="E2445">
            <v>42634</v>
          </cell>
          <cell r="F2445">
            <v>43132</v>
          </cell>
          <cell r="G2445">
            <v>43496</v>
          </cell>
          <cell r="H2445" t="str">
            <v>PRD</v>
          </cell>
          <cell r="I2445" t="str">
            <v>PRD</v>
          </cell>
          <cell r="J2445" t="str">
            <v>HONDA FIT</v>
          </cell>
          <cell r="K2445" t="str">
            <v>HONDA FIT SHUTTLE WH L CABIN</v>
          </cell>
          <cell r="L2445" t="str">
            <v>CV B09</v>
          </cell>
          <cell r="M2445" t="str">
            <v>T/P 1.1</v>
          </cell>
          <cell r="N2445" t="str">
            <v>ASSEMBLY</v>
          </cell>
          <cell r="O2445" t="str">
            <v>A</v>
          </cell>
        </row>
        <row r="2446">
          <cell r="A2446">
            <v>20491</v>
          </cell>
          <cell r="B2446" t="str">
            <v>LENI NUR FAOZIYAH</v>
          </cell>
          <cell r="C2446" t="str">
            <v>SAMI</v>
          </cell>
          <cell r="D2446" t="str">
            <v>OPT-504</v>
          </cell>
          <cell r="E2446">
            <v>42634</v>
          </cell>
          <cell r="F2446">
            <v>43132</v>
          </cell>
          <cell r="G2446">
            <v>43496</v>
          </cell>
          <cell r="H2446" t="str">
            <v>PRD</v>
          </cell>
          <cell r="I2446" t="str">
            <v>PRD</v>
          </cell>
          <cell r="J2446" t="str">
            <v>HONDA FIT</v>
          </cell>
          <cell r="K2446" t="str">
            <v>HONDA FIT SHUTTLE WH L CABIN</v>
          </cell>
          <cell r="L2446" t="str">
            <v>CV B09</v>
          </cell>
          <cell r="M2446" t="str">
            <v>S/A 3.1</v>
          </cell>
          <cell r="N2446" t="str">
            <v>SUB ASSY</v>
          </cell>
          <cell r="O2446" t="str">
            <v>A</v>
          </cell>
        </row>
        <row r="2447">
          <cell r="A2447">
            <v>20642</v>
          </cell>
          <cell r="B2447" t="str">
            <v>RIZKA ASROKA</v>
          </cell>
          <cell r="C2447" t="str">
            <v>SAMI</v>
          </cell>
          <cell r="D2447" t="str">
            <v>OPT-505</v>
          </cell>
          <cell r="E2447">
            <v>42639</v>
          </cell>
          <cell r="F2447">
            <v>43132</v>
          </cell>
          <cell r="G2447">
            <v>43496</v>
          </cell>
          <cell r="H2447" t="str">
            <v>PRD</v>
          </cell>
          <cell r="I2447" t="str">
            <v>PRD</v>
          </cell>
          <cell r="J2447" t="str">
            <v>HONDA FIT</v>
          </cell>
          <cell r="K2447" t="str">
            <v>HONDA FIT SHUTTLE WH L CABIN</v>
          </cell>
          <cell r="L2447" t="str">
            <v>CV B09</v>
          </cell>
          <cell r="M2447" t="str">
            <v>T/P 5.2</v>
          </cell>
          <cell r="N2447" t="str">
            <v>ASSEMBLY</v>
          </cell>
          <cell r="O2447" t="str">
            <v>A</v>
          </cell>
        </row>
        <row r="2448">
          <cell r="A2448">
            <v>20690</v>
          </cell>
          <cell r="B2448" t="str">
            <v xml:space="preserve">YUNITA FURIYANTI </v>
          </cell>
          <cell r="C2448" t="str">
            <v>SAMI</v>
          </cell>
          <cell r="D2448" t="str">
            <v>OPT-505</v>
          </cell>
          <cell r="E2448">
            <v>42639</v>
          </cell>
          <cell r="F2448">
            <v>43132</v>
          </cell>
          <cell r="G2448">
            <v>43496</v>
          </cell>
          <cell r="H2448" t="str">
            <v>PRD</v>
          </cell>
          <cell r="I2448" t="str">
            <v>PRD</v>
          </cell>
          <cell r="J2448" t="str">
            <v>HONDA FIT</v>
          </cell>
          <cell r="K2448" t="str">
            <v>HONDA FIT SHUTTLE WH L CABIN</v>
          </cell>
          <cell r="L2448" t="str">
            <v>CV B09</v>
          </cell>
          <cell r="M2448" t="str">
            <v>CIRCUIT SUPPLIER 01</v>
          </cell>
          <cell r="N2448" t="str">
            <v>CIRCUIT SUPPLY</v>
          </cell>
          <cell r="O2448" t="str">
            <v>A</v>
          </cell>
        </row>
        <row r="2449">
          <cell r="A2449">
            <v>20705</v>
          </cell>
          <cell r="B2449" t="str">
            <v xml:space="preserve">E. LINDA KRISTIANI </v>
          </cell>
          <cell r="C2449" t="str">
            <v>SAMI</v>
          </cell>
          <cell r="D2449" t="str">
            <v>OPT-506</v>
          </cell>
          <cell r="E2449">
            <v>42642</v>
          </cell>
          <cell r="F2449">
            <v>43132</v>
          </cell>
          <cell r="G2449">
            <v>43496</v>
          </cell>
          <cell r="H2449" t="str">
            <v>PRD</v>
          </cell>
          <cell r="I2449" t="str">
            <v>PRD</v>
          </cell>
          <cell r="J2449" t="str">
            <v>HONDA FIT</v>
          </cell>
          <cell r="K2449" t="str">
            <v>HONDA FIT SHUTTLE WH L CABIN</v>
          </cell>
          <cell r="L2449" t="str">
            <v>CV B09</v>
          </cell>
          <cell r="M2449" t="str">
            <v>S/T 2.1</v>
          </cell>
          <cell r="N2449" t="str">
            <v>ASSEMBLY</v>
          </cell>
          <cell r="O2449" t="str">
            <v>A</v>
          </cell>
        </row>
        <row r="2450">
          <cell r="A2450">
            <v>20782</v>
          </cell>
          <cell r="B2450" t="str">
            <v>FERA ANDRIANI</v>
          </cell>
          <cell r="C2450" t="str">
            <v>SAMI</v>
          </cell>
          <cell r="D2450" t="str">
            <v>OPT-506</v>
          </cell>
          <cell r="E2450">
            <v>42642</v>
          </cell>
          <cell r="F2450">
            <v>43132</v>
          </cell>
          <cell r="G2450">
            <v>43496</v>
          </cell>
          <cell r="H2450" t="str">
            <v>PRD</v>
          </cell>
          <cell r="I2450" t="str">
            <v>PRD</v>
          </cell>
          <cell r="J2450" t="str">
            <v>HONDA FIT</v>
          </cell>
          <cell r="K2450" t="str">
            <v>HONDA FIT SHUTTLE WH L CABIN</v>
          </cell>
          <cell r="L2450" t="str">
            <v>CV B09</v>
          </cell>
          <cell r="M2450" t="str">
            <v>COROBIKI</v>
          </cell>
          <cell r="N2450" t="str">
            <v>F/A CONTROLLER</v>
          </cell>
          <cell r="O2450" t="str">
            <v>A</v>
          </cell>
        </row>
        <row r="2451">
          <cell r="A2451">
            <v>20841</v>
          </cell>
          <cell r="B2451" t="str">
            <v>RIDAKRISSIA</v>
          </cell>
          <cell r="C2451" t="str">
            <v>SAMI</v>
          </cell>
          <cell r="D2451" t="str">
            <v>OPT-509</v>
          </cell>
          <cell r="E2451">
            <v>42656</v>
          </cell>
          <cell r="F2451">
            <v>43132</v>
          </cell>
          <cell r="G2451">
            <v>43496</v>
          </cell>
          <cell r="H2451" t="str">
            <v>PRD</v>
          </cell>
          <cell r="I2451" t="str">
            <v>PRD</v>
          </cell>
          <cell r="J2451" t="str">
            <v>HONDA FIT</v>
          </cell>
          <cell r="K2451" t="str">
            <v>HONDA FIT SHUTTLE WH L CABIN</v>
          </cell>
          <cell r="L2451" t="str">
            <v>CV B09</v>
          </cell>
          <cell r="M2451" t="str">
            <v>T/P 5.1</v>
          </cell>
          <cell r="N2451" t="str">
            <v>ASSEMBLY</v>
          </cell>
          <cell r="O2451" t="str">
            <v>A</v>
          </cell>
        </row>
        <row r="2452">
          <cell r="A2452">
            <v>20866</v>
          </cell>
          <cell r="B2452" t="str">
            <v>HERY FITRIYANTO</v>
          </cell>
          <cell r="C2452" t="str">
            <v>SAMI</v>
          </cell>
          <cell r="D2452" t="str">
            <v>OPT-510</v>
          </cell>
          <cell r="E2452">
            <v>42660</v>
          </cell>
          <cell r="F2452">
            <v>43160</v>
          </cell>
          <cell r="G2452">
            <v>43524</v>
          </cell>
          <cell r="H2452" t="str">
            <v>PRD</v>
          </cell>
          <cell r="I2452" t="str">
            <v>PRD</v>
          </cell>
          <cell r="J2452" t="str">
            <v>HONDA FIT</v>
          </cell>
          <cell r="K2452" t="str">
            <v>HONDA FIT SHUTTLE WH L CABIN</v>
          </cell>
          <cell r="L2452" t="str">
            <v>CV B09</v>
          </cell>
          <cell r="M2452" t="str">
            <v>PROTECTOR</v>
          </cell>
          <cell r="N2452" t="str">
            <v>ASSEMBLY</v>
          </cell>
          <cell r="O2452" t="str">
            <v>A</v>
          </cell>
        </row>
        <row r="2453">
          <cell r="A2453">
            <v>20972</v>
          </cell>
          <cell r="B2453" t="str">
            <v>BAITUL ROHMANIYAH</v>
          </cell>
          <cell r="C2453" t="str">
            <v>SAMI</v>
          </cell>
          <cell r="D2453" t="str">
            <v>OPT-513</v>
          </cell>
          <cell r="E2453">
            <v>42674</v>
          </cell>
          <cell r="F2453">
            <v>43160</v>
          </cell>
          <cell r="G2453">
            <v>43524</v>
          </cell>
          <cell r="H2453" t="str">
            <v>PRD</v>
          </cell>
          <cell r="I2453" t="str">
            <v>PRD</v>
          </cell>
          <cell r="J2453" t="str">
            <v>HONDA FIT</v>
          </cell>
          <cell r="K2453" t="str">
            <v>HONDA FIT SHUTTLE WH L CABIN</v>
          </cell>
          <cell r="L2453" t="str">
            <v>CV B09</v>
          </cell>
          <cell r="M2453" t="str">
            <v>T/P 3.1</v>
          </cell>
          <cell r="N2453" t="str">
            <v>ASSEMBLY</v>
          </cell>
          <cell r="O2453" t="str">
            <v>A</v>
          </cell>
        </row>
        <row r="2454">
          <cell r="A2454">
            <v>21206</v>
          </cell>
          <cell r="B2454" t="str">
            <v>AHMAT TAUFIK JUWARNO</v>
          </cell>
          <cell r="C2454" t="str">
            <v>SAMI</v>
          </cell>
          <cell r="D2454" t="str">
            <v>OPT-523</v>
          </cell>
          <cell r="E2454">
            <v>42877</v>
          </cell>
          <cell r="F2454">
            <v>43374</v>
          </cell>
          <cell r="G2454">
            <v>43738</v>
          </cell>
          <cell r="H2454" t="str">
            <v>PRD</v>
          </cell>
          <cell r="I2454" t="str">
            <v>PRD</v>
          </cell>
          <cell r="J2454" t="str">
            <v>HONDA FIT</v>
          </cell>
          <cell r="K2454" t="str">
            <v>HONDA FIT SHUTTLE WH L CABIN</v>
          </cell>
          <cell r="L2454" t="str">
            <v>CV B09</v>
          </cell>
          <cell r="M2454" t="str">
            <v>T/P 6</v>
          </cell>
          <cell r="N2454" t="str">
            <v>ASSEMBLY</v>
          </cell>
          <cell r="O2454" t="str">
            <v>A</v>
          </cell>
        </row>
        <row r="2455">
          <cell r="A2455">
            <v>21209</v>
          </cell>
          <cell r="B2455" t="str">
            <v>DONI SETIWAN</v>
          </cell>
          <cell r="C2455" t="str">
            <v>SAMI</v>
          </cell>
          <cell r="D2455" t="str">
            <v>OPT-523</v>
          </cell>
          <cell r="E2455">
            <v>42877</v>
          </cell>
          <cell r="F2455">
            <v>43374</v>
          </cell>
          <cell r="G2455">
            <v>43738</v>
          </cell>
          <cell r="H2455" t="str">
            <v>PRD</v>
          </cell>
          <cell r="I2455" t="str">
            <v>PRD</v>
          </cell>
          <cell r="J2455" t="str">
            <v>HONDA FIT</v>
          </cell>
          <cell r="K2455" t="str">
            <v>HONDA FIT SHUTTLE WH L CABIN</v>
          </cell>
          <cell r="L2455" t="str">
            <v>CV B09</v>
          </cell>
          <cell r="M2455" t="str">
            <v>PROTECTOR</v>
          </cell>
          <cell r="N2455" t="str">
            <v>ASSEMBLY</v>
          </cell>
          <cell r="O2455" t="str">
            <v>A</v>
          </cell>
        </row>
        <row r="2456">
          <cell r="A2456">
            <v>21246</v>
          </cell>
          <cell r="B2456" t="str">
            <v>NUR WAHYUNI</v>
          </cell>
          <cell r="C2456" t="str">
            <v>SAMI</v>
          </cell>
          <cell r="D2456" t="str">
            <v>OPT-525</v>
          </cell>
          <cell r="E2456">
            <v>42893</v>
          </cell>
          <cell r="F2456">
            <v>43374</v>
          </cell>
          <cell r="G2456">
            <v>43738</v>
          </cell>
          <cell r="H2456" t="str">
            <v>PRD</v>
          </cell>
          <cell r="I2456" t="str">
            <v>PRD</v>
          </cell>
          <cell r="J2456" t="str">
            <v>HONDA FIT</v>
          </cell>
          <cell r="K2456" t="str">
            <v>HONDA FIT SHUTTLE WH L CABIN</v>
          </cell>
          <cell r="L2456" t="str">
            <v>CV B09</v>
          </cell>
          <cell r="M2456" t="str">
            <v>S/T 3.1</v>
          </cell>
          <cell r="N2456" t="str">
            <v>ASSEMBLY</v>
          </cell>
          <cell r="O2456" t="str">
            <v>A</v>
          </cell>
        </row>
        <row r="2457">
          <cell r="A2457">
            <v>21259</v>
          </cell>
          <cell r="B2457" t="str">
            <v>VIVI SEPTIYANI</v>
          </cell>
          <cell r="C2457" t="str">
            <v>SAMI</v>
          </cell>
          <cell r="D2457" t="str">
            <v>OPT-525</v>
          </cell>
          <cell r="E2457">
            <v>42893</v>
          </cell>
          <cell r="F2457">
            <v>43374</v>
          </cell>
          <cell r="G2457">
            <v>43738</v>
          </cell>
          <cell r="H2457" t="str">
            <v>PRD</v>
          </cell>
          <cell r="I2457" t="str">
            <v>PRD</v>
          </cell>
          <cell r="J2457" t="str">
            <v>HONDA FIT</v>
          </cell>
          <cell r="K2457" t="str">
            <v>HONDA FIT SHUTTLE WH L CABIN</v>
          </cell>
          <cell r="L2457" t="str">
            <v>CV B09</v>
          </cell>
          <cell r="M2457" t="str">
            <v>T/P 4.1</v>
          </cell>
          <cell r="N2457" t="str">
            <v>ASSEMBLY</v>
          </cell>
          <cell r="O2457" t="str">
            <v>A</v>
          </cell>
        </row>
        <row r="2458">
          <cell r="A2458">
            <v>21263</v>
          </cell>
          <cell r="B2458" t="str">
            <v xml:space="preserve">DINDA MAULITA </v>
          </cell>
          <cell r="C2458" t="str">
            <v>SAMI</v>
          </cell>
          <cell r="D2458" t="str">
            <v>OPT-527</v>
          </cell>
          <cell r="E2458">
            <v>42919</v>
          </cell>
          <cell r="F2458">
            <v>43374</v>
          </cell>
          <cell r="G2458">
            <v>43738</v>
          </cell>
          <cell r="H2458" t="str">
            <v>PRD</v>
          </cell>
          <cell r="I2458" t="str">
            <v>PRD</v>
          </cell>
          <cell r="J2458" t="str">
            <v>HONDA FIT</v>
          </cell>
          <cell r="K2458" t="str">
            <v>HONDA FIT SHUTTLE WH L CABIN</v>
          </cell>
          <cell r="L2458" t="str">
            <v>CV B09</v>
          </cell>
          <cell r="M2458" t="str">
            <v>S/A 5</v>
          </cell>
          <cell r="N2458" t="str">
            <v>SUB ASSY</v>
          </cell>
          <cell r="O2458" t="str">
            <v>A</v>
          </cell>
        </row>
        <row r="2459">
          <cell r="A2459">
            <v>21279</v>
          </cell>
          <cell r="B2459" t="str">
            <v>AYU NOFITASARI</v>
          </cell>
          <cell r="C2459" t="str">
            <v>SAMI</v>
          </cell>
          <cell r="D2459" t="str">
            <v>OPT-530</v>
          </cell>
          <cell r="E2459">
            <v>43010</v>
          </cell>
          <cell r="F2459">
            <v>43405</v>
          </cell>
          <cell r="G2459">
            <v>43769</v>
          </cell>
          <cell r="H2459" t="str">
            <v>PRD</v>
          </cell>
          <cell r="I2459" t="str">
            <v>PRD</v>
          </cell>
          <cell r="J2459" t="str">
            <v>HONDA FIT</v>
          </cell>
          <cell r="K2459" t="str">
            <v>HONDA FIT SHUTTLE WH L CABIN</v>
          </cell>
          <cell r="L2459" t="str">
            <v>CV B09</v>
          </cell>
          <cell r="M2459" t="str">
            <v>T/P 2.2</v>
          </cell>
          <cell r="N2459" t="str">
            <v>ASSEMBLY</v>
          </cell>
          <cell r="O2459" t="str">
            <v>A</v>
          </cell>
        </row>
        <row r="2460">
          <cell r="A2460">
            <v>21343</v>
          </cell>
          <cell r="B2460" t="str">
            <v>ISTRI NUR CHASANAH</v>
          </cell>
          <cell r="C2460" t="str">
            <v>SAMI</v>
          </cell>
          <cell r="D2460" t="str">
            <v>OPT-531</v>
          </cell>
          <cell r="E2460">
            <v>43013</v>
          </cell>
          <cell r="F2460">
            <v>43405</v>
          </cell>
          <cell r="G2460">
            <v>43769</v>
          </cell>
          <cell r="H2460" t="str">
            <v>PRD</v>
          </cell>
          <cell r="I2460" t="str">
            <v>PRD</v>
          </cell>
          <cell r="J2460" t="str">
            <v>HONDA FIT</v>
          </cell>
          <cell r="K2460" t="str">
            <v>HONDA FIT SHUTTLE WH L CABIN</v>
          </cell>
          <cell r="L2460" t="str">
            <v>CV B09</v>
          </cell>
          <cell r="M2460" t="str">
            <v>CHECKER 3</v>
          </cell>
          <cell r="N2460" t="str">
            <v>ELECTRICAL INSPECTION</v>
          </cell>
          <cell r="O2460" t="str">
            <v>A</v>
          </cell>
        </row>
        <row r="2461">
          <cell r="A2461">
            <v>21357</v>
          </cell>
          <cell r="B2461" t="str">
            <v>NURUL IFROKHAH</v>
          </cell>
          <cell r="C2461" t="str">
            <v>SAMI</v>
          </cell>
          <cell r="D2461" t="str">
            <v>OPT-531</v>
          </cell>
          <cell r="E2461">
            <v>43013</v>
          </cell>
          <cell r="F2461">
            <v>43405</v>
          </cell>
          <cell r="G2461">
            <v>43769</v>
          </cell>
          <cell r="H2461" t="str">
            <v>PRD</v>
          </cell>
          <cell r="I2461" t="str">
            <v>PRD</v>
          </cell>
          <cell r="J2461" t="str">
            <v>HONDA FIT</v>
          </cell>
          <cell r="K2461" t="str">
            <v>HONDA FIT SHUTTLE WH L CABIN</v>
          </cell>
          <cell r="L2461" t="str">
            <v>CV B09</v>
          </cell>
          <cell r="M2461" t="str">
            <v>T/P 4.2</v>
          </cell>
          <cell r="N2461" t="str">
            <v>ASSEMBLY</v>
          </cell>
          <cell r="O2461" t="str">
            <v>A</v>
          </cell>
        </row>
        <row r="2462">
          <cell r="A2462">
            <v>21425</v>
          </cell>
          <cell r="B2462" t="str">
            <v>VINDA MARDIANA</v>
          </cell>
          <cell r="C2462" t="str">
            <v>SAMI</v>
          </cell>
          <cell r="D2462" t="str">
            <v>OPT-532</v>
          </cell>
          <cell r="E2462">
            <v>43018</v>
          </cell>
          <cell r="F2462">
            <v>43405</v>
          </cell>
          <cell r="G2462">
            <v>43769</v>
          </cell>
          <cell r="H2462" t="str">
            <v>PRD</v>
          </cell>
          <cell r="I2462" t="str">
            <v>PRD</v>
          </cell>
          <cell r="J2462" t="str">
            <v>HONDA FIT</v>
          </cell>
          <cell r="K2462" t="str">
            <v>HONDA FIT SHUTTLE WH L CABIN</v>
          </cell>
          <cell r="L2462" t="str">
            <v>CV B09</v>
          </cell>
          <cell r="M2462" t="str">
            <v>S/A 1</v>
          </cell>
          <cell r="N2462" t="str">
            <v>SUB ASSY</v>
          </cell>
          <cell r="O2462" t="str">
            <v>A</v>
          </cell>
        </row>
        <row r="2463">
          <cell r="A2463">
            <v>21430</v>
          </cell>
          <cell r="B2463" t="str">
            <v>CHOLIFATUL HIDAYAH</v>
          </cell>
          <cell r="C2463" t="str">
            <v>SAMI</v>
          </cell>
          <cell r="D2463" t="str">
            <v>OPT-533</v>
          </cell>
          <cell r="E2463">
            <v>43024</v>
          </cell>
          <cell r="F2463">
            <v>43435</v>
          </cell>
          <cell r="G2463">
            <v>43799</v>
          </cell>
          <cell r="H2463" t="str">
            <v>PRD</v>
          </cell>
          <cell r="I2463" t="str">
            <v>PRD</v>
          </cell>
          <cell r="J2463" t="str">
            <v>HONDA FIT</v>
          </cell>
          <cell r="K2463" t="str">
            <v>HONDA FIT SHUTTLE WH L CABIN</v>
          </cell>
          <cell r="L2463" t="str">
            <v>CV B09</v>
          </cell>
          <cell r="M2463" t="str">
            <v>T/P 3.2</v>
          </cell>
          <cell r="N2463" t="str">
            <v>ASSEMBLY</v>
          </cell>
          <cell r="O2463" t="str">
            <v>A</v>
          </cell>
        </row>
        <row r="2464">
          <cell r="A2464">
            <v>21456</v>
          </cell>
          <cell r="B2464" t="str">
            <v>NINO ELIVIASARI</v>
          </cell>
          <cell r="C2464" t="str">
            <v>SAMI</v>
          </cell>
          <cell r="D2464" t="str">
            <v>OPT-533</v>
          </cell>
          <cell r="E2464">
            <v>43024</v>
          </cell>
          <cell r="F2464">
            <v>43435</v>
          </cell>
          <cell r="G2464">
            <v>43799</v>
          </cell>
          <cell r="H2464" t="str">
            <v>PRD</v>
          </cell>
          <cell r="I2464" t="str">
            <v>PRD</v>
          </cell>
          <cell r="J2464" t="str">
            <v>HONDA FIT</v>
          </cell>
          <cell r="K2464" t="str">
            <v>HONDA FIT SHUTTLE WH L CABIN</v>
          </cell>
          <cell r="L2464" t="str">
            <v>CV B09</v>
          </cell>
          <cell r="M2464" t="str">
            <v>T/P 2.1</v>
          </cell>
          <cell r="N2464" t="str">
            <v>ASSEMBLY</v>
          </cell>
          <cell r="O2464" t="str">
            <v>A</v>
          </cell>
        </row>
        <row r="2465">
          <cell r="A2465">
            <v>21491</v>
          </cell>
          <cell r="B2465" t="str">
            <v>NOVI FITRIA RIZKI A</v>
          </cell>
          <cell r="C2465" t="str">
            <v>SAMI</v>
          </cell>
          <cell r="D2465" t="str">
            <v>OPT-534</v>
          </cell>
          <cell r="E2465">
            <v>43031</v>
          </cell>
          <cell r="F2465">
            <v>43435</v>
          </cell>
          <cell r="G2465">
            <v>43799</v>
          </cell>
          <cell r="H2465" t="str">
            <v>PRD</v>
          </cell>
          <cell r="I2465" t="str">
            <v>PRD</v>
          </cell>
          <cell r="J2465" t="str">
            <v>HONDA FIT</v>
          </cell>
          <cell r="K2465" t="str">
            <v>HONDA FIT SHUTTLE WH L CABIN</v>
          </cell>
          <cell r="L2465" t="str">
            <v>CV B09</v>
          </cell>
          <cell r="M2465" t="str">
            <v>S/T 1.1</v>
          </cell>
          <cell r="N2465" t="str">
            <v>ASSEMBLY</v>
          </cell>
          <cell r="O2465" t="str">
            <v>A</v>
          </cell>
        </row>
        <row r="2466">
          <cell r="A2466">
            <v>21572</v>
          </cell>
          <cell r="B2466" t="str">
            <v>ADE RIDHO KURNIAWAN</v>
          </cell>
          <cell r="C2466" t="str">
            <v>SAMI</v>
          </cell>
          <cell r="D2466" t="str">
            <v>OPT-536</v>
          </cell>
          <cell r="E2466">
            <v>43048</v>
          </cell>
          <cell r="F2466">
            <v>43435</v>
          </cell>
          <cell r="G2466">
            <v>43799</v>
          </cell>
          <cell r="H2466" t="str">
            <v>PRD</v>
          </cell>
          <cell r="I2466" t="str">
            <v>PRD</v>
          </cell>
          <cell r="J2466" t="str">
            <v>HONDA FIT</v>
          </cell>
          <cell r="K2466" t="str">
            <v>HONDA FIT SHUTTLE WH L CABIN</v>
          </cell>
          <cell r="L2466" t="str">
            <v>CV B09</v>
          </cell>
          <cell r="M2466" t="str">
            <v>EXPANDER GROMMET</v>
          </cell>
          <cell r="N2466" t="str">
            <v>FINISHING &amp; GROMMET INJECTION</v>
          </cell>
          <cell r="O2466" t="str">
            <v>A</v>
          </cell>
        </row>
        <row r="2467">
          <cell r="A2467">
            <v>21585</v>
          </cell>
          <cell r="B2467" t="str">
            <v>FEBRIANA</v>
          </cell>
          <cell r="C2467" t="str">
            <v>SAMI</v>
          </cell>
          <cell r="D2467" t="str">
            <v>OPT-536</v>
          </cell>
          <cell r="E2467">
            <v>43048</v>
          </cell>
          <cell r="F2467">
            <v>43435</v>
          </cell>
          <cell r="G2467">
            <v>43799</v>
          </cell>
          <cell r="H2467" t="str">
            <v>PRD</v>
          </cell>
          <cell r="I2467" t="str">
            <v>PRD</v>
          </cell>
          <cell r="J2467" t="str">
            <v>HONDA FIT</v>
          </cell>
          <cell r="K2467" t="str">
            <v>HONDA FIT SHUTTLE WH L CABIN</v>
          </cell>
          <cell r="L2467" t="str">
            <v>CV B09</v>
          </cell>
          <cell r="M2467" t="str">
            <v>MATERIAL SUPPLY</v>
          </cell>
          <cell r="N2467" t="str">
            <v>MATERIAL SUPPLY</v>
          </cell>
          <cell r="O2467" t="str">
            <v>A</v>
          </cell>
        </row>
        <row r="2468">
          <cell r="A2468">
            <v>21778</v>
          </cell>
          <cell r="B2468" t="str">
            <v>MILLATI AZKA</v>
          </cell>
          <cell r="C2468" t="str">
            <v>SAMI</v>
          </cell>
          <cell r="D2468" t="str">
            <v>OPT-540</v>
          </cell>
          <cell r="E2468">
            <v>43090</v>
          </cell>
          <cell r="F2468">
            <v>43121</v>
          </cell>
          <cell r="G2468">
            <v>43496</v>
          </cell>
          <cell r="H2468" t="str">
            <v>PRD</v>
          </cell>
          <cell r="I2468" t="str">
            <v>PRD</v>
          </cell>
          <cell r="J2468" t="str">
            <v>HONDA FIT</v>
          </cell>
          <cell r="K2468" t="str">
            <v>HONDA FIT SHUTTLE WH L CABIN</v>
          </cell>
          <cell r="L2468" t="str">
            <v>CV B09</v>
          </cell>
          <cell r="M2468" t="str">
            <v>INSERTION GROUP</v>
          </cell>
          <cell r="N2468" t="str">
            <v>SUB ASSY</v>
          </cell>
          <cell r="O2468" t="str">
            <v>A</v>
          </cell>
        </row>
        <row r="2469">
          <cell r="A2469">
            <v>21855</v>
          </cell>
          <cell r="B2469" t="str">
            <v>SITI ROZIANA</v>
          </cell>
          <cell r="C2469" t="str">
            <v>SAMI</v>
          </cell>
          <cell r="D2469" t="str">
            <v>OPT-541</v>
          </cell>
          <cell r="E2469">
            <v>43098</v>
          </cell>
          <cell r="F2469">
            <v>43129</v>
          </cell>
          <cell r="G2469">
            <v>43496</v>
          </cell>
          <cell r="H2469" t="str">
            <v>PRD</v>
          </cell>
          <cell r="I2469" t="str">
            <v>PRD</v>
          </cell>
          <cell r="J2469" t="str">
            <v>HONDA FIT</v>
          </cell>
          <cell r="K2469" t="str">
            <v>HONDA FIT SHUTTLE WH L CABIN</v>
          </cell>
          <cell r="L2469" t="str">
            <v>CV B09</v>
          </cell>
          <cell r="M2469" t="str">
            <v>S/T 4.1</v>
          </cell>
          <cell r="N2469" t="str">
            <v>ASSEMBLY</v>
          </cell>
          <cell r="O2469" t="str">
            <v>A</v>
          </cell>
        </row>
        <row r="2470">
          <cell r="A2470">
            <v>21994</v>
          </cell>
          <cell r="B2470" t="str">
            <v>INA ROHMITHA SARI</v>
          </cell>
          <cell r="C2470" t="str">
            <v>SAMI</v>
          </cell>
          <cell r="D2470" t="str">
            <v>OPT-546</v>
          </cell>
          <cell r="E2470">
            <v>43139</v>
          </cell>
          <cell r="F2470">
            <v>43167</v>
          </cell>
          <cell r="G2470">
            <v>43524</v>
          </cell>
          <cell r="H2470" t="str">
            <v>PRD</v>
          </cell>
          <cell r="I2470" t="str">
            <v>PRD</v>
          </cell>
          <cell r="J2470" t="str">
            <v>HONDA FIT</v>
          </cell>
          <cell r="K2470" t="str">
            <v>HONDA FIT SHUTTLE WH L CABIN</v>
          </cell>
          <cell r="L2470" t="str">
            <v>CV B09</v>
          </cell>
          <cell r="M2470" t="str">
            <v>OJT CIRCUIT SUPPLIER</v>
          </cell>
          <cell r="N2470" t="str">
            <v>INTERNAL TRIAL</v>
          </cell>
          <cell r="O2470" t="str">
            <v>A</v>
          </cell>
        </row>
        <row r="2471">
          <cell r="A2471">
            <v>22124</v>
          </cell>
          <cell r="B2471" t="str">
            <v>FADHILATUL KARIMAH</v>
          </cell>
          <cell r="C2471" t="str">
            <v>SAMI</v>
          </cell>
          <cell r="D2471" t="str">
            <v>OPT-549</v>
          </cell>
          <cell r="E2471">
            <v>43153</v>
          </cell>
          <cell r="F2471">
            <v>43181</v>
          </cell>
          <cell r="G2471">
            <v>43555</v>
          </cell>
          <cell r="H2471" t="str">
            <v>PRD</v>
          </cell>
          <cell r="I2471" t="str">
            <v>PRD</v>
          </cell>
          <cell r="J2471" t="str">
            <v>HONDA FIT</v>
          </cell>
          <cell r="K2471" t="str">
            <v>HONDA FIT SHUTTLE WH L CABIN</v>
          </cell>
          <cell r="L2471" t="str">
            <v>CV B09</v>
          </cell>
          <cell r="M2471" t="str">
            <v>S/A 4</v>
          </cell>
          <cell r="N2471" t="str">
            <v>ASSEMBLY</v>
          </cell>
          <cell r="O2471" t="str">
            <v>A</v>
          </cell>
        </row>
        <row r="2472">
          <cell r="A2472">
            <v>22228</v>
          </cell>
          <cell r="B2472" t="str">
            <v>MEMELIA ADE MELINDA</v>
          </cell>
          <cell r="C2472" t="str">
            <v>SAMI</v>
          </cell>
          <cell r="D2472" t="str">
            <v>OPT-551</v>
          </cell>
          <cell r="E2472">
            <v>43161</v>
          </cell>
          <cell r="F2472">
            <v>43192</v>
          </cell>
          <cell r="G2472">
            <v>43555</v>
          </cell>
          <cell r="H2472" t="str">
            <v>PRD</v>
          </cell>
          <cell r="I2472" t="str">
            <v>PRD</v>
          </cell>
          <cell r="J2472" t="str">
            <v>HONDA FIT</v>
          </cell>
          <cell r="K2472" t="str">
            <v>HONDA FIT SHUTTLE WH L CABIN</v>
          </cell>
          <cell r="L2472" t="str">
            <v>CV B09</v>
          </cell>
          <cell r="M2472" t="str">
            <v>MATERIAL SUPPLY</v>
          </cell>
          <cell r="N2472" t="str">
            <v>MATERIAL SUPPLY</v>
          </cell>
          <cell r="O2472" t="str">
            <v>A</v>
          </cell>
        </row>
        <row r="2473">
          <cell r="A2473">
            <v>22419</v>
          </cell>
          <cell r="B2473" t="str">
            <v>SHEALLY MALIANISA</v>
          </cell>
          <cell r="C2473" t="str">
            <v>SAMI</v>
          </cell>
          <cell r="D2473" t="str">
            <v>OPT-558</v>
          </cell>
          <cell r="E2473">
            <v>43213</v>
          </cell>
          <cell r="F2473">
            <v>43243</v>
          </cell>
          <cell r="G2473">
            <v>43616</v>
          </cell>
          <cell r="H2473" t="str">
            <v>PRD</v>
          </cell>
          <cell r="I2473" t="str">
            <v>PRD</v>
          </cell>
          <cell r="J2473" t="str">
            <v>HONDA FIT</v>
          </cell>
          <cell r="K2473" t="str">
            <v>HONDA FIT SHUTTLE WH L CABIN</v>
          </cell>
          <cell r="L2473" t="str">
            <v>CV B09</v>
          </cell>
          <cell r="M2473" t="str">
            <v>OJT T/P 5</v>
          </cell>
          <cell r="N2473" t="str">
            <v>INTERNAL TRIAL</v>
          </cell>
          <cell r="O2473" t="str">
            <v>A</v>
          </cell>
        </row>
        <row r="2474">
          <cell r="A2474">
            <v>22510</v>
          </cell>
          <cell r="B2474" t="str">
            <v>AFIKA TRI ANDA RESTA</v>
          </cell>
          <cell r="C2474" t="str">
            <v>SAMI</v>
          </cell>
          <cell r="D2474" t="str">
            <v>OPT-560</v>
          </cell>
          <cell r="E2474">
            <v>43224</v>
          </cell>
          <cell r="F2474">
            <v>43255</v>
          </cell>
          <cell r="G2474">
            <v>43616</v>
          </cell>
          <cell r="H2474" t="str">
            <v>PRD</v>
          </cell>
          <cell r="I2474" t="str">
            <v>PRD</v>
          </cell>
          <cell r="J2474" t="str">
            <v>HONDA FIT</v>
          </cell>
          <cell r="K2474" t="str">
            <v>HONDA FIT SHUTTLE WH L CABIN</v>
          </cell>
          <cell r="L2474" t="str">
            <v>CV B09</v>
          </cell>
          <cell r="M2474" t="str">
            <v>S/T 3.2</v>
          </cell>
          <cell r="N2474" t="str">
            <v>ASSEMBLY</v>
          </cell>
          <cell r="O2474" t="str">
            <v>A</v>
          </cell>
        </row>
        <row r="2475">
          <cell r="A2475">
            <v>22877</v>
          </cell>
          <cell r="B2475" t="str">
            <v>PUTRI MILANISTI</v>
          </cell>
          <cell r="C2475" t="str">
            <v>SAMI</v>
          </cell>
          <cell r="D2475" t="str">
            <v>OPT-567</v>
          </cell>
          <cell r="E2475">
            <v>43333</v>
          </cell>
          <cell r="F2475">
            <v>43364</v>
          </cell>
          <cell r="G2475">
            <v>43738</v>
          </cell>
          <cell r="H2475" t="str">
            <v>PRD</v>
          </cell>
          <cell r="I2475" t="str">
            <v>PRD</v>
          </cell>
          <cell r="J2475" t="str">
            <v>HONDA FIT</v>
          </cell>
          <cell r="K2475" t="str">
            <v>HONDA FIT SHUTTLE WH L CABIN</v>
          </cell>
          <cell r="L2475" t="str">
            <v>CV B09</v>
          </cell>
          <cell r="M2475" t="str">
            <v>CHECKER 2</v>
          </cell>
          <cell r="N2475" t="str">
            <v>ELECTRICAL INSPECTION</v>
          </cell>
          <cell r="O2475" t="str">
            <v>A</v>
          </cell>
        </row>
        <row r="2476">
          <cell r="A2476">
            <v>23117</v>
          </cell>
          <cell r="B2476" t="str">
            <v>FERA FEBRIANTI</v>
          </cell>
          <cell r="C2476" t="str">
            <v>SAMI</v>
          </cell>
          <cell r="D2476" t="str">
            <v>OPT-570</v>
          </cell>
          <cell r="E2476">
            <v>43369</v>
          </cell>
          <cell r="F2476">
            <v>43399</v>
          </cell>
          <cell r="G2476">
            <v>43769</v>
          </cell>
          <cell r="H2476" t="str">
            <v>PRD</v>
          </cell>
          <cell r="I2476" t="str">
            <v>PRD</v>
          </cell>
          <cell r="J2476" t="str">
            <v>HONDA FIT</v>
          </cell>
          <cell r="K2476" t="str">
            <v>HONDA FIT SHUTTLE WH L CABIN</v>
          </cell>
          <cell r="L2476" t="str">
            <v>CV B09</v>
          </cell>
          <cell r="M2476" t="str">
            <v>COROBIKI</v>
          </cell>
          <cell r="N2476" t="str">
            <v>F/A CONTROLLER</v>
          </cell>
          <cell r="O2476" t="str">
            <v>A</v>
          </cell>
        </row>
        <row r="2477">
          <cell r="A2477">
            <v>23219</v>
          </cell>
          <cell r="B2477" t="str">
            <v>ELMA SAFITRI</v>
          </cell>
          <cell r="C2477" t="str">
            <v>SAMI</v>
          </cell>
          <cell r="D2477" t="str">
            <v>OPT-573</v>
          </cell>
          <cell r="E2477">
            <v>43421</v>
          </cell>
          <cell r="F2477">
            <v>43451</v>
          </cell>
          <cell r="G2477">
            <v>43830</v>
          </cell>
          <cell r="H2477" t="str">
            <v>PRD</v>
          </cell>
          <cell r="I2477" t="str">
            <v>PRD</v>
          </cell>
          <cell r="J2477" t="str">
            <v>HONDA FIT</v>
          </cell>
          <cell r="K2477" t="str">
            <v>HONDA FIT SHUTTLE WH L CABIN</v>
          </cell>
          <cell r="L2477" t="str">
            <v>CV B09</v>
          </cell>
          <cell r="M2477" t="str">
            <v>S/A 6</v>
          </cell>
          <cell r="N2477" t="str">
            <v>SUB ASSY</v>
          </cell>
          <cell r="O2477" t="str">
            <v>A</v>
          </cell>
        </row>
        <row r="2478">
          <cell r="A2478">
            <v>23304</v>
          </cell>
          <cell r="B2478" t="str">
            <v>DIYAH PUDJI LISTARI</v>
          </cell>
          <cell r="C2478" t="str">
            <v>SAMI</v>
          </cell>
          <cell r="D2478" t="str">
            <v>OPT-574</v>
          </cell>
          <cell r="E2478">
            <v>43427</v>
          </cell>
          <cell r="F2478">
            <v>43457</v>
          </cell>
          <cell r="G2478">
            <v>43830</v>
          </cell>
          <cell r="H2478" t="str">
            <v>PRD</v>
          </cell>
          <cell r="I2478" t="str">
            <v>PRD</v>
          </cell>
          <cell r="J2478" t="str">
            <v>HONDA FIT</v>
          </cell>
          <cell r="K2478" t="str">
            <v>HONDA FIT SHUTTLE WH L CABIN</v>
          </cell>
          <cell r="L2478" t="str">
            <v>CV B09</v>
          </cell>
          <cell r="M2478" t="str">
            <v>OJT S/A 4</v>
          </cell>
          <cell r="N2478" t="str">
            <v>INTERNAL TRIAL</v>
          </cell>
          <cell r="O2478" t="str">
            <v>A</v>
          </cell>
        </row>
        <row r="2479">
          <cell r="A2479">
            <v>23366</v>
          </cell>
          <cell r="B2479" t="str">
            <v>SITI NURYANTI</v>
          </cell>
          <cell r="C2479" t="str">
            <v>SAMI</v>
          </cell>
          <cell r="D2479" t="str">
            <v>OPT-574</v>
          </cell>
          <cell r="E2479">
            <v>43427</v>
          </cell>
          <cell r="F2479">
            <v>43457</v>
          </cell>
          <cell r="G2479">
            <v>43830</v>
          </cell>
          <cell r="H2479" t="str">
            <v>PRD</v>
          </cell>
          <cell r="I2479" t="str">
            <v>PRD</v>
          </cell>
          <cell r="J2479" t="str">
            <v>HONDA FIT</v>
          </cell>
          <cell r="K2479" t="str">
            <v>HONDA FIT SHUTTLE WH L CABIN</v>
          </cell>
          <cell r="L2479" t="str">
            <v>CV B09</v>
          </cell>
          <cell r="M2479" t="str">
            <v>S/T 2.1</v>
          </cell>
          <cell r="N2479" t="str">
            <v>ASSEMBLY</v>
          </cell>
          <cell r="O2479" t="str">
            <v>A</v>
          </cell>
        </row>
        <row r="2480">
          <cell r="A2480">
            <v>23401</v>
          </cell>
          <cell r="B2480" t="str">
            <v>DANA BAGUS PURNAWIRAWAN</v>
          </cell>
          <cell r="C2480" t="str">
            <v>SAMI</v>
          </cell>
          <cell r="D2480" t="str">
            <v>OPT-575</v>
          </cell>
          <cell r="E2480">
            <v>43434</v>
          </cell>
          <cell r="F2480">
            <v>43464</v>
          </cell>
          <cell r="G2480">
            <v>43830</v>
          </cell>
          <cell r="H2480" t="str">
            <v>PRD</v>
          </cell>
          <cell r="I2480" t="str">
            <v>PRD</v>
          </cell>
          <cell r="J2480" t="str">
            <v>HONDA FIT</v>
          </cell>
          <cell r="K2480" t="str">
            <v>HONDA FIT SHUTTLE WH L CABIN</v>
          </cell>
          <cell r="L2480" t="str">
            <v>CV B09</v>
          </cell>
          <cell r="M2480" t="str">
            <v>OJT T/P 5A</v>
          </cell>
          <cell r="N2480" t="str">
            <v>INTERNAL TRIAL</v>
          </cell>
          <cell r="O2480" t="str">
            <v>A</v>
          </cell>
        </row>
        <row r="2481">
          <cell r="A2481">
            <v>23462</v>
          </cell>
          <cell r="B2481" t="str">
            <v>SITI IQMATUL SOLEKHAH</v>
          </cell>
          <cell r="C2481" t="str">
            <v>SAMI</v>
          </cell>
          <cell r="D2481" t="str">
            <v>OPT-575</v>
          </cell>
          <cell r="E2481">
            <v>43434</v>
          </cell>
          <cell r="F2481">
            <v>43464</v>
          </cell>
          <cell r="G2481">
            <v>43830</v>
          </cell>
          <cell r="H2481" t="str">
            <v>PRD</v>
          </cell>
          <cell r="I2481" t="str">
            <v>PRD</v>
          </cell>
          <cell r="J2481" t="str">
            <v>HONDA FIT</v>
          </cell>
          <cell r="K2481" t="str">
            <v>HONDA FIT SHUTTLE WH L CABIN</v>
          </cell>
          <cell r="L2481" t="str">
            <v>CV B09</v>
          </cell>
          <cell r="M2481" t="str">
            <v>S/T</v>
          </cell>
          <cell r="N2481" t="str">
            <v>ASSEMBLY</v>
          </cell>
          <cell r="O2481" t="str">
            <v>A</v>
          </cell>
        </row>
        <row r="2482">
          <cell r="A2482" t="str">
            <v>B00910</v>
          </cell>
          <cell r="B2482" t="str">
            <v>DIANA NOVITASARI</v>
          </cell>
          <cell r="C2482" t="str">
            <v>SAMI</v>
          </cell>
          <cell r="D2482" t="str">
            <v>BBF-020</v>
          </cell>
          <cell r="E2482">
            <v>40955</v>
          </cell>
          <cell r="F2482" t="str">
            <v>-</v>
          </cell>
          <cell r="G2482" t="str">
            <v>-</v>
          </cell>
          <cell r="H2482" t="str">
            <v>PRD</v>
          </cell>
          <cell r="I2482" t="str">
            <v>PRD</v>
          </cell>
          <cell r="J2482" t="str">
            <v>HONDA FIT</v>
          </cell>
          <cell r="K2482" t="str">
            <v>HONDA FIT SHUTTLE WH L CABIN</v>
          </cell>
          <cell r="L2482" t="str">
            <v>CV B09</v>
          </cell>
          <cell r="M2482" t="str">
            <v>VISUAL 02</v>
          </cell>
          <cell r="N2482" t="str">
            <v>VISUAL INSPECTION</v>
          </cell>
          <cell r="O2482" t="str">
            <v>A</v>
          </cell>
        </row>
        <row r="2483">
          <cell r="A2483">
            <v>23602</v>
          </cell>
          <cell r="B2483" t="str">
            <v>UMMU KHANIK</v>
          </cell>
          <cell r="C2483" t="str">
            <v>SAMI</v>
          </cell>
          <cell r="D2483" t="str">
            <v>OPT-577</v>
          </cell>
          <cell r="E2483">
            <v>43452</v>
          </cell>
          <cell r="F2483">
            <v>43483</v>
          </cell>
          <cell r="G2483">
            <v>43861</v>
          </cell>
          <cell r="H2483" t="str">
            <v>PRD</v>
          </cell>
          <cell r="I2483" t="str">
            <v>PRD</v>
          </cell>
          <cell r="J2483" t="str">
            <v>HONDA FIT</v>
          </cell>
          <cell r="K2483" t="str">
            <v>HONDA FIT SHUTTLE WH L CABIN</v>
          </cell>
          <cell r="L2483" t="str">
            <v>CV B09</v>
          </cell>
          <cell r="M2483" t="str">
            <v>OJT S/T 1.2</v>
          </cell>
          <cell r="N2483" t="str">
            <v>INTERNAL TRIAL</v>
          </cell>
          <cell r="O2483" t="str">
            <v>A</v>
          </cell>
        </row>
        <row r="2484">
          <cell r="A2484" t="str">
            <v>M23633</v>
          </cell>
          <cell r="B2484" t="str">
            <v>ROSITA MADANI</v>
          </cell>
          <cell r="C2484" t="str">
            <v>SAMI</v>
          </cell>
          <cell r="D2484" t="str">
            <v>OPT-578</v>
          </cell>
          <cell r="E2484">
            <v>43467</v>
          </cell>
          <cell r="F2484">
            <v>43467</v>
          </cell>
          <cell r="G2484">
            <v>43497</v>
          </cell>
          <cell r="H2484" t="str">
            <v>PRD</v>
          </cell>
          <cell r="I2484" t="str">
            <v>PRD</v>
          </cell>
          <cell r="J2484" t="str">
            <v>HONDA FIT</v>
          </cell>
          <cell r="K2484" t="str">
            <v>HONDA FIT SHUTTLE WH L CABIN</v>
          </cell>
          <cell r="L2484" t="str">
            <v>CV B09</v>
          </cell>
          <cell r="M2484" t="str">
            <v>OJT T/P 1.1</v>
          </cell>
          <cell r="N2484" t="str">
            <v>INTERNAL TRIAL</v>
          </cell>
          <cell r="O2484" t="str">
            <v>A</v>
          </cell>
        </row>
        <row r="2485">
          <cell r="A2485">
            <v>298</v>
          </cell>
          <cell r="B2485" t="str">
            <v>MISROFAH</v>
          </cell>
          <cell r="C2485" t="str">
            <v>SAMI</v>
          </cell>
          <cell r="D2485" t="str">
            <v>OPT-8</v>
          </cell>
          <cell r="E2485">
            <v>37718</v>
          </cell>
          <cell r="F2485" t="str">
            <v>-</v>
          </cell>
          <cell r="G2485" t="str">
            <v>-</v>
          </cell>
          <cell r="H2485" t="str">
            <v>PRD</v>
          </cell>
          <cell r="I2485" t="str">
            <v>PRD</v>
          </cell>
          <cell r="J2485" t="str">
            <v>TOYOTA PRIUS</v>
          </cell>
          <cell r="K2485" t="str">
            <v>HV TOYOTA 680A BBM</v>
          </cell>
          <cell r="L2485" t="str">
            <v>CV HV 02</v>
          </cell>
          <cell r="M2485" t="str">
            <v>SUB LINE CHO</v>
          </cell>
          <cell r="N2485" t="str">
            <v>GL</v>
          </cell>
          <cell r="O2485" t="str">
            <v>A</v>
          </cell>
        </row>
        <row r="2486">
          <cell r="A2486">
            <v>1083</v>
          </cell>
          <cell r="B2486" t="str">
            <v>EMA FITRIANI</v>
          </cell>
          <cell r="C2486" t="str">
            <v>SAMI</v>
          </cell>
          <cell r="D2486" t="str">
            <v>OPT-27</v>
          </cell>
          <cell r="E2486">
            <v>37887</v>
          </cell>
          <cell r="F2486" t="str">
            <v>-</v>
          </cell>
          <cell r="G2486" t="str">
            <v>-</v>
          </cell>
          <cell r="H2486" t="str">
            <v>PRD</v>
          </cell>
          <cell r="I2486" t="str">
            <v>PRD</v>
          </cell>
          <cell r="J2486" t="str">
            <v>TOYOTA PRIUS</v>
          </cell>
          <cell r="K2486" t="str">
            <v>HV TOYOTA 680A BBM</v>
          </cell>
          <cell r="L2486" t="str">
            <v>CV HV 02</v>
          </cell>
          <cell r="M2486" t="str">
            <v>CIRCUIT SUPPLIER 01</v>
          </cell>
          <cell r="N2486" t="str">
            <v>CIRCUIT SUPPLY</v>
          </cell>
          <cell r="O2486" t="str">
            <v>A</v>
          </cell>
        </row>
        <row r="2487">
          <cell r="A2487">
            <v>11066</v>
          </cell>
          <cell r="B2487" t="str">
            <v>IRA HARYUNI</v>
          </cell>
          <cell r="C2487" t="str">
            <v>SAMI</v>
          </cell>
          <cell r="D2487" t="str">
            <v>OPT-289</v>
          </cell>
          <cell r="E2487">
            <v>40595</v>
          </cell>
          <cell r="F2487" t="str">
            <v>-</v>
          </cell>
          <cell r="G2487" t="str">
            <v>-</v>
          </cell>
          <cell r="H2487" t="str">
            <v>PRD</v>
          </cell>
          <cell r="I2487" t="str">
            <v>PRD</v>
          </cell>
          <cell r="J2487" t="str">
            <v>TOYOTA PRIUS</v>
          </cell>
          <cell r="K2487" t="str">
            <v>HV TOYOTA 680A BBM</v>
          </cell>
          <cell r="L2487" t="str">
            <v>CV HV 02</v>
          </cell>
          <cell r="M2487" t="str">
            <v>S/A X1- 2</v>
          </cell>
          <cell r="N2487" t="str">
            <v>SUB ASSY</v>
          </cell>
          <cell r="O2487" t="str">
            <v>A</v>
          </cell>
        </row>
        <row r="2488">
          <cell r="A2488">
            <v>11356</v>
          </cell>
          <cell r="B2488" t="str">
            <v>RIFATI RIZQIYAH</v>
          </cell>
          <cell r="C2488" t="str">
            <v>SAMI</v>
          </cell>
          <cell r="D2488" t="str">
            <v>OPT-302</v>
          </cell>
          <cell r="E2488">
            <v>40674</v>
          </cell>
          <cell r="F2488" t="str">
            <v>-</v>
          </cell>
          <cell r="G2488" t="str">
            <v>-</v>
          </cell>
          <cell r="H2488" t="str">
            <v>PRD</v>
          </cell>
          <cell r="I2488" t="str">
            <v>PRD</v>
          </cell>
          <cell r="J2488" t="str">
            <v>TOYOTA PRIUS</v>
          </cell>
          <cell r="K2488" t="str">
            <v>HV TOYOTA 680A BBM</v>
          </cell>
          <cell r="L2488" t="str">
            <v>CV HV 02</v>
          </cell>
          <cell r="M2488" t="str">
            <v>LQC</v>
          </cell>
          <cell r="N2488" t="str">
            <v>RELIEF</v>
          </cell>
          <cell r="O2488" t="str">
            <v>A</v>
          </cell>
        </row>
        <row r="2489">
          <cell r="A2489">
            <v>12140</v>
          </cell>
          <cell r="B2489" t="str">
            <v>SAUDI ALIYAH SADAMI</v>
          </cell>
          <cell r="C2489" t="str">
            <v>SAMI</v>
          </cell>
          <cell r="D2489" t="str">
            <v>OPT-314</v>
          </cell>
          <cell r="E2489">
            <v>40798</v>
          </cell>
          <cell r="F2489" t="str">
            <v>-</v>
          </cell>
          <cell r="G2489" t="str">
            <v>-</v>
          </cell>
          <cell r="H2489" t="str">
            <v>PRD</v>
          </cell>
          <cell r="I2489" t="str">
            <v>PRD</v>
          </cell>
          <cell r="J2489" t="str">
            <v>TOYOTA PRIUS</v>
          </cell>
          <cell r="K2489" t="str">
            <v>HV TOYOTA 680A BBM</v>
          </cell>
          <cell r="L2489" t="str">
            <v>CV HV 02</v>
          </cell>
          <cell r="M2489" t="str">
            <v>ASM U2,W2</v>
          </cell>
          <cell r="N2489" t="str">
            <v>ASSEMBLY</v>
          </cell>
          <cell r="O2489" t="str">
            <v>A</v>
          </cell>
        </row>
        <row r="2490">
          <cell r="A2490">
            <v>20571</v>
          </cell>
          <cell r="B2490" t="str">
            <v>DWI LIS SUPRIANA</v>
          </cell>
          <cell r="C2490" t="str">
            <v>SAMI</v>
          </cell>
          <cell r="D2490" t="str">
            <v>OPT-505</v>
          </cell>
          <cell r="E2490">
            <v>42639</v>
          </cell>
          <cell r="F2490">
            <v>43132</v>
          </cell>
          <cell r="G2490">
            <v>43496</v>
          </cell>
          <cell r="H2490" t="str">
            <v>PRD</v>
          </cell>
          <cell r="I2490" t="str">
            <v>PRD</v>
          </cell>
          <cell r="J2490" t="str">
            <v>TOYOTA PRIUS</v>
          </cell>
          <cell r="K2490" t="str">
            <v>HV TOYOTA 680A BBM</v>
          </cell>
          <cell r="L2490" t="str">
            <v>CV HV 02</v>
          </cell>
          <cell r="M2490" t="str">
            <v>ASM X1.1</v>
          </cell>
          <cell r="N2490" t="str">
            <v>ASSEMBLY</v>
          </cell>
          <cell r="O2490" t="str">
            <v>A</v>
          </cell>
        </row>
        <row r="2491">
          <cell r="A2491">
            <v>20731</v>
          </cell>
          <cell r="B2491" t="str">
            <v>MUSLIKHATUL HANAYANTI</v>
          </cell>
          <cell r="C2491" t="str">
            <v>SAMI</v>
          </cell>
          <cell r="D2491" t="str">
            <v>OPT-506</v>
          </cell>
          <cell r="E2491">
            <v>42642</v>
          </cell>
          <cell r="F2491">
            <v>43132</v>
          </cell>
          <cell r="G2491">
            <v>43496</v>
          </cell>
          <cell r="H2491" t="str">
            <v>PRD</v>
          </cell>
          <cell r="I2491" t="str">
            <v>PRD</v>
          </cell>
          <cell r="J2491" t="str">
            <v>TOYOTA PRIUS</v>
          </cell>
          <cell r="K2491" t="str">
            <v>HV TOYOTA 680A BBM</v>
          </cell>
          <cell r="L2491" t="str">
            <v>CV HV 02</v>
          </cell>
          <cell r="M2491" t="str">
            <v>S/A X1-3</v>
          </cell>
          <cell r="N2491" t="str">
            <v>SUB ASSY</v>
          </cell>
          <cell r="O2491" t="str">
            <v>A</v>
          </cell>
        </row>
        <row r="2492">
          <cell r="A2492">
            <v>20738</v>
          </cell>
          <cell r="B2492" t="str">
            <v>PRASETYONING DIYAH</v>
          </cell>
          <cell r="C2492" t="str">
            <v>SAMI</v>
          </cell>
          <cell r="D2492" t="str">
            <v>OPT-506</v>
          </cell>
          <cell r="E2492">
            <v>42642</v>
          </cell>
          <cell r="F2492">
            <v>43132</v>
          </cell>
          <cell r="G2492">
            <v>43496</v>
          </cell>
          <cell r="H2492" t="str">
            <v>PRD</v>
          </cell>
          <cell r="I2492" t="str">
            <v>PRD</v>
          </cell>
          <cell r="J2492" t="str">
            <v>TOYOTA PRIUS</v>
          </cell>
          <cell r="K2492" t="str">
            <v>HV TOYOTA 680A BBM</v>
          </cell>
          <cell r="L2492" t="str">
            <v>CV HV 02</v>
          </cell>
          <cell r="M2492" t="str">
            <v>S/A X1-1</v>
          </cell>
          <cell r="N2492" t="str">
            <v>SUB ASSY</v>
          </cell>
          <cell r="O2492" t="str">
            <v>A</v>
          </cell>
        </row>
        <row r="2493">
          <cell r="A2493">
            <v>20760</v>
          </cell>
          <cell r="B2493" t="str">
            <v xml:space="preserve">SITI TARWIYAH </v>
          </cell>
          <cell r="C2493" t="str">
            <v>SAMI</v>
          </cell>
          <cell r="D2493" t="str">
            <v>OPT-506</v>
          </cell>
          <cell r="E2493">
            <v>42642</v>
          </cell>
          <cell r="F2493">
            <v>43132</v>
          </cell>
          <cell r="G2493">
            <v>43496</v>
          </cell>
          <cell r="H2493" t="str">
            <v>PRD</v>
          </cell>
          <cell r="I2493" t="str">
            <v>PRD</v>
          </cell>
          <cell r="J2493" t="str">
            <v>TOYOTA PRIUS</v>
          </cell>
          <cell r="K2493" t="str">
            <v>HV TOYOTA 680A BBM</v>
          </cell>
          <cell r="L2493" t="str">
            <v>CV HV 02</v>
          </cell>
          <cell r="M2493" t="str">
            <v>VIS X1,X3,TPO X3</v>
          </cell>
          <cell r="N2493" t="str">
            <v>VISUAL INSPECTION</v>
          </cell>
          <cell r="O2493" t="str">
            <v>A</v>
          </cell>
        </row>
        <row r="2494">
          <cell r="A2494">
            <v>20880</v>
          </cell>
          <cell r="B2494" t="str">
            <v>NILA FEBRIANI .U</v>
          </cell>
          <cell r="C2494" t="str">
            <v>SAMI</v>
          </cell>
          <cell r="D2494" t="str">
            <v>OPT-510</v>
          </cell>
          <cell r="E2494">
            <v>42660</v>
          </cell>
          <cell r="F2494">
            <v>43160</v>
          </cell>
          <cell r="G2494">
            <v>43524</v>
          </cell>
          <cell r="H2494" t="str">
            <v>PRD</v>
          </cell>
          <cell r="I2494" t="str">
            <v>PRD</v>
          </cell>
          <cell r="J2494" t="str">
            <v>TOYOTA PRIUS</v>
          </cell>
          <cell r="K2494" t="str">
            <v>HV TOYOTA 680A BBM</v>
          </cell>
          <cell r="L2494" t="str">
            <v>CV HV 02</v>
          </cell>
          <cell r="M2494" t="str">
            <v>S/A T/P CK X2</v>
          </cell>
          <cell r="N2494" t="str">
            <v>SUB ASSY</v>
          </cell>
          <cell r="O2494" t="str">
            <v>A</v>
          </cell>
        </row>
        <row r="2495">
          <cell r="A2495">
            <v>21312</v>
          </cell>
          <cell r="B2495" t="str">
            <v>RUFI'ATUN</v>
          </cell>
          <cell r="C2495" t="str">
            <v>SAMI</v>
          </cell>
          <cell r="D2495" t="str">
            <v>OPT-530</v>
          </cell>
          <cell r="E2495">
            <v>43010</v>
          </cell>
          <cell r="F2495">
            <v>43405</v>
          </cell>
          <cell r="G2495">
            <v>43769</v>
          </cell>
          <cell r="H2495" t="str">
            <v>PRD</v>
          </cell>
          <cell r="I2495" t="str">
            <v>PRD</v>
          </cell>
          <cell r="J2495" t="str">
            <v>TOYOTA PRIUS</v>
          </cell>
          <cell r="K2495" t="str">
            <v>HV TOYOTA 680A BBM</v>
          </cell>
          <cell r="L2495" t="str">
            <v>CV HV 02</v>
          </cell>
          <cell r="M2495" t="str">
            <v>S/A THERMISTOR</v>
          </cell>
          <cell r="N2495" t="str">
            <v>SUB ASSY</v>
          </cell>
          <cell r="O2495" t="str">
            <v>A</v>
          </cell>
        </row>
        <row r="2496">
          <cell r="A2496">
            <v>21328</v>
          </cell>
          <cell r="B2496" t="str">
            <v>ANJARWATI</v>
          </cell>
          <cell r="C2496" t="str">
            <v>SAMI</v>
          </cell>
          <cell r="D2496" t="str">
            <v>OPT-531</v>
          </cell>
          <cell r="E2496">
            <v>43013</v>
          </cell>
          <cell r="F2496">
            <v>43405</v>
          </cell>
          <cell r="G2496">
            <v>43769</v>
          </cell>
          <cell r="H2496" t="str">
            <v>PRD</v>
          </cell>
          <cell r="I2496" t="str">
            <v>PRD</v>
          </cell>
          <cell r="J2496" t="str">
            <v>TOYOTA PRIUS</v>
          </cell>
          <cell r="K2496" t="str">
            <v>HV TOYOTA 680A BBM</v>
          </cell>
          <cell r="L2496" t="str">
            <v>CV HV 02</v>
          </cell>
          <cell r="M2496" t="str">
            <v>S/A U2-1</v>
          </cell>
          <cell r="N2496" t="str">
            <v>SUB ASSY</v>
          </cell>
          <cell r="O2496" t="str">
            <v>A</v>
          </cell>
        </row>
        <row r="2497">
          <cell r="A2497">
            <v>21373</v>
          </cell>
          <cell r="B2497" t="str">
            <v>ULFANIAH</v>
          </cell>
          <cell r="C2497" t="str">
            <v>SAMI</v>
          </cell>
          <cell r="D2497" t="str">
            <v>OPT-531</v>
          </cell>
          <cell r="E2497">
            <v>43013</v>
          </cell>
          <cell r="F2497">
            <v>43405</v>
          </cell>
          <cell r="G2497">
            <v>43769</v>
          </cell>
          <cell r="H2497" t="str">
            <v>PRD</v>
          </cell>
          <cell r="I2497" t="str">
            <v>PRD</v>
          </cell>
          <cell r="J2497" t="str">
            <v>TOYOTA PRIUS</v>
          </cell>
          <cell r="K2497" t="str">
            <v>HV TOYOTA 680A BBM</v>
          </cell>
          <cell r="L2497" t="str">
            <v>CV HV 02</v>
          </cell>
          <cell r="M2497" t="str">
            <v>VIS X1, X3, TPO X3</v>
          </cell>
          <cell r="N2497" t="str">
            <v>INTERNAL TRIAL</v>
          </cell>
          <cell r="O2497" t="str">
            <v>A</v>
          </cell>
        </row>
        <row r="2498">
          <cell r="A2498">
            <v>21378</v>
          </cell>
          <cell r="B2498" t="str">
            <v>ALVIZA KHOIRURIYAH</v>
          </cell>
          <cell r="C2498" t="str">
            <v>SAMI</v>
          </cell>
          <cell r="D2498" t="str">
            <v>OPT-532</v>
          </cell>
          <cell r="E2498">
            <v>43018</v>
          </cell>
          <cell r="F2498">
            <v>43405</v>
          </cell>
          <cell r="G2498">
            <v>43769</v>
          </cell>
          <cell r="H2498" t="str">
            <v>PRD</v>
          </cell>
          <cell r="I2498" t="str">
            <v>PRD</v>
          </cell>
          <cell r="J2498" t="str">
            <v>TOYOTA PRIUS</v>
          </cell>
          <cell r="K2498" t="str">
            <v>HV TOYOTA 680A BBM</v>
          </cell>
          <cell r="L2498" t="str">
            <v>CV HV 02</v>
          </cell>
          <cell r="M2498" t="str">
            <v>S/A T2</v>
          </cell>
          <cell r="N2498" t="str">
            <v>SUB ASSY</v>
          </cell>
          <cell r="O2498" t="str">
            <v>A</v>
          </cell>
        </row>
        <row r="2499">
          <cell r="A2499">
            <v>21427</v>
          </cell>
          <cell r="B2499" t="str">
            <v xml:space="preserve">YUNI SOFIA NURMAULIDA </v>
          </cell>
          <cell r="C2499" t="str">
            <v>SAMI</v>
          </cell>
          <cell r="D2499" t="str">
            <v>OPT-532</v>
          </cell>
          <cell r="E2499">
            <v>43018</v>
          </cell>
          <cell r="F2499">
            <v>43405</v>
          </cell>
          <cell r="G2499">
            <v>43769</v>
          </cell>
          <cell r="H2499" t="str">
            <v>PRD</v>
          </cell>
          <cell r="I2499" t="str">
            <v>PRD</v>
          </cell>
          <cell r="J2499" t="str">
            <v>TOYOTA PRIUS</v>
          </cell>
          <cell r="K2499" t="str">
            <v>HV TOYOTA 680A BBM</v>
          </cell>
          <cell r="L2499" t="str">
            <v>CV HV 02</v>
          </cell>
          <cell r="M2499" t="str">
            <v>S/A V2-1</v>
          </cell>
          <cell r="N2499" t="str">
            <v>SUB ASSY</v>
          </cell>
          <cell r="O2499" t="str">
            <v>A</v>
          </cell>
        </row>
        <row r="2500">
          <cell r="A2500">
            <v>21547</v>
          </cell>
          <cell r="B2500" t="str">
            <v>NURUL MAWADDAH</v>
          </cell>
          <cell r="C2500" t="str">
            <v>SAMI</v>
          </cell>
          <cell r="D2500" t="str">
            <v>OPT-535</v>
          </cell>
          <cell r="E2500">
            <v>43045</v>
          </cell>
          <cell r="F2500">
            <v>43435</v>
          </cell>
          <cell r="G2500">
            <v>43799</v>
          </cell>
          <cell r="H2500" t="str">
            <v>PRD</v>
          </cell>
          <cell r="I2500" t="str">
            <v>PRD</v>
          </cell>
          <cell r="J2500" t="str">
            <v>TOYOTA PRIUS</v>
          </cell>
          <cell r="K2500" t="str">
            <v>HV TOYOTA 680A BBM</v>
          </cell>
          <cell r="L2500" t="str">
            <v>CV HV 02</v>
          </cell>
          <cell r="M2500" t="str">
            <v>ASM T2,V2</v>
          </cell>
          <cell r="N2500" t="str">
            <v>ASSEMBLY</v>
          </cell>
          <cell r="O2500" t="str">
            <v>A</v>
          </cell>
        </row>
        <row r="2501">
          <cell r="A2501">
            <v>21549</v>
          </cell>
          <cell r="B2501" t="str">
            <v>PUTERI NUR AFIFAH</v>
          </cell>
          <cell r="C2501" t="str">
            <v>SAMI</v>
          </cell>
          <cell r="D2501" t="str">
            <v>OPT-535</v>
          </cell>
          <cell r="E2501">
            <v>43045</v>
          </cell>
          <cell r="F2501">
            <v>43435</v>
          </cell>
          <cell r="G2501">
            <v>43799</v>
          </cell>
          <cell r="H2501" t="str">
            <v>PRD</v>
          </cell>
          <cell r="I2501" t="str">
            <v>PRD</v>
          </cell>
          <cell r="J2501" t="str">
            <v>TOYOTA PRIUS</v>
          </cell>
          <cell r="K2501" t="str">
            <v>HV TOYOTA 680A BBM</v>
          </cell>
          <cell r="L2501" t="str">
            <v>CV HV 02</v>
          </cell>
          <cell r="M2501" t="str">
            <v>S/A W2.1</v>
          </cell>
          <cell r="N2501" t="str">
            <v>SUB ASSY</v>
          </cell>
          <cell r="O2501" t="str">
            <v>A</v>
          </cell>
        </row>
        <row r="2502">
          <cell r="A2502">
            <v>21765</v>
          </cell>
          <cell r="B2502" t="str">
            <v>DIAH AYU ERLITASARI</v>
          </cell>
          <cell r="C2502" t="str">
            <v>SAMI</v>
          </cell>
          <cell r="D2502" t="str">
            <v>OPT-540</v>
          </cell>
          <cell r="E2502">
            <v>43090</v>
          </cell>
          <cell r="F2502">
            <v>43121</v>
          </cell>
          <cell r="G2502">
            <v>43496</v>
          </cell>
          <cell r="H2502" t="str">
            <v>PRD</v>
          </cell>
          <cell r="I2502" t="str">
            <v>PRD</v>
          </cell>
          <cell r="J2502" t="str">
            <v>TOYOTA PRIUS</v>
          </cell>
          <cell r="K2502" t="str">
            <v>HV TOYOTA 680A BBM</v>
          </cell>
          <cell r="L2502" t="str">
            <v>CV HV 02</v>
          </cell>
          <cell r="M2502" t="str">
            <v>VIS T2, V2, X2</v>
          </cell>
          <cell r="N2502" t="str">
            <v>VISUAL INSPECTION</v>
          </cell>
          <cell r="O2502" t="str">
            <v>A</v>
          </cell>
        </row>
        <row r="2503">
          <cell r="A2503">
            <v>22086</v>
          </cell>
          <cell r="B2503" t="str">
            <v>NUR AZIZAH AMALIA</v>
          </cell>
          <cell r="C2503" t="str">
            <v>SAMI</v>
          </cell>
          <cell r="D2503" t="str">
            <v>OPT-548</v>
          </cell>
          <cell r="E2503">
            <v>43150</v>
          </cell>
          <cell r="F2503">
            <v>43178</v>
          </cell>
          <cell r="G2503">
            <v>43555</v>
          </cell>
          <cell r="H2503" t="str">
            <v>PRD</v>
          </cell>
          <cell r="I2503" t="str">
            <v>PRD</v>
          </cell>
          <cell r="J2503" t="str">
            <v>TOYOTA PRIUS</v>
          </cell>
          <cell r="K2503" t="str">
            <v>HV TOYOTA 680A BBM</v>
          </cell>
          <cell r="L2503" t="str">
            <v>CV HV 02</v>
          </cell>
          <cell r="M2503" t="str">
            <v>CK, VIS U2,W2</v>
          </cell>
          <cell r="N2503" t="str">
            <v>ELECTRICAL INSPECTION</v>
          </cell>
          <cell r="O2503" t="str">
            <v>A</v>
          </cell>
        </row>
        <row r="2504">
          <cell r="A2504">
            <v>22294</v>
          </cell>
          <cell r="B2504" t="str">
            <v>LIDYA SELVIANA</v>
          </cell>
          <cell r="C2504" t="str">
            <v>SAMI</v>
          </cell>
          <cell r="D2504" t="str">
            <v>OPT-555</v>
          </cell>
          <cell r="E2504">
            <v>43192</v>
          </cell>
          <cell r="F2504">
            <v>43222</v>
          </cell>
          <cell r="G2504">
            <v>43585</v>
          </cell>
          <cell r="H2504" t="str">
            <v>PRD</v>
          </cell>
          <cell r="I2504" t="str">
            <v>PRD</v>
          </cell>
          <cell r="J2504" t="str">
            <v>TOYOTA PRIUS</v>
          </cell>
          <cell r="K2504" t="str">
            <v>HV TOYOTA 680A BBM</v>
          </cell>
          <cell r="L2504" t="str">
            <v>CV HV 02</v>
          </cell>
          <cell r="M2504" t="str">
            <v>ASM X2</v>
          </cell>
          <cell r="N2504" t="str">
            <v>ASSEMBLY</v>
          </cell>
          <cell r="O2504" t="str">
            <v>A</v>
          </cell>
        </row>
        <row r="2505">
          <cell r="A2505">
            <v>22657</v>
          </cell>
          <cell r="B2505" t="str">
            <v>KHAERUL MUSTOFA A</v>
          </cell>
          <cell r="C2505" t="str">
            <v>SAMI</v>
          </cell>
          <cell r="D2505" t="str">
            <v>OPT-562</v>
          </cell>
          <cell r="E2505">
            <v>43241</v>
          </cell>
          <cell r="F2505">
            <v>43272</v>
          </cell>
          <cell r="G2505">
            <v>43646</v>
          </cell>
          <cell r="H2505" t="str">
            <v>PRD</v>
          </cell>
          <cell r="I2505" t="str">
            <v>PRD</v>
          </cell>
          <cell r="J2505" t="str">
            <v>TOYOTA PRIUS</v>
          </cell>
          <cell r="K2505" t="str">
            <v>HV TOYOTA 680A BBM</v>
          </cell>
          <cell r="L2505" t="str">
            <v>CV HV 02</v>
          </cell>
          <cell r="M2505" t="str">
            <v>CHECKER, SHIAGE</v>
          </cell>
          <cell r="N2505" t="str">
            <v>ASSEMBLY</v>
          </cell>
          <cell r="O2505" t="str">
            <v>A</v>
          </cell>
        </row>
        <row r="2506">
          <cell r="A2506">
            <v>23132</v>
          </cell>
          <cell r="B2506" t="str">
            <v>LINDAH LESTARI</v>
          </cell>
          <cell r="C2506" t="str">
            <v>SAMI</v>
          </cell>
          <cell r="D2506" t="str">
            <v>OPT-570</v>
          </cell>
          <cell r="E2506">
            <v>43369</v>
          </cell>
          <cell r="F2506">
            <v>43399</v>
          </cell>
          <cell r="G2506">
            <v>43769</v>
          </cell>
          <cell r="H2506" t="str">
            <v>PRD</v>
          </cell>
          <cell r="I2506" t="str">
            <v>PRD</v>
          </cell>
          <cell r="J2506" t="str">
            <v>TOYOTA PRIUS</v>
          </cell>
          <cell r="K2506" t="str">
            <v>HV TOYOTA 680A BBM</v>
          </cell>
          <cell r="L2506" t="str">
            <v>CV HV 02</v>
          </cell>
          <cell r="M2506" t="str">
            <v>S/A X2-1</v>
          </cell>
          <cell r="N2506" t="str">
            <v>SUB ASSY</v>
          </cell>
          <cell r="O2506" t="str">
            <v>A</v>
          </cell>
        </row>
        <row r="2507">
          <cell r="A2507">
            <v>23270</v>
          </cell>
          <cell r="B2507" t="str">
            <v>SITI NUR AISYAH</v>
          </cell>
          <cell r="C2507" t="str">
            <v>SAMI</v>
          </cell>
          <cell r="D2507" t="str">
            <v>OPT-573</v>
          </cell>
          <cell r="E2507">
            <v>43421</v>
          </cell>
          <cell r="F2507">
            <v>43451</v>
          </cell>
          <cell r="G2507">
            <v>43830</v>
          </cell>
          <cell r="H2507" t="str">
            <v>PRD</v>
          </cell>
          <cell r="I2507" t="str">
            <v>PRD</v>
          </cell>
          <cell r="J2507" t="str">
            <v>TOYOTA PRIUS</v>
          </cell>
          <cell r="K2507" t="str">
            <v>HV TOYOTA 680A BBM</v>
          </cell>
          <cell r="L2507" t="str">
            <v>CV HV 02</v>
          </cell>
          <cell r="M2507" t="str">
            <v>ASM X1,2</v>
          </cell>
          <cell r="N2507" t="str">
            <v>ASSEMBLY</v>
          </cell>
          <cell r="O2507" t="str">
            <v>A</v>
          </cell>
        </row>
        <row r="2508">
          <cell r="A2508">
            <v>23271</v>
          </cell>
          <cell r="B2508" t="str">
            <v>SITI NUR FAIZAH</v>
          </cell>
          <cell r="C2508" t="str">
            <v>SAMI</v>
          </cell>
          <cell r="D2508" t="str">
            <v>OPT-573</v>
          </cell>
          <cell r="E2508">
            <v>43421</v>
          </cell>
          <cell r="F2508">
            <v>43451</v>
          </cell>
          <cell r="G2508">
            <v>43830</v>
          </cell>
          <cell r="H2508" t="str">
            <v>PRD</v>
          </cell>
          <cell r="I2508" t="str">
            <v>PRD</v>
          </cell>
          <cell r="J2508" t="str">
            <v>TOYOTA PRIUS</v>
          </cell>
          <cell r="K2508" t="str">
            <v>HV TOYOTA 680A BBM</v>
          </cell>
          <cell r="L2508" t="str">
            <v>CV HV 02</v>
          </cell>
          <cell r="M2508" t="str">
            <v>CK T2,V2,X2</v>
          </cell>
          <cell r="N2508" t="str">
            <v>ELECTRICAL INSPECTION</v>
          </cell>
          <cell r="O2508" t="str">
            <v>A</v>
          </cell>
        </row>
        <row r="2509">
          <cell r="A2509">
            <v>23274</v>
          </cell>
          <cell r="B2509" t="str">
            <v>SOVIA AYUNDA</v>
          </cell>
          <cell r="C2509" t="str">
            <v>SAMI</v>
          </cell>
          <cell r="D2509" t="str">
            <v>OPT-573</v>
          </cell>
          <cell r="E2509">
            <v>43421</v>
          </cell>
          <cell r="F2509">
            <v>43451</v>
          </cell>
          <cell r="G2509">
            <v>43830</v>
          </cell>
          <cell r="H2509" t="str">
            <v>PRD</v>
          </cell>
          <cell r="I2509" t="str">
            <v>PRD</v>
          </cell>
          <cell r="J2509" t="str">
            <v>TOYOTA PRIUS</v>
          </cell>
          <cell r="K2509" t="str">
            <v>HV TOYOTA 680A BBM</v>
          </cell>
          <cell r="L2509" t="str">
            <v>CV HV 02</v>
          </cell>
          <cell r="M2509" t="str">
            <v>CIRCUIT SUPPLIER</v>
          </cell>
          <cell r="N2509" t="str">
            <v>CIRCUIT SUPPLY</v>
          </cell>
          <cell r="O2509" t="str">
            <v>A</v>
          </cell>
        </row>
        <row r="2510">
          <cell r="A2510">
            <v>23367</v>
          </cell>
          <cell r="B2510" t="str">
            <v>SITI ROZANAH</v>
          </cell>
          <cell r="C2510" t="str">
            <v>SAMI</v>
          </cell>
          <cell r="D2510" t="str">
            <v>OPT-574</v>
          </cell>
          <cell r="E2510">
            <v>43427</v>
          </cell>
          <cell r="F2510">
            <v>43457</v>
          </cell>
          <cell r="G2510">
            <v>43830</v>
          </cell>
          <cell r="H2510" t="str">
            <v>PRD</v>
          </cell>
          <cell r="I2510" t="str">
            <v>PRD</v>
          </cell>
          <cell r="J2510" t="str">
            <v>TOYOTA PRIUS</v>
          </cell>
          <cell r="K2510" t="str">
            <v>HV TOYOTA 680A BBM</v>
          </cell>
          <cell r="L2510" t="str">
            <v>CV HV 02</v>
          </cell>
          <cell r="M2510" t="str">
            <v>CIRCUIT SUPPLIER</v>
          </cell>
          <cell r="N2510" t="str">
            <v>CIRCUIT SUPPLY</v>
          </cell>
          <cell r="O2510" t="str">
            <v>A</v>
          </cell>
        </row>
        <row r="2511">
          <cell r="A2511">
            <v>23527</v>
          </cell>
          <cell r="B2511" t="str">
            <v>SYUAIBATUL ASLAMIYAH</v>
          </cell>
          <cell r="C2511" t="str">
            <v>SAMI</v>
          </cell>
          <cell r="D2511" t="str">
            <v>OPT-576</v>
          </cell>
          <cell r="E2511">
            <v>43441</v>
          </cell>
          <cell r="F2511">
            <v>43472</v>
          </cell>
          <cell r="G2511">
            <v>43830</v>
          </cell>
          <cell r="H2511" t="str">
            <v>PRD</v>
          </cell>
          <cell r="I2511" t="str">
            <v>PRD</v>
          </cell>
          <cell r="J2511" t="str">
            <v>TOYOTA PRIUS</v>
          </cell>
          <cell r="K2511" t="str">
            <v>HV TOYOTA 680A BBM</v>
          </cell>
          <cell r="L2511" t="str">
            <v>CV HV 02</v>
          </cell>
          <cell r="M2511" t="str">
            <v>SA X1.1</v>
          </cell>
          <cell r="N2511" t="str">
            <v>SUB ASSY</v>
          </cell>
          <cell r="O2511" t="str">
            <v>A</v>
          </cell>
        </row>
        <row r="2512">
          <cell r="A2512">
            <v>1032</v>
          </cell>
          <cell r="B2512" t="str">
            <v>DARNI</v>
          </cell>
          <cell r="C2512" t="str">
            <v>SAMI</v>
          </cell>
          <cell r="D2512" t="str">
            <v>OPT-26</v>
          </cell>
          <cell r="E2512">
            <v>37879</v>
          </cell>
          <cell r="F2512" t="str">
            <v>-</v>
          </cell>
          <cell r="G2512" t="str">
            <v>-</v>
          </cell>
          <cell r="H2512" t="str">
            <v>PRD</v>
          </cell>
          <cell r="I2512" t="str">
            <v>PRD</v>
          </cell>
          <cell r="J2512" t="str">
            <v>TOYOTA PRIUS</v>
          </cell>
          <cell r="K2512" t="str">
            <v>HV TOYOTA 680A BBM</v>
          </cell>
          <cell r="L2512" t="str">
            <v>CV HV 02</v>
          </cell>
          <cell r="M2512" t="str">
            <v>S/A, ASM X2</v>
          </cell>
          <cell r="N2512" t="str">
            <v>SUB ASSY</v>
          </cell>
          <cell r="O2512" t="str">
            <v>B</v>
          </cell>
        </row>
        <row r="2513">
          <cell r="A2513">
            <v>5932</v>
          </cell>
          <cell r="B2513" t="str">
            <v>PONCO HANDAYANI</v>
          </cell>
          <cell r="C2513" t="str">
            <v>SAMI</v>
          </cell>
          <cell r="D2513" t="str">
            <v>OPT-137</v>
          </cell>
          <cell r="E2513">
            <v>39129</v>
          </cell>
          <cell r="F2513" t="str">
            <v>-</v>
          </cell>
          <cell r="G2513" t="str">
            <v>-</v>
          </cell>
          <cell r="H2513" t="str">
            <v>PRD</v>
          </cell>
          <cell r="I2513" t="str">
            <v>PRD</v>
          </cell>
          <cell r="J2513" t="str">
            <v>TOYOTA PRIUS</v>
          </cell>
          <cell r="K2513" t="str">
            <v>HV TOYOTA 680A BBM</v>
          </cell>
          <cell r="L2513" t="str">
            <v>CV HV 02</v>
          </cell>
          <cell r="M2513" t="str">
            <v>CHECKER + VISUAL U2, W2</v>
          </cell>
          <cell r="N2513" t="str">
            <v>ELECTRICAL INSPECTION</v>
          </cell>
          <cell r="O2513" t="str">
            <v>B</v>
          </cell>
        </row>
        <row r="2514">
          <cell r="A2514">
            <v>9267</v>
          </cell>
          <cell r="B2514" t="str">
            <v>DWI SUSIATI</v>
          </cell>
          <cell r="C2514" t="str">
            <v>SAMI</v>
          </cell>
          <cell r="D2514" t="str">
            <v>OPT-216</v>
          </cell>
          <cell r="E2514">
            <v>40148</v>
          </cell>
          <cell r="F2514" t="str">
            <v>-</v>
          </cell>
          <cell r="G2514" t="str">
            <v>-</v>
          </cell>
          <cell r="H2514" t="str">
            <v>PRD</v>
          </cell>
          <cell r="I2514" t="str">
            <v>PRD</v>
          </cell>
          <cell r="J2514" t="str">
            <v>TOYOTA PRIUS</v>
          </cell>
          <cell r="K2514" t="str">
            <v>HV TOYOTA 680A BBM</v>
          </cell>
          <cell r="L2514" t="str">
            <v>CV HV 02</v>
          </cell>
          <cell r="M2514" t="str">
            <v>S/A + CK X3</v>
          </cell>
          <cell r="N2514" t="str">
            <v>SUB ASSY</v>
          </cell>
          <cell r="O2514" t="str">
            <v>B</v>
          </cell>
        </row>
        <row r="2515">
          <cell r="A2515">
            <v>10187</v>
          </cell>
          <cell r="B2515" t="str">
            <v>MAKHMUDAH</v>
          </cell>
          <cell r="C2515" t="str">
            <v>SAMI</v>
          </cell>
          <cell r="D2515" t="str">
            <v>OPT-253</v>
          </cell>
          <cell r="E2515">
            <v>40458</v>
          </cell>
          <cell r="F2515" t="str">
            <v>-</v>
          </cell>
          <cell r="G2515" t="str">
            <v>-</v>
          </cell>
          <cell r="H2515" t="str">
            <v>PRD</v>
          </cell>
          <cell r="I2515" t="str">
            <v>PRD</v>
          </cell>
          <cell r="J2515" t="str">
            <v>TOYOTA PRIUS</v>
          </cell>
          <cell r="K2515" t="str">
            <v>HV TOYOTA 680A BBM</v>
          </cell>
          <cell r="L2515" t="str">
            <v>CV HV 02</v>
          </cell>
          <cell r="M2515" t="str">
            <v>LQC</v>
          </cell>
          <cell r="N2515" t="str">
            <v>RELIEF</v>
          </cell>
          <cell r="O2515" t="str">
            <v>B</v>
          </cell>
        </row>
        <row r="2516">
          <cell r="A2516">
            <v>10446</v>
          </cell>
          <cell r="B2516" t="str">
            <v>ENTIYATI</v>
          </cell>
          <cell r="C2516" t="str">
            <v>SAMI</v>
          </cell>
          <cell r="D2516" t="str">
            <v>OPT-270</v>
          </cell>
          <cell r="E2516">
            <v>40524</v>
          </cell>
          <cell r="F2516" t="str">
            <v>-</v>
          </cell>
          <cell r="G2516" t="str">
            <v>-</v>
          </cell>
          <cell r="H2516" t="str">
            <v>PRD</v>
          </cell>
          <cell r="I2516" t="str">
            <v>PRD</v>
          </cell>
          <cell r="J2516" t="str">
            <v>TOYOTA PRIUS</v>
          </cell>
          <cell r="K2516" t="str">
            <v>HV TOYOTA 680A BBM</v>
          </cell>
          <cell r="L2516" t="str">
            <v>CV HV 02</v>
          </cell>
          <cell r="M2516" t="str">
            <v>SUB LINE CHO</v>
          </cell>
          <cell r="N2516" t="str">
            <v>GL</v>
          </cell>
          <cell r="O2516" t="str">
            <v>B</v>
          </cell>
        </row>
        <row r="2517">
          <cell r="A2517">
            <v>11618</v>
          </cell>
          <cell r="B2517" t="str">
            <v>SITI MAESAROH</v>
          </cell>
          <cell r="C2517" t="str">
            <v>SAMI</v>
          </cell>
          <cell r="D2517" t="str">
            <v>OPT-307</v>
          </cell>
          <cell r="E2517">
            <v>40707</v>
          </cell>
          <cell r="F2517" t="str">
            <v>-</v>
          </cell>
          <cell r="G2517" t="str">
            <v>-</v>
          </cell>
          <cell r="H2517" t="str">
            <v>PRD</v>
          </cell>
          <cell r="I2517" t="str">
            <v>PRD</v>
          </cell>
          <cell r="J2517" t="str">
            <v>TOYOTA PRIUS</v>
          </cell>
          <cell r="K2517" t="str">
            <v>HV TOYOTA 680A BBM</v>
          </cell>
          <cell r="L2517" t="str">
            <v>CV HV 02</v>
          </cell>
          <cell r="M2517" t="str">
            <v xml:space="preserve">S/A W2 </v>
          </cell>
          <cell r="N2517" t="str">
            <v>SUB ASSY</v>
          </cell>
          <cell r="O2517" t="str">
            <v>B</v>
          </cell>
        </row>
        <row r="2518">
          <cell r="A2518">
            <v>12484</v>
          </cell>
          <cell r="B2518" t="str">
            <v>LINDA KURNIAWATI</v>
          </cell>
          <cell r="C2518" t="str">
            <v>SAMI</v>
          </cell>
          <cell r="D2518" t="str">
            <v>OPT-318</v>
          </cell>
          <cell r="E2518">
            <v>40812</v>
          </cell>
          <cell r="F2518" t="str">
            <v>-</v>
          </cell>
          <cell r="G2518" t="str">
            <v>-</v>
          </cell>
          <cell r="H2518" t="str">
            <v>PRD</v>
          </cell>
          <cell r="I2518" t="str">
            <v>PRD</v>
          </cell>
          <cell r="J2518" t="str">
            <v>TOYOTA PRIUS</v>
          </cell>
          <cell r="K2518" t="str">
            <v>HV TOYOTA 680A BBM</v>
          </cell>
          <cell r="L2518" t="str">
            <v>CV HV 02</v>
          </cell>
          <cell r="M2518" t="str">
            <v>VISUAL X1, X3, TPO X3</v>
          </cell>
          <cell r="N2518" t="str">
            <v>VISUAL INSPECTION</v>
          </cell>
          <cell r="O2518" t="str">
            <v>B</v>
          </cell>
        </row>
        <row r="2519">
          <cell r="A2519">
            <v>12562</v>
          </cell>
          <cell r="B2519" t="str">
            <v>UMMI MUALIFAH</v>
          </cell>
          <cell r="C2519" t="str">
            <v>SAMI</v>
          </cell>
          <cell r="D2519" t="str">
            <v>OPT-318</v>
          </cell>
          <cell r="E2519">
            <v>40812</v>
          </cell>
          <cell r="F2519" t="str">
            <v>-</v>
          </cell>
          <cell r="G2519" t="str">
            <v>-</v>
          </cell>
          <cell r="H2519" t="str">
            <v>PRD</v>
          </cell>
          <cell r="I2519" t="str">
            <v>PRD</v>
          </cell>
          <cell r="J2519" t="str">
            <v>TOYOTA PRIUS</v>
          </cell>
          <cell r="K2519" t="str">
            <v>HV TOYOTA 680A BBM</v>
          </cell>
          <cell r="L2519" t="str">
            <v>CV HV 02</v>
          </cell>
          <cell r="M2519" t="str">
            <v>S/A X1.3</v>
          </cell>
          <cell r="N2519" t="str">
            <v>SUB ASSY</v>
          </cell>
          <cell r="O2519" t="str">
            <v>B</v>
          </cell>
        </row>
        <row r="2520">
          <cell r="A2520">
            <v>12840</v>
          </cell>
          <cell r="B2520" t="str">
            <v>AGUSTINA WIDIYANINGSIH</v>
          </cell>
          <cell r="C2520" t="str">
            <v>SAMI</v>
          </cell>
          <cell r="D2520" t="str">
            <v>OPT-322</v>
          </cell>
          <cell r="E2520">
            <v>40833</v>
          </cell>
          <cell r="F2520" t="str">
            <v>-</v>
          </cell>
          <cell r="G2520" t="str">
            <v>-</v>
          </cell>
          <cell r="H2520" t="str">
            <v>PRD</v>
          </cell>
          <cell r="I2520" t="str">
            <v>PRD</v>
          </cell>
          <cell r="J2520" t="str">
            <v>TOYOTA PRIUS</v>
          </cell>
          <cell r="K2520" t="str">
            <v>HV TOYOTA 680A BBM</v>
          </cell>
          <cell r="L2520" t="str">
            <v>CV HV 02</v>
          </cell>
          <cell r="M2520" t="str">
            <v>ASM T2, V2</v>
          </cell>
          <cell r="N2520" t="str">
            <v>ASSEMBLY</v>
          </cell>
          <cell r="O2520" t="str">
            <v>B</v>
          </cell>
        </row>
        <row r="2521">
          <cell r="A2521">
            <v>19607</v>
          </cell>
          <cell r="B2521" t="str">
            <v>YASIR EFENDI</v>
          </cell>
          <cell r="C2521" t="str">
            <v>SAMI</v>
          </cell>
          <cell r="D2521" t="str">
            <v>OPT-489</v>
          </cell>
          <cell r="E2521">
            <v>42472</v>
          </cell>
          <cell r="F2521" t="str">
            <v>-</v>
          </cell>
          <cell r="G2521" t="str">
            <v>-</v>
          </cell>
          <cell r="H2521" t="str">
            <v>PRD</v>
          </cell>
          <cell r="I2521" t="str">
            <v>PRD</v>
          </cell>
          <cell r="J2521" t="str">
            <v>TOYOTA PRIUS</v>
          </cell>
          <cell r="K2521" t="str">
            <v>HV TOYOTA 680A BBM</v>
          </cell>
          <cell r="L2521" t="str">
            <v>CV HV 02</v>
          </cell>
          <cell r="M2521" t="str">
            <v>PROTECTOR</v>
          </cell>
          <cell r="N2521" t="str">
            <v>ASSEMBLY</v>
          </cell>
          <cell r="O2521" t="str">
            <v>B</v>
          </cell>
        </row>
        <row r="2522">
          <cell r="A2522">
            <v>20502</v>
          </cell>
          <cell r="B2522" t="str">
            <v>MITRA LUSIANA</v>
          </cell>
          <cell r="C2522" t="str">
            <v>SAMI</v>
          </cell>
          <cell r="D2522" t="str">
            <v>OPT-504</v>
          </cell>
          <cell r="E2522">
            <v>42634</v>
          </cell>
          <cell r="F2522">
            <v>43132</v>
          </cell>
          <cell r="G2522">
            <v>43496</v>
          </cell>
          <cell r="H2522" t="str">
            <v>PRD</v>
          </cell>
          <cell r="I2522" t="str">
            <v>PRD</v>
          </cell>
          <cell r="J2522" t="str">
            <v>TOYOTA PRIUS</v>
          </cell>
          <cell r="K2522" t="str">
            <v>HV TOYOTA 680A BBM</v>
          </cell>
          <cell r="L2522" t="str">
            <v>CV HV 02</v>
          </cell>
          <cell r="M2522" t="str">
            <v>S/A X1.2</v>
          </cell>
          <cell r="N2522" t="str">
            <v>SUB ASSY</v>
          </cell>
          <cell r="O2522" t="str">
            <v>B</v>
          </cell>
        </row>
        <row r="2523">
          <cell r="A2523">
            <v>20661</v>
          </cell>
          <cell r="B2523" t="str">
            <v>TRI HARTANTI</v>
          </cell>
          <cell r="C2523" t="str">
            <v>SAMI</v>
          </cell>
          <cell r="D2523" t="str">
            <v>OPT-505</v>
          </cell>
          <cell r="E2523">
            <v>42639</v>
          </cell>
          <cell r="F2523">
            <v>43132</v>
          </cell>
          <cell r="G2523">
            <v>43496</v>
          </cell>
          <cell r="H2523" t="str">
            <v>PRD</v>
          </cell>
          <cell r="I2523" t="str">
            <v>PRD</v>
          </cell>
          <cell r="J2523" t="str">
            <v>TOYOTA PRIUS</v>
          </cell>
          <cell r="K2523" t="str">
            <v>HV TOYOTA 680A BBM</v>
          </cell>
          <cell r="L2523" t="str">
            <v>CV HV 02</v>
          </cell>
          <cell r="M2523" t="str">
            <v>S/A W2.1</v>
          </cell>
          <cell r="N2523" t="str">
            <v>SUB ASSY</v>
          </cell>
          <cell r="O2523" t="str">
            <v>B</v>
          </cell>
        </row>
        <row r="2524">
          <cell r="A2524">
            <v>21712</v>
          </cell>
          <cell r="B2524" t="str">
            <v>EKA RATNASARI</v>
          </cell>
          <cell r="C2524" t="str">
            <v>SAMI</v>
          </cell>
          <cell r="D2524" t="str">
            <v>OPT-539</v>
          </cell>
          <cell r="E2524">
            <v>43087</v>
          </cell>
          <cell r="F2524">
            <v>43118</v>
          </cell>
          <cell r="G2524">
            <v>43496</v>
          </cell>
          <cell r="H2524" t="str">
            <v>PRD</v>
          </cell>
          <cell r="I2524" t="str">
            <v>PRD</v>
          </cell>
          <cell r="J2524" t="str">
            <v>TOYOTA PRIUS</v>
          </cell>
          <cell r="K2524" t="str">
            <v>HV TOYOTA 680A BBM</v>
          </cell>
          <cell r="L2524" t="str">
            <v>CV HV 02</v>
          </cell>
          <cell r="M2524" t="str">
            <v xml:space="preserve">S/A THERMISTOR </v>
          </cell>
          <cell r="N2524" t="str">
            <v>SUB ASSY</v>
          </cell>
          <cell r="O2524" t="str">
            <v>B</v>
          </cell>
        </row>
        <row r="2525">
          <cell r="A2525">
            <v>21734</v>
          </cell>
          <cell r="B2525" t="str">
            <v>MUSTAFIDATUL ISLAMIYAH</v>
          </cell>
          <cell r="C2525" t="str">
            <v>SAMI</v>
          </cell>
          <cell r="D2525" t="str">
            <v>OPT-539</v>
          </cell>
          <cell r="E2525">
            <v>43087</v>
          </cell>
          <cell r="F2525">
            <v>43118</v>
          </cell>
          <cell r="G2525">
            <v>43496</v>
          </cell>
          <cell r="H2525" t="str">
            <v>PRD</v>
          </cell>
          <cell r="I2525" t="str">
            <v>PRD</v>
          </cell>
          <cell r="J2525" t="str">
            <v>TOYOTA PRIUS</v>
          </cell>
          <cell r="K2525" t="str">
            <v>HV TOYOTA 680A BBM</v>
          </cell>
          <cell r="L2525" t="str">
            <v>CV HV 02</v>
          </cell>
          <cell r="M2525" t="str">
            <v>ASM X1.2</v>
          </cell>
          <cell r="N2525" t="str">
            <v>ASSEMBLY</v>
          </cell>
          <cell r="O2525" t="str">
            <v>B</v>
          </cell>
        </row>
        <row r="2526">
          <cell r="A2526">
            <v>22027</v>
          </cell>
          <cell r="B2526" t="str">
            <v>INAWATI AMIR</v>
          </cell>
          <cell r="C2526" t="str">
            <v>SAMI</v>
          </cell>
          <cell r="D2526" t="str">
            <v>OPT-547</v>
          </cell>
          <cell r="E2526">
            <v>43144</v>
          </cell>
          <cell r="F2526">
            <v>43172</v>
          </cell>
          <cell r="G2526">
            <v>43524</v>
          </cell>
          <cell r="H2526" t="str">
            <v>PRD</v>
          </cell>
          <cell r="I2526" t="str">
            <v>PRD</v>
          </cell>
          <cell r="J2526" t="str">
            <v>TOYOTA PRIUS</v>
          </cell>
          <cell r="K2526" t="str">
            <v>HV TOYOTA 680A BBM</v>
          </cell>
          <cell r="L2526" t="str">
            <v>CV HV 02</v>
          </cell>
          <cell r="M2526" t="str">
            <v>S/A X1.1</v>
          </cell>
          <cell r="N2526" t="str">
            <v>SUB ASSY</v>
          </cell>
          <cell r="O2526" t="str">
            <v>B</v>
          </cell>
        </row>
        <row r="2527">
          <cell r="A2527">
            <v>22286</v>
          </cell>
          <cell r="B2527" t="str">
            <v>DIASHMA GHINA KURNIASTI</v>
          </cell>
          <cell r="C2527" t="str">
            <v>SAMI</v>
          </cell>
          <cell r="D2527" t="str">
            <v>OPT-555</v>
          </cell>
          <cell r="E2527">
            <v>43192</v>
          </cell>
          <cell r="F2527">
            <v>43222</v>
          </cell>
          <cell r="G2527">
            <v>43585</v>
          </cell>
          <cell r="H2527" t="str">
            <v>PRD</v>
          </cell>
          <cell r="I2527" t="str">
            <v>PRD</v>
          </cell>
          <cell r="J2527" t="str">
            <v>TOYOTA PRIUS</v>
          </cell>
          <cell r="K2527" t="str">
            <v>HV TOYOTA 680A BBM</v>
          </cell>
          <cell r="L2527" t="str">
            <v>CV HV 02</v>
          </cell>
          <cell r="M2527" t="str">
            <v>VISUAL T2, V2, X2</v>
          </cell>
          <cell r="N2527" t="str">
            <v>VISUAL INSPECTION</v>
          </cell>
          <cell r="O2527" t="str">
            <v>B</v>
          </cell>
        </row>
        <row r="2528">
          <cell r="A2528">
            <v>22953</v>
          </cell>
          <cell r="B2528" t="str">
            <v>MISSLAHUS NIKMAH</v>
          </cell>
          <cell r="C2528" t="str">
            <v>SAMI</v>
          </cell>
          <cell r="D2528" t="str">
            <v>OPT-568</v>
          </cell>
          <cell r="E2528">
            <v>43343</v>
          </cell>
          <cell r="F2528">
            <v>43374</v>
          </cell>
          <cell r="G2528">
            <v>43738</v>
          </cell>
          <cell r="H2528" t="str">
            <v>PRD</v>
          </cell>
          <cell r="I2528" t="str">
            <v>PRD</v>
          </cell>
          <cell r="J2528" t="str">
            <v>TOYOTA PRIUS</v>
          </cell>
          <cell r="K2528" t="str">
            <v>HV TOYOTA 680A BBM</v>
          </cell>
          <cell r="L2528" t="str">
            <v>CV HV 02</v>
          </cell>
          <cell r="M2528" t="str">
            <v>SA U2.1</v>
          </cell>
          <cell r="N2528" t="str">
            <v>SUB ASSY</v>
          </cell>
          <cell r="O2528" t="str">
            <v>B</v>
          </cell>
        </row>
        <row r="2529">
          <cell r="A2529">
            <v>22959</v>
          </cell>
          <cell r="B2529" t="str">
            <v>NANIK LARASSATI</v>
          </cell>
          <cell r="C2529" t="str">
            <v>SAMI</v>
          </cell>
          <cell r="D2529" t="str">
            <v>OPT-568</v>
          </cell>
          <cell r="E2529">
            <v>43343</v>
          </cell>
          <cell r="F2529">
            <v>43374</v>
          </cell>
          <cell r="G2529">
            <v>43738</v>
          </cell>
          <cell r="H2529" t="str">
            <v>PRD</v>
          </cell>
          <cell r="I2529" t="str">
            <v>PRD</v>
          </cell>
          <cell r="J2529" t="str">
            <v>TOYOTA PRIUS</v>
          </cell>
          <cell r="K2529" t="str">
            <v>HV TOYOTA 680A BBM</v>
          </cell>
          <cell r="L2529" t="str">
            <v>CV HV 02</v>
          </cell>
          <cell r="M2529" t="str">
            <v>S/A T2.1</v>
          </cell>
          <cell r="N2529" t="str">
            <v>SUB ASSY</v>
          </cell>
          <cell r="O2529" t="str">
            <v>B</v>
          </cell>
        </row>
        <row r="2530">
          <cell r="A2530">
            <v>23086</v>
          </cell>
          <cell r="B2530" t="str">
            <v>VIVI NOVIYANI</v>
          </cell>
          <cell r="C2530" t="str">
            <v>SAMI</v>
          </cell>
          <cell r="D2530" t="str">
            <v>OPT-569</v>
          </cell>
          <cell r="E2530">
            <v>43361</v>
          </cell>
          <cell r="F2530">
            <v>43391</v>
          </cell>
          <cell r="G2530">
            <v>43769</v>
          </cell>
          <cell r="H2530" t="str">
            <v>PRD</v>
          </cell>
          <cell r="I2530" t="str">
            <v>PRD</v>
          </cell>
          <cell r="J2530" t="str">
            <v>TOYOTA PRIUS</v>
          </cell>
          <cell r="K2530" t="str">
            <v>HV TOYOTA 680A BBM</v>
          </cell>
          <cell r="L2530" t="str">
            <v>CV HV 02</v>
          </cell>
          <cell r="M2530" t="str">
            <v>S/A V2.1</v>
          </cell>
          <cell r="N2530" t="str">
            <v>SUB ASSY</v>
          </cell>
          <cell r="O2530" t="str">
            <v>B</v>
          </cell>
        </row>
        <row r="2531">
          <cell r="A2531">
            <v>23141</v>
          </cell>
          <cell r="B2531" t="str">
            <v>NADIA MARYAM SAFITRI</v>
          </cell>
          <cell r="C2531" t="str">
            <v>SAMI</v>
          </cell>
          <cell r="D2531" t="str">
            <v>OPT-570</v>
          </cell>
          <cell r="E2531">
            <v>43369</v>
          </cell>
          <cell r="F2531">
            <v>43399</v>
          </cell>
          <cell r="G2531">
            <v>43769</v>
          </cell>
          <cell r="H2531" t="str">
            <v>PRD</v>
          </cell>
          <cell r="I2531" t="str">
            <v>PRD</v>
          </cell>
          <cell r="J2531" t="str">
            <v>TOYOTA PRIUS</v>
          </cell>
          <cell r="K2531" t="str">
            <v>HV TOYOTA 680A BBM</v>
          </cell>
          <cell r="L2531" t="str">
            <v>CV HV 02</v>
          </cell>
          <cell r="M2531" t="str">
            <v>ASM X1.1</v>
          </cell>
          <cell r="N2531" t="str">
            <v>ASSEMBLY</v>
          </cell>
          <cell r="O2531" t="str">
            <v>B</v>
          </cell>
        </row>
        <row r="2532">
          <cell r="A2532">
            <v>23272</v>
          </cell>
          <cell r="B2532" t="str">
            <v>SITI NUR FAIZATI INAYAH</v>
          </cell>
          <cell r="C2532" t="str">
            <v>SAMI</v>
          </cell>
          <cell r="D2532" t="str">
            <v>OPT-573</v>
          </cell>
          <cell r="E2532">
            <v>43421</v>
          </cell>
          <cell r="F2532">
            <v>43451</v>
          </cell>
          <cell r="G2532">
            <v>43830</v>
          </cell>
          <cell r="H2532" t="str">
            <v>PRD</v>
          </cell>
          <cell r="I2532" t="str">
            <v>PRD</v>
          </cell>
          <cell r="J2532" t="str">
            <v>TOYOTA PRIUS</v>
          </cell>
          <cell r="K2532" t="str">
            <v>HV TOYOTA 680A BBM</v>
          </cell>
          <cell r="L2532" t="str">
            <v>CV HV 02</v>
          </cell>
          <cell r="M2532" t="str">
            <v>CIRCUIT SUPPLIER 01</v>
          </cell>
          <cell r="N2532" t="str">
            <v>CIRCUIT SUPPLY</v>
          </cell>
          <cell r="O2532" t="str">
            <v>B</v>
          </cell>
        </row>
        <row r="2533">
          <cell r="A2533">
            <v>23273</v>
          </cell>
          <cell r="B2533" t="str">
            <v>SITI ZAKIYAH</v>
          </cell>
          <cell r="C2533" t="str">
            <v>SAMI</v>
          </cell>
          <cell r="D2533" t="str">
            <v>OPT-573</v>
          </cell>
          <cell r="E2533">
            <v>43421</v>
          </cell>
          <cell r="F2533">
            <v>43451</v>
          </cell>
          <cell r="G2533">
            <v>43830</v>
          </cell>
          <cell r="H2533" t="str">
            <v>PRD</v>
          </cell>
          <cell r="I2533" t="str">
            <v>PRD</v>
          </cell>
          <cell r="J2533" t="str">
            <v>TOYOTA PRIUS</v>
          </cell>
          <cell r="K2533" t="str">
            <v>HV TOYOTA 680A BBM</v>
          </cell>
          <cell r="L2533" t="str">
            <v>CV HV 02</v>
          </cell>
          <cell r="M2533" t="str">
            <v>CIRCUIT SUPPLIER 02</v>
          </cell>
          <cell r="N2533" t="str">
            <v>CIRCUIT SUPPLY</v>
          </cell>
          <cell r="O2533" t="str">
            <v>B</v>
          </cell>
        </row>
        <row r="2534">
          <cell r="A2534">
            <v>23361</v>
          </cell>
          <cell r="B2534" t="str">
            <v>SISCA PUSPITANINGRUM</v>
          </cell>
          <cell r="C2534" t="str">
            <v>SAMI</v>
          </cell>
          <cell r="D2534" t="str">
            <v>OPT-574</v>
          </cell>
          <cell r="E2534">
            <v>43427</v>
          </cell>
          <cell r="F2534">
            <v>43457</v>
          </cell>
          <cell r="G2534">
            <v>43830</v>
          </cell>
          <cell r="H2534" t="str">
            <v>PRD</v>
          </cell>
          <cell r="I2534" t="str">
            <v>PRD</v>
          </cell>
          <cell r="J2534" t="str">
            <v>TOYOTA PRIUS</v>
          </cell>
          <cell r="K2534" t="str">
            <v>HV TOYOTA 680A BBM</v>
          </cell>
          <cell r="L2534" t="str">
            <v>CV HV 02</v>
          </cell>
          <cell r="M2534" t="str">
            <v>ASM W2.U2</v>
          </cell>
          <cell r="N2534" t="str">
            <v>ASSEMBLY</v>
          </cell>
          <cell r="O2534" t="str">
            <v>B</v>
          </cell>
        </row>
        <row r="2535">
          <cell r="A2535">
            <v>23432</v>
          </cell>
          <cell r="B2535" t="str">
            <v>MEIDA PRISCHA</v>
          </cell>
          <cell r="C2535" t="str">
            <v>SAMI</v>
          </cell>
          <cell r="D2535" t="str">
            <v>OPT-575</v>
          </cell>
          <cell r="E2535">
            <v>43434</v>
          </cell>
          <cell r="F2535">
            <v>43464</v>
          </cell>
          <cell r="G2535">
            <v>43830</v>
          </cell>
          <cell r="H2535" t="str">
            <v>PRD</v>
          </cell>
          <cell r="I2535" t="str">
            <v>PRD</v>
          </cell>
          <cell r="J2535" t="str">
            <v>TOYOTA PRIUS</v>
          </cell>
          <cell r="K2535" t="str">
            <v>HV TOYOTA 680A BBM</v>
          </cell>
          <cell r="L2535" t="str">
            <v>CV HV 02</v>
          </cell>
          <cell r="M2535" t="str">
            <v>CHECKER T2,V2,X2</v>
          </cell>
          <cell r="N2535" t="str">
            <v>ELECTRICAL INSPECTION</v>
          </cell>
          <cell r="O2535" t="str">
            <v>B</v>
          </cell>
        </row>
        <row r="2536">
          <cell r="A2536">
            <v>23446</v>
          </cell>
          <cell r="B2536" t="str">
            <v>NUR HICHMAWATI</v>
          </cell>
          <cell r="C2536" t="str">
            <v>SAMI</v>
          </cell>
          <cell r="D2536" t="str">
            <v>OPT-575</v>
          </cell>
          <cell r="E2536">
            <v>43434</v>
          </cell>
          <cell r="F2536">
            <v>43464</v>
          </cell>
          <cell r="G2536">
            <v>43830</v>
          </cell>
          <cell r="H2536" t="str">
            <v>PRD</v>
          </cell>
          <cell r="I2536" t="str">
            <v>PRD</v>
          </cell>
          <cell r="J2536" t="str">
            <v>TOYOTA PRIUS</v>
          </cell>
          <cell r="K2536" t="str">
            <v>HV TOYOTA 680A BBM</v>
          </cell>
          <cell r="L2536" t="str">
            <v>CV HV 02</v>
          </cell>
          <cell r="M2536" t="str">
            <v>OJT</v>
          </cell>
          <cell r="N2536" t="str">
            <v>INTERNAL TRIAL</v>
          </cell>
          <cell r="O2536" t="str">
            <v>B</v>
          </cell>
        </row>
        <row r="2537">
          <cell r="A2537">
            <v>23470</v>
          </cell>
          <cell r="B2537" t="str">
            <v>SITI WAKHIDATUN NADILA</v>
          </cell>
          <cell r="C2537" t="str">
            <v>SAMI</v>
          </cell>
          <cell r="D2537" t="str">
            <v>OPT-575</v>
          </cell>
          <cell r="E2537">
            <v>43434</v>
          </cell>
          <cell r="F2537">
            <v>43464</v>
          </cell>
          <cell r="G2537">
            <v>43830</v>
          </cell>
          <cell r="H2537" t="str">
            <v>PRD</v>
          </cell>
          <cell r="I2537" t="str">
            <v>PRD</v>
          </cell>
          <cell r="J2537" t="str">
            <v>TOYOTA PRIUS</v>
          </cell>
          <cell r="K2537" t="str">
            <v>HV TOYOTA 680A BBM</v>
          </cell>
          <cell r="L2537" t="str">
            <v>CV HV 02</v>
          </cell>
          <cell r="M2537" t="str">
            <v>OJT</v>
          </cell>
          <cell r="N2537" t="str">
            <v>INTERNAL TRIAL</v>
          </cell>
          <cell r="O2537" t="str">
            <v>B</v>
          </cell>
        </row>
        <row r="2538">
          <cell r="A2538">
            <v>23595</v>
          </cell>
          <cell r="B2538" t="str">
            <v>TIYA ROHMAH AYU ARIYANI</v>
          </cell>
          <cell r="C2538" t="str">
            <v>SAMI</v>
          </cell>
          <cell r="D2538" t="str">
            <v>OPT-577</v>
          </cell>
          <cell r="E2538">
            <v>43452</v>
          </cell>
          <cell r="F2538">
            <v>43483</v>
          </cell>
          <cell r="G2538">
            <v>43861</v>
          </cell>
          <cell r="H2538" t="str">
            <v>PRD</v>
          </cell>
          <cell r="I2538" t="str">
            <v>PRD</v>
          </cell>
          <cell r="J2538" t="str">
            <v>TOYOTA PRIUS</v>
          </cell>
          <cell r="K2538" t="str">
            <v>HV TOYOTA 680A BBM</v>
          </cell>
          <cell r="L2538" t="str">
            <v>CV HV 02</v>
          </cell>
          <cell r="M2538" t="str">
            <v>OJT</v>
          </cell>
          <cell r="N2538" t="str">
            <v>INTERNAL TRIAL</v>
          </cell>
          <cell r="O2538" t="str">
            <v>B</v>
          </cell>
        </row>
        <row r="2539">
          <cell r="A2539">
            <v>8695</v>
          </cell>
          <cell r="B2539" t="str">
            <v>RUWAIDAH</v>
          </cell>
          <cell r="C2539" t="str">
            <v>SAMI</v>
          </cell>
          <cell r="D2539" t="str">
            <v>OPT-190</v>
          </cell>
          <cell r="E2539">
            <v>39888</v>
          </cell>
          <cell r="F2539" t="str">
            <v>-</v>
          </cell>
          <cell r="G2539" t="str">
            <v>-</v>
          </cell>
          <cell r="H2539" t="str">
            <v>PRD</v>
          </cell>
          <cell r="I2539" t="str">
            <v>PRD</v>
          </cell>
          <cell r="J2539" t="str">
            <v>HV TOYOTA</v>
          </cell>
          <cell r="K2539" t="str">
            <v>HV TOYOTA 14PL</v>
          </cell>
          <cell r="L2539" t="str">
            <v>CV HV 03</v>
          </cell>
          <cell r="M2539" t="str">
            <v>SUB LINE CHO</v>
          </cell>
          <cell r="N2539" t="str">
            <v>GL</v>
          </cell>
          <cell r="O2539" t="str">
            <v>A</v>
          </cell>
        </row>
        <row r="2540">
          <cell r="A2540">
            <v>12965</v>
          </cell>
          <cell r="B2540" t="str">
            <v>A'ISYAH NITARIANANDANI</v>
          </cell>
          <cell r="C2540" t="str">
            <v>SAMI</v>
          </cell>
          <cell r="D2540" t="str">
            <v>OPT-323</v>
          </cell>
          <cell r="E2540">
            <v>40840</v>
          </cell>
          <cell r="F2540" t="str">
            <v>-</v>
          </cell>
          <cell r="G2540" t="str">
            <v>-</v>
          </cell>
          <cell r="H2540" t="str">
            <v>PRD</v>
          </cell>
          <cell r="I2540" t="str">
            <v>PRD</v>
          </cell>
          <cell r="J2540" t="str">
            <v>HV TOYOTA</v>
          </cell>
          <cell r="K2540" t="str">
            <v>HV TOYOTA 14PL</v>
          </cell>
          <cell r="L2540" t="str">
            <v>CV HV 03</v>
          </cell>
          <cell r="M2540" t="str">
            <v>LQC</v>
          </cell>
          <cell r="N2540" t="str">
            <v>RELIEF</v>
          </cell>
          <cell r="O2540" t="str">
            <v>A</v>
          </cell>
        </row>
        <row r="2541">
          <cell r="A2541">
            <v>21722</v>
          </cell>
          <cell r="B2541" t="str">
            <v>KHOTIMATUL KHUSNA</v>
          </cell>
          <cell r="C2541" t="str">
            <v>SAMI</v>
          </cell>
          <cell r="D2541" t="str">
            <v>OPT-539</v>
          </cell>
          <cell r="E2541">
            <v>43087</v>
          </cell>
          <cell r="F2541">
            <v>43118</v>
          </cell>
          <cell r="G2541">
            <v>43496</v>
          </cell>
          <cell r="H2541" t="str">
            <v>PRD</v>
          </cell>
          <cell r="I2541" t="str">
            <v>PRD</v>
          </cell>
          <cell r="J2541" t="str">
            <v>HV TOYOTA</v>
          </cell>
          <cell r="K2541" t="str">
            <v>HV TOYOTA 14PL</v>
          </cell>
          <cell r="L2541" t="str">
            <v>CV HV 03</v>
          </cell>
          <cell r="M2541" t="str">
            <v>S/A T2.1</v>
          </cell>
          <cell r="N2541" t="str">
            <v>SUB ASSY</v>
          </cell>
          <cell r="O2541" t="str">
            <v>A</v>
          </cell>
        </row>
        <row r="2542">
          <cell r="A2542">
            <v>22205</v>
          </cell>
          <cell r="B2542" t="str">
            <v xml:space="preserve">TRI FITRIANA </v>
          </cell>
          <cell r="C2542" t="str">
            <v>SAMI</v>
          </cell>
          <cell r="D2542" t="str">
            <v>OPT-550</v>
          </cell>
          <cell r="E2542">
            <v>43158</v>
          </cell>
          <cell r="F2542">
            <v>43186</v>
          </cell>
          <cell r="G2542">
            <v>43555</v>
          </cell>
          <cell r="H2542" t="str">
            <v>PRD</v>
          </cell>
          <cell r="I2542" t="str">
            <v>PRD</v>
          </cell>
          <cell r="J2542" t="str">
            <v>HV TOYOTA</v>
          </cell>
          <cell r="K2542" t="str">
            <v>HV TOYOTA 14PL</v>
          </cell>
          <cell r="L2542" t="str">
            <v>CV HV 03</v>
          </cell>
          <cell r="M2542" t="str">
            <v>ALIGHMENT, MOULDING, INTERMEDIATE</v>
          </cell>
          <cell r="N2542" t="str">
            <v>WFAP 2.1</v>
          </cell>
          <cell r="O2542" t="str">
            <v>A</v>
          </cell>
        </row>
        <row r="2543">
          <cell r="A2543">
            <v>23410</v>
          </cell>
          <cell r="B2543" t="str">
            <v>ENY RAHMAWATI</v>
          </cell>
          <cell r="C2543" t="str">
            <v>SAMI</v>
          </cell>
          <cell r="D2543" t="str">
            <v>OPT-575</v>
          </cell>
          <cell r="E2543">
            <v>43434</v>
          </cell>
          <cell r="F2543">
            <v>43464</v>
          </cell>
          <cell r="G2543">
            <v>43830</v>
          </cell>
          <cell r="H2543" t="str">
            <v>PRD</v>
          </cell>
          <cell r="I2543" t="str">
            <v>PRD</v>
          </cell>
          <cell r="J2543" t="str">
            <v>HV TOYOTA</v>
          </cell>
          <cell r="K2543" t="str">
            <v>HV TOYOTA 14PL</v>
          </cell>
          <cell r="L2543" t="str">
            <v>CV HV 03</v>
          </cell>
          <cell r="M2543" t="str">
            <v>OJT</v>
          </cell>
          <cell r="N2543" t="str">
            <v>INTERNAL TRIAL</v>
          </cell>
          <cell r="O2543" t="str">
            <v>A</v>
          </cell>
        </row>
        <row r="2544">
          <cell r="A2544" t="str">
            <v>B01148</v>
          </cell>
          <cell r="B2544" t="str">
            <v>LIANA INDRI ASTUTI</v>
          </cell>
          <cell r="C2544" t="str">
            <v>SAMI</v>
          </cell>
          <cell r="D2544" t="str">
            <v>BBF-030</v>
          </cell>
          <cell r="E2544">
            <v>41165</v>
          </cell>
          <cell r="F2544" t="str">
            <v>-</v>
          </cell>
          <cell r="G2544" t="str">
            <v>-</v>
          </cell>
          <cell r="H2544" t="str">
            <v>PRD</v>
          </cell>
          <cell r="I2544" t="str">
            <v>PRD</v>
          </cell>
          <cell r="J2544" t="str">
            <v>HV TOYOTA</v>
          </cell>
          <cell r="K2544" t="str">
            <v>HV TOYOTA 14PL</v>
          </cell>
          <cell r="L2544" t="str">
            <v>CV HV 03</v>
          </cell>
          <cell r="M2544" t="str">
            <v>ASM T2, SA THERMISTOR T2</v>
          </cell>
          <cell r="N2544" t="str">
            <v>ASSEMBLY</v>
          </cell>
          <cell r="O2544" t="str">
            <v>A</v>
          </cell>
        </row>
        <row r="2545">
          <cell r="A2545" t="str">
            <v>B03539</v>
          </cell>
          <cell r="B2545" t="str">
            <v>PUTRI GALIH PAMBAJENG</v>
          </cell>
          <cell r="C2545" t="str">
            <v>SAMI</v>
          </cell>
          <cell r="D2545" t="str">
            <v>BBF-160</v>
          </cell>
          <cell r="E2545">
            <v>42634</v>
          </cell>
          <cell r="F2545">
            <v>43132</v>
          </cell>
          <cell r="G2545">
            <v>43496</v>
          </cell>
          <cell r="H2545" t="str">
            <v>PRD</v>
          </cell>
          <cell r="I2545" t="str">
            <v>PRD</v>
          </cell>
          <cell r="J2545" t="str">
            <v>HV TOYOTA</v>
          </cell>
          <cell r="K2545" t="str">
            <v>HV TOYOTA 14PL</v>
          </cell>
          <cell r="L2545" t="str">
            <v>CV HV 03</v>
          </cell>
          <cell r="M2545" t="str">
            <v>CIRCUIT SUPPLIER</v>
          </cell>
          <cell r="N2545" t="str">
            <v>CIRCUIT SUPPLY</v>
          </cell>
          <cell r="O2545" t="str">
            <v>A</v>
          </cell>
        </row>
        <row r="2546">
          <cell r="A2546">
            <v>23596</v>
          </cell>
          <cell r="B2546" t="str">
            <v>TRI LAELATUN NIKMAH</v>
          </cell>
          <cell r="C2546" t="str">
            <v>SAMI</v>
          </cell>
          <cell r="D2546" t="str">
            <v>OPT-577</v>
          </cell>
          <cell r="E2546">
            <v>43452</v>
          </cell>
          <cell r="F2546">
            <v>43483</v>
          </cell>
          <cell r="G2546">
            <v>43861</v>
          </cell>
          <cell r="H2546" t="str">
            <v>PRD</v>
          </cell>
          <cell r="I2546" t="str">
            <v>PRD</v>
          </cell>
          <cell r="J2546" t="str">
            <v>HV TOYOTA</v>
          </cell>
          <cell r="K2546" t="str">
            <v>HV TOYOTA 14PL</v>
          </cell>
          <cell r="L2546" t="str">
            <v>CV HV 03</v>
          </cell>
          <cell r="M2546" t="str">
            <v>OJT</v>
          </cell>
          <cell r="N2546" t="str">
            <v>INTERNAL TRIAL</v>
          </cell>
          <cell r="O2546" t="str">
            <v>A</v>
          </cell>
        </row>
        <row r="2547">
          <cell r="A2547">
            <v>11023</v>
          </cell>
          <cell r="B2547" t="str">
            <v>RUDI YANTI</v>
          </cell>
          <cell r="C2547" t="str">
            <v>SAMI</v>
          </cell>
          <cell r="D2547" t="str">
            <v>OPT-287</v>
          </cell>
          <cell r="E2547">
            <v>40585</v>
          </cell>
          <cell r="F2547" t="str">
            <v>-</v>
          </cell>
          <cell r="G2547" t="str">
            <v>-</v>
          </cell>
          <cell r="H2547" t="str">
            <v>PRD</v>
          </cell>
          <cell r="I2547" t="str">
            <v>PRD</v>
          </cell>
          <cell r="J2547" t="str">
            <v>HV TOYOTA</v>
          </cell>
          <cell r="K2547" t="str">
            <v>HV TOYOTA 14PL</v>
          </cell>
          <cell r="L2547" t="str">
            <v>CV HV 03</v>
          </cell>
          <cell r="M2547" t="str">
            <v>SUB LINE CHO</v>
          </cell>
          <cell r="N2547" t="str">
            <v>GL</v>
          </cell>
          <cell r="O2547" t="str">
            <v>B</v>
          </cell>
        </row>
        <row r="2548">
          <cell r="A2548">
            <v>12040</v>
          </cell>
          <cell r="B2548" t="str">
            <v>ATIK ROMADANI</v>
          </cell>
          <cell r="C2548" t="str">
            <v>SAMI</v>
          </cell>
          <cell r="D2548" t="str">
            <v>OPT-313</v>
          </cell>
          <cell r="E2548">
            <v>40792</v>
          </cell>
          <cell r="F2548" t="str">
            <v>-</v>
          </cell>
          <cell r="G2548" t="str">
            <v>-</v>
          </cell>
          <cell r="H2548" t="str">
            <v>PRD</v>
          </cell>
          <cell r="I2548" t="str">
            <v>PRD</v>
          </cell>
          <cell r="J2548" t="str">
            <v>HV TOYOTA</v>
          </cell>
          <cell r="K2548" t="str">
            <v>HV TOYOTA 14PL</v>
          </cell>
          <cell r="L2548" t="str">
            <v>CV HV 03</v>
          </cell>
          <cell r="M2548" t="str">
            <v>LQC</v>
          </cell>
          <cell r="N2548" t="str">
            <v>RELIEF</v>
          </cell>
          <cell r="O2548" t="str">
            <v>B</v>
          </cell>
        </row>
        <row r="2549">
          <cell r="A2549">
            <v>20440</v>
          </cell>
          <cell r="B2549" t="str">
            <v>AYU MAALIYAH</v>
          </cell>
          <cell r="C2549" t="str">
            <v>SAMI</v>
          </cell>
          <cell r="D2549" t="str">
            <v>OPT-504</v>
          </cell>
          <cell r="E2549">
            <v>42634</v>
          </cell>
          <cell r="F2549">
            <v>43132</v>
          </cell>
          <cell r="G2549">
            <v>43496</v>
          </cell>
          <cell r="H2549" t="str">
            <v>PRD</v>
          </cell>
          <cell r="I2549" t="str">
            <v>PRD</v>
          </cell>
          <cell r="J2549" t="str">
            <v>HV TOYOTA</v>
          </cell>
          <cell r="K2549" t="str">
            <v>HV TOYOTA 14PL</v>
          </cell>
          <cell r="L2549" t="str">
            <v>CV HV 03</v>
          </cell>
          <cell r="M2549" t="str">
            <v>ALIGHMENT, MOULDING, INTERMEDIATE X1, ASM X1.1</v>
          </cell>
          <cell r="N2549" t="str">
            <v>ASSEMBLY</v>
          </cell>
          <cell r="O2549" t="str">
            <v>B</v>
          </cell>
        </row>
        <row r="2550">
          <cell r="A2550">
            <v>21561</v>
          </cell>
          <cell r="B2550" t="str">
            <v>SITI NUR ASIYAH</v>
          </cell>
          <cell r="C2550" t="str">
            <v>SAMI</v>
          </cell>
          <cell r="D2550" t="str">
            <v>OPT-535</v>
          </cell>
          <cell r="E2550">
            <v>43045</v>
          </cell>
          <cell r="F2550">
            <v>43435</v>
          </cell>
          <cell r="G2550">
            <v>43799</v>
          </cell>
          <cell r="H2550" t="str">
            <v>PRD</v>
          </cell>
          <cell r="I2550" t="str">
            <v>PRD</v>
          </cell>
          <cell r="J2550" t="str">
            <v>HV TOYOTA</v>
          </cell>
          <cell r="K2550" t="str">
            <v>HV TOYOTA 14PL</v>
          </cell>
          <cell r="L2550" t="str">
            <v>CV HV 03</v>
          </cell>
          <cell r="M2550" t="str">
            <v>VIS X1, X2</v>
          </cell>
          <cell r="N2550" t="str">
            <v>VISUAL INSPECTION</v>
          </cell>
          <cell r="O2550" t="str">
            <v>B</v>
          </cell>
        </row>
        <row r="2551">
          <cell r="A2551">
            <v>21782</v>
          </cell>
          <cell r="B2551" t="str">
            <v>NOVI YANA PUTRI</v>
          </cell>
          <cell r="C2551" t="str">
            <v>SAMI</v>
          </cell>
          <cell r="D2551" t="str">
            <v>OPT-540</v>
          </cell>
          <cell r="E2551">
            <v>43090</v>
          </cell>
          <cell r="F2551">
            <v>43121</v>
          </cell>
          <cell r="G2551">
            <v>43496</v>
          </cell>
          <cell r="H2551" t="str">
            <v>PRD</v>
          </cell>
          <cell r="I2551" t="str">
            <v>PRD</v>
          </cell>
          <cell r="J2551" t="str">
            <v>HV TOYOTA</v>
          </cell>
          <cell r="K2551" t="str">
            <v>HV TOYOTA 14PL</v>
          </cell>
          <cell r="L2551" t="str">
            <v>CV HV 03</v>
          </cell>
          <cell r="M2551" t="str">
            <v>ASM X1.2, ASM X1.1</v>
          </cell>
          <cell r="N2551" t="str">
            <v>ASSEMBLY</v>
          </cell>
          <cell r="O2551" t="str">
            <v>B</v>
          </cell>
        </row>
        <row r="2552">
          <cell r="A2552">
            <v>21835</v>
          </cell>
          <cell r="B2552" t="str">
            <v>LIZA BAITUL IZAH</v>
          </cell>
          <cell r="C2552" t="str">
            <v>SAMI</v>
          </cell>
          <cell r="D2552" t="str">
            <v>OPT-541</v>
          </cell>
          <cell r="E2552">
            <v>43098</v>
          </cell>
          <cell r="F2552">
            <v>43129</v>
          </cell>
          <cell r="G2552">
            <v>43496</v>
          </cell>
          <cell r="H2552" t="str">
            <v>PRD</v>
          </cell>
          <cell r="I2552" t="str">
            <v>PRD</v>
          </cell>
          <cell r="J2552" t="str">
            <v>HV TOYOTA</v>
          </cell>
          <cell r="K2552" t="str">
            <v>HV TOYOTA 14PL</v>
          </cell>
          <cell r="L2552" t="str">
            <v>CV HV 03</v>
          </cell>
          <cell r="M2552" t="str">
            <v>ASM X2.1</v>
          </cell>
          <cell r="N2552" t="str">
            <v>ASSEMBLY</v>
          </cell>
          <cell r="O2552" t="str">
            <v>B</v>
          </cell>
        </row>
        <row r="2553">
          <cell r="A2553">
            <v>22100</v>
          </cell>
          <cell r="B2553" t="str">
            <v>SRI RAHAYU</v>
          </cell>
          <cell r="C2553" t="str">
            <v>SAMI</v>
          </cell>
          <cell r="D2553" t="str">
            <v>OPT-548</v>
          </cell>
          <cell r="E2553">
            <v>43150</v>
          </cell>
          <cell r="F2553">
            <v>43178</v>
          </cell>
          <cell r="G2553">
            <v>43555</v>
          </cell>
          <cell r="H2553" t="str">
            <v>PRD</v>
          </cell>
          <cell r="I2553" t="str">
            <v>PRD</v>
          </cell>
          <cell r="J2553" t="str">
            <v>HV TOYOTA</v>
          </cell>
          <cell r="K2553" t="str">
            <v>HV TOYOTA 14PL</v>
          </cell>
          <cell r="L2553" t="str">
            <v>CV HV 03</v>
          </cell>
          <cell r="M2553" t="str">
            <v>S/A X1, S/A CONTINUITY X1</v>
          </cell>
          <cell r="N2553" t="str">
            <v>SUB ASSY</v>
          </cell>
          <cell r="O2553" t="str">
            <v>B</v>
          </cell>
        </row>
        <row r="2554">
          <cell r="A2554">
            <v>22910</v>
          </cell>
          <cell r="B2554" t="str">
            <v>ARINA MAULIDA</v>
          </cell>
          <cell r="C2554" t="str">
            <v>SAMI</v>
          </cell>
          <cell r="D2554" t="str">
            <v>OPT-568</v>
          </cell>
          <cell r="E2554">
            <v>43343</v>
          </cell>
          <cell r="F2554">
            <v>43374</v>
          </cell>
          <cell r="G2554">
            <v>43738</v>
          </cell>
          <cell r="H2554" t="str">
            <v>PRD</v>
          </cell>
          <cell r="I2554" t="str">
            <v>PRD</v>
          </cell>
          <cell r="J2554" t="str">
            <v>HV TOYOTA</v>
          </cell>
          <cell r="K2554" t="str">
            <v>HV TOYOTA 14PL</v>
          </cell>
          <cell r="L2554" t="str">
            <v>CV HV 03</v>
          </cell>
          <cell r="M2554" t="str">
            <v>CIRCUIT SUPPLIER</v>
          </cell>
          <cell r="N2554" t="str">
            <v>CIRCUIT SUPPLY</v>
          </cell>
          <cell r="O2554" t="str">
            <v>B</v>
          </cell>
        </row>
        <row r="2555">
          <cell r="A2555">
            <v>23328</v>
          </cell>
          <cell r="B2555" t="str">
            <v>LINDA LESTARI</v>
          </cell>
          <cell r="C2555" t="str">
            <v>SAMI</v>
          </cell>
          <cell r="D2555" t="str">
            <v>OPT-574</v>
          </cell>
          <cell r="E2555">
            <v>43427</v>
          </cell>
          <cell r="F2555">
            <v>43457</v>
          </cell>
          <cell r="G2555">
            <v>43830</v>
          </cell>
          <cell r="H2555" t="str">
            <v>PRD</v>
          </cell>
          <cell r="I2555" t="str">
            <v>PRD</v>
          </cell>
          <cell r="J2555" t="str">
            <v>HV TOYOTA</v>
          </cell>
          <cell r="K2555" t="str">
            <v>HV TOYOTA 14PL</v>
          </cell>
          <cell r="L2555" t="str">
            <v>CV HV 03</v>
          </cell>
          <cell r="M2555" t="str">
            <v>OJT ALIGMENT MOULDING</v>
          </cell>
          <cell r="N2555" t="str">
            <v>INTERNAL TRIAL</v>
          </cell>
          <cell r="O2555" t="str">
            <v>B</v>
          </cell>
        </row>
        <row r="2556">
          <cell r="A2556">
            <v>23437</v>
          </cell>
          <cell r="B2556" t="str">
            <v xml:space="preserve">MONICA DIANISA </v>
          </cell>
          <cell r="C2556" t="str">
            <v>SAMI</v>
          </cell>
          <cell r="D2556" t="str">
            <v>OPT-575</v>
          </cell>
          <cell r="E2556">
            <v>43434</v>
          </cell>
          <cell r="F2556">
            <v>43464</v>
          </cell>
          <cell r="G2556">
            <v>43830</v>
          </cell>
          <cell r="H2556" t="str">
            <v>PRD</v>
          </cell>
          <cell r="I2556" t="str">
            <v>PRD</v>
          </cell>
          <cell r="J2556" t="str">
            <v>HV TOYOTA</v>
          </cell>
          <cell r="K2556" t="str">
            <v>HV TOYOTA 14PL</v>
          </cell>
          <cell r="L2556" t="str">
            <v>CV HV 03</v>
          </cell>
          <cell r="M2556" t="str">
            <v>OJT CIRCUIT SUPPLIER</v>
          </cell>
          <cell r="N2556" t="str">
            <v>INTERNAL TRIAL</v>
          </cell>
          <cell r="O2556" t="str">
            <v>B</v>
          </cell>
        </row>
        <row r="2557">
          <cell r="A2557">
            <v>23489</v>
          </cell>
          <cell r="B2557" t="str">
            <v>ALIF FATUL MAKFIROH</v>
          </cell>
          <cell r="C2557" t="str">
            <v>SAMI</v>
          </cell>
          <cell r="D2557" t="str">
            <v>OPT-576</v>
          </cell>
          <cell r="E2557">
            <v>43441</v>
          </cell>
          <cell r="F2557">
            <v>43472</v>
          </cell>
          <cell r="G2557">
            <v>43830</v>
          </cell>
          <cell r="H2557" t="str">
            <v>PRD</v>
          </cell>
          <cell r="I2557" t="str">
            <v>PRD</v>
          </cell>
          <cell r="J2557" t="str">
            <v>HV TOYOTA</v>
          </cell>
          <cell r="K2557" t="str">
            <v>HV TOYOTA 14PL</v>
          </cell>
          <cell r="L2557" t="str">
            <v xml:space="preserve">CV HV 03 </v>
          </cell>
          <cell r="M2557" t="str">
            <v>OJT</v>
          </cell>
          <cell r="N2557" t="str">
            <v>INTERNAL TRIAL</v>
          </cell>
          <cell r="O2557" t="str">
            <v>A</v>
          </cell>
        </row>
        <row r="2558">
          <cell r="A2558">
            <v>23492</v>
          </cell>
          <cell r="B2558" t="str">
            <v>ARUM DWI SETIYANTI</v>
          </cell>
          <cell r="C2558" t="str">
            <v>SAMI</v>
          </cell>
          <cell r="D2558" t="str">
            <v>OPT-576</v>
          </cell>
          <cell r="E2558">
            <v>43441</v>
          </cell>
          <cell r="F2558">
            <v>43472</v>
          </cell>
          <cell r="G2558">
            <v>43830</v>
          </cell>
          <cell r="H2558" t="str">
            <v>PRD</v>
          </cell>
          <cell r="I2558" t="str">
            <v>PRD</v>
          </cell>
          <cell r="J2558" t="str">
            <v>HV TOYOTA</v>
          </cell>
          <cell r="K2558" t="str">
            <v>HV TOYOTA 14PL</v>
          </cell>
          <cell r="L2558" t="str">
            <v xml:space="preserve">CV HV 03 </v>
          </cell>
          <cell r="M2558" t="str">
            <v>OJT</v>
          </cell>
          <cell r="N2558" t="str">
            <v>INTERNAL TRIAL</v>
          </cell>
          <cell r="O2558" t="str">
            <v>B</v>
          </cell>
        </row>
        <row r="2559">
          <cell r="A2559">
            <v>8636</v>
          </cell>
          <cell r="B2559" t="str">
            <v>ANY ISNAWATI</v>
          </cell>
          <cell r="C2559" t="str">
            <v>SAMI</v>
          </cell>
          <cell r="D2559" t="str">
            <v>OPT-189</v>
          </cell>
          <cell r="E2559">
            <v>39878</v>
          </cell>
          <cell r="F2559" t="str">
            <v>-</v>
          </cell>
          <cell r="G2559" t="str">
            <v>-</v>
          </cell>
          <cell r="H2559" t="str">
            <v>PRD</v>
          </cell>
          <cell r="I2559" t="str">
            <v>PRD</v>
          </cell>
          <cell r="J2559" t="str">
            <v>HONDA BBP</v>
          </cell>
          <cell r="K2559" t="str">
            <v>HV HONDA 5JLA BBP</v>
          </cell>
          <cell r="L2559" t="str">
            <v>CV HV 04</v>
          </cell>
          <cell r="M2559" t="str">
            <v>SUB LINE CHO</v>
          </cell>
          <cell r="N2559" t="str">
            <v>GL</v>
          </cell>
          <cell r="O2559" t="str">
            <v>A</v>
          </cell>
        </row>
        <row r="2560">
          <cell r="A2560">
            <v>9571</v>
          </cell>
          <cell r="B2560" t="str">
            <v>SUKENI</v>
          </cell>
          <cell r="C2560" t="str">
            <v>SAMI</v>
          </cell>
          <cell r="D2560" t="str">
            <v>OPT-217</v>
          </cell>
          <cell r="E2560">
            <v>40179</v>
          </cell>
          <cell r="F2560" t="str">
            <v>-</v>
          </cell>
          <cell r="G2560" t="str">
            <v>-</v>
          </cell>
          <cell r="H2560" t="str">
            <v>PRD</v>
          </cell>
          <cell r="I2560" t="str">
            <v>PRD</v>
          </cell>
          <cell r="J2560" t="str">
            <v>HONDA BBP</v>
          </cell>
          <cell r="K2560" t="str">
            <v>HV HONDA 5JLA BBP</v>
          </cell>
          <cell r="L2560" t="str">
            <v>CV HV 04</v>
          </cell>
          <cell r="M2560" t="str">
            <v>CHECKER + VISUAL 173</v>
          </cell>
          <cell r="N2560" t="str">
            <v>ELECTRICAL INSPECTION</v>
          </cell>
          <cell r="O2560" t="str">
            <v>A</v>
          </cell>
        </row>
        <row r="2561">
          <cell r="A2561">
            <v>10366</v>
          </cell>
          <cell r="B2561" t="str">
            <v>ENDANG SRI REJEKI</v>
          </cell>
          <cell r="C2561" t="str">
            <v>SAMI</v>
          </cell>
          <cell r="D2561" t="str">
            <v>OPT-267</v>
          </cell>
          <cell r="E2561">
            <v>40513</v>
          </cell>
          <cell r="F2561" t="str">
            <v>-</v>
          </cell>
          <cell r="G2561" t="str">
            <v>-</v>
          </cell>
          <cell r="H2561" t="str">
            <v>PRD</v>
          </cell>
          <cell r="I2561" t="str">
            <v>PRD</v>
          </cell>
          <cell r="J2561" t="str">
            <v>HONDA BBP</v>
          </cell>
          <cell r="K2561" t="str">
            <v>HV HONDA 5JLA BBP</v>
          </cell>
          <cell r="L2561" t="str">
            <v>CV HV 04</v>
          </cell>
          <cell r="M2561" t="str">
            <v>LQC</v>
          </cell>
          <cell r="N2561" t="str">
            <v>RELIEF</v>
          </cell>
          <cell r="O2561" t="str">
            <v>A</v>
          </cell>
        </row>
        <row r="2562">
          <cell r="A2562">
            <v>11368</v>
          </cell>
          <cell r="B2562" t="str">
            <v>AFIA HAFIDZ</v>
          </cell>
          <cell r="C2562" t="str">
            <v>SAMI</v>
          </cell>
          <cell r="D2562" t="str">
            <v>OPT-304</v>
          </cell>
          <cell r="E2562">
            <v>40696</v>
          </cell>
          <cell r="F2562" t="str">
            <v>-</v>
          </cell>
          <cell r="G2562" t="str">
            <v>-</v>
          </cell>
          <cell r="H2562" t="str">
            <v>PRD</v>
          </cell>
          <cell r="I2562" t="str">
            <v>PRD</v>
          </cell>
          <cell r="J2562" t="str">
            <v>HONDA BBP</v>
          </cell>
          <cell r="K2562" t="str">
            <v>HV HONDA 5JLA BBP</v>
          </cell>
          <cell r="L2562" t="str">
            <v>CV HV 04</v>
          </cell>
          <cell r="M2562" t="str">
            <v>S/A 173-3</v>
          </cell>
          <cell r="N2562" t="str">
            <v>SUB ASSY</v>
          </cell>
          <cell r="O2562" t="str">
            <v>A</v>
          </cell>
        </row>
        <row r="2563">
          <cell r="A2563">
            <v>11959</v>
          </cell>
          <cell r="B2563" t="str">
            <v>RATNA SARI</v>
          </cell>
          <cell r="C2563" t="str">
            <v>SAMI</v>
          </cell>
          <cell r="D2563" t="str">
            <v>OPT-311</v>
          </cell>
          <cell r="E2563">
            <v>40770</v>
          </cell>
          <cell r="F2563" t="str">
            <v>-</v>
          </cell>
          <cell r="G2563" t="str">
            <v>-</v>
          </cell>
          <cell r="H2563" t="str">
            <v>PRD</v>
          </cell>
          <cell r="I2563" t="str">
            <v>PRD</v>
          </cell>
          <cell r="J2563" t="str">
            <v>HONDA BBP</v>
          </cell>
          <cell r="K2563" t="str">
            <v>HV HONDA 5JLA BBP</v>
          </cell>
          <cell r="L2563" t="str">
            <v>CV HV 04</v>
          </cell>
          <cell r="M2563" t="str">
            <v>S/A 132-1</v>
          </cell>
          <cell r="N2563" t="str">
            <v>SUB ASSY</v>
          </cell>
          <cell r="O2563" t="str">
            <v>A</v>
          </cell>
        </row>
        <row r="2564">
          <cell r="A2564">
            <v>12670</v>
          </cell>
          <cell r="B2564" t="str">
            <v>MAGHFIROH</v>
          </cell>
          <cell r="C2564" t="str">
            <v>SAMI</v>
          </cell>
          <cell r="D2564" t="str">
            <v>OPT-320</v>
          </cell>
          <cell r="E2564">
            <v>40819</v>
          </cell>
          <cell r="F2564" t="str">
            <v>-</v>
          </cell>
          <cell r="G2564" t="str">
            <v>-</v>
          </cell>
          <cell r="H2564" t="str">
            <v>PRD</v>
          </cell>
          <cell r="I2564" t="str">
            <v>PRD</v>
          </cell>
          <cell r="J2564" t="str">
            <v>HONDA BBP</v>
          </cell>
          <cell r="K2564" t="str">
            <v>HV HONDA 5JLA BBP</v>
          </cell>
          <cell r="L2564" t="str">
            <v>CV HV 04</v>
          </cell>
          <cell r="M2564" t="str">
            <v>S/A 131-1</v>
          </cell>
          <cell r="N2564" t="str">
            <v>SUB ASSY</v>
          </cell>
          <cell r="O2564" t="str">
            <v>A</v>
          </cell>
        </row>
        <row r="2565">
          <cell r="A2565">
            <v>20460</v>
          </cell>
          <cell r="B2565" t="str">
            <v>FADHILA ISHNA FAHMI</v>
          </cell>
          <cell r="C2565" t="str">
            <v>SAMI</v>
          </cell>
          <cell r="D2565" t="str">
            <v>OPT-504</v>
          </cell>
          <cell r="E2565">
            <v>42634</v>
          </cell>
          <cell r="F2565">
            <v>43132</v>
          </cell>
          <cell r="G2565">
            <v>43496</v>
          </cell>
          <cell r="H2565" t="str">
            <v>PRD</v>
          </cell>
          <cell r="I2565" t="str">
            <v>PRD</v>
          </cell>
          <cell r="J2565" t="str">
            <v>HONDA BBP</v>
          </cell>
          <cell r="K2565" t="str">
            <v>HV HONDA 5JLA BBP</v>
          </cell>
          <cell r="L2565" t="str">
            <v>CV HV 04</v>
          </cell>
          <cell r="M2565" t="str">
            <v>S/A 172-2</v>
          </cell>
          <cell r="N2565" t="str">
            <v>SUB ASSY</v>
          </cell>
          <cell r="O2565" t="str">
            <v>A</v>
          </cell>
        </row>
        <row r="2566">
          <cell r="A2566">
            <v>22031</v>
          </cell>
          <cell r="B2566" t="str">
            <v>ISNAH YATUL IMAH</v>
          </cell>
          <cell r="C2566" t="str">
            <v>SAMI</v>
          </cell>
          <cell r="D2566" t="str">
            <v>OPT-547</v>
          </cell>
          <cell r="E2566">
            <v>43144</v>
          </cell>
          <cell r="F2566">
            <v>43172</v>
          </cell>
          <cell r="G2566">
            <v>43524</v>
          </cell>
          <cell r="H2566" t="str">
            <v>PRD</v>
          </cell>
          <cell r="I2566" t="str">
            <v>PRD</v>
          </cell>
          <cell r="J2566" t="str">
            <v>HONDA BBP</v>
          </cell>
          <cell r="K2566" t="str">
            <v>HV HONDA 5JLA BBP</v>
          </cell>
          <cell r="L2566" t="str">
            <v>CV HV 04</v>
          </cell>
          <cell r="M2566" t="str">
            <v>S/A 173-1</v>
          </cell>
          <cell r="N2566" t="str">
            <v>SUB ASSY</v>
          </cell>
          <cell r="O2566" t="str">
            <v>A</v>
          </cell>
        </row>
        <row r="2567">
          <cell r="A2567">
            <v>22370</v>
          </cell>
          <cell r="B2567" t="str">
            <v>ANDINI FITRIA FAJARWATI</v>
          </cell>
          <cell r="C2567" t="str">
            <v>SAMI</v>
          </cell>
          <cell r="D2567" t="str">
            <v>OPT-558</v>
          </cell>
          <cell r="E2567">
            <v>43213</v>
          </cell>
          <cell r="F2567">
            <v>43243</v>
          </cell>
          <cell r="G2567">
            <v>43616</v>
          </cell>
          <cell r="H2567" t="str">
            <v>PRD</v>
          </cell>
          <cell r="I2567" t="str">
            <v>PRD</v>
          </cell>
          <cell r="J2567" t="str">
            <v>HONDA BBP</v>
          </cell>
          <cell r="K2567" t="str">
            <v>HV HONDA 5JLA BBP</v>
          </cell>
          <cell r="L2567" t="str">
            <v>CV HV 04</v>
          </cell>
          <cell r="M2567" t="str">
            <v>S/A 172.3</v>
          </cell>
          <cell r="N2567" t="str">
            <v>SUB ASSY</v>
          </cell>
          <cell r="O2567" t="str">
            <v>A</v>
          </cell>
        </row>
        <row r="2568">
          <cell r="A2568">
            <v>22727</v>
          </cell>
          <cell r="B2568" t="str">
            <v>DEVI SAFITRI</v>
          </cell>
          <cell r="C2568" t="str">
            <v>SAMI</v>
          </cell>
          <cell r="D2568" t="str">
            <v>OPT-564</v>
          </cell>
          <cell r="E2568">
            <v>43255</v>
          </cell>
          <cell r="F2568">
            <v>43285</v>
          </cell>
          <cell r="G2568">
            <v>43646</v>
          </cell>
          <cell r="H2568" t="str">
            <v>PRD</v>
          </cell>
          <cell r="I2568" t="str">
            <v>PRD</v>
          </cell>
          <cell r="J2568" t="str">
            <v>HONDA BBP</v>
          </cell>
          <cell r="K2568" t="str">
            <v>HV HONDA 5JLA BBP</v>
          </cell>
          <cell r="L2568" t="str">
            <v>CV HV 04</v>
          </cell>
          <cell r="M2568" t="str">
            <v>CHECKER + VISUAL 131</v>
          </cell>
          <cell r="N2568" t="str">
            <v>ELECTRICAL INSPECTION</v>
          </cell>
          <cell r="O2568" t="str">
            <v>A</v>
          </cell>
        </row>
        <row r="2569">
          <cell r="A2569">
            <v>22879</v>
          </cell>
          <cell r="B2569" t="str">
            <v>RADISTA PUTRI APRILIA</v>
          </cell>
          <cell r="C2569" t="str">
            <v>SAMI</v>
          </cell>
          <cell r="D2569" t="str">
            <v>OPT-567</v>
          </cell>
          <cell r="E2569">
            <v>43333</v>
          </cell>
          <cell r="F2569">
            <v>43364</v>
          </cell>
          <cell r="G2569">
            <v>43738</v>
          </cell>
          <cell r="H2569" t="str">
            <v>PRD</v>
          </cell>
          <cell r="I2569" t="str">
            <v>PRD</v>
          </cell>
          <cell r="J2569" t="str">
            <v>HONDA BBP</v>
          </cell>
          <cell r="K2569" t="str">
            <v>HV HONDA 5JLA BBP</v>
          </cell>
          <cell r="L2569" t="str">
            <v>CV HV 04</v>
          </cell>
          <cell r="M2569" t="str">
            <v>CHECKER + VISUAL 132</v>
          </cell>
          <cell r="N2569" t="str">
            <v>ELECTRICAL INSPECTION</v>
          </cell>
          <cell r="O2569" t="str">
            <v>A</v>
          </cell>
        </row>
        <row r="2570">
          <cell r="A2570">
            <v>22888</v>
          </cell>
          <cell r="B2570" t="str">
            <v>SHINTA SETIANI</v>
          </cell>
          <cell r="C2570" t="str">
            <v>SAMI</v>
          </cell>
          <cell r="D2570" t="str">
            <v>OPT-567</v>
          </cell>
          <cell r="E2570">
            <v>43333</v>
          </cell>
          <cell r="F2570">
            <v>43364</v>
          </cell>
          <cell r="G2570">
            <v>43738</v>
          </cell>
          <cell r="H2570" t="str">
            <v>PRD</v>
          </cell>
          <cell r="I2570" t="str">
            <v>PRD</v>
          </cell>
          <cell r="J2570" t="str">
            <v>HONDA BBP</v>
          </cell>
          <cell r="K2570" t="str">
            <v>HV HONDA 5JLA BBP</v>
          </cell>
          <cell r="L2570" t="str">
            <v>CV HV 04</v>
          </cell>
          <cell r="M2570" t="str">
            <v>S/A 172.4</v>
          </cell>
          <cell r="N2570" t="str">
            <v>SUB ASSY</v>
          </cell>
          <cell r="O2570" t="str">
            <v>A</v>
          </cell>
        </row>
        <row r="2571">
          <cell r="A2571">
            <v>23276</v>
          </cell>
          <cell r="B2571" t="str">
            <v>SULISTIYOWATI</v>
          </cell>
          <cell r="C2571" t="str">
            <v>SAMI</v>
          </cell>
          <cell r="D2571" t="str">
            <v>OPT-573</v>
          </cell>
          <cell r="E2571">
            <v>43421</v>
          </cell>
          <cell r="F2571">
            <v>43451</v>
          </cell>
          <cell r="G2571">
            <v>43830</v>
          </cell>
          <cell r="H2571" t="str">
            <v>PRD</v>
          </cell>
          <cell r="I2571" t="str">
            <v>PRD</v>
          </cell>
          <cell r="J2571" t="str">
            <v>HONDA BBP</v>
          </cell>
          <cell r="K2571" t="str">
            <v>HV HONDA 5JLA BBP</v>
          </cell>
          <cell r="L2571" t="str">
            <v>CV HV 04</v>
          </cell>
          <cell r="M2571" t="str">
            <v>CIRCUIT SUPPLIER</v>
          </cell>
          <cell r="N2571" t="str">
            <v>CIRCUIT SUPPLY</v>
          </cell>
          <cell r="O2571" t="str">
            <v>A</v>
          </cell>
        </row>
        <row r="2572">
          <cell r="A2572">
            <v>23415</v>
          </cell>
          <cell r="B2572" t="str">
            <v>FIKI YULIYANTI</v>
          </cell>
          <cell r="C2572" t="str">
            <v>SAMI</v>
          </cell>
          <cell r="D2572" t="str">
            <v>OPT-575</v>
          </cell>
          <cell r="E2572">
            <v>43434</v>
          </cell>
          <cell r="F2572">
            <v>43464</v>
          </cell>
          <cell r="G2572">
            <v>43830</v>
          </cell>
          <cell r="H2572" t="str">
            <v>PRD</v>
          </cell>
          <cell r="I2572" t="str">
            <v>PRD</v>
          </cell>
          <cell r="J2572" t="str">
            <v>HONDA BBP</v>
          </cell>
          <cell r="K2572" t="str">
            <v>HV HONDA 5JLA BBP</v>
          </cell>
          <cell r="L2572" t="str">
            <v>CV HV 04</v>
          </cell>
          <cell r="M2572" t="str">
            <v>S/A 173.2</v>
          </cell>
          <cell r="N2572" t="str">
            <v>SUB ASSY</v>
          </cell>
          <cell r="O2572" t="str">
            <v>A</v>
          </cell>
        </row>
        <row r="2573">
          <cell r="A2573" t="str">
            <v>M23630</v>
          </cell>
          <cell r="B2573" t="str">
            <v>RITA PORWANINGSIH</v>
          </cell>
          <cell r="C2573" t="str">
            <v>SAMI</v>
          </cell>
          <cell r="D2573" t="str">
            <v>OPT-578</v>
          </cell>
          <cell r="E2573">
            <v>43467</v>
          </cell>
          <cell r="F2573">
            <v>43467</v>
          </cell>
          <cell r="G2573">
            <v>43497</v>
          </cell>
          <cell r="H2573" t="str">
            <v>PRD</v>
          </cell>
          <cell r="I2573" t="str">
            <v>PRD</v>
          </cell>
          <cell r="J2573" t="str">
            <v>HONDA BBP</v>
          </cell>
          <cell r="K2573" t="str">
            <v>HV HONDA 5JLA BBP</v>
          </cell>
          <cell r="L2573" t="str">
            <v>CV HV 04</v>
          </cell>
          <cell r="M2573" t="str">
            <v>OJT</v>
          </cell>
          <cell r="N2573" t="str">
            <v>INTERNAL TRIAL</v>
          </cell>
          <cell r="O2573" t="str">
            <v>A</v>
          </cell>
        </row>
        <row r="2574">
          <cell r="A2574">
            <v>1236</v>
          </cell>
          <cell r="B2574" t="str">
            <v>NOVITA FAJAR SAPUTRI</v>
          </cell>
          <cell r="C2574" t="str">
            <v>SAMI</v>
          </cell>
          <cell r="D2574" t="str">
            <v>OPT-30</v>
          </cell>
          <cell r="E2574">
            <v>37914</v>
          </cell>
          <cell r="F2574" t="str">
            <v>-</v>
          </cell>
          <cell r="G2574" t="str">
            <v>-</v>
          </cell>
          <cell r="H2574" t="str">
            <v>PRD</v>
          </cell>
          <cell r="I2574" t="str">
            <v>PRD</v>
          </cell>
          <cell r="J2574" t="str">
            <v>HONDA BBP</v>
          </cell>
          <cell r="K2574" t="str">
            <v>HV HONDA 5JLA BBP</v>
          </cell>
          <cell r="L2574" t="str">
            <v>CV HV 04</v>
          </cell>
          <cell r="M2574" t="str">
            <v>CHECKER + VISUAL</v>
          </cell>
          <cell r="N2574" t="str">
            <v>ELECTRICAL INSPECTION</v>
          </cell>
          <cell r="O2574" t="str">
            <v>B</v>
          </cell>
        </row>
        <row r="2575">
          <cell r="A2575">
            <v>5506</v>
          </cell>
          <cell r="B2575" t="str">
            <v>ROFI'AH</v>
          </cell>
          <cell r="C2575" t="str">
            <v>SAMI</v>
          </cell>
          <cell r="D2575" t="str">
            <v>OPT-129</v>
          </cell>
          <cell r="E2575">
            <v>39022</v>
          </cell>
          <cell r="F2575" t="str">
            <v>-</v>
          </cell>
          <cell r="G2575" t="str">
            <v>-</v>
          </cell>
          <cell r="H2575" t="str">
            <v>PRD</v>
          </cell>
          <cell r="I2575" t="str">
            <v>PRD</v>
          </cell>
          <cell r="J2575" t="str">
            <v>HONDA BBP</v>
          </cell>
          <cell r="K2575" t="str">
            <v>HV HONDA 5JLA BBP</v>
          </cell>
          <cell r="L2575" t="str">
            <v>CV HV 04</v>
          </cell>
          <cell r="M2575" t="str">
            <v>S/A 172-1</v>
          </cell>
          <cell r="N2575" t="str">
            <v>SUB ASSY</v>
          </cell>
          <cell r="O2575" t="str">
            <v>B</v>
          </cell>
        </row>
        <row r="2576">
          <cell r="A2576">
            <v>8951</v>
          </cell>
          <cell r="B2576" t="str">
            <v>RINA SETYOWATI</v>
          </cell>
          <cell r="C2576" t="str">
            <v>SAMI</v>
          </cell>
          <cell r="D2576" t="str">
            <v>OPT-199</v>
          </cell>
          <cell r="E2576">
            <v>39968</v>
          </cell>
          <cell r="F2576" t="str">
            <v>-</v>
          </cell>
          <cell r="G2576" t="str">
            <v>-</v>
          </cell>
          <cell r="H2576" t="str">
            <v>PRD</v>
          </cell>
          <cell r="I2576" t="str">
            <v>PRD</v>
          </cell>
          <cell r="J2576" t="str">
            <v>HONDA BBP</v>
          </cell>
          <cell r="K2576" t="str">
            <v>HV HONDA 5JLA BBP</v>
          </cell>
          <cell r="L2576" t="str">
            <v>CV HV 04</v>
          </cell>
          <cell r="M2576" t="str">
            <v>LQC</v>
          </cell>
          <cell r="N2576" t="str">
            <v>RELIEF</v>
          </cell>
          <cell r="O2576" t="str">
            <v>B</v>
          </cell>
        </row>
        <row r="2577">
          <cell r="A2577">
            <v>10102</v>
          </cell>
          <cell r="B2577" t="str">
            <v>MUSTAAROH</v>
          </cell>
          <cell r="C2577" t="str">
            <v>SAMI</v>
          </cell>
          <cell r="D2577" t="str">
            <v>OPT-248</v>
          </cell>
          <cell r="E2577">
            <v>40444</v>
          </cell>
          <cell r="F2577" t="str">
            <v>-</v>
          </cell>
          <cell r="G2577" t="str">
            <v>-</v>
          </cell>
          <cell r="H2577" t="str">
            <v>PRD</v>
          </cell>
          <cell r="I2577" t="str">
            <v>PRD</v>
          </cell>
          <cell r="J2577" t="str">
            <v>HONDA BBP</v>
          </cell>
          <cell r="K2577" t="str">
            <v>HV HONDA 5JLA BBP</v>
          </cell>
          <cell r="L2577" t="str">
            <v>CV HV 04</v>
          </cell>
          <cell r="M2577" t="str">
            <v>SUB LINE CHO</v>
          </cell>
          <cell r="N2577" t="str">
            <v>GL</v>
          </cell>
          <cell r="O2577" t="str">
            <v>B</v>
          </cell>
        </row>
        <row r="2578">
          <cell r="A2578">
            <v>20528</v>
          </cell>
          <cell r="B2578" t="str">
            <v>RIZKY SASI PASHA ERISTININGSIH</v>
          </cell>
          <cell r="C2578" t="str">
            <v>SAMI</v>
          </cell>
          <cell r="D2578" t="str">
            <v>OPT-504</v>
          </cell>
          <cell r="E2578">
            <v>42634</v>
          </cell>
          <cell r="F2578">
            <v>43132</v>
          </cell>
          <cell r="G2578">
            <v>43496</v>
          </cell>
          <cell r="H2578" t="str">
            <v>PRD</v>
          </cell>
          <cell r="I2578" t="str">
            <v>PRD</v>
          </cell>
          <cell r="J2578" t="str">
            <v>HONDA BBP</v>
          </cell>
          <cell r="K2578" t="str">
            <v>HV HONDA 5JLA BBP</v>
          </cell>
          <cell r="L2578" t="str">
            <v>CV HV 04</v>
          </cell>
          <cell r="M2578" t="str">
            <v>CIRCUIT SUPPLIER</v>
          </cell>
          <cell r="N2578" t="str">
            <v>CIRCUIT SUPPLY</v>
          </cell>
          <cell r="O2578" t="str">
            <v>B</v>
          </cell>
        </row>
        <row r="2579">
          <cell r="A2579">
            <v>20762</v>
          </cell>
          <cell r="B2579" t="str">
            <v xml:space="preserve">SRI WAHYUNI </v>
          </cell>
          <cell r="C2579" t="str">
            <v>SAMI</v>
          </cell>
          <cell r="D2579" t="str">
            <v>OPT-506</v>
          </cell>
          <cell r="E2579">
            <v>42642</v>
          </cell>
          <cell r="F2579">
            <v>43132</v>
          </cell>
          <cell r="G2579">
            <v>43496</v>
          </cell>
          <cell r="H2579" t="str">
            <v>PRD</v>
          </cell>
          <cell r="I2579" t="str">
            <v>PRD</v>
          </cell>
          <cell r="J2579" t="str">
            <v>HONDA BBP</v>
          </cell>
          <cell r="K2579" t="str">
            <v>HV HONDA 5JLA BBP</v>
          </cell>
          <cell r="L2579" t="str">
            <v>CV HV 04</v>
          </cell>
          <cell r="M2579" t="str">
            <v>CHECKER + VISUAL</v>
          </cell>
          <cell r="N2579" t="str">
            <v>ELECTRICAL INSPECTION</v>
          </cell>
          <cell r="O2579" t="str">
            <v>B</v>
          </cell>
        </row>
        <row r="2580">
          <cell r="A2580">
            <v>20952</v>
          </cell>
          <cell r="B2580" t="str">
            <v xml:space="preserve">RIKA DIANA </v>
          </cell>
          <cell r="C2580" t="str">
            <v>SAMI</v>
          </cell>
          <cell r="D2580" t="str">
            <v>OPT-511</v>
          </cell>
          <cell r="E2580">
            <v>42667</v>
          </cell>
          <cell r="F2580">
            <v>43160</v>
          </cell>
          <cell r="G2580">
            <v>43524</v>
          </cell>
          <cell r="H2580" t="str">
            <v>PRD</v>
          </cell>
          <cell r="I2580" t="str">
            <v>PRD</v>
          </cell>
          <cell r="J2580" t="str">
            <v>HONDA BBP</v>
          </cell>
          <cell r="K2580" t="str">
            <v>HV HONDA 5JLA BBP</v>
          </cell>
          <cell r="L2580" t="str">
            <v>CV HV 04</v>
          </cell>
          <cell r="M2580" t="str">
            <v>S/A 173-1</v>
          </cell>
          <cell r="N2580" t="str">
            <v>SUB ASSY</v>
          </cell>
          <cell r="O2580" t="str">
            <v>B</v>
          </cell>
        </row>
        <row r="2581">
          <cell r="A2581">
            <v>21458</v>
          </cell>
          <cell r="B2581" t="str">
            <v>NURUL QOMARIYAH</v>
          </cell>
          <cell r="C2581" t="str">
            <v>SAMI</v>
          </cell>
          <cell r="D2581" t="str">
            <v>OPT-533</v>
          </cell>
          <cell r="E2581">
            <v>43024</v>
          </cell>
          <cell r="F2581">
            <v>43435</v>
          </cell>
          <cell r="G2581">
            <v>43799</v>
          </cell>
          <cell r="H2581" t="str">
            <v>PRD</v>
          </cell>
          <cell r="I2581" t="str">
            <v>PRD</v>
          </cell>
          <cell r="J2581" t="str">
            <v>HONDA BBP</v>
          </cell>
          <cell r="K2581" t="str">
            <v>HV HONDA 5JLA BBP</v>
          </cell>
          <cell r="L2581" t="str">
            <v>CV HV 04</v>
          </cell>
          <cell r="M2581" t="str">
            <v>S/A 132-1</v>
          </cell>
          <cell r="N2581" t="str">
            <v>SUB ASSY</v>
          </cell>
          <cell r="O2581" t="str">
            <v>B</v>
          </cell>
        </row>
        <row r="2582">
          <cell r="A2582">
            <v>21839</v>
          </cell>
          <cell r="B2582" t="str">
            <v>MIFROKHUL KHOLIFAH</v>
          </cell>
          <cell r="C2582" t="str">
            <v>SAMI</v>
          </cell>
          <cell r="D2582" t="str">
            <v>OPT-541</v>
          </cell>
          <cell r="E2582">
            <v>43098</v>
          </cell>
          <cell r="F2582">
            <v>43129</v>
          </cell>
          <cell r="G2582">
            <v>43496</v>
          </cell>
          <cell r="H2582" t="str">
            <v>PRD</v>
          </cell>
          <cell r="I2582" t="str">
            <v>PRD</v>
          </cell>
          <cell r="J2582" t="str">
            <v>HONDA BBP</v>
          </cell>
          <cell r="K2582" t="str">
            <v>HV HONDA 5JLA BBP</v>
          </cell>
          <cell r="L2582" t="str">
            <v>CV HV 04</v>
          </cell>
          <cell r="M2582" t="str">
            <v>S/A 173-3</v>
          </cell>
          <cell r="N2582" t="str">
            <v>SUB ASSY</v>
          </cell>
          <cell r="O2582" t="str">
            <v>B</v>
          </cell>
        </row>
        <row r="2583">
          <cell r="A2583">
            <v>22017</v>
          </cell>
          <cell r="B2583" t="str">
            <v>CATUR ERIANI</v>
          </cell>
          <cell r="C2583" t="str">
            <v>SAMI</v>
          </cell>
          <cell r="D2583" t="str">
            <v>OPT-547</v>
          </cell>
          <cell r="E2583">
            <v>43144</v>
          </cell>
          <cell r="F2583">
            <v>43172</v>
          </cell>
          <cell r="G2583">
            <v>43524</v>
          </cell>
          <cell r="H2583" t="str">
            <v>PRD</v>
          </cell>
          <cell r="I2583" t="str">
            <v>PRD</v>
          </cell>
          <cell r="J2583" t="str">
            <v>HONDA BBP</v>
          </cell>
          <cell r="K2583" t="str">
            <v>HV HONDA 5JLA BBP</v>
          </cell>
          <cell r="L2583" t="str">
            <v>CV HV 04</v>
          </cell>
          <cell r="M2583" t="str">
            <v>S/A 131-1</v>
          </cell>
          <cell r="N2583" t="str">
            <v>SUB ASSY</v>
          </cell>
          <cell r="O2583" t="str">
            <v>B</v>
          </cell>
        </row>
        <row r="2584">
          <cell r="A2584">
            <v>22537</v>
          </cell>
          <cell r="B2584" t="str">
            <v>IRMAWATI</v>
          </cell>
          <cell r="C2584" t="str">
            <v>SAMI</v>
          </cell>
          <cell r="D2584" t="str">
            <v>OPT-560</v>
          </cell>
          <cell r="E2584">
            <v>43224</v>
          </cell>
          <cell r="F2584">
            <v>43255</v>
          </cell>
          <cell r="G2584">
            <v>43616</v>
          </cell>
          <cell r="H2584" t="str">
            <v>PRD</v>
          </cell>
          <cell r="I2584" t="str">
            <v>PRD</v>
          </cell>
          <cell r="J2584" t="str">
            <v>HONDA BBP</v>
          </cell>
          <cell r="K2584" t="str">
            <v>HV HONDA 5JLA BBP</v>
          </cell>
          <cell r="L2584" t="str">
            <v>CV HV 04</v>
          </cell>
          <cell r="M2584" t="str">
            <v>CHECKER + VISUAL</v>
          </cell>
          <cell r="N2584" t="str">
            <v>ELECTRICAL INSPECTION</v>
          </cell>
          <cell r="O2584" t="str">
            <v>B</v>
          </cell>
        </row>
        <row r="2585">
          <cell r="A2585">
            <v>23061</v>
          </cell>
          <cell r="B2585" t="str">
            <v>NUR LAILI KAMALIN</v>
          </cell>
          <cell r="C2585" t="str">
            <v>SAMI</v>
          </cell>
          <cell r="D2585" t="str">
            <v>OPT-569</v>
          </cell>
          <cell r="E2585">
            <v>43361</v>
          </cell>
          <cell r="F2585">
            <v>43391</v>
          </cell>
          <cell r="G2585">
            <v>43769</v>
          </cell>
          <cell r="H2585" t="str">
            <v>PRD</v>
          </cell>
          <cell r="I2585" t="str">
            <v>PRD</v>
          </cell>
          <cell r="J2585" t="str">
            <v>HONDA BBP</v>
          </cell>
          <cell r="K2585" t="str">
            <v>HV HONDA 5JLA BBP</v>
          </cell>
          <cell r="L2585" t="str">
            <v>CV HV 04</v>
          </cell>
          <cell r="M2585" t="str">
            <v>S/A 172-3</v>
          </cell>
          <cell r="N2585" t="str">
            <v>SUB ASSY</v>
          </cell>
          <cell r="O2585" t="str">
            <v>B</v>
          </cell>
        </row>
        <row r="2586">
          <cell r="A2586">
            <v>23277</v>
          </cell>
          <cell r="B2586" t="str">
            <v>TITIK CHRISTIANINGSIH</v>
          </cell>
          <cell r="C2586" t="str">
            <v>SAMI</v>
          </cell>
          <cell r="D2586" t="str">
            <v>OPT-573</v>
          </cell>
          <cell r="E2586">
            <v>43421</v>
          </cell>
          <cell r="F2586">
            <v>43451</v>
          </cell>
          <cell r="G2586">
            <v>43830</v>
          </cell>
          <cell r="H2586" t="str">
            <v>PRD</v>
          </cell>
          <cell r="I2586" t="str">
            <v>PRD</v>
          </cell>
          <cell r="J2586" t="str">
            <v>HONDA BBP</v>
          </cell>
          <cell r="K2586" t="str">
            <v>HV HONDA 5JLA BBP</v>
          </cell>
          <cell r="L2586" t="str">
            <v>CV HV 04</v>
          </cell>
          <cell r="M2586" t="str">
            <v>S/A 172-2</v>
          </cell>
          <cell r="N2586" t="str">
            <v>SUB ASSY</v>
          </cell>
          <cell r="O2586" t="str">
            <v>B</v>
          </cell>
        </row>
        <row r="2587">
          <cell r="A2587">
            <v>23278</v>
          </cell>
          <cell r="B2587" t="str">
            <v xml:space="preserve">UMI WAHYUNI </v>
          </cell>
          <cell r="C2587" t="str">
            <v>SAMI</v>
          </cell>
          <cell r="D2587" t="str">
            <v>OPT-573</v>
          </cell>
          <cell r="E2587">
            <v>43421</v>
          </cell>
          <cell r="F2587">
            <v>43451</v>
          </cell>
          <cell r="G2587">
            <v>43830</v>
          </cell>
          <cell r="H2587" t="str">
            <v>PRD</v>
          </cell>
          <cell r="I2587" t="str">
            <v>PRD</v>
          </cell>
          <cell r="J2587" t="str">
            <v>HONDA BBP</v>
          </cell>
          <cell r="K2587" t="str">
            <v>HV HONDA 5JLA BBP</v>
          </cell>
          <cell r="L2587" t="str">
            <v>CV HV 04</v>
          </cell>
          <cell r="M2587" t="str">
            <v>S/A 173-2</v>
          </cell>
          <cell r="N2587" t="str">
            <v>SUB ASSY</v>
          </cell>
          <cell r="O2587" t="str">
            <v>B</v>
          </cell>
        </row>
        <row r="2588">
          <cell r="A2588">
            <v>23422</v>
          </cell>
          <cell r="B2588" t="str">
            <v>JULIE REGIANA</v>
          </cell>
          <cell r="C2588" t="str">
            <v>SAMI</v>
          </cell>
          <cell r="D2588" t="str">
            <v>OPT-575</v>
          </cell>
          <cell r="E2588">
            <v>43434</v>
          </cell>
          <cell r="F2588">
            <v>43464</v>
          </cell>
          <cell r="G2588">
            <v>43830</v>
          </cell>
          <cell r="H2588" t="str">
            <v>PRD</v>
          </cell>
          <cell r="I2588" t="str">
            <v>PRD</v>
          </cell>
          <cell r="J2588" t="str">
            <v>HONDA BBP</v>
          </cell>
          <cell r="K2588" t="str">
            <v>HV HONDA 5JLA BBP</v>
          </cell>
          <cell r="L2588" t="str">
            <v>CV HV 04</v>
          </cell>
          <cell r="M2588" t="str">
            <v>OJT</v>
          </cell>
          <cell r="N2588" t="str">
            <v>INTERNAL TRIAL</v>
          </cell>
          <cell r="O2588" t="str">
            <v>B</v>
          </cell>
        </row>
        <row r="2589">
          <cell r="A2589">
            <v>23528</v>
          </cell>
          <cell r="B2589" t="str">
            <v>TITI KHAEFIA</v>
          </cell>
          <cell r="C2589" t="str">
            <v>SAMI</v>
          </cell>
          <cell r="D2589" t="str">
            <v>OPT-576</v>
          </cell>
          <cell r="E2589">
            <v>43441</v>
          </cell>
          <cell r="F2589">
            <v>43472</v>
          </cell>
          <cell r="G2589">
            <v>43830</v>
          </cell>
          <cell r="H2589" t="str">
            <v>PRD</v>
          </cell>
          <cell r="I2589" t="str">
            <v>PRD</v>
          </cell>
          <cell r="J2589" t="str">
            <v>HONDA BBP</v>
          </cell>
          <cell r="K2589" t="str">
            <v>HV HONDA 5JLA BBP</v>
          </cell>
          <cell r="L2589" t="str">
            <v>CV HV 04</v>
          </cell>
          <cell r="M2589" t="str">
            <v>OJT</v>
          </cell>
          <cell r="N2589" t="str">
            <v>INTERNAL TRIAL</v>
          </cell>
          <cell r="O2589" t="str">
            <v>B</v>
          </cell>
        </row>
        <row r="2590">
          <cell r="A2590">
            <v>23542</v>
          </cell>
          <cell r="B2590" t="str">
            <v>APRILLIA PUTERI PRADANA</v>
          </cell>
          <cell r="C2590" t="str">
            <v>SAMI</v>
          </cell>
          <cell r="D2590" t="str">
            <v>OPT-577</v>
          </cell>
          <cell r="E2590">
            <v>43452</v>
          </cell>
          <cell r="F2590">
            <v>43483</v>
          </cell>
          <cell r="G2590">
            <v>43861</v>
          </cell>
          <cell r="H2590" t="str">
            <v>PRD</v>
          </cell>
          <cell r="I2590" t="str">
            <v>PRD</v>
          </cell>
          <cell r="J2590" t="str">
            <v>HONDA BBP</v>
          </cell>
          <cell r="K2590" t="str">
            <v>HV HONDA 5JLA BBP</v>
          </cell>
          <cell r="L2590" t="str">
            <v>CV HV 04</v>
          </cell>
          <cell r="M2590" t="str">
            <v>OJT</v>
          </cell>
          <cell r="N2590" t="str">
            <v>INTERNAL TRIAL</v>
          </cell>
          <cell r="O2590" t="str">
            <v>B</v>
          </cell>
        </row>
        <row r="2591">
          <cell r="A2591">
            <v>190</v>
          </cell>
          <cell r="B2591" t="str">
            <v>UMI HANIK</v>
          </cell>
          <cell r="C2591" t="str">
            <v>SAMI</v>
          </cell>
          <cell r="D2591" t="str">
            <v>OPT-5</v>
          </cell>
          <cell r="E2591">
            <v>37679</v>
          </cell>
          <cell r="F2591" t="str">
            <v>-</v>
          </cell>
          <cell r="G2591" t="str">
            <v>-</v>
          </cell>
          <cell r="H2591" t="str">
            <v>PRD</v>
          </cell>
          <cell r="I2591" t="str">
            <v>PRD</v>
          </cell>
          <cell r="J2591" t="str">
            <v>HV NISSAN</v>
          </cell>
          <cell r="K2591" t="str">
            <v>HV NISSAN</v>
          </cell>
          <cell r="L2591" t="str">
            <v>CV HV 05</v>
          </cell>
          <cell r="M2591" t="str">
            <v>SUB LINE CHO</v>
          </cell>
          <cell r="N2591" t="str">
            <v>GL</v>
          </cell>
          <cell r="O2591" t="str">
            <v>A</v>
          </cell>
        </row>
        <row r="2592">
          <cell r="A2592">
            <v>1267</v>
          </cell>
          <cell r="B2592" t="str">
            <v>WINARNI</v>
          </cell>
          <cell r="C2592" t="str">
            <v>SAMI</v>
          </cell>
          <cell r="D2592" t="str">
            <v>OPT-31</v>
          </cell>
          <cell r="E2592">
            <v>37921</v>
          </cell>
          <cell r="F2592" t="str">
            <v>-</v>
          </cell>
          <cell r="G2592" t="str">
            <v>-</v>
          </cell>
          <cell r="H2592" t="str">
            <v>PRD</v>
          </cell>
          <cell r="I2592" t="str">
            <v>PRD</v>
          </cell>
          <cell r="J2592" t="str">
            <v>HV NISSAN</v>
          </cell>
          <cell r="K2592" t="str">
            <v>HV NISSAN</v>
          </cell>
          <cell r="L2592" t="str">
            <v>CV HV 05</v>
          </cell>
          <cell r="M2592" t="str">
            <v>HS 03, CM66</v>
          </cell>
          <cell r="N2592" t="str">
            <v>WFAP 2.1</v>
          </cell>
          <cell r="O2592" t="str">
            <v>A</v>
          </cell>
        </row>
        <row r="2593">
          <cell r="A2593">
            <v>10823</v>
          </cell>
          <cell r="B2593" t="str">
            <v>ANWAR MASHARI</v>
          </cell>
          <cell r="C2593" t="str">
            <v>SAMI</v>
          </cell>
          <cell r="D2593" t="str">
            <v>OPT-283</v>
          </cell>
          <cell r="E2593">
            <v>40572</v>
          </cell>
          <cell r="F2593" t="str">
            <v>-</v>
          </cell>
          <cell r="G2593" t="str">
            <v>-</v>
          </cell>
          <cell r="H2593" t="str">
            <v>PRD</v>
          </cell>
          <cell r="I2593" t="str">
            <v>PRD</v>
          </cell>
          <cell r="J2593" t="str">
            <v>HV NISSAN</v>
          </cell>
          <cell r="K2593" t="str">
            <v>HV NISSAN</v>
          </cell>
          <cell r="L2593" t="str">
            <v>CV HV 05</v>
          </cell>
          <cell r="M2593" t="str">
            <v>LQC</v>
          </cell>
          <cell r="N2593" t="str">
            <v>RELIEF</v>
          </cell>
          <cell r="O2593" t="str">
            <v>A</v>
          </cell>
        </row>
        <row r="2594">
          <cell r="A2594">
            <v>20881</v>
          </cell>
          <cell r="B2594" t="str">
            <v>NOVI ARIYANTI</v>
          </cell>
          <cell r="C2594" t="str">
            <v>SAMI</v>
          </cell>
          <cell r="D2594" t="str">
            <v>OPT-510</v>
          </cell>
          <cell r="E2594">
            <v>42660</v>
          </cell>
          <cell r="F2594">
            <v>43160</v>
          </cell>
          <cell r="G2594">
            <v>43524</v>
          </cell>
          <cell r="H2594" t="str">
            <v>PRD</v>
          </cell>
          <cell r="I2594" t="str">
            <v>PRD</v>
          </cell>
          <cell r="J2594" t="str">
            <v>HV NISSAN</v>
          </cell>
          <cell r="K2594" t="str">
            <v>HV NISSAN</v>
          </cell>
          <cell r="L2594" t="str">
            <v>CV HV 05</v>
          </cell>
          <cell r="M2594" t="str">
            <v>HVT 01</v>
          </cell>
          <cell r="N2594" t="str">
            <v>V. TEST</v>
          </cell>
          <cell r="O2594" t="str">
            <v>A</v>
          </cell>
        </row>
        <row r="2595">
          <cell r="A2595">
            <v>21457</v>
          </cell>
          <cell r="B2595" t="str">
            <v>NUR HIKMAHTUL FAIZAH</v>
          </cell>
          <cell r="C2595" t="str">
            <v>SAMI</v>
          </cell>
          <cell r="D2595" t="str">
            <v>OPT-533</v>
          </cell>
          <cell r="E2595">
            <v>43024</v>
          </cell>
          <cell r="F2595">
            <v>43435</v>
          </cell>
          <cell r="G2595">
            <v>43799</v>
          </cell>
          <cell r="H2595" t="str">
            <v>PRD</v>
          </cell>
          <cell r="I2595" t="str">
            <v>PRD</v>
          </cell>
          <cell r="J2595" t="str">
            <v>HV NISSAN</v>
          </cell>
          <cell r="K2595" t="str">
            <v>HV NISSAN</v>
          </cell>
          <cell r="L2595" t="str">
            <v>CV HV 05</v>
          </cell>
          <cell r="M2595" t="str">
            <v>S1-N-01, INSP S1</v>
          </cell>
          <cell r="N2595" t="str">
            <v>WFAP 2.2</v>
          </cell>
          <cell r="O2595" t="str">
            <v>A</v>
          </cell>
        </row>
        <row r="2596">
          <cell r="A2596">
            <v>21825</v>
          </cell>
          <cell r="B2596" t="str">
            <v>DINA PITHALOKA</v>
          </cell>
          <cell r="C2596" t="str">
            <v>SAMI</v>
          </cell>
          <cell r="D2596" t="str">
            <v>OPT-541</v>
          </cell>
          <cell r="E2596">
            <v>43098</v>
          </cell>
          <cell r="F2596">
            <v>43129</v>
          </cell>
          <cell r="G2596">
            <v>43496</v>
          </cell>
          <cell r="H2596" t="str">
            <v>PRD</v>
          </cell>
          <cell r="I2596" t="str">
            <v>PRD</v>
          </cell>
          <cell r="J2596" t="str">
            <v>HV NISSAN</v>
          </cell>
          <cell r="K2596" t="str">
            <v>HV NISSAN</v>
          </cell>
          <cell r="L2596" t="str">
            <v>CV HV 05</v>
          </cell>
          <cell r="M2596" t="str">
            <v>ASM, CK 03</v>
          </cell>
          <cell r="N2596" t="str">
            <v>ASSEMBLY</v>
          </cell>
          <cell r="O2596" t="str">
            <v>A</v>
          </cell>
        </row>
        <row r="2597">
          <cell r="A2597">
            <v>22072</v>
          </cell>
          <cell r="B2597" t="str">
            <v>EKAWATI</v>
          </cell>
          <cell r="C2597" t="str">
            <v>SAMI</v>
          </cell>
          <cell r="D2597" t="str">
            <v>OPT-548</v>
          </cell>
          <cell r="E2597">
            <v>43150</v>
          </cell>
          <cell r="F2597">
            <v>43178</v>
          </cell>
          <cell r="G2597">
            <v>43555</v>
          </cell>
          <cell r="H2597" t="str">
            <v>PRD</v>
          </cell>
          <cell r="I2597" t="str">
            <v>PRD</v>
          </cell>
          <cell r="J2597" t="str">
            <v>HV NISSAN</v>
          </cell>
          <cell r="K2597" t="str">
            <v>HV NISSAN</v>
          </cell>
          <cell r="L2597" t="str">
            <v>CV HV 05</v>
          </cell>
          <cell r="M2597" t="str">
            <v>BCM-01, IAM</v>
          </cell>
          <cell r="N2597" t="str">
            <v>WFAP 2.1</v>
          </cell>
          <cell r="O2597" t="str">
            <v>A</v>
          </cell>
        </row>
        <row r="2598">
          <cell r="A2598">
            <v>22181</v>
          </cell>
          <cell r="B2598" t="str">
            <v>IKRIMA WULANDARI</v>
          </cell>
          <cell r="C2598" t="str">
            <v>SAMI</v>
          </cell>
          <cell r="D2598" t="str">
            <v>OPT-550</v>
          </cell>
          <cell r="E2598">
            <v>43158</v>
          </cell>
          <cell r="F2598">
            <v>43186</v>
          </cell>
          <cell r="G2598">
            <v>43555</v>
          </cell>
          <cell r="H2598" t="str">
            <v>PRD</v>
          </cell>
          <cell r="I2598" t="str">
            <v>PRD</v>
          </cell>
          <cell r="J2598" t="str">
            <v>HV NISSAN</v>
          </cell>
          <cell r="K2598" t="str">
            <v>HV NISSAN</v>
          </cell>
          <cell r="L2598" t="str">
            <v>CV HV 05</v>
          </cell>
          <cell r="M2598" t="str">
            <v>S/A 2, TP GEN</v>
          </cell>
          <cell r="N2598" t="str">
            <v>SUB ASSY</v>
          </cell>
          <cell r="O2598" t="str">
            <v>A</v>
          </cell>
        </row>
        <row r="2599">
          <cell r="A2599">
            <v>22252</v>
          </cell>
          <cell r="B2599" t="str">
            <v>KHISNU SHOLIHAH</v>
          </cell>
          <cell r="C2599" t="str">
            <v>SAMI</v>
          </cell>
          <cell r="D2599" t="str">
            <v>OPT-552</v>
          </cell>
          <cell r="E2599">
            <v>43171</v>
          </cell>
          <cell r="F2599">
            <v>43202</v>
          </cell>
          <cell r="G2599">
            <v>43555</v>
          </cell>
          <cell r="H2599" t="str">
            <v>PRD</v>
          </cell>
          <cell r="I2599" t="str">
            <v>PRD</v>
          </cell>
          <cell r="J2599" t="str">
            <v>HV NISSAN</v>
          </cell>
          <cell r="K2599" t="str">
            <v>HV NISSAN</v>
          </cell>
          <cell r="L2599" t="str">
            <v>CV HV 05</v>
          </cell>
          <cell r="M2599" t="str">
            <v>AP3-N-02, HS-N-01</v>
          </cell>
          <cell r="N2599" t="str">
            <v>WFAP 2.1</v>
          </cell>
          <cell r="O2599" t="str">
            <v>A</v>
          </cell>
        </row>
        <row r="2600">
          <cell r="A2600">
            <v>22283</v>
          </cell>
          <cell r="B2600" t="str">
            <v>DIAH NUNUNG PRATIWI</v>
          </cell>
          <cell r="C2600" t="str">
            <v>SAMI</v>
          </cell>
          <cell r="D2600" t="str">
            <v>OPT-555</v>
          </cell>
          <cell r="E2600">
            <v>43192</v>
          </cell>
          <cell r="F2600">
            <v>43222</v>
          </cell>
          <cell r="G2600">
            <v>43585</v>
          </cell>
          <cell r="H2600" t="str">
            <v>PRD</v>
          </cell>
          <cell r="I2600" t="str">
            <v>PRD</v>
          </cell>
          <cell r="J2600" t="str">
            <v>HV NISSAN</v>
          </cell>
          <cell r="K2600" t="str">
            <v>HV NISSAN</v>
          </cell>
          <cell r="L2600" t="str">
            <v>CV HV 05</v>
          </cell>
          <cell r="M2600" t="str">
            <v>VISUAL</v>
          </cell>
          <cell r="N2600" t="str">
            <v>VISUAL INSPECTION</v>
          </cell>
          <cell r="O2600" t="str">
            <v>A</v>
          </cell>
        </row>
        <row r="2601">
          <cell r="A2601">
            <v>22441</v>
          </cell>
          <cell r="B2601" t="str">
            <v>ACHMAD YULIYANTO</v>
          </cell>
          <cell r="C2601" t="str">
            <v>SAMI</v>
          </cell>
          <cell r="D2601" t="str">
            <v>OPT-559</v>
          </cell>
          <cell r="E2601">
            <v>43220</v>
          </cell>
          <cell r="F2601">
            <v>43250</v>
          </cell>
          <cell r="G2601">
            <v>43616</v>
          </cell>
          <cell r="H2601" t="str">
            <v>PRD</v>
          </cell>
          <cell r="I2601" t="str">
            <v>PRD</v>
          </cell>
          <cell r="J2601" t="str">
            <v>HV NISSAN</v>
          </cell>
          <cell r="K2601" t="str">
            <v>HV NISSAN</v>
          </cell>
          <cell r="L2601" t="str">
            <v>CV HV 05</v>
          </cell>
          <cell r="M2601" t="str">
            <v>MSN, MS</v>
          </cell>
          <cell r="N2601" t="str">
            <v>CUTTING WIRE</v>
          </cell>
          <cell r="O2601" t="str">
            <v>A</v>
          </cell>
        </row>
        <row r="2602">
          <cell r="A2602">
            <v>22578</v>
          </cell>
          <cell r="B2602" t="str">
            <v>YULIANTI</v>
          </cell>
          <cell r="C2602" t="str">
            <v>SAMI</v>
          </cell>
          <cell r="D2602" t="str">
            <v>OPT-560</v>
          </cell>
          <cell r="E2602">
            <v>43224</v>
          </cell>
          <cell r="F2602">
            <v>43255</v>
          </cell>
          <cell r="G2602">
            <v>43616</v>
          </cell>
          <cell r="H2602" t="str">
            <v>PRD</v>
          </cell>
          <cell r="I2602" t="str">
            <v>PRD</v>
          </cell>
          <cell r="J2602" t="str">
            <v>HV NISSAN</v>
          </cell>
          <cell r="K2602" t="str">
            <v>HV NISSAN</v>
          </cell>
          <cell r="L2602" t="str">
            <v>CV HV 05</v>
          </cell>
          <cell r="M2602" t="str">
            <v>BCM N-02</v>
          </cell>
          <cell r="N2602" t="str">
            <v>ASSEMBLY</v>
          </cell>
          <cell r="O2602" t="str">
            <v>A</v>
          </cell>
        </row>
        <row r="2603">
          <cell r="A2603">
            <v>22872</v>
          </cell>
          <cell r="B2603" t="str">
            <v>NURUL QOMARIAH</v>
          </cell>
          <cell r="C2603" t="str">
            <v>SAMI</v>
          </cell>
          <cell r="D2603" t="str">
            <v>OPT-567</v>
          </cell>
          <cell r="E2603">
            <v>43333</v>
          </cell>
          <cell r="F2603">
            <v>43364</v>
          </cell>
          <cell r="G2603">
            <v>43738</v>
          </cell>
          <cell r="H2603" t="str">
            <v>PRD</v>
          </cell>
          <cell r="I2603" t="str">
            <v>PRD</v>
          </cell>
          <cell r="J2603" t="str">
            <v>HV NISSAN</v>
          </cell>
          <cell r="K2603" t="str">
            <v>HV NISSAN</v>
          </cell>
          <cell r="L2603" t="str">
            <v>CV HV 05</v>
          </cell>
          <cell r="M2603" t="str">
            <v>ST MAC-N-01</v>
          </cell>
          <cell r="N2603" t="str">
            <v>WFAP 2.1</v>
          </cell>
          <cell r="O2603" t="str">
            <v>A</v>
          </cell>
        </row>
        <row r="2604">
          <cell r="A2604">
            <v>22890</v>
          </cell>
          <cell r="B2604" t="str">
            <v>SITI NUR AISAH</v>
          </cell>
          <cell r="C2604" t="str">
            <v>SAMI</v>
          </cell>
          <cell r="D2604" t="str">
            <v>OPT-567</v>
          </cell>
          <cell r="E2604">
            <v>43333</v>
          </cell>
          <cell r="F2604">
            <v>43364</v>
          </cell>
          <cell r="G2604">
            <v>43738</v>
          </cell>
          <cell r="H2604" t="str">
            <v>PRD</v>
          </cell>
          <cell r="I2604" t="str">
            <v>PRD</v>
          </cell>
          <cell r="J2604" t="str">
            <v>HV NISSAN</v>
          </cell>
          <cell r="K2604" t="str">
            <v>HV NISSAN</v>
          </cell>
          <cell r="L2604" t="str">
            <v>CV HV 05</v>
          </cell>
          <cell r="M2604" t="str">
            <v>GAB AMIZEN, STMAC N-02</v>
          </cell>
          <cell r="N2604" t="str">
            <v>ASSEMBLY</v>
          </cell>
          <cell r="O2604" t="str">
            <v>A</v>
          </cell>
        </row>
        <row r="2605">
          <cell r="A2605">
            <v>22961</v>
          </cell>
          <cell r="B2605" t="str">
            <v>NUR AZMI</v>
          </cell>
          <cell r="C2605" t="str">
            <v>SAMI</v>
          </cell>
          <cell r="D2605" t="str">
            <v>OPT-568</v>
          </cell>
          <cell r="E2605">
            <v>43343</v>
          </cell>
          <cell r="F2605">
            <v>43374</v>
          </cell>
          <cell r="G2605">
            <v>43738</v>
          </cell>
          <cell r="H2605" t="str">
            <v>PRD</v>
          </cell>
          <cell r="I2605" t="str">
            <v>PRD</v>
          </cell>
          <cell r="J2605" t="str">
            <v>HV NISSAN</v>
          </cell>
          <cell r="K2605" t="str">
            <v>HV NISSAN</v>
          </cell>
          <cell r="L2605" t="str">
            <v>CV HV 05</v>
          </cell>
          <cell r="M2605" t="str">
            <v>HS-N-02, N-03</v>
          </cell>
          <cell r="N2605" t="str">
            <v>WFAP 2.1</v>
          </cell>
          <cell r="O2605" t="str">
            <v>A</v>
          </cell>
        </row>
        <row r="2606">
          <cell r="A2606">
            <v>22963</v>
          </cell>
          <cell r="B2606" t="str">
            <v>NUR LAILI</v>
          </cell>
          <cell r="C2606" t="str">
            <v>SAMI</v>
          </cell>
          <cell r="D2606" t="str">
            <v>OPT-568</v>
          </cell>
          <cell r="E2606">
            <v>43343</v>
          </cell>
          <cell r="F2606">
            <v>43374</v>
          </cell>
          <cell r="G2606">
            <v>43738</v>
          </cell>
          <cell r="H2606" t="str">
            <v>PRD</v>
          </cell>
          <cell r="I2606" t="str">
            <v>PRD</v>
          </cell>
          <cell r="J2606" t="str">
            <v>HV NISSAN</v>
          </cell>
          <cell r="K2606" t="str">
            <v>HV NISSAN</v>
          </cell>
          <cell r="L2606" t="str">
            <v>CV HV 05</v>
          </cell>
          <cell r="M2606" t="str">
            <v>S/A 01, AP3-N-01</v>
          </cell>
          <cell r="N2606" t="str">
            <v>SUB ASSY</v>
          </cell>
          <cell r="O2606" t="str">
            <v>A</v>
          </cell>
        </row>
        <row r="2607">
          <cell r="A2607">
            <v>23089</v>
          </cell>
          <cell r="B2607" t="str">
            <v>WORO DWI HARIYANTI</v>
          </cell>
          <cell r="C2607" t="str">
            <v>SAMI</v>
          </cell>
          <cell r="D2607" t="str">
            <v>OPT-569</v>
          </cell>
          <cell r="E2607">
            <v>43361</v>
          </cell>
          <cell r="F2607">
            <v>43391</v>
          </cell>
          <cell r="G2607">
            <v>43769</v>
          </cell>
          <cell r="H2607" t="str">
            <v>PRD</v>
          </cell>
          <cell r="I2607" t="str">
            <v>PRD</v>
          </cell>
          <cell r="J2607" t="str">
            <v>HV NISSAN</v>
          </cell>
          <cell r="K2607" t="str">
            <v>HV NISSAN</v>
          </cell>
          <cell r="L2607" t="str">
            <v>CV HV 05</v>
          </cell>
          <cell r="M2607" t="str">
            <v>ASM , CK 01</v>
          </cell>
          <cell r="N2607" t="str">
            <v>ASSEMBLY</v>
          </cell>
          <cell r="O2607" t="str">
            <v>A</v>
          </cell>
        </row>
        <row r="2608">
          <cell r="A2608">
            <v>23279</v>
          </cell>
          <cell r="B2608" t="str">
            <v>UMI YASSAROH</v>
          </cell>
          <cell r="C2608" t="str">
            <v>SAMI</v>
          </cell>
          <cell r="D2608" t="str">
            <v>OPT-573</v>
          </cell>
          <cell r="E2608">
            <v>43421</v>
          </cell>
          <cell r="F2608">
            <v>43451</v>
          </cell>
          <cell r="G2608">
            <v>43830</v>
          </cell>
          <cell r="H2608" t="str">
            <v>PRD</v>
          </cell>
          <cell r="I2608" t="str">
            <v>PRD</v>
          </cell>
          <cell r="J2608" t="str">
            <v>HV NISSAN</v>
          </cell>
          <cell r="K2608" t="str">
            <v>HV NISSAN</v>
          </cell>
          <cell r="L2608" t="str">
            <v>CV HV 05</v>
          </cell>
          <cell r="M2608" t="str">
            <v>ASM CK 02</v>
          </cell>
          <cell r="N2608" t="str">
            <v>ASSEMBLY</v>
          </cell>
          <cell r="O2608" t="str">
            <v>A</v>
          </cell>
        </row>
        <row r="2609">
          <cell r="A2609">
            <v>23372</v>
          </cell>
          <cell r="B2609" t="str">
            <v>SUSWANTI</v>
          </cell>
          <cell r="C2609" t="str">
            <v>SAMI</v>
          </cell>
          <cell r="D2609" t="str">
            <v>OPT-574</v>
          </cell>
          <cell r="E2609">
            <v>43427</v>
          </cell>
          <cell r="F2609">
            <v>43457</v>
          </cell>
          <cell r="G2609">
            <v>43830</v>
          </cell>
          <cell r="H2609" t="str">
            <v>PRD</v>
          </cell>
          <cell r="I2609" t="str">
            <v>PRD</v>
          </cell>
          <cell r="J2609" t="str">
            <v>HV NISSAN</v>
          </cell>
          <cell r="K2609" t="str">
            <v>HV NISSAN</v>
          </cell>
          <cell r="L2609" t="str">
            <v>CV HV 05</v>
          </cell>
          <cell r="M2609" t="str">
            <v>HVT 02</v>
          </cell>
          <cell r="N2609" t="str">
            <v>ASSEMBLY</v>
          </cell>
          <cell r="O2609" t="str">
            <v>A</v>
          </cell>
        </row>
        <row r="2610">
          <cell r="A2610">
            <v>23457</v>
          </cell>
          <cell r="B2610" t="str">
            <v xml:space="preserve">RIFKI IKBAL MAULANA </v>
          </cell>
          <cell r="C2610" t="str">
            <v>SAMI</v>
          </cell>
          <cell r="D2610" t="str">
            <v>OPT-575</v>
          </cell>
          <cell r="E2610">
            <v>43434</v>
          </cell>
          <cell r="F2610">
            <v>43464</v>
          </cell>
          <cell r="G2610">
            <v>43830</v>
          </cell>
          <cell r="H2610" t="str">
            <v>PRD</v>
          </cell>
          <cell r="I2610" t="str">
            <v>PRD</v>
          </cell>
          <cell r="J2610" t="str">
            <v>HV NISSAN</v>
          </cell>
          <cell r="K2610" t="str">
            <v>HV NISSAN</v>
          </cell>
          <cell r="L2610" t="str">
            <v>CV HV 05</v>
          </cell>
          <cell r="M2610" t="str">
            <v>OJT</v>
          </cell>
          <cell r="N2610" t="str">
            <v>INTERNAL TRIAL</v>
          </cell>
          <cell r="O2610" t="str">
            <v>A</v>
          </cell>
        </row>
        <row r="2611">
          <cell r="A2611">
            <v>6196</v>
          </cell>
          <cell r="B2611" t="str">
            <v>EKO SUSANTO</v>
          </cell>
          <cell r="C2611" t="str">
            <v>SAMI</v>
          </cell>
          <cell r="D2611" t="str">
            <v>ADM-33</v>
          </cell>
          <cell r="E2611">
            <v>39173</v>
          </cell>
          <cell r="F2611" t="str">
            <v>-</v>
          </cell>
          <cell r="G2611" t="str">
            <v>-</v>
          </cell>
          <cell r="H2611" t="str">
            <v>PRD</v>
          </cell>
          <cell r="I2611" t="str">
            <v>PRD</v>
          </cell>
          <cell r="J2611" t="str">
            <v>HV NISSAN</v>
          </cell>
          <cell r="K2611" t="str">
            <v>HV NISSAN</v>
          </cell>
          <cell r="L2611" t="str">
            <v>CV HV 05</v>
          </cell>
          <cell r="M2611" t="str">
            <v>PEMBERSIH MIXER NOZZLE</v>
          </cell>
          <cell r="N2611" t="str">
            <v>OTHERS</v>
          </cell>
          <cell r="O2611" t="str">
            <v>A (NS)</v>
          </cell>
        </row>
        <row r="2612">
          <cell r="A2612">
            <v>453</v>
          </cell>
          <cell r="B2612" t="str">
            <v>MASRIKHAH</v>
          </cell>
          <cell r="C2612" t="str">
            <v>SAMI</v>
          </cell>
          <cell r="D2612" t="str">
            <v>OPT-12</v>
          </cell>
          <cell r="E2612">
            <v>37746</v>
          </cell>
          <cell r="F2612" t="str">
            <v>-</v>
          </cell>
          <cell r="G2612" t="str">
            <v>-</v>
          </cell>
          <cell r="H2612" t="str">
            <v>PRD</v>
          </cell>
          <cell r="I2612" t="str">
            <v>PRD</v>
          </cell>
          <cell r="J2612" t="str">
            <v>HV NISSAN</v>
          </cell>
          <cell r="K2612" t="str">
            <v>HV NISSAN</v>
          </cell>
          <cell r="L2612" t="str">
            <v>CV HV 05</v>
          </cell>
          <cell r="M2612" t="str">
            <v>AP30-02, HS-01</v>
          </cell>
          <cell r="N2612" t="str">
            <v>WFAP 2.1</v>
          </cell>
          <cell r="O2612" t="str">
            <v>B</v>
          </cell>
        </row>
        <row r="2613">
          <cell r="A2613">
            <v>6180</v>
          </cell>
          <cell r="B2613" t="str">
            <v>EKO HARYANTO</v>
          </cell>
          <cell r="C2613" t="str">
            <v>SAMI</v>
          </cell>
          <cell r="D2613" t="str">
            <v>OPT-141</v>
          </cell>
          <cell r="E2613">
            <v>39173</v>
          </cell>
          <cell r="F2613" t="str">
            <v>-</v>
          </cell>
          <cell r="G2613" t="str">
            <v>-</v>
          </cell>
          <cell r="H2613" t="str">
            <v>PRD</v>
          </cell>
          <cell r="I2613" t="str">
            <v>PRD</v>
          </cell>
          <cell r="J2613" t="str">
            <v>HV NISSAN</v>
          </cell>
          <cell r="K2613" t="str">
            <v>HV NISSAN</v>
          </cell>
          <cell r="L2613" t="str">
            <v>CV HV 05</v>
          </cell>
          <cell r="M2613" t="str">
            <v>LQC</v>
          </cell>
          <cell r="N2613" t="str">
            <v>RELIEF</v>
          </cell>
          <cell r="O2613" t="str">
            <v>B</v>
          </cell>
        </row>
        <row r="2614">
          <cell r="A2614">
            <v>9020</v>
          </cell>
          <cell r="B2614" t="str">
            <v>REVI WIDYAWATI</v>
          </cell>
          <cell r="C2614" t="str">
            <v>SAMI</v>
          </cell>
          <cell r="D2614" t="str">
            <v>OPT-201</v>
          </cell>
          <cell r="E2614">
            <v>39975</v>
          </cell>
          <cell r="F2614" t="str">
            <v>-</v>
          </cell>
          <cell r="G2614" t="str">
            <v>-</v>
          </cell>
          <cell r="H2614" t="str">
            <v>PRD</v>
          </cell>
          <cell r="I2614" t="str">
            <v>PRD</v>
          </cell>
          <cell r="J2614" t="str">
            <v>HV NISSAN</v>
          </cell>
          <cell r="K2614" t="str">
            <v>HV NISSAN</v>
          </cell>
          <cell r="L2614" t="str">
            <v>CV HV 05</v>
          </cell>
          <cell r="M2614" t="str">
            <v>CM66</v>
          </cell>
          <cell r="N2614" t="str">
            <v>WFAP 2.1</v>
          </cell>
          <cell r="O2614" t="str">
            <v>B</v>
          </cell>
        </row>
        <row r="2615">
          <cell r="A2615">
            <v>9049</v>
          </cell>
          <cell r="B2615" t="str">
            <v>SAFRIDA AISYA M.</v>
          </cell>
          <cell r="C2615" t="str">
            <v>SAMI</v>
          </cell>
          <cell r="D2615" t="str">
            <v>OPT-202</v>
          </cell>
          <cell r="E2615">
            <v>39979</v>
          </cell>
          <cell r="F2615" t="str">
            <v>-</v>
          </cell>
          <cell r="G2615" t="str">
            <v>-</v>
          </cell>
          <cell r="H2615" t="str">
            <v>PRD</v>
          </cell>
          <cell r="I2615" t="str">
            <v>PRD</v>
          </cell>
          <cell r="J2615" t="str">
            <v>HV NISSAN</v>
          </cell>
          <cell r="K2615" t="str">
            <v>HV NISSAN</v>
          </cell>
          <cell r="L2615" t="str">
            <v>CV HV 05</v>
          </cell>
          <cell r="M2615" t="str">
            <v>VISUAL</v>
          </cell>
          <cell r="N2615" t="str">
            <v>VISUAL INSPECTION</v>
          </cell>
          <cell r="O2615" t="str">
            <v>B</v>
          </cell>
        </row>
        <row r="2616">
          <cell r="A2616">
            <v>10629</v>
          </cell>
          <cell r="B2616" t="str">
            <v>KUKOH SUKADEWI</v>
          </cell>
          <cell r="C2616" t="str">
            <v>SAMI</v>
          </cell>
          <cell r="D2616" t="str">
            <v>OPT-278</v>
          </cell>
          <cell r="E2616">
            <v>40549</v>
          </cell>
          <cell r="F2616" t="str">
            <v>-</v>
          </cell>
          <cell r="G2616" t="str">
            <v>-</v>
          </cell>
          <cell r="H2616" t="str">
            <v>PRD</v>
          </cell>
          <cell r="I2616" t="str">
            <v>PRD</v>
          </cell>
          <cell r="J2616" t="str">
            <v>HV NISSAN</v>
          </cell>
          <cell r="K2616" t="str">
            <v>HV NISSAN</v>
          </cell>
          <cell r="L2616" t="str">
            <v>CV HV 05</v>
          </cell>
          <cell r="M2616" t="str">
            <v>SILICON</v>
          </cell>
          <cell r="N2616" t="str">
            <v>ASSEMBLY</v>
          </cell>
          <cell r="O2616" t="str">
            <v>B</v>
          </cell>
        </row>
        <row r="2617">
          <cell r="A2617">
            <v>15250</v>
          </cell>
          <cell r="B2617" t="str">
            <v>KARTIKA PUTRI MAYANGSARI</v>
          </cell>
          <cell r="C2617" t="str">
            <v>SAMI</v>
          </cell>
          <cell r="D2617" t="str">
            <v>OPT-386</v>
          </cell>
          <cell r="E2617">
            <v>41438</v>
          </cell>
          <cell r="F2617" t="str">
            <v>-</v>
          </cell>
          <cell r="G2617" t="str">
            <v>-</v>
          </cell>
          <cell r="H2617" t="str">
            <v>PRD</v>
          </cell>
          <cell r="I2617" t="str">
            <v>PRD</v>
          </cell>
          <cell r="J2617" t="str">
            <v>HV NISSAN</v>
          </cell>
          <cell r="K2617" t="str">
            <v>HV NISSAN</v>
          </cell>
          <cell r="L2617" t="str">
            <v>CV HV 05</v>
          </cell>
          <cell r="M2617" t="str">
            <v>SUB LINE CHO</v>
          </cell>
          <cell r="N2617" t="str">
            <v>GL</v>
          </cell>
          <cell r="O2617" t="str">
            <v>B</v>
          </cell>
        </row>
        <row r="2618">
          <cell r="A2618">
            <v>19586</v>
          </cell>
          <cell r="B2618" t="str">
            <v>MOCH YUSUF IMMANUDIN</v>
          </cell>
          <cell r="C2618" t="str">
            <v>SAMI</v>
          </cell>
          <cell r="D2618" t="str">
            <v>OPT-489</v>
          </cell>
          <cell r="E2618">
            <v>42472</v>
          </cell>
          <cell r="F2618" t="str">
            <v>-</v>
          </cell>
          <cell r="G2618" t="str">
            <v>-</v>
          </cell>
          <cell r="H2618" t="str">
            <v>PRD</v>
          </cell>
          <cell r="I2618" t="str">
            <v>PRD</v>
          </cell>
          <cell r="J2618" t="str">
            <v>HV NISSAN</v>
          </cell>
          <cell r="K2618" t="str">
            <v>HV NISSAN</v>
          </cell>
          <cell r="L2618" t="str">
            <v>CV HV 05</v>
          </cell>
          <cell r="M2618" t="str">
            <v>MSN, MS</v>
          </cell>
          <cell r="N2618" t="str">
            <v>CUTTING WIRE</v>
          </cell>
          <cell r="O2618" t="str">
            <v>B</v>
          </cell>
        </row>
        <row r="2619">
          <cell r="A2619">
            <v>20610</v>
          </cell>
          <cell r="B2619" t="str">
            <v>LIVIA MARADITTA</v>
          </cell>
          <cell r="C2619" t="str">
            <v>SAMI</v>
          </cell>
          <cell r="D2619" t="str">
            <v>OPT-505</v>
          </cell>
          <cell r="E2619">
            <v>42639</v>
          </cell>
          <cell r="F2619">
            <v>43132</v>
          </cell>
          <cell r="G2619">
            <v>43496</v>
          </cell>
          <cell r="H2619" t="str">
            <v>PRD</v>
          </cell>
          <cell r="I2619" t="str">
            <v>PRD</v>
          </cell>
          <cell r="J2619" t="str">
            <v>HV NISSAN</v>
          </cell>
          <cell r="K2619" t="str">
            <v>HV NISSAN</v>
          </cell>
          <cell r="L2619" t="str">
            <v>CV HV 05</v>
          </cell>
          <cell r="M2619" t="str">
            <v>STMAC-01, AP30-01</v>
          </cell>
          <cell r="N2619" t="str">
            <v>WFAP 2.1</v>
          </cell>
          <cell r="O2619" t="str">
            <v>B</v>
          </cell>
        </row>
        <row r="2620">
          <cell r="A2620">
            <v>20975</v>
          </cell>
          <cell r="B2620" t="str">
            <v>FITRIANA</v>
          </cell>
          <cell r="C2620" t="str">
            <v>SAMI</v>
          </cell>
          <cell r="D2620" t="str">
            <v>OPT-513</v>
          </cell>
          <cell r="E2620">
            <v>42674</v>
          </cell>
          <cell r="F2620">
            <v>43160</v>
          </cell>
          <cell r="G2620">
            <v>43524</v>
          </cell>
          <cell r="H2620" t="str">
            <v>PRD</v>
          </cell>
          <cell r="I2620" t="str">
            <v>PRD</v>
          </cell>
          <cell r="J2620" t="str">
            <v>HV NISSAN</v>
          </cell>
          <cell r="K2620" t="str">
            <v>HV NISSAN</v>
          </cell>
          <cell r="L2620" t="str">
            <v>CV HV 05</v>
          </cell>
          <cell r="M2620" t="str">
            <v>ASM, CK 01</v>
          </cell>
          <cell r="N2620" t="str">
            <v>ASSEMBLY</v>
          </cell>
          <cell r="O2620" t="str">
            <v>B</v>
          </cell>
        </row>
        <row r="2621">
          <cell r="A2621">
            <v>21630</v>
          </cell>
          <cell r="B2621" t="str">
            <v>WIWIK AMBARWATI</v>
          </cell>
          <cell r="C2621" t="str">
            <v>SAMI</v>
          </cell>
          <cell r="D2621" t="str">
            <v>OPT-536</v>
          </cell>
          <cell r="E2621">
            <v>43048</v>
          </cell>
          <cell r="F2621">
            <v>43435</v>
          </cell>
          <cell r="G2621">
            <v>43799</v>
          </cell>
          <cell r="H2621" t="str">
            <v>PRD</v>
          </cell>
          <cell r="I2621" t="str">
            <v>PRD</v>
          </cell>
          <cell r="J2621" t="str">
            <v>HV NISSAN</v>
          </cell>
          <cell r="K2621" t="str">
            <v>HV NISSAN</v>
          </cell>
          <cell r="L2621" t="str">
            <v>CV HV 05</v>
          </cell>
          <cell r="M2621" t="str">
            <v>GABUNGAN AMIZEN, STMAC-02</v>
          </cell>
          <cell r="N2621" t="str">
            <v>WFAP 2.1</v>
          </cell>
          <cell r="O2621" t="str">
            <v>B</v>
          </cell>
        </row>
        <row r="2622">
          <cell r="A2622">
            <v>22034</v>
          </cell>
          <cell r="B2622" t="str">
            <v>LAELATUL SYAFIROH</v>
          </cell>
          <cell r="C2622" t="str">
            <v>SAMI</v>
          </cell>
          <cell r="D2622" t="str">
            <v>OPT-547</v>
          </cell>
          <cell r="E2622">
            <v>43144</v>
          </cell>
          <cell r="F2622">
            <v>43172</v>
          </cell>
          <cell r="G2622">
            <v>43524</v>
          </cell>
          <cell r="H2622" t="str">
            <v>PRD</v>
          </cell>
          <cell r="I2622" t="str">
            <v>PRD</v>
          </cell>
          <cell r="J2622" t="str">
            <v>HV NISSAN</v>
          </cell>
          <cell r="K2622" t="str">
            <v>HV NISSAN</v>
          </cell>
          <cell r="L2622" t="str">
            <v>CV HV 05</v>
          </cell>
          <cell r="M2622" t="str">
            <v>S/A 02, T/P GENERATOR</v>
          </cell>
          <cell r="N2622" t="str">
            <v>SUB ASSY</v>
          </cell>
          <cell r="O2622" t="str">
            <v>B</v>
          </cell>
        </row>
        <row r="2623">
          <cell r="A2623">
            <v>22110</v>
          </cell>
          <cell r="B2623" t="str">
            <v>ZULIANAH</v>
          </cell>
          <cell r="C2623" t="str">
            <v>SAMI</v>
          </cell>
          <cell r="D2623" t="str">
            <v>OPT-548</v>
          </cell>
          <cell r="E2623">
            <v>43150</v>
          </cell>
          <cell r="F2623">
            <v>43178</v>
          </cell>
          <cell r="G2623">
            <v>43555</v>
          </cell>
          <cell r="H2623" t="str">
            <v>PRD</v>
          </cell>
          <cell r="I2623" t="str">
            <v>PRD</v>
          </cell>
          <cell r="J2623" t="str">
            <v>HV NISSAN</v>
          </cell>
          <cell r="K2623" t="str">
            <v>HV NISSAN</v>
          </cell>
          <cell r="L2623" t="str">
            <v>CV HV 05</v>
          </cell>
          <cell r="M2623" t="str">
            <v>ASM, CK 02</v>
          </cell>
          <cell r="N2623" t="str">
            <v>ASSEMBLY</v>
          </cell>
          <cell r="O2623" t="str">
            <v>B</v>
          </cell>
        </row>
        <row r="2624">
          <cell r="A2624">
            <v>22159</v>
          </cell>
          <cell r="B2624" t="str">
            <v>UMI RIZQIAVIANA</v>
          </cell>
          <cell r="C2624" t="str">
            <v>SAMI</v>
          </cell>
          <cell r="D2624" t="str">
            <v>OPT-549</v>
          </cell>
          <cell r="E2624">
            <v>43153</v>
          </cell>
          <cell r="F2624">
            <v>43181</v>
          </cell>
          <cell r="G2624">
            <v>43555</v>
          </cell>
          <cell r="H2624" t="str">
            <v>PRD</v>
          </cell>
          <cell r="I2624" t="str">
            <v>PRD</v>
          </cell>
          <cell r="J2624" t="str">
            <v>HV NISSAN</v>
          </cell>
          <cell r="K2624" t="str">
            <v>HV NISSAN</v>
          </cell>
          <cell r="L2624" t="str">
            <v>CV HV 05</v>
          </cell>
          <cell r="M2624" t="str">
            <v>BCM , IAM</v>
          </cell>
          <cell r="N2624" t="str">
            <v>WFAP 2.1</v>
          </cell>
          <cell r="O2624" t="str">
            <v>B</v>
          </cell>
        </row>
        <row r="2625">
          <cell r="A2625">
            <v>22314</v>
          </cell>
          <cell r="B2625" t="str">
            <v>SITI MUSDALIPAH</v>
          </cell>
          <cell r="C2625" t="str">
            <v>SAMI</v>
          </cell>
          <cell r="D2625" t="str">
            <v>OPT-555</v>
          </cell>
          <cell r="E2625">
            <v>43192</v>
          </cell>
          <cell r="F2625">
            <v>43222</v>
          </cell>
          <cell r="G2625">
            <v>43585</v>
          </cell>
          <cell r="H2625" t="str">
            <v>PRD</v>
          </cell>
          <cell r="I2625" t="str">
            <v>PRD</v>
          </cell>
          <cell r="J2625" t="str">
            <v>HV NISSAN</v>
          </cell>
          <cell r="K2625" t="str">
            <v>HV NISSAN</v>
          </cell>
          <cell r="L2625" t="str">
            <v>CV HV 05</v>
          </cell>
          <cell r="M2625" t="str">
            <v>HVT 02</v>
          </cell>
          <cell r="N2625" t="str">
            <v>V. TEST</v>
          </cell>
          <cell r="O2625" t="str">
            <v>B</v>
          </cell>
        </row>
        <row r="2626">
          <cell r="A2626">
            <v>22572</v>
          </cell>
          <cell r="B2626" t="str">
            <v>SITI ALFIAH</v>
          </cell>
          <cell r="C2626" t="str">
            <v>SAMI</v>
          </cell>
          <cell r="D2626" t="str">
            <v>OPT-560</v>
          </cell>
          <cell r="E2626">
            <v>43224</v>
          </cell>
          <cell r="F2626">
            <v>43255</v>
          </cell>
          <cell r="G2626">
            <v>43616</v>
          </cell>
          <cell r="H2626" t="str">
            <v>PRD</v>
          </cell>
          <cell r="I2626" t="str">
            <v>PRD</v>
          </cell>
          <cell r="J2626" t="str">
            <v>HV NISSAN</v>
          </cell>
          <cell r="K2626" t="str">
            <v>HV NISSAN</v>
          </cell>
          <cell r="L2626" t="str">
            <v>CV HV 05</v>
          </cell>
          <cell r="M2626" t="str">
            <v>BCM-02</v>
          </cell>
          <cell r="N2626" t="str">
            <v>ASSEMBLY</v>
          </cell>
          <cell r="O2626" t="str">
            <v>B</v>
          </cell>
        </row>
        <row r="2627">
          <cell r="A2627">
            <v>22964</v>
          </cell>
          <cell r="B2627" t="str">
            <v>NUR WULAN FEBRIAN</v>
          </cell>
          <cell r="C2627" t="str">
            <v>SAMI</v>
          </cell>
          <cell r="D2627" t="str">
            <v>OPT-568</v>
          </cell>
          <cell r="E2627">
            <v>43343</v>
          </cell>
          <cell r="F2627">
            <v>43374</v>
          </cell>
          <cell r="G2627">
            <v>43738</v>
          </cell>
          <cell r="H2627" t="str">
            <v>PRD</v>
          </cell>
          <cell r="I2627" t="str">
            <v>PRD</v>
          </cell>
          <cell r="J2627" t="str">
            <v>HV NISSAN</v>
          </cell>
          <cell r="K2627" t="str">
            <v>HV NISSAN</v>
          </cell>
          <cell r="L2627" t="str">
            <v>CV HV 05</v>
          </cell>
          <cell r="M2627" t="str">
            <v>HS-02, HS-03</v>
          </cell>
          <cell r="N2627" t="str">
            <v>WFAP 2.1</v>
          </cell>
          <cell r="O2627" t="str">
            <v>B</v>
          </cell>
        </row>
        <row r="2628">
          <cell r="A2628">
            <v>22965</v>
          </cell>
          <cell r="B2628" t="str">
            <v>NURINTAN</v>
          </cell>
          <cell r="C2628" t="str">
            <v>SAMI</v>
          </cell>
          <cell r="D2628" t="str">
            <v>OPT-568</v>
          </cell>
          <cell r="E2628">
            <v>43343</v>
          </cell>
          <cell r="F2628">
            <v>43374</v>
          </cell>
          <cell r="G2628">
            <v>43738</v>
          </cell>
          <cell r="H2628" t="str">
            <v>PRD</v>
          </cell>
          <cell r="I2628" t="str">
            <v>PRD</v>
          </cell>
          <cell r="J2628" t="str">
            <v>HV NISSAN</v>
          </cell>
          <cell r="K2628" t="str">
            <v>HV NISSAN</v>
          </cell>
          <cell r="L2628" t="str">
            <v>CV HV 05</v>
          </cell>
          <cell r="M2628" t="str">
            <v>AP3-N-01, S/A 01</v>
          </cell>
          <cell r="N2628" t="str">
            <v>WFAP 2.1</v>
          </cell>
          <cell r="O2628" t="str">
            <v>B</v>
          </cell>
        </row>
        <row r="2629">
          <cell r="A2629">
            <v>23005</v>
          </cell>
          <cell r="B2629" t="str">
            <v>DIAH KUSUMANINGRUM</v>
          </cell>
          <cell r="C2629" t="str">
            <v>SAMI</v>
          </cell>
          <cell r="D2629" t="str">
            <v>OPT-569</v>
          </cell>
          <cell r="E2629">
            <v>43361</v>
          </cell>
          <cell r="F2629">
            <v>43391</v>
          </cell>
          <cell r="G2629">
            <v>43769</v>
          </cell>
          <cell r="H2629" t="str">
            <v>PRD</v>
          </cell>
          <cell r="I2629" t="str">
            <v>PRD</v>
          </cell>
          <cell r="J2629" t="str">
            <v>HV NISSAN</v>
          </cell>
          <cell r="K2629" t="str">
            <v>HV NISSAN</v>
          </cell>
          <cell r="L2629" t="str">
            <v>CV HV 05</v>
          </cell>
          <cell r="M2629" t="str">
            <v>HVT 01</v>
          </cell>
          <cell r="N2629" t="str">
            <v>V. TEST</v>
          </cell>
          <cell r="O2629" t="str">
            <v>B</v>
          </cell>
        </row>
        <row r="2630">
          <cell r="A2630">
            <v>23280</v>
          </cell>
          <cell r="B2630" t="str">
            <v>VERNIA RIZKY WULANDARI</v>
          </cell>
          <cell r="C2630" t="str">
            <v>SAMI</v>
          </cell>
          <cell r="D2630" t="str">
            <v>OPT-573</v>
          </cell>
          <cell r="E2630">
            <v>43421</v>
          </cell>
          <cell r="F2630">
            <v>43451</v>
          </cell>
          <cell r="G2630">
            <v>43830</v>
          </cell>
          <cell r="H2630" t="str">
            <v>PRD</v>
          </cell>
          <cell r="I2630" t="str">
            <v>PRD</v>
          </cell>
          <cell r="J2630" t="str">
            <v>HV NISSAN</v>
          </cell>
          <cell r="K2630" t="str">
            <v>HV NISSAN</v>
          </cell>
          <cell r="L2630" t="str">
            <v>CV HV 05</v>
          </cell>
          <cell r="M2630" t="str">
            <v>T/P, CK 03</v>
          </cell>
          <cell r="N2630" t="str">
            <v>ASSEMBLY</v>
          </cell>
          <cell r="O2630" t="str">
            <v>B</v>
          </cell>
        </row>
        <row r="2631">
          <cell r="A2631">
            <v>23599</v>
          </cell>
          <cell r="B2631" t="str">
            <v>TUTI FITRIANA</v>
          </cell>
          <cell r="C2631" t="str">
            <v>SAMI</v>
          </cell>
          <cell r="D2631" t="str">
            <v>OPT-577</v>
          </cell>
          <cell r="E2631">
            <v>43452</v>
          </cell>
          <cell r="F2631">
            <v>43483</v>
          </cell>
          <cell r="G2631">
            <v>43861</v>
          </cell>
          <cell r="H2631" t="str">
            <v>PRD</v>
          </cell>
          <cell r="I2631" t="str">
            <v>PRD</v>
          </cell>
          <cell r="J2631" t="str">
            <v>HV NISSAN</v>
          </cell>
          <cell r="K2631" t="str">
            <v>HV NISSAN</v>
          </cell>
          <cell r="L2631" t="str">
            <v>CV HV 05</v>
          </cell>
          <cell r="M2631" t="str">
            <v>OJT</v>
          </cell>
          <cell r="N2631" t="str">
            <v>INTERNAL TRIAL</v>
          </cell>
          <cell r="O2631" t="str">
            <v>B</v>
          </cell>
        </row>
        <row r="2632">
          <cell r="A2632">
            <v>23486</v>
          </cell>
          <cell r="B2632" t="str">
            <v>AFIDATUN NISYAK</v>
          </cell>
          <cell r="C2632" t="str">
            <v>SAMI</v>
          </cell>
          <cell r="D2632" t="str">
            <v>OPT-576</v>
          </cell>
          <cell r="E2632">
            <v>43441</v>
          </cell>
          <cell r="F2632">
            <v>43472</v>
          </cell>
          <cell r="G2632">
            <v>43830</v>
          </cell>
          <cell r="H2632" t="str">
            <v>PRD</v>
          </cell>
          <cell r="I2632" t="str">
            <v>PRD</v>
          </cell>
          <cell r="J2632" t="str">
            <v>HV NISSAN</v>
          </cell>
          <cell r="K2632" t="str">
            <v>HV NISSAN</v>
          </cell>
          <cell r="L2632" t="str">
            <v xml:space="preserve">CV HV 05 </v>
          </cell>
          <cell r="M2632" t="str">
            <v>OJT</v>
          </cell>
          <cell r="N2632" t="str">
            <v>INTERNAL TRIAL</v>
          </cell>
          <cell r="O2632" t="str">
            <v>A</v>
          </cell>
        </row>
        <row r="2633">
          <cell r="A2633">
            <v>5420</v>
          </cell>
          <cell r="B2633" t="str">
            <v>IIS DWI HINDAYANI</v>
          </cell>
          <cell r="C2633" t="str">
            <v>SAMI</v>
          </cell>
          <cell r="D2633" t="str">
            <v>OPT-128</v>
          </cell>
          <cell r="E2633">
            <v>38991</v>
          </cell>
          <cell r="F2633" t="str">
            <v>-</v>
          </cell>
          <cell r="G2633" t="str">
            <v>-</v>
          </cell>
          <cell r="H2633" t="str">
            <v>PRD</v>
          </cell>
          <cell r="I2633" t="str">
            <v>PRD</v>
          </cell>
          <cell r="J2633" t="str">
            <v>HV TOYOTA</v>
          </cell>
          <cell r="K2633" t="str">
            <v>HV TOYOTA LITIUM</v>
          </cell>
          <cell r="L2633" t="str">
            <v>CV HV 06</v>
          </cell>
          <cell r="M2633" t="str">
            <v>VISUAL U2</v>
          </cell>
          <cell r="N2633" t="str">
            <v>VISUAL INSPECTION</v>
          </cell>
          <cell r="O2633" t="str">
            <v>A</v>
          </cell>
        </row>
        <row r="2634">
          <cell r="A2634">
            <v>12746</v>
          </cell>
          <cell r="B2634" t="str">
            <v>SITI MUNAYAH</v>
          </cell>
          <cell r="C2634" t="str">
            <v>SAMI</v>
          </cell>
          <cell r="D2634" t="str">
            <v>OPT-320</v>
          </cell>
          <cell r="E2634">
            <v>40819</v>
          </cell>
          <cell r="F2634" t="str">
            <v>-</v>
          </cell>
          <cell r="G2634" t="str">
            <v>-</v>
          </cell>
          <cell r="H2634" t="str">
            <v>PRD</v>
          </cell>
          <cell r="I2634" t="str">
            <v>PRD</v>
          </cell>
          <cell r="J2634" t="str">
            <v>HV TOYOTA</v>
          </cell>
          <cell r="K2634" t="str">
            <v>HV TOYOTA LITIUM</v>
          </cell>
          <cell r="L2634" t="str">
            <v>CV HV 06</v>
          </cell>
          <cell r="M2634" t="str">
            <v xml:space="preserve"> LQC</v>
          </cell>
          <cell r="N2634" t="str">
            <v>RELIEF</v>
          </cell>
          <cell r="O2634" t="str">
            <v>A</v>
          </cell>
        </row>
        <row r="2635">
          <cell r="A2635">
            <v>20886</v>
          </cell>
          <cell r="B2635" t="str">
            <v>PUTRI MAMAN FATIKAH</v>
          </cell>
          <cell r="C2635" t="str">
            <v>SAMI</v>
          </cell>
          <cell r="D2635" t="str">
            <v>OPT-510</v>
          </cell>
          <cell r="E2635">
            <v>42660</v>
          </cell>
          <cell r="F2635">
            <v>43160</v>
          </cell>
          <cell r="G2635">
            <v>43524</v>
          </cell>
          <cell r="H2635" t="str">
            <v>PRD</v>
          </cell>
          <cell r="I2635" t="str">
            <v>PRD</v>
          </cell>
          <cell r="J2635" t="str">
            <v>HV TOYOTA</v>
          </cell>
          <cell r="K2635" t="str">
            <v>HV TOYOTA LITIUM</v>
          </cell>
          <cell r="L2635" t="str">
            <v>CV HV 06</v>
          </cell>
          <cell r="M2635" t="str">
            <v>S/A T2.2</v>
          </cell>
          <cell r="N2635" t="str">
            <v>SUB ASSY</v>
          </cell>
          <cell r="O2635" t="str">
            <v>A</v>
          </cell>
        </row>
        <row r="2636">
          <cell r="A2636">
            <v>20887</v>
          </cell>
          <cell r="B2636" t="str">
            <v>PUTRI MAULIDAH</v>
          </cell>
          <cell r="C2636" t="str">
            <v>SAMI</v>
          </cell>
          <cell r="D2636" t="str">
            <v>OPT-510</v>
          </cell>
          <cell r="E2636">
            <v>42660</v>
          </cell>
          <cell r="F2636">
            <v>43160</v>
          </cell>
          <cell r="G2636">
            <v>43524</v>
          </cell>
          <cell r="H2636" t="str">
            <v>PRD</v>
          </cell>
          <cell r="I2636" t="str">
            <v>PRD</v>
          </cell>
          <cell r="J2636" t="str">
            <v>HV TOYOTA</v>
          </cell>
          <cell r="K2636" t="str">
            <v>HV TOYOTA LITIUM</v>
          </cell>
          <cell r="L2636" t="str">
            <v>CV HV 06</v>
          </cell>
          <cell r="M2636" t="str">
            <v>S/A THERMISTOR U2</v>
          </cell>
          <cell r="N2636" t="str">
            <v>SUB ASSY</v>
          </cell>
          <cell r="O2636" t="str">
            <v>A</v>
          </cell>
        </row>
        <row r="2637">
          <cell r="A2637">
            <v>20943</v>
          </cell>
          <cell r="B2637" t="str">
            <v>KONIK FAUZIAH</v>
          </cell>
          <cell r="C2637" t="str">
            <v>SAMI</v>
          </cell>
          <cell r="D2637" t="str">
            <v>OPT-511</v>
          </cell>
          <cell r="E2637">
            <v>42667</v>
          </cell>
          <cell r="F2637">
            <v>43160</v>
          </cell>
          <cell r="G2637">
            <v>43524</v>
          </cell>
          <cell r="H2637" t="str">
            <v>PRD</v>
          </cell>
          <cell r="I2637" t="str">
            <v>PRD</v>
          </cell>
          <cell r="J2637" t="str">
            <v>HV TOYOTA</v>
          </cell>
          <cell r="K2637" t="str">
            <v>HV TOYOTA LITIUM</v>
          </cell>
          <cell r="L2637" t="str">
            <v>CV HV 06</v>
          </cell>
          <cell r="M2637" t="str">
            <v>ASM THERMISTOR U2</v>
          </cell>
          <cell r="N2637" t="str">
            <v>ASSEMBLY</v>
          </cell>
          <cell r="O2637" t="str">
            <v>A</v>
          </cell>
        </row>
        <row r="2638">
          <cell r="A2638">
            <v>21956</v>
          </cell>
          <cell r="B2638" t="str">
            <v>INDAH NURALIYAH</v>
          </cell>
          <cell r="C2638" t="str">
            <v>SAMI</v>
          </cell>
          <cell r="D2638" t="str">
            <v>OPT-545</v>
          </cell>
          <cell r="E2638">
            <v>43116</v>
          </cell>
          <cell r="F2638">
            <v>43147</v>
          </cell>
          <cell r="G2638">
            <v>43524</v>
          </cell>
          <cell r="H2638" t="str">
            <v>PRD</v>
          </cell>
          <cell r="I2638" t="str">
            <v>PRD</v>
          </cell>
          <cell r="J2638" t="str">
            <v>HV TOYOTA</v>
          </cell>
          <cell r="K2638" t="str">
            <v>HV TOYOTA LITIUM</v>
          </cell>
          <cell r="L2638" t="str">
            <v>CV HV 06</v>
          </cell>
          <cell r="M2638" t="str">
            <v>S/A U2.1</v>
          </cell>
          <cell r="N2638" t="str">
            <v>SUB ASSY</v>
          </cell>
          <cell r="O2638" t="str">
            <v>A</v>
          </cell>
        </row>
        <row r="2639">
          <cell r="A2639">
            <v>21977</v>
          </cell>
          <cell r="B2639" t="str">
            <v>RIA ADITYA YUNI</v>
          </cell>
          <cell r="C2639" t="str">
            <v>SAMI</v>
          </cell>
          <cell r="D2639" t="str">
            <v>OPT-545</v>
          </cell>
          <cell r="E2639">
            <v>43116</v>
          </cell>
          <cell r="F2639">
            <v>43147</v>
          </cell>
          <cell r="G2639">
            <v>43524</v>
          </cell>
          <cell r="H2639" t="str">
            <v>PRD</v>
          </cell>
          <cell r="I2639" t="str">
            <v>PRD</v>
          </cell>
          <cell r="J2639" t="str">
            <v>HV TOYOTA</v>
          </cell>
          <cell r="K2639" t="str">
            <v>HV TOYOTA LITIUM</v>
          </cell>
          <cell r="L2639" t="str">
            <v>CV HV 06</v>
          </cell>
          <cell r="M2639" t="str">
            <v>VISUAL T2</v>
          </cell>
          <cell r="N2639" t="str">
            <v>VISUAL INSPECTION</v>
          </cell>
          <cell r="O2639" t="str">
            <v>A</v>
          </cell>
        </row>
        <row r="2640">
          <cell r="A2640">
            <v>22035</v>
          </cell>
          <cell r="B2640" t="str">
            <v>LULUK AFIATUN NIMAH</v>
          </cell>
          <cell r="C2640" t="str">
            <v>SAMI</v>
          </cell>
          <cell r="D2640" t="str">
            <v>OPT-547</v>
          </cell>
          <cell r="E2640">
            <v>43144</v>
          </cell>
          <cell r="F2640">
            <v>43172</v>
          </cell>
          <cell r="G2640">
            <v>43524</v>
          </cell>
          <cell r="H2640" t="str">
            <v>PRD</v>
          </cell>
          <cell r="I2640" t="str">
            <v>PRD</v>
          </cell>
          <cell r="J2640" t="str">
            <v>HV TOYOTA</v>
          </cell>
          <cell r="K2640" t="str">
            <v>HV TOYOTA LITIUM</v>
          </cell>
          <cell r="L2640" t="str">
            <v>CV HV 06</v>
          </cell>
          <cell r="M2640" t="str">
            <v>ASM THERMISTOR T2</v>
          </cell>
          <cell r="N2640" t="str">
            <v>ASSEMBLY</v>
          </cell>
          <cell r="O2640" t="str">
            <v>A</v>
          </cell>
        </row>
        <row r="2641">
          <cell r="A2641">
            <v>22493</v>
          </cell>
          <cell r="B2641" t="str">
            <v>LARAS WULANDARI</v>
          </cell>
          <cell r="C2641" t="str">
            <v>SAMI</v>
          </cell>
          <cell r="D2641" t="str">
            <v>OPT-560</v>
          </cell>
          <cell r="E2641">
            <v>43224</v>
          </cell>
          <cell r="F2641">
            <v>43255</v>
          </cell>
          <cell r="G2641">
            <v>43616</v>
          </cell>
          <cell r="H2641" t="str">
            <v>PRD</v>
          </cell>
          <cell r="I2641" t="str">
            <v>PRD</v>
          </cell>
          <cell r="J2641" t="str">
            <v>HV TOYOTA</v>
          </cell>
          <cell r="K2641" t="str">
            <v>HV TOYOTA LITIUM</v>
          </cell>
          <cell r="L2641" t="str">
            <v>CV HV 06</v>
          </cell>
          <cell r="M2641" t="str">
            <v>S/A U2.2</v>
          </cell>
          <cell r="N2641" t="str">
            <v>SUB ASSY</v>
          </cell>
          <cell r="O2641" t="str">
            <v>A</v>
          </cell>
        </row>
        <row r="2642">
          <cell r="A2642">
            <v>22570</v>
          </cell>
          <cell r="B2642" t="str">
            <v>SISKA KRISTIANA</v>
          </cell>
          <cell r="C2642" t="str">
            <v>SAMI</v>
          </cell>
          <cell r="D2642" t="str">
            <v>OPT-560</v>
          </cell>
          <cell r="E2642">
            <v>43224</v>
          </cell>
          <cell r="F2642">
            <v>43255</v>
          </cell>
          <cell r="G2642">
            <v>43616</v>
          </cell>
          <cell r="H2642" t="str">
            <v>PRD</v>
          </cell>
          <cell r="I2642" t="str">
            <v>PRD</v>
          </cell>
          <cell r="J2642" t="str">
            <v>HV TOYOTA</v>
          </cell>
          <cell r="K2642" t="str">
            <v>HV TOYOTA LITIUM</v>
          </cell>
          <cell r="L2642" t="str">
            <v>CV HV 06</v>
          </cell>
          <cell r="M2642" t="str">
            <v>ASM U2</v>
          </cell>
          <cell r="N2642" t="str">
            <v>ASSEMBLY</v>
          </cell>
          <cell r="O2642" t="str">
            <v>A</v>
          </cell>
        </row>
        <row r="2643">
          <cell r="A2643">
            <v>22896</v>
          </cell>
          <cell r="B2643" t="str">
            <v>TASYQIA QALBU AZZAHRA</v>
          </cell>
          <cell r="C2643" t="str">
            <v>SAMI</v>
          </cell>
          <cell r="D2643" t="str">
            <v>OPT-567</v>
          </cell>
          <cell r="E2643">
            <v>43333</v>
          </cell>
          <cell r="F2643">
            <v>43364</v>
          </cell>
          <cell r="G2643">
            <v>43738</v>
          </cell>
          <cell r="H2643" t="str">
            <v>PRD</v>
          </cell>
          <cell r="I2643" t="str">
            <v>PRD</v>
          </cell>
          <cell r="J2643" t="str">
            <v>HV TOYOTA</v>
          </cell>
          <cell r="K2643" t="str">
            <v>HV TOYOTA LITIUM</v>
          </cell>
          <cell r="L2643" t="str">
            <v>CV HV 06</v>
          </cell>
          <cell r="M2643" t="str">
            <v>S/A THERMISTOR T2</v>
          </cell>
          <cell r="N2643" t="str">
            <v>SUB ASSY</v>
          </cell>
          <cell r="O2643" t="str">
            <v>A</v>
          </cell>
        </row>
        <row r="2644">
          <cell r="A2644">
            <v>22916</v>
          </cell>
          <cell r="B2644" t="str">
            <v>DIAH WAHYU NOVIANI</v>
          </cell>
          <cell r="C2644" t="str">
            <v>SAMI</v>
          </cell>
          <cell r="D2644" t="str">
            <v>OPT-568</v>
          </cell>
          <cell r="E2644">
            <v>43343</v>
          </cell>
          <cell r="F2644">
            <v>43374</v>
          </cell>
          <cell r="G2644">
            <v>43738</v>
          </cell>
          <cell r="H2644" t="str">
            <v>PRD</v>
          </cell>
          <cell r="I2644" t="str">
            <v>PRD</v>
          </cell>
          <cell r="J2644" t="str">
            <v>HV TOYOTA</v>
          </cell>
          <cell r="K2644" t="str">
            <v>HV TOYOTA LITIUM</v>
          </cell>
          <cell r="L2644" t="str">
            <v>CV HV 06</v>
          </cell>
          <cell r="M2644" t="str">
            <v>ASM T2</v>
          </cell>
          <cell r="N2644" t="str">
            <v>ASSEMBLY</v>
          </cell>
          <cell r="O2644" t="str">
            <v>A</v>
          </cell>
        </row>
        <row r="2645">
          <cell r="A2645">
            <v>23090</v>
          </cell>
          <cell r="B2645" t="str">
            <v>ZAENITA TRI YATIKHAH</v>
          </cell>
          <cell r="C2645" t="str">
            <v>SAMI</v>
          </cell>
          <cell r="D2645" t="str">
            <v>OPT-569</v>
          </cell>
          <cell r="E2645">
            <v>43361</v>
          </cell>
          <cell r="F2645">
            <v>43391</v>
          </cell>
          <cell r="G2645">
            <v>43769</v>
          </cell>
          <cell r="H2645" t="str">
            <v>PRD</v>
          </cell>
          <cell r="I2645" t="str">
            <v>PRD</v>
          </cell>
          <cell r="J2645" t="str">
            <v>HV TOYOTA</v>
          </cell>
          <cell r="K2645" t="str">
            <v>HV TOYOTA LITIUM</v>
          </cell>
          <cell r="L2645" t="str">
            <v>CV HV 06</v>
          </cell>
          <cell r="M2645" t="str">
            <v>PRO + CK U2</v>
          </cell>
          <cell r="N2645" t="str">
            <v>ASSEMBLY</v>
          </cell>
          <cell r="O2645" t="str">
            <v>A</v>
          </cell>
        </row>
        <row r="2646">
          <cell r="A2646">
            <v>23281</v>
          </cell>
          <cell r="B2646" t="str">
            <v>WAHYUNI</v>
          </cell>
          <cell r="C2646" t="str">
            <v>SAMI</v>
          </cell>
          <cell r="D2646" t="str">
            <v>OPT-573</v>
          </cell>
          <cell r="E2646">
            <v>43421</v>
          </cell>
          <cell r="F2646">
            <v>43451</v>
          </cell>
          <cell r="G2646">
            <v>43830</v>
          </cell>
          <cell r="H2646" t="str">
            <v>PRD</v>
          </cell>
          <cell r="I2646" t="str">
            <v>PRD</v>
          </cell>
          <cell r="J2646" t="str">
            <v>HV TOYOTA</v>
          </cell>
          <cell r="K2646" t="str">
            <v>HV TOYOTA LITIUM</v>
          </cell>
          <cell r="L2646" t="str">
            <v>CV HV 06</v>
          </cell>
          <cell r="M2646" t="str">
            <v>CIRCUIT SUPPLIER</v>
          </cell>
          <cell r="N2646" t="str">
            <v>CIRCUIT SUPPLY</v>
          </cell>
          <cell r="O2646" t="str">
            <v>A</v>
          </cell>
        </row>
        <row r="2647">
          <cell r="A2647">
            <v>23282</v>
          </cell>
          <cell r="B2647" t="str">
            <v>WIDIA ERLIN KUSDIANA</v>
          </cell>
          <cell r="C2647" t="str">
            <v>SAMI</v>
          </cell>
          <cell r="D2647" t="str">
            <v>OPT-573</v>
          </cell>
          <cell r="E2647">
            <v>43421</v>
          </cell>
          <cell r="F2647">
            <v>43451</v>
          </cell>
          <cell r="G2647">
            <v>43830</v>
          </cell>
          <cell r="H2647" t="str">
            <v>PRD</v>
          </cell>
          <cell r="I2647" t="str">
            <v>PRD</v>
          </cell>
          <cell r="J2647" t="str">
            <v>HV TOYOTA</v>
          </cell>
          <cell r="K2647" t="str">
            <v>HV TOYOTA LITIUM</v>
          </cell>
          <cell r="L2647" t="str">
            <v>CV HV 06</v>
          </cell>
          <cell r="M2647" t="str">
            <v>S/A T2.2</v>
          </cell>
          <cell r="N2647" t="str">
            <v>SUB ASSY</v>
          </cell>
          <cell r="O2647" t="str">
            <v>A</v>
          </cell>
        </row>
        <row r="2648">
          <cell r="A2648">
            <v>23396</v>
          </cell>
          <cell r="B2648" t="str">
            <v>ANI MAHA RANI</v>
          </cell>
          <cell r="C2648" t="str">
            <v>SAMI</v>
          </cell>
          <cell r="D2648" t="str">
            <v>OPT-575</v>
          </cell>
          <cell r="E2648">
            <v>43434</v>
          </cell>
          <cell r="F2648">
            <v>43464</v>
          </cell>
          <cell r="G2648">
            <v>43830</v>
          </cell>
          <cell r="H2648" t="str">
            <v>PRD</v>
          </cell>
          <cell r="I2648" t="str">
            <v>PRD</v>
          </cell>
          <cell r="J2648" t="str">
            <v>HV TOYOTA</v>
          </cell>
          <cell r="K2648" t="str">
            <v>HV TOYOTA LITIUM</v>
          </cell>
          <cell r="L2648" t="str">
            <v>CV HV 06</v>
          </cell>
          <cell r="M2648" t="str">
            <v>OJT</v>
          </cell>
          <cell r="N2648" t="str">
            <v>INTERNAL TRIAL</v>
          </cell>
          <cell r="O2648" t="str">
            <v>A</v>
          </cell>
        </row>
        <row r="2649">
          <cell r="A2649">
            <v>23397</v>
          </cell>
          <cell r="B2649" t="str">
            <v>ANIS SAFITRI</v>
          </cell>
          <cell r="C2649" t="str">
            <v>SAMI</v>
          </cell>
          <cell r="D2649" t="str">
            <v>OPT-575</v>
          </cell>
          <cell r="E2649">
            <v>43434</v>
          </cell>
          <cell r="F2649">
            <v>43464</v>
          </cell>
          <cell r="G2649">
            <v>43830</v>
          </cell>
          <cell r="H2649" t="str">
            <v>PRD</v>
          </cell>
          <cell r="I2649" t="str">
            <v>PRD</v>
          </cell>
          <cell r="J2649" t="str">
            <v>HV TOYOTA</v>
          </cell>
          <cell r="K2649" t="str">
            <v>HV TOYOTA LITIUM</v>
          </cell>
          <cell r="L2649" t="str">
            <v>CV HV 06</v>
          </cell>
          <cell r="M2649" t="str">
            <v>OJT</v>
          </cell>
          <cell r="N2649" t="str">
            <v>INTERNAL TRIAL</v>
          </cell>
          <cell r="O2649" t="str">
            <v>A</v>
          </cell>
        </row>
        <row r="2650">
          <cell r="A2650">
            <v>10134</v>
          </cell>
          <cell r="B2650" t="str">
            <v>YUNI ISWANTI</v>
          </cell>
          <cell r="C2650" t="str">
            <v>SAMI</v>
          </cell>
          <cell r="D2650" t="str">
            <v>OPT-248</v>
          </cell>
          <cell r="E2650">
            <v>40444</v>
          </cell>
          <cell r="F2650" t="str">
            <v>-</v>
          </cell>
          <cell r="G2650" t="str">
            <v>-</v>
          </cell>
          <cell r="H2650" t="str">
            <v>PRD</v>
          </cell>
          <cell r="I2650" t="str">
            <v>PRD</v>
          </cell>
          <cell r="J2650" t="str">
            <v>HV TOYOTA</v>
          </cell>
          <cell r="K2650" t="str">
            <v>HV TOYOTA LITIUM</v>
          </cell>
          <cell r="L2650" t="str">
            <v>CV HV 06</v>
          </cell>
          <cell r="M2650" t="str">
            <v>SA THERMISTOR</v>
          </cell>
          <cell r="N2650" t="str">
            <v>SUB ASSY</v>
          </cell>
          <cell r="O2650" t="str">
            <v>B</v>
          </cell>
        </row>
        <row r="2651">
          <cell r="A2651">
            <v>12577</v>
          </cell>
          <cell r="B2651" t="str">
            <v>YUNI RAHMAWATI</v>
          </cell>
          <cell r="C2651" t="str">
            <v>SAMI</v>
          </cell>
          <cell r="D2651" t="str">
            <v>OPT-318</v>
          </cell>
          <cell r="E2651">
            <v>40812</v>
          </cell>
          <cell r="F2651" t="str">
            <v>-</v>
          </cell>
          <cell r="G2651" t="str">
            <v>-</v>
          </cell>
          <cell r="H2651" t="str">
            <v>PRD</v>
          </cell>
          <cell r="I2651" t="str">
            <v>PRD</v>
          </cell>
          <cell r="J2651" t="str">
            <v>HV TOYOTA</v>
          </cell>
          <cell r="K2651" t="str">
            <v>HV TOYOTA LITIUM</v>
          </cell>
          <cell r="L2651" t="str">
            <v>CV HV 06</v>
          </cell>
          <cell r="M2651" t="str">
            <v>SA BBM</v>
          </cell>
          <cell r="N2651" t="str">
            <v>SUB ASSY</v>
          </cell>
          <cell r="O2651" t="str">
            <v>B</v>
          </cell>
        </row>
        <row r="2652">
          <cell r="A2652">
            <v>21952</v>
          </cell>
          <cell r="B2652" t="str">
            <v>ELLA WAHYU RAHMAWATI</v>
          </cell>
          <cell r="C2652" t="str">
            <v>SAMI</v>
          </cell>
          <cell r="D2652" t="str">
            <v>OPT-545</v>
          </cell>
          <cell r="E2652">
            <v>43116</v>
          </cell>
          <cell r="F2652">
            <v>43147</v>
          </cell>
          <cell r="G2652">
            <v>43524</v>
          </cell>
          <cell r="H2652" t="str">
            <v>PRD</v>
          </cell>
          <cell r="I2652" t="str">
            <v>PRD</v>
          </cell>
          <cell r="J2652" t="str">
            <v>HV TOYOTA</v>
          </cell>
          <cell r="K2652" t="str">
            <v>HV TOYOTA LITIUM</v>
          </cell>
          <cell r="L2652" t="str">
            <v>CV HV 06</v>
          </cell>
          <cell r="M2652" t="str">
            <v>CIRCUIT SUPPLIER</v>
          </cell>
          <cell r="N2652" t="str">
            <v>CIRCUIT SUPPLY</v>
          </cell>
          <cell r="O2652" t="str">
            <v>B</v>
          </cell>
        </row>
        <row r="2653">
          <cell r="A2653">
            <v>22151</v>
          </cell>
          <cell r="B2653" t="str">
            <v>SITI NUR KHASANAH</v>
          </cell>
          <cell r="C2653" t="str">
            <v>SAMI</v>
          </cell>
          <cell r="D2653" t="str">
            <v>OPT-549</v>
          </cell>
          <cell r="E2653">
            <v>43153</v>
          </cell>
          <cell r="F2653">
            <v>43181</v>
          </cell>
          <cell r="G2653">
            <v>43555</v>
          </cell>
          <cell r="H2653" t="str">
            <v>PRD</v>
          </cell>
          <cell r="I2653" t="str">
            <v>PRD</v>
          </cell>
          <cell r="J2653" t="str">
            <v>HV TOYOTA</v>
          </cell>
          <cell r="K2653" t="str">
            <v>HV TOYOTA LITIUM</v>
          </cell>
          <cell r="L2653" t="str">
            <v>CV HV 06</v>
          </cell>
          <cell r="M2653" t="str">
            <v>SA BBM</v>
          </cell>
          <cell r="N2653" t="str">
            <v>SUB ASSY</v>
          </cell>
          <cell r="O2653" t="str">
            <v>B</v>
          </cell>
        </row>
        <row r="2654">
          <cell r="A2654">
            <v>22322</v>
          </cell>
          <cell r="B2654" t="str">
            <v>YUNI FATIKASARI</v>
          </cell>
          <cell r="C2654" t="str">
            <v>SAMI</v>
          </cell>
          <cell r="D2654" t="str">
            <v>OPT-555</v>
          </cell>
          <cell r="E2654">
            <v>43192</v>
          </cell>
          <cell r="F2654">
            <v>43222</v>
          </cell>
          <cell r="G2654">
            <v>43585</v>
          </cell>
          <cell r="H2654" t="str">
            <v>PRD</v>
          </cell>
          <cell r="I2654" t="str">
            <v>PRD</v>
          </cell>
          <cell r="J2654" t="str">
            <v>HV TOYOTA</v>
          </cell>
          <cell r="K2654" t="str">
            <v>HV TOYOTA LITIUM</v>
          </cell>
          <cell r="L2654" t="str">
            <v>CV HV 06</v>
          </cell>
          <cell r="M2654" t="str">
            <v>PRO+CK</v>
          </cell>
          <cell r="N2654" t="str">
            <v>ASSEMBLY</v>
          </cell>
          <cell r="O2654" t="str">
            <v>B</v>
          </cell>
        </row>
        <row r="2655">
          <cell r="A2655">
            <v>22417</v>
          </cell>
          <cell r="B2655" t="str">
            <v>SARI ASTRIYANI</v>
          </cell>
          <cell r="C2655" t="str">
            <v>SAMI</v>
          </cell>
          <cell r="D2655" t="str">
            <v>OPT-558</v>
          </cell>
          <cell r="E2655">
            <v>43213</v>
          </cell>
          <cell r="F2655">
            <v>43243</v>
          </cell>
          <cell r="G2655">
            <v>43616</v>
          </cell>
          <cell r="H2655" t="str">
            <v>PRD</v>
          </cell>
          <cell r="I2655" t="str">
            <v>PRD</v>
          </cell>
          <cell r="J2655" t="str">
            <v>HV TOYOTA</v>
          </cell>
          <cell r="K2655" t="str">
            <v>HV TOYOTA LITIUM</v>
          </cell>
          <cell r="L2655" t="str">
            <v>CV HV 06</v>
          </cell>
          <cell r="M2655" t="str">
            <v>S/A T2.1</v>
          </cell>
          <cell r="N2655" t="str">
            <v>SUB ASSY</v>
          </cell>
          <cell r="O2655" t="str">
            <v>B</v>
          </cell>
        </row>
        <row r="2656">
          <cell r="A2656">
            <v>23150</v>
          </cell>
          <cell r="B2656" t="str">
            <v>NUR KHALIMAH</v>
          </cell>
          <cell r="C2656" t="str">
            <v>SAMI</v>
          </cell>
          <cell r="D2656" t="str">
            <v>OPT-570</v>
          </cell>
          <cell r="E2656">
            <v>43369</v>
          </cell>
          <cell r="F2656">
            <v>43399</v>
          </cell>
          <cell r="G2656">
            <v>43769</v>
          </cell>
          <cell r="H2656" t="str">
            <v>PRD</v>
          </cell>
          <cell r="I2656" t="str">
            <v>PRD</v>
          </cell>
          <cell r="J2656" t="str">
            <v>HV TOYOTA</v>
          </cell>
          <cell r="K2656" t="str">
            <v>HV TOYOTA LITIUM</v>
          </cell>
          <cell r="L2656" t="str">
            <v>CV HV 06</v>
          </cell>
          <cell r="M2656" t="str">
            <v>VISUAL</v>
          </cell>
          <cell r="N2656" t="str">
            <v>ELECTRICAL INSPECTION</v>
          </cell>
          <cell r="O2656" t="str">
            <v>B</v>
          </cell>
        </row>
        <row r="2657">
          <cell r="A2657">
            <v>23352</v>
          </cell>
          <cell r="B2657" t="str">
            <v>RIZQI AZIZAH</v>
          </cell>
          <cell r="C2657" t="str">
            <v>SAMI</v>
          </cell>
          <cell r="D2657" t="str">
            <v>OPT-574</v>
          </cell>
          <cell r="E2657">
            <v>43427</v>
          </cell>
          <cell r="F2657">
            <v>43457</v>
          </cell>
          <cell r="G2657">
            <v>43830</v>
          </cell>
          <cell r="H2657" t="str">
            <v>PRD</v>
          </cell>
          <cell r="I2657" t="str">
            <v>PRD</v>
          </cell>
          <cell r="J2657" t="str">
            <v>HV TOYOTA</v>
          </cell>
          <cell r="K2657" t="str">
            <v>HV TOYOTA LITIUM</v>
          </cell>
          <cell r="L2657" t="str">
            <v>CV HV 06</v>
          </cell>
          <cell r="M2657" t="str">
            <v>PRO U2 + CK</v>
          </cell>
          <cell r="N2657" t="str">
            <v>ASSEMBLY</v>
          </cell>
          <cell r="O2657" t="str">
            <v>B</v>
          </cell>
        </row>
        <row r="2658">
          <cell r="A2658">
            <v>9430</v>
          </cell>
          <cell r="B2658" t="str">
            <v>DWI ALIN YANI</v>
          </cell>
          <cell r="C2658" t="str">
            <v>SAMI</v>
          </cell>
          <cell r="D2658" t="str">
            <v>OPT-216</v>
          </cell>
          <cell r="E2658">
            <v>40148</v>
          </cell>
          <cell r="F2658" t="str">
            <v>-</v>
          </cell>
          <cell r="G2658" t="str">
            <v>-</v>
          </cell>
          <cell r="H2658" t="str">
            <v>PRD</v>
          </cell>
          <cell r="I2658" t="str">
            <v>PRD</v>
          </cell>
          <cell r="J2658" t="str">
            <v>HV TOYOTA</v>
          </cell>
          <cell r="K2658" t="str">
            <v>HV TOYOTA NIKEL</v>
          </cell>
          <cell r="L2658" t="str">
            <v>CV HV 07A</v>
          </cell>
          <cell r="M2658" t="str">
            <v>SUB LINE CHO</v>
          </cell>
          <cell r="N2658" t="str">
            <v>GL</v>
          </cell>
          <cell r="O2658" t="str">
            <v>A</v>
          </cell>
        </row>
        <row r="2659">
          <cell r="A2659">
            <v>11733</v>
          </cell>
          <cell r="B2659" t="str">
            <v>MAR'ATUS SHOLIKAH</v>
          </cell>
          <cell r="C2659" t="str">
            <v>SAMI</v>
          </cell>
          <cell r="D2659" t="str">
            <v>OPT-308</v>
          </cell>
          <cell r="E2659">
            <v>40714</v>
          </cell>
          <cell r="F2659" t="str">
            <v>-</v>
          </cell>
          <cell r="G2659" t="str">
            <v>-</v>
          </cell>
          <cell r="H2659" t="str">
            <v>PRD</v>
          </cell>
          <cell r="I2659" t="str">
            <v>PRD</v>
          </cell>
          <cell r="J2659" t="str">
            <v>HV TOYOTA</v>
          </cell>
          <cell r="K2659" t="str">
            <v>HV TOYOTA NIKEL</v>
          </cell>
          <cell r="L2659" t="str">
            <v>CV HV 07A</v>
          </cell>
          <cell r="M2659" t="str">
            <v>LQC</v>
          </cell>
          <cell r="N2659" t="str">
            <v>RELIEF</v>
          </cell>
          <cell r="O2659" t="str">
            <v>A</v>
          </cell>
        </row>
        <row r="2660">
          <cell r="A2660">
            <v>20931</v>
          </cell>
          <cell r="B2660" t="str">
            <v>BAYU DWI LAKSONO</v>
          </cell>
          <cell r="C2660" t="str">
            <v>SAMI</v>
          </cell>
          <cell r="D2660" t="str">
            <v>OPT-511</v>
          </cell>
          <cell r="E2660">
            <v>42667</v>
          </cell>
          <cell r="F2660">
            <v>43160</v>
          </cell>
          <cell r="G2660">
            <v>43524</v>
          </cell>
          <cell r="H2660" t="str">
            <v>PRD</v>
          </cell>
          <cell r="I2660" t="str">
            <v>PRD</v>
          </cell>
          <cell r="J2660" t="str">
            <v>HV TOYOTA</v>
          </cell>
          <cell r="K2660" t="str">
            <v>HV TOYOTA NIKEL</v>
          </cell>
          <cell r="L2660" t="str">
            <v>CV HV 07A</v>
          </cell>
          <cell r="M2660" t="str">
            <v>MC3-T-03</v>
          </cell>
          <cell r="N2660" t="str">
            <v>WFAP 2.1</v>
          </cell>
          <cell r="O2660" t="str">
            <v>A</v>
          </cell>
        </row>
        <row r="2661">
          <cell r="A2661">
            <v>20963</v>
          </cell>
          <cell r="B2661" t="str">
            <v>ULIL ALBAB SAPUTRA</v>
          </cell>
          <cell r="C2661" t="str">
            <v>SAMI</v>
          </cell>
          <cell r="D2661" t="str">
            <v>OPT-511</v>
          </cell>
          <cell r="E2661">
            <v>42667</v>
          </cell>
          <cell r="F2661">
            <v>43160</v>
          </cell>
          <cell r="G2661">
            <v>43524</v>
          </cell>
          <cell r="H2661" t="str">
            <v>PRD</v>
          </cell>
          <cell r="I2661" t="str">
            <v>PRD</v>
          </cell>
          <cell r="J2661" t="str">
            <v>HV TOYOTA</v>
          </cell>
          <cell r="K2661" t="str">
            <v>HV TOYOTA NIKEL</v>
          </cell>
          <cell r="L2661" t="str">
            <v>CV HV 07A</v>
          </cell>
          <cell r="M2661" t="str">
            <v>ST MAC, MC3-01, 02</v>
          </cell>
          <cell r="N2661" t="str">
            <v>WFAP 2.1</v>
          </cell>
          <cell r="O2661" t="str">
            <v>A</v>
          </cell>
        </row>
        <row r="2662">
          <cell r="A2662">
            <v>21215</v>
          </cell>
          <cell r="B2662" t="str">
            <v>MEILANI YULIANTI</v>
          </cell>
          <cell r="C2662" t="str">
            <v>SAMI</v>
          </cell>
          <cell r="D2662" t="str">
            <v>OPT-523</v>
          </cell>
          <cell r="E2662">
            <v>42877</v>
          </cell>
          <cell r="F2662">
            <v>43374</v>
          </cell>
          <cell r="G2662">
            <v>43738</v>
          </cell>
          <cell r="H2662" t="str">
            <v>PRD</v>
          </cell>
          <cell r="I2662" t="str">
            <v>PRD</v>
          </cell>
          <cell r="J2662" t="str">
            <v>HV TOYOTA</v>
          </cell>
          <cell r="K2662" t="str">
            <v>HV TOYOTA NIKEL</v>
          </cell>
          <cell r="L2662" t="str">
            <v>CV HV 07A</v>
          </cell>
          <cell r="M2662" t="str">
            <v>VISUAL</v>
          </cell>
          <cell r="N2662" t="str">
            <v>VISUAL INSPECTION</v>
          </cell>
          <cell r="O2662" t="str">
            <v>A</v>
          </cell>
        </row>
        <row r="2663">
          <cell r="A2663">
            <v>21439</v>
          </cell>
          <cell r="B2663" t="str">
            <v>IDA FITRIYAH</v>
          </cell>
          <cell r="C2663" t="str">
            <v>SAMI</v>
          </cell>
          <cell r="D2663" t="str">
            <v>OPT-533</v>
          </cell>
          <cell r="E2663">
            <v>43024</v>
          </cell>
          <cell r="F2663">
            <v>43435</v>
          </cell>
          <cell r="G2663">
            <v>43799</v>
          </cell>
          <cell r="H2663" t="str">
            <v>PRD</v>
          </cell>
          <cell r="I2663" t="str">
            <v>PRD</v>
          </cell>
          <cell r="J2663" t="str">
            <v>HV TOYOTA</v>
          </cell>
          <cell r="K2663" t="str">
            <v>HV TOYOTA NIKEL</v>
          </cell>
          <cell r="L2663" t="str">
            <v>CV HV 07A</v>
          </cell>
          <cell r="M2663" t="str">
            <v>ASM CONTINUITY</v>
          </cell>
          <cell r="N2663" t="str">
            <v>ASSEMBLY</v>
          </cell>
          <cell r="O2663" t="str">
            <v>A</v>
          </cell>
        </row>
        <row r="2664">
          <cell r="A2664">
            <v>21845</v>
          </cell>
          <cell r="B2664" t="str">
            <v>NOVIA TRIANA PUTRI</v>
          </cell>
          <cell r="C2664" t="str">
            <v>SAMI</v>
          </cell>
          <cell r="D2664" t="str">
            <v>OPT-541</v>
          </cell>
          <cell r="E2664">
            <v>43098</v>
          </cell>
          <cell r="F2664">
            <v>43129</v>
          </cell>
          <cell r="G2664">
            <v>43496</v>
          </cell>
          <cell r="H2664" t="str">
            <v>PRD</v>
          </cell>
          <cell r="I2664" t="str">
            <v>PRD</v>
          </cell>
          <cell r="J2664" t="str">
            <v>HV TOYOTA</v>
          </cell>
          <cell r="K2664" t="str">
            <v>HV TOYOTA NIKEL</v>
          </cell>
          <cell r="L2664" t="str">
            <v>CV HV 07A</v>
          </cell>
          <cell r="M2664" t="str">
            <v>INSERT SP</v>
          </cell>
          <cell r="N2664" t="str">
            <v>SUB ASSY</v>
          </cell>
          <cell r="O2664" t="str">
            <v>A</v>
          </cell>
        </row>
        <row r="2665">
          <cell r="A2665">
            <v>21848</v>
          </cell>
          <cell r="B2665" t="str">
            <v>RISDIYANTI</v>
          </cell>
          <cell r="C2665" t="str">
            <v>SAMI</v>
          </cell>
          <cell r="D2665" t="str">
            <v>OPT-541</v>
          </cell>
          <cell r="E2665">
            <v>43098</v>
          </cell>
          <cell r="F2665">
            <v>43129</v>
          </cell>
          <cell r="G2665">
            <v>43496</v>
          </cell>
          <cell r="H2665" t="str">
            <v>PRD</v>
          </cell>
          <cell r="I2665" t="str">
            <v>PRD</v>
          </cell>
          <cell r="J2665" t="str">
            <v>HV TOYOTA</v>
          </cell>
          <cell r="K2665" t="str">
            <v>HV TOYOTA NIKEL</v>
          </cell>
          <cell r="L2665" t="str">
            <v>CV HV 07A</v>
          </cell>
          <cell r="M2665" t="str">
            <v>VISUAL</v>
          </cell>
          <cell r="N2665" t="str">
            <v>VISUAL INSPECTION</v>
          </cell>
          <cell r="O2665" t="str">
            <v>A</v>
          </cell>
        </row>
        <row r="2666">
          <cell r="A2666">
            <v>22622</v>
          </cell>
          <cell r="B2666" t="str">
            <v>NURUL KHIKMAH</v>
          </cell>
          <cell r="C2666" t="str">
            <v>SAMI</v>
          </cell>
          <cell r="D2666" t="str">
            <v>OPT-561</v>
          </cell>
          <cell r="E2666">
            <v>43236</v>
          </cell>
          <cell r="F2666">
            <v>43267</v>
          </cell>
          <cell r="G2666">
            <v>43646</v>
          </cell>
          <cell r="H2666" t="str">
            <v>PRD</v>
          </cell>
          <cell r="I2666" t="str">
            <v>PRD</v>
          </cell>
          <cell r="J2666" t="str">
            <v>HV TOYOTA</v>
          </cell>
          <cell r="K2666" t="str">
            <v>HV TOYOTA NIKEL</v>
          </cell>
          <cell r="L2666" t="str">
            <v>CV HV 07A</v>
          </cell>
          <cell r="M2666" t="str">
            <v>ASM SP</v>
          </cell>
          <cell r="N2666" t="str">
            <v>ASSEMBLY</v>
          </cell>
          <cell r="O2666" t="str">
            <v>A</v>
          </cell>
        </row>
        <row r="2667">
          <cell r="A2667">
            <v>22644</v>
          </cell>
          <cell r="B2667" t="str">
            <v>ARINI RACHMAWATI</v>
          </cell>
          <cell r="C2667" t="str">
            <v>SAMI</v>
          </cell>
          <cell r="D2667" t="str">
            <v>OPT-562</v>
          </cell>
          <cell r="E2667">
            <v>43241</v>
          </cell>
          <cell r="F2667">
            <v>43272</v>
          </cell>
          <cell r="G2667">
            <v>43646</v>
          </cell>
          <cell r="H2667" t="str">
            <v>PRD</v>
          </cell>
          <cell r="I2667" t="str">
            <v>PRD</v>
          </cell>
          <cell r="J2667" t="str">
            <v>HV TOYOTA</v>
          </cell>
          <cell r="K2667" t="str">
            <v>HV TOYOTA NIKEL</v>
          </cell>
          <cell r="L2667" t="str">
            <v>CV HV 07A</v>
          </cell>
          <cell r="M2667" t="str">
            <v>FBBI, ASM BBM, IMTERMEDIATE</v>
          </cell>
          <cell r="N2667" t="str">
            <v>WFAP 2.2</v>
          </cell>
          <cell r="O2667" t="str">
            <v>A</v>
          </cell>
        </row>
        <row r="2668">
          <cell r="A2668">
            <v>22677</v>
          </cell>
          <cell r="B2668" t="str">
            <v>ROIDAH</v>
          </cell>
          <cell r="C2668" t="str">
            <v>SAMI</v>
          </cell>
          <cell r="D2668" t="str">
            <v>OPT-562</v>
          </cell>
          <cell r="E2668">
            <v>43241</v>
          </cell>
          <cell r="F2668">
            <v>43272</v>
          </cell>
          <cell r="G2668">
            <v>43646</v>
          </cell>
          <cell r="H2668" t="str">
            <v>PRD</v>
          </cell>
          <cell r="I2668" t="str">
            <v>PRD</v>
          </cell>
          <cell r="J2668" t="str">
            <v>HV TOYOTA</v>
          </cell>
          <cell r="K2668" t="str">
            <v>HV TOYOTA NIKEL</v>
          </cell>
          <cell r="L2668" t="str">
            <v>CV HV 07A</v>
          </cell>
          <cell r="M2668" t="str">
            <v>FBBO-03</v>
          </cell>
          <cell r="N2668" t="str">
            <v>ASSEMBLY</v>
          </cell>
          <cell r="O2668" t="str">
            <v>A</v>
          </cell>
        </row>
        <row r="2669">
          <cell r="A2669">
            <v>22712</v>
          </cell>
          <cell r="B2669" t="str">
            <v>QUSNUL KHOTIMAH</v>
          </cell>
          <cell r="C2669" t="str">
            <v>SAMI</v>
          </cell>
          <cell r="D2669" t="str">
            <v>OPT-563</v>
          </cell>
          <cell r="E2669">
            <v>43244</v>
          </cell>
          <cell r="F2669">
            <v>43275</v>
          </cell>
          <cell r="G2669">
            <v>43646</v>
          </cell>
          <cell r="H2669" t="str">
            <v>PRD</v>
          </cell>
          <cell r="I2669" t="str">
            <v>PRD</v>
          </cell>
          <cell r="J2669" t="str">
            <v>HV TOYOTA</v>
          </cell>
          <cell r="K2669" t="str">
            <v>HV TOYOTA NIKEL</v>
          </cell>
          <cell r="L2669" t="str">
            <v>CV HV 07A</v>
          </cell>
          <cell r="M2669" t="str">
            <v>FBBO-04</v>
          </cell>
          <cell r="N2669" t="str">
            <v>ASSEMBLY</v>
          </cell>
          <cell r="O2669" t="str">
            <v>A</v>
          </cell>
        </row>
        <row r="2670">
          <cell r="A2670">
            <v>22858</v>
          </cell>
          <cell r="B2670" t="str">
            <v>NADYA BERLIANA RAMADHANISYA</v>
          </cell>
          <cell r="C2670" t="str">
            <v>SAMI</v>
          </cell>
          <cell r="D2670" t="str">
            <v>OPT-567</v>
          </cell>
          <cell r="E2670">
            <v>43333</v>
          </cell>
          <cell r="F2670">
            <v>43364</v>
          </cell>
          <cell r="G2670">
            <v>43738</v>
          </cell>
          <cell r="H2670" t="str">
            <v>PRD</v>
          </cell>
          <cell r="I2670" t="str">
            <v>PRD</v>
          </cell>
          <cell r="J2670" t="str">
            <v>HV TOYOTA</v>
          </cell>
          <cell r="K2670" t="str">
            <v>HV TOYOTA NIKEL</v>
          </cell>
          <cell r="L2670" t="str">
            <v>CV HV 07A</v>
          </cell>
          <cell r="M2670" t="str">
            <v>ASM CONTINUITY</v>
          </cell>
          <cell r="N2670" t="str">
            <v>ASSEMBLY</v>
          </cell>
          <cell r="O2670" t="str">
            <v>A</v>
          </cell>
        </row>
        <row r="2671">
          <cell r="A2671">
            <v>23134</v>
          </cell>
          <cell r="B2671" t="str">
            <v>LULUK INTAN KOMAIROH</v>
          </cell>
          <cell r="C2671" t="str">
            <v>SAMI</v>
          </cell>
          <cell r="D2671" t="str">
            <v>OPT-570</v>
          </cell>
          <cell r="E2671">
            <v>43369</v>
          </cell>
          <cell r="F2671">
            <v>43399</v>
          </cell>
          <cell r="G2671">
            <v>43769</v>
          </cell>
          <cell r="H2671" t="str">
            <v>PRD</v>
          </cell>
          <cell r="I2671" t="str">
            <v>PRD</v>
          </cell>
          <cell r="J2671" t="str">
            <v>HV TOYOTA</v>
          </cell>
          <cell r="K2671" t="str">
            <v>HV TOYOTA NIKEL</v>
          </cell>
          <cell r="L2671" t="str">
            <v>CV HV 07A</v>
          </cell>
          <cell r="M2671" t="str">
            <v>STMAC</v>
          </cell>
          <cell r="N2671" t="str">
            <v>ASSEMBLY</v>
          </cell>
          <cell r="O2671" t="str">
            <v>A</v>
          </cell>
        </row>
        <row r="2672">
          <cell r="A2672">
            <v>23283</v>
          </cell>
          <cell r="B2672" t="str">
            <v>WIDYA AWWALIYANA</v>
          </cell>
          <cell r="C2672" t="str">
            <v>SAMI</v>
          </cell>
          <cell r="D2672" t="str">
            <v>OPT-573</v>
          </cell>
          <cell r="E2672">
            <v>43421</v>
          </cell>
          <cell r="F2672">
            <v>43451</v>
          </cell>
          <cell r="G2672">
            <v>43830</v>
          </cell>
          <cell r="H2672" t="str">
            <v>PRD</v>
          </cell>
          <cell r="I2672" t="str">
            <v>PRD</v>
          </cell>
          <cell r="J2672" t="str">
            <v>HV TOYOTA</v>
          </cell>
          <cell r="K2672" t="str">
            <v>HV TOYOTA NIKEL</v>
          </cell>
          <cell r="L2672" t="str">
            <v>CV HV 07A</v>
          </cell>
          <cell r="M2672" t="str">
            <v>FBB1, ASM BBM INTERMEDIATE</v>
          </cell>
          <cell r="N2672" t="str">
            <v>ASSEMBLY</v>
          </cell>
          <cell r="O2672" t="str">
            <v>A</v>
          </cell>
        </row>
        <row r="2673">
          <cell r="A2673">
            <v>23420</v>
          </cell>
          <cell r="B2673" t="str">
            <v>IKA LISTIANA</v>
          </cell>
          <cell r="C2673" t="str">
            <v>SAMI</v>
          </cell>
          <cell r="D2673" t="str">
            <v>OPT-575</v>
          </cell>
          <cell r="E2673">
            <v>43434</v>
          </cell>
          <cell r="F2673">
            <v>43464</v>
          </cell>
          <cell r="G2673">
            <v>43830</v>
          </cell>
          <cell r="H2673" t="str">
            <v>PRD</v>
          </cell>
          <cell r="I2673" t="str">
            <v>PRD</v>
          </cell>
          <cell r="J2673" t="str">
            <v>HV TOYOTA</v>
          </cell>
          <cell r="K2673" t="str">
            <v>HV TOYOTA NIKEL</v>
          </cell>
          <cell r="L2673" t="str">
            <v>CV HV 07A</v>
          </cell>
          <cell r="M2673" t="str">
            <v>OJT</v>
          </cell>
          <cell r="N2673" t="str">
            <v>INTERNAL TRIAL</v>
          </cell>
          <cell r="O2673" t="str">
            <v>A</v>
          </cell>
        </row>
        <row r="2674">
          <cell r="A2674">
            <v>4653</v>
          </cell>
          <cell r="B2674" t="str">
            <v>EKA SULISTIYANI</v>
          </cell>
          <cell r="C2674" t="str">
            <v>SAMI</v>
          </cell>
          <cell r="D2674" t="str">
            <v>OPT-115</v>
          </cell>
          <cell r="E2674">
            <v>38901</v>
          </cell>
          <cell r="F2674" t="str">
            <v>-</v>
          </cell>
          <cell r="G2674" t="str">
            <v>-</v>
          </cell>
          <cell r="H2674" t="str">
            <v>PRD</v>
          </cell>
          <cell r="I2674" t="str">
            <v>PRD</v>
          </cell>
          <cell r="J2674" t="str">
            <v>HV TOYOTA</v>
          </cell>
          <cell r="K2674" t="str">
            <v>HV TOYOTA NIKEL</v>
          </cell>
          <cell r="L2674" t="str">
            <v>CV HV 07A</v>
          </cell>
          <cell r="M2674" t="str">
            <v>SUB LINE CHO</v>
          </cell>
          <cell r="N2674" t="str">
            <v>GL</v>
          </cell>
          <cell r="O2674" t="str">
            <v>B</v>
          </cell>
        </row>
        <row r="2675">
          <cell r="A2675">
            <v>11166</v>
          </cell>
          <cell r="B2675" t="str">
            <v>ANJELIZA INTAN PERMATASARI</v>
          </cell>
          <cell r="C2675" t="str">
            <v>SAMI</v>
          </cell>
          <cell r="D2675" t="str">
            <v>OPT-292</v>
          </cell>
          <cell r="E2675">
            <v>40610</v>
          </cell>
          <cell r="F2675" t="str">
            <v>-</v>
          </cell>
          <cell r="G2675" t="str">
            <v>-</v>
          </cell>
          <cell r="H2675" t="str">
            <v>PRD</v>
          </cell>
          <cell r="I2675" t="str">
            <v>PRD</v>
          </cell>
          <cell r="J2675" t="str">
            <v>HV TOYOTA</v>
          </cell>
          <cell r="K2675" t="str">
            <v>HV TOYOTA NIKEL</v>
          </cell>
          <cell r="L2675" t="str">
            <v>CV HV 07A</v>
          </cell>
          <cell r="M2675" t="str">
            <v>LQC</v>
          </cell>
          <cell r="N2675" t="str">
            <v>RELIEF</v>
          </cell>
          <cell r="O2675" t="str">
            <v>B</v>
          </cell>
        </row>
        <row r="2676">
          <cell r="A2676">
            <v>20358</v>
          </cell>
          <cell r="B2676" t="str">
            <v>SITI DEVI RAHAYUNINGTIAS</v>
          </cell>
          <cell r="C2676" t="str">
            <v>SAMI</v>
          </cell>
          <cell r="D2676" t="str">
            <v>OPT-501</v>
          </cell>
          <cell r="E2676">
            <v>42607</v>
          </cell>
          <cell r="F2676" t="str">
            <v>-</v>
          </cell>
          <cell r="G2676" t="str">
            <v>-</v>
          </cell>
          <cell r="H2676" t="str">
            <v>PRD</v>
          </cell>
          <cell r="I2676" t="str">
            <v>PRD</v>
          </cell>
          <cell r="J2676" t="str">
            <v>HV TOYOTA</v>
          </cell>
          <cell r="K2676" t="str">
            <v>HV TOYOTA NIKEL</v>
          </cell>
          <cell r="L2676" t="str">
            <v>CV HV 07A</v>
          </cell>
          <cell r="M2676" t="str">
            <v>FBBI0-02, INTERMEDIATE, ASM BBM</v>
          </cell>
          <cell r="N2676" t="str">
            <v>WFAP 2.2</v>
          </cell>
          <cell r="O2676" t="str">
            <v>B</v>
          </cell>
        </row>
        <row r="2677">
          <cell r="A2677">
            <v>21392</v>
          </cell>
          <cell r="B2677" t="str">
            <v>HANDAYANI</v>
          </cell>
          <cell r="C2677" t="str">
            <v>SAMI</v>
          </cell>
          <cell r="D2677" t="str">
            <v>OPT-532</v>
          </cell>
          <cell r="E2677">
            <v>43018</v>
          </cell>
          <cell r="F2677">
            <v>43405</v>
          </cell>
          <cell r="G2677">
            <v>43769</v>
          </cell>
          <cell r="H2677" t="str">
            <v>PRD</v>
          </cell>
          <cell r="I2677" t="str">
            <v>PRD</v>
          </cell>
          <cell r="J2677" t="str">
            <v>HV TOYOTA</v>
          </cell>
          <cell r="K2677" t="str">
            <v>HV TOYOTA NIKEL</v>
          </cell>
          <cell r="L2677" t="str">
            <v>CV HV 07A</v>
          </cell>
          <cell r="M2677" t="str">
            <v>FBB0-01, INTERMEDIATE, ASM, BBM</v>
          </cell>
          <cell r="N2677" t="str">
            <v>WFAP 2.2</v>
          </cell>
          <cell r="O2677" t="str">
            <v>B</v>
          </cell>
        </row>
        <row r="2678">
          <cell r="A2678">
            <v>21557</v>
          </cell>
          <cell r="B2678" t="str">
            <v>SETYANI NUR AFIFAH</v>
          </cell>
          <cell r="C2678" t="str">
            <v>SAMI</v>
          </cell>
          <cell r="D2678" t="str">
            <v>OPT-535</v>
          </cell>
          <cell r="E2678">
            <v>43045</v>
          </cell>
          <cell r="F2678">
            <v>43435</v>
          </cell>
          <cell r="G2678">
            <v>43799</v>
          </cell>
          <cell r="H2678" t="str">
            <v>PRD</v>
          </cell>
          <cell r="I2678" t="str">
            <v>PRD</v>
          </cell>
          <cell r="J2678" t="str">
            <v>HV TOYOTA</v>
          </cell>
          <cell r="K2678" t="str">
            <v>HV TOYOTA NIKEL</v>
          </cell>
          <cell r="L2678" t="str">
            <v>CV HV 07A</v>
          </cell>
          <cell r="M2678" t="str">
            <v>VISUAL 02</v>
          </cell>
          <cell r="N2678" t="str">
            <v>VISUAL INSPECTION</v>
          </cell>
          <cell r="O2678" t="str">
            <v>B</v>
          </cell>
        </row>
        <row r="2679">
          <cell r="A2679">
            <v>22018</v>
          </cell>
          <cell r="B2679" t="str">
            <v>DIAN A'MILA</v>
          </cell>
          <cell r="C2679" t="str">
            <v>SAMI</v>
          </cell>
          <cell r="D2679" t="str">
            <v>OPT-547</v>
          </cell>
          <cell r="E2679">
            <v>43144</v>
          </cell>
          <cell r="F2679">
            <v>43172</v>
          </cell>
          <cell r="G2679">
            <v>43524</v>
          </cell>
          <cell r="H2679" t="str">
            <v>PRD</v>
          </cell>
          <cell r="I2679" t="str">
            <v>PRD</v>
          </cell>
          <cell r="J2679" t="str">
            <v>HV TOYOTA</v>
          </cell>
          <cell r="K2679" t="str">
            <v>HV TOYOTA NIKEL</v>
          </cell>
          <cell r="L2679" t="str">
            <v>CV HV 07A</v>
          </cell>
          <cell r="M2679" t="str">
            <v>FBBO-04, INTERMEDIATE</v>
          </cell>
          <cell r="N2679" t="str">
            <v>ASSEMBLY</v>
          </cell>
          <cell r="O2679" t="str">
            <v>B</v>
          </cell>
        </row>
        <row r="2680">
          <cell r="A2680">
            <v>22130</v>
          </cell>
          <cell r="B2680" t="str">
            <v>LULUT PRAWITI</v>
          </cell>
          <cell r="C2680" t="str">
            <v>SAMI</v>
          </cell>
          <cell r="D2680" t="str">
            <v>OPT-549</v>
          </cell>
          <cell r="E2680">
            <v>43153</v>
          </cell>
          <cell r="F2680">
            <v>43181</v>
          </cell>
          <cell r="G2680">
            <v>43555</v>
          </cell>
          <cell r="H2680" t="str">
            <v>PRD</v>
          </cell>
          <cell r="I2680" t="str">
            <v>PRD</v>
          </cell>
          <cell r="J2680" t="str">
            <v>HV TOYOTA</v>
          </cell>
          <cell r="K2680" t="str">
            <v>HV TOYOTA NIKEL</v>
          </cell>
          <cell r="L2680" t="str">
            <v>CV HV 07A</v>
          </cell>
          <cell r="M2680" t="str">
            <v>FBBO-03, INTERMEDIATE</v>
          </cell>
          <cell r="N2680" t="str">
            <v>ASSEMBLY</v>
          </cell>
          <cell r="O2680" t="str">
            <v>B</v>
          </cell>
        </row>
        <row r="2681">
          <cell r="A2681">
            <v>22135</v>
          </cell>
          <cell r="B2681" t="str">
            <v>MUJIDAH</v>
          </cell>
          <cell r="C2681" t="str">
            <v>SAMI</v>
          </cell>
          <cell r="D2681" t="str">
            <v>OPT-549</v>
          </cell>
          <cell r="E2681">
            <v>43153</v>
          </cell>
          <cell r="F2681">
            <v>43181</v>
          </cell>
          <cell r="G2681">
            <v>43555</v>
          </cell>
          <cell r="H2681" t="str">
            <v>PRD</v>
          </cell>
          <cell r="I2681" t="str">
            <v>PRD</v>
          </cell>
          <cell r="J2681" t="str">
            <v>HV TOYOTA</v>
          </cell>
          <cell r="K2681" t="str">
            <v>HV TOYOTA NIKEL</v>
          </cell>
          <cell r="L2681" t="str">
            <v>CV HV 07A</v>
          </cell>
          <cell r="M2681" t="str">
            <v>ASM SP 01</v>
          </cell>
          <cell r="N2681" t="str">
            <v>ASSEMBLY</v>
          </cell>
          <cell r="O2681" t="str">
            <v>B</v>
          </cell>
        </row>
        <row r="2682">
          <cell r="A2682">
            <v>22147</v>
          </cell>
          <cell r="B2682" t="str">
            <v>RIZAL JOKO HARIYADI</v>
          </cell>
          <cell r="C2682" t="str">
            <v>SAMI</v>
          </cell>
          <cell r="D2682" t="str">
            <v>OPT-549</v>
          </cell>
          <cell r="E2682">
            <v>43153</v>
          </cell>
          <cell r="F2682">
            <v>43181</v>
          </cell>
          <cell r="G2682">
            <v>43555</v>
          </cell>
          <cell r="H2682" t="str">
            <v>PRD</v>
          </cell>
          <cell r="I2682" t="str">
            <v>PRD</v>
          </cell>
          <cell r="J2682" t="str">
            <v>HV TOYOTA</v>
          </cell>
          <cell r="K2682" t="str">
            <v>HV TOYOTA NIKEL</v>
          </cell>
          <cell r="L2682" t="str">
            <v>CV HV 07A</v>
          </cell>
          <cell r="M2682" t="str">
            <v>MC3-03</v>
          </cell>
          <cell r="N2682" t="str">
            <v>WFAP 2.1</v>
          </cell>
          <cell r="O2682" t="str">
            <v>B</v>
          </cell>
        </row>
        <row r="2683">
          <cell r="A2683">
            <v>22277</v>
          </cell>
          <cell r="B2683" t="str">
            <v>ANA MANURUL HIDAYAH</v>
          </cell>
          <cell r="C2683" t="str">
            <v>SAMI</v>
          </cell>
          <cell r="D2683" t="str">
            <v>OPT-555</v>
          </cell>
          <cell r="E2683">
            <v>43192</v>
          </cell>
          <cell r="F2683">
            <v>43222</v>
          </cell>
          <cell r="G2683">
            <v>43585</v>
          </cell>
          <cell r="H2683" t="str">
            <v>PRD</v>
          </cell>
          <cell r="I2683" t="str">
            <v>PRD</v>
          </cell>
          <cell r="J2683" t="str">
            <v>HV TOYOTA</v>
          </cell>
          <cell r="K2683" t="str">
            <v>HV TOYOTA NIKEL</v>
          </cell>
          <cell r="L2683" t="str">
            <v>CV HV 07A</v>
          </cell>
          <cell r="M2683" t="str">
            <v>STMAC, MC3-01, 02</v>
          </cell>
          <cell r="N2683" t="str">
            <v>WFAP 2.1</v>
          </cell>
          <cell r="O2683" t="str">
            <v>B</v>
          </cell>
        </row>
        <row r="2684">
          <cell r="A2684">
            <v>22325</v>
          </cell>
          <cell r="B2684" t="str">
            <v>ANA RIFAUL JANAH</v>
          </cell>
          <cell r="C2684" t="str">
            <v>SAMI</v>
          </cell>
          <cell r="D2684" t="str">
            <v>OPT-556</v>
          </cell>
          <cell r="E2684">
            <v>43195</v>
          </cell>
          <cell r="F2684">
            <v>43225</v>
          </cell>
          <cell r="G2684">
            <v>43585</v>
          </cell>
          <cell r="H2684" t="str">
            <v>PRD</v>
          </cell>
          <cell r="I2684" t="str">
            <v>PRD</v>
          </cell>
          <cell r="J2684" t="str">
            <v>HV TOYOTA</v>
          </cell>
          <cell r="K2684" t="str">
            <v>HV TOYOTA NIKEL</v>
          </cell>
          <cell r="L2684" t="str">
            <v>CV HV 07A</v>
          </cell>
          <cell r="M2684" t="str">
            <v>STMAC</v>
          </cell>
          <cell r="N2684" t="str">
            <v>ASSEMBLY</v>
          </cell>
          <cell r="O2684" t="str">
            <v>B</v>
          </cell>
        </row>
        <row r="2685">
          <cell r="A2685">
            <v>22915</v>
          </cell>
          <cell r="B2685" t="str">
            <v>DEWI NILASARI PUTRI</v>
          </cell>
          <cell r="C2685" t="str">
            <v>SAMI</v>
          </cell>
          <cell r="D2685" t="str">
            <v>OPT-568</v>
          </cell>
          <cell r="E2685">
            <v>43343</v>
          </cell>
          <cell r="F2685">
            <v>43374</v>
          </cell>
          <cell r="G2685">
            <v>43738</v>
          </cell>
          <cell r="H2685" t="str">
            <v>PRD</v>
          </cell>
          <cell r="I2685" t="str">
            <v>PRD</v>
          </cell>
          <cell r="J2685" t="str">
            <v>HV TOYOTA</v>
          </cell>
          <cell r="K2685" t="str">
            <v>HV TOYOTA NIKEL</v>
          </cell>
          <cell r="L2685" t="str">
            <v>CV HV 07A</v>
          </cell>
          <cell r="M2685" t="str">
            <v>VISUAL 01</v>
          </cell>
          <cell r="N2685" t="str">
            <v>VISUAL INSPECTION</v>
          </cell>
          <cell r="O2685" t="str">
            <v>B</v>
          </cell>
        </row>
        <row r="2686">
          <cell r="A2686">
            <v>22982</v>
          </cell>
          <cell r="B2686" t="str">
            <v>TRI INDAH LESTARI</v>
          </cell>
          <cell r="C2686" t="str">
            <v>SAMI</v>
          </cell>
          <cell r="D2686" t="str">
            <v>OPT-568</v>
          </cell>
          <cell r="E2686">
            <v>43343</v>
          </cell>
          <cell r="F2686">
            <v>43374</v>
          </cell>
          <cell r="G2686">
            <v>43738</v>
          </cell>
          <cell r="H2686" t="str">
            <v>PRD</v>
          </cell>
          <cell r="I2686" t="str">
            <v>PRD</v>
          </cell>
          <cell r="J2686" t="str">
            <v>HV TOYOTA</v>
          </cell>
          <cell r="K2686" t="str">
            <v>HV TOYOTA NIKEL</v>
          </cell>
          <cell r="L2686" t="str">
            <v>CV HV 07A</v>
          </cell>
          <cell r="M2686" t="str">
            <v>ASM SP 02</v>
          </cell>
          <cell r="N2686" t="str">
            <v>ASSEMBLY</v>
          </cell>
          <cell r="O2686" t="str">
            <v>B</v>
          </cell>
        </row>
        <row r="2687">
          <cell r="A2687">
            <v>23286</v>
          </cell>
          <cell r="B2687" t="str">
            <v>YEKTI SUMARAH</v>
          </cell>
          <cell r="C2687" t="str">
            <v>SAMI</v>
          </cell>
          <cell r="D2687" t="str">
            <v>OPT-573</v>
          </cell>
          <cell r="E2687">
            <v>43421</v>
          </cell>
          <cell r="F2687">
            <v>43451</v>
          </cell>
          <cell r="G2687">
            <v>43830</v>
          </cell>
          <cell r="H2687" t="str">
            <v>PRD</v>
          </cell>
          <cell r="I2687" t="str">
            <v>PRD</v>
          </cell>
          <cell r="J2687" t="str">
            <v>HV TOYOTA</v>
          </cell>
          <cell r="K2687" t="str">
            <v>HV TOYOTA NIKEL</v>
          </cell>
          <cell r="L2687" t="str">
            <v>CV HV 07A</v>
          </cell>
          <cell r="M2687" t="str">
            <v>ASM CONTINUITY 02</v>
          </cell>
          <cell r="N2687" t="str">
            <v>ASSEMBLY</v>
          </cell>
          <cell r="O2687" t="str">
            <v>B</v>
          </cell>
        </row>
        <row r="2688">
          <cell r="A2688">
            <v>23287</v>
          </cell>
          <cell r="B2688" t="str">
            <v>YUNITA WIDI SUMEKAR</v>
          </cell>
          <cell r="C2688" t="str">
            <v>SAMI</v>
          </cell>
          <cell r="D2688" t="str">
            <v>OPT-573</v>
          </cell>
          <cell r="E2688">
            <v>43421</v>
          </cell>
          <cell r="F2688">
            <v>43451</v>
          </cell>
          <cell r="G2688">
            <v>43830</v>
          </cell>
          <cell r="H2688" t="str">
            <v>PRD</v>
          </cell>
          <cell r="I2688" t="str">
            <v>PRD</v>
          </cell>
          <cell r="J2688" t="str">
            <v>HV TOYOTA</v>
          </cell>
          <cell r="K2688" t="str">
            <v>HV TOYOTA NIKEL</v>
          </cell>
          <cell r="L2688" t="str">
            <v>CV HV 07A</v>
          </cell>
          <cell r="M2688" t="str">
            <v>VISUAL 01</v>
          </cell>
          <cell r="N2688" t="str">
            <v>VISUAL INSPECTION</v>
          </cell>
          <cell r="O2688" t="str">
            <v>B</v>
          </cell>
        </row>
        <row r="2689">
          <cell r="A2689">
            <v>23491</v>
          </cell>
          <cell r="B2689" t="str">
            <v>APRILIS FAUZIYAH</v>
          </cell>
          <cell r="C2689" t="str">
            <v>SAMI</v>
          </cell>
          <cell r="D2689" t="str">
            <v>OPT-576</v>
          </cell>
          <cell r="E2689">
            <v>43441</v>
          </cell>
          <cell r="F2689">
            <v>43472</v>
          </cell>
          <cell r="G2689">
            <v>43830</v>
          </cell>
          <cell r="H2689" t="str">
            <v>PRD</v>
          </cell>
          <cell r="I2689" t="str">
            <v>PRD</v>
          </cell>
          <cell r="J2689" t="str">
            <v>HV TOYOTA</v>
          </cell>
          <cell r="K2689" t="str">
            <v>HV TOYOTA NIKEL</v>
          </cell>
          <cell r="L2689" t="str">
            <v>CV HV 07A</v>
          </cell>
          <cell r="M2689" t="str">
            <v>INSERT SP</v>
          </cell>
          <cell r="N2689" t="str">
            <v>SUB ASSY</v>
          </cell>
          <cell r="O2689" t="str">
            <v>B</v>
          </cell>
        </row>
        <row r="2690">
          <cell r="A2690">
            <v>9302</v>
          </cell>
          <cell r="B2690" t="str">
            <v>MONALIZA</v>
          </cell>
          <cell r="C2690" t="str">
            <v>SAMI</v>
          </cell>
          <cell r="D2690" t="str">
            <v>OPT-216</v>
          </cell>
          <cell r="E2690">
            <v>40148</v>
          </cell>
          <cell r="F2690" t="str">
            <v>-</v>
          </cell>
          <cell r="G2690" t="str">
            <v>-</v>
          </cell>
          <cell r="H2690" t="str">
            <v>PRD</v>
          </cell>
          <cell r="I2690" t="str">
            <v>PRD</v>
          </cell>
          <cell r="J2690" t="str">
            <v>HV HONDA</v>
          </cell>
          <cell r="K2690" t="str">
            <v>HV HONDA 5JL SP</v>
          </cell>
          <cell r="L2690" t="str">
            <v>CV HV 08</v>
          </cell>
          <cell r="M2690" t="str">
            <v>ICM-H-01, STMAC-H-01, MC3-H-01, 02, 03</v>
          </cell>
          <cell r="N2690" t="str">
            <v>WFAP 2.1</v>
          </cell>
          <cell r="O2690" t="str">
            <v>A (NS)</v>
          </cell>
        </row>
        <row r="2691">
          <cell r="A2691">
            <v>20862</v>
          </cell>
          <cell r="B2691" t="str">
            <v>FENI WULANDARI</v>
          </cell>
          <cell r="C2691" t="str">
            <v>SAMI</v>
          </cell>
          <cell r="D2691" t="str">
            <v>OPT-510</v>
          </cell>
          <cell r="E2691">
            <v>42660</v>
          </cell>
          <cell r="F2691">
            <v>43160</v>
          </cell>
          <cell r="G2691">
            <v>43524</v>
          </cell>
          <cell r="H2691" t="str">
            <v>PRD</v>
          </cell>
          <cell r="I2691" t="str">
            <v>PRD</v>
          </cell>
          <cell r="J2691" t="str">
            <v>HV HONDA</v>
          </cell>
          <cell r="K2691" t="str">
            <v>HV HONDA 5JL SP</v>
          </cell>
          <cell r="L2691" t="str">
            <v>CV HV 08</v>
          </cell>
          <cell r="M2691" t="str">
            <v>ASM 2WD-01</v>
          </cell>
          <cell r="N2691" t="str">
            <v>ASSEMBLY</v>
          </cell>
          <cell r="O2691" t="str">
            <v>A (NS)</v>
          </cell>
        </row>
        <row r="2692">
          <cell r="A2692">
            <v>23065</v>
          </cell>
          <cell r="B2692" t="str">
            <v>RINTI SANTIA NINGSIH</v>
          </cell>
          <cell r="C2692" t="str">
            <v>SAMI</v>
          </cell>
          <cell r="D2692" t="str">
            <v>OPT-569</v>
          </cell>
          <cell r="E2692">
            <v>43361</v>
          </cell>
          <cell r="F2692">
            <v>43391</v>
          </cell>
          <cell r="G2692">
            <v>43769</v>
          </cell>
          <cell r="H2692" t="str">
            <v>PRD</v>
          </cell>
          <cell r="I2692" t="str">
            <v>PRD</v>
          </cell>
          <cell r="J2692" t="str">
            <v>HV HONDA</v>
          </cell>
          <cell r="K2692" t="str">
            <v>HV HONDA 5JL SP</v>
          </cell>
          <cell r="L2692" t="str">
            <v>CV HV 08</v>
          </cell>
          <cell r="M2692" t="str">
            <v>ASM 2WD-01,4WD</v>
          </cell>
          <cell r="N2692" t="str">
            <v>ASSEMBLY</v>
          </cell>
          <cell r="O2692" t="str">
            <v>A (NS)</v>
          </cell>
        </row>
        <row r="2693">
          <cell r="A2693">
            <v>23395</v>
          </cell>
          <cell r="B2693" t="str">
            <v>ZAROTUN AZIZAH</v>
          </cell>
          <cell r="C2693" t="str">
            <v>SAMI</v>
          </cell>
          <cell r="D2693" t="str">
            <v>OPT-575</v>
          </cell>
          <cell r="E2693">
            <v>43434</v>
          </cell>
          <cell r="F2693">
            <v>43464</v>
          </cell>
          <cell r="G2693">
            <v>43830</v>
          </cell>
          <cell r="H2693" t="str">
            <v>PRD</v>
          </cell>
          <cell r="I2693" t="str">
            <v>PRD</v>
          </cell>
          <cell r="J2693" t="str">
            <v>HV HONDA</v>
          </cell>
          <cell r="K2693" t="str">
            <v>HV HONDA 5JL SP</v>
          </cell>
          <cell r="L2693" t="str">
            <v>CV HV 08</v>
          </cell>
          <cell r="M2693" t="str">
            <v>INTERMEDIATE,DRY</v>
          </cell>
          <cell r="N2693" t="str">
            <v>WFAP 2.1</v>
          </cell>
          <cell r="O2693" t="str">
            <v>A (NS)</v>
          </cell>
        </row>
        <row r="2694">
          <cell r="A2694">
            <v>5791</v>
          </cell>
          <cell r="B2694" t="str">
            <v>NUR WAHID</v>
          </cell>
          <cell r="C2694" t="str">
            <v>SAMI</v>
          </cell>
          <cell r="D2694" t="str">
            <v>OPT-135</v>
          </cell>
          <cell r="E2694">
            <v>39114</v>
          </cell>
          <cell r="F2694" t="str">
            <v>-</v>
          </cell>
          <cell r="G2694" t="str">
            <v>-</v>
          </cell>
          <cell r="H2694" t="str">
            <v>PRD</v>
          </cell>
          <cell r="I2694" t="str">
            <v>PRD</v>
          </cell>
          <cell r="J2694" t="str">
            <v>HV TOYOTA</v>
          </cell>
          <cell r="K2694" t="str">
            <v>HV TOYOTA UNDERFLOOR</v>
          </cell>
          <cell r="L2694" t="str">
            <v>CV HV 09</v>
          </cell>
          <cell r="M2694" t="str">
            <v>HELPER</v>
          </cell>
          <cell r="N2694" t="str">
            <v>P/A CONTROLLER</v>
          </cell>
          <cell r="O2694" t="str">
            <v>A</v>
          </cell>
        </row>
        <row r="2695">
          <cell r="A2695">
            <v>10575</v>
          </cell>
          <cell r="B2695" t="str">
            <v>UMI CHOLIFAH</v>
          </cell>
          <cell r="C2695" t="str">
            <v>SAMI</v>
          </cell>
          <cell r="D2695" t="str">
            <v>OPT-275</v>
          </cell>
          <cell r="E2695">
            <v>40542</v>
          </cell>
          <cell r="F2695" t="str">
            <v>-</v>
          </cell>
          <cell r="G2695" t="str">
            <v>-</v>
          </cell>
          <cell r="H2695" t="str">
            <v>PRD</v>
          </cell>
          <cell r="I2695" t="str">
            <v>PRD</v>
          </cell>
          <cell r="J2695" t="str">
            <v>HV TOYOTA</v>
          </cell>
          <cell r="K2695" t="str">
            <v>HV TOYOTA UNDERFLOOR</v>
          </cell>
          <cell r="L2695" t="str">
            <v>CV HV 09</v>
          </cell>
          <cell r="M2695" t="str">
            <v>VISUAL 2</v>
          </cell>
          <cell r="N2695" t="str">
            <v>VISUAL INSPECTION</v>
          </cell>
          <cell r="O2695" t="str">
            <v>A</v>
          </cell>
        </row>
        <row r="2696">
          <cell r="A2696">
            <v>11268</v>
          </cell>
          <cell r="B2696" t="str">
            <v>NOVI KARTIKA SETYANINGRUM</v>
          </cell>
          <cell r="C2696" t="str">
            <v>SAMI</v>
          </cell>
          <cell r="D2696" t="str">
            <v>OPT-294</v>
          </cell>
          <cell r="E2696">
            <v>40617</v>
          </cell>
          <cell r="F2696" t="str">
            <v>-</v>
          </cell>
          <cell r="G2696" t="str">
            <v>-</v>
          </cell>
          <cell r="H2696" t="str">
            <v>PRD</v>
          </cell>
          <cell r="I2696" t="str">
            <v>PRD</v>
          </cell>
          <cell r="J2696" t="str">
            <v>HV TOYOTA</v>
          </cell>
          <cell r="K2696" t="str">
            <v>HV TOYOTA UNDERFLOOR</v>
          </cell>
          <cell r="L2696" t="str">
            <v>CV HV 09</v>
          </cell>
          <cell r="M2696" t="str">
            <v>CHECKER 4</v>
          </cell>
          <cell r="N2696" t="str">
            <v>ELECTRICAL INSPECTION</v>
          </cell>
          <cell r="O2696" t="str">
            <v>A</v>
          </cell>
        </row>
        <row r="2697">
          <cell r="A2697">
            <v>12204</v>
          </cell>
          <cell r="B2697" t="str">
            <v>RIF'ATUL LAILI HIDAYATI</v>
          </cell>
          <cell r="C2697" t="str">
            <v>SAMI</v>
          </cell>
          <cell r="D2697" t="str">
            <v>OPT-315</v>
          </cell>
          <cell r="E2697">
            <v>40802</v>
          </cell>
          <cell r="F2697" t="str">
            <v>-</v>
          </cell>
          <cell r="G2697" t="str">
            <v>-</v>
          </cell>
          <cell r="H2697" t="str">
            <v>PRD</v>
          </cell>
          <cell r="I2697" t="str">
            <v>PRD</v>
          </cell>
          <cell r="J2697" t="str">
            <v>HV TOYOTA</v>
          </cell>
          <cell r="K2697" t="str">
            <v>HV TOYOTA UNDERFLOOR</v>
          </cell>
          <cell r="L2697" t="str">
            <v>CV HV 09</v>
          </cell>
          <cell r="M2697" t="str">
            <v>SUB LINE CHO</v>
          </cell>
          <cell r="N2697" t="str">
            <v>GL</v>
          </cell>
          <cell r="O2697" t="str">
            <v>A</v>
          </cell>
        </row>
        <row r="2698">
          <cell r="A2698">
            <v>20893</v>
          </cell>
          <cell r="B2698" t="str">
            <v>RYAN PEBYANSYAH</v>
          </cell>
          <cell r="C2698" t="str">
            <v>SAMI</v>
          </cell>
          <cell r="D2698" t="str">
            <v>OPT-510</v>
          </cell>
          <cell r="E2698">
            <v>42660</v>
          </cell>
          <cell r="F2698">
            <v>43160</v>
          </cell>
          <cell r="G2698">
            <v>43524</v>
          </cell>
          <cell r="H2698" t="str">
            <v>PRD</v>
          </cell>
          <cell r="I2698" t="str">
            <v>PRD</v>
          </cell>
          <cell r="J2698" t="str">
            <v>HV TOYOTA</v>
          </cell>
          <cell r="K2698" t="str">
            <v>HV TOYOTA UNDERFLOOR</v>
          </cell>
          <cell r="L2698" t="str">
            <v>CV HV 09</v>
          </cell>
          <cell r="M2698" t="str">
            <v>LA 20</v>
          </cell>
          <cell r="N2698" t="str">
            <v>WFAP 2.2</v>
          </cell>
          <cell r="O2698" t="str">
            <v>A</v>
          </cell>
        </row>
        <row r="2699">
          <cell r="A2699">
            <v>21658</v>
          </cell>
          <cell r="B2699" t="str">
            <v>INSANI ISTIFARI PUTRI</v>
          </cell>
          <cell r="C2699" t="str">
            <v>SAMI</v>
          </cell>
          <cell r="D2699" t="str">
            <v>OPT-537</v>
          </cell>
          <cell r="E2699">
            <v>43055</v>
          </cell>
          <cell r="F2699">
            <v>43466</v>
          </cell>
          <cell r="G2699">
            <v>43830</v>
          </cell>
          <cell r="H2699" t="str">
            <v>PRD</v>
          </cell>
          <cell r="I2699" t="str">
            <v>PRD</v>
          </cell>
          <cell r="J2699" t="str">
            <v>HV TOYOTA</v>
          </cell>
          <cell r="K2699" t="str">
            <v>HV TOYOTA UNDERFLOOR</v>
          </cell>
          <cell r="L2699" t="str">
            <v>CV HV 09</v>
          </cell>
          <cell r="M2699" t="str">
            <v>MC3, ST MAC,WEBO</v>
          </cell>
          <cell r="N2699" t="str">
            <v>WFAP 2.1</v>
          </cell>
          <cell r="O2699" t="str">
            <v>A</v>
          </cell>
        </row>
        <row r="2700">
          <cell r="A2700">
            <v>21806</v>
          </cell>
          <cell r="B2700" t="str">
            <v>VANIA NAZILA</v>
          </cell>
          <cell r="C2700" t="str">
            <v>SAMI</v>
          </cell>
          <cell r="D2700" t="str">
            <v>OPT-540</v>
          </cell>
          <cell r="E2700">
            <v>43090</v>
          </cell>
          <cell r="F2700">
            <v>43121</v>
          </cell>
          <cell r="G2700">
            <v>43496</v>
          </cell>
          <cell r="H2700" t="str">
            <v>PRD</v>
          </cell>
          <cell r="I2700" t="str">
            <v>PRD</v>
          </cell>
          <cell r="J2700" t="str">
            <v>HV TOYOTA</v>
          </cell>
          <cell r="K2700" t="str">
            <v>HV TOYOTA UNDERFLOOR</v>
          </cell>
          <cell r="L2700" t="str">
            <v>CV HV 09</v>
          </cell>
          <cell r="M2700" t="str">
            <v>VISUAL 01</v>
          </cell>
          <cell r="N2700" t="str">
            <v>VISUAL INSPECTION</v>
          </cell>
          <cell r="O2700" t="str">
            <v>A</v>
          </cell>
        </row>
        <row r="2701">
          <cell r="A2701">
            <v>21812</v>
          </cell>
          <cell r="B2701" t="str">
            <v>AGUS SETIYONO</v>
          </cell>
          <cell r="C2701" t="str">
            <v>SAMI</v>
          </cell>
          <cell r="D2701" t="str">
            <v>OPT-541</v>
          </cell>
          <cell r="E2701">
            <v>43098</v>
          </cell>
          <cell r="F2701">
            <v>43129</v>
          </cell>
          <cell r="G2701">
            <v>43496</v>
          </cell>
          <cell r="H2701" t="str">
            <v>PRD</v>
          </cell>
          <cell r="I2701" t="str">
            <v>PRD</v>
          </cell>
          <cell r="J2701" t="str">
            <v>HV TOYOTA</v>
          </cell>
          <cell r="K2701" t="str">
            <v>HV TOYOTA UNDERFLOOR</v>
          </cell>
          <cell r="L2701" t="str">
            <v>CV HV 09</v>
          </cell>
          <cell r="M2701" t="str">
            <v>BLT 01</v>
          </cell>
          <cell r="N2701" t="str">
            <v>ASSEMBLY</v>
          </cell>
          <cell r="O2701" t="str">
            <v>A</v>
          </cell>
        </row>
        <row r="2702">
          <cell r="A2702">
            <v>22259</v>
          </cell>
          <cell r="B2702" t="str">
            <v>VIVI EDYNANSYAH</v>
          </cell>
          <cell r="C2702" t="str">
            <v>SAMI</v>
          </cell>
          <cell r="D2702" t="str">
            <v>OPT-552</v>
          </cell>
          <cell r="E2702">
            <v>43171</v>
          </cell>
          <cell r="F2702">
            <v>43202</v>
          </cell>
          <cell r="G2702">
            <v>43555</v>
          </cell>
          <cell r="H2702" t="str">
            <v>PRD</v>
          </cell>
          <cell r="I2702" t="str">
            <v>PRD</v>
          </cell>
          <cell r="J2702" t="str">
            <v>HV TOYOTA</v>
          </cell>
          <cell r="K2702" t="str">
            <v>HV TOYOTA UNDERFLOOR</v>
          </cell>
          <cell r="L2702" t="str">
            <v>CV HV 09</v>
          </cell>
          <cell r="M2702" t="str">
            <v>ASM 03</v>
          </cell>
          <cell r="N2702" t="str">
            <v>ASSEMBLY</v>
          </cell>
          <cell r="O2702" t="str">
            <v>A</v>
          </cell>
        </row>
        <row r="2703">
          <cell r="A2703">
            <v>22614</v>
          </cell>
          <cell r="B2703" t="str">
            <v>MITARTI</v>
          </cell>
          <cell r="C2703" t="str">
            <v>SAMI</v>
          </cell>
          <cell r="D2703" t="str">
            <v>OPT-561</v>
          </cell>
          <cell r="E2703">
            <v>43236</v>
          </cell>
          <cell r="F2703">
            <v>43267</v>
          </cell>
          <cell r="G2703">
            <v>43646</v>
          </cell>
          <cell r="H2703" t="str">
            <v>PRD</v>
          </cell>
          <cell r="I2703" t="str">
            <v>PRD</v>
          </cell>
          <cell r="J2703" t="str">
            <v>HV TOYOTA</v>
          </cell>
          <cell r="K2703" t="str">
            <v>HV TOYOTA UNDERFLOOR</v>
          </cell>
          <cell r="L2703" t="str">
            <v>CV HV 09</v>
          </cell>
          <cell r="M2703" t="str">
            <v>ASM 01</v>
          </cell>
          <cell r="N2703" t="str">
            <v>ASSEMBLY</v>
          </cell>
          <cell r="O2703" t="str">
            <v>A</v>
          </cell>
        </row>
        <row r="2704">
          <cell r="A2704">
            <v>22627</v>
          </cell>
          <cell r="B2704" t="str">
            <v>RISA APRIYANI</v>
          </cell>
          <cell r="C2704" t="str">
            <v>SAMI</v>
          </cell>
          <cell r="D2704" t="str">
            <v>OPT-561</v>
          </cell>
          <cell r="E2704">
            <v>43236</v>
          </cell>
          <cell r="F2704">
            <v>43267</v>
          </cell>
          <cell r="G2704">
            <v>43646</v>
          </cell>
          <cell r="H2704" t="str">
            <v>PRD</v>
          </cell>
          <cell r="I2704" t="str">
            <v>PRD</v>
          </cell>
          <cell r="J2704" t="str">
            <v>HV TOYOTA</v>
          </cell>
          <cell r="K2704" t="str">
            <v>HV TOYOTA UNDERFLOOR</v>
          </cell>
          <cell r="L2704" t="str">
            <v>CV HV 09</v>
          </cell>
          <cell r="M2704" t="str">
            <v>WEBO</v>
          </cell>
          <cell r="N2704" t="str">
            <v>WFAP 2.2</v>
          </cell>
          <cell r="O2704" t="str">
            <v>A</v>
          </cell>
        </row>
        <row r="2705">
          <cell r="A2705">
            <v>22629</v>
          </cell>
          <cell r="B2705" t="str">
            <v>SITI NURAENI</v>
          </cell>
          <cell r="C2705" t="str">
            <v>SAMI</v>
          </cell>
          <cell r="D2705" t="str">
            <v>OPT-561</v>
          </cell>
          <cell r="E2705">
            <v>43236</v>
          </cell>
          <cell r="F2705">
            <v>43267</v>
          </cell>
          <cell r="G2705">
            <v>43646</v>
          </cell>
          <cell r="H2705" t="str">
            <v>PRD</v>
          </cell>
          <cell r="I2705" t="str">
            <v>PRD</v>
          </cell>
          <cell r="J2705" t="str">
            <v>HV TOYOTA</v>
          </cell>
          <cell r="K2705" t="str">
            <v>HV TOYOTA UNDERFLOOR</v>
          </cell>
          <cell r="L2705" t="str">
            <v>CV HV 09</v>
          </cell>
          <cell r="M2705" t="str">
            <v>CHECKER 3</v>
          </cell>
          <cell r="N2705" t="str">
            <v>ELECTRICAL INSPECTION</v>
          </cell>
          <cell r="O2705" t="str">
            <v>A</v>
          </cell>
        </row>
        <row r="2706">
          <cell r="A2706">
            <v>22902</v>
          </cell>
          <cell r="B2706" t="str">
            <v>WIDYA SOLEKHATI</v>
          </cell>
          <cell r="C2706" t="str">
            <v>SAMI</v>
          </cell>
          <cell r="D2706" t="str">
            <v>OPT-567</v>
          </cell>
          <cell r="E2706">
            <v>43333</v>
          </cell>
          <cell r="F2706">
            <v>43364</v>
          </cell>
          <cell r="G2706">
            <v>43738</v>
          </cell>
          <cell r="H2706" t="str">
            <v>PRD</v>
          </cell>
          <cell r="I2706" t="str">
            <v>PRD</v>
          </cell>
          <cell r="J2706" t="str">
            <v>HV TOYOTA</v>
          </cell>
          <cell r="K2706" t="str">
            <v>HV TOYOTA UNDERFLOOR</v>
          </cell>
          <cell r="L2706" t="str">
            <v>CV HV 09</v>
          </cell>
          <cell r="M2706" t="str">
            <v>CHECKER 1</v>
          </cell>
          <cell r="N2706" t="str">
            <v>ELECTRICAL INSPECTION</v>
          </cell>
          <cell r="O2706" t="str">
            <v>A</v>
          </cell>
        </row>
        <row r="2707">
          <cell r="A2707">
            <v>22932</v>
          </cell>
          <cell r="B2707" t="str">
            <v>FIKA NI'AM</v>
          </cell>
          <cell r="C2707" t="str">
            <v>SAMI</v>
          </cell>
          <cell r="D2707" t="str">
            <v>OPT-568</v>
          </cell>
          <cell r="E2707">
            <v>43343</v>
          </cell>
          <cell r="F2707">
            <v>43374</v>
          </cell>
          <cell r="G2707">
            <v>43738</v>
          </cell>
          <cell r="H2707" t="str">
            <v>PRD</v>
          </cell>
          <cell r="I2707" t="str">
            <v>PRD</v>
          </cell>
          <cell r="J2707" t="str">
            <v>HV TOYOTA</v>
          </cell>
          <cell r="K2707" t="str">
            <v>HV TOYOTA UNDERFLOOR</v>
          </cell>
          <cell r="L2707" t="str">
            <v>CV HV 09</v>
          </cell>
          <cell r="M2707" t="str">
            <v>HD 150, PW 30</v>
          </cell>
          <cell r="N2707" t="str">
            <v>WFAP 2.1</v>
          </cell>
          <cell r="O2707" t="str">
            <v>A</v>
          </cell>
        </row>
        <row r="2708">
          <cell r="A2708">
            <v>22966</v>
          </cell>
          <cell r="B2708" t="str">
            <v>NURUL AINI</v>
          </cell>
          <cell r="C2708" t="str">
            <v>SAMI</v>
          </cell>
          <cell r="D2708" t="str">
            <v>OPT-568</v>
          </cell>
          <cell r="E2708">
            <v>43343</v>
          </cell>
          <cell r="F2708">
            <v>43374</v>
          </cell>
          <cell r="G2708">
            <v>43738</v>
          </cell>
          <cell r="H2708" t="str">
            <v>PRD</v>
          </cell>
          <cell r="I2708" t="str">
            <v>PRD</v>
          </cell>
          <cell r="J2708" t="str">
            <v>HV TOYOTA</v>
          </cell>
          <cell r="K2708" t="str">
            <v>HV TOYOTA UNDERFLOOR</v>
          </cell>
          <cell r="L2708" t="str">
            <v>CV HV 09</v>
          </cell>
          <cell r="M2708" t="str">
            <v>CHECKER 2</v>
          </cell>
          <cell r="N2708" t="str">
            <v>ELECTRICAL INSPECTION</v>
          </cell>
          <cell r="O2708" t="str">
            <v>A</v>
          </cell>
        </row>
        <row r="2709">
          <cell r="A2709">
            <v>22968</v>
          </cell>
          <cell r="B2709" t="str">
            <v>PIPIT PUSPITA SARI</v>
          </cell>
          <cell r="C2709" t="str">
            <v>SAMI</v>
          </cell>
          <cell r="D2709" t="str">
            <v>OPT-568</v>
          </cell>
          <cell r="E2709">
            <v>43343</v>
          </cell>
          <cell r="F2709">
            <v>43374</v>
          </cell>
          <cell r="G2709">
            <v>43738</v>
          </cell>
          <cell r="H2709" t="str">
            <v>PRD</v>
          </cell>
          <cell r="I2709" t="str">
            <v>PRD</v>
          </cell>
          <cell r="J2709" t="str">
            <v>HV TOYOTA</v>
          </cell>
          <cell r="K2709" t="str">
            <v>HV TOYOTA UNDERFLOOR</v>
          </cell>
          <cell r="L2709" t="str">
            <v>CV HV 09</v>
          </cell>
          <cell r="M2709" t="str">
            <v>ASM 02</v>
          </cell>
          <cell r="N2709" t="str">
            <v>ASSEMBLY</v>
          </cell>
          <cell r="O2709" t="str">
            <v>A</v>
          </cell>
        </row>
        <row r="2710">
          <cell r="A2710">
            <v>22981</v>
          </cell>
          <cell r="B2710" t="str">
            <v>SOFIANAH</v>
          </cell>
          <cell r="C2710" t="str">
            <v>SAMI</v>
          </cell>
          <cell r="D2710" t="str">
            <v>OPT-568</v>
          </cell>
          <cell r="E2710">
            <v>43343</v>
          </cell>
          <cell r="F2710">
            <v>43374</v>
          </cell>
          <cell r="G2710">
            <v>43738</v>
          </cell>
          <cell r="H2710" t="str">
            <v>PRD</v>
          </cell>
          <cell r="I2710" t="str">
            <v>PRD</v>
          </cell>
          <cell r="J2710" t="str">
            <v>HV TOYOTA</v>
          </cell>
          <cell r="K2710" t="str">
            <v>HV TOYOTA UNDERFLOOR</v>
          </cell>
          <cell r="L2710" t="str">
            <v>CV HV 09</v>
          </cell>
          <cell r="M2710" t="str">
            <v xml:space="preserve">S/A 01 </v>
          </cell>
          <cell r="N2710" t="str">
            <v>SUB ASSY</v>
          </cell>
          <cell r="O2710" t="str">
            <v>A</v>
          </cell>
        </row>
        <row r="2711">
          <cell r="A2711">
            <v>23412</v>
          </cell>
          <cell r="B2711" t="str">
            <v>FARIDATUL WASIMAH</v>
          </cell>
          <cell r="C2711" t="str">
            <v>SAMI</v>
          </cell>
          <cell r="D2711" t="str">
            <v>OPT-575</v>
          </cell>
          <cell r="E2711">
            <v>43434</v>
          </cell>
          <cell r="F2711">
            <v>43464</v>
          </cell>
          <cell r="G2711">
            <v>43830</v>
          </cell>
          <cell r="H2711" t="str">
            <v>PRD</v>
          </cell>
          <cell r="I2711" t="str">
            <v>PRD</v>
          </cell>
          <cell r="J2711" t="str">
            <v>HV TOYOTA</v>
          </cell>
          <cell r="K2711" t="str">
            <v>HV TOYOTA UNDERFLOOR</v>
          </cell>
          <cell r="L2711" t="str">
            <v>CV HV 09</v>
          </cell>
          <cell r="M2711" t="str">
            <v>HV TESTER</v>
          </cell>
          <cell r="N2711" t="str">
            <v>ASSEMBLY</v>
          </cell>
          <cell r="O2711" t="str">
            <v>A</v>
          </cell>
        </row>
        <row r="2712">
          <cell r="A2712">
            <v>23421</v>
          </cell>
          <cell r="B2712" t="str">
            <v>ISTI UMAEROH</v>
          </cell>
          <cell r="C2712" t="str">
            <v>SAMI</v>
          </cell>
          <cell r="D2712" t="str">
            <v>OPT-575</v>
          </cell>
          <cell r="E2712">
            <v>43434</v>
          </cell>
          <cell r="F2712">
            <v>43464</v>
          </cell>
          <cell r="G2712">
            <v>43830</v>
          </cell>
          <cell r="H2712" t="str">
            <v>PRD</v>
          </cell>
          <cell r="I2712" t="str">
            <v>PRD</v>
          </cell>
          <cell r="J2712" t="str">
            <v>HV TOYOTA</v>
          </cell>
          <cell r="K2712" t="str">
            <v>HV TOYOTA UNDERFLOOR</v>
          </cell>
          <cell r="L2712" t="str">
            <v>CV HV 09</v>
          </cell>
          <cell r="M2712" t="str">
            <v>ASM 4</v>
          </cell>
          <cell r="N2712" t="str">
            <v>ASSEMBLY</v>
          </cell>
          <cell r="O2712" t="str">
            <v>A</v>
          </cell>
        </row>
        <row r="2713">
          <cell r="A2713" t="str">
            <v>B02217</v>
          </cell>
          <cell r="B2713" t="str">
            <v>MUHAMMAD MUZAENI</v>
          </cell>
          <cell r="C2713" t="str">
            <v>SAMI</v>
          </cell>
          <cell r="D2713" t="str">
            <v>BBF-092</v>
          </cell>
          <cell r="E2713">
            <v>41710</v>
          </cell>
          <cell r="F2713" t="str">
            <v>-</v>
          </cell>
          <cell r="G2713" t="str">
            <v>-</v>
          </cell>
          <cell r="H2713" t="str">
            <v>PRD</v>
          </cell>
          <cell r="I2713" t="str">
            <v>PRD</v>
          </cell>
          <cell r="J2713" t="str">
            <v>HV TOYOTA</v>
          </cell>
          <cell r="K2713" t="str">
            <v>HV TOYOTA UNDERFLOOR</v>
          </cell>
          <cell r="L2713" t="str">
            <v>CV HV 09</v>
          </cell>
          <cell r="M2713" t="str">
            <v>LQC</v>
          </cell>
          <cell r="N2713" t="str">
            <v>RELIEF</v>
          </cell>
          <cell r="O2713" t="str">
            <v>A</v>
          </cell>
        </row>
        <row r="2714">
          <cell r="A2714">
            <v>9954</v>
          </cell>
          <cell r="B2714" t="str">
            <v>PUJI LESTARI</v>
          </cell>
          <cell r="C2714" t="str">
            <v>SAMI</v>
          </cell>
          <cell r="D2714" t="str">
            <v>OPT-246</v>
          </cell>
          <cell r="E2714">
            <v>40431</v>
          </cell>
          <cell r="F2714" t="str">
            <v>-</v>
          </cell>
          <cell r="G2714" t="str">
            <v>-</v>
          </cell>
          <cell r="H2714" t="str">
            <v>PRD</v>
          </cell>
          <cell r="I2714" t="str">
            <v>PRD</v>
          </cell>
          <cell r="J2714" t="str">
            <v>HV TOYOTA</v>
          </cell>
          <cell r="K2714" t="str">
            <v>HV TOYOTA UNDERFLOOR</v>
          </cell>
          <cell r="L2714" t="str">
            <v>CV HV 09</v>
          </cell>
          <cell r="M2714" t="str">
            <v>SUB LINE CHO</v>
          </cell>
          <cell r="N2714" t="str">
            <v>GL</v>
          </cell>
          <cell r="O2714" t="str">
            <v>B</v>
          </cell>
        </row>
        <row r="2715">
          <cell r="A2715">
            <v>10632</v>
          </cell>
          <cell r="B2715" t="str">
            <v>MUHAMMAD SHOLEH</v>
          </cell>
          <cell r="C2715" t="str">
            <v>SAMI</v>
          </cell>
          <cell r="D2715" t="str">
            <v>OPT-278</v>
          </cell>
          <cell r="E2715">
            <v>40549</v>
          </cell>
          <cell r="F2715" t="str">
            <v>-</v>
          </cell>
          <cell r="G2715" t="str">
            <v>-</v>
          </cell>
          <cell r="H2715" t="str">
            <v>PRD</v>
          </cell>
          <cell r="I2715" t="str">
            <v>PRD</v>
          </cell>
          <cell r="J2715" t="str">
            <v>HV TOYOTA</v>
          </cell>
          <cell r="K2715" t="str">
            <v>HV TOYOTA UNDERFLOOR</v>
          </cell>
          <cell r="L2715" t="str">
            <v>CV HV 09</v>
          </cell>
          <cell r="M2715" t="str">
            <v>LQC</v>
          </cell>
          <cell r="N2715" t="str">
            <v>RELIEF</v>
          </cell>
          <cell r="O2715" t="str">
            <v>B</v>
          </cell>
        </row>
        <row r="2716">
          <cell r="A2716">
            <v>12185</v>
          </cell>
          <cell r="B2716" t="str">
            <v>KHOERINA</v>
          </cell>
          <cell r="C2716" t="str">
            <v>SAMI</v>
          </cell>
          <cell r="D2716" t="str">
            <v>OPT-315</v>
          </cell>
          <cell r="E2716">
            <v>40802</v>
          </cell>
          <cell r="F2716" t="str">
            <v>-</v>
          </cell>
          <cell r="G2716" t="str">
            <v>-</v>
          </cell>
          <cell r="H2716" t="str">
            <v>PRD</v>
          </cell>
          <cell r="I2716" t="str">
            <v>PRD</v>
          </cell>
          <cell r="J2716" t="str">
            <v>HV TOYOTA</v>
          </cell>
          <cell r="K2716" t="str">
            <v>HV TOYOTA UNDERFLOOR</v>
          </cell>
          <cell r="L2716" t="str">
            <v>CV HV 09</v>
          </cell>
          <cell r="M2716" t="str">
            <v>PW30, WEBO, HD 150</v>
          </cell>
          <cell r="N2716" t="str">
            <v>WFAP 2.2</v>
          </cell>
          <cell r="O2716" t="str">
            <v>B</v>
          </cell>
        </row>
        <row r="2717">
          <cell r="A2717">
            <v>20522</v>
          </cell>
          <cell r="B2717" t="str">
            <v>NURYATUN</v>
          </cell>
          <cell r="C2717" t="str">
            <v>SAMI</v>
          </cell>
          <cell r="D2717" t="str">
            <v>OPT-504</v>
          </cell>
          <cell r="E2717">
            <v>42634</v>
          </cell>
          <cell r="F2717">
            <v>43132</v>
          </cell>
          <cell r="G2717">
            <v>43496</v>
          </cell>
          <cell r="H2717" t="str">
            <v>PRD</v>
          </cell>
          <cell r="I2717" t="str">
            <v>PRD</v>
          </cell>
          <cell r="J2717" t="str">
            <v>HV TOYOTA</v>
          </cell>
          <cell r="K2717" t="str">
            <v>HV TOYOTA UNDERFLOOR</v>
          </cell>
          <cell r="L2717" t="str">
            <v>CV HV 09</v>
          </cell>
          <cell r="M2717" t="str">
            <v>ASM 4</v>
          </cell>
          <cell r="N2717" t="str">
            <v>ASSEMBLY</v>
          </cell>
          <cell r="O2717" t="str">
            <v>B</v>
          </cell>
        </row>
        <row r="2718">
          <cell r="A2718">
            <v>20613</v>
          </cell>
          <cell r="B2718" t="str">
            <v xml:space="preserve">MEILISTIA SARI </v>
          </cell>
          <cell r="C2718" t="str">
            <v>SAMI</v>
          </cell>
          <cell r="D2718" t="str">
            <v>OPT-505</v>
          </cell>
          <cell r="E2718">
            <v>42639</v>
          </cell>
          <cell r="F2718">
            <v>43132</v>
          </cell>
          <cell r="G2718">
            <v>43496</v>
          </cell>
          <cell r="H2718" t="str">
            <v>PRD</v>
          </cell>
          <cell r="I2718" t="str">
            <v>PRD</v>
          </cell>
          <cell r="J2718" t="str">
            <v>HV TOYOTA</v>
          </cell>
          <cell r="K2718" t="str">
            <v>HV TOYOTA UNDERFLOOR</v>
          </cell>
          <cell r="L2718" t="str">
            <v>CV HV 09</v>
          </cell>
          <cell r="M2718" t="str">
            <v>CHECKER 2</v>
          </cell>
          <cell r="N2718" t="str">
            <v>ELECTRICAL INSPECTION</v>
          </cell>
          <cell r="O2718" t="str">
            <v>B</v>
          </cell>
        </row>
        <row r="2719">
          <cell r="A2719">
            <v>21205</v>
          </cell>
          <cell r="B2719" t="str">
            <v>AHMADUN DWI RAHARJO</v>
          </cell>
          <cell r="C2719" t="str">
            <v>SAMI</v>
          </cell>
          <cell r="D2719" t="str">
            <v>OPT-523</v>
          </cell>
          <cell r="E2719">
            <v>42877</v>
          </cell>
          <cell r="F2719">
            <v>43374</v>
          </cell>
          <cell r="G2719">
            <v>43738</v>
          </cell>
          <cell r="H2719" t="str">
            <v>PRD</v>
          </cell>
          <cell r="I2719" t="str">
            <v>PRD</v>
          </cell>
          <cell r="J2719" t="str">
            <v>HV TOYOTA</v>
          </cell>
          <cell r="K2719" t="str">
            <v>HV TOYOTA UNDERFLOOR</v>
          </cell>
          <cell r="L2719" t="str">
            <v>CV HV 09</v>
          </cell>
          <cell r="M2719" t="str">
            <v>LA 20, GROMET, PW 30</v>
          </cell>
          <cell r="N2719" t="str">
            <v>WFAP 2.2</v>
          </cell>
          <cell r="O2719" t="str">
            <v>B</v>
          </cell>
        </row>
        <row r="2720">
          <cell r="A2720">
            <v>21494</v>
          </cell>
          <cell r="B2720" t="str">
            <v>SITI AMINAH</v>
          </cell>
          <cell r="C2720" t="str">
            <v>SAMI</v>
          </cell>
          <cell r="D2720" t="str">
            <v>OPT-534</v>
          </cell>
          <cell r="E2720">
            <v>43031</v>
          </cell>
          <cell r="F2720">
            <v>43435</v>
          </cell>
          <cell r="G2720">
            <v>43799</v>
          </cell>
          <cell r="H2720" t="str">
            <v>PRD</v>
          </cell>
          <cell r="I2720" t="str">
            <v>PRD</v>
          </cell>
          <cell r="J2720" t="str">
            <v>HV TOYOTA</v>
          </cell>
          <cell r="K2720" t="str">
            <v>HV TOYOTA UNDERFLOOR</v>
          </cell>
          <cell r="L2720" t="str">
            <v>CV HV 09</v>
          </cell>
          <cell r="M2720" t="str">
            <v>ASM 02</v>
          </cell>
          <cell r="N2720" t="str">
            <v>ASSEMBLY</v>
          </cell>
          <cell r="O2720" t="str">
            <v>B</v>
          </cell>
        </row>
        <row r="2721">
          <cell r="A2721">
            <v>21543</v>
          </cell>
          <cell r="B2721" t="str">
            <v>NOVA DWI JAYANTI</v>
          </cell>
          <cell r="C2721" t="str">
            <v>SAMI</v>
          </cell>
          <cell r="D2721" t="str">
            <v>OPT-535</v>
          </cell>
          <cell r="E2721">
            <v>43045</v>
          </cell>
          <cell r="F2721">
            <v>43435</v>
          </cell>
          <cell r="G2721">
            <v>43799</v>
          </cell>
          <cell r="H2721" t="str">
            <v>PRD</v>
          </cell>
          <cell r="I2721" t="str">
            <v>PRD</v>
          </cell>
          <cell r="J2721" t="str">
            <v>HV TOYOTA</v>
          </cell>
          <cell r="K2721" t="str">
            <v>HV TOYOTA UNDERFLOOR</v>
          </cell>
          <cell r="L2721" t="str">
            <v>CV HV 09</v>
          </cell>
          <cell r="M2721" t="str">
            <v>ASM 01. BLT 02</v>
          </cell>
          <cell r="N2721" t="str">
            <v>ASSEMBLY</v>
          </cell>
          <cell r="O2721" t="str">
            <v>B</v>
          </cell>
        </row>
        <row r="2722">
          <cell r="A2722">
            <v>21714</v>
          </cell>
          <cell r="B2722" t="str">
            <v>EMILINA FAJARIA</v>
          </cell>
          <cell r="C2722" t="str">
            <v>SAMI</v>
          </cell>
          <cell r="D2722" t="str">
            <v>OPT-539</v>
          </cell>
          <cell r="E2722">
            <v>43087</v>
          </cell>
          <cell r="F2722">
            <v>43118</v>
          </cell>
          <cell r="G2722">
            <v>43496</v>
          </cell>
          <cell r="H2722" t="str">
            <v>PRD</v>
          </cell>
          <cell r="I2722" t="str">
            <v>PRD</v>
          </cell>
          <cell r="J2722" t="str">
            <v>HV TOYOTA</v>
          </cell>
          <cell r="K2722" t="str">
            <v>HV TOYOTA UNDERFLOOR</v>
          </cell>
          <cell r="L2722" t="str">
            <v>CV HV 09</v>
          </cell>
          <cell r="M2722" t="str">
            <v>CHECKER 3</v>
          </cell>
          <cell r="N2722" t="str">
            <v>ELECTRICAL INSPECTION</v>
          </cell>
          <cell r="O2722" t="str">
            <v>B</v>
          </cell>
        </row>
        <row r="2723">
          <cell r="A2723">
            <v>21791</v>
          </cell>
          <cell r="B2723" t="str">
            <v xml:space="preserve">SITI KHASANAH </v>
          </cell>
          <cell r="C2723" t="str">
            <v>SAMI</v>
          </cell>
          <cell r="D2723" t="str">
            <v>OPT-540</v>
          </cell>
          <cell r="E2723">
            <v>43090</v>
          </cell>
          <cell r="F2723">
            <v>43121</v>
          </cell>
          <cell r="G2723">
            <v>43496</v>
          </cell>
          <cell r="H2723" t="str">
            <v>PRD</v>
          </cell>
          <cell r="I2723" t="str">
            <v>PRD</v>
          </cell>
          <cell r="J2723" t="str">
            <v>HV TOYOTA</v>
          </cell>
          <cell r="K2723" t="str">
            <v>HV TOYOTA UNDERFLOOR</v>
          </cell>
          <cell r="L2723" t="str">
            <v>CV HV 09</v>
          </cell>
          <cell r="M2723" t="str">
            <v>MC3, STMAC, WEBO</v>
          </cell>
          <cell r="N2723" t="str">
            <v>WFAP 2.2</v>
          </cell>
          <cell r="O2723" t="str">
            <v>B</v>
          </cell>
        </row>
        <row r="2724">
          <cell r="A2724">
            <v>21884</v>
          </cell>
          <cell r="B2724" t="str">
            <v>KHAIRUL NUR FAIDAH</v>
          </cell>
          <cell r="C2724" t="str">
            <v>SAMI</v>
          </cell>
          <cell r="D2724" t="str">
            <v>OPT-542</v>
          </cell>
          <cell r="E2724">
            <v>43103</v>
          </cell>
          <cell r="F2724">
            <v>43134</v>
          </cell>
          <cell r="G2724">
            <v>43496</v>
          </cell>
          <cell r="H2724" t="str">
            <v>PRD</v>
          </cell>
          <cell r="I2724" t="str">
            <v>PRD</v>
          </cell>
          <cell r="J2724" t="str">
            <v>HV TOYOTA</v>
          </cell>
          <cell r="K2724" t="str">
            <v>HV TOYOTA UNDERFLOOR</v>
          </cell>
          <cell r="L2724" t="str">
            <v>CV HV 09</v>
          </cell>
          <cell r="M2724" t="str">
            <v>VISUAL 01</v>
          </cell>
          <cell r="N2724" t="str">
            <v>VISUAL INSPECTION</v>
          </cell>
          <cell r="O2724" t="str">
            <v>B</v>
          </cell>
        </row>
        <row r="2725">
          <cell r="A2725">
            <v>22117</v>
          </cell>
          <cell r="B2725" t="str">
            <v>BAGAS FERNANDA PARIPURNA</v>
          </cell>
          <cell r="C2725" t="str">
            <v>SAMI</v>
          </cell>
          <cell r="D2725" t="str">
            <v>OPT-549</v>
          </cell>
          <cell r="E2725">
            <v>43153</v>
          </cell>
          <cell r="F2725">
            <v>43181</v>
          </cell>
          <cell r="G2725">
            <v>43555</v>
          </cell>
          <cell r="H2725" t="str">
            <v>PRD</v>
          </cell>
          <cell r="I2725" t="str">
            <v>PRD</v>
          </cell>
          <cell r="J2725" t="str">
            <v>HV TOYOTA</v>
          </cell>
          <cell r="K2725" t="str">
            <v>HV TOYOTA UNDERFLOOR</v>
          </cell>
          <cell r="L2725" t="str">
            <v>CV HV 09</v>
          </cell>
          <cell r="M2725" t="str">
            <v>PW 30, HDS 150</v>
          </cell>
          <cell r="N2725" t="str">
            <v>WFAP 2.1</v>
          </cell>
          <cell r="O2725" t="str">
            <v>B</v>
          </cell>
        </row>
        <row r="2726">
          <cell r="A2726">
            <v>22184</v>
          </cell>
          <cell r="B2726" t="str">
            <v>IZKY RAHMAWATI</v>
          </cell>
          <cell r="C2726" t="str">
            <v>SAMI</v>
          </cell>
          <cell r="D2726" t="str">
            <v>OPT-550</v>
          </cell>
          <cell r="E2726">
            <v>43158</v>
          </cell>
          <cell r="F2726">
            <v>43186</v>
          </cell>
          <cell r="G2726">
            <v>43555</v>
          </cell>
          <cell r="H2726" t="str">
            <v>PRD</v>
          </cell>
          <cell r="I2726" t="str">
            <v>PRD</v>
          </cell>
          <cell r="J2726" t="str">
            <v>HV TOYOTA</v>
          </cell>
          <cell r="K2726" t="str">
            <v>HV TOYOTA UNDERFLOOR</v>
          </cell>
          <cell r="L2726" t="str">
            <v>CV HV 09</v>
          </cell>
          <cell r="M2726" t="str">
            <v>S/A 1</v>
          </cell>
          <cell r="N2726" t="str">
            <v>SUB ASSY</v>
          </cell>
          <cell r="O2726" t="str">
            <v>B</v>
          </cell>
        </row>
        <row r="2727">
          <cell r="A2727">
            <v>22317</v>
          </cell>
          <cell r="B2727" t="str">
            <v>SUSANTI</v>
          </cell>
          <cell r="C2727" t="str">
            <v>SAMI</v>
          </cell>
          <cell r="D2727" t="str">
            <v>OPT-555</v>
          </cell>
          <cell r="E2727">
            <v>43192</v>
          </cell>
          <cell r="F2727">
            <v>43222</v>
          </cell>
          <cell r="G2727">
            <v>43585</v>
          </cell>
          <cell r="H2727" t="str">
            <v>PRD</v>
          </cell>
          <cell r="I2727" t="str">
            <v>PRD</v>
          </cell>
          <cell r="J2727" t="str">
            <v>HV TOYOTA</v>
          </cell>
          <cell r="K2727" t="str">
            <v>HV TOYOTA UNDERFLOOR</v>
          </cell>
          <cell r="L2727" t="str">
            <v>CV HV 09</v>
          </cell>
          <cell r="M2727" t="str">
            <v>CHECKER 1</v>
          </cell>
          <cell r="N2727" t="str">
            <v>ELECTRICAL INSPECTION</v>
          </cell>
          <cell r="O2727" t="str">
            <v>B</v>
          </cell>
        </row>
        <row r="2728">
          <cell r="A2728">
            <v>22321</v>
          </cell>
          <cell r="B2728" t="str">
            <v>WINDI LUSIANA DEVI</v>
          </cell>
          <cell r="C2728" t="str">
            <v>SAMI</v>
          </cell>
          <cell r="D2728" t="str">
            <v>OPT-555</v>
          </cell>
          <cell r="E2728">
            <v>43192</v>
          </cell>
          <cell r="F2728">
            <v>43222</v>
          </cell>
          <cell r="G2728">
            <v>43585</v>
          </cell>
          <cell r="H2728" t="str">
            <v>PRD</v>
          </cell>
          <cell r="I2728" t="str">
            <v>PRD</v>
          </cell>
          <cell r="J2728" t="str">
            <v>HV TOYOTA</v>
          </cell>
          <cell r="K2728" t="str">
            <v>HV TOYOTA UNDERFLOOR</v>
          </cell>
          <cell r="L2728" t="str">
            <v>CV HV 09</v>
          </cell>
          <cell r="M2728" t="str">
            <v>VISUAL 02</v>
          </cell>
          <cell r="N2728" t="str">
            <v>VISUAL INSPECTION</v>
          </cell>
          <cell r="O2728" t="str">
            <v>B</v>
          </cell>
        </row>
        <row r="2729">
          <cell r="A2729">
            <v>22375</v>
          </cell>
          <cell r="B2729" t="str">
            <v>AZIMATUN NAFÏAH</v>
          </cell>
          <cell r="C2729" t="str">
            <v>SAMI</v>
          </cell>
          <cell r="D2729" t="str">
            <v>OPT-558</v>
          </cell>
          <cell r="E2729">
            <v>43213</v>
          </cell>
          <cell r="F2729">
            <v>43243</v>
          </cell>
          <cell r="G2729">
            <v>43616</v>
          </cell>
          <cell r="H2729" t="str">
            <v>PRD</v>
          </cell>
          <cell r="I2729" t="str">
            <v>PRD</v>
          </cell>
          <cell r="J2729" t="str">
            <v>HV TOYOTA</v>
          </cell>
          <cell r="K2729" t="str">
            <v>HV TOYOTA UNDERFLOOR</v>
          </cell>
          <cell r="L2729" t="str">
            <v>CV HV 09</v>
          </cell>
          <cell r="M2729" t="str">
            <v>HV TESTER, ASM 05</v>
          </cell>
          <cell r="N2729" t="str">
            <v>V. TEST</v>
          </cell>
          <cell r="O2729" t="str">
            <v>B</v>
          </cell>
        </row>
        <row r="2730">
          <cell r="A2730">
            <v>22398</v>
          </cell>
          <cell r="B2730" t="str">
            <v>MARYANTO</v>
          </cell>
          <cell r="C2730" t="str">
            <v>SAMI</v>
          </cell>
          <cell r="D2730" t="str">
            <v>OPT-558</v>
          </cell>
          <cell r="E2730">
            <v>43213</v>
          </cell>
          <cell r="F2730">
            <v>43243</v>
          </cell>
          <cell r="G2730">
            <v>43616</v>
          </cell>
          <cell r="H2730" t="str">
            <v>PRD</v>
          </cell>
          <cell r="I2730" t="str">
            <v>PRD</v>
          </cell>
          <cell r="J2730" t="str">
            <v>HV TOYOTA</v>
          </cell>
          <cell r="K2730" t="str">
            <v>HV TOYOTA UNDERFLOOR</v>
          </cell>
          <cell r="L2730" t="str">
            <v>CV HV 09</v>
          </cell>
          <cell r="M2730" t="str">
            <v>HELPER CUTTING</v>
          </cell>
          <cell r="N2730" t="str">
            <v>P/A CONTROLLER</v>
          </cell>
          <cell r="O2730" t="str">
            <v>B</v>
          </cell>
        </row>
        <row r="2731">
          <cell r="A2731">
            <v>22607</v>
          </cell>
          <cell r="B2731" t="str">
            <v>KRISTI WINARNI</v>
          </cell>
          <cell r="C2731" t="str">
            <v>SAMI</v>
          </cell>
          <cell r="D2731" t="str">
            <v>OPT-561</v>
          </cell>
          <cell r="E2731">
            <v>43236</v>
          </cell>
          <cell r="F2731">
            <v>43267</v>
          </cell>
          <cell r="G2731">
            <v>43646</v>
          </cell>
          <cell r="H2731" t="str">
            <v>PRD</v>
          </cell>
          <cell r="I2731" t="str">
            <v>PRD</v>
          </cell>
          <cell r="J2731" t="str">
            <v>HV TOYOTA</v>
          </cell>
          <cell r="K2731" t="str">
            <v>HV TOYOTA UNDERFLOOR</v>
          </cell>
          <cell r="L2731" t="str">
            <v>CV HV 09</v>
          </cell>
          <cell r="M2731" t="str">
            <v>ASM 03</v>
          </cell>
          <cell r="N2731" t="str">
            <v>ASSEMBLY</v>
          </cell>
          <cell r="O2731" t="str">
            <v>B</v>
          </cell>
        </row>
        <row r="2732">
          <cell r="A2732">
            <v>22983</v>
          </cell>
          <cell r="B2732" t="str">
            <v>TRI SETYOWATI</v>
          </cell>
          <cell r="C2732" t="str">
            <v>SAMI</v>
          </cell>
          <cell r="D2732" t="str">
            <v>OPT-568</v>
          </cell>
          <cell r="E2732">
            <v>43343</v>
          </cell>
          <cell r="F2732">
            <v>43374</v>
          </cell>
          <cell r="G2732">
            <v>43738</v>
          </cell>
          <cell r="H2732" t="str">
            <v>PRD</v>
          </cell>
          <cell r="I2732" t="str">
            <v>PRD</v>
          </cell>
          <cell r="J2732" t="str">
            <v>HV TOYOTA</v>
          </cell>
          <cell r="K2732" t="str">
            <v>HV TOYOTA UNDERFLOOR</v>
          </cell>
          <cell r="L2732" t="str">
            <v>CV HV 09</v>
          </cell>
          <cell r="M2732" t="str">
            <v>CHECKER 4</v>
          </cell>
          <cell r="N2732" t="str">
            <v>ELECTRICAL INSPECTION</v>
          </cell>
          <cell r="O2732" t="str">
            <v>B</v>
          </cell>
        </row>
        <row r="2733">
          <cell r="A2733">
            <v>23137</v>
          </cell>
          <cell r="B2733" t="str">
            <v>MINU MAY SABANA</v>
          </cell>
          <cell r="C2733" t="str">
            <v>SAMI</v>
          </cell>
          <cell r="D2733" t="str">
            <v>OPT-570</v>
          </cell>
          <cell r="E2733">
            <v>43369</v>
          </cell>
          <cell r="F2733">
            <v>43399</v>
          </cell>
          <cell r="G2733">
            <v>43769</v>
          </cell>
          <cell r="H2733" t="str">
            <v>PRD</v>
          </cell>
          <cell r="I2733" t="str">
            <v>PRD</v>
          </cell>
          <cell r="J2733" t="str">
            <v>HV TOYOTA</v>
          </cell>
          <cell r="K2733" t="str">
            <v>HV TOYOTA UNDERFLOOR</v>
          </cell>
          <cell r="L2733" t="str">
            <v>CV HV 09</v>
          </cell>
          <cell r="M2733" t="str">
            <v>VISUAL 01</v>
          </cell>
          <cell r="N2733" t="str">
            <v>VISUAL INSPECTION</v>
          </cell>
          <cell r="O2733" t="str">
            <v>B</v>
          </cell>
        </row>
        <row r="2734">
          <cell r="A2734">
            <v>23285</v>
          </cell>
          <cell r="B2734" t="str">
            <v>YATI PRATIWI</v>
          </cell>
          <cell r="C2734" t="str">
            <v>SAMI</v>
          </cell>
          <cell r="D2734" t="str">
            <v>OPT-573</v>
          </cell>
          <cell r="E2734">
            <v>43421</v>
          </cell>
          <cell r="F2734">
            <v>43451</v>
          </cell>
          <cell r="G2734">
            <v>43830</v>
          </cell>
          <cell r="H2734" t="str">
            <v>PRD</v>
          </cell>
          <cell r="I2734" t="str">
            <v>PRD</v>
          </cell>
          <cell r="J2734" t="str">
            <v>HV TOYOTA</v>
          </cell>
          <cell r="K2734" t="str">
            <v>HV TOYOTA UNDERFLOOR</v>
          </cell>
          <cell r="L2734" t="str">
            <v>CV HV 09</v>
          </cell>
          <cell r="M2734" t="str">
            <v>ASM 3</v>
          </cell>
          <cell r="N2734" t="str">
            <v>ASSEMBLY</v>
          </cell>
          <cell r="O2734" t="str">
            <v>B</v>
          </cell>
        </row>
        <row r="2735">
          <cell r="A2735">
            <v>23302</v>
          </cell>
          <cell r="B2735" t="str">
            <v>CHANDRA WIDYA WIJAYA</v>
          </cell>
          <cell r="C2735" t="str">
            <v>SAMI</v>
          </cell>
          <cell r="D2735" t="str">
            <v>OPT-574</v>
          </cell>
          <cell r="E2735">
            <v>43427</v>
          </cell>
          <cell r="F2735">
            <v>43457</v>
          </cell>
          <cell r="G2735">
            <v>43830</v>
          </cell>
          <cell r="H2735" t="str">
            <v>PRD</v>
          </cell>
          <cell r="I2735" t="str">
            <v>PRD</v>
          </cell>
          <cell r="J2735" t="str">
            <v>HV TOYOTA</v>
          </cell>
          <cell r="K2735" t="str">
            <v>HV TOYOTA UNDERFLOOR</v>
          </cell>
          <cell r="L2735" t="str">
            <v>CV HV 09</v>
          </cell>
          <cell r="M2735" t="str">
            <v>CHECKER 02</v>
          </cell>
          <cell r="N2735" t="str">
            <v>ELECTRICAL INSPECTION</v>
          </cell>
          <cell r="O2735" t="str">
            <v>B</v>
          </cell>
        </row>
        <row r="2736">
          <cell r="A2736" t="str">
            <v>B00436</v>
          </cell>
          <cell r="B2736" t="str">
            <v>EKO HARTANTO</v>
          </cell>
          <cell r="C2736" t="str">
            <v>SAMI</v>
          </cell>
          <cell r="D2736" t="str">
            <v>BBF-007</v>
          </cell>
          <cell r="E2736">
            <v>40868</v>
          </cell>
          <cell r="F2736" t="str">
            <v>-</v>
          </cell>
          <cell r="G2736" t="str">
            <v>-</v>
          </cell>
          <cell r="H2736" t="str">
            <v>PRD</v>
          </cell>
          <cell r="I2736" t="str">
            <v>PRD</v>
          </cell>
          <cell r="J2736" t="str">
            <v>HV TOYOTA</v>
          </cell>
          <cell r="K2736" t="str">
            <v>HV TOYOTA UNDERFLOOR</v>
          </cell>
          <cell r="L2736" t="str">
            <v>CV HV 09</v>
          </cell>
          <cell r="M2736" t="str">
            <v>BLT-01</v>
          </cell>
          <cell r="N2736" t="str">
            <v>ASSEMBLY</v>
          </cell>
          <cell r="O2736" t="str">
            <v>B</v>
          </cell>
        </row>
        <row r="2737">
          <cell r="A2737">
            <v>23543</v>
          </cell>
          <cell r="B2737" t="str">
            <v>ARI INAROTUN NAFIAH</v>
          </cell>
          <cell r="C2737" t="str">
            <v>SAMI</v>
          </cell>
          <cell r="D2737" t="str">
            <v>OPT-577</v>
          </cell>
          <cell r="E2737">
            <v>43452</v>
          </cell>
          <cell r="F2737">
            <v>43483</v>
          </cell>
          <cell r="G2737">
            <v>43861</v>
          </cell>
          <cell r="H2737" t="str">
            <v>PRD</v>
          </cell>
          <cell r="I2737" t="str">
            <v>PRD</v>
          </cell>
          <cell r="J2737" t="str">
            <v>HV TOYOTA</v>
          </cell>
          <cell r="K2737" t="str">
            <v>HV TOYOTA UNDERFLOOR</v>
          </cell>
          <cell r="L2737" t="str">
            <v>CV HV 09</v>
          </cell>
          <cell r="M2737" t="str">
            <v>CHECKER 03</v>
          </cell>
          <cell r="N2737" t="str">
            <v>ELECTRICAL INSPECTION</v>
          </cell>
          <cell r="O2737" t="str">
            <v>B</v>
          </cell>
        </row>
        <row r="2738">
          <cell r="A2738">
            <v>332</v>
          </cell>
          <cell r="B2738" t="str">
            <v>TRI RETNO SARI</v>
          </cell>
          <cell r="C2738" t="str">
            <v>SAMI</v>
          </cell>
          <cell r="D2738" t="str">
            <v>OPT-9</v>
          </cell>
          <cell r="E2738">
            <v>37725</v>
          </cell>
          <cell r="F2738" t="str">
            <v>-</v>
          </cell>
          <cell r="G2738" t="str">
            <v>-</v>
          </cell>
          <cell r="H2738" t="str">
            <v>PRD</v>
          </cell>
          <cell r="I2738" t="str">
            <v>PRD</v>
          </cell>
          <cell r="J2738" t="str">
            <v>HV TOYOTA</v>
          </cell>
          <cell r="K2738" t="str">
            <v xml:space="preserve">HV TOYOTA AC </v>
          </cell>
          <cell r="L2738" t="str">
            <v>CV HV 10A</v>
          </cell>
          <cell r="M2738" t="str">
            <v>SUB LINE CHO</v>
          </cell>
          <cell r="N2738" t="str">
            <v>GL</v>
          </cell>
          <cell r="O2738" t="str">
            <v>A</v>
          </cell>
        </row>
        <row r="2739">
          <cell r="A2739">
            <v>10497</v>
          </cell>
          <cell r="B2739" t="str">
            <v>DEVI RATNA PUTRI</v>
          </cell>
          <cell r="C2739" t="str">
            <v>SAMI</v>
          </cell>
          <cell r="D2739" t="str">
            <v>OPT-273</v>
          </cell>
          <cell r="E2739">
            <v>40535</v>
          </cell>
          <cell r="F2739" t="str">
            <v>-</v>
          </cell>
          <cell r="G2739" t="str">
            <v>-</v>
          </cell>
          <cell r="H2739" t="str">
            <v>PRD</v>
          </cell>
          <cell r="I2739" t="str">
            <v>PRD</v>
          </cell>
          <cell r="J2739" t="str">
            <v>HV TOYOTA</v>
          </cell>
          <cell r="K2739" t="str">
            <v xml:space="preserve">HV TOYOTA AC </v>
          </cell>
          <cell r="L2739" t="str">
            <v>CV HV 10A</v>
          </cell>
          <cell r="M2739" t="str">
            <v>BFT</v>
          </cell>
          <cell r="N2739" t="str">
            <v>ASSEMBLY</v>
          </cell>
          <cell r="O2739" t="str">
            <v>A</v>
          </cell>
        </row>
        <row r="2740">
          <cell r="A2740">
            <v>11768</v>
          </cell>
          <cell r="B2740" t="str">
            <v>RATNA WULANDARI</v>
          </cell>
          <cell r="C2740" t="str">
            <v>SAMI</v>
          </cell>
          <cell r="D2740" t="str">
            <v>OPT-308</v>
          </cell>
          <cell r="E2740">
            <v>40714</v>
          </cell>
          <cell r="F2740" t="str">
            <v>-</v>
          </cell>
          <cell r="G2740" t="str">
            <v>-</v>
          </cell>
          <cell r="H2740" t="str">
            <v>PRD</v>
          </cell>
          <cell r="I2740" t="str">
            <v>PRD</v>
          </cell>
          <cell r="J2740" t="str">
            <v>HV TOYOTA</v>
          </cell>
          <cell r="K2740" t="str">
            <v xml:space="preserve">HV TOYOTA AC </v>
          </cell>
          <cell r="L2740" t="str">
            <v>CV HV 10A</v>
          </cell>
          <cell r="M2740" t="str">
            <v>S/T,T/P,C/K-01</v>
          </cell>
          <cell r="N2740" t="str">
            <v>ASSEMBLY</v>
          </cell>
          <cell r="O2740" t="str">
            <v>A</v>
          </cell>
        </row>
        <row r="2741">
          <cell r="A2741">
            <v>21039</v>
          </cell>
          <cell r="B2741" t="str">
            <v>A'AMILATUSHOLIKHAH</v>
          </cell>
          <cell r="C2741" t="str">
            <v>SAMI</v>
          </cell>
          <cell r="D2741" t="str">
            <v>OPT-520</v>
          </cell>
          <cell r="E2741">
            <v>42863</v>
          </cell>
          <cell r="F2741">
            <v>43344</v>
          </cell>
          <cell r="G2741">
            <v>43708</v>
          </cell>
          <cell r="H2741" t="str">
            <v>PRD</v>
          </cell>
          <cell r="I2741" t="str">
            <v>PRD</v>
          </cell>
          <cell r="J2741" t="str">
            <v>HV TOYOTA</v>
          </cell>
          <cell r="K2741" t="str">
            <v xml:space="preserve">HV TOYOTA AC </v>
          </cell>
          <cell r="L2741" t="str">
            <v>CV HV 10A</v>
          </cell>
          <cell r="M2741" t="str">
            <v>ICM-TA-01,02, CSM-TA-01, 02,  PB 10-TA-01, CM 66-TA-01</v>
          </cell>
          <cell r="N2741" t="str">
            <v>WFAP 2.1</v>
          </cell>
          <cell r="O2741" t="str">
            <v>A</v>
          </cell>
        </row>
        <row r="2742">
          <cell r="A2742">
            <v>21041</v>
          </cell>
          <cell r="B2742" t="str">
            <v xml:space="preserve">ANITA ROHMAYANI </v>
          </cell>
          <cell r="C2742" t="str">
            <v>SAMI</v>
          </cell>
          <cell r="D2742" t="str">
            <v>OPT-520</v>
          </cell>
          <cell r="E2742">
            <v>42863</v>
          </cell>
          <cell r="F2742">
            <v>43344</v>
          </cell>
          <cell r="G2742">
            <v>43708</v>
          </cell>
          <cell r="H2742" t="str">
            <v>PRD</v>
          </cell>
          <cell r="I2742" t="str">
            <v>PRD</v>
          </cell>
          <cell r="J2742" t="str">
            <v>HV TOYOTA</v>
          </cell>
          <cell r="K2742" t="str">
            <v xml:space="preserve">HV TOYOTA AC </v>
          </cell>
          <cell r="L2742" t="str">
            <v>CV HV 10A</v>
          </cell>
          <cell r="M2742" t="str">
            <v>S/T,T/P,CK</v>
          </cell>
          <cell r="N2742" t="str">
            <v>ASSEMBLY</v>
          </cell>
          <cell r="O2742" t="str">
            <v>A</v>
          </cell>
        </row>
        <row r="2743">
          <cell r="A2743">
            <v>21088</v>
          </cell>
          <cell r="B2743" t="str">
            <v>YULI INAYATI</v>
          </cell>
          <cell r="C2743" t="str">
            <v>SAMI</v>
          </cell>
          <cell r="D2743" t="str">
            <v>OPT-520</v>
          </cell>
          <cell r="E2743">
            <v>42863</v>
          </cell>
          <cell r="F2743">
            <v>43344</v>
          </cell>
          <cell r="G2743">
            <v>43708</v>
          </cell>
          <cell r="H2743" t="str">
            <v>PRD</v>
          </cell>
          <cell r="I2743" t="str">
            <v>PRD</v>
          </cell>
          <cell r="J2743" t="str">
            <v>HV TOYOTA</v>
          </cell>
          <cell r="K2743" t="str">
            <v xml:space="preserve">HV TOYOTA AC </v>
          </cell>
          <cell r="L2743" t="str">
            <v>CV HV 10A</v>
          </cell>
          <cell r="M2743" t="str">
            <v>HV TESTER&amp;VISUAL-1</v>
          </cell>
          <cell r="N2743" t="str">
            <v>ASSEMBLY</v>
          </cell>
          <cell r="O2743" t="str">
            <v>A</v>
          </cell>
        </row>
        <row r="2744">
          <cell r="A2744">
            <v>22127</v>
          </cell>
          <cell r="B2744" t="str">
            <v>IKHBAL ARDILAYA</v>
          </cell>
          <cell r="C2744" t="str">
            <v>SAMI</v>
          </cell>
          <cell r="D2744" t="str">
            <v>OPT-549</v>
          </cell>
          <cell r="E2744">
            <v>43153</v>
          </cell>
          <cell r="F2744">
            <v>43181</v>
          </cell>
          <cell r="G2744">
            <v>43555</v>
          </cell>
          <cell r="H2744" t="str">
            <v>PRD</v>
          </cell>
          <cell r="I2744" t="str">
            <v>PRD</v>
          </cell>
          <cell r="J2744" t="str">
            <v>HV TOYOTA</v>
          </cell>
          <cell r="K2744" t="str">
            <v xml:space="preserve">HV TOYOTA AC </v>
          </cell>
          <cell r="L2744" t="str">
            <v>CV HV 10A</v>
          </cell>
          <cell r="M2744" t="str">
            <v>PB10-TA-02, CM66-TA-02, CSM-TA-03, CM63-TA-01</v>
          </cell>
          <cell r="N2744" t="str">
            <v>WFAP 2.2</v>
          </cell>
          <cell r="O2744" t="str">
            <v>A</v>
          </cell>
        </row>
        <row r="2745">
          <cell r="A2745">
            <v>22387</v>
          </cell>
          <cell r="B2745" t="str">
            <v>ELMA YUDHITA SARASWATI</v>
          </cell>
          <cell r="C2745" t="str">
            <v>SAMI</v>
          </cell>
          <cell r="D2745" t="str">
            <v>OPT-558</v>
          </cell>
          <cell r="E2745">
            <v>43213</v>
          </cell>
          <cell r="F2745">
            <v>43243</v>
          </cell>
          <cell r="G2745">
            <v>43616</v>
          </cell>
          <cell r="H2745" t="str">
            <v>PRD</v>
          </cell>
          <cell r="I2745" t="str">
            <v>PRD</v>
          </cell>
          <cell r="J2745" t="str">
            <v>HV TOYOTA</v>
          </cell>
          <cell r="K2745" t="str">
            <v xml:space="preserve">HV TOYOTA AC </v>
          </cell>
          <cell r="L2745" t="str">
            <v>CV HV 10A</v>
          </cell>
          <cell r="M2745" t="str">
            <v>CM66-TA-03, MC2-TA-01,02, SSM-TA-01,02</v>
          </cell>
          <cell r="N2745" t="str">
            <v>WFAP 2.1</v>
          </cell>
          <cell r="O2745" t="str">
            <v>A</v>
          </cell>
        </row>
        <row r="2746">
          <cell r="A2746">
            <v>22658</v>
          </cell>
          <cell r="B2746" t="str">
            <v>LAILATUL QODARIYAH</v>
          </cell>
          <cell r="C2746" t="str">
            <v>SAMI</v>
          </cell>
          <cell r="D2746" t="str">
            <v>OPT-562</v>
          </cell>
          <cell r="E2746">
            <v>43241</v>
          </cell>
          <cell r="F2746">
            <v>43272</v>
          </cell>
          <cell r="G2746">
            <v>43646</v>
          </cell>
          <cell r="H2746" t="str">
            <v>PRD</v>
          </cell>
          <cell r="I2746" t="str">
            <v>PRD</v>
          </cell>
          <cell r="J2746" t="str">
            <v>HV TOYOTA</v>
          </cell>
          <cell r="K2746" t="str">
            <v xml:space="preserve">HV TOYOTA AC </v>
          </cell>
          <cell r="L2746" t="str">
            <v>CV HV 10A</v>
          </cell>
          <cell r="M2746" t="str">
            <v>S/T, T/P, C/K 05</v>
          </cell>
          <cell r="N2746" t="str">
            <v>ASSEMBLY</v>
          </cell>
          <cell r="O2746" t="str">
            <v>A</v>
          </cell>
        </row>
        <row r="2747">
          <cell r="A2747">
            <v>22827</v>
          </cell>
          <cell r="B2747" t="str">
            <v>EMY SULISTYOWATI</v>
          </cell>
          <cell r="C2747" t="str">
            <v>SAMI</v>
          </cell>
          <cell r="D2747" t="str">
            <v>OPT-567</v>
          </cell>
          <cell r="E2747">
            <v>43333</v>
          </cell>
          <cell r="F2747">
            <v>43364</v>
          </cell>
          <cell r="G2747">
            <v>43738</v>
          </cell>
          <cell r="H2747" t="str">
            <v>PRD</v>
          </cell>
          <cell r="I2747" t="str">
            <v>PRD</v>
          </cell>
          <cell r="J2747" t="str">
            <v>HV TOYOTA</v>
          </cell>
          <cell r="K2747" t="str">
            <v xml:space="preserve">HV TOYOTA AC </v>
          </cell>
          <cell r="L2747" t="str">
            <v>CV HV 10A</v>
          </cell>
          <cell r="M2747" t="str">
            <v>MC2-TA-03,SSM-TA-03</v>
          </cell>
          <cell r="N2747" t="str">
            <v>WFAP 2.1</v>
          </cell>
          <cell r="O2747" t="str">
            <v>A</v>
          </cell>
        </row>
        <row r="2748">
          <cell r="A2748">
            <v>22891</v>
          </cell>
          <cell r="B2748" t="str">
            <v xml:space="preserve">SITI NUR AZIZAH DESWITA </v>
          </cell>
          <cell r="C2748" t="str">
            <v>SAMI</v>
          </cell>
          <cell r="D2748" t="str">
            <v>OPT-567</v>
          </cell>
          <cell r="E2748">
            <v>43333</v>
          </cell>
          <cell r="F2748">
            <v>43364</v>
          </cell>
          <cell r="G2748">
            <v>43738</v>
          </cell>
          <cell r="H2748" t="str">
            <v>PRD</v>
          </cell>
          <cell r="I2748" t="str">
            <v>PRD</v>
          </cell>
          <cell r="J2748" t="str">
            <v>HV TOYOTA</v>
          </cell>
          <cell r="K2748" t="str">
            <v xml:space="preserve">HV TOYOTA AC </v>
          </cell>
          <cell r="L2748" t="str">
            <v>CV HV 10A</v>
          </cell>
          <cell r="M2748" t="str">
            <v>S/T,T/P,CK</v>
          </cell>
          <cell r="N2748" t="str">
            <v>ASSEMBLY</v>
          </cell>
          <cell r="O2748" t="str">
            <v>A</v>
          </cell>
        </row>
        <row r="2749">
          <cell r="A2749">
            <v>22893</v>
          </cell>
          <cell r="B2749" t="str">
            <v>SOFIYANI</v>
          </cell>
          <cell r="C2749" t="str">
            <v>SAMI</v>
          </cell>
          <cell r="D2749" t="str">
            <v>OPT-567</v>
          </cell>
          <cell r="E2749">
            <v>43333</v>
          </cell>
          <cell r="F2749">
            <v>43364</v>
          </cell>
          <cell r="G2749">
            <v>43738</v>
          </cell>
          <cell r="H2749" t="str">
            <v>PRD</v>
          </cell>
          <cell r="I2749" t="str">
            <v>PRD</v>
          </cell>
          <cell r="J2749" t="str">
            <v>HV TOYOTA</v>
          </cell>
          <cell r="K2749" t="str">
            <v xml:space="preserve">HV TOYOTA AC </v>
          </cell>
          <cell r="L2749" t="str">
            <v>CV HV 10A</v>
          </cell>
          <cell r="M2749" t="str">
            <v>S/T,T/P,CK</v>
          </cell>
          <cell r="N2749" t="str">
            <v>ASSEMBLY</v>
          </cell>
          <cell r="O2749" t="str">
            <v>A</v>
          </cell>
        </row>
        <row r="2750">
          <cell r="A2750">
            <v>23174</v>
          </cell>
          <cell r="B2750" t="str">
            <v>TOYIB MUTOIB</v>
          </cell>
          <cell r="C2750" t="str">
            <v>SAMI</v>
          </cell>
          <cell r="D2750" t="str">
            <v>OPT-570</v>
          </cell>
          <cell r="E2750">
            <v>43369</v>
          </cell>
          <cell r="F2750">
            <v>43399</v>
          </cell>
          <cell r="G2750">
            <v>43769</v>
          </cell>
          <cell r="H2750" t="str">
            <v>PRD</v>
          </cell>
          <cell r="I2750" t="str">
            <v>PRD</v>
          </cell>
          <cell r="J2750" t="str">
            <v>HV TOYOTA</v>
          </cell>
          <cell r="K2750" t="str">
            <v xml:space="preserve">HV TOYOTA AC </v>
          </cell>
          <cell r="L2750" t="str">
            <v>CV HV 10A</v>
          </cell>
          <cell r="M2750" t="str">
            <v>MATERIAL SUPPLY</v>
          </cell>
          <cell r="N2750" t="str">
            <v>MATERIAL SUPPLY</v>
          </cell>
          <cell r="O2750" t="str">
            <v>A</v>
          </cell>
        </row>
        <row r="2751">
          <cell r="A2751">
            <v>23456</v>
          </cell>
          <cell r="B2751" t="str">
            <v>REZA WIDYA</v>
          </cell>
          <cell r="C2751" t="str">
            <v>SAMI</v>
          </cell>
          <cell r="D2751" t="str">
            <v>OPT-575</v>
          </cell>
          <cell r="E2751">
            <v>43434</v>
          </cell>
          <cell r="F2751">
            <v>43464</v>
          </cell>
          <cell r="G2751">
            <v>43830</v>
          </cell>
          <cell r="H2751" t="str">
            <v>PRD</v>
          </cell>
          <cell r="I2751" t="str">
            <v>PRD</v>
          </cell>
          <cell r="J2751" t="str">
            <v>HV TOYOTA</v>
          </cell>
          <cell r="K2751" t="str">
            <v xml:space="preserve">HV TOYOTA AC </v>
          </cell>
          <cell r="L2751" t="str">
            <v>CV HV 10A</v>
          </cell>
          <cell r="M2751" t="str">
            <v>MATERIAL SUPPLY</v>
          </cell>
          <cell r="N2751" t="str">
            <v>MATERIAL SUPPLY</v>
          </cell>
          <cell r="O2751" t="str">
            <v>A</v>
          </cell>
        </row>
        <row r="2752">
          <cell r="A2752" t="str">
            <v>B00469</v>
          </cell>
          <cell r="B2752" t="str">
            <v>RATNA PUJI TRI U.</v>
          </cell>
          <cell r="C2752" t="str">
            <v>SAMI</v>
          </cell>
          <cell r="D2752" t="str">
            <v>BBF-007</v>
          </cell>
          <cell r="E2752">
            <v>40868</v>
          </cell>
          <cell r="F2752" t="str">
            <v>-</v>
          </cell>
          <cell r="G2752" t="str">
            <v>-</v>
          </cell>
          <cell r="H2752" t="str">
            <v>PRD</v>
          </cell>
          <cell r="I2752" t="str">
            <v>PRD</v>
          </cell>
          <cell r="J2752" t="str">
            <v>HV TOYOTA</v>
          </cell>
          <cell r="K2752" t="str">
            <v xml:space="preserve">HV TOYOTA AC </v>
          </cell>
          <cell r="L2752" t="str">
            <v>CV HV 10A</v>
          </cell>
          <cell r="M2752" t="str">
            <v>LQC</v>
          </cell>
          <cell r="N2752" t="str">
            <v>RELIEF</v>
          </cell>
          <cell r="O2752" t="str">
            <v>A</v>
          </cell>
        </row>
        <row r="2753">
          <cell r="A2753">
            <v>8789</v>
          </cell>
          <cell r="B2753" t="str">
            <v>RIA NUR SAVITRI</v>
          </cell>
          <cell r="C2753" t="str">
            <v>SAMI</v>
          </cell>
          <cell r="D2753" t="str">
            <v>OPT-194</v>
          </cell>
          <cell r="E2753">
            <v>39931</v>
          </cell>
          <cell r="F2753" t="str">
            <v>-</v>
          </cell>
          <cell r="G2753" t="str">
            <v>-</v>
          </cell>
          <cell r="H2753" t="str">
            <v>PRD</v>
          </cell>
          <cell r="I2753" t="str">
            <v>PRD</v>
          </cell>
          <cell r="J2753" t="str">
            <v>HV TOYOTA</v>
          </cell>
          <cell r="K2753" t="str">
            <v xml:space="preserve">HV TOYOTA AC </v>
          </cell>
          <cell r="L2753" t="str">
            <v>CV HV 10A</v>
          </cell>
          <cell r="M2753" t="str">
            <v>MC2-TA-03, SSM-TA-03, INSERT TERMINAL</v>
          </cell>
          <cell r="N2753" t="str">
            <v>WFAP 2.1</v>
          </cell>
          <cell r="O2753" t="str">
            <v>B</v>
          </cell>
        </row>
        <row r="2754">
          <cell r="A2754">
            <v>10001</v>
          </cell>
          <cell r="B2754" t="str">
            <v>ATIN MARDIYANTI</v>
          </cell>
          <cell r="C2754" t="str">
            <v>SAMI</v>
          </cell>
          <cell r="D2754" t="str">
            <v>OPT-247</v>
          </cell>
          <cell r="E2754">
            <v>40438</v>
          </cell>
          <cell r="F2754" t="str">
            <v>-</v>
          </cell>
          <cell r="G2754" t="str">
            <v>-</v>
          </cell>
          <cell r="H2754" t="str">
            <v>PRD</v>
          </cell>
          <cell r="I2754" t="str">
            <v>PRD</v>
          </cell>
          <cell r="J2754" t="str">
            <v>HV TOYOTA</v>
          </cell>
          <cell r="K2754" t="str">
            <v xml:space="preserve">HV TOYOTA AC </v>
          </cell>
          <cell r="L2754" t="str">
            <v>CV HV 10A</v>
          </cell>
          <cell r="M2754" t="str">
            <v>SUB LINE CHO</v>
          </cell>
          <cell r="N2754" t="str">
            <v>GL</v>
          </cell>
          <cell r="O2754" t="str">
            <v>B</v>
          </cell>
        </row>
        <row r="2755">
          <cell r="A2755">
            <v>10273</v>
          </cell>
          <cell r="B2755" t="str">
            <v>FINA AKHADIYAH</v>
          </cell>
          <cell r="C2755" t="str">
            <v>SAMI</v>
          </cell>
          <cell r="D2755" t="str">
            <v>OPT-261</v>
          </cell>
          <cell r="E2755">
            <v>40497</v>
          </cell>
          <cell r="F2755" t="str">
            <v>-</v>
          </cell>
          <cell r="G2755" t="str">
            <v>-</v>
          </cell>
          <cell r="H2755" t="str">
            <v>PRD</v>
          </cell>
          <cell r="I2755" t="str">
            <v>PRD</v>
          </cell>
          <cell r="J2755" t="str">
            <v>HV TOYOTA</v>
          </cell>
          <cell r="K2755" t="str">
            <v xml:space="preserve">HV TOYOTA AC </v>
          </cell>
          <cell r="L2755" t="str">
            <v>CV HV 10A</v>
          </cell>
          <cell r="M2755" t="str">
            <v>BFT</v>
          </cell>
          <cell r="N2755" t="str">
            <v>ASSEMBLY</v>
          </cell>
          <cell r="O2755" t="str">
            <v>B</v>
          </cell>
        </row>
        <row r="2756">
          <cell r="A2756">
            <v>11963</v>
          </cell>
          <cell r="B2756" t="str">
            <v>SITI ALIMAH</v>
          </cell>
          <cell r="C2756" t="str">
            <v>SAMI</v>
          </cell>
          <cell r="D2756" t="str">
            <v>OPT-311</v>
          </cell>
          <cell r="E2756">
            <v>40770</v>
          </cell>
          <cell r="F2756" t="str">
            <v>-</v>
          </cell>
          <cell r="G2756" t="str">
            <v>-</v>
          </cell>
          <cell r="H2756" t="str">
            <v>PRD</v>
          </cell>
          <cell r="I2756" t="str">
            <v>PRD</v>
          </cell>
          <cell r="J2756" t="str">
            <v>HV TOYOTA</v>
          </cell>
          <cell r="K2756" t="str">
            <v xml:space="preserve">HV TOYOTA AC </v>
          </cell>
          <cell r="L2756" t="str">
            <v>CV HV 10A</v>
          </cell>
          <cell r="M2756" t="str">
            <v>S/T, T/P, C/K-02</v>
          </cell>
          <cell r="N2756" t="str">
            <v>ASSEMBLY</v>
          </cell>
          <cell r="O2756" t="str">
            <v>B</v>
          </cell>
        </row>
        <row r="2757">
          <cell r="A2757">
            <v>12175</v>
          </cell>
          <cell r="B2757" t="str">
            <v>EKA PUJI LESTARI</v>
          </cell>
          <cell r="C2757" t="str">
            <v>SAMI</v>
          </cell>
          <cell r="D2757" t="str">
            <v>OPT-315</v>
          </cell>
          <cell r="E2757">
            <v>40802</v>
          </cell>
          <cell r="F2757" t="str">
            <v>-</v>
          </cell>
          <cell r="G2757" t="str">
            <v>-</v>
          </cell>
          <cell r="H2757" t="str">
            <v>PRD</v>
          </cell>
          <cell r="I2757" t="str">
            <v>PRD</v>
          </cell>
          <cell r="J2757" t="str">
            <v>HV TOYOTA</v>
          </cell>
          <cell r="K2757" t="str">
            <v xml:space="preserve">HV TOYOTA AC </v>
          </cell>
          <cell r="L2757" t="str">
            <v>CV HV 10A</v>
          </cell>
          <cell r="M2757" t="str">
            <v>LQC</v>
          </cell>
          <cell r="N2757" t="str">
            <v>RELIEF</v>
          </cell>
          <cell r="O2757" t="str">
            <v>B</v>
          </cell>
        </row>
        <row r="2758">
          <cell r="A2758">
            <v>13660</v>
          </cell>
          <cell r="B2758" t="str">
            <v>ULIF TRIYANTI</v>
          </cell>
          <cell r="C2758" t="str">
            <v>SAMI</v>
          </cell>
          <cell r="D2758" t="str">
            <v>OPT-346</v>
          </cell>
          <cell r="E2758">
            <v>41165</v>
          </cell>
          <cell r="F2758" t="str">
            <v>-</v>
          </cell>
          <cell r="G2758" t="str">
            <v>-</v>
          </cell>
          <cell r="H2758" t="str">
            <v>PRD</v>
          </cell>
          <cell r="I2758" t="str">
            <v>PRD</v>
          </cell>
          <cell r="J2758" t="str">
            <v>HV TOYOTA</v>
          </cell>
          <cell r="K2758" t="str">
            <v xml:space="preserve">HV TOYOTA AC </v>
          </cell>
          <cell r="L2758" t="str">
            <v>CV HV 10A</v>
          </cell>
          <cell r="M2758" t="str">
            <v>S/T, T/P, C/K-01</v>
          </cell>
          <cell r="N2758" t="str">
            <v>ASSEMBLY</v>
          </cell>
          <cell r="O2758" t="str">
            <v>B</v>
          </cell>
        </row>
        <row r="2759">
          <cell r="A2759">
            <v>21358</v>
          </cell>
          <cell r="B2759" t="str">
            <v>PETRA EVI SURYANI</v>
          </cell>
          <cell r="C2759" t="str">
            <v>SAMI</v>
          </cell>
          <cell r="D2759" t="str">
            <v>OPT-531</v>
          </cell>
          <cell r="E2759">
            <v>43013</v>
          </cell>
          <cell r="F2759">
            <v>43405</v>
          </cell>
          <cell r="G2759">
            <v>43769</v>
          </cell>
          <cell r="H2759" t="str">
            <v>PRD</v>
          </cell>
          <cell r="I2759" t="str">
            <v>PRD</v>
          </cell>
          <cell r="J2759" t="str">
            <v>HV TOYOTA</v>
          </cell>
          <cell r="K2759" t="str">
            <v xml:space="preserve">HV TOYOTA AC </v>
          </cell>
          <cell r="L2759" t="str">
            <v>CV HV 10A</v>
          </cell>
          <cell r="M2759" t="str">
            <v>S/T, T/P, C/K-05</v>
          </cell>
          <cell r="N2759" t="str">
            <v>ASSEMBLY</v>
          </cell>
          <cell r="O2759" t="str">
            <v>B</v>
          </cell>
        </row>
        <row r="2760">
          <cell r="A2760">
            <v>21447</v>
          </cell>
          <cell r="B2760" t="str">
            <v>MAEKE ELA SETYO PUTRI</v>
          </cell>
          <cell r="C2760" t="str">
            <v>SAMI</v>
          </cell>
          <cell r="D2760" t="str">
            <v>OPT-533</v>
          </cell>
          <cell r="E2760">
            <v>43024</v>
          </cell>
          <cell r="F2760">
            <v>43435</v>
          </cell>
          <cell r="G2760">
            <v>43799</v>
          </cell>
          <cell r="H2760" t="str">
            <v>PRD</v>
          </cell>
          <cell r="I2760" t="str">
            <v>PRD</v>
          </cell>
          <cell r="J2760" t="str">
            <v>HV TOYOTA</v>
          </cell>
          <cell r="K2760" t="str">
            <v xml:space="preserve">HV TOYOTA AC </v>
          </cell>
          <cell r="L2760" t="str">
            <v>CV HV 10A</v>
          </cell>
          <cell r="M2760" t="str">
            <v>HV TEST &amp; VISUAL 01</v>
          </cell>
          <cell r="N2760" t="str">
            <v>VISUAL INSPECTION</v>
          </cell>
          <cell r="O2760" t="str">
            <v>B</v>
          </cell>
        </row>
        <row r="2761">
          <cell r="A2761">
            <v>22242</v>
          </cell>
          <cell r="B2761" t="str">
            <v>SITI NURAINI</v>
          </cell>
          <cell r="C2761" t="str">
            <v>SAMI</v>
          </cell>
          <cell r="D2761" t="str">
            <v>OPT-551</v>
          </cell>
          <cell r="E2761">
            <v>43161</v>
          </cell>
          <cell r="F2761">
            <v>43192</v>
          </cell>
          <cell r="G2761">
            <v>43555</v>
          </cell>
          <cell r="H2761" t="str">
            <v>PRD</v>
          </cell>
          <cell r="I2761" t="str">
            <v>PRD</v>
          </cell>
          <cell r="J2761" t="str">
            <v>HV TOYOTA</v>
          </cell>
          <cell r="K2761" t="str">
            <v xml:space="preserve">HV TOYOTA AC </v>
          </cell>
          <cell r="L2761" t="str">
            <v>CV HV 10A</v>
          </cell>
          <cell r="M2761" t="str">
            <v>ICM-TA-01,02, CSM-TA-01,02, PB 10-TA-01,CM-66-TA-01</v>
          </cell>
          <cell r="N2761" t="str">
            <v>WFAP 2.1</v>
          </cell>
          <cell r="O2761" t="str">
            <v>B</v>
          </cell>
        </row>
        <row r="2762">
          <cell r="A2762">
            <v>22292</v>
          </cell>
          <cell r="B2762" t="str">
            <v>ITA KURNIASARI</v>
          </cell>
          <cell r="C2762" t="str">
            <v>SAMI</v>
          </cell>
          <cell r="D2762" t="str">
            <v>OPT-555</v>
          </cell>
          <cell r="E2762">
            <v>43192</v>
          </cell>
          <cell r="F2762">
            <v>43222</v>
          </cell>
          <cell r="G2762">
            <v>43585</v>
          </cell>
          <cell r="H2762" t="str">
            <v>PRD</v>
          </cell>
          <cell r="I2762" t="str">
            <v>PRD</v>
          </cell>
          <cell r="J2762" t="str">
            <v>HV TOYOTA</v>
          </cell>
          <cell r="K2762" t="str">
            <v xml:space="preserve">HV TOYOTA AC </v>
          </cell>
          <cell r="L2762" t="str">
            <v>CV HV 10A</v>
          </cell>
          <cell r="M2762" t="str">
            <v>PB10-TA-02, CM66-TA-02, CSM-TA-03, CM63-TA-01</v>
          </cell>
          <cell r="N2762" t="str">
            <v>WFAP 2.1</v>
          </cell>
          <cell r="O2762" t="str">
            <v>B</v>
          </cell>
        </row>
        <row r="2763">
          <cell r="A2763">
            <v>22293</v>
          </cell>
          <cell r="B2763" t="str">
            <v>LAILIA PUJI AGUSTIN</v>
          </cell>
          <cell r="C2763" t="str">
            <v>SAMI</v>
          </cell>
          <cell r="D2763" t="str">
            <v>OPT-555</v>
          </cell>
          <cell r="E2763">
            <v>43192</v>
          </cell>
          <cell r="F2763">
            <v>43222</v>
          </cell>
          <cell r="G2763">
            <v>43585</v>
          </cell>
          <cell r="H2763" t="str">
            <v>PRD</v>
          </cell>
          <cell r="I2763" t="str">
            <v>PRD</v>
          </cell>
          <cell r="J2763" t="str">
            <v>HV TOYOTA</v>
          </cell>
          <cell r="K2763" t="str">
            <v xml:space="preserve">HV TOYOTA AC </v>
          </cell>
          <cell r="L2763" t="str">
            <v>CV HV 10A</v>
          </cell>
          <cell r="M2763" t="str">
            <v>S/T, T/P, CK-03</v>
          </cell>
          <cell r="N2763" t="str">
            <v>ASSEMBLY</v>
          </cell>
          <cell r="O2763" t="str">
            <v>B</v>
          </cell>
        </row>
        <row r="2764">
          <cell r="A2764">
            <v>22448</v>
          </cell>
          <cell r="B2764" t="str">
            <v>DWI ARIYANI</v>
          </cell>
          <cell r="C2764" t="str">
            <v>SAMI</v>
          </cell>
          <cell r="D2764" t="str">
            <v>OPT-559</v>
          </cell>
          <cell r="E2764">
            <v>43220</v>
          </cell>
          <cell r="F2764">
            <v>43250</v>
          </cell>
          <cell r="G2764">
            <v>43616</v>
          </cell>
          <cell r="H2764" t="str">
            <v>PRD</v>
          </cell>
          <cell r="I2764" t="str">
            <v>PRD</v>
          </cell>
          <cell r="J2764" t="str">
            <v>HV TOYOTA</v>
          </cell>
          <cell r="K2764" t="str">
            <v xml:space="preserve">HV TOYOTA AC </v>
          </cell>
          <cell r="L2764" t="str">
            <v>CV HV 10A</v>
          </cell>
          <cell r="M2764" t="str">
            <v>CM66-TA-03, MC2-TA-01,02, SSM-TA-01,02</v>
          </cell>
          <cell r="N2764" t="str">
            <v>WFAP 2.1</v>
          </cell>
          <cell r="O2764" t="str">
            <v>B</v>
          </cell>
        </row>
        <row r="2765">
          <cell r="A2765">
            <v>22882</v>
          </cell>
          <cell r="B2765" t="str">
            <v>REZA TRI WIDYANINGSIH</v>
          </cell>
          <cell r="C2765" t="str">
            <v>SAMI</v>
          </cell>
          <cell r="D2765" t="str">
            <v>OPT-567</v>
          </cell>
          <cell r="E2765">
            <v>43333</v>
          </cell>
          <cell r="F2765">
            <v>43364</v>
          </cell>
          <cell r="G2765">
            <v>43738</v>
          </cell>
          <cell r="H2765" t="str">
            <v>PRD</v>
          </cell>
          <cell r="I2765" t="str">
            <v>PRD</v>
          </cell>
          <cell r="J2765" t="str">
            <v>HV TOYOTA</v>
          </cell>
          <cell r="K2765" t="str">
            <v xml:space="preserve">HV TOYOTA AC </v>
          </cell>
          <cell r="L2765" t="str">
            <v>CV HV 10A</v>
          </cell>
          <cell r="M2765" t="str">
            <v>MATERIAL SUPPLY FA</v>
          </cell>
          <cell r="N2765" t="str">
            <v>MATERIAL SUPPLY</v>
          </cell>
          <cell r="O2765" t="str">
            <v>B</v>
          </cell>
        </row>
        <row r="2766">
          <cell r="A2766">
            <v>23140</v>
          </cell>
          <cell r="B2766" t="str">
            <v>MUHAMMAD SYARIFUDIN</v>
          </cell>
          <cell r="C2766" t="str">
            <v>SAMI</v>
          </cell>
          <cell r="D2766" t="str">
            <v>OPT-570</v>
          </cell>
          <cell r="E2766">
            <v>43369</v>
          </cell>
          <cell r="F2766">
            <v>43399</v>
          </cell>
          <cell r="G2766">
            <v>43769</v>
          </cell>
          <cell r="H2766" t="str">
            <v>PRD</v>
          </cell>
          <cell r="I2766" t="str">
            <v>PRD</v>
          </cell>
          <cell r="J2766" t="str">
            <v>HV TOYOTA</v>
          </cell>
          <cell r="K2766" t="str">
            <v xml:space="preserve">HV TOYOTA AC </v>
          </cell>
          <cell r="L2766" t="str">
            <v>CV HV 10A</v>
          </cell>
          <cell r="M2766" t="str">
            <v>MATERIAL SUPPLY CPA</v>
          </cell>
          <cell r="N2766" t="str">
            <v>MATERIAL SUPPLY</v>
          </cell>
          <cell r="O2766" t="str">
            <v>B</v>
          </cell>
        </row>
        <row r="2767">
          <cell r="A2767">
            <v>23436</v>
          </cell>
          <cell r="B2767" t="str">
            <v>MIRNA AMBARWATI</v>
          </cell>
          <cell r="C2767" t="str">
            <v>SAMI</v>
          </cell>
          <cell r="D2767" t="str">
            <v>OPT-575</v>
          </cell>
          <cell r="E2767">
            <v>43434</v>
          </cell>
          <cell r="F2767">
            <v>43464</v>
          </cell>
          <cell r="G2767">
            <v>43830</v>
          </cell>
          <cell r="H2767" t="str">
            <v>PRD</v>
          </cell>
          <cell r="I2767" t="str">
            <v>PRD</v>
          </cell>
          <cell r="J2767" t="str">
            <v>HV TOYOTA</v>
          </cell>
          <cell r="K2767" t="str">
            <v xml:space="preserve">HV TOYOTA AC </v>
          </cell>
          <cell r="L2767" t="str">
            <v>CV HV 10A</v>
          </cell>
          <cell r="M2767" t="str">
            <v>S/T,T/P,C/K-01</v>
          </cell>
          <cell r="N2767" t="str">
            <v>ASSEMBLY</v>
          </cell>
          <cell r="O2767" t="str">
            <v>B</v>
          </cell>
        </row>
        <row r="2768">
          <cell r="A2768">
            <v>198</v>
          </cell>
          <cell r="B2768" t="str">
            <v>AGUS TRIYONO</v>
          </cell>
          <cell r="C2768" t="str">
            <v>SAMI</v>
          </cell>
          <cell r="D2768" t="str">
            <v>TKN-2</v>
          </cell>
          <cell r="E2768">
            <v>37679</v>
          </cell>
          <cell r="F2768" t="str">
            <v>-</v>
          </cell>
          <cell r="G2768" t="str">
            <v>-</v>
          </cell>
          <cell r="H2768" t="str">
            <v>PRD</v>
          </cell>
          <cell r="I2768" t="str">
            <v>PRD</v>
          </cell>
          <cell r="J2768" t="str">
            <v>HV TOYOTA</v>
          </cell>
          <cell r="K2768" t="str">
            <v xml:space="preserve">HV TOYOTA AC </v>
          </cell>
          <cell r="L2768" t="str">
            <v>CV HV 10B</v>
          </cell>
          <cell r="M2768" t="str">
            <v>MATERIAL SUPPLY</v>
          </cell>
          <cell r="N2768" t="str">
            <v>MATERIAL SUPPLY</v>
          </cell>
          <cell r="O2768" t="str">
            <v>A</v>
          </cell>
        </row>
        <row r="2769">
          <cell r="A2769">
            <v>12466</v>
          </cell>
          <cell r="B2769" t="str">
            <v>HENI INDRA SARI</v>
          </cell>
          <cell r="C2769" t="str">
            <v>SAMI</v>
          </cell>
          <cell r="D2769" t="str">
            <v>OPT-318</v>
          </cell>
          <cell r="E2769">
            <v>40812</v>
          </cell>
          <cell r="F2769" t="str">
            <v>-</v>
          </cell>
          <cell r="G2769" t="str">
            <v>-</v>
          </cell>
          <cell r="H2769" t="str">
            <v>PRD</v>
          </cell>
          <cell r="I2769" t="str">
            <v>PRD</v>
          </cell>
          <cell r="J2769" t="str">
            <v>HV TOYOTA</v>
          </cell>
          <cell r="K2769" t="str">
            <v xml:space="preserve">HV TOYOTA AC </v>
          </cell>
          <cell r="L2769" t="str">
            <v>CV HV 10B</v>
          </cell>
          <cell r="M2769" t="str">
            <v>BFT</v>
          </cell>
          <cell r="N2769" t="str">
            <v>ASSEMBLY</v>
          </cell>
          <cell r="O2769" t="str">
            <v>A</v>
          </cell>
        </row>
        <row r="2770">
          <cell r="A2770">
            <v>12499</v>
          </cell>
          <cell r="B2770" t="str">
            <v>NOVIA SARI</v>
          </cell>
          <cell r="C2770" t="str">
            <v>SAMI</v>
          </cell>
          <cell r="D2770" t="str">
            <v>OPT-318</v>
          </cell>
          <cell r="E2770">
            <v>40812</v>
          </cell>
          <cell r="F2770" t="str">
            <v>-</v>
          </cell>
          <cell r="G2770" t="str">
            <v>-</v>
          </cell>
          <cell r="H2770" t="str">
            <v>PRD</v>
          </cell>
          <cell r="I2770" t="str">
            <v>PRD</v>
          </cell>
          <cell r="J2770" t="str">
            <v>HV TOYOTA</v>
          </cell>
          <cell r="K2770" t="str">
            <v xml:space="preserve">HV TOYOTA AC </v>
          </cell>
          <cell r="L2770" t="str">
            <v>CV HV 10B</v>
          </cell>
          <cell r="M2770" t="str">
            <v>LQC</v>
          </cell>
          <cell r="N2770" t="str">
            <v>RELIEF</v>
          </cell>
          <cell r="O2770" t="str">
            <v>A</v>
          </cell>
        </row>
        <row r="2771">
          <cell r="A2771">
            <v>20850</v>
          </cell>
          <cell r="B2771" t="str">
            <v>AWALIA RAHMAWATI</v>
          </cell>
          <cell r="C2771" t="str">
            <v>SAMI</v>
          </cell>
          <cell r="D2771" t="str">
            <v>OPT-510</v>
          </cell>
          <cell r="E2771">
            <v>42660</v>
          </cell>
          <cell r="F2771">
            <v>43160</v>
          </cell>
          <cell r="G2771">
            <v>43524</v>
          </cell>
          <cell r="H2771" t="str">
            <v>PRD</v>
          </cell>
          <cell r="I2771" t="str">
            <v>PRD</v>
          </cell>
          <cell r="J2771" t="str">
            <v>HV TOYOTA</v>
          </cell>
          <cell r="K2771" t="str">
            <v xml:space="preserve">HV TOYOTA AC </v>
          </cell>
          <cell r="L2771" t="str">
            <v>CV HV 10B</v>
          </cell>
          <cell r="M2771" t="str">
            <v>S/T, T/P, C/K 01</v>
          </cell>
          <cell r="N2771" t="str">
            <v>ASSEMBLY</v>
          </cell>
          <cell r="O2771" t="str">
            <v>A</v>
          </cell>
        </row>
        <row r="2772">
          <cell r="A2772">
            <v>20853</v>
          </cell>
          <cell r="B2772" t="str">
            <v>DEWI AYU SEPTIANINGRUM</v>
          </cell>
          <cell r="C2772" t="str">
            <v>SAMI</v>
          </cell>
          <cell r="D2772" t="str">
            <v>OPT-510</v>
          </cell>
          <cell r="E2772">
            <v>42660</v>
          </cell>
          <cell r="F2772">
            <v>43160</v>
          </cell>
          <cell r="G2772">
            <v>43524</v>
          </cell>
          <cell r="H2772" t="str">
            <v>PRD</v>
          </cell>
          <cell r="I2772" t="str">
            <v>PRD</v>
          </cell>
          <cell r="J2772" t="str">
            <v>HV TOYOTA</v>
          </cell>
          <cell r="K2772" t="str">
            <v xml:space="preserve">HV TOYOTA AC </v>
          </cell>
          <cell r="L2772" t="str">
            <v>CV HV 10B</v>
          </cell>
          <cell r="M2772" t="str">
            <v>S/T,T/P,C/K-04</v>
          </cell>
          <cell r="N2772" t="str">
            <v>ASSEMBLY</v>
          </cell>
          <cell r="O2772" t="str">
            <v>A</v>
          </cell>
        </row>
        <row r="2773">
          <cell r="A2773">
            <v>20855</v>
          </cell>
          <cell r="B2773" t="str">
            <v>DIANA AGUSTIN</v>
          </cell>
          <cell r="C2773" t="str">
            <v>SAMI</v>
          </cell>
          <cell r="D2773" t="str">
            <v>OPT-510</v>
          </cell>
          <cell r="E2773">
            <v>42660</v>
          </cell>
          <cell r="F2773">
            <v>43160</v>
          </cell>
          <cell r="G2773">
            <v>43524</v>
          </cell>
          <cell r="H2773" t="str">
            <v>PRD</v>
          </cell>
          <cell r="I2773" t="str">
            <v>PRD</v>
          </cell>
          <cell r="J2773" t="str">
            <v>HV TOYOTA</v>
          </cell>
          <cell r="K2773" t="str">
            <v xml:space="preserve">HV TOYOTA AC </v>
          </cell>
          <cell r="L2773" t="str">
            <v>CV HV 10B</v>
          </cell>
          <cell r="M2773" t="str">
            <v>HV TESTER + VISUAL 01</v>
          </cell>
          <cell r="N2773" t="str">
            <v>V. TEST</v>
          </cell>
          <cell r="O2773" t="str">
            <v>A</v>
          </cell>
        </row>
        <row r="2774">
          <cell r="A2774">
            <v>20892</v>
          </cell>
          <cell r="B2774" t="str">
            <v xml:space="preserve">RUUL MULIANA FITRI </v>
          </cell>
          <cell r="C2774" t="str">
            <v>SAMI</v>
          </cell>
          <cell r="D2774" t="str">
            <v>OPT-510</v>
          </cell>
          <cell r="E2774">
            <v>42660</v>
          </cell>
          <cell r="F2774">
            <v>43160</v>
          </cell>
          <cell r="G2774">
            <v>43524</v>
          </cell>
          <cell r="H2774" t="str">
            <v>PRD</v>
          </cell>
          <cell r="I2774" t="str">
            <v>PRD</v>
          </cell>
          <cell r="J2774" t="str">
            <v>HV TOYOTA</v>
          </cell>
          <cell r="K2774" t="str">
            <v xml:space="preserve">HV TOYOTA AC </v>
          </cell>
          <cell r="L2774" t="str">
            <v>CV HV 10B</v>
          </cell>
          <cell r="M2774" t="str">
            <v>PB10-TA-02, CM66-TA-02, CSM-TA-03, CM63-TA-01</v>
          </cell>
          <cell r="N2774" t="str">
            <v>WFAP 2.1</v>
          </cell>
          <cell r="O2774" t="str">
            <v>A</v>
          </cell>
        </row>
        <row r="2775">
          <cell r="A2775">
            <v>21777</v>
          </cell>
          <cell r="B2775" t="str">
            <v>MEIDA IRIANTI</v>
          </cell>
          <cell r="C2775" t="str">
            <v>SAMI</v>
          </cell>
          <cell r="D2775" t="str">
            <v>OPT-540</v>
          </cell>
          <cell r="E2775">
            <v>43090</v>
          </cell>
          <cell r="F2775">
            <v>43121</v>
          </cell>
          <cell r="G2775">
            <v>43496</v>
          </cell>
          <cell r="H2775" t="str">
            <v>PRD</v>
          </cell>
          <cell r="I2775" t="str">
            <v>PRD</v>
          </cell>
          <cell r="J2775" t="str">
            <v>HV TOYOTA</v>
          </cell>
          <cell r="K2775" t="str">
            <v xml:space="preserve">HV TOYOTA AC </v>
          </cell>
          <cell r="L2775" t="str">
            <v>CV HV 10B</v>
          </cell>
          <cell r="M2775" t="str">
            <v>S/T, T/P, C/K-02</v>
          </cell>
          <cell r="N2775" t="str">
            <v>ASSEMBLY</v>
          </cell>
          <cell r="O2775" t="str">
            <v>A</v>
          </cell>
        </row>
        <row r="2776">
          <cell r="A2776">
            <v>22036</v>
          </cell>
          <cell r="B2776" t="str">
            <v>MELA OKTAFIANI</v>
          </cell>
          <cell r="C2776" t="str">
            <v>SAMI</v>
          </cell>
          <cell r="D2776" t="str">
            <v>OPT-547</v>
          </cell>
          <cell r="E2776">
            <v>43144</v>
          </cell>
          <cell r="F2776">
            <v>43172</v>
          </cell>
          <cell r="G2776">
            <v>43524</v>
          </cell>
          <cell r="H2776" t="str">
            <v>PRD</v>
          </cell>
          <cell r="I2776" t="str">
            <v>PRD</v>
          </cell>
          <cell r="J2776" t="str">
            <v>HV TOYOTA</v>
          </cell>
          <cell r="K2776" t="str">
            <v xml:space="preserve">HV TOYOTA AC </v>
          </cell>
          <cell r="L2776" t="str">
            <v>CV HV 10B</v>
          </cell>
          <cell r="M2776" t="str">
            <v>ICM-TA-01,02, CSM-TA-01,02, PB 10-TA-01,CM-66-TA-01</v>
          </cell>
          <cell r="N2776" t="str">
            <v>WFAP 2.1</v>
          </cell>
          <cell r="O2776" t="str">
            <v>A</v>
          </cell>
        </row>
        <row r="2777">
          <cell r="A2777">
            <v>22522</v>
          </cell>
          <cell r="B2777" t="str">
            <v>DEWI PUJI RATNASARI</v>
          </cell>
          <cell r="C2777" t="str">
            <v>SAMI</v>
          </cell>
          <cell r="D2777" t="str">
            <v>OPT-560</v>
          </cell>
          <cell r="E2777">
            <v>43224</v>
          </cell>
          <cell r="F2777">
            <v>43255</v>
          </cell>
          <cell r="G2777">
            <v>43616</v>
          </cell>
          <cell r="H2777" t="str">
            <v>PRD</v>
          </cell>
          <cell r="I2777" t="str">
            <v>PRD</v>
          </cell>
          <cell r="J2777" t="str">
            <v>HV TOYOTA</v>
          </cell>
          <cell r="K2777" t="str">
            <v xml:space="preserve">HV TOYOTA AC </v>
          </cell>
          <cell r="L2777" t="str">
            <v>CV HV 10B</v>
          </cell>
          <cell r="M2777" t="str">
            <v>S/T, T/P, C/K 05</v>
          </cell>
          <cell r="N2777" t="str">
            <v>ASSEMBLY</v>
          </cell>
          <cell r="O2777" t="str">
            <v>A</v>
          </cell>
        </row>
        <row r="2778">
          <cell r="A2778">
            <v>22724</v>
          </cell>
          <cell r="B2778" t="str">
            <v>ASRIYAH</v>
          </cell>
          <cell r="C2778" t="str">
            <v>SAMI</v>
          </cell>
          <cell r="D2778" t="str">
            <v>OPT-564</v>
          </cell>
          <cell r="E2778">
            <v>43255</v>
          </cell>
          <cell r="F2778">
            <v>43285</v>
          </cell>
          <cell r="G2778">
            <v>43646</v>
          </cell>
          <cell r="H2778" t="str">
            <v>PRD</v>
          </cell>
          <cell r="I2778" t="str">
            <v>PRD</v>
          </cell>
          <cell r="J2778" t="str">
            <v>HV TOYOTA</v>
          </cell>
          <cell r="K2778" t="str">
            <v xml:space="preserve">HV TOYOTA AC </v>
          </cell>
          <cell r="L2778" t="str">
            <v>CV HV 10B</v>
          </cell>
          <cell r="M2778" t="str">
            <v>CM66-TA-03, MC2-TA-01, MC2-TA-02</v>
          </cell>
          <cell r="N2778" t="str">
            <v>WFAP 2.1</v>
          </cell>
          <cell r="O2778" t="str">
            <v>A</v>
          </cell>
        </row>
        <row r="2779">
          <cell r="A2779">
            <v>23099</v>
          </cell>
          <cell r="B2779" t="str">
            <v>ARINA NUR DIANA</v>
          </cell>
          <cell r="C2779" t="str">
            <v>SAMI</v>
          </cell>
          <cell r="D2779" t="str">
            <v>OPT-570</v>
          </cell>
          <cell r="E2779">
            <v>43369</v>
          </cell>
          <cell r="F2779">
            <v>43399</v>
          </cell>
          <cell r="G2779">
            <v>43769</v>
          </cell>
          <cell r="H2779" t="str">
            <v>PRD</v>
          </cell>
          <cell r="I2779" t="str">
            <v>PRD</v>
          </cell>
          <cell r="J2779" t="str">
            <v>HV TOYOTA</v>
          </cell>
          <cell r="K2779" t="str">
            <v xml:space="preserve">HV TOYOTA AC </v>
          </cell>
          <cell r="L2779" t="str">
            <v>CV HV 10B</v>
          </cell>
          <cell r="M2779" t="str">
            <v>MATERIAL SUPPLY</v>
          </cell>
          <cell r="N2779" t="str">
            <v>MATERIAL SUPPLY</v>
          </cell>
          <cell r="O2779" t="str">
            <v>A</v>
          </cell>
        </row>
        <row r="2780">
          <cell r="A2780">
            <v>23176</v>
          </cell>
          <cell r="B2780" t="str">
            <v>UMI HANIK</v>
          </cell>
          <cell r="C2780" t="str">
            <v>SAMI</v>
          </cell>
          <cell r="D2780" t="str">
            <v>OPT-570</v>
          </cell>
          <cell r="E2780">
            <v>43369</v>
          </cell>
          <cell r="F2780">
            <v>43399</v>
          </cell>
          <cell r="G2780">
            <v>43769</v>
          </cell>
          <cell r="H2780" t="str">
            <v>PRD</v>
          </cell>
          <cell r="I2780" t="str">
            <v>PRD</v>
          </cell>
          <cell r="J2780" t="str">
            <v>HV TOYOTA</v>
          </cell>
          <cell r="K2780" t="str">
            <v xml:space="preserve">HV TOYOTA AC </v>
          </cell>
          <cell r="L2780" t="str">
            <v>CV HV 10B</v>
          </cell>
          <cell r="M2780" t="str">
            <v>MATERIAL SUPPLY</v>
          </cell>
          <cell r="N2780" t="str">
            <v>MATERIAL SUPPLY</v>
          </cell>
          <cell r="O2780" t="str">
            <v>A</v>
          </cell>
        </row>
        <row r="2781">
          <cell r="A2781" t="str">
            <v>M23613</v>
          </cell>
          <cell r="B2781" t="str">
            <v>ASTUTIK</v>
          </cell>
          <cell r="C2781" t="str">
            <v>SAMI</v>
          </cell>
          <cell r="D2781" t="str">
            <v>OPT-578</v>
          </cell>
          <cell r="E2781">
            <v>43467</v>
          </cell>
          <cell r="F2781">
            <v>43467</v>
          </cell>
          <cell r="G2781">
            <v>43497</v>
          </cell>
          <cell r="H2781" t="str">
            <v>PRD</v>
          </cell>
          <cell r="I2781" t="str">
            <v>PRD</v>
          </cell>
          <cell r="J2781" t="str">
            <v>HV TOYOTA</v>
          </cell>
          <cell r="K2781" t="str">
            <v xml:space="preserve">HV TOYOTA AC </v>
          </cell>
          <cell r="L2781" t="str">
            <v>CV HV 10B</v>
          </cell>
          <cell r="M2781" t="str">
            <v>OJT</v>
          </cell>
          <cell r="N2781" t="str">
            <v>INTERNAL TRIAL</v>
          </cell>
          <cell r="O2781" t="str">
            <v>A</v>
          </cell>
        </row>
        <row r="2782">
          <cell r="A2782">
            <v>10372</v>
          </cell>
          <cell r="B2782" t="str">
            <v>IDA FATQUL ROCHMAH</v>
          </cell>
          <cell r="C2782" t="str">
            <v>SAMI</v>
          </cell>
          <cell r="D2782" t="str">
            <v>OPT-267</v>
          </cell>
          <cell r="E2782">
            <v>40513</v>
          </cell>
          <cell r="F2782" t="str">
            <v>-</v>
          </cell>
          <cell r="G2782" t="str">
            <v>-</v>
          </cell>
          <cell r="H2782" t="str">
            <v>PRD</v>
          </cell>
          <cell r="I2782" t="str">
            <v>PRD</v>
          </cell>
          <cell r="J2782" t="str">
            <v>HV TOYOTA</v>
          </cell>
          <cell r="K2782" t="str">
            <v xml:space="preserve">HV TOYOTA AC </v>
          </cell>
          <cell r="L2782" t="str">
            <v>CV HV 10B</v>
          </cell>
          <cell r="M2782" t="str">
            <v>LQC</v>
          </cell>
          <cell r="N2782" t="str">
            <v>RELIEF</v>
          </cell>
          <cell r="O2782" t="str">
            <v>B</v>
          </cell>
        </row>
        <row r="2783">
          <cell r="A2783">
            <v>10763</v>
          </cell>
          <cell r="B2783" t="str">
            <v>YOSSI MAULITA GIAS</v>
          </cell>
          <cell r="C2783" t="str">
            <v>SAMI</v>
          </cell>
          <cell r="D2783" t="str">
            <v>OPT-281</v>
          </cell>
          <cell r="E2783">
            <v>40566</v>
          </cell>
          <cell r="F2783" t="str">
            <v>-</v>
          </cell>
          <cell r="G2783" t="str">
            <v>-</v>
          </cell>
          <cell r="H2783" t="str">
            <v>PRD</v>
          </cell>
          <cell r="I2783" t="str">
            <v>PRD</v>
          </cell>
          <cell r="J2783" t="str">
            <v>HV TOYOTA</v>
          </cell>
          <cell r="K2783" t="str">
            <v xml:space="preserve">HV TOYOTA AC </v>
          </cell>
          <cell r="L2783" t="str">
            <v>CV HV 10B</v>
          </cell>
          <cell r="M2783" t="str">
            <v>BFT</v>
          </cell>
          <cell r="N2783" t="str">
            <v>ASSEMBLY</v>
          </cell>
          <cell r="O2783" t="str">
            <v>B</v>
          </cell>
        </row>
        <row r="2784">
          <cell r="A2784">
            <v>11049</v>
          </cell>
          <cell r="B2784" t="str">
            <v>SEPTIAN NOVIA ANGGRAINI</v>
          </cell>
          <cell r="C2784" t="str">
            <v>SAMI</v>
          </cell>
          <cell r="D2784" t="str">
            <v>OPT-288</v>
          </cell>
          <cell r="E2784">
            <v>40592</v>
          </cell>
          <cell r="F2784" t="str">
            <v>-</v>
          </cell>
          <cell r="G2784" t="str">
            <v>-</v>
          </cell>
          <cell r="H2784" t="str">
            <v>PRD</v>
          </cell>
          <cell r="I2784" t="str">
            <v>PRD</v>
          </cell>
          <cell r="J2784" t="str">
            <v>HV TOYOTA</v>
          </cell>
          <cell r="K2784" t="str">
            <v xml:space="preserve">HV TOYOTA AC </v>
          </cell>
          <cell r="L2784" t="str">
            <v>CV HV 10B</v>
          </cell>
          <cell r="M2784" t="str">
            <v>SUB LINE CHO</v>
          </cell>
          <cell r="N2784" t="str">
            <v>GL</v>
          </cell>
          <cell r="O2784" t="str">
            <v>B</v>
          </cell>
        </row>
        <row r="2785">
          <cell r="A2785">
            <v>11455</v>
          </cell>
          <cell r="B2785" t="str">
            <v>NOVI DYAH NINGRUM</v>
          </cell>
          <cell r="C2785" t="str">
            <v>SAMI</v>
          </cell>
          <cell r="D2785" t="str">
            <v>OPT-306</v>
          </cell>
          <cell r="E2785">
            <v>40701</v>
          </cell>
          <cell r="F2785" t="str">
            <v>-</v>
          </cell>
          <cell r="G2785" t="str">
            <v>-</v>
          </cell>
          <cell r="H2785" t="str">
            <v>PRD</v>
          </cell>
          <cell r="I2785" t="str">
            <v>PRD</v>
          </cell>
          <cell r="J2785" t="str">
            <v>HV TOYOTA</v>
          </cell>
          <cell r="K2785" t="str">
            <v xml:space="preserve">HV TOYOTA AC </v>
          </cell>
          <cell r="L2785" t="str">
            <v>CV HV 10B</v>
          </cell>
          <cell r="M2785" t="str">
            <v>S/T, T/P, C/K</v>
          </cell>
          <cell r="N2785" t="str">
            <v>ASSEMBLY</v>
          </cell>
          <cell r="O2785" t="str">
            <v>B</v>
          </cell>
        </row>
        <row r="2786">
          <cell r="A2786">
            <v>20768</v>
          </cell>
          <cell r="B2786" t="str">
            <v xml:space="preserve">TRI IVANINGSIH </v>
          </cell>
          <cell r="C2786" t="str">
            <v>SAMI</v>
          </cell>
          <cell r="D2786" t="str">
            <v>OPT-506</v>
          </cell>
          <cell r="E2786">
            <v>42642</v>
          </cell>
          <cell r="F2786">
            <v>43132</v>
          </cell>
          <cell r="G2786">
            <v>43496</v>
          </cell>
          <cell r="H2786" t="str">
            <v>PRD</v>
          </cell>
          <cell r="I2786" t="str">
            <v>PRD</v>
          </cell>
          <cell r="J2786" t="str">
            <v>HV TOYOTA</v>
          </cell>
          <cell r="K2786" t="str">
            <v xml:space="preserve">HV TOYOTA AC </v>
          </cell>
          <cell r="L2786" t="str">
            <v>CV HV 10B</v>
          </cell>
          <cell r="M2786" t="str">
            <v>S/T, T/P, C/K</v>
          </cell>
          <cell r="N2786" t="str">
            <v>ASSEMBLY</v>
          </cell>
          <cell r="O2786" t="str">
            <v>B</v>
          </cell>
        </row>
        <row r="2787">
          <cell r="A2787">
            <v>20849</v>
          </cell>
          <cell r="B2787" t="str">
            <v>ASTRI OKTAFIYANI</v>
          </cell>
          <cell r="C2787" t="str">
            <v>SAMI</v>
          </cell>
          <cell r="D2787" t="str">
            <v>OPT-510</v>
          </cell>
          <cell r="E2787">
            <v>42660</v>
          </cell>
          <cell r="F2787">
            <v>43160</v>
          </cell>
          <cell r="G2787">
            <v>43524</v>
          </cell>
          <cell r="H2787" t="str">
            <v>PRD</v>
          </cell>
          <cell r="I2787" t="str">
            <v>PRD</v>
          </cell>
          <cell r="J2787" t="str">
            <v>HV TOYOTA</v>
          </cell>
          <cell r="K2787" t="str">
            <v xml:space="preserve">HV TOYOTA AC </v>
          </cell>
          <cell r="L2787" t="str">
            <v>CV HV 10B</v>
          </cell>
          <cell r="M2787" t="str">
            <v>S/T, T/P, C/K</v>
          </cell>
          <cell r="N2787" t="str">
            <v>ASSEMBLY</v>
          </cell>
          <cell r="O2787" t="str">
            <v>B</v>
          </cell>
        </row>
        <row r="2788">
          <cell r="A2788">
            <v>21784</v>
          </cell>
          <cell r="B2788" t="str">
            <v>RETNO NURUL FATMAWATI</v>
          </cell>
          <cell r="C2788" t="str">
            <v>SAMI</v>
          </cell>
          <cell r="D2788" t="str">
            <v>OPT-540</v>
          </cell>
          <cell r="E2788">
            <v>43090</v>
          </cell>
          <cell r="F2788">
            <v>43121</v>
          </cell>
          <cell r="G2788">
            <v>43496</v>
          </cell>
          <cell r="H2788" t="str">
            <v>PRD</v>
          </cell>
          <cell r="I2788" t="str">
            <v>PRD</v>
          </cell>
          <cell r="J2788" t="str">
            <v>HV TOYOTA</v>
          </cell>
          <cell r="K2788" t="str">
            <v xml:space="preserve">HV TOYOTA AC </v>
          </cell>
          <cell r="L2788" t="str">
            <v>CV HV 10B</v>
          </cell>
          <cell r="M2788" t="str">
            <v>S/T, T/P, C/K</v>
          </cell>
          <cell r="N2788" t="str">
            <v>ASSEMBLY</v>
          </cell>
          <cell r="O2788" t="str">
            <v>B</v>
          </cell>
        </row>
        <row r="2789">
          <cell r="A2789">
            <v>22047</v>
          </cell>
          <cell r="B2789" t="str">
            <v>NURUL OKVIANI</v>
          </cell>
          <cell r="C2789" t="str">
            <v>SAMI</v>
          </cell>
          <cell r="D2789" t="str">
            <v>OPT-547</v>
          </cell>
          <cell r="E2789">
            <v>43144</v>
          </cell>
          <cell r="F2789">
            <v>43172</v>
          </cell>
          <cell r="G2789">
            <v>43524</v>
          </cell>
          <cell r="H2789" t="str">
            <v>PRD</v>
          </cell>
          <cell r="I2789" t="str">
            <v>PRD</v>
          </cell>
          <cell r="J2789" t="str">
            <v>HV TOYOTA</v>
          </cell>
          <cell r="K2789" t="str">
            <v xml:space="preserve">HV TOYOTA AC </v>
          </cell>
          <cell r="L2789" t="str">
            <v>CV HV 10B</v>
          </cell>
          <cell r="M2789" t="str">
            <v>CM66-TA-03, MC2-TA-01,02, SSM-TA-01,02</v>
          </cell>
          <cell r="N2789" t="str">
            <v>WFAP 2.1</v>
          </cell>
          <cell r="O2789" t="str">
            <v>B</v>
          </cell>
        </row>
        <row r="2790">
          <cell r="A2790">
            <v>22099</v>
          </cell>
          <cell r="B2790" t="str">
            <v>SOFIA AULIA MIFTAKHUL SALAMUN</v>
          </cell>
          <cell r="C2790" t="str">
            <v>SAMI</v>
          </cell>
          <cell r="D2790" t="str">
            <v>OPT-548</v>
          </cell>
          <cell r="E2790">
            <v>43150</v>
          </cell>
          <cell r="F2790">
            <v>43178</v>
          </cell>
          <cell r="G2790">
            <v>43555</v>
          </cell>
          <cell r="H2790" t="str">
            <v>PRD</v>
          </cell>
          <cell r="I2790" t="str">
            <v>PRD</v>
          </cell>
          <cell r="J2790" t="str">
            <v>HV TOYOTA</v>
          </cell>
          <cell r="K2790" t="str">
            <v xml:space="preserve">HV TOYOTA AC </v>
          </cell>
          <cell r="L2790" t="str">
            <v>CV HV 10B</v>
          </cell>
          <cell r="M2790" t="str">
            <v>CM66-TA-01,03, CSM-TA-03, MC2-TA-01,02,03, SSM-TA-01,02,03</v>
          </cell>
          <cell r="N2790" t="str">
            <v>WFAP 2.1</v>
          </cell>
          <cell r="O2790" t="str">
            <v>B</v>
          </cell>
        </row>
        <row r="2791">
          <cell r="A2791">
            <v>22313</v>
          </cell>
          <cell r="B2791" t="str">
            <v>SANTIKA DEWI</v>
          </cell>
          <cell r="C2791" t="str">
            <v>SAMI</v>
          </cell>
          <cell r="D2791" t="str">
            <v>OPT-555</v>
          </cell>
          <cell r="E2791">
            <v>43192</v>
          </cell>
          <cell r="F2791">
            <v>43222</v>
          </cell>
          <cell r="G2791">
            <v>43585</v>
          </cell>
          <cell r="H2791" t="str">
            <v>PRD</v>
          </cell>
          <cell r="I2791" t="str">
            <v>PRD</v>
          </cell>
          <cell r="J2791" t="str">
            <v>HV TOYOTA</v>
          </cell>
          <cell r="K2791" t="str">
            <v xml:space="preserve">HV TOYOTA AC </v>
          </cell>
          <cell r="L2791" t="str">
            <v>CV HV 10B</v>
          </cell>
          <cell r="M2791" t="str">
            <v>MATERIAL SUPPLY 2</v>
          </cell>
          <cell r="N2791" t="str">
            <v>MATERIAL SUPPLY</v>
          </cell>
          <cell r="O2791" t="str">
            <v>B</v>
          </cell>
        </row>
        <row r="2792">
          <cell r="A2792">
            <v>22498</v>
          </cell>
          <cell r="B2792" t="str">
            <v>SANTIKA SANDRA</v>
          </cell>
          <cell r="C2792" t="str">
            <v>SAMI</v>
          </cell>
          <cell r="D2792" t="str">
            <v>OPT-560</v>
          </cell>
          <cell r="E2792">
            <v>43224</v>
          </cell>
          <cell r="F2792">
            <v>43255</v>
          </cell>
          <cell r="G2792">
            <v>43616</v>
          </cell>
          <cell r="H2792" t="str">
            <v>PRD</v>
          </cell>
          <cell r="I2792" t="str">
            <v>PRD</v>
          </cell>
          <cell r="J2792" t="str">
            <v>HV TOYOTA</v>
          </cell>
          <cell r="K2792" t="str">
            <v xml:space="preserve">HV TOYOTA AC </v>
          </cell>
          <cell r="L2792" t="str">
            <v>CV HV 10B</v>
          </cell>
          <cell r="M2792" t="str">
            <v>HV TEST &amp; VISUAL 01</v>
          </cell>
          <cell r="N2792" t="str">
            <v>VISUAL INSPECTION</v>
          </cell>
          <cell r="O2792" t="str">
            <v>B</v>
          </cell>
        </row>
        <row r="2793">
          <cell r="A2793">
            <v>22532</v>
          </cell>
          <cell r="B2793" t="str">
            <v>IKA LUTFITA</v>
          </cell>
          <cell r="C2793" t="str">
            <v>SAMI</v>
          </cell>
          <cell r="D2793" t="str">
            <v>OPT-560</v>
          </cell>
          <cell r="E2793">
            <v>43224</v>
          </cell>
          <cell r="F2793">
            <v>43255</v>
          </cell>
          <cell r="G2793">
            <v>43616</v>
          </cell>
          <cell r="H2793" t="str">
            <v>PRD</v>
          </cell>
          <cell r="I2793" t="str">
            <v>PRD</v>
          </cell>
          <cell r="J2793" t="str">
            <v>HV TOYOTA</v>
          </cell>
          <cell r="K2793" t="str">
            <v xml:space="preserve">HV TOYOTA AC </v>
          </cell>
          <cell r="L2793" t="str">
            <v>CV HV 10B</v>
          </cell>
          <cell r="M2793" t="str">
            <v>MC2-TA-03, SSM-TA-03, INSERT TERMINAL</v>
          </cell>
          <cell r="N2793" t="str">
            <v>WFAP 2.1</v>
          </cell>
          <cell r="O2793" t="str">
            <v>B</v>
          </cell>
        </row>
        <row r="2794">
          <cell r="A2794">
            <v>23100</v>
          </cell>
          <cell r="B2794" t="str">
            <v>ATIKA WALUYANI</v>
          </cell>
          <cell r="C2794" t="str">
            <v>SAMI</v>
          </cell>
          <cell r="D2794" t="str">
            <v>OPT-570</v>
          </cell>
          <cell r="E2794">
            <v>43369</v>
          </cell>
          <cell r="F2794">
            <v>43399</v>
          </cell>
          <cell r="G2794">
            <v>43769</v>
          </cell>
          <cell r="H2794" t="str">
            <v>PRD</v>
          </cell>
          <cell r="I2794" t="str">
            <v>PRD</v>
          </cell>
          <cell r="J2794" t="str">
            <v>HV TOYOTA</v>
          </cell>
          <cell r="K2794" t="str">
            <v xml:space="preserve">HV TOYOTA AC </v>
          </cell>
          <cell r="L2794" t="str">
            <v>CV HV 10B</v>
          </cell>
          <cell r="M2794" t="str">
            <v>S/T, T/P, C/K</v>
          </cell>
          <cell r="N2794" t="str">
            <v>ASSEMBLY</v>
          </cell>
          <cell r="O2794" t="str">
            <v>B</v>
          </cell>
        </row>
        <row r="2795">
          <cell r="A2795">
            <v>23275</v>
          </cell>
          <cell r="B2795" t="str">
            <v>SUDARMAJI</v>
          </cell>
          <cell r="C2795" t="str">
            <v>SAMI</v>
          </cell>
          <cell r="D2795" t="str">
            <v>OPT-573</v>
          </cell>
          <cell r="E2795">
            <v>43421</v>
          </cell>
          <cell r="F2795">
            <v>43451</v>
          </cell>
          <cell r="G2795">
            <v>43830</v>
          </cell>
          <cell r="H2795" t="str">
            <v>PRD</v>
          </cell>
          <cell r="I2795" t="str">
            <v>PRD</v>
          </cell>
          <cell r="J2795" t="str">
            <v>HV TOYOTA</v>
          </cell>
          <cell r="K2795" t="str">
            <v xml:space="preserve">HV TOYOTA AC </v>
          </cell>
          <cell r="L2795" t="str">
            <v>CV HV 10B</v>
          </cell>
          <cell r="M2795" t="str">
            <v>MATERIAL SUPPLY</v>
          </cell>
          <cell r="N2795" t="str">
            <v>MATERIAL SUPPLY</v>
          </cell>
          <cell r="O2795" t="str">
            <v>B</v>
          </cell>
        </row>
        <row r="2796">
          <cell r="A2796">
            <v>23600</v>
          </cell>
          <cell r="B2796" t="str">
            <v>ULYA LATIFAH</v>
          </cell>
          <cell r="C2796" t="str">
            <v>SAMI</v>
          </cell>
          <cell r="D2796" t="str">
            <v>OPT-577</v>
          </cell>
          <cell r="E2796">
            <v>43452</v>
          </cell>
          <cell r="F2796">
            <v>43483</v>
          </cell>
          <cell r="G2796">
            <v>43861</v>
          </cell>
          <cell r="H2796" t="str">
            <v>PRD</v>
          </cell>
          <cell r="I2796" t="str">
            <v>PRD</v>
          </cell>
          <cell r="J2796" t="str">
            <v>HV TOYOTA</v>
          </cell>
          <cell r="K2796" t="str">
            <v xml:space="preserve">HV TOYOTA AC </v>
          </cell>
          <cell r="L2796" t="str">
            <v>CV HV 10B</v>
          </cell>
          <cell r="M2796" t="str">
            <v>OJT</v>
          </cell>
          <cell r="N2796" t="str">
            <v>INTERNAL TRIAL</v>
          </cell>
          <cell r="O2796" t="str">
            <v>B</v>
          </cell>
        </row>
        <row r="2797">
          <cell r="A2797">
            <v>9257</v>
          </cell>
          <cell r="B2797" t="str">
            <v>CATUR SUHARTANTI</v>
          </cell>
          <cell r="C2797" t="str">
            <v>SAMI</v>
          </cell>
          <cell r="D2797" t="str">
            <v>OPT-216</v>
          </cell>
          <cell r="E2797">
            <v>40148</v>
          </cell>
          <cell r="F2797" t="str">
            <v>-</v>
          </cell>
          <cell r="G2797" t="str">
            <v>-</v>
          </cell>
          <cell r="H2797" t="str">
            <v>PRD</v>
          </cell>
          <cell r="I2797" t="str">
            <v>PRD</v>
          </cell>
          <cell r="J2797" t="str">
            <v>HONDA BBP</v>
          </cell>
          <cell r="K2797" t="str">
            <v>HV HONDA 5JLA BBP</v>
          </cell>
          <cell r="L2797" t="str">
            <v>CV HV 11</v>
          </cell>
          <cell r="M2797" t="str">
            <v>S/A 130.1</v>
          </cell>
          <cell r="N2797" t="str">
            <v>SUB ASSY</v>
          </cell>
          <cell r="O2797" t="str">
            <v>A (NS)</v>
          </cell>
        </row>
        <row r="2798">
          <cell r="A2798">
            <v>12891</v>
          </cell>
          <cell r="B2798" t="str">
            <v>LISTIANI NURHAYATI</v>
          </cell>
          <cell r="C2798" t="str">
            <v>SAMI</v>
          </cell>
          <cell r="D2798" t="str">
            <v>OPT-322</v>
          </cell>
          <cell r="E2798">
            <v>40833</v>
          </cell>
          <cell r="F2798" t="str">
            <v>-</v>
          </cell>
          <cell r="G2798" t="str">
            <v>-</v>
          </cell>
          <cell r="H2798" t="str">
            <v>PRD</v>
          </cell>
          <cell r="I2798" t="str">
            <v>PRD</v>
          </cell>
          <cell r="J2798" t="str">
            <v>HONDA BBP</v>
          </cell>
          <cell r="K2798" t="str">
            <v>HV HONDA 5JLA BBP</v>
          </cell>
          <cell r="L2798" t="str">
            <v>CV HV 11</v>
          </cell>
          <cell r="M2798" t="str">
            <v>CHECKER + VISUAL 131</v>
          </cell>
          <cell r="N2798" t="str">
            <v>ELECTRICAL INSPECTION</v>
          </cell>
          <cell r="O2798" t="str">
            <v>A (NS)</v>
          </cell>
        </row>
        <row r="2799">
          <cell r="A2799">
            <v>20606</v>
          </cell>
          <cell r="B2799" t="str">
            <v>LASMINI</v>
          </cell>
          <cell r="C2799" t="str">
            <v>SAMI</v>
          </cell>
          <cell r="D2799" t="str">
            <v>OPT-505</v>
          </cell>
          <cell r="E2799">
            <v>42639</v>
          </cell>
          <cell r="F2799">
            <v>43132</v>
          </cell>
          <cell r="G2799">
            <v>43496</v>
          </cell>
          <cell r="H2799" t="str">
            <v>PRD</v>
          </cell>
          <cell r="I2799" t="str">
            <v>PRD</v>
          </cell>
          <cell r="J2799" t="str">
            <v>HONDA BBP</v>
          </cell>
          <cell r="K2799" t="str">
            <v>HV HONDA 5JLA BBP</v>
          </cell>
          <cell r="L2799" t="str">
            <v>CV HV 11</v>
          </cell>
          <cell r="M2799" t="str">
            <v>CIRCUIT SUPPLIER</v>
          </cell>
          <cell r="N2799" t="str">
            <v>CIRCUIT SUPPLY</v>
          </cell>
          <cell r="O2799" t="str">
            <v>A (NS)</v>
          </cell>
        </row>
        <row r="2800">
          <cell r="A2800">
            <v>21879</v>
          </cell>
          <cell r="B2800" t="str">
            <v>FRANSISKA MEISA</v>
          </cell>
          <cell r="C2800" t="str">
            <v>SAMI</v>
          </cell>
          <cell r="D2800" t="str">
            <v>OPT-542</v>
          </cell>
          <cell r="E2800">
            <v>43103</v>
          </cell>
          <cell r="F2800">
            <v>43134</v>
          </cell>
          <cell r="G2800">
            <v>43496</v>
          </cell>
          <cell r="H2800" t="str">
            <v>PRD</v>
          </cell>
          <cell r="I2800" t="str">
            <v>PRD</v>
          </cell>
          <cell r="J2800" t="str">
            <v>HONDA BBP</v>
          </cell>
          <cell r="K2800" t="str">
            <v>HV HONDA 5JLA BBP</v>
          </cell>
          <cell r="L2800" t="str">
            <v>CV HV 11</v>
          </cell>
          <cell r="M2800" t="str">
            <v>S/A 131.1</v>
          </cell>
          <cell r="N2800" t="str">
            <v>SUB ASSY</v>
          </cell>
          <cell r="O2800" t="str">
            <v>A (NS)</v>
          </cell>
        </row>
        <row r="2801">
          <cell r="A2801">
            <v>22449</v>
          </cell>
          <cell r="B2801" t="str">
            <v>EKA FITRIA NINGSIH</v>
          </cell>
          <cell r="C2801" t="str">
            <v>SAMI</v>
          </cell>
          <cell r="D2801" t="str">
            <v>OPT-559</v>
          </cell>
          <cell r="E2801">
            <v>43220</v>
          </cell>
          <cell r="F2801">
            <v>43250</v>
          </cell>
          <cell r="G2801">
            <v>43616</v>
          </cell>
          <cell r="H2801" t="str">
            <v>PRD</v>
          </cell>
          <cell r="I2801" t="str">
            <v>PRD</v>
          </cell>
          <cell r="J2801" t="str">
            <v>HONDA BBP</v>
          </cell>
          <cell r="K2801" t="str">
            <v>HV HONDA 5JLA BBP</v>
          </cell>
          <cell r="L2801" t="str">
            <v>CV HV 11</v>
          </cell>
          <cell r="M2801" t="str">
            <v>S/A 130.2</v>
          </cell>
          <cell r="N2801" t="str">
            <v>SUB ASSY</v>
          </cell>
          <cell r="O2801" t="str">
            <v>A (NS)</v>
          </cell>
        </row>
        <row r="2802">
          <cell r="A2802">
            <v>23267</v>
          </cell>
          <cell r="B2802" t="str">
            <v>SEPTI DWI LESTARI</v>
          </cell>
          <cell r="C2802" t="str">
            <v>SAMI</v>
          </cell>
          <cell r="D2802" t="str">
            <v>OPT-573</v>
          </cell>
          <cell r="E2802">
            <v>43421</v>
          </cell>
          <cell r="F2802">
            <v>43451</v>
          </cell>
          <cell r="G2802">
            <v>43830</v>
          </cell>
          <cell r="H2802" t="str">
            <v>PRD</v>
          </cell>
          <cell r="I2802" t="str">
            <v>PRD</v>
          </cell>
          <cell r="J2802" t="str">
            <v>HONDA BBP</v>
          </cell>
          <cell r="K2802" t="str">
            <v>HV HONDA 5JLA BBP</v>
          </cell>
          <cell r="L2802" t="str">
            <v>CV HV 11</v>
          </cell>
          <cell r="M2802" t="str">
            <v>CK+VISUAL</v>
          </cell>
          <cell r="N2802" t="str">
            <v>ELECTRICAL INSPECTION</v>
          </cell>
          <cell r="O2802" t="str">
            <v>A (NS)</v>
          </cell>
        </row>
        <row r="2803">
          <cell r="A2803">
            <v>23398</v>
          </cell>
          <cell r="B2803" t="str">
            <v>ANISSATUN NUR AFIFAH</v>
          </cell>
          <cell r="C2803" t="str">
            <v>SAMI</v>
          </cell>
          <cell r="D2803" t="str">
            <v>OPT-575</v>
          </cell>
          <cell r="E2803">
            <v>43434</v>
          </cell>
          <cell r="F2803">
            <v>43464</v>
          </cell>
          <cell r="G2803">
            <v>43830</v>
          </cell>
          <cell r="H2803" t="str">
            <v>PRD</v>
          </cell>
          <cell r="I2803" t="str">
            <v>PRD</v>
          </cell>
          <cell r="J2803" t="str">
            <v>HONDA BBP</v>
          </cell>
          <cell r="K2803" t="str">
            <v>HV HONDA 5JLA BBP</v>
          </cell>
          <cell r="L2803" t="str">
            <v>CV HV 11</v>
          </cell>
          <cell r="M2803" t="str">
            <v>S/A 130.2</v>
          </cell>
          <cell r="N2803" t="str">
            <v>SUB ASSY</v>
          </cell>
          <cell r="O2803" t="str">
            <v>A (NS)</v>
          </cell>
        </row>
        <row r="2804">
          <cell r="A2804">
            <v>23413</v>
          </cell>
          <cell r="B2804" t="str">
            <v>FATKHIATIR RIZQILLAH</v>
          </cell>
          <cell r="C2804" t="str">
            <v>SAMI</v>
          </cell>
          <cell r="D2804" t="str">
            <v>OPT-575</v>
          </cell>
          <cell r="E2804">
            <v>43434</v>
          </cell>
          <cell r="F2804">
            <v>43464</v>
          </cell>
          <cell r="G2804">
            <v>43830</v>
          </cell>
          <cell r="H2804" t="str">
            <v>PRD</v>
          </cell>
          <cell r="I2804" t="str">
            <v>PRD</v>
          </cell>
          <cell r="J2804" t="str">
            <v>HONDA BBP</v>
          </cell>
          <cell r="K2804" t="str">
            <v>HV HONDA 5JLA BBP</v>
          </cell>
          <cell r="L2804" t="str">
            <v>CV HV 11</v>
          </cell>
          <cell r="M2804" t="str">
            <v>S/A 131.1</v>
          </cell>
          <cell r="N2804" t="str">
            <v>SUB ASSY</v>
          </cell>
          <cell r="O2804" t="str">
            <v>A (NS)</v>
          </cell>
        </row>
        <row r="2805">
          <cell r="A2805">
            <v>23597</v>
          </cell>
          <cell r="B2805" t="str">
            <v>TRI MURNIASIH</v>
          </cell>
          <cell r="C2805" t="str">
            <v>SAMI</v>
          </cell>
          <cell r="D2805" t="str">
            <v>OPT-577</v>
          </cell>
          <cell r="E2805">
            <v>43452</v>
          </cell>
          <cell r="F2805">
            <v>43483</v>
          </cell>
          <cell r="G2805">
            <v>43861</v>
          </cell>
          <cell r="H2805" t="str">
            <v>PRD</v>
          </cell>
          <cell r="I2805" t="str">
            <v>PRD</v>
          </cell>
          <cell r="J2805" t="str">
            <v>HONDA BBP</v>
          </cell>
          <cell r="K2805" t="str">
            <v>HV HONDA 5JLA BBP</v>
          </cell>
          <cell r="L2805" t="str">
            <v>CV HV 11</v>
          </cell>
          <cell r="M2805" t="str">
            <v>CIRCUIT SUPPLIER</v>
          </cell>
          <cell r="N2805" t="str">
            <v>CIRCUIT SUPPLY</v>
          </cell>
          <cell r="O2805" t="str">
            <v>A (NS)</v>
          </cell>
        </row>
        <row r="2806">
          <cell r="A2806">
            <v>5460</v>
          </cell>
          <cell r="B2806" t="str">
            <v>SURIATI</v>
          </cell>
          <cell r="C2806" t="str">
            <v>SAMI</v>
          </cell>
          <cell r="D2806" t="str">
            <v>OPT-128</v>
          </cell>
          <cell r="E2806">
            <v>38991</v>
          </cell>
          <cell r="F2806" t="str">
            <v>-</v>
          </cell>
          <cell r="G2806" t="str">
            <v>-</v>
          </cell>
          <cell r="H2806" t="str">
            <v>PRD</v>
          </cell>
          <cell r="I2806" t="str">
            <v>PRD</v>
          </cell>
          <cell r="J2806" t="str">
            <v>HV TOYOTA</v>
          </cell>
          <cell r="K2806" t="str">
            <v>HV TOYOTA AC 14 PL</v>
          </cell>
          <cell r="L2806" t="str">
            <v>CV HV 12</v>
          </cell>
          <cell r="M2806" t="str">
            <v>SUB LINE CHO</v>
          </cell>
          <cell r="N2806" t="str">
            <v>GL</v>
          </cell>
          <cell r="O2806" t="str">
            <v>A (NS)</v>
          </cell>
        </row>
        <row r="2807">
          <cell r="A2807">
            <v>22157</v>
          </cell>
          <cell r="B2807" t="str">
            <v>TRI ADI GILANG PERMANA</v>
          </cell>
          <cell r="C2807" t="str">
            <v>SAMI</v>
          </cell>
          <cell r="D2807" t="str">
            <v>OPT-549</v>
          </cell>
          <cell r="E2807">
            <v>43153</v>
          </cell>
          <cell r="F2807">
            <v>43181</v>
          </cell>
          <cell r="G2807">
            <v>43555</v>
          </cell>
          <cell r="H2807" t="str">
            <v>PRD</v>
          </cell>
          <cell r="I2807" t="str">
            <v>PRD</v>
          </cell>
          <cell r="J2807" t="str">
            <v>HV TOYOTA</v>
          </cell>
          <cell r="K2807" t="str">
            <v>HV TOYOTA AC 14 PL</v>
          </cell>
          <cell r="L2807" t="str">
            <v>CV HV 12</v>
          </cell>
          <cell r="M2807" t="str">
            <v>MATERIAL SUPPLY</v>
          </cell>
          <cell r="N2807" t="str">
            <v>MATERIAL SUPPLY</v>
          </cell>
          <cell r="O2807" t="str">
            <v>A (NS)</v>
          </cell>
        </row>
        <row r="2808">
          <cell r="A2808">
            <v>22287</v>
          </cell>
          <cell r="B2808" t="str">
            <v>DWI WIDYA ASTUTI</v>
          </cell>
          <cell r="C2808" t="str">
            <v>SAMI</v>
          </cell>
          <cell r="D2808" t="str">
            <v>OPT-555</v>
          </cell>
          <cell r="E2808">
            <v>43192</v>
          </cell>
          <cell r="F2808">
            <v>43222</v>
          </cell>
          <cell r="G2808">
            <v>43585</v>
          </cell>
          <cell r="H2808" t="str">
            <v>PRD</v>
          </cell>
          <cell r="I2808" t="str">
            <v>PRD</v>
          </cell>
          <cell r="J2808" t="str">
            <v>HV TOYOTA</v>
          </cell>
          <cell r="K2808" t="str">
            <v>HV TOYOTA AC 14 PL</v>
          </cell>
          <cell r="L2808" t="str">
            <v>CV HV 12</v>
          </cell>
          <cell r="M2808" t="str">
            <v>CST35-01, MC2-01, PB10-01, CM63-01</v>
          </cell>
          <cell r="N2808" t="str">
            <v>WFAP 2.1</v>
          </cell>
          <cell r="O2808" t="str">
            <v>A (NS)</v>
          </cell>
        </row>
        <row r="2809">
          <cell r="A2809">
            <v>22299</v>
          </cell>
          <cell r="B2809" t="str">
            <v>MAULA LINATUL MUNA</v>
          </cell>
          <cell r="C2809" t="str">
            <v>SAMI</v>
          </cell>
          <cell r="D2809" t="str">
            <v>OPT-555</v>
          </cell>
          <cell r="E2809">
            <v>43192</v>
          </cell>
          <cell r="F2809">
            <v>43222</v>
          </cell>
          <cell r="G2809">
            <v>43585</v>
          </cell>
          <cell r="H2809" t="str">
            <v>PRD</v>
          </cell>
          <cell r="I2809" t="str">
            <v>PRD</v>
          </cell>
          <cell r="J2809" t="str">
            <v>HV TOYOTA</v>
          </cell>
          <cell r="K2809" t="str">
            <v>HV TOYOTA AC 14 PL</v>
          </cell>
          <cell r="L2809" t="str">
            <v>CV HV 12</v>
          </cell>
          <cell r="M2809" t="str">
            <v>VISUAL 01</v>
          </cell>
          <cell r="N2809" t="str">
            <v>VISUAL INSPECTION</v>
          </cell>
          <cell r="O2809" t="str">
            <v>A (NS)</v>
          </cell>
        </row>
        <row r="2810">
          <cell r="A2810">
            <v>22468</v>
          </cell>
          <cell r="B2810" t="str">
            <v>SHINDIANA MAHMUDIANI</v>
          </cell>
          <cell r="C2810" t="str">
            <v>SAMI</v>
          </cell>
          <cell r="D2810" t="str">
            <v>OPT-559</v>
          </cell>
          <cell r="E2810">
            <v>43220</v>
          </cell>
          <cell r="F2810">
            <v>43250</v>
          </cell>
          <cell r="G2810">
            <v>43616</v>
          </cell>
          <cell r="H2810" t="str">
            <v>PRD</v>
          </cell>
          <cell r="I2810" t="str">
            <v>PRD</v>
          </cell>
          <cell r="J2810" t="str">
            <v>HV TOYOTA</v>
          </cell>
          <cell r="K2810" t="str">
            <v>HV TOYOTA AC 14 PL</v>
          </cell>
          <cell r="L2810" t="str">
            <v>CV HV 12</v>
          </cell>
          <cell r="M2810" t="str">
            <v>ASM 1</v>
          </cell>
          <cell r="N2810" t="str">
            <v>ASSEMBLY</v>
          </cell>
          <cell r="O2810" t="str">
            <v>A (NS)</v>
          </cell>
        </row>
        <row r="2811">
          <cell r="A2811">
            <v>23414</v>
          </cell>
          <cell r="B2811" t="str">
            <v>FIKI JAZILAH</v>
          </cell>
          <cell r="C2811" t="str">
            <v>SAMI</v>
          </cell>
          <cell r="D2811" t="str">
            <v>OPT-575</v>
          </cell>
          <cell r="E2811">
            <v>43434</v>
          </cell>
          <cell r="F2811">
            <v>43464</v>
          </cell>
          <cell r="G2811">
            <v>43830</v>
          </cell>
          <cell r="H2811" t="str">
            <v>PRD</v>
          </cell>
          <cell r="I2811" t="str">
            <v>PRD</v>
          </cell>
          <cell r="J2811" t="str">
            <v>HV TOYOTA</v>
          </cell>
          <cell r="K2811" t="str">
            <v>HV TOYOTA AC 14 PL</v>
          </cell>
          <cell r="L2811" t="str">
            <v>CV HV 12</v>
          </cell>
          <cell r="M2811" t="str">
            <v>US 2600, MC2-02, US 2600, MC2-03</v>
          </cell>
          <cell r="N2811" t="str">
            <v>WFAP 2.1</v>
          </cell>
          <cell r="O2811" t="str">
            <v>A (NS)</v>
          </cell>
        </row>
        <row r="2812">
          <cell r="A2812" t="str">
            <v>B00814</v>
          </cell>
          <cell r="B2812" t="str">
            <v>DWI SETYANINGSIH</v>
          </cell>
          <cell r="C2812" t="str">
            <v>SAMI</v>
          </cell>
          <cell r="D2812" t="str">
            <v>BBF-014</v>
          </cell>
          <cell r="E2812">
            <v>40917</v>
          </cell>
          <cell r="F2812" t="str">
            <v>-</v>
          </cell>
          <cell r="G2812" t="str">
            <v>-</v>
          </cell>
          <cell r="H2812" t="str">
            <v>PRD</v>
          </cell>
          <cell r="I2812" t="str">
            <v>PRD</v>
          </cell>
          <cell r="J2812" t="str">
            <v>HV TOYOTA</v>
          </cell>
          <cell r="K2812" t="str">
            <v>HV TOYOTA AC 14 PL</v>
          </cell>
          <cell r="L2812" t="str">
            <v>CV HV 12</v>
          </cell>
          <cell r="M2812" t="str">
            <v>LQC</v>
          </cell>
          <cell r="N2812" t="str">
            <v>RELIEF</v>
          </cell>
          <cell r="O2812" t="str">
            <v>A (NS)</v>
          </cell>
        </row>
        <row r="2813">
          <cell r="A2813">
            <v>11734</v>
          </cell>
          <cell r="B2813" t="str">
            <v>MELINDA KURNIASARI</v>
          </cell>
          <cell r="C2813" t="str">
            <v>SAMI</v>
          </cell>
          <cell r="D2813" t="str">
            <v>OPT-308</v>
          </cell>
          <cell r="E2813">
            <v>40714</v>
          </cell>
          <cell r="F2813" t="str">
            <v>-</v>
          </cell>
          <cell r="G2813" t="str">
            <v>-</v>
          </cell>
          <cell r="H2813" t="str">
            <v>PRD</v>
          </cell>
          <cell r="I2813" t="str">
            <v>PRD</v>
          </cell>
          <cell r="J2813" t="str">
            <v>TOYOTA PRIUS</v>
          </cell>
          <cell r="K2813" t="str">
            <v>HV TOYOTA 690A Li</v>
          </cell>
          <cell r="L2813" t="str">
            <v>CV HV 13A</v>
          </cell>
          <cell r="M2813" t="str">
            <v>LQC</v>
          </cell>
          <cell r="N2813" t="str">
            <v>RELIEF</v>
          </cell>
          <cell r="O2813" t="str">
            <v>A</v>
          </cell>
        </row>
        <row r="2814">
          <cell r="A2814">
            <v>11830</v>
          </cell>
          <cell r="B2814" t="str">
            <v>RIZKI YULIANTI PUTRI</v>
          </cell>
          <cell r="C2814" t="str">
            <v>SAMI</v>
          </cell>
          <cell r="D2814" t="str">
            <v>OPT-309</v>
          </cell>
          <cell r="E2814">
            <v>40721</v>
          </cell>
          <cell r="F2814" t="str">
            <v>-</v>
          </cell>
          <cell r="G2814" t="str">
            <v>-</v>
          </cell>
          <cell r="H2814" t="str">
            <v>PRD</v>
          </cell>
          <cell r="I2814" t="str">
            <v>PRD</v>
          </cell>
          <cell r="J2814" t="str">
            <v>TOYOTA PRIUS</v>
          </cell>
          <cell r="K2814" t="str">
            <v>HV TOYOTA 690A Li</v>
          </cell>
          <cell r="L2814" t="str">
            <v>CV HV 13A</v>
          </cell>
          <cell r="M2814" t="str">
            <v>PROTECTOR , CK U2</v>
          </cell>
          <cell r="N2814" t="str">
            <v>ASSEMBLY</v>
          </cell>
          <cell r="O2814" t="str">
            <v>A</v>
          </cell>
        </row>
        <row r="2815">
          <cell r="A2815">
            <v>12073</v>
          </cell>
          <cell r="B2815" t="str">
            <v>ASKONAH</v>
          </cell>
          <cell r="C2815" t="str">
            <v>SAMI</v>
          </cell>
          <cell r="D2815" t="str">
            <v>OPT-314</v>
          </cell>
          <cell r="E2815">
            <v>40798</v>
          </cell>
          <cell r="F2815" t="str">
            <v>-</v>
          </cell>
          <cell r="G2815" t="str">
            <v>-</v>
          </cell>
          <cell r="H2815" t="str">
            <v>PRD</v>
          </cell>
          <cell r="I2815" t="str">
            <v>PRD</v>
          </cell>
          <cell r="J2815" t="str">
            <v>TOYOTA PRIUS</v>
          </cell>
          <cell r="K2815" t="str">
            <v>HV TOYOTA 690A Li</v>
          </cell>
          <cell r="L2815" t="str">
            <v>CV HV 13A</v>
          </cell>
          <cell r="M2815" t="str">
            <v>VIS U2</v>
          </cell>
          <cell r="N2815" t="str">
            <v>VISUAL INSPECTION</v>
          </cell>
          <cell r="O2815" t="str">
            <v>A</v>
          </cell>
        </row>
        <row r="2816">
          <cell r="A2816">
            <v>13864</v>
          </cell>
          <cell r="B2816" t="str">
            <v>IIS ROSALIA</v>
          </cell>
          <cell r="C2816" t="str">
            <v>SAMI</v>
          </cell>
          <cell r="D2816" t="str">
            <v>OPT-356</v>
          </cell>
          <cell r="E2816">
            <v>41250</v>
          </cell>
          <cell r="F2816" t="str">
            <v>-</v>
          </cell>
          <cell r="G2816" t="str">
            <v>-</v>
          </cell>
          <cell r="H2816" t="str">
            <v>PRD</v>
          </cell>
          <cell r="I2816" t="str">
            <v>PRD</v>
          </cell>
          <cell r="J2816" t="str">
            <v>TOYOTA PRIUS</v>
          </cell>
          <cell r="K2816" t="str">
            <v>HV TOYOTA 690A Li</v>
          </cell>
          <cell r="L2816" t="str">
            <v>CV HV 13A</v>
          </cell>
          <cell r="M2816" t="str">
            <v>S/A T2-2</v>
          </cell>
          <cell r="N2816" t="str">
            <v>SUB ASSY</v>
          </cell>
          <cell r="O2816" t="str">
            <v>A</v>
          </cell>
        </row>
        <row r="2817">
          <cell r="A2817">
            <v>14476</v>
          </cell>
          <cell r="B2817" t="str">
            <v>DIANI WIJAYANTI</v>
          </cell>
          <cell r="C2817" t="str">
            <v>SAMI</v>
          </cell>
          <cell r="D2817" t="str">
            <v>OPT-375</v>
          </cell>
          <cell r="E2817">
            <v>41393</v>
          </cell>
          <cell r="F2817" t="str">
            <v>-</v>
          </cell>
          <cell r="G2817" t="str">
            <v>-</v>
          </cell>
          <cell r="H2817" t="str">
            <v>PRD</v>
          </cell>
          <cell r="I2817" t="str">
            <v>PRD</v>
          </cell>
          <cell r="J2817" t="str">
            <v>TOYOTA PRIUS</v>
          </cell>
          <cell r="K2817" t="str">
            <v>HV TOYOTA 690A Li</v>
          </cell>
          <cell r="L2817" t="str">
            <v>CV HV 13A</v>
          </cell>
          <cell r="M2817" t="str">
            <v>PROTECTOR &amp; CK T2</v>
          </cell>
          <cell r="N2817" t="str">
            <v>ASSEMBLY</v>
          </cell>
          <cell r="O2817" t="str">
            <v>A</v>
          </cell>
        </row>
        <row r="2818">
          <cell r="A2818">
            <v>18699</v>
          </cell>
          <cell r="B2818" t="str">
            <v>EKA TINI ANJARWATI</v>
          </cell>
          <cell r="C2818" t="str">
            <v>SAMI</v>
          </cell>
          <cell r="D2818" t="str">
            <v>OPT-468</v>
          </cell>
          <cell r="E2818">
            <v>42142</v>
          </cell>
          <cell r="F2818" t="str">
            <v>-</v>
          </cell>
          <cell r="G2818" t="str">
            <v>-</v>
          </cell>
          <cell r="H2818" t="str">
            <v>PRD</v>
          </cell>
          <cell r="I2818" t="str">
            <v>PRD</v>
          </cell>
          <cell r="J2818" t="str">
            <v>TOYOTA PRIUS</v>
          </cell>
          <cell r="K2818" t="str">
            <v>HV TOYOTA 690A Li</v>
          </cell>
          <cell r="L2818" t="str">
            <v>CV HV 13A</v>
          </cell>
          <cell r="M2818" t="str">
            <v>ASM THERMISTOR &amp; ASM TWIST U2</v>
          </cell>
          <cell r="N2818" t="str">
            <v>ASSEMBLY</v>
          </cell>
          <cell r="O2818" t="str">
            <v>A</v>
          </cell>
        </row>
        <row r="2819">
          <cell r="A2819">
            <v>21086</v>
          </cell>
          <cell r="B2819" t="str">
            <v>WIDOWATI</v>
          </cell>
          <cell r="C2819" t="str">
            <v>SAMI</v>
          </cell>
          <cell r="D2819" t="str">
            <v>OPT-520</v>
          </cell>
          <cell r="E2819">
            <v>42863</v>
          </cell>
          <cell r="F2819">
            <v>43344</v>
          </cell>
          <cell r="G2819">
            <v>43708</v>
          </cell>
          <cell r="H2819" t="str">
            <v>PRD</v>
          </cell>
          <cell r="I2819" t="str">
            <v>PRD</v>
          </cell>
          <cell r="J2819" t="str">
            <v>TOYOTA PRIUS</v>
          </cell>
          <cell r="K2819" t="str">
            <v>HV TOYOTA 690A Li</v>
          </cell>
          <cell r="L2819" t="str">
            <v>CV HV 13A</v>
          </cell>
          <cell r="M2819" t="str">
            <v>ASM T2-1</v>
          </cell>
          <cell r="N2819" t="str">
            <v>ASSEMBLY</v>
          </cell>
          <cell r="O2819" t="str">
            <v>A</v>
          </cell>
        </row>
        <row r="2820">
          <cell r="A2820">
            <v>21823</v>
          </cell>
          <cell r="B2820" t="str">
            <v>DESTI HERNAWATI</v>
          </cell>
          <cell r="C2820" t="str">
            <v>SAMI</v>
          </cell>
          <cell r="D2820" t="str">
            <v>OPT-541</v>
          </cell>
          <cell r="E2820">
            <v>43098</v>
          </cell>
          <cell r="F2820">
            <v>43129</v>
          </cell>
          <cell r="G2820">
            <v>43496</v>
          </cell>
          <cell r="H2820" t="str">
            <v>PRD</v>
          </cell>
          <cell r="I2820" t="str">
            <v>PRD</v>
          </cell>
          <cell r="J2820" t="str">
            <v>TOYOTA PRIUS</v>
          </cell>
          <cell r="K2820" t="str">
            <v>HV TOYOTA 690A Li</v>
          </cell>
          <cell r="L2820" t="str">
            <v>CV HV 13A</v>
          </cell>
          <cell r="M2820" t="str">
            <v>S/A U2-2</v>
          </cell>
          <cell r="N2820" t="str">
            <v>SUB ASSY</v>
          </cell>
          <cell r="O2820" t="str">
            <v>A</v>
          </cell>
        </row>
        <row r="2821">
          <cell r="A2821">
            <v>22152</v>
          </cell>
          <cell r="B2821" t="str">
            <v>SITI NUR KHAYATI</v>
          </cell>
          <cell r="C2821" t="str">
            <v>SAMI</v>
          </cell>
          <cell r="D2821" t="str">
            <v>OPT-549</v>
          </cell>
          <cell r="E2821">
            <v>43153</v>
          </cell>
          <cell r="F2821">
            <v>43181</v>
          </cell>
          <cell r="G2821">
            <v>43555</v>
          </cell>
          <cell r="H2821" t="str">
            <v>PRD</v>
          </cell>
          <cell r="I2821" t="str">
            <v>PRD</v>
          </cell>
          <cell r="J2821" t="str">
            <v>TOYOTA PRIUS</v>
          </cell>
          <cell r="K2821" t="str">
            <v>HV TOYOTA 690A Li</v>
          </cell>
          <cell r="L2821" t="str">
            <v>CV HV 13A</v>
          </cell>
          <cell r="M2821" t="str">
            <v>S/A U2-1</v>
          </cell>
          <cell r="N2821" t="str">
            <v>SUB ASSY</v>
          </cell>
          <cell r="O2821" t="str">
            <v>A</v>
          </cell>
        </row>
        <row r="2822">
          <cell r="A2822">
            <v>22185</v>
          </cell>
          <cell r="B2822" t="str">
            <v>KHASANAH</v>
          </cell>
          <cell r="C2822" t="str">
            <v>SAMI</v>
          </cell>
          <cell r="D2822" t="str">
            <v>OPT-550</v>
          </cell>
          <cell r="E2822">
            <v>43158</v>
          </cell>
          <cell r="F2822">
            <v>43186</v>
          </cell>
          <cell r="G2822">
            <v>43555</v>
          </cell>
          <cell r="H2822" t="str">
            <v>PRD</v>
          </cell>
          <cell r="I2822" t="str">
            <v>PRD</v>
          </cell>
          <cell r="J2822" t="str">
            <v>TOYOTA PRIUS</v>
          </cell>
          <cell r="K2822" t="str">
            <v>HV TOYOTA 690A Li</v>
          </cell>
          <cell r="L2822" t="str">
            <v>CV HV 13A</v>
          </cell>
          <cell r="M2822" t="str">
            <v>VIS T2</v>
          </cell>
          <cell r="N2822" t="str">
            <v>VISUAL INSPECTION</v>
          </cell>
          <cell r="O2822" t="str">
            <v>A</v>
          </cell>
        </row>
        <row r="2823">
          <cell r="A2823">
            <v>22269</v>
          </cell>
          <cell r="B2823" t="str">
            <v>RIENANDITA SYAHRA KIRANA</v>
          </cell>
          <cell r="C2823" t="str">
            <v>SAMI</v>
          </cell>
          <cell r="D2823" t="str">
            <v>OPT-554</v>
          </cell>
          <cell r="E2823">
            <v>43181</v>
          </cell>
          <cell r="F2823">
            <v>43212</v>
          </cell>
          <cell r="G2823">
            <v>43585</v>
          </cell>
          <cell r="H2823" t="str">
            <v>PRD</v>
          </cell>
          <cell r="I2823" t="str">
            <v>PRD</v>
          </cell>
          <cell r="J2823" t="str">
            <v>TOYOTA PRIUS</v>
          </cell>
          <cell r="K2823" t="str">
            <v>HV TOYOTA 690A Li</v>
          </cell>
          <cell r="L2823" t="str">
            <v>CV HV 13A</v>
          </cell>
          <cell r="M2823" t="str">
            <v>S/T,T/P,CK</v>
          </cell>
          <cell r="N2823" t="str">
            <v>ASSEMBLY</v>
          </cell>
          <cell r="O2823" t="str">
            <v>A</v>
          </cell>
        </row>
        <row r="2824">
          <cell r="A2824">
            <v>22318</v>
          </cell>
          <cell r="B2824" t="str">
            <v>SUSILA WATI</v>
          </cell>
          <cell r="C2824" t="str">
            <v>SAMI</v>
          </cell>
          <cell r="D2824" t="str">
            <v>OPT-555</v>
          </cell>
          <cell r="E2824">
            <v>43192</v>
          </cell>
          <cell r="F2824">
            <v>43222</v>
          </cell>
          <cell r="G2824">
            <v>43585</v>
          </cell>
          <cell r="H2824" t="str">
            <v>PRD</v>
          </cell>
          <cell r="I2824" t="str">
            <v>PRD</v>
          </cell>
          <cell r="J2824" t="str">
            <v>TOYOTA PRIUS</v>
          </cell>
          <cell r="K2824" t="str">
            <v>HV TOYOTA 690A Li</v>
          </cell>
          <cell r="L2824" t="str">
            <v>CV HV 13A</v>
          </cell>
          <cell r="M2824" t="str">
            <v>SA THERMISTOR &amp; TWIST U2</v>
          </cell>
          <cell r="N2824" t="str">
            <v>ASSEMBLY</v>
          </cell>
          <cell r="O2824" t="str">
            <v>A</v>
          </cell>
        </row>
        <row r="2825">
          <cell r="A2825">
            <v>22341</v>
          </cell>
          <cell r="B2825" t="str">
            <v>KUNTI FATIMATUZ ZAHRO</v>
          </cell>
          <cell r="C2825" t="str">
            <v>SAMI</v>
          </cell>
          <cell r="D2825" t="str">
            <v>OPT-556</v>
          </cell>
          <cell r="E2825">
            <v>43195</v>
          </cell>
          <cell r="F2825">
            <v>43225</v>
          </cell>
          <cell r="G2825">
            <v>43585</v>
          </cell>
          <cell r="H2825" t="str">
            <v>PRD</v>
          </cell>
          <cell r="I2825" t="str">
            <v>PRD</v>
          </cell>
          <cell r="J2825" t="str">
            <v>TOYOTA PRIUS</v>
          </cell>
          <cell r="K2825" t="str">
            <v>HV TOYOTA 690A Li</v>
          </cell>
          <cell r="L2825" t="str">
            <v>CV HV 13A</v>
          </cell>
          <cell r="M2825" t="str">
            <v>S/A THERMISTOR &amp; ASM THERMISTOR T2</v>
          </cell>
          <cell r="N2825" t="str">
            <v>SUB ASSY</v>
          </cell>
          <cell r="O2825" t="str">
            <v>A</v>
          </cell>
        </row>
        <row r="2826">
          <cell r="A2826">
            <v>22464</v>
          </cell>
          <cell r="B2826" t="str">
            <v>RISTIAWATI</v>
          </cell>
          <cell r="C2826" t="str">
            <v>SAMI</v>
          </cell>
          <cell r="D2826" t="str">
            <v>OPT-559</v>
          </cell>
          <cell r="E2826">
            <v>43220</v>
          </cell>
          <cell r="F2826">
            <v>43250</v>
          </cell>
          <cell r="G2826">
            <v>43616</v>
          </cell>
          <cell r="H2826" t="str">
            <v>PRD</v>
          </cell>
          <cell r="I2826" t="str">
            <v>PRD</v>
          </cell>
          <cell r="J2826" t="str">
            <v>TOYOTA PRIUS</v>
          </cell>
          <cell r="K2826" t="str">
            <v>HV TOYOTA 690A Li</v>
          </cell>
          <cell r="L2826" t="str">
            <v>CV HV 13A</v>
          </cell>
          <cell r="M2826" t="str">
            <v>ASM U2-1</v>
          </cell>
          <cell r="N2826" t="str">
            <v>ASSEMBLY</v>
          </cell>
          <cell r="O2826" t="str">
            <v>A</v>
          </cell>
        </row>
        <row r="2827">
          <cell r="A2827">
            <v>22569</v>
          </cell>
          <cell r="B2827" t="str">
            <v>SHINTA FEBRI SULISETIYOWATI</v>
          </cell>
          <cell r="C2827" t="str">
            <v>SAMI</v>
          </cell>
          <cell r="D2827" t="str">
            <v>OPT-560</v>
          </cell>
          <cell r="E2827">
            <v>43224</v>
          </cell>
          <cell r="F2827">
            <v>43255</v>
          </cell>
          <cell r="G2827">
            <v>43616</v>
          </cell>
          <cell r="H2827" t="str">
            <v>PRD</v>
          </cell>
          <cell r="I2827" t="str">
            <v>PRD</v>
          </cell>
          <cell r="J2827" t="str">
            <v>TOYOTA PRIUS</v>
          </cell>
          <cell r="K2827" t="str">
            <v>HV TOYOTA 690A Li</v>
          </cell>
          <cell r="L2827" t="str">
            <v>CV HV 13A</v>
          </cell>
          <cell r="M2827" t="str">
            <v>ASM U2-2</v>
          </cell>
          <cell r="N2827" t="str">
            <v>ASSEMBLY</v>
          </cell>
          <cell r="O2827" t="str">
            <v>A</v>
          </cell>
        </row>
        <row r="2828">
          <cell r="A2828">
            <v>22576</v>
          </cell>
          <cell r="B2828" t="str">
            <v>THALIA CITRA PUSPITA</v>
          </cell>
          <cell r="C2828" t="str">
            <v>SAMI</v>
          </cell>
          <cell r="D2828" t="str">
            <v>OPT-560</v>
          </cell>
          <cell r="E2828">
            <v>43224</v>
          </cell>
          <cell r="F2828">
            <v>43255</v>
          </cell>
          <cell r="G2828">
            <v>43616</v>
          </cell>
          <cell r="H2828" t="str">
            <v>PRD</v>
          </cell>
          <cell r="I2828" t="str">
            <v>PRD</v>
          </cell>
          <cell r="J2828" t="str">
            <v>TOYOTA PRIUS</v>
          </cell>
          <cell r="K2828" t="str">
            <v>HV TOYOTA 690A Li</v>
          </cell>
          <cell r="L2828" t="str">
            <v>CV HV 13A</v>
          </cell>
          <cell r="M2828" t="str">
            <v>ASM T2-2</v>
          </cell>
          <cell r="N2828" t="str">
            <v>ASSEMBLY</v>
          </cell>
          <cell r="O2828" t="str">
            <v>A</v>
          </cell>
        </row>
        <row r="2829">
          <cell r="A2829">
            <v>22929</v>
          </cell>
          <cell r="B2829" t="str">
            <v>FAJAR NISWATUL KHASANAH</v>
          </cell>
          <cell r="C2829" t="str">
            <v>SAMI</v>
          </cell>
          <cell r="D2829" t="str">
            <v>OPT-568</v>
          </cell>
          <cell r="E2829">
            <v>43343</v>
          </cell>
          <cell r="F2829">
            <v>43374</v>
          </cell>
          <cell r="G2829">
            <v>43738</v>
          </cell>
          <cell r="H2829" t="str">
            <v>PRD</v>
          </cell>
          <cell r="I2829" t="str">
            <v>PRD</v>
          </cell>
          <cell r="J2829" t="str">
            <v>TOYOTA PRIUS</v>
          </cell>
          <cell r="K2829" t="str">
            <v>HV TOYOTA 690A Li</v>
          </cell>
          <cell r="L2829" t="str">
            <v>CV HV 13A</v>
          </cell>
          <cell r="M2829" t="str">
            <v>S/A T2-1</v>
          </cell>
          <cell r="N2829" t="str">
            <v>SUB ASSY</v>
          </cell>
          <cell r="O2829" t="str">
            <v>A</v>
          </cell>
        </row>
        <row r="2830">
          <cell r="A2830">
            <v>22975</v>
          </cell>
          <cell r="B2830" t="str">
            <v>SEPTIANI AWALIYAH</v>
          </cell>
          <cell r="C2830" t="str">
            <v>SAMI</v>
          </cell>
          <cell r="D2830" t="str">
            <v>OPT-568</v>
          </cell>
          <cell r="E2830">
            <v>43343</v>
          </cell>
          <cell r="F2830">
            <v>43374</v>
          </cell>
          <cell r="G2830">
            <v>43738</v>
          </cell>
          <cell r="H2830" t="str">
            <v>PRD</v>
          </cell>
          <cell r="I2830" t="str">
            <v>PRD</v>
          </cell>
          <cell r="J2830" t="str">
            <v>TOYOTA PRIUS</v>
          </cell>
          <cell r="K2830" t="str">
            <v>HV TOYOTA 690A Li</v>
          </cell>
          <cell r="L2830" t="str">
            <v>CV HV 13A</v>
          </cell>
          <cell r="M2830" t="str">
            <v>CIRCUIT SUPPLIER 02</v>
          </cell>
          <cell r="N2830" t="str">
            <v>CIRCUIT SUPPLY</v>
          </cell>
          <cell r="O2830" t="str">
            <v>A</v>
          </cell>
        </row>
        <row r="2831">
          <cell r="A2831">
            <v>23082</v>
          </cell>
          <cell r="B2831" t="str">
            <v>ULFATUN NASIKHAH</v>
          </cell>
          <cell r="C2831" t="str">
            <v>SAMI</v>
          </cell>
          <cell r="D2831" t="str">
            <v>OPT-569</v>
          </cell>
          <cell r="E2831">
            <v>43361</v>
          </cell>
          <cell r="F2831">
            <v>43391</v>
          </cell>
          <cell r="G2831">
            <v>43769</v>
          </cell>
          <cell r="H2831" t="str">
            <v>PRD</v>
          </cell>
          <cell r="I2831" t="str">
            <v>PRD</v>
          </cell>
          <cell r="J2831" t="str">
            <v>TOYOTA PRIUS</v>
          </cell>
          <cell r="K2831" t="str">
            <v>HV TOYOTA 690A Li</v>
          </cell>
          <cell r="L2831" t="str">
            <v>CV HV 13A</v>
          </cell>
          <cell r="M2831" t="str">
            <v>CIRCUIT SUPPLIER 01</v>
          </cell>
          <cell r="N2831" t="str">
            <v>CIRCUIT SUPPLY</v>
          </cell>
          <cell r="O2831" t="str">
            <v>A</v>
          </cell>
        </row>
        <row r="2832">
          <cell r="A2832">
            <v>23444</v>
          </cell>
          <cell r="B2832" t="str">
            <v>NUR AMALIAH SOLECHAH</v>
          </cell>
          <cell r="C2832" t="str">
            <v>SAMI</v>
          </cell>
          <cell r="D2832" t="str">
            <v>OPT-575</v>
          </cell>
          <cell r="E2832">
            <v>43434</v>
          </cell>
          <cell r="F2832">
            <v>43464</v>
          </cell>
          <cell r="G2832">
            <v>43830</v>
          </cell>
          <cell r="H2832" t="str">
            <v>PRD</v>
          </cell>
          <cell r="I2832" t="str">
            <v>PRD</v>
          </cell>
          <cell r="J2832" t="str">
            <v>TOYOTA PRIUS</v>
          </cell>
          <cell r="K2832" t="str">
            <v>HV TOYOTA 690A Li</v>
          </cell>
          <cell r="L2832" t="str">
            <v>CV HV 13A</v>
          </cell>
          <cell r="M2832" t="str">
            <v>OJT</v>
          </cell>
          <cell r="N2832" t="str">
            <v>INTERNAL TRIAL</v>
          </cell>
          <cell r="O2832" t="str">
            <v>A</v>
          </cell>
        </row>
        <row r="2833">
          <cell r="A2833">
            <v>23445</v>
          </cell>
          <cell r="B2833" t="str">
            <v>NUR DAHLIA</v>
          </cell>
          <cell r="C2833" t="str">
            <v>SAMI</v>
          </cell>
          <cell r="D2833" t="str">
            <v>OPT-575</v>
          </cell>
          <cell r="E2833">
            <v>43434</v>
          </cell>
          <cell r="F2833">
            <v>43464</v>
          </cell>
          <cell r="G2833">
            <v>43830</v>
          </cell>
          <cell r="H2833" t="str">
            <v>PRD</v>
          </cell>
          <cell r="I2833" t="str">
            <v>PRD</v>
          </cell>
          <cell r="J2833" t="str">
            <v>TOYOTA PRIUS</v>
          </cell>
          <cell r="K2833" t="str">
            <v>HV TOYOTA 690A Li</v>
          </cell>
          <cell r="L2833" t="str">
            <v>CV HV 13A</v>
          </cell>
          <cell r="M2833" t="str">
            <v>OJT</v>
          </cell>
          <cell r="N2833" t="str">
            <v>INTERNAL TRIAL</v>
          </cell>
          <cell r="O2833" t="str">
            <v>A</v>
          </cell>
        </row>
        <row r="2834">
          <cell r="A2834">
            <v>5255</v>
          </cell>
          <cell r="B2834" t="str">
            <v>RETNO ATMININGSIH</v>
          </cell>
          <cell r="C2834" t="str">
            <v>SAMI</v>
          </cell>
          <cell r="D2834" t="str">
            <v>OPT-125</v>
          </cell>
          <cell r="E2834">
            <v>38961</v>
          </cell>
          <cell r="F2834" t="str">
            <v>-</v>
          </cell>
          <cell r="G2834" t="str">
            <v>-</v>
          </cell>
          <cell r="H2834" t="str">
            <v>PRD</v>
          </cell>
          <cell r="I2834" t="str">
            <v>PRD</v>
          </cell>
          <cell r="J2834" t="str">
            <v>TOYOTA PRIUS</v>
          </cell>
          <cell r="K2834" t="str">
            <v>HV TOYOTA 690A Li</v>
          </cell>
          <cell r="L2834" t="str">
            <v>CV HV 13A</v>
          </cell>
          <cell r="M2834" t="str">
            <v>SUB LINE CHO</v>
          </cell>
          <cell r="N2834" t="str">
            <v>GL</v>
          </cell>
          <cell r="O2834" t="str">
            <v>B</v>
          </cell>
        </row>
        <row r="2835">
          <cell r="A2835">
            <v>5961</v>
          </cell>
          <cell r="B2835" t="str">
            <v>WAHYU EKAWATI</v>
          </cell>
          <cell r="C2835" t="str">
            <v>SAMI</v>
          </cell>
          <cell r="D2835" t="str">
            <v>OPT-137</v>
          </cell>
          <cell r="E2835">
            <v>39129</v>
          </cell>
          <cell r="F2835" t="str">
            <v>-</v>
          </cell>
          <cell r="G2835" t="str">
            <v>-</v>
          </cell>
          <cell r="H2835" t="str">
            <v>PRD</v>
          </cell>
          <cell r="I2835" t="str">
            <v>PRD</v>
          </cell>
          <cell r="J2835" t="str">
            <v>TOYOTA PRIUS</v>
          </cell>
          <cell r="K2835" t="str">
            <v>HV TOYOTA 690A Li</v>
          </cell>
          <cell r="L2835" t="str">
            <v>CV HV 13A</v>
          </cell>
          <cell r="M2835" t="str">
            <v>INSERT TERMINAL VS T2</v>
          </cell>
          <cell r="N2835" t="str">
            <v>ASSEMBLY</v>
          </cell>
          <cell r="O2835" t="str">
            <v>B</v>
          </cell>
        </row>
        <row r="2836">
          <cell r="A2836">
            <v>9902</v>
          </cell>
          <cell r="B2836" t="str">
            <v>RATNA AMBARWATI</v>
          </cell>
          <cell r="C2836" t="str">
            <v>SAMI</v>
          </cell>
          <cell r="D2836" t="str">
            <v>OPT-244</v>
          </cell>
          <cell r="E2836">
            <v>40424</v>
          </cell>
          <cell r="F2836" t="str">
            <v>-</v>
          </cell>
          <cell r="G2836" t="str">
            <v>-</v>
          </cell>
          <cell r="H2836" t="str">
            <v>PRD</v>
          </cell>
          <cell r="I2836" t="str">
            <v>PRD</v>
          </cell>
          <cell r="J2836" t="str">
            <v>TOYOTA PRIUS</v>
          </cell>
          <cell r="K2836" t="str">
            <v>HV TOYOTA 690A Li</v>
          </cell>
          <cell r="L2836" t="str">
            <v>CV HV 13A</v>
          </cell>
          <cell r="M2836" t="str">
            <v>ASM THERMISTOR U2</v>
          </cell>
          <cell r="N2836" t="str">
            <v>ASSEMBLY</v>
          </cell>
          <cell r="O2836" t="str">
            <v>B</v>
          </cell>
        </row>
        <row r="2837">
          <cell r="A2837">
            <v>10007</v>
          </cell>
          <cell r="B2837" t="str">
            <v>EKO WIDYANINGSIH</v>
          </cell>
          <cell r="C2837" t="str">
            <v>SAMI</v>
          </cell>
          <cell r="D2837" t="str">
            <v>OPT-247</v>
          </cell>
          <cell r="E2837">
            <v>40438</v>
          </cell>
          <cell r="F2837" t="str">
            <v>-</v>
          </cell>
          <cell r="G2837" t="str">
            <v>-</v>
          </cell>
          <cell r="H2837" t="str">
            <v>PRD</v>
          </cell>
          <cell r="I2837" t="str">
            <v>PRD</v>
          </cell>
          <cell r="J2837" t="str">
            <v>TOYOTA PRIUS</v>
          </cell>
          <cell r="K2837" t="str">
            <v>HV TOYOTA 690A Li</v>
          </cell>
          <cell r="L2837" t="str">
            <v>CV HV 13A</v>
          </cell>
          <cell r="M2837" t="str">
            <v>SUB LINE CHO</v>
          </cell>
          <cell r="N2837" t="str">
            <v>GL</v>
          </cell>
          <cell r="O2837" t="str">
            <v>B</v>
          </cell>
        </row>
        <row r="2838">
          <cell r="A2838">
            <v>10257</v>
          </cell>
          <cell r="B2838" t="str">
            <v>RISKA BILLAH NOVIYANTI</v>
          </cell>
          <cell r="C2838" t="str">
            <v>SAMI</v>
          </cell>
          <cell r="D2838" t="str">
            <v>OPT-261</v>
          </cell>
          <cell r="E2838">
            <v>40497</v>
          </cell>
          <cell r="F2838" t="str">
            <v>-</v>
          </cell>
          <cell r="G2838" t="str">
            <v>-</v>
          </cell>
          <cell r="H2838" t="str">
            <v>PRD</v>
          </cell>
          <cell r="I2838" t="str">
            <v>PRD</v>
          </cell>
          <cell r="J2838" t="str">
            <v>TOYOTA PRIUS</v>
          </cell>
          <cell r="K2838" t="str">
            <v>HV TOYOTA 690A Li</v>
          </cell>
          <cell r="L2838" t="str">
            <v>CV HV 13A</v>
          </cell>
          <cell r="M2838" t="str">
            <v>PROTECTOR  + CK U2</v>
          </cell>
          <cell r="N2838" t="str">
            <v>ASSEMBLY</v>
          </cell>
          <cell r="O2838" t="str">
            <v>B</v>
          </cell>
        </row>
        <row r="2839">
          <cell r="A2839">
            <v>10301</v>
          </cell>
          <cell r="B2839" t="str">
            <v>DEWI LESTARI</v>
          </cell>
          <cell r="C2839" t="str">
            <v>SAMI</v>
          </cell>
          <cell r="D2839" t="str">
            <v>OPT-265</v>
          </cell>
          <cell r="E2839">
            <v>40511</v>
          </cell>
          <cell r="F2839" t="str">
            <v>-</v>
          </cell>
          <cell r="G2839" t="str">
            <v>-</v>
          </cell>
          <cell r="H2839" t="str">
            <v>PRD</v>
          </cell>
          <cell r="I2839" t="str">
            <v>PRD</v>
          </cell>
          <cell r="J2839" t="str">
            <v>TOYOTA PRIUS</v>
          </cell>
          <cell r="K2839" t="str">
            <v>HV TOYOTA 690A Li</v>
          </cell>
          <cell r="L2839" t="str">
            <v>CV HV 13A</v>
          </cell>
          <cell r="M2839" t="str">
            <v>INSERT THERMISTOR, ASM THERMISTOR T2</v>
          </cell>
          <cell r="N2839" t="str">
            <v>ASSEMBLY</v>
          </cell>
          <cell r="O2839" t="str">
            <v>B</v>
          </cell>
        </row>
        <row r="2840">
          <cell r="A2840">
            <v>10528</v>
          </cell>
          <cell r="B2840" t="str">
            <v>SITI MUNFAATUN</v>
          </cell>
          <cell r="C2840" t="str">
            <v>SAMI</v>
          </cell>
          <cell r="D2840" t="str">
            <v>OPT-273</v>
          </cell>
          <cell r="E2840">
            <v>40535</v>
          </cell>
          <cell r="F2840" t="str">
            <v>-</v>
          </cell>
          <cell r="G2840" t="str">
            <v>-</v>
          </cell>
          <cell r="H2840" t="str">
            <v>PRD</v>
          </cell>
          <cell r="I2840" t="str">
            <v>PRD</v>
          </cell>
          <cell r="J2840" t="str">
            <v>TOYOTA PRIUS</v>
          </cell>
          <cell r="K2840" t="str">
            <v>HV TOYOTA 690A Li</v>
          </cell>
          <cell r="L2840" t="str">
            <v>CV HV 13A</v>
          </cell>
          <cell r="M2840" t="str">
            <v>ASM 01 U2</v>
          </cell>
          <cell r="N2840" t="str">
            <v>ASSEMBLY</v>
          </cell>
          <cell r="O2840" t="str">
            <v>B</v>
          </cell>
        </row>
        <row r="2841">
          <cell r="A2841">
            <v>10546</v>
          </cell>
          <cell r="B2841" t="str">
            <v>FITRI YANI DIAH ASTUTI</v>
          </cell>
          <cell r="C2841" t="str">
            <v>SAMI</v>
          </cell>
          <cell r="D2841" t="str">
            <v>OPT-275</v>
          </cell>
          <cell r="E2841">
            <v>40542</v>
          </cell>
          <cell r="F2841" t="str">
            <v>-</v>
          </cell>
          <cell r="G2841" t="str">
            <v>-</v>
          </cell>
          <cell r="H2841" t="str">
            <v>PRD</v>
          </cell>
          <cell r="I2841" t="str">
            <v>PRD</v>
          </cell>
          <cell r="J2841" t="str">
            <v>TOYOTA PRIUS</v>
          </cell>
          <cell r="K2841" t="str">
            <v>HV TOYOTA 690A Li</v>
          </cell>
          <cell r="L2841" t="str">
            <v>CV HV 13A</v>
          </cell>
          <cell r="M2841" t="str">
            <v>INSERT THERMISTOR, TWIST U2</v>
          </cell>
          <cell r="N2841" t="str">
            <v>ASSEMBLY</v>
          </cell>
          <cell r="O2841" t="str">
            <v>B</v>
          </cell>
        </row>
        <row r="2842">
          <cell r="A2842">
            <v>10895</v>
          </cell>
          <cell r="B2842" t="str">
            <v>RISA AMITA</v>
          </cell>
          <cell r="C2842" t="str">
            <v>SAMI</v>
          </cell>
          <cell r="D2842" t="str">
            <v>OPT-284</v>
          </cell>
          <cell r="E2842">
            <v>40574</v>
          </cell>
          <cell r="F2842" t="str">
            <v>-</v>
          </cell>
          <cell r="G2842" t="str">
            <v>-</v>
          </cell>
          <cell r="H2842" t="str">
            <v>PRD</v>
          </cell>
          <cell r="I2842" t="str">
            <v>PRD</v>
          </cell>
          <cell r="J2842" t="str">
            <v>TOYOTA PRIUS</v>
          </cell>
          <cell r="K2842" t="str">
            <v>HV TOYOTA 690A Li</v>
          </cell>
          <cell r="L2842" t="str">
            <v>CV HV 13A</v>
          </cell>
          <cell r="M2842" t="str">
            <v>SUB LINE CHO</v>
          </cell>
          <cell r="N2842" t="str">
            <v>GL</v>
          </cell>
          <cell r="O2842" t="str">
            <v>B</v>
          </cell>
        </row>
        <row r="2843">
          <cell r="A2843">
            <v>11987</v>
          </cell>
          <cell r="B2843" t="str">
            <v>ERMY WIJAYANTI</v>
          </cell>
          <cell r="C2843" t="str">
            <v>SAMI</v>
          </cell>
          <cell r="D2843" t="str">
            <v>OPT-312</v>
          </cell>
          <cell r="E2843">
            <v>40777</v>
          </cell>
          <cell r="F2843" t="str">
            <v>-</v>
          </cell>
          <cell r="G2843" t="str">
            <v>-</v>
          </cell>
          <cell r="H2843" t="str">
            <v>PRD</v>
          </cell>
          <cell r="I2843" t="str">
            <v>PRD</v>
          </cell>
          <cell r="J2843" t="str">
            <v>TOYOTA PRIUS</v>
          </cell>
          <cell r="K2843" t="str">
            <v>HV TOYOTA 690A Li</v>
          </cell>
          <cell r="L2843" t="str">
            <v>CV HV 13A</v>
          </cell>
          <cell r="M2843" t="str">
            <v>ASM 02 T2</v>
          </cell>
          <cell r="N2843" t="str">
            <v>ASSEMBLY</v>
          </cell>
          <cell r="O2843" t="str">
            <v>B</v>
          </cell>
        </row>
        <row r="2844">
          <cell r="A2844">
            <v>12238</v>
          </cell>
          <cell r="B2844" t="str">
            <v>AINI SARIFAH</v>
          </cell>
          <cell r="C2844" t="str">
            <v>SAMI</v>
          </cell>
          <cell r="D2844" t="str">
            <v>OPT-316</v>
          </cell>
          <cell r="E2844">
            <v>40805</v>
          </cell>
          <cell r="F2844" t="str">
            <v>-</v>
          </cell>
          <cell r="G2844" t="str">
            <v>-</v>
          </cell>
          <cell r="H2844" t="str">
            <v>PRD</v>
          </cell>
          <cell r="I2844" t="str">
            <v>PRD</v>
          </cell>
          <cell r="J2844" t="str">
            <v>TOYOTA PRIUS</v>
          </cell>
          <cell r="K2844" t="str">
            <v>HV TOYOTA 690A Li</v>
          </cell>
          <cell r="L2844" t="str">
            <v>CV HV 13A</v>
          </cell>
          <cell r="M2844" t="str">
            <v>VISUAL T2</v>
          </cell>
          <cell r="N2844" t="str">
            <v>VISUAL INSPECTION</v>
          </cell>
          <cell r="O2844" t="str">
            <v>B</v>
          </cell>
        </row>
        <row r="2845">
          <cell r="A2845">
            <v>12435</v>
          </cell>
          <cell r="B2845" t="str">
            <v>DIANA MAHARANI S.</v>
          </cell>
          <cell r="C2845" t="str">
            <v>SAMI</v>
          </cell>
          <cell r="D2845" t="str">
            <v>OPT-318</v>
          </cell>
          <cell r="E2845">
            <v>40812</v>
          </cell>
          <cell r="F2845" t="str">
            <v>-</v>
          </cell>
          <cell r="G2845" t="str">
            <v>-</v>
          </cell>
          <cell r="H2845" t="str">
            <v>PRD</v>
          </cell>
          <cell r="I2845" t="str">
            <v>PRD</v>
          </cell>
          <cell r="J2845" t="str">
            <v>TOYOTA PRIUS</v>
          </cell>
          <cell r="K2845" t="str">
            <v>HV TOYOTA 690A Li</v>
          </cell>
          <cell r="L2845" t="str">
            <v>CV HV 13A</v>
          </cell>
          <cell r="M2845" t="str">
            <v>LQC</v>
          </cell>
          <cell r="N2845" t="str">
            <v>RELIEF</v>
          </cell>
          <cell r="O2845" t="str">
            <v>B</v>
          </cell>
        </row>
        <row r="2846">
          <cell r="A2846">
            <v>13125</v>
          </cell>
          <cell r="B2846" t="str">
            <v>SETIA BEKTI</v>
          </cell>
          <cell r="C2846" t="str">
            <v>SAMI</v>
          </cell>
          <cell r="D2846" t="str">
            <v>OPT-329</v>
          </cell>
          <cell r="E2846">
            <v>40875</v>
          </cell>
          <cell r="F2846" t="str">
            <v>-</v>
          </cell>
          <cell r="G2846" t="str">
            <v>-</v>
          </cell>
          <cell r="H2846" t="str">
            <v>PRD</v>
          </cell>
          <cell r="I2846" t="str">
            <v>PRD</v>
          </cell>
          <cell r="J2846" t="str">
            <v>TOYOTA PRIUS</v>
          </cell>
          <cell r="K2846" t="str">
            <v>HV TOYOTA 690A Li</v>
          </cell>
          <cell r="L2846" t="str">
            <v>CV HV 13A</v>
          </cell>
          <cell r="M2846" t="str">
            <v>ASM 01 T2</v>
          </cell>
          <cell r="N2846" t="str">
            <v>ASSEMBLY</v>
          </cell>
          <cell r="O2846" t="str">
            <v>B</v>
          </cell>
        </row>
        <row r="2847">
          <cell r="A2847">
            <v>17766</v>
          </cell>
          <cell r="B2847" t="str">
            <v>LISA CLAODIA RAHAYU</v>
          </cell>
          <cell r="C2847" t="str">
            <v>SAMI</v>
          </cell>
          <cell r="D2847" t="str">
            <v>OPT-447</v>
          </cell>
          <cell r="E2847">
            <v>41801</v>
          </cell>
          <cell r="F2847" t="str">
            <v>-</v>
          </cell>
          <cell r="G2847" t="str">
            <v>-</v>
          </cell>
          <cell r="H2847" t="str">
            <v>PRD</v>
          </cell>
          <cell r="I2847" t="str">
            <v>PRD</v>
          </cell>
          <cell r="J2847" t="str">
            <v>TOYOTA PRIUS</v>
          </cell>
          <cell r="K2847" t="str">
            <v>HV TOYOTA 690A Li</v>
          </cell>
          <cell r="L2847" t="str">
            <v>CV HV 13A</v>
          </cell>
          <cell r="M2847" t="str">
            <v>INSERT TERMINAL VS U2</v>
          </cell>
          <cell r="N2847" t="str">
            <v>ASSEMBLY</v>
          </cell>
          <cell r="O2847" t="str">
            <v>B</v>
          </cell>
        </row>
        <row r="2848">
          <cell r="A2848">
            <v>21096</v>
          </cell>
          <cell r="B2848" t="str">
            <v>AYU TRIYANI</v>
          </cell>
          <cell r="C2848" t="str">
            <v>SAMI</v>
          </cell>
          <cell r="D2848" t="str">
            <v>OPT-521</v>
          </cell>
          <cell r="E2848">
            <v>42867</v>
          </cell>
          <cell r="F2848">
            <v>43344</v>
          </cell>
          <cell r="G2848">
            <v>43708</v>
          </cell>
          <cell r="H2848" t="str">
            <v>PRD</v>
          </cell>
          <cell r="I2848" t="str">
            <v>PRD</v>
          </cell>
          <cell r="J2848" t="str">
            <v>TOYOTA PRIUS</v>
          </cell>
          <cell r="K2848" t="str">
            <v>HV TOYOTA 690A Li</v>
          </cell>
          <cell r="L2848" t="str">
            <v>CV HV 13A</v>
          </cell>
          <cell r="M2848" t="str">
            <v>ASM 02 U2</v>
          </cell>
          <cell r="N2848" t="str">
            <v>ASSEMBLY</v>
          </cell>
          <cell r="O2848" t="str">
            <v>B</v>
          </cell>
        </row>
        <row r="2849">
          <cell r="A2849">
            <v>22554</v>
          </cell>
          <cell r="B2849" t="str">
            <v>PIPIN DESY PRIYANTI</v>
          </cell>
          <cell r="C2849" t="str">
            <v>SAMI</v>
          </cell>
          <cell r="D2849" t="str">
            <v>OPT-560</v>
          </cell>
          <cell r="E2849">
            <v>43224</v>
          </cell>
          <cell r="F2849">
            <v>43255</v>
          </cell>
          <cell r="G2849">
            <v>43616</v>
          </cell>
          <cell r="H2849" t="str">
            <v>PRD</v>
          </cell>
          <cell r="I2849" t="str">
            <v>PRD</v>
          </cell>
          <cell r="J2849" t="str">
            <v>TOYOTA PRIUS</v>
          </cell>
          <cell r="K2849" t="str">
            <v>HV TOYOTA 690A Li</v>
          </cell>
          <cell r="L2849" t="str">
            <v>CV HV 13A</v>
          </cell>
          <cell r="M2849" t="str">
            <v>PROTECTOR, CK U2</v>
          </cell>
          <cell r="N2849" t="str">
            <v>ASSEMBLY</v>
          </cell>
          <cell r="O2849" t="str">
            <v>B</v>
          </cell>
        </row>
        <row r="2850">
          <cell r="A2850">
            <v>22794</v>
          </cell>
          <cell r="B2850" t="str">
            <v>SITI NUR ASOMAH</v>
          </cell>
          <cell r="C2850" t="str">
            <v>SAMI</v>
          </cell>
          <cell r="D2850" t="str">
            <v>OPT-565</v>
          </cell>
          <cell r="E2850">
            <v>43283</v>
          </cell>
          <cell r="F2850">
            <v>43314</v>
          </cell>
          <cell r="G2850">
            <v>43677</v>
          </cell>
          <cell r="H2850" t="str">
            <v>PRD</v>
          </cell>
          <cell r="I2850" t="str">
            <v>PRD</v>
          </cell>
          <cell r="J2850" t="str">
            <v>TOYOTA PRIUS</v>
          </cell>
          <cell r="K2850" t="str">
            <v>HV TOYOTA 690A Li</v>
          </cell>
          <cell r="L2850" t="str">
            <v>CV HV 13A</v>
          </cell>
          <cell r="M2850" t="str">
            <v>CIRCUIT SUPPLIER 02</v>
          </cell>
          <cell r="N2850" t="str">
            <v>CIRCUIT SUPPLY</v>
          </cell>
          <cell r="O2850" t="str">
            <v>B</v>
          </cell>
        </row>
        <row r="2851">
          <cell r="A2851">
            <v>22977</v>
          </cell>
          <cell r="B2851" t="str">
            <v>SINTA ANDARI</v>
          </cell>
          <cell r="C2851" t="str">
            <v>SAMI</v>
          </cell>
          <cell r="D2851" t="str">
            <v>OPT-568</v>
          </cell>
          <cell r="E2851">
            <v>43343</v>
          </cell>
          <cell r="F2851">
            <v>43374</v>
          </cell>
          <cell r="G2851">
            <v>43738</v>
          </cell>
          <cell r="H2851" t="str">
            <v>PRD</v>
          </cell>
          <cell r="I2851" t="str">
            <v>PRD</v>
          </cell>
          <cell r="J2851" t="str">
            <v>TOYOTA PRIUS</v>
          </cell>
          <cell r="K2851" t="str">
            <v>HV TOYOTA 690A Li</v>
          </cell>
          <cell r="L2851" t="str">
            <v>CV HV 13A</v>
          </cell>
          <cell r="M2851" t="str">
            <v>CIRCUIT SUPPLIER 01</v>
          </cell>
          <cell r="N2851" t="str">
            <v>CIRCUIT SUPPLY</v>
          </cell>
          <cell r="O2851" t="str">
            <v>B</v>
          </cell>
        </row>
        <row r="2852">
          <cell r="A2852">
            <v>23466</v>
          </cell>
          <cell r="B2852" t="str">
            <v>SITI NURIYAH</v>
          </cell>
          <cell r="C2852" t="str">
            <v>SAMI</v>
          </cell>
          <cell r="D2852" t="str">
            <v>OPT-575</v>
          </cell>
          <cell r="E2852">
            <v>43434</v>
          </cell>
          <cell r="F2852">
            <v>43464</v>
          </cell>
          <cell r="G2852">
            <v>43830</v>
          </cell>
          <cell r="H2852" t="str">
            <v>PRD</v>
          </cell>
          <cell r="I2852" t="str">
            <v>PRD</v>
          </cell>
          <cell r="J2852" t="str">
            <v>TOYOTA PRIUS</v>
          </cell>
          <cell r="K2852" t="str">
            <v>HV TOYOTA 690A Li</v>
          </cell>
          <cell r="L2852" t="str">
            <v>CV HV 13A</v>
          </cell>
          <cell r="M2852" t="str">
            <v>OJT CS</v>
          </cell>
          <cell r="N2852" t="str">
            <v>INTERNAL TRIAL</v>
          </cell>
          <cell r="O2852" t="str">
            <v>B</v>
          </cell>
        </row>
        <row r="2853">
          <cell r="A2853" t="str">
            <v>B00318</v>
          </cell>
          <cell r="B2853" t="str">
            <v>MULYANI</v>
          </cell>
          <cell r="C2853" t="str">
            <v>SAMI</v>
          </cell>
          <cell r="D2853" t="str">
            <v>BBF-005</v>
          </cell>
          <cell r="E2853">
            <v>40854</v>
          </cell>
          <cell r="F2853" t="str">
            <v>-</v>
          </cell>
          <cell r="G2853" t="str">
            <v>-</v>
          </cell>
          <cell r="H2853" t="str">
            <v>PRD</v>
          </cell>
          <cell r="I2853" t="str">
            <v>PRD</v>
          </cell>
          <cell r="J2853" t="str">
            <v>TOYOTA PRIUS</v>
          </cell>
          <cell r="K2853" t="str">
            <v>HV TOYOTA 690A Li</v>
          </cell>
          <cell r="L2853" t="str">
            <v>CV HV 13A</v>
          </cell>
          <cell r="M2853" t="str">
            <v>VISUAL U2</v>
          </cell>
          <cell r="N2853" t="str">
            <v>VISUAL INSPECTION</v>
          </cell>
          <cell r="O2853" t="str">
            <v>B</v>
          </cell>
        </row>
        <row r="2854">
          <cell r="A2854">
            <v>9629</v>
          </cell>
          <cell r="B2854" t="str">
            <v>SINTA DIANA PUTRI</v>
          </cell>
          <cell r="C2854" t="str">
            <v>SAMI</v>
          </cell>
          <cell r="D2854" t="str">
            <v>OPT-218</v>
          </cell>
          <cell r="E2854">
            <v>40179</v>
          </cell>
          <cell r="F2854" t="str">
            <v>-</v>
          </cell>
          <cell r="G2854" t="str">
            <v>-</v>
          </cell>
          <cell r="H2854" t="str">
            <v>PRD</v>
          </cell>
          <cell r="I2854" t="str">
            <v>PRD</v>
          </cell>
          <cell r="J2854" t="str">
            <v>TOYOTA PRIUS</v>
          </cell>
          <cell r="K2854" t="str">
            <v>HV TOYOTA 690A Li</v>
          </cell>
          <cell r="L2854" t="str">
            <v>CV HV 13B</v>
          </cell>
          <cell r="M2854" t="str">
            <v>INSERT TERMINAL VS</v>
          </cell>
          <cell r="N2854" t="str">
            <v>ASSEMBLY</v>
          </cell>
          <cell r="O2854" t="str">
            <v>A</v>
          </cell>
        </row>
        <row r="2855">
          <cell r="A2855">
            <v>11061</v>
          </cell>
          <cell r="B2855" t="str">
            <v>EKA FITRIYANI</v>
          </cell>
          <cell r="C2855" t="str">
            <v>SAMI</v>
          </cell>
          <cell r="D2855" t="str">
            <v>OPT-289</v>
          </cell>
          <cell r="E2855">
            <v>40595</v>
          </cell>
          <cell r="F2855" t="str">
            <v>-</v>
          </cell>
          <cell r="G2855" t="str">
            <v>-</v>
          </cell>
          <cell r="H2855" t="str">
            <v>PRD</v>
          </cell>
          <cell r="I2855" t="str">
            <v>PRD</v>
          </cell>
          <cell r="J2855" t="str">
            <v>TOYOTA PRIUS</v>
          </cell>
          <cell r="K2855" t="str">
            <v>HV TOYOTA 690A Li</v>
          </cell>
          <cell r="L2855" t="str">
            <v>CV HV 13B</v>
          </cell>
          <cell r="M2855" t="str">
            <v>ASM T2</v>
          </cell>
          <cell r="N2855" t="str">
            <v>ASSEMBLY</v>
          </cell>
          <cell r="O2855" t="str">
            <v>A</v>
          </cell>
        </row>
        <row r="2856">
          <cell r="A2856">
            <v>11219</v>
          </cell>
          <cell r="B2856" t="str">
            <v>OKTAVIANA AMBARSARI</v>
          </cell>
          <cell r="C2856" t="str">
            <v>SAMI</v>
          </cell>
          <cell r="D2856" t="str">
            <v>OPT-293</v>
          </cell>
          <cell r="E2856">
            <v>40609</v>
          </cell>
          <cell r="F2856" t="str">
            <v>-</v>
          </cell>
          <cell r="G2856" t="str">
            <v>-</v>
          </cell>
          <cell r="H2856" t="str">
            <v>PRD</v>
          </cell>
          <cell r="I2856" t="str">
            <v>PRD</v>
          </cell>
          <cell r="J2856" t="str">
            <v>TOYOTA PRIUS</v>
          </cell>
          <cell r="K2856" t="str">
            <v>HV TOYOTA 690A Li</v>
          </cell>
          <cell r="L2856" t="str">
            <v>CV HV 13B</v>
          </cell>
          <cell r="M2856" t="str">
            <v>SUB LINE CHO</v>
          </cell>
          <cell r="N2856" t="str">
            <v>GL</v>
          </cell>
          <cell r="O2856" t="str">
            <v>A</v>
          </cell>
        </row>
        <row r="2857">
          <cell r="A2857">
            <v>11538</v>
          </cell>
          <cell r="B2857" t="str">
            <v>DIAH ISNANI FAUZIYAH</v>
          </cell>
          <cell r="C2857" t="str">
            <v>SAMI</v>
          </cell>
          <cell r="D2857" t="str">
            <v>OPT-307</v>
          </cell>
          <cell r="E2857">
            <v>40707</v>
          </cell>
          <cell r="F2857" t="str">
            <v>-</v>
          </cell>
          <cell r="G2857" t="str">
            <v>-</v>
          </cell>
          <cell r="H2857" t="str">
            <v>PRD</v>
          </cell>
          <cell r="I2857" t="str">
            <v>PRD</v>
          </cell>
          <cell r="J2857" t="str">
            <v>TOYOTA PRIUS</v>
          </cell>
          <cell r="K2857" t="str">
            <v>HV TOYOTA 690A Li</v>
          </cell>
          <cell r="L2857" t="str">
            <v>CV HV 13B</v>
          </cell>
          <cell r="M2857" t="str">
            <v>ASM 01 T2</v>
          </cell>
          <cell r="N2857" t="str">
            <v>ASSEMBLY</v>
          </cell>
          <cell r="O2857" t="str">
            <v>A</v>
          </cell>
        </row>
        <row r="2858">
          <cell r="A2858">
            <v>11568</v>
          </cell>
          <cell r="B2858" t="str">
            <v>LIA NURIDA</v>
          </cell>
          <cell r="C2858" t="str">
            <v>SAMI</v>
          </cell>
          <cell r="D2858" t="str">
            <v>OPT-307</v>
          </cell>
          <cell r="E2858">
            <v>40707</v>
          </cell>
          <cell r="F2858" t="str">
            <v>-</v>
          </cell>
          <cell r="G2858" t="str">
            <v>-</v>
          </cell>
          <cell r="H2858" t="str">
            <v>PRD</v>
          </cell>
          <cell r="I2858" t="str">
            <v>PRD</v>
          </cell>
          <cell r="J2858" t="str">
            <v>TOYOTA PRIUS</v>
          </cell>
          <cell r="K2858" t="str">
            <v>HV TOYOTA 690A Li</v>
          </cell>
          <cell r="L2858" t="str">
            <v>CV HV 13B</v>
          </cell>
          <cell r="M2858" t="str">
            <v>S/A THERMISTOR U2</v>
          </cell>
          <cell r="N2858" t="str">
            <v>ASSEMBLY</v>
          </cell>
          <cell r="O2858" t="str">
            <v>A</v>
          </cell>
        </row>
        <row r="2859">
          <cell r="A2859">
            <v>11658</v>
          </cell>
          <cell r="B2859" t="str">
            <v>ANITA WAHYU Y</v>
          </cell>
          <cell r="C2859" t="str">
            <v>SAMI</v>
          </cell>
          <cell r="D2859" t="str">
            <v>OPT-308</v>
          </cell>
          <cell r="E2859">
            <v>40714</v>
          </cell>
          <cell r="F2859" t="str">
            <v>-</v>
          </cell>
          <cell r="G2859" t="str">
            <v>-</v>
          </cell>
          <cell r="H2859" t="str">
            <v>PRD</v>
          </cell>
          <cell r="I2859" t="str">
            <v>PRD</v>
          </cell>
          <cell r="J2859" t="str">
            <v>TOYOTA PRIUS</v>
          </cell>
          <cell r="K2859" t="str">
            <v>HV TOYOTA 690A Li</v>
          </cell>
          <cell r="L2859" t="str">
            <v>CV HV 13B</v>
          </cell>
          <cell r="M2859" t="str">
            <v>SA &amp; ASM THERMISTOR T2</v>
          </cell>
          <cell r="N2859" t="str">
            <v>SUB ASSY</v>
          </cell>
          <cell r="O2859" t="str">
            <v>A</v>
          </cell>
        </row>
        <row r="2860">
          <cell r="A2860">
            <v>11938</v>
          </cell>
          <cell r="B2860" t="str">
            <v>LINDA LESTARI</v>
          </cell>
          <cell r="C2860" t="str">
            <v>SAMI</v>
          </cell>
          <cell r="D2860" t="str">
            <v>OPT-311</v>
          </cell>
          <cell r="E2860">
            <v>40770</v>
          </cell>
          <cell r="F2860" t="str">
            <v>-</v>
          </cell>
          <cell r="G2860" t="str">
            <v>-</v>
          </cell>
          <cell r="H2860" t="str">
            <v>PRD</v>
          </cell>
          <cell r="I2860" t="str">
            <v>PRD</v>
          </cell>
          <cell r="J2860" t="str">
            <v>TOYOTA PRIUS</v>
          </cell>
          <cell r="K2860" t="str">
            <v>HV TOYOTA 690A Li</v>
          </cell>
          <cell r="L2860" t="str">
            <v>CV HV 13B</v>
          </cell>
          <cell r="M2860" t="str">
            <v>ASM 02 U2</v>
          </cell>
          <cell r="N2860" t="str">
            <v>ASSEMBLY</v>
          </cell>
          <cell r="O2860" t="str">
            <v>A</v>
          </cell>
        </row>
        <row r="2861">
          <cell r="A2861">
            <v>12418</v>
          </cell>
          <cell r="B2861" t="str">
            <v>AL KHOIRIYAH</v>
          </cell>
          <cell r="C2861" t="str">
            <v>SAMI</v>
          </cell>
          <cell r="D2861" t="str">
            <v>OPT-318</v>
          </cell>
          <cell r="E2861">
            <v>40812</v>
          </cell>
          <cell r="F2861" t="str">
            <v>-</v>
          </cell>
          <cell r="G2861" t="str">
            <v>-</v>
          </cell>
          <cell r="H2861" t="str">
            <v>PRD</v>
          </cell>
          <cell r="I2861" t="str">
            <v>PRD</v>
          </cell>
          <cell r="J2861" t="str">
            <v>TOYOTA PRIUS</v>
          </cell>
          <cell r="K2861" t="str">
            <v>HV TOYOTA 690A Li</v>
          </cell>
          <cell r="L2861" t="str">
            <v>CV HV 13B</v>
          </cell>
          <cell r="M2861" t="str">
            <v>INSERT TERMINAL VS</v>
          </cell>
          <cell r="N2861" t="str">
            <v>ASSEMBLY</v>
          </cell>
          <cell r="O2861" t="str">
            <v>A</v>
          </cell>
        </row>
        <row r="2862">
          <cell r="A2862">
            <v>12485</v>
          </cell>
          <cell r="B2862" t="str">
            <v>LULUK KUSMAWATI</v>
          </cell>
          <cell r="C2862" t="str">
            <v>SAMI</v>
          </cell>
          <cell r="D2862" t="str">
            <v>OPT-318</v>
          </cell>
          <cell r="E2862">
            <v>40812</v>
          </cell>
          <cell r="F2862" t="str">
            <v>-</v>
          </cell>
          <cell r="G2862" t="str">
            <v>-</v>
          </cell>
          <cell r="H2862" t="str">
            <v>PRD</v>
          </cell>
          <cell r="I2862" t="str">
            <v>PRD</v>
          </cell>
          <cell r="J2862" t="str">
            <v>TOYOTA PRIUS</v>
          </cell>
          <cell r="K2862" t="str">
            <v>HV TOYOTA 690A Li</v>
          </cell>
          <cell r="L2862" t="str">
            <v>CV HV 13B</v>
          </cell>
          <cell r="M2862" t="str">
            <v>ASM 01 U2</v>
          </cell>
          <cell r="N2862" t="str">
            <v>ASSEMBLY</v>
          </cell>
          <cell r="O2862" t="str">
            <v>A</v>
          </cell>
        </row>
        <row r="2863">
          <cell r="A2863">
            <v>12509</v>
          </cell>
          <cell r="B2863" t="str">
            <v>NURHAYATI</v>
          </cell>
          <cell r="C2863" t="str">
            <v>SAMI</v>
          </cell>
          <cell r="D2863" t="str">
            <v>OPT-318</v>
          </cell>
          <cell r="E2863">
            <v>40812</v>
          </cell>
          <cell r="F2863" t="str">
            <v>-</v>
          </cell>
          <cell r="G2863" t="str">
            <v>-</v>
          </cell>
          <cell r="H2863" t="str">
            <v>PRD</v>
          </cell>
          <cell r="I2863" t="str">
            <v>PRD</v>
          </cell>
          <cell r="J2863" t="str">
            <v>TOYOTA PRIUS</v>
          </cell>
          <cell r="K2863" t="str">
            <v>HV TOYOTA 690A Li</v>
          </cell>
          <cell r="L2863" t="str">
            <v>CV HV 13B</v>
          </cell>
          <cell r="M2863" t="str">
            <v>VISUAL T2</v>
          </cell>
          <cell r="N2863" t="str">
            <v>ELECTRICAL INSPECTION</v>
          </cell>
          <cell r="O2863" t="str">
            <v>A</v>
          </cell>
        </row>
        <row r="2864">
          <cell r="A2864">
            <v>12561</v>
          </cell>
          <cell r="B2864" t="str">
            <v>UMI KHULSUM</v>
          </cell>
          <cell r="C2864" t="str">
            <v>SAMI</v>
          </cell>
          <cell r="D2864" t="str">
            <v>OPT-318</v>
          </cell>
          <cell r="E2864">
            <v>40812</v>
          </cell>
          <cell r="F2864" t="str">
            <v>-</v>
          </cell>
          <cell r="G2864" t="str">
            <v>-</v>
          </cell>
          <cell r="H2864" t="str">
            <v>PRD</v>
          </cell>
          <cell r="I2864" t="str">
            <v>PRD</v>
          </cell>
          <cell r="J2864" t="str">
            <v>TOYOTA PRIUS</v>
          </cell>
          <cell r="K2864" t="str">
            <v>HV TOYOTA 690A Li</v>
          </cell>
          <cell r="L2864" t="str">
            <v>CV HV 13B</v>
          </cell>
          <cell r="M2864" t="str">
            <v>LQC</v>
          </cell>
          <cell r="N2864" t="str">
            <v>RELIEF</v>
          </cell>
          <cell r="O2864" t="str">
            <v>A</v>
          </cell>
        </row>
        <row r="2865">
          <cell r="A2865">
            <v>12596</v>
          </cell>
          <cell r="B2865" t="str">
            <v>DEVI NOVIAWATI</v>
          </cell>
          <cell r="C2865" t="str">
            <v>SAMI</v>
          </cell>
          <cell r="D2865" t="str">
            <v>OPT-319</v>
          </cell>
          <cell r="E2865">
            <v>40816</v>
          </cell>
          <cell r="F2865" t="str">
            <v>-</v>
          </cell>
          <cell r="G2865" t="str">
            <v>-</v>
          </cell>
          <cell r="H2865" t="str">
            <v>PRD</v>
          </cell>
          <cell r="I2865" t="str">
            <v>PRD</v>
          </cell>
          <cell r="J2865" t="str">
            <v>TOYOTA PRIUS</v>
          </cell>
          <cell r="K2865" t="str">
            <v>HV TOYOTA 690A Li</v>
          </cell>
          <cell r="L2865" t="str">
            <v>CV HV 13B</v>
          </cell>
          <cell r="M2865" t="str">
            <v>PROTECTOR , CK T2</v>
          </cell>
          <cell r="N2865" t="str">
            <v>ASSEMBLY</v>
          </cell>
          <cell r="O2865" t="str">
            <v>A</v>
          </cell>
        </row>
        <row r="2866">
          <cell r="A2866">
            <v>13049</v>
          </cell>
          <cell r="B2866" t="str">
            <v>TRI MULYANI</v>
          </cell>
          <cell r="C2866" t="str">
            <v>SAMI</v>
          </cell>
          <cell r="D2866" t="str">
            <v>OPT-324</v>
          </cell>
          <cell r="E2866">
            <v>40844</v>
          </cell>
          <cell r="F2866" t="str">
            <v>-</v>
          </cell>
          <cell r="G2866" t="str">
            <v>-</v>
          </cell>
          <cell r="H2866" t="str">
            <v>PRD</v>
          </cell>
          <cell r="I2866" t="str">
            <v>PRD</v>
          </cell>
          <cell r="J2866" t="str">
            <v>TOYOTA PRIUS</v>
          </cell>
          <cell r="K2866" t="str">
            <v>HV TOYOTA 690A Li</v>
          </cell>
          <cell r="L2866" t="str">
            <v>CV HV 13B</v>
          </cell>
          <cell r="M2866" t="str">
            <v>ASM THERMISTOR</v>
          </cell>
          <cell r="N2866" t="str">
            <v>ASSEMBLY</v>
          </cell>
          <cell r="O2866" t="str">
            <v>A</v>
          </cell>
        </row>
        <row r="2867">
          <cell r="A2867">
            <v>14434</v>
          </cell>
          <cell r="B2867" t="str">
            <v>ROSYIDATUN FAJARWATI</v>
          </cell>
          <cell r="C2867" t="str">
            <v>SAMI</v>
          </cell>
          <cell r="D2867" t="str">
            <v>OPT-374</v>
          </cell>
          <cell r="E2867">
            <v>41390</v>
          </cell>
          <cell r="F2867" t="str">
            <v>-</v>
          </cell>
          <cell r="G2867" t="str">
            <v>-</v>
          </cell>
          <cell r="H2867" t="str">
            <v>PRD</v>
          </cell>
          <cell r="I2867" t="str">
            <v>PRD</v>
          </cell>
          <cell r="J2867" t="str">
            <v>TOYOTA PRIUS</v>
          </cell>
          <cell r="K2867" t="str">
            <v>HV TOYOTA 690A Li</v>
          </cell>
          <cell r="L2867" t="str">
            <v>CV HV 13B</v>
          </cell>
          <cell r="M2867" t="str">
            <v>INSERT TERMINAL VS</v>
          </cell>
          <cell r="N2867" t="str">
            <v>ASSEMBLY</v>
          </cell>
          <cell r="O2867" t="str">
            <v>A</v>
          </cell>
        </row>
        <row r="2868">
          <cell r="A2868">
            <v>15746</v>
          </cell>
          <cell r="B2868" t="str">
            <v>RAGIL LILIK SANDJANI</v>
          </cell>
          <cell r="C2868" t="str">
            <v>SAMI</v>
          </cell>
          <cell r="D2868" t="str">
            <v>OPT-396</v>
          </cell>
          <cell r="E2868">
            <v>41526</v>
          </cell>
          <cell r="F2868" t="str">
            <v>-</v>
          </cell>
          <cell r="G2868" t="str">
            <v>-</v>
          </cell>
          <cell r="H2868" t="str">
            <v>PRD</v>
          </cell>
          <cell r="I2868" t="str">
            <v>PRD</v>
          </cell>
          <cell r="J2868" t="str">
            <v>TOYOTA PRIUS</v>
          </cell>
          <cell r="K2868" t="str">
            <v>HV TOYOTA 690A Li</v>
          </cell>
          <cell r="L2868" t="str">
            <v>CV HV 13B</v>
          </cell>
          <cell r="M2868" t="str">
            <v>VISUAL T2</v>
          </cell>
          <cell r="N2868" t="str">
            <v>ELECTRICAL INSPECTION</v>
          </cell>
          <cell r="O2868" t="str">
            <v>A</v>
          </cell>
        </row>
        <row r="2869">
          <cell r="A2869">
            <v>17149</v>
          </cell>
          <cell r="B2869" t="str">
            <v>SERLI FARDELINA</v>
          </cell>
          <cell r="C2869" t="str">
            <v>SAMI</v>
          </cell>
          <cell r="D2869" t="str">
            <v>OPT-439</v>
          </cell>
          <cell r="E2869">
            <v>41758</v>
          </cell>
          <cell r="F2869" t="str">
            <v>-</v>
          </cell>
          <cell r="G2869" t="str">
            <v>-</v>
          </cell>
          <cell r="H2869" t="str">
            <v>PRD</v>
          </cell>
          <cell r="I2869" t="str">
            <v>PRD</v>
          </cell>
          <cell r="J2869" t="str">
            <v>TOYOTA PRIUS</v>
          </cell>
          <cell r="K2869" t="str">
            <v>HV TOYOTA 690A Li</v>
          </cell>
          <cell r="L2869" t="str">
            <v>CV HV 13B</v>
          </cell>
          <cell r="M2869" t="str">
            <v>PROTECTOR T2, CHECKER</v>
          </cell>
          <cell r="N2869" t="str">
            <v>ASSEMBLY</v>
          </cell>
          <cell r="O2869" t="str">
            <v>A</v>
          </cell>
        </row>
        <row r="2870">
          <cell r="A2870">
            <v>22998</v>
          </cell>
          <cell r="B2870" t="str">
            <v>AUFA ZERLINDA</v>
          </cell>
          <cell r="C2870" t="str">
            <v>SAMI</v>
          </cell>
          <cell r="D2870" t="str">
            <v>OPT-569</v>
          </cell>
          <cell r="E2870">
            <v>43361</v>
          </cell>
          <cell r="F2870">
            <v>43391</v>
          </cell>
          <cell r="G2870">
            <v>43769</v>
          </cell>
          <cell r="H2870" t="str">
            <v>PRD</v>
          </cell>
          <cell r="I2870" t="str">
            <v>PRD</v>
          </cell>
          <cell r="J2870" t="str">
            <v>TOYOTA PRIUS</v>
          </cell>
          <cell r="K2870" t="str">
            <v>HV TOYOTA 690A Li</v>
          </cell>
          <cell r="L2870" t="str">
            <v>CV HV 13B</v>
          </cell>
          <cell r="M2870" t="str">
            <v>INSERT TERMINAL VS</v>
          </cell>
          <cell r="N2870" t="str">
            <v>ASSEMBLY</v>
          </cell>
          <cell r="O2870" t="str">
            <v>A</v>
          </cell>
        </row>
        <row r="2871">
          <cell r="A2871">
            <v>23085</v>
          </cell>
          <cell r="B2871" t="str">
            <v>VINA MARDIANA</v>
          </cell>
          <cell r="C2871" t="str">
            <v>SAMI</v>
          </cell>
          <cell r="D2871" t="str">
            <v>OPT-569</v>
          </cell>
          <cell r="E2871">
            <v>43361</v>
          </cell>
          <cell r="F2871">
            <v>43391</v>
          </cell>
          <cell r="G2871">
            <v>43769</v>
          </cell>
          <cell r="H2871" t="str">
            <v>PRD</v>
          </cell>
          <cell r="I2871" t="str">
            <v>PRD</v>
          </cell>
          <cell r="J2871" t="str">
            <v>TOYOTA PRIUS</v>
          </cell>
          <cell r="K2871" t="str">
            <v>HV TOYOTA 690A Li</v>
          </cell>
          <cell r="L2871" t="str">
            <v>CV HV 13B</v>
          </cell>
          <cell r="M2871" t="str">
            <v>CIRCUIT SUPPLIER</v>
          </cell>
          <cell r="N2871" t="str">
            <v>CIRCUIT SUPPLY</v>
          </cell>
          <cell r="O2871" t="str">
            <v>A</v>
          </cell>
        </row>
        <row r="2872">
          <cell r="A2872">
            <v>10036</v>
          </cell>
          <cell r="B2872" t="str">
            <v>NURUL SHOBAH</v>
          </cell>
          <cell r="C2872" t="str">
            <v>SAMI</v>
          </cell>
          <cell r="D2872" t="str">
            <v>OPT-247</v>
          </cell>
          <cell r="E2872">
            <v>40438</v>
          </cell>
          <cell r="F2872" t="str">
            <v>-</v>
          </cell>
          <cell r="G2872" t="str">
            <v>-</v>
          </cell>
          <cell r="H2872" t="str">
            <v>PRD</v>
          </cell>
          <cell r="I2872" t="str">
            <v>PRD</v>
          </cell>
          <cell r="J2872" t="str">
            <v>TOYOTA PRIUS</v>
          </cell>
          <cell r="K2872" t="str">
            <v>HV TOYOTA 690A Li</v>
          </cell>
          <cell r="L2872" t="str">
            <v>CV HV 13B</v>
          </cell>
          <cell r="M2872" t="str">
            <v>S/A T2-1</v>
          </cell>
          <cell r="N2872" t="str">
            <v>SUB ASSY</v>
          </cell>
          <cell r="O2872" t="str">
            <v>B</v>
          </cell>
        </row>
        <row r="2873">
          <cell r="A2873">
            <v>11602</v>
          </cell>
          <cell r="B2873" t="str">
            <v>RIZKA AWALIA</v>
          </cell>
          <cell r="C2873" t="str">
            <v>SAMI</v>
          </cell>
          <cell r="D2873" t="str">
            <v>OPT-307</v>
          </cell>
          <cell r="E2873">
            <v>40707</v>
          </cell>
          <cell r="F2873" t="str">
            <v>-</v>
          </cell>
          <cell r="G2873" t="str">
            <v>-</v>
          </cell>
          <cell r="H2873" t="str">
            <v>PRD</v>
          </cell>
          <cell r="I2873" t="str">
            <v>PRD</v>
          </cell>
          <cell r="J2873" t="str">
            <v>TOYOTA PRIUS</v>
          </cell>
          <cell r="K2873" t="str">
            <v>HV TOYOTA 690A Li</v>
          </cell>
          <cell r="L2873" t="str">
            <v>CV HV 13B</v>
          </cell>
          <cell r="M2873" t="str">
            <v>ASM 01 T2</v>
          </cell>
          <cell r="N2873" t="str">
            <v>ASSEMBLY</v>
          </cell>
          <cell r="O2873" t="str">
            <v>B</v>
          </cell>
        </row>
        <row r="2874">
          <cell r="A2874">
            <v>11913</v>
          </cell>
          <cell r="B2874" t="str">
            <v>ADHE IRMAWATI</v>
          </cell>
          <cell r="C2874" t="str">
            <v>SAMI</v>
          </cell>
          <cell r="D2874" t="str">
            <v>OPT-311</v>
          </cell>
          <cell r="E2874">
            <v>40770</v>
          </cell>
          <cell r="F2874" t="str">
            <v>-</v>
          </cell>
          <cell r="G2874" t="str">
            <v>-</v>
          </cell>
          <cell r="H2874" t="str">
            <v>PRD</v>
          </cell>
          <cell r="I2874" t="str">
            <v>PRD</v>
          </cell>
          <cell r="J2874" t="str">
            <v>TOYOTA PRIUS</v>
          </cell>
          <cell r="K2874" t="str">
            <v>HV TOYOTA 690A Li</v>
          </cell>
          <cell r="L2874" t="str">
            <v>CV HV 13B</v>
          </cell>
          <cell r="M2874" t="str">
            <v>S/A T2-2</v>
          </cell>
          <cell r="N2874" t="str">
            <v>SUB ASSY</v>
          </cell>
          <cell r="O2874" t="str">
            <v>B</v>
          </cell>
        </row>
        <row r="2875">
          <cell r="A2875">
            <v>12266</v>
          </cell>
          <cell r="B2875" t="str">
            <v>ENI ISTIKOMAH</v>
          </cell>
          <cell r="C2875" t="str">
            <v>SAMI</v>
          </cell>
          <cell r="D2875" t="str">
            <v>OPT-316</v>
          </cell>
          <cell r="E2875">
            <v>40805</v>
          </cell>
          <cell r="F2875" t="str">
            <v>-</v>
          </cell>
          <cell r="G2875" t="str">
            <v>-</v>
          </cell>
          <cell r="H2875" t="str">
            <v>PRD</v>
          </cell>
          <cell r="I2875" t="str">
            <v>PRD</v>
          </cell>
          <cell r="J2875" t="str">
            <v>TOYOTA PRIUS</v>
          </cell>
          <cell r="K2875" t="str">
            <v>HV TOYOTA 690A Li</v>
          </cell>
          <cell r="L2875" t="str">
            <v>CV HV 13B</v>
          </cell>
          <cell r="M2875" t="str">
            <v>ICM-TA-01, 02, CSM-TA-01,02, PB10-TA-01</v>
          </cell>
          <cell r="N2875" t="str">
            <v>ASSEMBLY</v>
          </cell>
          <cell r="O2875" t="str">
            <v>B</v>
          </cell>
        </row>
        <row r="2876">
          <cell r="A2876">
            <v>14537</v>
          </cell>
          <cell r="B2876" t="str">
            <v>SEPTIANI DWI AMIRA</v>
          </cell>
          <cell r="C2876" t="str">
            <v>SAMI</v>
          </cell>
          <cell r="D2876" t="str">
            <v>OPT-375</v>
          </cell>
          <cell r="E2876">
            <v>41393</v>
          </cell>
          <cell r="F2876" t="str">
            <v>-</v>
          </cell>
          <cell r="G2876" t="str">
            <v>-</v>
          </cell>
          <cell r="H2876" t="str">
            <v>PRD</v>
          </cell>
          <cell r="I2876" t="str">
            <v>PRD</v>
          </cell>
          <cell r="J2876" t="str">
            <v>TOYOTA PRIUS</v>
          </cell>
          <cell r="K2876" t="str">
            <v>HV TOYOTA 690A Li</v>
          </cell>
          <cell r="L2876" t="str">
            <v>CV HV 13B</v>
          </cell>
          <cell r="M2876" t="str">
            <v>LQC</v>
          </cell>
          <cell r="N2876" t="str">
            <v>RELIEF</v>
          </cell>
          <cell r="O2876" t="str">
            <v>B</v>
          </cell>
        </row>
        <row r="2877">
          <cell r="A2877">
            <v>17561</v>
          </cell>
          <cell r="B2877" t="str">
            <v>MUTIATUL KHASANAH</v>
          </cell>
          <cell r="C2877" t="str">
            <v>SAMI</v>
          </cell>
          <cell r="D2877" t="str">
            <v>OPT-444</v>
          </cell>
          <cell r="E2877">
            <v>41781</v>
          </cell>
          <cell r="F2877" t="str">
            <v>-</v>
          </cell>
          <cell r="G2877" t="str">
            <v>-</v>
          </cell>
          <cell r="H2877" t="str">
            <v>PRD</v>
          </cell>
          <cell r="I2877" t="str">
            <v>PRD</v>
          </cell>
          <cell r="J2877" t="str">
            <v>TOYOTA PRIUS</v>
          </cell>
          <cell r="K2877" t="str">
            <v>HV TOYOTA 690A Li</v>
          </cell>
          <cell r="L2877" t="str">
            <v>CV HV 13B</v>
          </cell>
          <cell r="M2877" t="str">
            <v>S/A U2-2</v>
          </cell>
          <cell r="N2877" t="str">
            <v>SUB ASSY</v>
          </cell>
          <cell r="O2877" t="str">
            <v>B</v>
          </cell>
        </row>
        <row r="2878">
          <cell r="A2878">
            <v>21260</v>
          </cell>
          <cell r="B2878" t="str">
            <v>WIDIYANTI</v>
          </cell>
          <cell r="C2878" t="str">
            <v>SAMI</v>
          </cell>
          <cell r="D2878" t="str">
            <v>OPT-525</v>
          </cell>
          <cell r="E2878">
            <v>42893</v>
          </cell>
          <cell r="F2878">
            <v>43374</v>
          </cell>
          <cell r="G2878">
            <v>43738</v>
          </cell>
          <cell r="H2878" t="str">
            <v>PRD</v>
          </cell>
          <cell r="I2878" t="str">
            <v>PRD</v>
          </cell>
          <cell r="J2878" t="str">
            <v>TOYOTA PRIUS</v>
          </cell>
          <cell r="K2878" t="str">
            <v>HV TOYOTA 690A Li</v>
          </cell>
          <cell r="L2878" t="str">
            <v>CV HV 13B</v>
          </cell>
          <cell r="M2878" t="str">
            <v>ASM T2-2</v>
          </cell>
          <cell r="N2878" t="str">
            <v>ASSEMBLY</v>
          </cell>
          <cell r="O2878" t="str">
            <v>B</v>
          </cell>
        </row>
        <row r="2879">
          <cell r="A2879">
            <v>21563</v>
          </cell>
          <cell r="B2879" t="str">
            <v>SRI WAHYUNINGTIAS</v>
          </cell>
          <cell r="C2879" t="str">
            <v>SAMI</v>
          </cell>
          <cell r="D2879" t="str">
            <v>OPT-535</v>
          </cell>
          <cell r="E2879">
            <v>43045</v>
          </cell>
          <cell r="F2879">
            <v>43435</v>
          </cell>
          <cell r="G2879">
            <v>43799</v>
          </cell>
          <cell r="H2879" t="str">
            <v>PRD</v>
          </cell>
          <cell r="I2879" t="str">
            <v>PRD</v>
          </cell>
          <cell r="J2879" t="str">
            <v>TOYOTA PRIUS</v>
          </cell>
          <cell r="K2879" t="str">
            <v>HV TOYOTA 690A Li</v>
          </cell>
          <cell r="L2879" t="str">
            <v>CV HV 13B</v>
          </cell>
          <cell r="M2879" t="str">
            <v>S/A U2.1</v>
          </cell>
          <cell r="N2879" t="str">
            <v>SUB ASSY</v>
          </cell>
          <cell r="O2879" t="str">
            <v>B</v>
          </cell>
        </row>
        <row r="2880">
          <cell r="A2880">
            <v>21768</v>
          </cell>
          <cell r="B2880" t="str">
            <v>ERIKA PUTRI AULIA</v>
          </cell>
          <cell r="C2880" t="str">
            <v>SAMI</v>
          </cell>
          <cell r="D2880" t="str">
            <v>OPT-540</v>
          </cell>
          <cell r="E2880">
            <v>43090</v>
          </cell>
          <cell r="F2880">
            <v>43121</v>
          </cell>
          <cell r="G2880">
            <v>43496</v>
          </cell>
          <cell r="H2880" t="str">
            <v>PRD</v>
          </cell>
          <cell r="I2880" t="str">
            <v>PRD</v>
          </cell>
          <cell r="J2880" t="str">
            <v>TOYOTA PRIUS</v>
          </cell>
          <cell r="K2880" t="str">
            <v>HV TOYOTA 690A Li</v>
          </cell>
          <cell r="L2880" t="str">
            <v>CV HV 13B</v>
          </cell>
          <cell r="M2880" t="str">
            <v>S/A, ASM THERMISTOR T2</v>
          </cell>
          <cell r="N2880" t="str">
            <v>ASSEMBLY</v>
          </cell>
          <cell r="O2880" t="str">
            <v>B</v>
          </cell>
        </row>
        <row r="2881">
          <cell r="A2881">
            <v>22169</v>
          </cell>
          <cell r="B2881" t="str">
            <v>BUDI LISTIYOWATI</v>
          </cell>
          <cell r="C2881" t="str">
            <v>SAMI</v>
          </cell>
          <cell r="D2881" t="str">
            <v>OPT-550</v>
          </cell>
          <cell r="E2881">
            <v>43158</v>
          </cell>
          <cell r="F2881">
            <v>43186</v>
          </cell>
          <cell r="G2881">
            <v>43555</v>
          </cell>
          <cell r="H2881" t="str">
            <v>PRD</v>
          </cell>
          <cell r="I2881" t="str">
            <v>PRD</v>
          </cell>
          <cell r="J2881" t="str">
            <v>TOYOTA PRIUS</v>
          </cell>
          <cell r="K2881" t="str">
            <v>HV TOYOTA 690A Li</v>
          </cell>
          <cell r="L2881" t="str">
            <v>CV HV 13B</v>
          </cell>
          <cell r="M2881" t="str">
            <v>ASM PROTECTOR, CK T2</v>
          </cell>
          <cell r="N2881" t="str">
            <v>ASSEMBLY</v>
          </cell>
          <cell r="O2881" t="str">
            <v>B</v>
          </cell>
        </row>
        <row r="2882">
          <cell r="A2882">
            <v>22274</v>
          </cell>
          <cell r="B2882" t="str">
            <v>ABELLYA NUR RAHMA</v>
          </cell>
          <cell r="C2882" t="str">
            <v>SAMI</v>
          </cell>
          <cell r="D2882" t="str">
            <v>OPT-555</v>
          </cell>
          <cell r="E2882">
            <v>43192</v>
          </cell>
          <cell r="F2882">
            <v>43222</v>
          </cell>
          <cell r="G2882">
            <v>43585</v>
          </cell>
          <cell r="H2882" t="str">
            <v>PRD</v>
          </cell>
          <cell r="I2882" t="str">
            <v>PRD</v>
          </cell>
          <cell r="J2882" t="str">
            <v>TOYOTA PRIUS</v>
          </cell>
          <cell r="K2882" t="str">
            <v>HV TOYOTA 690A Li</v>
          </cell>
          <cell r="L2882" t="str">
            <v>CV HV 13B</v>
          </cell>
          <cell r="M2882" t="str">
            <v>ASM</v>
          </cell>
          <cell r="N2882" t="str">
            <v>ASSEMBLY</v>
          </cell>
          <cell r="O2882" t="str">
            <v>B</v>
          </cell>
        </row>
        <row r="2883">
          <cell r="A2883">
            <v>22278</v>
          </cell>
          <cell r="B2883" t="str">
            <v>ARI MUNARIS</v>
          </cell>
          <cell r="C2883" t="str">
            <v>SAMI</v>
          </cell>
          <cell r="D2883" t="str">
            <v>OPT-555</v>
          </cell>
          <cell r="E2883">
            <v>43192</v>
          </cell>
          <cell r="F2883">
            <v>43222</v>
          </cell>
          <cell r="G2883">
            <v>43585</v>
          </cell>
          <cell r="H2883" t="str">
            <v>PRD</v>
          </cell>
          <cell r="I2883" t="str">
            <v>PRD</v>
          </cell>
          <cell r="J2883" t="str">
            <v>TOYOTA PRIUS</v>
          </cell>
          <cell r="K2883" t="str">
            <v>HV TOYOTA 690A Li</v>
          </cell>
          <cell r="L2883" t="str">
            <v>CV HV 13B</v>
          </cell>
          <cell r="M2883" t="str">
            <v>CIRCUIT SUPPLIER 01</v>
          </cell>
          <cell r="N2883" t="str">
            <v>CIRCUIT SUPPLY</v>
          </cell>
          <cell r="O2883" t="str">
            <v>B</v>
          </cell>
        </row>
        <row r="2884">
          <cell r="A2884">
            <v>22308</v>
          </cell>
          <cell r="B2884" t="str">
            <v>RADEN RORO ADITIYA ARUM SASMITA</v>
          </cell>
          <cell r="C2884" t="str">
            <v>SAMI</v>
          </cell>
          <cell r="D2884" t="str">
            <v>OPT-555</v>
          </cell>
          <cell r="E2884">
            <v>43192</v>
          </cell>
          <cell r="F2884">
            <v>43222</v>
          </cell>
          <cell r="G2884">
            <v>43585</v>
          </cell>
          <cell r="H2884" t="str">
            <v>PRD</v>
          </cell>
          <cell r="I2884" t="str">
            <v>PRD</v>
          </cell>
          <cell r="J2884" t="str">
            <v>TOYOTA PRIUS</v>
          </cell>
          <cell r="K2884" t="str">
            <v>HV TOYOTA 690A Li</v>
          </cell>
          <cell r="L2884" t="str">
            <v>CV HV 13B</v>
          </cell>
          <cell r="M2884" t="str">
            <v>ASM 02 U2</v>
          </cell>
          <cell r="N2884" t="str">
            <v>ASSEMBLY</v>
          </cell>
          <cell r="O2884" t="str">
            <v>B</v>
          </cell>
        </row>
        <row r="2885">
          <cell r="A2885">
            <v>22424</v>
          </cell>
          <cell r="B2885" t="str">
            <v>SITI MUSTAGHFIROH</v>
          </cell>
          <cell r="C2885" t="str">
            <v>SAMI</v>
          </cell>
          <cell r="D2885" t="str">
            <v>OPT-558</v>
          </cell>
          <cell r="E2885">
            <v>43213</v>
          </cell>
          <cell r="F2885">
            <v>43243</v>
          </cell>
          <cell r="G2885">
            <v>43616</v>
          </cell>
          <cell r="H2885" t="str">
            <v>PRD</v>
          </cell>
          <cell r="I2885" t="str">
            <v>PRD</v>
          </cell>
          <cell r="J2885" t="str">
            <v>TOYOTA PRIUS</v>
          </cell>
          <cell r="K2885" t="str">
            <v>HV TOYOTA 690A Li</v>
          </cell>
          <cell r="L2885" t="str">
            <v>CV HV 13B</v>
          </cell>
          <cell r="M2885" t="str">
            <v>PRO, CK</v>
          </cell>
          <cell r="N2885" t="str">
            <v>ASSEMBLY</v>
          </cell>
          <cell r="O2885" t="str">
            <v>B</v>
          </cell>
        </row>
        <row r="2886">
          <cell r="A2886">
            <v>22564</v>
          </cell>
          <cell r="B2886" t="str">
            <v>SANIYAH</v>
          </cell>
          <cell r="C2886" t="str">
            <v>SAMI</v>
          </cell>
          <cell r="D2886" t="str">
            <v>OPT-560</v>
          </cell>
          <cell r="E2886">
            <v>43224</v>
          </cell>
          <cell r="F2886">
            <v>43255</v>
          </cell>
          <cell r="G2886">
            <v>43616</v>
          </cell>
          <cell r="H2886" t="str">
            <v>PRD</v>
          </cell>
          <cell r="I2886" t="str">
            <v>PRD</v>
          </cell>
          <cell r="J2886" t="str">
            <v>TOYOTA PRIUS</v>
          </cell>
          <cell r="K2886" t="str">
            <v>HV TOYOTA 690A Li</v>
          </cell>
          <cell r="L2886" t="str">
            <v>CV HV 13B</v>
          </cell>
          <cell r="M2886" t="str">
            <v>ASM TWIST, ASM THERMISTOR U2</v>
          </cell>
          <cell r="N2886" t="str">
            <v>ASSEMBLY</v>
          </cell>
          <cell r="O2886" t="str">
            <v>B</v>
          </cell>
        </row>
        <row r="2887">
          <cell r="A2887">
            <v>22776</v>
          </cell>
          <cell r="B2887" t="str">
            <v>TRIA WULANDARI</v>
          </cell>
          <cell r="C2887" t="str">
            <v>SAMI</v>
          </cell>
          <cell r="D2887" t="str">
            <v>OPT-564</v>
          </cell>
          <cell r="E2887">
            <v>43255</v>
          </cell>
          <cell r="F2887">
            <v>43285</v>
          </cell>
          <cell r="G2887">
            <v>43646</v>
          </cell>
          <cell r="H2887" t="str">
            <v>PRD</v>
          </cell>
          <cell r="I2887" t="str">
            <v>PRD</v>
          </cell>
          <cell r="J2887" t="str">
            <v>TOYOTA PRIUS</v>
          </cell>
          <cell r="K2887" t="str">
            <v>HV TOYOTA 690A Li</v>
          </cell>
          <cell r="L2887" t="str">
            <v>CV HV 13B</v>
          </cell>
          <cell r="M2887" t="str">
            <v>SA TWIST, SA THERMISTOR U2</v>
          </cell>
          <cell r="N2887" t="str">
            <v>ASSEMBLY</v>
          </cell>
          <cell r="O2887" t="str">
            <v>B</v>
          </cell>
        </row>
        <row r="2888">
          <cell r="A2888">
            <v>23027</v>
          </cell>
          <cell r="B2888" t="str">
            <v>HUSNA KHAIRANI</v>
          </cell>
          <cell r="C2888" t="str">
            <v>SAMI</v>
          </cell>
          <cell r="D2888" t="str">
            <v>OPT-569</v>
          </cell>
          <cell r="E2888">
            <v>43361</v>
          </cell>
          <cell r="F2888">
            <v>43391</v>
          </cell>
          <cell r="G2888">
            <v>43769</v>
          </cell>
          <cell r="H2888" t="str">
            <v>PRD</v>
          </cell>
          <cell r="I2888" t="str">
            <v>PRD</v>
          </cell>
          <cell r="J2888" t="str">
            <v>TOYOTA PRIUS</v>
          </cell>
          <cell r="K2888" t="str">
            <v>HV TOYOTA 690A Li</v>
          </cell>
          <cell r="L2888" t="str">
            <v>CV HV 13B</v>
          </cell>
          <cell r="M2888" t="str">
            <v>INSERT TERMINAL VS</v>
          </cell>
          <cell r="N2888" t="str">
            <v>ASSEMBLY</v>
          </cell>
          <cell r="O2888" t="str">
            <v>B</v>
          </cell>
        </row>
        <row r="2889">
          <cell r="A2889">
            <v>23355</v>
          </cell>
          <cell r="B2889" t="str">
            <v>SELFI ARDIYANTI</v>
          </cell>
          <cell r="C2889" t="str">
            <v>SAMI</v>
          </cell>
          <cell r="D2889" t="str">
            <v>OPT-574</v>
          </cell>
          <cell r="E2889">
            <v>43427</v>
          </cell>
          <cell r="F2889">
            <v>43457</v>
          </cell>
          <cell r="G2889">
            <v>43830</v>
          </cell>
          <cell r="H2889" t="str">
            <v>PRD</v>
          </cell>
          <cell r="I2889" t="str">
            <v>PRD</v>
          </cell>
          <cell r="J2889" t="str">
            <v>TOYOTA PRIUS</v>
          </cell>
          <cell r="K2889" t="str">
            <v>HV TOYOTA 690A Li</v>
          </cell>
          <cell r="L2889" t="str">
            <v>CV HV 13B</v>
          </cell>
          <cell r="M2889" t="str">
            <v>OJT S/A</v>
          </cell>
          <cell r="N2889" t="str">
            <v>INTERNAL TRIAL</v>
          </cell>
          <cell r="O2889" t="str">
            <v>B</v>
          </cell>
        </row>
        <row r="2890">
          <cell r="A2890" t="str">
            <v>B01765</v>
          </cell>
          <cell r="B2890" t="str">
            <v>ANISA FITRIANI</v>
          </cell>
          <cell r="C2890" t="str">
            <v>SAMI</v>
          </cell>
          <cell r="D2890" t="str">
            <v>BBF-066</v>
          </cell>
          <cell r="E2890">
            <v>41435</v>
          </cell>
          <cell r="F2890" t="str">
            <v>-</v>
          </cell>
          <cell r="G2890" t="str">
            <v>-</v>
          </cell>
          <cell r="H2890" t="str">
            <v>PRD</v>
          </cell>
          <cell r="I2890" t="str">
            <v>PRD</v>
          </cell>
          <cell r="J2890" t="str">
            <v>TOYOTA PRIUS</v>
          </cell>
          <cell r="K2890" t="str">
            <v>HV TOYOTA 690A Li</v>
          </cell>
          <cell r="L2890" t="str">
            <v>CV HV 13B</v>
          </cell>
          <cell r="M2890" t="str">
            <v>VISUAL T2</v>
          </cell>
          <cell r="N2890" t="str">
            <v>VISUAL INSPECTION</v>
          </cell>
          <cell r="O2890" t="str">
            <v>B</v>
          </cell>
        </row>
        <row r="2891">
          <cell r="A2891" t="str">
            <v>B02122</v>
          </cell>
          <cell r="B2891" t="str">
            <v>ISNAINI</v>
          </cell>
          <cell r="C2891" t="str">
            <v>SAMI</v>
          </cell>
          <cell r="D2891" t="str">
            <v>BBF-085</v>
          </cell>
          <cell r="E2891">
            <v>41654</v>
          </cell>
          <cell r="F2891" t="str">
            <v>-</v>
          </cell>
          <cell r="G2891" t="str">
            <v>-</v>
          </cell>
          <cell r="H2891" t="str">
            <v>PRD</v>
          </cell>
          <cell r="I2891" t="str">
            <v>PRD</v>
          </cell>
          <cell r="J2891" t="str">
            <v>TOYOTA PRIUS</v>
          </cell>
          <cell r="K2891" t="str">
            <v>HV TOYOTA 690A Li</v>
          </cell>
          <cell r="L2891" t="str">
            <v>CV HV 13B</v>
          </cell>
          <cell r="M2891" t="str">
            <v>VISUAL U2</v>
          </cell>
          <cell r="N2891" t="str">
            <v>VISUAL INSPECTION</v>
          </cell>
          <cell r="O2891" t="str">
            <v>B</v>
          </cell>
        </row>
        <row r="2892">
          <cell r="A2892">
            <v>23545</v>
          </cell>
          <cell r="B2892" t="str">
            <v>DEWI NUR KHASANAH</v>
          </cell>
          <cell r="C2892" t="str">
            <v>SAMI</v>
          </cell>
          <cell r="D2892" t="str">
            <v>OPT-577</v>
          </cell>
          <cell r="E2892">
            <v>43452</v>
          </cell>
          <cell r="F2892">
            <v>43483</v>
          </cell>
          <cell r="G2892">
            <v>43861</v>
          </cell>
          <cell r="H2892" t="str">
            <v>PRD</v>
          </cell>
          <cell r="I2892" t="str">
            <v>PRD</v>
          </cell>
          <cell r="J2892" t="str">
            <v>TOYOTA PRIUS</v>
          </cell>
          <cell r="K2892" t="str">
            <v>HV TOYOTA 690A Li</v>
          </cell>
          <cell r="L2892" t="str">
            <v>CV HV 13B</v>
          </cell>
          <cell r="M2892" t="str">
            <v>OJT CS</v>
          </cell>
          <cell r="N2892" t="str">
            <v>INTERNAL TRIAL</v>
          </cell>
          <cell r="O2892" t="str">
            <v>B</v>
          </cell>
        </row>
        <row r="2893">
          <cell r="A2893">
            <v>1107</v>
          </cell>
          <cell r="B2893" t="str">
            <v>MUDJI TRININGSIH</v>
          </cell>
          <cell r="C2893" t="str">
            <v>SAMI</v>
          </cell>
          <cell r="D2893" t="str">
            <v>OPT-27</v>
          </cell>
          <cell r="E2893">
            <v>37887</v>
          </cell>
          <cell r="F2893" t="str">
            <v>-</v>
          </cell>
          <cell r="G2893" t="str">
            <v>-</v>
          </cell>
          <cell r="H2893" t="str">
            <v>PRD</v>
          </cell>
          <cell r="I2893" t="str">
            <v>PRD</v>
          </cell>
          <cell r="J2893" t="str">
            <v>ALL</v>
          </cell>
          <cell r="K2893" t="str">
            <v>ALL</v>
          </cell>
          <cell r="L2893" t="str">
            <v>HSPO CPA</v>
          </cell>
          <cell r="M2893" t="str">
            <v>CUTTING</v>
          </cell>
          <cell r="N2893" t="str">
            <v>CUTTING WIRE</v>
          </cell>
          <cell r="O2893" t="str">
            <v>A (NS)</v>
          </cell>
        </row>
        <row r="2894">
          <cell r="A2894">
            <v>5428</v>
          </cell>
          <cell r="B2894" t="str">
            <v>LASTRI</v>
          </cell>
          <cell r="C2894" t="str">
            <v>SAMI</v>
          </cell>
          <cell r="D2894" t="str">
            <v>OPT-128</v>
          </cell>
          <cell r="E2894">
            <v>38991</v>
          </cell>
          <cell r="F2894" t="str">
            <v>-</v>
          </cell>
          <cell r="G2894" t="str">
            <v>-</v>
          </cell>
          <cell r="H2894" t="str">
            <v>PRD</v>
          </cell>
          <cell r="I2894" t="str">
            <v>PRD</v>
          </cell>
          <cell r="J2894" t="str">
            <v>ALL</v>
          </cell>
          <cell r="K2894" t="str">
            <v>ALL</v>
          </cell>
          <cell r="L2894" t="str">
            <v>HSPO CPA</v>
          </cell>
          <cell r="M2894" t="str">
            <v>MC-01</v>
          </cell>
          <cell r="N2894" t="str">
            <v>WFAP 2.1</v>
          </cell>
          <cell r="O2894" t="str">
            <v>A (NS)</v>
          </cell>
        </row>
        <row r="2895">
          <cell r="A2895">
            <v>5888</v>
          </cell>
          <cell r="B2895" t="str">
            <v>DEWI MAYASARI</v>
          </cell>
          <cell r="C2895" t="str">
            <v>SAMI</v>
          </cell>
          <cell r="D2895" t="str">
            <v>OPT-137</v>
          </cell>
          <cell r="E2895">
            <v>39129</v>
          </cell>
          <cell r="F2895" t="str">
            <v>-</v>
          </cell>
          <cell r="G2895" t="str">
            <v>-</v>
          </cell>
          <cell r="H2895" t="str">
            <v>PRD</v>
          </cell>
          <cell r="I2895" t="str">
            <v>PRD</v>
          </cell>
          <cell r="J2895" t="str">
            <v>ALL</v>
          </cell>
          <cell r="K2895" t="str">
            <v>ALL</v>
          </cell>
          <cell r="L2895" t="str">
            <v>HSPO CPA</v>
          </cell>
          <cell r="M2895" t="str">
            <v>TWIST, RYCHAM</v>
          </cell>
          <cell r="N2895" t="str">
            <v>WFAP 2.2</v>
          </cell>
          <cell r="O2895" t="str">
            <v>A (NS)</v>
          </cell>
        </row>
        <row r="2896">
          <cell r="A2896">
            <v>8828</v>
          </cell>
          <cell r="B2896" t="str">
            <v>IVA SUSANTI</v>
          </cell>
          <cell r="C2896" t="str">
            <v>SAMI</v>
          </cell>
          <cell r="D2896" t="str">
            <v>OPT-195</v>
          </cell>
          <cell r="E2896">
            <v>39937</v>
          </cell>
          <cell r="F2896" t="str">
            <v>-</v>
          </cell>
          <cell r="G2896" t="str">
            <v>-</v>
          </cell>
          <cell r="H2896" t="str">
            <v>PRD</v>
          </cell>
          <cell r="I2896" t="str">
            <v>PRD</v>
          </cell>
          <cell r="J2896" t="str">
            <v>ALL</v>
          </cell>
          <cell r="K2896" t="str">
            <v>ALL</v>
          </cell>
          <cell r="L2896" t="str">
            <v>HSPO CPA</v>
          </cell>
          <cell r="M2896" t="str">
            <v>GL PRODUKSI</v>
          </cell>
          <cell r="N2896" t="str">
            <v>GL</v>
          </cell>
          <cell r="O2896" t="str">
            <v>A (NS)</v>
          </cell>
        </row>
        <row r="2897">
          <cell r="A2897">
            <v>12500</v>
          </cell>
          <cell r="B2897" t="str">
            <v>NOVIANI ANISA PUTRI</v>
          </cell>
          <cell r="C2897" t="str">
            <v>SAMI</v>
          </cell>
          <cell r="D2897" t="str">
            <v>OPT-318</v>
          </cell>
          <cell r="E2897">
            <v>40812</v>
          </cell>
          <cell r="F2897" t="str">
            <v>-</v>
          </cell>
          <cell r="G2897" t="str">
            <v>-</v>
          </cell>
          <cell r="H2897" t="str">
            <v>PRD</v>
          </cell>
          <cell r="I2897" t="str">
            <v>PRD</v>
          </cell>
          <cell r="J2897" t="str">
            <v>ALL</v>
          </cell>
          <cell r="K2897" t="str">
            <v>ALL</v>
          </cell>
          <cell r="L2897" t="str">
            <v>HSPO CPA</v>
          </cell>
          <cell r="M2897" t="str">
            <v>BONDER , DRYER</v>
          </cell>
          <cell r="N2897" t="str">
            <v>BONDER</v>
          </cell>
          <cell r="O2897" t="str">
            <v>A (NS)</v>
          </cell>
        </row>
        <row r="2898">
          <cell r="A2898">
            <v>22255</v>
          </cell>
          <cell r="B2898" t="str">
            <v>SITI NURROHMAH</v>
          </cell>
          <cell r="C2898" t="str">
            <v>SAMI</v>
          </cell>
          <cell r="D2898" t="str">
            <v>OPT-552</v>
          </cell>
          <cell r="E2898">
            <v>43171</v>
          </cell>
          <cell r="F2898">
            <v>43202</v>
          </cell>
          <cell r="G2898">
            <v>43555</v>
          </cell>
          <cell r="H2898" t="str">
            <v>PRD</v>
          </cell>
          <cell r="I2898" t="str">
            <v>PRD</v>
          </cell>
          <cell r="J2898" t="str">
            <v>ALL</v>
          </cell>
          <cell r="K2898" t="str">
            <v>ALL</v>
          </cell>
          <cell r="L2898" t="str">
            <v>HSPO CPA</v>
          </cell>
          <cell r="M2898" t="str">
            <v>MC1-TRN</v>
          </cell>
          <cell r="N2898" t="str">
            <v>WFAP 2.1</v>
          </cell>
          <cell r="O2898" t="str">
            <v>A (NS)</v>
          </cell>
        </row>
        <row r="2899">
          <cell r="A2899">
            <v>22345</v>
          </cell>
          <cell r="B2899" t="str">
            <v>PUJI SRI RAHAYU</v>
          </cell>
          <cell r="C2899" t="str">
            <v>SAMI</v>
          </cell>
          <cell r="D2899" t="str">
            <v>OPT-556</v>
          </cell>
          <cell r="E2899">
            <v>43195</v>
          </cell>
          <cell r="F2899">
            <v>43225</v>
          </cell>
          <cell r="G2899">
            <v>43585</v>
          </cell>
          <cell r="H2899" t="str">
            <v>PRD</v>
          </cell>
          <cell r="I2899" t="str">
            <v>PRD</v>
          </cell>
          <cell r="J2899" t="str">
            <v>ALL</v>
          </cell>
          <cell r="K2899" t="str">
            <v>ALL</v>
          </cell>
          <cell r="L2899" t="str">
            <v>HSPO CPA</v>
          </cell>
          <cell r="M2899" t="str">
            <v>MC-02</v>
          </cell>
          <cell r="N2899" t="str">
            <v>WFAP 2.1</v>
          </cell>
          <cell r="O2899" t="str">
            <v>A (NS)</v>
          </cell>
        </row>
        <row r="2900">
          <cell r="A2900">
            <v>307</v>
          </cell>
          <cell r="B2900" t="str">
            <v>SRI LISTIANI</v>
          </cell>
          <cell r="C2900" t="str">
            <v>SAMI</v>
          </cell>
          <cell r="D2900" t="str">
            <v>OPT-9</v>
          </cell>
          <cell r="E2900">
            <v>37725</v>
          </cell>
          <cell r="F2900" t="str">
            <v>-</v>
          </cell>
          <cell r="G2900" t="str">
            <v>-</v>
          </cell>
          <cell r="H2900" t="str">
            <v>PRD</v>
          </cell>
          <cell r="I2900" t="str">
            <v>PRD</v>
          </cell>
          <cell r="J2900" t="str">
            <v>ALL</v>
          </cell>
          <cell r="K2900" t="str">
            <v>ALL</v>
          </cell>
          <cell r="L2900" t="str">
            <v>HSPO FA</v>
          </cell>
          <cell r="M2900" t="str">
            <v>FINAL INSPECTION</v>
          </cell>
          <cell r="N2900" t="str">
            <v>QA APPROVE</v>
          </cell>
          <cell r="O2900" t="str">
            <v>A (NS)</v>
          </cell>
        </row>
        <row r="2901">
          <cell r="A2901">
            <v>1091</v>
          </cell>
          <cell r="B2901" t="str">
            <v>MALIKAH</v>
          </cell>
          <cell r="C2901" t="str">
            <v>SAMI</v>
          </cell>
          <cell r="D2901" t="str">
            <v>OPT-27</v>
          </cell>
          <cell r="E2901">
            <v>37887</v>
          </cell>
          <cell r="F2901" t="str">
            <v>-</v>
          </cell>
          <cell r="G2901" t="str">
            <v>-</v>
          </cell>
          <cell r="H2901" t="str">
            <v>PRD</v>
          </cell>
          <cell r="I2901" t="str">
            <v>PRD</v>
          </cell>
          <cell r="J2901" t="str">
            <v>ALL</v>
          </cell>
          <cell r="K2901" t="str">
            <v>ALL</v>
          </cell>
          <cell r="L2901" t="str">
            <v>HSPO FA</v>
          </cell>
          <cell r="M2901" t="str">
            <v>T/P</v>
          </cell>
          <cell r="N2901" t="str">
            <v>ASSEMBLY</v>
          </cell>
          <cell r="O2901" t="str">
            <v>A (NS)</v>
          </cell>
        </row>
        <row r="2902">
          <cell r="A2902">
            <v>1138</v>
          </cell>
          <cell r="B2902" t="str">
            <v>SITI NUR AINI</v>
          </cell>
          <cell r="C2902" t="str">
            <v>SAMI</v>
          </cell>
          <cell r="D2902" t="str">
            <v>OPT-28</v>
          </cell>
          <cell r="E2902">
            <v>37900</v>
          </cell>
          <cell r="F2902" t="str">
            <v>-</v>
          </cell>
          <cell r="G2902" t="str">
            <v>-</v>
          </cell>
          <cell r="H2902" t="str">
            <v>PRD</v>
          </cell>
          <cell r="I2902" t="str">
            <v>PRD</v>
          </cell>
          <cell r="J2902" t="str">
            <v>ALL</v>
          </cell>
          <cell r="K2902" t="str">
            <v>ALL</v>
          </cell>
          <cell r="L2902" t="str">
            <v>HSPO FA</v>
          </cell>
          <cell r="M2902" t="str">
            <v>T/P</v>
          </cell>
          <cell r="N2902" t="str">
            <v>ASSEMBLY</v>
          </cell>
          <cell r="O2902" t="str">
            <v>A (NS)</v>
          </cell>
        </row>
        <row r="2903">
          <cell r="A2903">
            <v>5892</v>
          </cell>
          <cell r="B2903" t="str">
            <v>DWI WAHYUNINGSIH</v>
          </cell>
          <cell r="C2903" t="str">
            <v>SAMI</v>
          </cell>
          <cell r="D2903" t="str">
            <v>OPT-137</v>
          </cell>
          <cell r="E2903">
            <v>39129</v>
          </cell>
          <cell r="F2903" t="str">
            <v>-</v>
          </cell>
          <cell r="G2903" t="str">
            <v>-</v>
          </cell>
          <cell r="H2903" t="str">
            <v>PRD</v>
          </cell>
          <cell r="I2903" t="str">
            <v>PRD</v>
          </cell>
          <cell r="J2903" t="str">
            <v>ALL</v>
          </cell>
          <cell r="K2903" t="str">
            <v>ALL</v>
          </cell>
          <cell r="L2903" t="str">
            <v>HSPO FA</v>
          </cell>
          <cell r="M2903" t="str">
            <v>GL PRODUKSI</v>
          </cell>
          <cell r="N2903" t="str">
            <v>GL</v>
          </cell>
          <cell r="O2903" t="str">
            <v>A (NS)</v>
          </cell>
        </row>
        <row r="2904">
          <cell r="A2904">
            <v>9133</v>
          </cell>
          <cell r="B2904" t="str">
            <v>DIYAH FITRIYANI</v>
          </cell>
          <cell r="C2904" t="str">
            <v>SAMI</v>
          </cell>
          <cell r="D2904" t="str">
            <v>OPT-205</v>
          </cell>
          <cell r="E2904">
            <v>40000</v>
          </cell>
          <cell r="F2904" t="str">
            <v>-</v>
          </cell>
          <cell r="G2904" t="str">
            <v>-</v>
          </cell>
          <cell r="H2904" t="str">
            <v>PRD</v>
          </cell>
          <cell r="I2904" t="str">
            <v>PRD</v>
          </cell>
          <cell r="J2904" t="str">
            <v>ALL</v>
          </cell>
          <cell r="K2904" t="str">
            <v>ALL</v>
          </cell>
          <cell r="L2904" t="str">
            <v>HSPO FA</v>
          </cell>
          <cell r="M2904" t="str">
            <v>T/P</v>
          </cell>
          <cell r="N2904" t="str">
            <v>ASSEMBLY</v>
          </cell>
          <cell r="O2904" t="str">
            <v>A (NS)</v>
          </cell>
        </row>
        <row r="2905">
          <cell r="A2905">
            <v>9200</v>
          </cell>
          <cell r="B2905" t="str">
            <v>LISTIANA</v>
          </cell>
          <cell r="C2905" t="str">
            <v>SAMI</v>
          </cell>
          <cell r="D2905" t="str">
            <v>OPT-216</v>
          </cell>
          <cell r="E2905">
            <v>40008</v>
          </cell>
          <cell r="F2905" t="str">
            <v>-</v>
          </cell>
          <cell r="G2905" t="str">
            <v>-</v>
          </cell>
          <cell r="H2905" t="str">
            <v>PRD</v>
          </cell>
          <cell r="I2905" t="str">
            <v>PRD</v>
          </cell>
          <cell r="J2905" t="str">
            <v>ALL</v>
          </cell>
          <cell r="K2905" t="str">
            <v>ALL</v>
          </cell>
          <cell r="L2905" t="str">
            <v>HSPO FA</v>
          </cell>
          <cell r="M2905" t="str">
            <v>T/P</v>
          </cell>
          <cell r="N2905" t="str">
            <v>ASSEMBLY</v>
          </cell>
          <cell r="O2905" t="str">
            <v>A (NS)</v>
          </cell>
        </row>
        <row r="2906">
          <cell r="A2906">
            <v>9443</v>
          </cell>
          <cell r="B2906" t="str">
            <v>INDAH SULISTIANI</v>
          </cell>
          <cell r="C2906" t="str">
            <v>SAMI</v>
          </cell>
          <cell r="D2906" t="str">
            <v>OPT-216</v>
          </cell>
          <cell r="E2906">
            <v>40148</v>
          </cell>
          <cell r="F2906" t="str">
            <v>-</v>
          </cell>
          <cell r="G2906" t="str">
            <v>-</v>
          </cell>
          <cell r="H2906" t="str">
            <v>PRD</v>
          </cell>
          <cell r="I2906" t="str">
            <v>PRD</v>
          </cell>
          <cell r="J2906" t="str">
            <v>ALL</v>
          </cell>
          <cell r="K2906" t="str">
            <v>ALL</v>
          </cell>
          <cell r="L2906" t="str">
            <v>HSPO FA</v>
          </cell>
          <cell r="M2906" t="str">
            <v>T/P</v>
          </cell>
          <cell r="N2906" t="str">
            <v>ASSEMBLY</v>
          </cell>
          <cell r="O2906" t="str">
            <v>A (NS)</v>
          </cell>
        </row>
        <row r="2907">
          <cell r="A2907">
            <v>10558</v>
          </cell>
          <cell r="B2907" t="str">
            <v>RETNO LISTIYONINGRUM</v>
          </cell>
          <cell r="C2907" t="str">
            <v>SAMI</v>
          </cell>
          <cell r="D2907" t="str">
            <v>OPT-275</v>
          </cell>
          <cell r="E2907">
            <v>40542</v>
          </cell>
          <cell r="F2907" t="str">
            <v>-</v>
          </cell>
          <cell r="G2907" t="str">
            <v>-</v>
          </cell>
          <cell r="H2907" t="str">
            <v>PRD</v>
          </cell>
          <cell r="I2907" t="str">
            <v>PRD</v>
          </cell>
          <cell r="J2907" t="str">
            <v>ALL</v>
          </cell>
          <cell r="K2907" t="str">
            <v>ALL</v>
          </cell>
          <cell r="L2907" t="str">
            <v>HSPO FA</v>
          </cell>
          <cell r="M2907" t="str">
            <v>S/A</v>
          </cell>
          <cell r="N2907" t="str">
            <v>SUB ASSY</v>
          </cell>
          <cell r="O2907" t="str">
            <v>A (NS)</v>
          </cell>
        </row>
        <row r="2908">
          <cell r="A2908">
            <v>11707</v>
          </cell>
          <cell r="B2908" t="str">
            <v>INDAH CAHYANINGRUM</v>
          </cell>
          <cell r="C2908" t="str">
            <v>SAMI</v>
          </cell>
          <cell r="D2908" t="str">
            <v>OPT-308</v>
          </cell>
          <cell r="E2908">
            <v>40714</v>
          </cell>
          <cell r="F2908" t="str">
            <v>-</v>
          </cell>
          <cell r="G2908" t="str">
            <v>-</v>
          </cell>
          <cell r="H2908" t="str">
            <v>PRD</v>
          </cell>
          <cell r="I2908" t="str">
            <v>PRD</v>
          </cell>
          <cell r="J2908" t="str">
            <v>ALL</v>
          </cell>
          <cell r="K2908" t="str">
            <v>ALL</v>
          </cell>
          <cell r="L2908" t="str">
            <v>HSPO FA</v>
          </cell>
          <cell r="M2908" t="str">
            <v>VISUAL</v>
          </cell>
          <cell r="N2908" t="str">
            <v>VISUAL INSPECTION</v>
          </cell>
          <cell r="O2908" t="str">
            <v>A (NS)</v>
          </cell>
        </row>
        <row r="2909">
          <cell r="A2909">
            <v>12156</v>
          </cell>
          <cell r="B2909" t="str">
            <v>TRI NANI</v>
          </cell>
          <cell r="C2909" t="str">
            <v>SAMI</v>
          </cell>
          <cell r="D2909" t="str">
            <v>OPT-314</v>
          </cell>
          <cell r="E2909">
            <v>40798</v>
          </cell>
          <cell r="F2909" t="str">
            <v>-</v>
          </cell>
          <cell r="G2909" t="str">
            <v>-</v>
          </cell>
          <cell r="H2909" t="str">
            <v>PRD</v>
          </cell>
          <cell r="I2909" t="str">
            <v>PRD</v>
          </cell>
          <cell r="J2909" t="str">
            <v>ALL</v>
          </cell>
          <cell r="K2909" t="str">
            <v>ALL</v>
          </cell>
          <cell r="L2909" t="str">
            <v>HSPO FA</v>
          </cell>
          <cell r="M2909" t="str">
            <v>CHECKER</v>
          </cell>
          <cell r="N2909" t="str">
            <v>ELECTRICAL INSPECTION</v>
          </cell>
          <cell r="O2909" t="str">
            <v>A (NS)</v>
          </cell>
        </row>
        <row r="2910">
          <cell r="A2910">
            <v>13369</v>
          </cell>
          <cell r="B2910" t="str">
            <v>ENI PUJI LESTARI</v>
          </cell>
          <cell r="C2910" t="str">
            <v>SAMI</v>
          </cell>
          <cell r="D2910" t="str">
            <v>OPT-337</v>
          </cell>
          <cell r="E2910">
            <v>40932</v>
          </cell>
          <cell r="F2910" t="str">
            <v>-</v>
          </cell>
          <cell r="G2910" t="str">
            <v>-</v>
          </cell>
          <cell r="H2910" t="str">
            <v>PRD</v>
          </cell>
          <cell r="I2910" t="str">
            <v>PRD</v>
          </cell>
          <cell r="J2910" t="str">
            <v>ALL</v>
          </cell>
          <cell r="K2910" t="str">
            <v>ALL</v>
          </cell>
          <cell r="L2910" t="str">
            <v>HSPO FA</v>
          </cell>
          <cell r="M2910" t="str">
            <v>T/P</v>
          </cell>
          <cell r="N2910" t="str">
            <v>ASSEMBLY</v>
          </cell>
          <cell r="O2910" t="str">
            <v>A (NS)</v>
          </cell>
        </row>
        <row r="2911">
          <cell r="A2911">
            <v>21493</v>
          </cell>
          <cell r="B2911" t="str">
            <v>SITI RATNASARI</v>
          </cell>
          <cell r="C2911" t="str">
            <v>SAMI</v>
          </cell>
          <cell r="D2911" t="str">
            <v>OPT-534</v>
          </cell>
          <cell r="E2911">
            <v>43031</v>
          </cell>
          <cell r="F2911">
            <v>43435</v>
          </cell>
          <cell r="G2911">
            <v>43799</v>
          </cell>
          <cell r="H2911" t="str">
            <v>PRD</v>
          </cell>
          <cell r="I2911" t="str">
            <v>PRD</v>
          </cell>
          <cell r="J2911" t="str">
            <v>ALL</v>
          </cell>
          <cell r="K2911" t="str">
            <v>ALL</v>
          </cell>
          <cell r="L2911" t="str">
            <v>HSPO FA</v>
          </cell>
          <cell r="M2911" t="str">
            <v>T/P</v>
          </cell>
          <cell r="N2911" t="str">
            <v>ASSEMBLY</v>
          </cell>
          <cell r="O2911" t="str">
            <v>A (NS)</v>
          </cell>
        </row>
        <row r="2912">
          <cell r="A2912">
            <v>21698</v>
          </cell>
          <cell r="B2912" t="str">
            <v>VINANDRA TIKA APRILIANI</v>
          </cell>
          <cell r="C2912" t="str">
            <v>SAMI</v>
          </cell>
          <cell r="D2912" t="str">
            <v>OPT-538</v>
          </cell>
          <cell r="E2912">
            <v>43073</v>
          </cell>
          <cell r="F2912">
            <v>43466</v>
          </cell>
          <cell r="G2912">
            <v>43830</v>
          </cell>
          <cell r="H2912" t="str">
            <v>PRD</v>
          </cell>
          <cell r="I2912" t="str">
            <v>PRD</v>
          </cell>
          <cell r="J2912" t="str">
            <v>ALL</v>
          </cell>
          <cell r="K2912" t="str">
            <v>ALL</v>
          </cell>
          <cell r="L2912" t="str">
            <v>HSPO FA</v>
          </cell>
          <cell r="M2912" t="str">
            <v>S/A</v>
          </cell>
          <cell r="N2912" t="str">
            <v>SUB ASSY</v>
          </cell>
          <cell r="O2912" t="str">
            <v>A (NS)</v>
          </cell>
        </row>
        <row r="2913">
          <cell r="A2913">
            <v>21900</v>
          </cell>
          <cell r="B2913" t="str">
            <v>RINO ADI CAHYA PRATAMA PUTRA</v>
          </cell>
          <cell r="C2913" t="str">
            <v>SAMI</v>
          </cell>
          <cell r="D2913" t="str">
            <v>OPT-542</v>
          </cell>
          <cell r="E2913">
            <v>43103</v>
          </cell>
          <cell r="F2913">
            <v>43134</v>
          </cell>
          <cell r="G2913">
            <v>43496</v>
          </cell>
          <cell r="H2913" t="str">
            <v>PRD</v>
          </cell>
          <cell r="I2913" t="str">
            <v>PRD</v>
          </cell>
          <cell r="J2913" t="str">
            <v>ALL</v>
          </cell>
          <cell r="K2913" t="str">
            <v>ALL</v>
          </cell>
          <cell r="L2913" t="str">
            <v>HSPO FA</v>
          </cell>
          <cell r="M2913" t="str">
            <v>EXPANDER GROMMET</v>
          </cell>
          <cell r="N2913" t="str">
            <v>FINISHING &amp; GROMMET INJECTION</v>
          </cell>
          <cell r="O2913" t="str">
            <v>A (NS)</v>
          </cell>
        </row>
        <row r="2914">
          <cell r="A2914">
            <v>22075</v>
          </cell>
          <cell r="B2914" t="str">
            <v>INDAH DHUWI ANDAYANI</v>
          </cell>
          <cell r="C2914" t="str">
            <v>SAMI</v>
          </cell>
          <cell r="D2914" t="str">
            <v>OPT-548</v>
          </cell>
          <cell r="E2914">
            <v>43150</v>
          </cell>
          <cell r="F2914">
            <v>43178</v>
          </cell>
          <cell r="G2914">
            <v>43555</v>
          </cell>
          <cell r="H2914" t="str">
            <v>PRD</v>
          </cell>
          <cell r="I2914" t="str">
            <v>PRD</v>
          </cell>
          <cell r="J2914" t="str">
            <v>ALL</v>
          </cell>
          <cell r="K2914" t="str">
            <v>ALL</v>
          </cell>
          <cell r="L2914" t="str">
            <v>HSPO FA</v>
          </cell>
          <cell r="M2914" t="str">
            <v>T/P</v>
          </cell>
          <cell r="N2914" t="str">
            <v>ASSEMBLY</v>
          </cell>
          <cell r="O2914" t="str">
            <v>A (NS)</v>
          </cell>
        </row>
        <row r="2915">
          <cell r="A2915">
            <v>22080</v>
          </cell>
          <cell r="B2915" t="str">
            <v>MULIKHATUL KHASANAH</v>
          </cell>
          <cell r="C2915" t="str">
            <v>SAMI</v>
          </cell>
          <cell r="D2915" t="str">
            <v>OPT-548</v>
          </cell>
          <cell r="E2915">
            <v>43150</v>
          </cell>
          <cell r="F2915">
            <v>43178</v>
          </cell>
          <cell r="G2915">
            <v>43555</v>
          </cell>
          <cell r="H2915" t="str">
            <v>PRD</v>
          </cell>
          <cell r="I2915" t="str">
            <v>PRD</v>
          </cell>
          <cell r="J2915" t="str">
            <v>ALL</v>
          </cell>
          <cell r="K2915" t="str">
            <v>ALL</v>
          </cell>
          <cell r="L2915" t="str">
            <v>HSPO FA</v>
          </cell>
          <cell r="M2915" t="str">
            <v>MATERIAL SUPPLY</v>
          </cell>
          <cell r="N2915" t="str">
            <v>MATERIAL SUPPLY</v>
          </cell>
          <cell r="O2915" t="str">
            <v>A (NS)</v>
          </cell>
        </row>
        <row r="2916">
          <cell r="A2916">
            <v>22342</v>
          </cell>
          <cell r="B2916" t="str">
            <v>LANA MILATUL KUSNA</v>
          </cell>
          <cell r="C2916" t="str">
            <v>SAMI</v>
          </cell>
          <cell r="D2916" t="str">
            <v>OPT-556</v>
          </cell>
          <cell r="E2916">
            <v>43195</v>
          </cell>
          <cell r="F2916">
            <v>43225</v>
          </cell>
          <cell r="G2916">
            <v>43585</v>
          </cell>
          <cell r="H2916" t="str">
            <v>PRD</v>
          </cell>
          <cell r="I2916" t="str">
            <v>PRD</v>
          </cell>
          <cell r="J2916" t="str">
            <v>ALL</v>
          </cell>
          <cell r="K2916" t="str">
            <v>ALL</v>
          </cell>
          <cell r="L2916" t="str">
            <v>HSPO FA</v>
          </cell>
          <cell r="M2916" t="str">
            <v>T/P</v>
          </cell>
          <cell r="N2916" t="str">
            <v>ASSEMBLY</v>
          </cell>
          <cell r="O2916" t="str">
            <v>A (NS)</v>
          </cell>
        </row>
        <row r="2917">
          <cell r="A2917">
            <v>22351</v>
          </cell>
          <cell r="B2917" t="str">
            <v>SISKA VIVI ARYANI</v>
          </cell>
          <cell r="C2917" t="str">
            <v>SAMI</v>
          </cell>
          <cell r="D2917" t="str">
            <v>OPT-556</v>
          </cell>
          <cell r="E2917">
            <v>43195</v>
          </cell>
          <cell r="F2917">
            <v>43225</v>
          </cell>
          <cell r="G2917">
            <v>43585</v>
          </cell>
          <cell r="H2917" t="str">
            <v>PRD</v>
          </cell>
          <cell r="I2917" t="str">
            <v>PRD</v>
          </cell>
          <cell r="J2917" t="str">
            <v>ALL</v>
          </cell>
          <cell r="K2917" t="str">
            <v>ALL</v>
          </cell>
          <cell r="L2917" t="str">
            <v>HSPO FA</v>
          </cell>
          <cell r="M2917" t="str">
            <v>CHECKER</v>
          </cell>
          <cell r="N2917" t="str">
            <v>ELECTRICAL INSPECTION</v>
          </cell>
          <cell r="O2917" t="str">
            <v>A (NS)</v>
          </cell>
        </row>
        <row r="2918">
          <cell r="A2918">
            <v>22394</v>
          </cell>
          <cell r="B2918" t="str">
            <v>IKA SETIYOWATI</v>
          </cell>
          <cell r="C2918" t="str">
            <v>SAMI</v>
          </cell>
          <cell r="D2918" t="str">
            <v>OPT-558</v>
          </cell>
          <cell r="E2918">
            <v>43213</v>
          </cell>
          <cell r="F2918">
            <v>43243</v>
          </cell>
          <cell r="G2918">
            <v>43616</v>
          </cell>
          <cell r="H2918" t="str">
            <v>PRD</v>
          </cell>
          <cell r="I2918" t="str">
            <v>PRD</v>
          </cell>
          <cell r="J2918" t="str">
            <v>ALL</v>
          </cell>
          <cell r="K2918" t="str">
            <v>ALL</v>
          </cell>
          <cell r="L2918" t="str">
            <v>HSPO FA</v>
          </cell>
          <cell r="M2918" t="str">
            <v>S/A</v>
          </cell>
          <cell r="N2918" t="str">
            <v>ASSEMBLY</v>
          </cell>
          <cell r="O2918" t="str">
            <v>A (NS)</v>
          </cell>
        </row>
        <row r="2919">
          <cell r="A2919">
            <v>22848</v>
          </cell>
          <cell r="B2919" t="str">
            <v>LISTA FASISKA</v>
          </cell>
          <cell r="C2919" t="str">
            <v>SAMI</v>
          </cell>
          <cell r="D2919" t="str">
            <v>OPT-567</v>
          </cell>
          <cell r="E2919">
            <v>43333</v>
          </cell>
          <cell r="F2919">
            <v>43364</v>
          </cell>
          <cell r="G2919">
            <v>43738</v>
          </cell>
          <cell r="H2919" t="str">
            <v>PRD</v>
          </cell>
          <cell r="I2919" t="str">
            <v>PRD</v>
          </cell>
          <cell r="J2919" t="str">
            <v>ALL</v>
          </cell>
          <cell r="K2919" t="str">
            <v>ALL</v>
          </cell>
          <cell r="L2919" t="str">
            <v>HSPO FA</v>
          </cell>
          <cell r="M2919" t="str">
            <v>T/P</v>
          </cell>
          <cell r="N2919" t="str">
            <v>ASSEMBLY</v>
          </cell>
          <cell r="O2919" t="str">
            <v>A (NS)</v>
          </cell>
        </row>
        <row r="2920">
          <cell r="A2920">
            <v>22876</v>
          </cell>
          <cell r="B2920" t="str">
            <v>PUTRI ERLITA WARDANI</v>
          </cell>
          <cell r="C2920" t="str">
            <v>SAMI</v>
          </cell>
          <cell r="D2920" t="str">
            <v>OPT-567</v>
          </cell>
          <cell r="E2920">
            <v>43333</v>
          </cell>
          <cell r="F2920">
            <v>43364</v>
          </cell>
          <cell r="G2920">
            <v>43738</v>
          </cell>
          <cell r="H2920" t="str">
            <v>PRD</v>
          </cell>
          <cell r="I2920" t="str">
            <v>PRD</v>
          </cell>
          <cell r="J2920" t="str">
            <v>ALL</v>
          </cell>
          <cell r="K2920" t="str">
            <v>ALL</v>
          </cell>
          <cell r="L2920" t="str">
            <v>HSPO FA</v>
          </cell>
          <cell r="M2920" t="str">
            <v>S/T</v>
          </cell>
          <cell r="N2920" t="str">
            <v>ASSEMBLY</v>
          </cell>
          <cell r="O2920" t="str">
            <v>A (NS)</v>
          </cell>
        </row>
        <row r="2921">
          <cell r="A2921">
            <v>22897</v>
          </cell>
          <cell r="B2921" t="str">
            <v>THOIFATUL MUNAWAROH</v>
          </cell>
          <cell r="C2921" t="str">
            <v>SAMI</v>
          </cell>
          <cell r="D2921" t="str">
            <v>OPT-567</v>
          </cell>
          <cell r="E2921">
            <v>43333</v>
          </cell>
          <cell r="F2921">
            <v>43364</v>
          </cell>
          <cell r="G2921">
            <v>43738</v>
          </cell>
          <cell r="H2921" t="str">
            <v>PRD</v>
          </cell>
          <cell r="I2921" t="str">
            <v>PRD</v>
          </cell>
          <cell r="J2921" t="str">
            <v>ALL</v>
          </cell>
          <cell r="K2921" t="str">
            <v>ALL</v>
          </cell>
          <cell r="L2921" t="str">
            <v>HSPO FA</v>
          </cell>
          <cell r="M2921" t="str">
            <v>S/T</v>
          </cell>
          <cell r="N2921" t="str">
            <v>ASSEMBLY</v>
          </cell>
          <cell r="O2921" t="str">
            <v>A (NS)</v>
          </cell>
        </row>
        <row r="2922">
          <cell r="A2922">
            <v>23031</v>
          </cell>
          <cell r="B2922" t="str">
            <v>INAYATUSH SHOLIKHAH</v>
          </cell>
          <cell r="C2922" t="str">
            <v>SAMI</v>
          </cell>
          <cell r="D2922" t="str">
            <v>OPT-569</v>
          </cell>
          <cell r="E2922">
            <v>43361</v>
          </cell>
          <cell r="F2922">
            <v>43391</v>
          </cell>
          <cell r="G2922">
            <v>43769</v>
          </cell>
          <cell r="H2922" t="str">
            <v>PRD</v>
          </cell>
          <cell r="I2922" t="str">
            <v>PRD</v>
          </cell>
          <cell r="J2922" t="str">
            <v>ALL</v>
          </cell>
          <cell r="K2922" t="str">
            <v>ALL</v>
          </cell>
          <cell r="L2922" t="str">
            <v>HSPO FA</v>
          </cell>
          <cell r="M2922" t="str">
            <v>S/T</v>
          </cell>
          <cell r="N2922" t="str">
            <v>ASSEMBLY</v>
          </cell>
          <cell r="O2922" t="str">
            <v>A (NS)</v>
          </cell>
        </row>
        <row r="2923">
          <cell r="A2923">
            <v>23092</v>
          </cell>
          <cell r="B2923" t="str">
            <v>AIDA NUR AZIZAH</v>
          </cell>
          <cell r="C2923" t="str">
            <v>SAMI</v>
          </cell>
          <cell r="D2923" t="str">
            <v>OPT-570</v>
          </cell>
          <cell r="E2923">
            <v>43369</v>
          </cell>
          <cell r="F2923">
            <v>43399</v>
          </cell>
          <cell r="G2923">
            <v>43769</v>
          </cell>
          <cell r="H2923" t="str">
            <v>PRD</v>
          </cell>
          <cell r="I2923" t="str">
            <v>PRD</v>
          </cell>
          <cell r="J2923" t="str">
            <v>ALL</v>
          </cell>
          <cell r="K2923" t="str">
            <v>ALL</v>
          </cell>
          <cell r="L2923" t="str">
            <v>HSPO FA</v>
          </cell>
          <cell r="M2923" t="str">
            <v>S/A</v>
          </cell>
          <cell r="N2923" t="str">
            <v>SUB ASSY</v>
          </cell>
          <cell r="O2923" t="str">
            <v>A (NS)</v>
          </cell>
        </row>
        <row r="2924">
          <cell r="A2924" t="str">
            <v>B00964</v>
          </cell>
          <cell r="B2924" t="str">
            <v>ROFIQO SA'ADAH</v>
          </cell>
          <cell r="C2924" t="str">
            <v>SAMI</v>
          </cell>
          <cell r="D2924" t="str">
            <v>BBF-023</v>
          </cell>
          <cell r="E2924">
            <v>41015</v>
          </cell>
          <cell r="F2924" t="str">
            <v>-</v>
          </cell>
          <cell r="G2924" t="str">
            <v>-</v>
          </cell>
          <cell r="H2924" t="str">
            <v>PRD</v>
          </cell>
          <cell r="I2924" t="str">
            <v>PRD</v>
          </cell>
          <cell r="J2924" t="str">
            <v>ALL</v>
          </cell>
          <cell r="K2924" t="str">
            <v>ALL</v>
          </cell>
          <cell r="L2924" t="str">
            <v>HSPO FA</v>
          </cell>
          <cell r="M2924" t="str">
            <v>T/P</v>
          </cell>
          <cell r="N2924" t="str">
            <v>ASSEMBLY</v>
          </cell>
          <cell r="O2924" t="str">
            <v>A (NS)</v>
          </cell>
        </row>
        <row r="2925">
          <cell r="A2925" t="str">
            <v>M23644</v>
          </cell>
          <cell r="B2925" t="str">
            <v>YUSRIL ANDHI PANGESTU</v>
          </cell>
          <cell r="C2925" t="str">
            <v>SAMI</v>
          </cell>
          <cell r="D2925" t="str">
            <v>OPT-578</v>
          </cell>
          <cell r="E2925">
            <v>43467</v>
          </cell>
          <cell r="F2925">
            <v>43467</v>
          </cell>
          <cell r="G2925">
            <v>43497</v>
          </cell>
          <cell r="H2925" t="str">
            <v>PRD</v>
          </cell>
          <cell r="I2925" t="str">
            <v>PRD</v>
          </cell>
          <cell r="J2925" t="str">
            <v>ALL</v>
          </cell>
          <cell r="K2925" t="str">
            <v>ALL</v>
          </cell>
          <cell r="L2925" t="str">
            <v>OTHERS ( CUTTING PROJECT )</v>
          </cell>
          <cell r="M2925" t="str">
            <v>PENIMBANG WIRE</v>
          </cell>
          <cell r="N2925" t="str">
            <v>OTHERS</v>
          </cell>
          <cell r="O2925" t="str">
            <v>A</v>
          </cell>
        </row>
        <row r="2926">
          <cell r="A2926">
            <v>443</v>
          </cell>
          <cell r="B2926" t="str">
            <v>MISWATI</v>
          </cell>
          <cell r="C2926" t="str">
            <v>SAMI</v>
          </cell>
          <cell r="D2926" t="str">
            <v>OPT-12</v>
          </cell>
          <cell r="E2926">
            <v>37746</v>
          </cell>
          <cell r="F2926" t="str">
            <v>-</v>
          </cell>
          <cell r="G2926" t="str">
            <v>-</v>
          </cell>
          <cell r="H2926" t="str">
            <v>PRD</v>
          </cell>
          <cell r="I2926" t="str">
            <v>PRD</v>
          </cell>
          <cell r="J2926" t="str">
            <v>ALL</v>
          </cell>
          <cell r="K2926" t="str">
            <v>ALL</v>
          </cell>
          <cell r="L2926" t="str">
            <v>OTHERS ( CUTTING PROJECT )</v>
          </cell>
          <cell r="M2926" t="str">
            <v>CUTTING IMPROVEMENT &amp; ANALISA WIRE LOSS</v>
          </cell>
          <cell r="N2926" t="str">
            <v>OTHERS</v>
          </cell>
          <cell r="O2926" t="str">
            <v>A (NS)</v>
          </cell>
        </row>
        <row r="2927">
          <cell r="A2927">
            <v>5484</v>
          </cell>
          <cell r="B2927" t="str">
            <v>SUMARTONO</v>
          </cell>
          <cell r="C2927" t="str">
            <v>SAMI</v>
          </cell>
          <cell r="D2927" t="str">
            <v>TKN-31</v>
          </cell>
          <cell r="E2927">
            <v>38991</v>
          </cell>
          <cell r="F2927" t="str">
            <v>-</v>
          </cell>
          <cell r="G2927" t="str">
            <v>-</v>
          </cell>
          <cell r="H2927" t="str">
            <v>PRD</v>
          </cell>
          <cell r="I2927" t="str">
            <v>PRD</v>
          </cell>
          <cell r="J2927" t="str">
            <v>ALL</v>
          </cell>
          <cell r="K2927" t="str">
            <v>ALL</v>
          </cell>
          <cell r="L2927" t="str">
            <v>OTHERS ( CUTTING PROJECT )</v>
          </cell>
          <cell r="M2927" t="str">
            <v>OTHERS ( CUTTING PROJECT )</v>
          </cell>
          <cell r="N2927" t="str">
            <v>OTHERS</v>
          </cell>
          <cell r="O2927" t="str">
            <v>A (NS)</v>
          </cell>
        </row>
        <row r="2928">
          <cell r="A2928">
            <v>5738</v>
          </cell>
          <cell r="B2928" t="str">
            <v>SUMIYATI</v>
          </cell>
          <cell r="C2928" t="str">
            <v>SAMI</v>
          </cell>
          <cell r="D2928" t="str">
            <v>OPT-134</v>
          </cell>
          <cell r="E2928">
            <v>39098</v>
          </cell>
          <cell r="F2928" t="str">
            <v>-</v>
          </cell>
          <cell r="G2928" t="str">
            <v>-</v>
          </cell>
          <cell r="H2928" t="str">
            <v>PRD</v>
          </cell>
          <cell r="I2928" t="str">
            <v>PRD</v>
          </cell>
          <cell r="J2928" t="str">
            <v>ALL</v>
          </cell>
          <cell r="K2928" t="str">
            <v>ALL</v>
          </cell>
          <cell r="L2928" t="str">
            <v>OTHERS ( CUTTING PROJECT )</v>
          </cell>
          <cell r="M2928" t="str">
            <v>CUTTING IMPROVEMENT &amp; ANALISA WIRE LOSS</v>
          </cell>
          <cell r="N2928" t="str">
            <v>OTHERS</v>
          </cell>
          <cell r="O2928" t="str">
            <v>A (NS)</v>
          </cell>
        </row>
        <row r="2929">
          <cell r="A2929">
            <v>5843</v>
          </cell>
          <cell r="B2929" t="str">
            <v>YULIANI</v>
          </cell>
          <cell r="C2929" t="str">
            <v>SAMI</v>
          </cell>
          <cell r="D2929" t="str">
            <v>OPT-135</v>
          </cell>
          <cell r="E2929">
            <v>39114</v>
          </cell>
          <cell r="F2929" t="str">
            <v>-</v>
          </cell>
          <cell r="G2929" t="str">
            <v>-</v>
          </cell>
          <cell r="H2929" t="str">
            <v>PRD</v>
          </cell>
          <cell r="I2929" t="str">
            <v>PRD</v>
          </cell>
          <cell r="J2929" t="str">
            <v>ALL</v>
          </cell>
          <cell r="K2929" t="str">
            <v>ALL</v>
          </cell>
          <cell r="L2929" t="str">
            <v>OTHERS ( CUTTING PROJECT )</v>
          </cell>
          <cell r="M2929" t="str">
            <v>CUTTING IMPROVEMENT &amp; ANALISA WIRE LOSS</v>
          </cell>
          <cell r="N2929" t="str">
            <v>OTHERS</v>
          </cell>
          <cell r="O2929" t="str">
            <v>A (NS)</v>
          </cell>
        </row>
        <row r="2930">
          <cell r="A2930">
            <v>22319</v>
          </cell>
          <cell r="B2930" t="str">
            <v>WACHED ENGGAR ANDRIANTO</v>
          </cell>
          <cell r="C2930" t="str">
            <v>SAMI</v>
          </cell>
          <cell r="D2930" t="str">
            <v>OPT-555</v>
          </cell>
          <cell r="E2930">
            <v>43192</v>
          </cell>
          <cell r="F2930">
            <v>43222</v>
          </cell>
          <cell r="G2930">
            <v>43585</v>
          </cell>
          <cell r="H2930" t="str">
            <v>PRD</v>
          </cell>
          <cell r="I2930" t="str">
            <v>PRD</v>
          </cell>
          <cell r="J2930" t="str">
            <v>ALL</v>
          </cell>
          <cell r="K2930" t="str">
            <v>ALL</v>
          </cell>
          <cell r="L2930" t="str">
            <v>OTHERS ( CUTTING PROJECT )</v>
          </cell>
          <cell r="M2930" t="str">
            <v>PENIMBANG WIRE</v>
          </cell>
          <cell r="N2930" t="str">
            <v>OTHERS</v>
          </cell>
          <cell r="O2930" t="str">
            <v>A (NS)</v>
          </cell>
        </row>
        <row r="2931">
          <cell r="A2931">
            <v>22786</v>
          </cell>
          <cell r="B2931" t="str">
            <v>HENDRIDWI NUR IKSAN</v>
          </cell>
          <cell r="C2931" t="str">
            <v>SAMI</v>
          </cell>
          <cell r="D2931" t="str">
            <v>OPT-565</v>
          </cell>
          <cell r="E2931">
            <v>43283</v>
          </cell>
          <cell r="F2931">
            <v>43314</v>
          </cell>
          <cell r="G2931">
            <v>43677</v>
          </cell>
          <cell r="H2931" t="str">
            <v>PRD</v>
          </cell>
          <cell r="I2931" t="str">
            <v>PRD</v>
          </cell>
          <cell r="J2931" t="str">
            <v>ALL</v>
          </cell>
          <cell r="K2931" t="str">
            <v>ALL</v>
          </cell>
          <cell r="L2931" t="str">
            <v>OTHERS ( CUTTING PROJECT )</v>
          </cell>
          <cell r="M2931" t="str">
            <v>OTHERS ( CUTTING PROJECT )</v>
          </cell>
          <cell r="N2931" t="str">
            <v>OTHERS</v>
          </cell>
          <cell r="O2931" t="str">
            <v>A (NS)</v>
          </cell>
        </row>
        <row r="2932">
          <cell r="A2932">
            <v>23409</v>
          </cell>
          <cell r="B2932" t="str">
            <v>EGGES RAHMAWAN</v>
          </cell>
          <cell r="C2932" t="str">
            <v>SAMI</v>
          </cell>
          <cell r="D2932" t="str">
            <v>OPT-575</v>
          </cell>
          <cell r="E2932">
            <v>43434</v>
          </cell>
          <cell r="F2932">
            <v>43464</v>
          </cell>
          <cell r="G2932">
            <v>43830</v>
          </cell>
          <cell r="H2932" t="str">
            <v>PRD</v>
          </cell>
          <cell r="I2932" t="str">
            <v>PRD</v>
          </cell>
          <cell r="J2932" t="str">
            <v>ALL</v>
          </cell>
          <cell r="K2932" t="str">
            <v>ALL</v>
          </cell>
          <cell r="L2932" t="str">
            <v>OTHERS ( CUTTING PROJECT )</v>
          </cell>
          <cell r="M2932" t="str">
            <v>PENIMBANG WIRE</v>
          </cell>
          <cell r="N2932" t="str">
            <v>OTHERS</v>
          </cell>
          <cell r="O2932" t="str">
            <v>A (NS)</v>
          </cell>
        </row>
        <row r="2933">
          <cell r="A2933">
            <v>11207</v>
          </cell>
          <cell r="B2933" t="str">
            <v>KASIROH</v>
          </cell>
          <cell r="C2933" t="str">
            <v>SAMI</v>
          </cell>
          <cell r="D2933" t="str">
            <v>OPT-293</v>
          </cell>
          <cell r="E2933">
            <v>40609</v>
          </cell>
          <cell r="F2933" t="str">
            <v>-</v>
          </cell>
          <cell r="G2933" t="str">
            <v>-</v>
          </cell>
          <cell r="H2933" t="str">
            <v>PRD</v>
          </cell>
          <cell r="I2933" t="str">
            <v>PRD</v>
          </cell>
          <cell r="J2933" t="str">
            <v>ALL</v>
          </cell>
          <cell r="K2933" t="str">
            <v>ALL</v>
          </cell>
          <cell r="L2933" t="str">
            <v>OTHERS ( KM )</v>
          </cell>
          <cell r="M2933" t="str">
            <v>OTHERS ( KM P-PET )</v>
          </cell>
          <cell r="N2933" t="str">
            <v>OTHERS</v>
          </cell>
          <cell r="O2933" t="str">
            <v>A (NS)</v>
          </cell>
        </row>
        <row r="2934">
          <cell r="A2934">
            <v>11523</v>
          </cell>
          <cell r="B2934" t="str">
            <v>APRIANA RIZKI HAPY SAPUTRI</v>
          </cell>
          <cell r="C2934" t="str">
            <v>SAMI</v>
          </cell>
          <cell r="D2934" t="str">
            <v>OPT-307</v>
          </cell>
          <cell r="E2934">
            <v>40707</v>
          </cell>
          <cell r="F2934" t="str">
            <v>-</v>
          </cell>
          <cell r="G2934" t="str">
            <v>-</v>
          </cell>
          <cell r="H2934" t="str">
            <v>PRD</v>
          </cell>
          <cell r="I2934" t="str">
            <v>PRD</v>
          </cell>
          <cell r="J2934" t="str">
            <v>ALL</v>
          </cell>
          <cell r="K2934" t="str">
            <v>ALL</v>
          </cell>
          <cell r="L2934" t="str">
            <v>OTHERS ( KM )</v>
          </cell>
          <cell r="M2934" t="str">
            <v>OTHERS ( KM 10PL )</v>
          </cell>
          <cell r="N2934" t="str">
            <v>OTHERS</v>
          </cell>
          <cell r="O2934" t="str">
            <v>A (NS)</v>
          </cell>
        </row>
        <row r="2935">
          <cell r="A2935">
            <v>11589</v>
          </cell>
          <cell r="B2935" t="str">
            <v>NURUL AMALIA</v>
          </cell>
          <cell r="C2935" t="str">
            <v>SAMI</v>
          </cell>
          <cell r="D2935" t="str">
            <v>OPT-307</v>
          </cell>
          <cell r="E2935">
            <v>40707</v>
          </cell>
          <cell r="F2935" t="str">
            <v>-</v>
          </cell>
          <cell r="G2935" t="str">
            <v>-</v>
          </cell>
          <cell r="H2935" t="str">
            <v>PRD</v>
          </cell>
          <cell r="I2935" t="str">
            <v>PRD</v>
          </cell>
          <cell r="J2935" t="str">
            <v>ALL</v>
          </cell>
          <cell r="K2935" t="str">
            <v>ALL</v>
          </cell>
          <cell r="L2935" t="str">
            <v>OTHERS ( KM )</v>
          </cell>
          <cell r="M2935" t="str">
            <v>OTHERS ( KM P-PET )</v>
          </cell>
          <cell r="N2935" t="str">
            <v>OTHERS</v>
          </cell>
          <cell r="O2935" t="str">
            <v>A (NS)</v>
          </cell>
        </row>
        <row r="2936">
          <cell r="A2936">
            <v>12194</v>
          </cell>
          <cell r="B2936" t="str">
            <v>MIFTAKHUL JANAH</v>
          </cell>
          <cell r="C2936" t="str">
            <v>SAMI</v>
          </cell>
          <cell r="D2936" t="str">
            <v>OPT-315</v>
          </cell>
          <cell r="E2936">
            <v>40802</v>
          </cell>
          <cell r="F2936" t="str">
            <v>-</v>
          </cell>
          <cell r="G2936" t="str">
            <v>-</v>
          </cell>
          <cell r="H2936" t="str">
            <v>PRD</v>
          </cell>
          <cell r="I2936" t="str">
            <v>PRD</v>
          </cell>
          <cell r="J2936" t="str">
            <v>ALL</v>
          </cell>
          <cell r="K2936" t="str">
            <v>ALL</v>
          </cell>
          <cell r="L2936" t="str">
            <v>OTHERS ( KM )</v>
          </cell>
          <cell r="M2936" t="str">
            <v>OTHERS ( KM 10PL )</v>
          </cell>
          <cell r="N2936" t="str">
            <v>OTHERS</v>
          </cell>
          <cell r="O2936" t="str">
            <v>A (NS)</v>
          </cell>
        </row>
        <row r="2937">
          <cell r="A2937">
            <v>12801</v>
          </cell>
          <cell r="B2937" t="str">
            <v>ANI MARIANI</v>
          </cell>
          <cell r="C2937" t="str">
            <v>SAMI</v>
          </cell>
          <cell r="D2937" t="str">
            <v>OPT-321</v>
          </cell>
          <cell r="E2937">
            <v>40826</v>
          </cell>
          <cell r="F2937" t="str">
            <v>-</v>
          </cell>
          <cell r="G2937" t="str">
            <v>-</v>
          </cell>
          <cell r="H2937" t="str">
            <v>PRD</v>
          </cell>
          <cell r="I2937" t="str">
            <v>PRD</v>
          </cell>
          <cell r="J2937" t="str">
            <v>ALL</v>
          </cell>
          <cell r="K2937" t="str">
            <v>ALL</v>
          </cell>
          <cell r="L2937" t="str">
            <v>OTHERS ( KM )</v>
          </cell>
          <cell r="M2937" t="str">
            <v>OTHERS ( KM 10PL )</v>
          </cell>
          <cell r="N2937" t="str">
            <v>OTHERS</v>
          </cell>
          <cell r="O2937" t="str">
            <v>A (NS)</v>
          </cell>
        </row>
        <row r="2938">
          <cell r="A2938">
            <v>8990</v>
          </cell>
          <cell r="B2938" t="str">
            <v>ANIK RHOMAWATI</v>
          </cell>
          <cell r="C2938" t="str">
            <v>SAMI</v>
          </cell>
          <cell r="D2938" t="str">
            <v>OPT-201</v>
          </cell>
          <cell r="E2938">
            <v>39975</v>
          </cell>
          <cell r="F2938" t="str">
            <v>-</v>
          </cell>
          <cell r="G2938" t="str">
            <v>-</v>
          </cell>
          <cell r="H2938" t="str">
            <v>PRD</v>
          </cell>
          <cell r="I2938" t="str">
            <v>PRD</v>
          </cell>
          <cell r="J2938" t="str">
            <v>ALL</v>
          </cell>
          <cell r="K2938" t="str">
            <v>ALL</v>
          </cell>
          <cell r="L2938" t="str">
            <v>OTHERS ( PRODUCTION IMPROVMENT )</v>
          </cell>
          <cell r="M2938" t="str">
            <v>SOOP</v>
          </cell>
          <cell r="N2938" t="str">
            <v>OTHERS</v>
          </cell>
          <cell r="O2938" t="str">
            <v>A (NS)</v>
          </cell>
        </row>
        <row r="2939">
          <cell r="A2939">
            <v>9800</v>
          </cell>
          <cell r="B2939" t="str">
            <v>SITI ANIFAH</v>
          </cell>
          <cell r="C2939" t="str">
            <v>SAMI</v>
          </cell>
          <cell r="D2939" t="str">
            <v>OPT-232</v>
          </cell>
          <cell r="E2939">
            <v>40360</v>
          </cell>
          <cell r="F2939" t="str">
            <v>-</v>
          </cell>
          <cell r="G2939" t="str">
            <v>-</v>
          </cell>
          <cell r="H2939" t="str">
            <v>PRD</v>
          </cell>
          <cell r="I2939" t="str">
            <v>PRD</v>
          </cell>
          <cell r="J2939" t="str">
            <v>ALL</v>
          </cell>
          <cell r="K2939" t="str">
            <v>ALL</v>
          </cell>
          <cell r="L2939" t="str">
            <v>OTHERS ( PRODUCTION IMPROVMENT )</v>
          </cell>
          <cell r="M2939" t="str">
            <v>KONTROL TS OJT NEOP</v>
          </cell>
          <cell r="N2939" t="str">
            <v>OTHERS</v>
          </cell>
          <cell r="O2939" t="str">
            <v>A (NS)</v>
          </cell>
        </row>
        <row r="2940">
          <cell r="A2940">
            <v>10207</v>
          </cell>
          <cell r="B2940" t="str">
            <v>YENI</v>
          </cell>
          <cell r="C2940" t="str">
            <v>SAMI</v>
          </cell>
          <cell r="D2940" t="str">
            <v>OPT-253</v>
          </cell>
          <cell r="E2940">
            <v>40458</v>
          </cell>
          <cell r="F2940" t="str">
            <v>-</v>
          </cell>
          <cell r="G2940" t="str">
            <v>-</v>
          </cell>
          <cell r="H2940" t="str">
            <v>PRD</v>
          </cell>
          <cell r="I2940" t="str">
            <v>PRD</v>
          </cell>
          <cell r="J2940" t="str">
            <v>ALL</v>
          </cell>
          <cell r="K2940" t="str">
            <v>ALL</v>
          </cell>
          <cell r="L2940" t="str">
            <v>OTHERS ( PRODUCTION IMPROVMENT )</v>
          </cell>
          <cell r="M2940" t="str">
            <v>KONTROL MP IN OUT PRD</v>
          </cell>
          <cell r="N2940" t="str">
            <v>OTHERS</v>
          </cell>
          <cell r="O2940" t="str">
            <v>A (NS)</v>
          </cell>
        </row>
        <row r="2941">
          <cell r="A2941">
            <v>10284</v>
          </cell>
          <cell r="B2941" t="str">
            <v>HANI WIDYA ASTUTIK</v>
          </cell>
          <cell r="C2941" t="str">
            <v>SAMI</v>
          </cell>
          <cell r="D2941" t="str">
            <v>OPT-263</v>
          </cell>
          <cell r="E2941">
            <v>40504</v>
          </cell>
          <cell r="F2941" t="str">
            <v>-</v>
          </cell>
          <cell r="G2941" t="str">
            <v>-</v>
          </cell>
          <cell r="H2941" t="str">
            <v>PRD</v>
          </cell>
          <cell r="I2941" t="str">
            <v>PRD</v>
          </cell>
          <cell r="J2941" t="str">
            <v>ALL</v>
          </cell>
          <cell r="K2941" t="str">
            <v>ALL</v>
          </cell>
          <cell r="L2941" t="str">
            <v>OTHERS ( PRODUCTION IMPROVMENT )</v>
          </cell>
          <cell r="M2941" t="str">
            <v>PATROLI SOOP &amp; 5 WHY ANALISIS</v>
          </cell>
          <cell r="N2941" t="str">
            <v>OTHERS</v>
          </cell>
          <cell r="O2941" t="str">
            <v>A (NS)</v>
          </cell>
        </row>
        <row r="2942">
          <cell r="A2942">
            <v>10845</v>
          </cell>
          <cell r="B2942" t="str">
            <v>MUAZAMAH</v>
          </cell>
          <cell r="C2942" t="str">
            <v>SAMI</v>
          </cell>
          <cell r="D2942" t="str">
            <v>OPT-283</v>
          </cell>
          <cell r="E2942">
            <v>40572</v>
          </cell>
          <cell r="F2942" t="str">
            <v>-</v>
          </cell>
          <cell r="G2942" t="str">
            <v>-</v>
          </cell>
          <cell r="H2942" t="str">
            <v>PRD</v>
          </cell>
          <cell r="I2942" t="str">
            <v>PRD</v>
          </cell>
          <cell r="J2942" t="str">
            <v>ALL</v>
          </cell>
          <cell r="K2942" t="str">
            <v>ALL</v>
          </cell>
          <cell r="L2942" t="str">
            <v>OTHERS ( PRODUCTION IMPROVMENT )</v>
          </cell>
          <cell r="M2942" t="str">
            <v>PATROLI SOOP &amp; 5 WHY ANALISIS</v>
          </cell>
          <cell r="N2942" t="str">
            <v>OTHERS</v>
          </cell>
          <cell r="O2942" t="str">
            <v>A (NS)</v>
          </cell>
        </row>
        <row r="2943">
          <cell r="A2943">
            <v>11529</v>
          </cell>
          <cell r="B2943" t="str">
            <v>CETRA RAHMAWATI</v>
          </cell>
          <cell r="C2943" t="str">
            <v>SAMI</v>
          </cell>
          <cell r="D2943" t="str">
            <v>OPT-307</v>
          </cell>
          <cell r="E2943">
            <v>40707</v>
          </cell>
          <cell r="F2943" t="str">
            <v>-</v>
          </cell>
          <cell r="G2943" t="str">
            <v>-</v>
          </cell>
          <cell r="H2943" t="str">
            <v>PRD</v>
          </cell>
          <cell r="I2943" t="str">
            <v>PRD</v>
          </cell>
          <cell r="J2943" t="str">
            <v>ALL</v>
          </cell>
          <cell r="K2943" t="str">
            <v>ALL</v>
          </cell>
          <cell r="L2943" t="str">
            <v>OTHERS ( PRODUCTION IMPROVMENT )</v>
          </cell>
          <cell r="M2943" t="str">
            <v>KONTROL TS OJT NEOP</v>
          </cell>
          <cell r="N2943" t="str">
            <v>OTHERS</v>
          </cell>
          <cell r="O2943" t="str">
            <v>A (NS)</v>
          </cell>
        </row>
        <row r="2944">
          <cell r="A2944">
            <v>20657</v>
          </cell>
          <cell r="B2944" t="str">
            <v>SITI ROHMAH</v>
          </cell>
          <cell r="C2944" t="str">
            <v>SAMI</v>
          </cell>
          <cell r="D2944" t="str">
            <v>OPT-505</v>
          </cell>
          <cell r="E2944">
            <v>42639</v>
          </cell>
          <cell r="F2944">
            <v>43132</v>
          </cell>
          <cell r="G2944">
            <v>43496</v>
          </cell>
          <cell r="H2944" t="str">
            <v>PRD</v>
          </cell>
          <cell r="I2944" t="str">
            <v>PRD</v>
          </cell>
          <cell r="J2944" t="str">
            <v>ALL</v>
          </cell>
          <cell r="K2944" t="str">
            <v>ALL</v>
          </cell>
          <cell r="L2944" t="str">
            <v>OTHERS ( PROJECT )</v>
          </cell>
          <cell r="M2944" t="str">
            <v xml:space="preserve">OTHERS </v>
          </cell>
          <cell r="N2944" t="str">
            <v>OTHERS</v>
          </cell>
          <cell r="O2944" t="str">
            <v>A</v>
          </cell>
        </row>
        <row r="2945">
          <cell r="A2945">
            <v>21150</v>
          </cell>
          <cell r="B2945" t="str">
            <v>DWI ARIAWAN</v>
          </cell>
          <cell r="C2945" t="str">
            <v>SAMI</v>
          </cell>
          <cell r="D2945" t="str">
            <v>OPT-522</v>
          </cell>
          <cell r="E2945">
            <v>42871</v>
          </cell>
          <cell r="F2945">
            <v>43374</v>
          </cell>
          <cell r="G2945">
            <v>43738</v>
          </cell>
          <cell r="H2945" t="str">
            <v>PRD</v>
          </cell>
          <cell r="I2945" t="str">
            <v>PRD</v>
          </cell>
          <cell r="J2945" t="str">
            <v>HONDA CRV</v>
          </cell>
          <cell r="K2945" t="str">
            <v>OTHERS ( SCH )</v>
          </cell>
          <cell r="L2945" t="str">
            <v>OTHERS ( SCH )</v>
          </cell>
          <cell r="M2945" t="str">
            <v>AMYCUT, MC2-CRV-01</v>
          </cell>
          <cell r="N2945" t="str">
            <v>WFAP 2.1</v>
          </cell>
          <cell r="O2945" t="str">
            <v>A</v>
          </cell>
        </row>
        <row r="2946">
          <cell r="A2946">
            <v>21157</v>
          </cell>
          <cell r="B2946" t="str">
            <v>FARIKIN</v>
          </cell>
          <cell r="C2946" t="str">
            <v>SAMI</v>
          </cell>
          <cell r="D2946" t="str">
            <v>OPT-522</v>
          </cell>
          <cell r="E2946">
            <v>42871</v>
          </cell>
          <cell r="F2946">
            <v>43374</v>
          </cell>
          <cell r="G2946">
            <v>43738</v>
          </cell>
          <cell r="H2946" t="str">
            <v>PRD</v>
          </cell>
          <cell r="I2946" t="str">
            <v>PRD</v>
          </cell>
          <cell r="J2946" t="str">
            <v>HONDA CRV</v>
          </cell>
          <cell r="K2946" t="str">
            <v>OTHERS ( SCH )</v>
          </cell>
          <cell r="L2946" t="str">
            <v>OTHERS ( SCH )</v>
          </cell>
          <cell r="M2946" t="str">
            <v>SCH-02</v>
          </cell>
          <cell r="N2946" t="str">
            <v>CUTTING WIRE</v>
          </cell>
          <cell r="O2946" t="str">
            <v>A</v>
          </cell>
        </row>
        <row r="2947">
          <cell r="A2947">
            <v>22132</v>
          </cell>
          <cell r="B2947" t="str">
            <v>MOHAMAT MUTTAQIM</v>
          </cell>
          <cell r="C2947" t="str">
            <v>SAMI</v>
          </cell>
          <cell r="D2947" t="str">
            <v>OPT-549</v>
          </cell>
          <cell r="E2947">
            <v>43153</v>
          </cell>
          <cell r="F2947">
            <v>43181</v>
          </cell>
          <cell r="G2947">
            <v>43555</v>
          </cell>
          <cell r="H2947" t="str">
            <v>PRD</v>
          </cell>
          <cell r="I2947" t="str">
            <v>PRD</v>
          </cell>
          <cell r="J2947" t="str">
            <v>HONDA CRV</v>
          </cell>
          <cell r="K2947" t="str">
            <v>OTHERS ( SCH )</v>
          </cell>
          <cell r="L2947" t="str">
            <v>OTHERS ( SCH )</v>
          </cell>
          <cell r="M2947" t="str">
            <v>SCH-03</v>
          </cell>
          <cell r="N2947" t="str">
            <v>CUTTING WIRE</v>
          </cell>
          <cell r="O2947" t="str">
            <v>A</v>
          </cell>
        </row>
        <row r="2948">
          <cell r="A2948" t="str">
            <v>B01434</v>
          </cell>
          <cell r="B2948" t="str">
            <v>NURCAHYO RUSBIANTORO</v>
          </cell>
          <cell r="C2948" t="str">
            <v>SAMI</v>
          </cell>
          <cell r="D2948" t="str">
            <v>TKN-72</v>
          </cell>
          <cell r="E2948">
            <v>41306</v>
          </cell>
          <cell r="F2948" t="str">
            <v>-</v>
          </cell>
          <cell r="G2948" t="str">
            <v>-</v>
          </cell>
          <cell r="H2948" t="str">
            <v>PRD</v>
          </cell>
          <cell r="I2948" t="str">
            <v>PRD</v>
          </cell>
          <cell r="J2948" t="str">
            <v>HONDA CRV</v>
          </cell>
          <cell r="K2948" t="str">
            <v>OTHERS ( SCH )</v>
          </cell>
          <cell r="L2948" t="str">
            <v>OTHERS ( SCH )</v>
          </cell>
          <cell r="M2948" t="str">
            <v>SCH-01</v>
          </cell>
          <cell r="N2948" t="str">
            <v>CUTTING WIRE</v>
          </cell>
          <cell r="O2948" t="str">
            <v>A</v>
          </cell>
        </row>
        <row r="2949">
          <cell r="A2949">
            <v>1143</v>
          </cell>
          <cell r="B2949" t="str">
            <v>ENDANG SARWITRI</v>
          </cell>
          <cell r="C2949" t="str">
            <v>SAMI</v>
          </cell>
          <cell r="D2949" t="str">
            <v>OPT-28</v>
          </cell>
          <cell r="E2949">
            <v>37900</v>
          </cell>
          <cell r="F2949" t="str">
            <v>-</v>
          </cell>
          <cell r="G2949" t="str">
            <v>-</v>
          </cell>
          <cell r="H2949" t="str">
            <v>PRD</v>
          </cell>
          <cell r="I2949" t="str">
            <v>PRD</v>
          </cell>
          <cell r="J2949" t="str">
            <v>HONDA CRV</v>
          </cell>
          <cell r="K2949" t="str">
            <v>OTHERS ( SCH )</v>
          </cell>
          <cell r="L2949" t="str">
            <v>OTHERS ( SCH )</v>
          </cell>
          <cell r="M2949" t="str">
            <v>AMICUT</v>
          </cell>
          <cell r="N2949" t="str">
            <v>WFAP 2.1</v>
          </cell>
          <cell r="O2949" t="str">
            <v>B</v>
          </cell>
        </row>
        <row r="2950">
          <cell r="A2950">
            <v>6030</v>
          </cell>
          <cell r="B2950" t="str">
            <v>AHMAD MAHFUDLON</v>
          </cell>
          <cell r="C2950" t="str">
            <v>SAMI</v>
          </cell>
          <cell r="D2950" t="str">
            <v>OPT-139</v>
          </cell>
          <cell r="E2950">
            <v>39142</v>
          </cell>
          <cell r="F2950" t="str">
            <v>-</v>
          </cell>
          <cell r="G2950" t="str">
            <v>-</v>
          </cell>
          <cell r="H2950" t="str">
            <v>PRD</v>
          </cell>
          <cell r="I2950" t="str">
            <v>PRD</v>
          </cell>
          <cell r="J2950" t="str">
            <v>HONDA CRV</v>
          </cell>
          <cell r="K2950" t="str">
            <v>OTHERS ( SCH )</v>
          </cell>
          <cell r="L2950" t="str">
            <v>OTHERS ( SCH )</v>
          </cell>
          <cell r="M2950" t="str">
            <v>SCH-03</v>
          </cell>
          <cell r="N2950" t="str">
            <v>CUTTING WIRE</v>
          </cell>
          <cell r="O2950" t="str">
            <v>B</v>
          </cell>
        </row>
        <row r="2951">
          <cell r="A2951">
            <v>12026</v>
          </cell>
          <cell r="B2951" t="str">
            <v>BAMBANG DILTA YULIANTO</v>
          </cell>
          <cell r="C2951" t="str">
            <v>SAMI</v>
          </cell>
          <cell r="D2951" t="str">
            <v>TKN-55</v>
          </cell>
          <cell r="E2951">
            <v>40777</v>
          </cell>
          <cell r="F2951" t="str">
            <v>-</v>
          </cell>
          <cell r="G2951" t="str">
            <v>-</v>
          </cell>
          <cell r="H2951" t="str">
            <v>PRD</v>
          </cell>
          <cell r="I2951" t="str">
            <v>PRD</v>
          </cell>
          <cell r="J2951" t="str">
            <v>HONDA CRV</v>
          </cell>
          <cell r="K2951" t="str">
            <v>OTHERS ( SCH )</v>
          </cell>
          <cell r="L2951" t="str">
            <v>OTHERS ( SCH )</v>
          </cell>
          <cell r="M2951" t="str">
            <v>SCH-02</v>
          </cell>
          <cell r="N2951" t="str">
            <v>CUTTING WIRE</v>
          </cell>
          <cell r="O2951" t="str">
            <v>B</v>
          </cell>
        </row>
        <row r="2952">
          <cell r="A2952">
            <v>21881</v>
          </cell>
          <cell r="B2952" t="str">
            <v>HERY MUSTAQFIRIN</v>
          </cell>
          <cell r="C2952" t="str">
            <v>SAMI</v>
          </cell>
          <cell r="D2952" t="str">
            <v>OPT-542</v>
          </cell>
          <cell r="E2952">
            <v>43103</v>
          </cell>
          <cell r="F2952">
            <v>43134</v>
          </cell>
          <cell r="G2952">
            <v>43496</v>
          </cell>
          <cell r="H2952" t="str">
            <v>PRD</v>
          </cell>
          <cell r="I2952" t="str">
            <v>PRD</v>
          </cell>
          <cell r="J2952" t="str">
            <v>HONDA CRV</v>
          </cell>
          <cell r="K2952" t="str">
            <v>OTHERS ( SCH )</v>
          </cell>
          <cell r="L2952" t="str">
            <v>OTHERS ( SCH )</v>
          </cell>
          <cell r="M2952" t="str">
            <v>SCH-01</v>
          </cell>
          <cell r="N2952" t="str">
            <v>CUTTING WIRE</v>
          </cell>
          <cell r="O2952" t="str">
            <v>B</v>
          </cell>
        </row>
        <row r="2953">
          <cell r="A2953">
            <v>86</v>
          </cell>
          <cell r="B2953" t="str">
            <v>FILIA</v>
          </cell>
          <cell r="C2953" t="str">
            <v>SAMI</v>
          </cell>
          <cell r="D2953" t="str">
            <v>OPT-3</v>
          </cell>
          <cell r="E2953">
            <v>37627</v>
          </cell>
          <cell r="F2953" t="str">
            <v>-</v>
          </cell>
          <cell r="G2953" t="str">
            <v>-</v>
          </cell>
          <cell r="H2953" t="str">
            <v>PRD</v>
          </cell>
          <cell r="I2953" t="str">
            <v>PRD</v>
          </cell>
          <cell r="J2953" t="str">
            <v>ALL</v>
          </cell>
          <cell r="K2953" t="str">
            <v>ALL</v>
          </cell>
          <cell r="L2953" t="str">
            <v>OTHERS ( TRAINER )</v>
          </cell>
          <cell r="M2953" t="str">
            <v>OTHERS ( TRAINER )</v>
          </cell>
          <cell r="N2953" t="str">
            <v>OTHERS</v>
          </cell>
          <cell r="O2953" t="str">
            <v>A (NS)</v>
          </cell>
        </row>
        <row r="2954">
          <cell r="A2954">
            <v>156</v>
          </cell>
          <cell r="B2954" t="str">
            <v>SURYAWATI</v>
          </cell>
          <cell r="C2954" t="str">
            <v>SAMI</v>
          </cell>
          <cell r="D2954" t="str">
            <v>OPT-4</v>
          </cell>
          <cell r="E2954">
            <v>37637</v>
          </cell>
          <cell r="F2954" t="str">
            <v>-</v>
          </cell>
          <cell r="G2954" t="str">
            <v>-</v>
          </cell>
          <cell r="H2954" t="str">
            <v>PRD</v>
          </cell>
          <cell r="I2954" t="str">
            <v>PRD</v>
          </cell>
          <cell r="J2954" t="str">
            <v>ALL</v>
          </cell>
          <cell r="K2954" t="str">
            <v>ALL</v>
          </cell>
          <cell r="L2954" t="str">
            <v>OTHERS ( TRAINER )</v>
          </cell>
          <cell r="M2954" t="str">
            <v>OTHERS ( TRAINER )</v>
          </cell>
          <cell r="N2954" t="str">
            <v>OTHERS</v>
          </cell>
          <cell r="O2954" t="str">
            <v>A (NS)</v>
          </cell>
        </row>
        <row r="2955">
          <cell r="A2955">
            <v>244</v>
          </cell>
          <cell r="B2955" t="str">
            <v>SRIANAH</v>
          </cell>
          <cell r="C2955" t="str">
            <v>SAMI</v>
          </cell>
          <cell r="D2955" t="str">
            <v>OPT-7</v>
          </cell>
          <cell r="E2955">
            <v>37704</v>
          </cell>
          <cell r="F2955" t="str">
            <v>-</v>
          </cell>
          <cell r="G2955" t="str">
            <v>-</v>
          </cell>
          <cell r="H2955" t="str">
            <v>PRD</v>
          </cell>
          <cell r="I2955" t="str">
            <v>PRD</v>
          </cell>
          <cell r="J2955" t="str">
            <v>ALL</v>
          </cell>
          <cell r="K2955" t="str">
            <v>ALL</v>
          </cell>
          <cell r="L2955" t="str">
            <v>OTHERS ( TRAINER )</v>
          </cell>
          <cell r="M2955" t="str">
            <v>OTHERS ( TRAINER )</v>
          </cell>
          <cell r="N2955" t="str">
            <v>OTHERS</v>
          </cell>
          <cell r="O2955" t="str">
            <v>A (NS)</v>
          </cell>
        </row>
        <row r="2956">
          <cell r="A2956">
            <v>607</v>
          </cell>
          <cell r="B2956" t="str">
            <v>ANI LUSIANA</v>
          </cell>
          <cell r="C2956" t="str">
            <v>SAMI</v>
          </cell>
          <cell r="D2956" t="str">
            <v>OPT-16</v>
          </cell>
          <cell r="E2956">
            <v>37781</v>
          </cell>
          <cell r="F2956" t="str">
            <v>-</v>
          </cell>
          <cell r="G2956" t="str">
            <v>-</v>
          </cell>
          <cell r="H2956" t="str">
            <v>PRD</v>
          </cell>
          <cell r="I2956" t="str">
            <v>PRD</v>
          </cell>
          <cell r="J2956" t="str">
            <v>ALL</v>
          </cell>
          <cell r="K2956" t="str">
            <v>ALL</v>
          </cell>
          <cell r="L2956" t="str">
            <v>OTHERS ( TRAINER )</v>
          </cell>
          <cell r="M2956" t="str">
            <v>OTHERS ( TRAINER )</v>
          </cell>
          <cell r="N2956" t="str">
            <v>OTHERS</v>
          </cell>
          <cell r="O2956" t="str">
            <v>A (NS)</v>
          </cell>
        </row>
        <row r="2957">
          <cell r="A2957">
            <v>899</v>
          </cell>
          <cell r="B2957" t="str">
            <v>PUSPANDARI</v>
          </cell>
          <cell r="C2957" t="str">
            <v>SAMI</v>
          </cell>
          <cell r="D2957" t="str">
            <v>OPT-23</v>
          </cell>
          <cell r="E2957">
            <v>37858</v>
          </cell>
          <cell r="F2957" t="str">
            <v>-</v>
          </cell>
          <cell r="G2957" t="str">
            <v>-</v>
          </cell>
          <cell r="H2957" t="str">
            <v>PRD</v>
          </cell>
          <cell r="I2957" t="str">
            <v>PRD</v>
          </cell>
          <cell r="J2957" t="str">
            <v>ALL</v>
          </cell>
          <cell r="K2957" t="str">
            <v>ALL</v>
          </cell>
          <cell r="L2957" t="str">
            <v>OTHERS ( TRAINER )</v>
          </cell>
          <cell r="M2957" t="str">
            <v>OTHERS ( TRAINER )</v>
          </cell>
          <cell r="N2957" t="str">
            <v>OTHERS</v>
          </cell>
          <cell r="O2957" t="str">
            <v>A (NS)</v>
          </cell>
        </row>
        <row r="2958">
          <cell r="A2958">
            <v>1146</v>
          </cell>
          <cell r="B2958" t="str">
            <v>NUR FATMAWATI</v>
          </cell>
          <cell r="C2958" t="str">
            <v>SAMI</v>
          </cell>
          <cell r="D2958" t="str">
            <v>OPT-28</v>
          </cell>
          <cell r="E2958">
            <v>37900</v>
          </cell>
          <cell r="F2958" t="str">
            <v>-</v>
          </cell>
          <cell r="G2958" t="str">
            <v>-</v>
          </cell>
          <cell r="H2958" t="str">
            <v>PRD</v>
          </cell>
          <cell r="I2958" t="str">
            <v>PRD</v>
          </cell>
          <cell r="J2958" t="str">
            <v>ALL</v>
          </cell>
          <cell r="K2958" t="str">
            <v>ALL</v>
          </cell>
          <cell r="L2958" t="str">
            <v>OTHERS ( TRAINER )</v>
          </cell>
          <cell r="M2958" t="str">
            <v>OTHERS ( TRAINER )</v>
          </cell>
          <cell r="N2958" t="str">
            <v>OTHERS</v>
          </cell>
          <cell r="O2958" t="str">
            <v>A (NS)</v>
          </cell>
        </row>
        <row r="2959">
          <cell r="A2959">
            <v>1190</v>
          </cell>
          <cell r="B2959" t="str">
            <v>RATNA MARGARAHAYU</v>
          </cell>
          <cell r="C2959" t="str">
            <v>SAMI</v>
          </cell>
          <cell r="D2959" t="str">
            <v>OPT-29</v>
          </cell>
          <cell r="E2959">
            <v>37907</v>
          </cell>
          <cell r="F2959" t="str">
            <v>-</v>
          </cell>
          <cell r="G2959" t="str">
            <v>-</v>
          </cell>
          <cell r="H2959" t="str">
            <v>PRD</v>
          </cell>
          <cell r="I2959" t="str">
            <v>PRD</v>
          </cell>
          <cell r="J2959" t="str">
            <v>ALL</v>
          </cell>
          <cell r="K2959" t="str">
            <v>ALL</v>
          </cell>
          <cell r="L2959" t="str">
            <v>OTHERS ( TRAINER )</v>
          </cell>
          <cell r="M2959" t="str">
            <v>OTHERS ( TRAINER )</v>
          </cell>
          <cell r="N2959" t="str">
            <v>OTHERS</v>
          </cell>
          <cell r="O2959" t="str">
            <v>A (NS)</v>
          </cell>
        </row>
        <row r="2960">
          <cell r="A2960">
            <v>1268</v>
          </cell>
          <cell r="B2960" t="str">
            <v>WITRI SUMIYATI</v>
          </cell>
          <cell r="C2960" t="str">
            <v>SAMI</v>
          </cell>
          <cell r="D2960" t="str">
            <v>OPT-31</v>
          </cell>
          <cell r="E2960">
            <v>37921</v>
          </cell>
          <cell r="F2960" t="str">
            <v>-</v>
          </cell>
          <cell r="G2960" t="str">
            <v>-</v>
          </cell>
          <cell r="H2960" t="str">
            <v>PRD</v>
          </cell>
          <cell r="I2960" t="str">
            <v>PRD</v>
          </cell>
          <cell r="J2960" t="str">
            <v>ALL</v>
          </cell>
          <cell r="K2960" t="str">
            <v>ALL</v>
          </cell>
          <cell r="L2960" t="str">
            <v>OTHERS ( TRAINER )</v>
          </cell>
          <cell r="M2960" t="str">
            <v>OTHERS ( TRAINER )</v>
          </cell>
          <cell r="N2960" t="str">
            <v>OTHERS</v>
          </cell>
          <cell r="O2960" t="str">
            <v>A (NS)</v>
          </cell>
        </row>
        <row r="2961">
          <cell r="A2961">
            <v>3721</v>
          </cell>
          <cell r="B2961" t="str">
            <v>JUMIATUN</v>
          </cell>
          <cell r="C2961" t="str">
            <v>SAMI</v>
          </cell>
          <cell r="D2961" t="str">
            <v>OPT-98</v>
          </cell>
          <cell r="E2961">
            <v>38626</v>
          </cell>
          <cell r="F2961" t="str">
            <v>-</v>
          </cell>
          <cell r="G2961" t="str">
            <v>-</v>
          </cell>
          <cell r="H2961" t="str">
            <v>PRD</v>
          </cell>
          <cell r="I2961" t="str">
            <v>PRD</v>
          </cell>
          <cell r="J2961" t="str">
            <v>ALL</v>
          </cell>
          <cell r="K2961" t="str">
            <v>ALL</v>
          </cell>
          <cell r="L2961" t="str">
            <v>OTHERS ( TRAINER )</v>
          </cell>
          <cell r="M2961" t="str">
            <v>OTHERS ( TRAINER )</v>
          </cell>
          <cell r="N2961" t="str">
            <v>OTHERS</v>
          </cell>
          <cell r="O2961" t="str">
            <v>A (NS)</v>
          </cell>
        </row>
        <row r="2962">
          <cell r="A2962">
            <v>3959</v>
          </cell>
          <cell r="B2962" t="str">
            <v>SEPTIYANING RAHAYU</v>
          </cell>
          <cell r="C2962" t="str">
            <v>SAMI</v>
          </cell>
          <cell r="D2962" t="str">
            <v>OPT-104</v>
          </cell>
          <cell r="E2962">
            <v>38722</v>
          </cell>
          <cell r="F2962" t="str">
            <v>-</v>
          </cell>
          <cell r="G2962" t="str">
            <v>-</v>
          </cell>
          <cell r="H2962" t="str">
            <v>PRD</v>
          </cell>
          <cell r="I2962" t="str">
            <v>PRD</v>
          </cell>
          <cell r="J2962" t="str">
            <v>ALL</v>
          </cell>
          <cell r="K2962" t="str">
            <v>ALL</v>
          </cell>
          <cell r="L2962" t="str">
            <v>OTHERS ( TRAINER )</v>
          </cell>
          <cell r="M2962" t="str">
            <v>OTHERS ( TRAINER )</v>
          </cell>
          <cell r="N2962" t="str">
            <v>OTHERS</v>
          </cell>
          <cell r="O2962" t="str">
            <v>A (NS)</v>
          </cell>
        </row>
        <row r="2963">
          <cell r="A2963">
            <v>5401</v>
          </cell>
          <cell r="B2963" t="str">
            <v>DIYAH KUMOROWATI</v>
          </cell>
          <cell r="C2963" t="str">
            <v>SAMI</v>
          </cell>
          <cell r="D2963" t="str">
            <v>OPT-128</v>
          </cell>
          <cell r="E2963">
            <v>38991</v>
          </cell>
          <cell r="F2963" t="str">
            <v>-</v>
          </cell>
          <cell r="G2963" t="str">
            <v>-</v>
          </cell>
          <cell r="H2963" t="str">
            <v>PRD</v>
          </cell>
          <cell r="I2963" t="str">
            <v>PRD</v>
          </cell>
          <cell r="J2963" t="str">
            <v>ALL</v>
          </cell>
          <cell r="K2963" t="str">
            <v>ALL</v>
          </cell>
          <cell r="L2963" t="str">
            <v>OTHERS ( TRAINER )</v>
          </cell>
          <cell r="M2963" t="str">
            <v>OTHERS ( TRAINER )</v>
          </cell>
          <cell r="N2963" t="str">
            <v>OTHERS</v>
          </cell>
          <cell r="O2963" t="str">
            <v>A (NS)</v>
          </cell>
        </row>
        <row r="2964">
          <cell r="A2964">
            <v>5421</v>
          </cell>
          <cell r="B2964" t="str">
            <v>IKA SULISTYOWATI</v>
          </cell>
          <cell r="C2964" t="str">
            <v>SAMI</v>
          </cell>
          <cell r="D2964" t="str">
            <v>OPT-128</v>
          </cell>
          <cell r="E2964">
            <v>38991</v>
          </cell>
          <cell r="F2964" t="str">
            <v>-</v>
          </cell>
          <cell r="G2964" t="str">
            <v>-</v>
          </cell>
          <cell r="H2964" t="str">
            <v>PRD</v>
          </cell>
          <cell r="I2964" t="str">
            <v>PRD</v>
          </cell>
          <cell r="J2964" t="str">
            <v>ALL</v>
          </cell>
          <cell r="K2964" t="str">
            <v>ALL</v>
          </cell>
          <cell r="L2964" t="str">
            <v>OTHERS ( TRAINER )</v>
          </cell>
          <cell r="M2964" t="str">
            <v>OTHERS ( TRAINER )</v>
          </cell>
          <cell r="N2964" t="str">
            <v>OTHERS</v>
          </cell>
          <cell r="O2964" t="str">
            <v>A (NS)</v>
          </cell>
        </row>
        <row r="2965">
          <cell r="A2965">
            <v>5432</v>
          </cell>
          <cell r="B2965" t="str">
            <v>MOH.FAHRUL IMAM</v>
          </cell>
          <cell r="C2965" t="str">
            <v>SAMI</v>
          </cell>
          <cell r="D2965" t="str">
            <v>OPT-128</v>
          </cell>
          <cell r="E2965">
            <v>38991</v>
          </cell>
          <cell r="F2965" t="str">
            <v>-</v>
          </cell>
          <cell r="G2965" t="str">
            <v>-</v>
          </cell>
          <cell r="H2965" t="str">
            <v>PRD</v>
          </cell>
          <cell r="I2965" t="str">
            <v>PRD</v>
          </cell>
          <cell r="J2965" t="str">
            <v>ALL</v>
          </cell>
          <cell r="K2965" t="str">
            <v>ALL</v>
          </cell>
          <cell r="L2965" t="str">
            <v>OTHERS ( TRAINER )</v>
          </cell>
          <cell r="M2965" t="str">
            <v>OTHERS ( TRAINER )</v>
          </cell>
          <cell r="N2965" t="str">
            <v>OTHERS</v>
          </cell>
          <cell r="O2965" t="str">
            <v>A (NS)</v>
          </cell>
        </row>
        <row r="2966">
          <cell r="A2966">
            <v>5472</v>
          </cell>
          <cell r="B2966" t="str">
            <v>YANWAR NURJIYANTO</v>
          </cell>
          <cell r="C2966" t="str">
            <v>SAMI</v>
          </cell>
          <cell r="D2966" t="str">
            <v>OPT-128</v>
          </cell>
          <cell r="E2966">
            <v>38991</v>
          </cell>
          <cell r="F2966" t="str">
            <v>-</v>
          </cell>
          <cell r="G2966" t="str">
            <v>-</v>
          </cell>
          <cell r="H2966" t="str">
            <v>PRD</v>
          </cell>
          <cell r="I2966" t="str">
            <v>PRD</v>
          </cell>
          <cell r="J2966" t="str">
            <v>ALL</v>
          </cell>
          <cell r="K2966" t="str">
            <v>ALL</v>
          </cell>
          <cell r="L2966" t="str">
            <v>OTHERS ( TRAINER )</v>
          </cell>
          <cell r="M2966" t="str">
            <v>OTHERS ( TRAINER )</v>
          </cell>
          <cell r="N2966" t="str">
            <v>OTHERS</v>
          </cell>
          <cell r="O2966" t="str">
            <v>A (NS)</v>
          </cell>
        </row>
        <row r="2967">
          <cell r="A2967">
            <v>5745</v>
          </cell>
          <cell r="B2967" t="str">
            <v>TRI RUMIYATI</v>
          </cell>
          <cell r="C2967" t="str">
            <v>SAMI</v>
          </cell>
          <cell r="D2967" t="str">
            <v>OPT-134</v>
          </cell>
          <cell r="E2967">
            <v>39098</v>
          </cell>
          <cell r="F2967" t="str">
            <v>-</v>
          </cell>
          <cell r="G2967" t="str">
            <v>-</v>
          </cell>
          <cell r="H2967" t="str">
            <v>PRD</v>
          </cell>
          <cell r="I2967" t="str">
            <v>PRD</v>
          </cell>
          <cell r="J2967" t="str">
            <v>ALL</v>
          </cell>
          <cell r="K2967" t="str">
            <v>ALL</v>
          </cell>
          <cell r="L2967" t="str">
            <v>OTHERS ( TRAINER )</v>
          </cell>
          <cell r="M2967" t="str">
            <v>OTHERS ( TRAINER )</v>
          </cell>
          <cell r="N2967" t="str">
            <v>OTHERS</v>
          </cell>
          <cell r="O2967" t="str">
            <v>A (NS)</v>
          </cell>
        </row>
        <row r="2968">
          <cell r="A2968">
            <v>5783</v>
          </cell>
          <cell r="B2968" t="str">
            <v>MARIYATUN</v>
          </cell>
          <cell r="C2968" t="str">
            <v>SAMI</v>
          </cell>
          <cell r="D2968" t="str">
            <v>OPT-135</v>
          </cell>
          <cell r="E2968">
            <v>39114</v>
          </cell>
          <cell r="F2968" t="str">
            <v>-</v>
          </cell>
          <cell r="G2968" t="str">
            <v>-</v>
          </cell>
          <cell r="H2968" t="str">
            <v>PRD</v>
          </cell>
          <cell r="I2968" t="str">
            <v>PRD</v>
          </cell>
          <cell r="J2968" t="str">
            <v>ALL</v>
          </cell>
          <cell r="K2968" t="str">
            <v>ALL</v>
          </cell>
          <cell r="L2968" t="str">
            <v>OTHERS ( TRAINER )</v>
          </cell>
          <cell r="M2968" t="str">
            <v>OTHERS ( TRAINER )</v>
          </cell>
          <cell r="N2968" t="str">
            <v>OTHERS</v>
          </cell>
          <cell r="O2968" t="str">
            <v>A (NS)</v>
          </cell>
        </row>
        <row r="2969">
          <cell r="A2969">
            <v>5893</v>
          </cell>
          <cell r="B2969" t="str">
            <v>DYNA SEPTIANI</v>
          </cell>
          <cell r="C2969" t="str">
            <v>SAMI</v>
          </cell>
          <cell r="D2969" t="str">
            <v>OPT-137</v>
          </cell>
          <cell r="E2969">
            <v>39129</v>
          </cell>
          <cell r="F2969" t="str">
            <v>-</v>
          </cell>
          <cell r="G2969" t="str">
            <v>-</v>
          </cell>
          <cell r="H2969" t="str">
            <v>PRD</v>
          </cell>
          <cell r="I2969" t="str">
            <v>PRD</v>
          </cell>
          <cell r="J2969" t="str">
            <v>ALL</v>
          </cell>
          <cell r="K2969" t="str">
            <v>ALL</v>
          </cell>
          <cell r="L2969" t="str">
            <v>OTHERS ( TRAINER )</v>
          </cell>
          <cell r="M2969" t="str">
            <v>OTHERS ( TRAINER )</v>
          </cell>
          <cell r="N2969" t="str">
            <v>OTHERS</v>
          </cell>
          <cell r="O2969" t="str">
            <v>A (NS)</v>
          </cell>
        </row>
        <row r="2970">
          <cell r="A2970">
            <v>5940</v>
          </cell>
          <cell r="B2970" t="str">
            <v>ROSIDAH</v>
          </cell>
          <cell r="C2970" t="str">
            <v>SAMI</v>
          </cell>
          <cell r="D2970" t="str">
            <v>OPT-137</v>
          </cell>
          <cell r="E2970">
            <v>39129</v>
          </cell>
          <cell r="F2970" t="str">
            <v>-</v>
          </cell>
          <cell r="G2970" t="str">
            <v>-</v>
          </cell>
          <cell r="H2970" t="str">
            <v>PRD</v>
          </cell>
          <cell r="I2970" t="str">
            <v>PRD</v>
          </cell>
          <cell r="J2970" t="str">
            <v>ALL</v>
          </cell>
          <cell r="K2970" t="str">
            <v>ALL</v>
          </cell>
          <cell r="L2970" t="str">
            <v>OTHERS ( TRAINER )</v>
          </cell>
          <cell r="M2970" t="str">
            <v>OTHERS ( TRAINER )</v>
          </cell>
          <cell r="N2970" t="str">
            <v>OTHERS</v>
          </cell>
          <cell r="O2970" t="str">
            <v>A (NS)</v>
          </cell>
        </row>
        <row r="2971">
          <cell r="A2971">
            <v>5943</v>
          </cell>
          <cell r="B2971" t="str">
            <v>SITI KHAIZAH</v>
          </cell>
          <cell r="C2971" t="str">
            <v>SAMI</v>
          </cell>
          <cell r="D2971" t="str">
            <v>OPT-137</v>
          </cell>
          <cell r="E2971">
            <v>39129</v>
          </cell>
          <cell r="F2971" t="str">
            <v>-</v>
          </cell>
          <cell r="G2971" t="str">
            <v>-</v>
          </cell>
          <cell r="H2971" t="str">
            <v>PRD</v>
          </cell>
          <cell r="I2971" t="str">
            <v>PRD</v>
          </cell>
          <cell r="J2971" t="str">
            <v>ALL</v>
          </cell>
          <cell r="K2971" t="str">
            <v>ALL</v>
          </cell>
          <cell r="L2971" t="str">
            <v>OTHERS ( TRAINER )</v>
          </cell>
          <cell r="M2971" t="str">
            <v>OTHERS ( TRAINER )</v>
          </cell>
          <cell r="N2971" t="str">
            <v>OTHERS</v>
          </cell>
          <cell r="O2971" t="str">
            <v>A (NS)</v>
          </cell>
        </row>
        <row r="2972">
          <cell r="A2972">
            <v>5948</v>
          </cell>
          <cell r="B2972" t="str">
            <v>SRIYANTI</v>
          </cell>
          <cell r="C2972" t="str">
            <v>SAMI</v>
          </cell>
          <cell r="D2972" t="str">
            <v>OPT-137</v>
          </cell>
          <cell r="E2972">
            <v>39129</v>
          </cell>
          <cell r="F2972" t="str">
            <v>-</v>
          </cell>
          <cell r="G2972" t="str">
            <v>-</v>
          </cell>
          <cell r="H2972" t="str">
            <v>PRD</v>
          </cell>
          <cell r="I2972" t="str">
            <v>PRD</v>
          </cell>
          <cell r="J2972" t="str">
            <v>ALL</v>
          </cell>
          <cell r="K2972" t="str">
            <v>ALL</v>
          </cell>
          <cell r="L2972" t="str">
            <v>OTHERS ( TRAINER )</v>
          </cell>
          <cell r="M2972" t="str">
            <v>OTHERS ( TRAINER )</v>
          </cell>
          <cell r="N2972" t="str">
            <v>OTHERS</v>
          </cell>
          <cell r="O2972" t="str">
            <v>A (NS)</v>
          </cell>
        </row>
        <row r="2973">
          <cell r="A2973">
            <v>8672</v>
          </cell>
          <cell r="B2973" t="str">
            <v>VERA ANGGRAINI</v>
          </cell>
          <cell r="C2973" t="str">
            <v>SAMI</v>
          </cell>
          <cell r="D2973" t="str">
            <v>OPT-189</v>
          </cell>
          <cell r="E2973">
            <v>39878</v>
          </cell>
          <cell r="F2973" t="str">
            <v>-</v>
          </cell>
          <cell r="G2973" t="str">
            <v>-</v>
          </cell>
          <cell r="H2973" t="str">
            <v>PRD</v>
          </cell>
          <cell r="I2973" t="str">
            <v>PRD</v>
          </cell>
          <cell r="J2973" t="str">
            <v>ALL</v>
          </cell>
          <cell r="K2973" t="str">
            <v>ALL</v>
          </cell>
          <cell r="L2973" t="str">
            <v>OTHERS ( TRAINER )</v>
          </cell>
          <cell r="M2973" t="str">
            <v>OTHERS ( TRAINER )</v>
          </cell>
          <cell r="N2973" t="str">
            <v>OTHERS</v>
          </cell>
          <cell r="O2973" t="str">
            <v>A (NS)</v>
          </cell>
        </row>
        <row r="2974">
          <cell r="A2974">
            <v>8807</v>
          </cell>
          <cell r="B2974" t="str">
            <v>WORO HARINI</v>
          </cell>
          <cell r="C2974" t="str">
            <v>SAMI</v>
          </cell>
          <cell r="D2974" t="str">
            <v>OPT-194</v>
          </cell>
          <cell r="E2974">
            <v>39931</v>
          </cell>
          <cell r="F2974" t="str">
            <v>-</v>
          </cell>
          <cell r="G2974" t="str">
            <v>-</v>
          </cell>
          <cell r="H2974" t="str">
            <v>PRD</v>
          </cell>
          <cell r="I2974" t="str">
            <v>PRD</v>
          </cell>
          <cell r="J2974" t="str">
            <v>ALL</v>
          </cell>
          <cell r="K2974" t="str">
            <v>ALL</v>
          </cell>
          <cell r="L2974" t="str">
            <v>OTHERS ( TRAINER )</v>
          </cell>
          <cell r="M2974" t="str">
            <v>OTHERS ( TRAINER )</v>
          </cell>
          <cell r="N2974" t="str">
            <v>OTHERS</v>
          </cell>
          <cell r="O2974" t="str">
            <v>A (NS)</v>
          </cell>
        </row>
        <row r="2975">
          <cell r="A2975">
            <v>8846</v>
          </cell>
          <cell r="B2975" t="str">
            <v>NURUL AINI</v>
          </cell>
          <cell r="C2975" t="str">
            <v>SAMI</v>
          </cell>
          <cell r="D2975" t="str">
            <v>OPT-195</v>
          </cell>
          <cell r="E2975">
            <v>39937</v>
          </cell>
          <cell r="F2975" t="str">
            <v>-</v>
          </cell>
          <cell r="G2975" t="str">
            <v>-</v>
          </cell>
          <cell r="H2975" t="str">
            <v>PRD</v>
          </cell>
          <cell r="I2975" t="str">
            <v>PRD</v>
          </cell>
          <cell r="J2975" t="str">
            <v>ALL</v>
          </cell>
          <cell r="K2975" t="str">
            <v>ALL</v>
          </cell>
          <cell r="L2975" t="str">
            <v>OTHERS ( TRAINER )</v>
          </cell>
          <cell r="M2975" t="str">
            <v>OTHERS ( TRAINER )</v>
          </cell>
          <cell r="N2975" t="str">
            <v>OTHERS</v>
          </cell>
          <cell r="O2975" t="str">
            <v>A (NS)</v>
          </cell>
        </row>
        <row r="2976">
          <cell r="A2976">
            <v>9012</v>
          </cell>
          <cell r="B2976" t="str">
            <v>MUKHASANAH</v>
          </cell>
          <cell r="C2976" t="str">
            <v>SAMI</v>
          </cell>
          <cell r="D2976" t="str">
            <v>OPT-201</v>
          </cell>
          <cell r="E2976">
            <v>39975</v>
          </cell>
          <cell r="F2976" t="str">
            <v>-</v>
          </cell>
          <cell r="G2976" t="str">
            <v>-</v>
          </cell>
          <cell r="H2976" t="str">
            <v>PRD</v>
          </cell>
          <cell r="I2976" t="str">
            <v>PRD</v>
          </cell>
          <cell r="J2976" t="str">
            <v>ALL</v>
          </cell>
          <cell r="K2976" t="str">
            <v>ALL</v>
          </cell>
          <cell r="L2976" t="str">
            <v>OTHERS ( TRAINER )</v>
          </cell>
          <cell r="M2976" t="str">
            <v>OTHERS ( TRAINER )</v>
          </cell>
          <cell r="N2976" t="str">
            <v>OTHERS</v>
          </cell>
          <cell r="O2976" t="str">
            <v>A (NS)</v>
          </cell>
        </row>
        <row r="2977">
          <cell r="A2977">
            <v>9028</v>
          </cell>
          <cell r="B2977" t="str">
            <v>TATIS DEVI M.</v>
          </cell>
          <cell r="C2977" t="str">
            <v>SAMI</v>
          </cell>
          <cell r="D2977" t="str">
            <v>OPT-201</v>
          </cell>
          <cell r="E2977">
            <v>39975</v>
          </cell>
          <cell r="F2977" t="str">
            <v>-</v>
          </cell>
          <cell r="G2977" t="str">
            <v>-</v>
          </cell>
          <cell r="H2977" t="str">
            <v>PRD</v>
          </cell>
          <cell r="I2977" t="str">
            <v>PRD</v>
          </cell>
          <cell r="J2977" t="str">
            <v>ALL</v>
          </cell>
          <cell r="K2977" t="str">
            <v>ALL</v>
          </cell>
          <cell r="L2977" t="str">
            <v>OTHERS ( TRAINER )</v>
          </cell>
          <cell r="M2977" t="str">
            <v>OTHERS ( TRAINER )</v>
          </cell>
          <cell r="N2977" t="str">
            <v>OTHERS</v>
          </cell>
          <cell r="O2977" t="str">
            <v>A (NS)</v>
          </cell>
        </row>
        <row r="2978">
          <cell r="A2978">
            <v>9239</v>
          </cell>
          <cell r="B2978" t="str">
            <v>WULANDARI</v>
          </cell>
          <cell r="C2978" t="str">
            <v>SAMI</v>
          </cell>
          <cell r="D2978" t="str">
            <v>OPT-216</v>
          </cell>
          <cell r="E2978">
            <v>40008</v>
          </cell>
          <cell r="F2978" t="str">
            <v>-</v>
          </cell>
          <cell r="G2978" t="str">
            <v>-</v>
          </cell>
          <cell r="H2978" t="str">
            <v>PRD</v>
          </cell>
          <cell r="I2978" t="str">
            <v>PRD</v>
          </cell>
          <cell r="J2978" t="str">
            <v>ALL</v>
          </cell>
          <cell r="K2978" t="str">
            <v>ALL</v>
          </cell>
          <cell r="L2978" t="str">
            <v>OTHERS ( TRAINER )</v>
          </cell>
          <cell r="M2978" t="str">
            <v>OTHERS ( TRAINER )</v>
          </cell>
          <cell r="N2978" t="str">
            <v>OTHERS</v>
          </cell>
          <cell r="O2978" t="str">
            <v>A (NS)</v>
          </cell>
        </row>
        <row r="2979">
          <cell r="A2979">
            <v>9481</v>
          </cell>
          <cell r="B2979" t="str">
            <v>SUWASTI</v>
          </cell>
          <cell r="C2979" t="str">
            <v>SAMI</v>
          </cell>
          <cell r="D2979" t="str">
            <v>OPT-216</v>
          </cell>
          <cell r="E2979">
            <v>40148</v>
          </cell>
          <cell r="F2979" t="str">
            <v>-</v>
          </cell>
          <cell r="G2979" t="str">
            <v>-</v>
          </cell>
          <cell r="H2979" t="str">
            <v>PRD</v>
          </cell>
          <cell r="I2979" t="str">
            <v>PRD</v>
          </cell>
          <cell r="J2979" t="str">
            <v>ALL</v>
          </cell>
          <cell r="K2979" t="str">
            <v>ALL</v>
          </cell>
          <cell r="L2979" t="str">
            <v>OTHERS ( TRAINER )</v>
          </cell>
          <cell r="M2979" t="str">
            <v>OTHERS ( TRAINER )</v>
          </cell>
          <cell r="N2979" t="str">
            <v>OTHERS</v>
          </cell>
          <cell r="O2979" t="str">
            <v>A (NS)</v>
          </cell>
        </row>
        <row r="2980">
          <cell r="A2980">
            <v>9578</v>
          </cell>
          <cell r="B2980" t="str">
            <v>ANDRI YONO</v>
          </cell>
          <cell r="C2980" t="str">
            <v>SAMI</v>
          </cell>
          <cell r="D2980" t="str">
            <v>OPT-218</v>
          </cell>
          <cell r="E2980">
            <v>40179</v>
          </cell>
          <cell r="F2980" t="str">
            <v>-</v>
          </cell>
          <cell r="G2980" t="str">
            <v>-</v>
          </cell>
          <cell r="H2980" t="str">
            <v>PRD</v>
          </cell>
          <cell r="I2980" t="str">
            <v>PRD</v>
          </cell>
          <cell r="J2980" t="str">
            <v>ALL</v>
          </cell>
          <cell r="K2980" t="str">
            <v>ALL</v>
          </cell>
          <cell r="L2980" t="str">
            <v>OTHERS ( TRAINER )</v>
          </cell>
          <cell r="M2980" t="str">
            <v>OTHERS ( TRAINER )</v>
          </cell>
          <cell r="N2980" t="str">
            <v>OTHERS</v>
          </cell>
          <cell r="O2980" t="str">
            <v>A (NS)</v>
          </cell>
        </row>
        <row r="2981">
          <cell r="A2981">
            <v>9598</v>
          </cell>
          <cell r="B2981" t="str">
            <v>HERU PONCO NUGROHO</v>
          </cell>
          <cell r="C2981" t="str">
            <v>SAMI</v>
          </cell>
          <cell r="D2981" t="str">
            <v>OPT-218</v>
          </cell>
          <cell r="E2981">
            <v>40179</v>
          </cell>
          <cell r="F2981" t="str">
            <v>-</v>
          </cell>
          <cell r="G2981" t="str">
            <v>-</v>
          </cell>
          <cell r="H2981" t="str">
            <v>PRD</v>
          </cell>
          <cell r="I2981" t="str">
            <v>PRD</v>
          </cell>
          <cell r="J2981" t="str">
            <v>ALL</v>
          </cell>
          <cell r="K2981" t="str">
            <v>ALL</v>
          </cell>
          <cell r="L2981" t="str">
            <v>OTHERS ( TRAINER )</v>
          </cell>
          <cell r="M2981" t="str">
            <v>OTHERS ( TRAINER )</v>
          </cell>
          <cell r="N2981" t="str">
            <v>OTHERS</v>
          </cell>
          <cell r="O2981" t="str">
            <v>A (NS)</v>
          </cell>
        </row>
        <row r="2982">
          <cell r="A2982">
            <v>9639</v>
          </cell>
          <cell r="B2982" t="str">
            <v>TRI DEWI LESTARI</v>
          </cell>
          <cell r="C2982" t="str">
            <v>SAMI</v>
          </cell>
          <cell r="D2982" t="str">
            <v>OPT-218</v>
          </cell>
          <cell r="E2982">
            <v>40179</v>
          </cell>
          <cell r="F2982" t="str">
            <v>-</v>
          </cell>
          <cell r="G2982" t="str">
            <v>-</v>
          </cell>
          <cell r="H2982" t="str">
            <v>PRD</v>
          </cell>
          <cell r="I2982" t="str">
            <v>PRD</v>
          </cell>
          <cell r="J2982" t="str">
            <v>ALL</v>
          </cell>
          <cell r="K2982" t="str">
            <v>ALL</v>
          </cell>
          <cell r="L2982" t="str">
            <v>OTHERS ( TRAINER )</v>
          </cell>
          <cell r="M2982" t="str">
            <v>OTHERS ( TRAINER )</v>
          </cell>
          <cell r="N2982" t="str">
            <v>OTHERS</v>
          </cell>
          <cell r="O2982" t="str">
            <v>A (NS)</v>
          </cell>
        </row>
        <row r="2983">
          <cell r="A2983">
            <v>9681</v>
          </cell>
          <cell r="B2983" t="str">
            <v>EKO WULAN SAFITRI</v>
          </cell>
          <cell r="C2983" t="str">
            <v>SAMI</v>
          </cell>
          <cell r="D2983" t="str">
            <v>OPT-222</v>
          </cell>
          <cell r="E2983">
            <v>40297</v>
          </cell>
          <cell r="F2983" t="str">
            <v>-</v>
          </cell>
          <cell r="G2983" t="str">
            <v>-</v>
          </cell>
          <cell r="H2983" t="str">
            <v>PRD</v>
          </cell>
          <cell r="I2983" t="str">
            <v>PRD</v>
          </cell>
          <cell r="J2983" t="str">
            <v>ALL</v>
          </cell>
          <cell r="K2983" t="str">
            <v>ALL</v>
          </cell>
          <cell r="L2983" t="str">
            <v>OTHERS ( TRAINER )</v>
          </cell>
          <cell r="M2983" t="str">
            <v>OTHERS ( TRAINER )</v>
          </cell>
          <cell r="N2983" t="str">
            <v>OTHERS</v>
          </cell>
          <cell r="O2983" t="str">
            <v>A (NS)</v>
          </cell>
        </row>
        <row r="2984">
          <cell r="A2984">
            <v>9970</v>
          </cell>
          <cell r="B2984" t="str">
            <v>SITI NURYATI</v>
          </cell>
          <cell r="C2984" t="str">
            <v>SAMI</v>
          </cell>
          <cell r="D2984" t="str">
            <v>OPT-246</v>
          </cell>
          <cell r="E2984">
            <v>40431</v>
          </cell>
          <cell r="F2984" t="str">
            <v>-</v>
          </cell>
          <cell r="G2984" t="str">
            <v>-</v>
          </cell>
          <cell r="H2984" t="str">
            <v>PRD</v>
          </cell>
          <cell r="I2984" t="str">
            <v>PRD</v>
          </cell>
          <cell r="J2984" t="str">
            <v>ALL</v>
          </cell>
          <cell r="K2984" t="str">
            <v>ALL</v>
          </cell>
          <cell r="L2984" t="str">
            <v>OTHERS ( TRAINER )</v>
          </cell>
          <cell r="M2984" t="str">
            <v>OTHERS ( TRAINER )</v>
          </cell>
          <cell r="N2984" t="str">
            <v>OTHERS</v>
          </cell>
          <cell r="O2984" t="str">
            <v>A (NS)</v>
          </cell>
        </row>
        <row r="2985">
          <cell r="A2985">
            <v>10113</v>
          </cell>
          <cell r="B2985" t="str">
            <v>RIKA NUR INDAH SARI</v>
          </cell>
          <cell r="C2985" t="str">
            <v>SAMI</v>
          </cell>
          <cell r="D2985" t="str">
            <v>OPT-248</v>
          </cell>
          <cell r="E2985">
            <v>40444</v>
          </cell>
          <cell r="F2985" t="str">
            <v>-</v>
          </cell>
          <cell r="G2985" t="str">
            <v>-</v>
          </cell>
          <cell r="H2985" t="str">
            <v>PRD</v>
          </cell>
          <cell r="I2985" t="str">
            <v>PRD</v>
          </cell>
          <cell r="J2985" t="str">
            <v>ALL</v>
          </cell>
          <cell r="K2985" t="str">
            <v>ALL</v>
          </cell>
          <cell r="L2985" t="str">
            <v>OTHERS ( TRAINER )</v>
          </cell>
          <cell r="M2985" t="str">
            <v>OTHERS ( TRAINER )</v>
          </cell>
          <cell r="N2985" t="str">
            <v>OTHERS</v>
          </cell>
          <cell r="O2985" t="str">
            <v>A (NS)</v>
          </cell>
        </row>
        <row r="2986">
          <cell r="A2986">
            <v>10179</v>
          </cell>
          <cell r="B2986" t="str">
            <v>FITRIYANTI</v>
          </cell>
          <cell r="C2986" t="str">
            <v>SAMI</v>
          </cell>
          <cell r="D2986" t="str">
            <v>OPT-253</v>
          </cell>
          <cell r="E2986">
            <v>40458</v>
          </cell>
          <cell r="F2986" t="str">
            <v>-</v>
          </cell>
          <cell r="G2986" t="str">
            <v>-</v>
          </cell>
          <cell r="H2986" t="str">
            <v>PRD</v>
          </cell>
          <cell r="I2986" t="str">
            <v>PRD</v>
          </cell>
          <cell r="J2986" t="str">
            <v>ALL</v>
          </cell>
          <cell r="K2986" t="str">
            <v>ALL</v>
          </cell>
          <cell r="L2986" t="str">
            <v>OTHERS ( TRAINER )</v>
          </cell>
          <cell r="M2986" t="str">
            <v>OTHERS ( TRAINER )</v>
          </cell>
          <cell r="N2986" t="str">
            <v>OTHERS</v>
          </cell>
          <cell r="O2986" t="str">
            <v>A (NS)</v>
          </cell>
        </row>
        <row r="2987">
          <cell r="A2987">
            <v>10617</v>
          </cell>
          <cell r="B2987" t="str">
            <v>VANI SETYANINGRUM</v>
          </cell>
          <cell r="C2987" t="str">
            <v>SAMI</v>
          </cell>
          <cell r="D2987" t="str">
            <v>OPT-276</v>
          </cell>
          <cell r="E2987">
            <v>40544</v>
          </cell>
          <cell r="F2987" t="str">
            <v>-</v>
          </cell>
          <cell r="G2987" t="str">
            <v>-</v>
          </cell>
          <cell r="H2987" t="str">
            <v>PRD</v>
          </cell>
          <cell r="I2987" t="str">
            <v>PRD</v>
          </cell>
          <cell r="J2987" t="str">
            <v>ALL</v>
          </cell>
          <cell r="K2987" t="str">
            <v>ALL</v>
          </cell>
          <cell r="L2987" t="str">
            <v>OTHERS ( TRAINER )</v>
          </cell>
          <cell r="M2987" t="str">
            <v>OTHERS ( TRAINER )</v>
          </cell>
          <cell r="N2987" t="str">
            <v>OTHERS</v>
          </cell>
          <cell r="O2987" t="str">
            <v>A (NS)</v>
          </cell>
        </row>
        <row r="2988">
          <cell r="A2988">
            <v>10635</v>
          </cell>
          <cell r="B2988" t="str">
            <v>SITI ANJARWATI</v>
          </cell>
          <cell r="C2988" t="str">
            <v>SAMI</v>
          </cell>
          <cell r="D2988" t="str">
            <v>OPT-278</v>
          </cell>
          <cell r="E2988">
            <v>40549</v>
          </cell>
          <cell r="F2988" t="str">
            <v>-</v>
          </cell>
          <cell r="G2988" t="str">
            <v>-</v>
          </cell>
          <cell r="H2988" t="str">
            <v>PRD</v>
          </cell>
          <cell r="I2988" t="str">
            <v>PRD</v>
          </cell>
          <cell r="J2988" t="str">
            <v>ALL</v>
          </cell>
          <cell r="K2988" t="str">
            <v>ALL</v>
          </cell>
          <cell r="L2988" t="str">
            <v>OTHERS ( TRAINER )</v>
          </cell>
          <cell r="M2988" t="str">
            <v>OTHERS ( TRAINER )</v>
          </cell>
          <cell r="N2988" t="str">
            <v>OTHERS</v>
          </cell>
          <cell r="O2988" t="str">
            <v>A (NS)</v>
          </cell>
        </row>
        <row r="2989">
          <cell r="A2989">
            <v>10948</v>
          </cell>
          <cell r="B2989" t="str">
            <v>RINAWATI</v>
          </cell>
          <cell r="C2989" t="str">
            <v>SAMI</v>
          </cell>
          <cell r="D2989" t="str">
            <v>OPT-285</v>
          </cell>
          <cell r="E2989">
            <v>40578</v>
          </cell>
          <cell r="F2989" t="str">
            <v>-</v>
          </cell>
          <cell r="G2989" t="str">
            <v>-</v>
          </cell>
          <cell r="H2989" t="str">
            <v>PRD</v>
          </cell>
          <cell r="I2989" t="str">
            <v>PRD</v>
          </cell>
          <cell r="J2989" t="str">
            <v>ALL</v>
          </cell>
          <cell r="K2989" t="str">
            <v>ALL</v>
          </cell>
          <cell r="L2989" t="str">
            <v>OTHERS ( TRAINER )</v>
          </cell>
          <cell r="M2989" t="str">
            <v>OTHERS ( TRAINER )</v>
          </cell>
          <cell r="N2989" t="str">
            <v>OTHERS</v>
          </cell>
          <cell r="O2989" t="str">
            <v>A (NS)</v>
          </cell>
        </row>
        <row r="2990">
          <cell r="A2990">
            <v>11165</v>
          </cell>
          <cell r="B2990" t="str">
            <v>ANIFATUZAHROKH</v>
          </cell>
          <cell r="C2990" t="str">
            <v>SAMI</v>
          </cell>
          <cell r="D2990" t="str">
            <v>OPT-292</v>
          </cell>
          <cell r="E2990">
            <v>40610</v>
          </cell>
          <cell r="F2990" t="str">
            <v>-</v>
          </cell>
          <cell r="G2990" t="str">
            <v>-</v>
          </cell>
          <cell r="H2990" t="str">
            <v>PRD</v>
          </cell>
          <cell r="I2990" t="str">
            <v>PRD</v>
          </cell>
          <cell r="J2990" t="str">
            <v>ALL</v>
          </cell>
          <cell r="K2990" t="str">
            <v>ALL</v>
          </cell>
          <cell r="L2990" t="str">
            <v>OTHERS ( TRAINER )</v>
          </cell>
          <cell r="M2990" t="str">
            <v>OTHERS ( TRAINER )</v>
          </cell>
          <cell r="N2990" t="str">
            <v>OTHERS</v>
          </cell>
          <cell r="O2990" t="str">
            <v>A (NS)</v>
          </cell>
        </row>
        <row r="2991">
          <cell r="A2991">
            <v>11222</v>
          </cell>
          <cell r="B2991" t="str">
            <v>RIZKY RAHMA SARI</v>
          </cell>
          <cell r="C2991" t="str">
            <v>SAMI</v>
          </cell>
          <cell r="D2991" t="str">
            <v>OPT-293</v>
          </cell>
          <cell r="E2991">
            <v>40609</v>
          </cell>
          <cell r="F2991" t="str">
            <v>-</v>
          </cell>
          <cell r="G2991" t="str">
            <v>-</v>
          </cell>
          <cell r="H2991" t="str">
            <v>PRD</v>
          </cell>
          <cell r="I2991" t="str">
            <v>PRD</v>
          </cell>
          <cell r="J2991" t="str">
            <v>ALL</v>
          </cell>
          <cell r="K2991" t="str">
            <v>ALL</v>
          </cell>
          <cell r="L2991" t="str">
            <v>OTHERS ( TRAINER )</v>
          </cell>
          <cell r="M2991" t="str">
            <v>OTHERS ( TRAINER )</v>
          </cell>
          <cell r="N2991" t="str">
            <v>OTHERS</v>
          </cell>
          <cell r="O2991" t="str">
            <v>A (NS)</v>
          </cell>
        </row>
        <row r="2992">
          <cell r="A2992">
            <v>11407</v>
          </cell>
          <cell r="B2992" t="str">
            <v>ARIYANI DWI NURZA'IM</v>
          </cell>
          <cell r="C2992" t="str">
            <v>SAMI</v>
          </cell>
          <cell r="D2992" t="str">
            <v>OPT-306</v>
          </cell>
          <cell r="E2992">
            <v>40701</v>
          </cell>
          <cell r="F2992" t="str">
            <v>-</v>
          </cell>
          <cell r="G2992" t="str">
            <v>-</v>
          </cell>
          <cell r="H2992" t="str">
            <v>PRD</v>
          </cell>
          <cell r="I2992" t="str">
            <v>PRD</v>
          </cell>
          <cell r="J2992" t="str">
            <v>ALL</v>
          </cell>
          <cell r="K2992" t="str">
            <v>ALL</v>
          </cell>
          <cell r="L2992" t="str">
            <v>OTHERS ( TRAINER )</v>
          </cell>
          <cell r="M2992" t="str">
            <v>OTHERS ( TRAINER )</v>
          </cell>
          <cell r="N2992" t="str">
            <v>OTHERS</v>
          </cell>
          <cell r="O2992" t="str">
            <v>A (NS)</v>
          </cell>
        </row>
        <row r="2993">
          <cell r="A2993">
            <v>11685</v>
          </cell>
          <cell r="B2993" t="str">
            <v>ERVINA LISTIYOWATI</v>
          </cell>
          <cell r="C2993" t="str">
            <v>SAMI</v>
          </cell>
          <cell r="D2993" t="str">
            <v>OPT-308</v>
          </cell>
          <cell r="E2993">
            <v>40714</v>
          </cell>
          <cell r="F2993" t="str">
            <v>-</v>
          </cell>
          <cell r="G2993" t="str">
            <v>-</v>
          </cell>
          <cell r="H2993" t="str">
            <v>PRD</v>
          </cell>
          <cell r="I2993" t="str">
            <v>PRD</v>
          </cell>
          <cell r="J2993" t="str">
            <v>ALL</v>
          </cell>
          <cell r="K2993" t="str">
            <v>ALL</v>
          </cell>
          <cell r="L2993" t="str">
            <v>OTHERS ( TRAINER )</v>
          </cell>
          <cell r="M2993" t="str">
            <v>OTHERS ( TRAINER )</v>
          </cell>
          <cell r="N2993" t="str">
            <v>OTHERS</v>
          </cell>
          <cell r="O2993" t="str">
            <v>A (NS)</v>
          </cell>
        </row>
        <row r="2994">
          <cell r="A2994">
            <v>11724</v>
          </cell>
          <cell r="B2994" t="str">
            <v>KHOLIS FATKHIYATUR ROHMANIYAH</v>
          </cell>
          <cell r="C2994" t="str">
            <v>SAMI</v>
          </cell>
          <cell r="D2994" t="str">
            <v>OPT-308</v>
          </cell>
          <cell r="E2994">
            <v>40714</v>
          </cell>
          <cell r="F2994" t="str">
            <v>-</v>
          </cell>
          <cell r="G2994" t="str">
            <v>-</v>
          </cell>
          <cell r="H2994" t="str">
            <v>PRD</v>
          </cell>
          <cell r="I2994" t="str">
            <v>PRD</v>
          </cell>
          <cell r="J2994" t="str">
            <v>ALL</v>
          </cell>
          <cell r="K2994" t="str">
            <v>ALL</v>
          </cell>
          <cell r="L2994" t="str">
            <v>OTHERS ( TRAINER )</v>
          </cell>
          <cell r="M2994" t="str">
            <v>OTHERS ( TRAINER )</v>
          </cell>
          <cell r="N2994" t="str">
            <v>OTHERS</v>
          </cell>
          <cell r="O2994" t="str">
            <v>A (NS)</v>
          </cell>
        </row>
        <row r="2995">
          <cell r="A2995">
            <v>11845</v>
          </cell>
          <cell r="B2995" t="str">
            <v>SITI ROHANIYAH</v>
          </cell>
          <cell r="C2995" t="str">
            <v>SAMI</v>
          </cell>
          <cell r="D2995" t="str">
            <v>OPT-309</v>
          </cell>
          <cell r="E2995">
            <v>40721</v>
          </cell>
          <cell r="F2995" t="str">
            <v>-</v>
          </cell>
          <cell r="G2995" t="str">
            <v>-</v>
          </cell>
          <cell r="H2995" t="str">
            <v>PRD</v>
          </cell>
          <cell r="I2995" t="str">
            <v>PRD</v>
          </cell>
          <cell r="J2995" t="str">
            <v>ALL</v>
          </cell>
          <cell r="K2995" t="str">
            <v>ALL</v>
          </cell>
          <cell r="L2995" t="str">
            <v>OTHERS ( TRAINER )</v>
          </cell>
          <cell r="M2995" t="str">
            <v>OTHERS ( TRAINER )</v>
          </cell>
          <cell r="N2995" t="str">
            <v>OTHERS</v>
          </cell>
          <cell r="O2995" t="str">
            <v>A (NS)</v>
          </cell>
        </row>
        <row r="2996">
          <cell r="A2996">
            <v>12068</v>
          </cell>
          <cell r="B2996" t="str">
            <v>AIMATUS SHOLEKHAH</v>
          </cell>
          <cell r="C2996" t="str">
            <v>SAMI</v>
          </cell>
          <cell r="D2996" t="str">
            <v>OPT-314</v>
          </cell>
          <cell r="E2996">
            <v>40798</v>
          </cell>
          <cell r="F2996" t="str">
            <v>-</v>
          </cell>
          <cell r="G2996" t="str">
            <v>-</v>
          </cell>
          <cell r="H2996" t="str">
            <v>PRD</v>
          </cell>
          <cell r="I2996" t="str">
            <v>PRD</v>
          </cell>
          <cell r="J2996" t="str">
            <v>ALL</v>
          </cell>
          <cell r="K2996" t="str">
            <v>ALL</v>
          </cell>
          <cell r="L2996" t="str">
            <v>OTHERS ( TRAINER )</v>
          </cell>
          <cell r="M2996" t="str">
            <v>OTHERS ( TRAINER )</v>
          </cell>
          <cell r="N2996" t="str">
            <v>OTHERS</v>
          </cell>
          <cell r="O2996" t="str">
            <v>A (NS)</v>
          </cell>
        </row>
        <row r="2997">
          <cell r="A2997">
            <v>12476</v>
          </cell>
          <cell r="B2997" t="str">
            <v>JANATUN</v>
          </cell>
          <cell r="C2997" t="str">
            <v>SAMI</v>
          </cell>
          <cell r="D2997" t="str">
            <v>OPT-318</v>
          </cell>
          <cell r="E2997">
            <v>40812</v>
          </cell>
          <cell r="F2997" t="str">
            <v>-</v>
          </cell>
          <cell r="G2997" t="str">
            <v>-</v>
          </cell>
          <cell r="H2997" t="str">
            <v>PRD</v>
          </cell>
          <cell r="I2997" t="str">
            <v>PRD</v>
          </cell>
          <cell r="J2997" t="str">
            <v>ALL</v>
          </cell>
          <cell r="K2997" t="str">
            <v>ALL</v>
          </cell>
          <cell r="L2997" t="str">
            <v>OTHERS ( TRAINER )</v>
          </cell>
          <cell r="M2997" t="str">
            <v>OTHERS ( TRAINER )</v>
          </cell>
          <cell r="N2997" t="str">
            <v>OTHERS</v>
          </cell>
          <cell r="O2997" t="str">
            <v>A (NS)</v>
          </cell>
        </row>
        <row r="2998">
          <cell r="A2998">
            <v>12525</v>
          </cell>
          <cell r="B2998" t="str">
            <v>RUMIYATI</v>
          </cell>
          <cell r="C2998" t="str">
            <v>SAMI</v>
          </cell>
          <cell r="D2998" t="str">
            <v>OPT-318</v>
          </cell>
          <cell r="E2998">
            <v>40812</v>
          </cell>
          <cell r="F2998" t="str">
            <v>-</v>
          </cell>
          <cell r="G2998" t="str">
            <v>-</v>
          </cell>
          <cell r="H2998" t="str">
            <v>PRD</v>
          </cell>
          <cell r="I2998" t="str">
            <v>PRD</v>
          </cell>
          <cell r="J2998" t="str">
            <v>ALL</v>
          </cell>
          <cell r="K2998" t="str">
            <v>ALL</v>
          </cell>
          <cell r="L2998" t="str">
            <v>OTHERS ( TRAINER )</v>
          </cell>
          <cell r="M2998" t="str">
            <v>OTHERS ( TRAINER )</v>
          </cell>
          <cell r="N2998" t="str">
            <v>OTHERS</v>
          </cell>
          <cell r="O2998" t="str">
            <v>A (NS)</v>
          </cell>
        </row>
        <row r="2999">
          <cell r="A2999">
            <v>12727</v>
          </cell>
          <cell r="B2999" t="str">
            <v>ROMDONI</v>
          </cell>
          <cell r="C2999" t="str">
            <v>SAMI</v>
          </cell>
          <cell r="D2999" t="str">
            <v>OPT-320</v>
          </cell>
          <cell r="E2999">
            <v>40819</v>
          </cell>
          <cell r="F2999" t="str">
            <v>-</v>
          </cell>
          <cell r="G2999" t="str">
            <v>-</v>
          </cell>
          <cell r="H2999" t="str">
            <v>PRD</v>
          </cell>
          <cell r="I2999" t="str">
            <v>PRD</v>
          </cell>
          <cell r="J2999" t="str">
            <v>ALL</v>
          </cell>
          <cell r="K2999" t="str">
            <v>ALL</v>
          </cell>
          <cell r="L2999" t="str">
            <v>OTHERS ( TRAINER )</v>
          </cell>
          <cell r="M2999" t="str">
            <v>OTHERS ( TRAINER )</v>
          </cell>
          <cell r="N2999" t="str">
            <v>OTHERS</v>
          </cell>
          <cell r="O2999" t="str">
            <v>A (NS)</v>
          </cell>
        </row>
        <row r="3000">
          <cell r="A3000">
            <v>12837</v>
          </cell>
          <cell r="B3000" t="str">
            <v>ZAINAL KAFIDZIN</v>
          </cell>
          <cell r="C3000" t="str">
            <v>SAMI</v>
          </cell>
          <cell r="D3000" t="str">
            <v>OPT-321</v>
          </cell>
          <cell r="E3000">
            <v>40826</v>
          </cell>
          <cell r="F3000" t="str">
            <v>-</v>
          </cell>
          <cell r="G3000" t="str">
            <v>-</v>
          </cell>
          <cell r="H3000" t="str">
            <v>PRD</v>
          </cell>
          <cell r="I3000" t="str">
            <v>PRD</v>
          </cell>
          <cell r="J3000" t="str">
            <v>ALL</v>
          </cell>
          <cell r="K3000" t="str">
            <v>ALL</v>
          </cell>
          <cell r="L3000" t="str">
            <v>OTHERS ( TRAINER )</v>
          </cell>
          <cell r="M3000" t="str">
            <v>OTHERS ( TRAINER )</v>
          </cell>
          <cell r="N3000" t="str">
            <v>OTHERS</v>
          </cell>
          <cell r="O3000" t="str">
            <v>A (NS)</v>
          </cell>
        </row>
        <row r="3001">
          <cell r="A3001">
            <v>13064</v>
          </cell>
          <cell r="B3001" t="str">
            <v>MARGARETA PUJI RAHAYU</v>
          </cell>
          <cell r="C3001" t="str">
            <v>SAMI</v>
          </cell>
          <cell r="D3001" t="str">
            <v>OPT-326</v>
          </cell>
          <cell r="E3001">
            <v>40854</v>
          </cell>
          <cell r="F3001" t="str">
            <v>-</v>
          </cell>
          <cell r="G3001" t="str">
            <v>-</v>
          </cell>
          <cell r="H3001" t="str">
            <v>PRD</v>
          </cell>
          <cell r="I3001" t="str">
            <v>PRD</v>
          </cell>
          <cell r="J3001" t="str">
            <v>ALL</v>
          </cell>
          <cell r="K3001" t="str">
            <v>ALL</v>
          </cell>
          <cell r="L3001" t="str">
            <v>OTHERS ( TRAINER )</v>
          </cell>
          <cell r="M3001" t="str">
            <v>OTHERS ( TRAINER )</v>
          </cell>
          <cell r="N3001" t="str">
            <v>OTHERS</v>
          </cell>
          <cell r="O3001" t="str">
            <v>A (NS)</v>
          </cell>
        </row>
        <row r="3002">
          <cell r="A3002">
            <v>13106</v>
          </cell>
          <cell r="B3002" t="str">
            <v>SITI ROHMAWATI</v>
          </cell>
          <cell r="C3002" t="str">
            <v>SAMI</v>
          </cell>
          <cell r="D3002" t="str">
            <v>OPT-327</v>
          </cell>
          <cell r="E3002">
            <v>40861</v>
          </cell>
          <cell r="F3002" t="str">
            <v>-</v>
          </cell>
          <cell r="G3002" t="str">
            <v>-</v>
          </cell>
          <cell r="H3002" t="str">
            <v>PRD</v>
          </cell>
          <cell r="I3002" t="str">
            <v>PRD</v>
          </cell>
          <cell r="J3002" t="str">
            <v>ALL</v>
          </cell>
          <cell r="K3002" t="str">
            <v>ALL</v>
          </cell>
          <cell r="L3002" t="str">
            <v>OTHERS ( TRAINER )</v>
          </cell>
          <cell r="M3002" t="str">
            <v>OTHERS ( TRAINER )</v>
          </cell>
          <cell r="N3002" t="str">
            <v>OTHERS</v>
          </cell>
          <cell r="O3002" t="str">
            <v>A (NS)</v>
          </cell>
        </row>
        <row r="3003">
          <cell r="A3003">
            <v>16108</v>
          </cell>
          <cell r="B3003" t="str">
            <v>SITI NELI ROHMAH</v>
          </cell>
          <cell r="C3003" t="str">
            <v>SAMI</v>
          </cell>
          <cell r="D3003" t="str">
            <v>OPT-404</v>
          </cell>
          <cell r="E3003">
            <v>41586</v>
          </cell>
          <cell r="F3003" t="str">
            <v>-</v>
          </cell>
          <cell r="G3003" t="str">
            <v>-</v>
          </cell>
          <cell r="H3003" t="str">
            <v>PRD</v>
          </cell>
          <cell r="I3003" t="str">
            <v>PRD</v>
          </cell>
          <cell r="J3003" t="str">
            <v>ALL</v>
          </cell>
          <cell r="K3003" t="str">
            <v>ALL</v>
          </cell>
          <cell r="L3003" t="str">
            <v>OTHERS ( TRAINER )</v>
          </cell>
          <cell r="M3003" t="str">
            <v>OTHERS ( TRAINER )</v>
          </cell>
          <cell r="N3003" t="str">
            <v>OTHERS</v>
          </cell>
          <cell r="O3003" t="str">
            <v>A (NS)</v>
          </cell>
        </row>
        <row r="3004">
          <cell r="A3004" t="str">
            <v>B00854</v>
          </cell>
          <cell r="B3004" t="str">
            <v>EKO TRI ROHMANTO</v>
          </cell>
          <cell r="C3004" t="str">
            <v>SAMI</v>
          </cell>
          <cell r="D3004" t="str">
            <v>BBF-016</v>
          </cell>
          <cell r="E3004">
            <v>40938</v>
          </cell>
          <cell r="F3004" t="str">
            <v>-</v>
          </cell>
          <cell r="G3004" t="str">
            <v>-</v>
          </cell>
          <cell r="H3004" t="str">
            <v>PRD</v>
          </cell>
          <cell r="I3004" t="str">
            <v>PRD</v>
          </cell>
          <cell r="J3004" t="str">
            <v>ALL</v>
          </cell>
          <cell r="K3004" t="str">
            <v>ALL</v>
          </cell>
          <cell r="L3004" t="str">
            <v>OTHERS ( TRAINER )</v>
          </cell>
          <cell r="M3004" t="str">
            <v>OTHERS ( TRAINER )</v>
          </cell>
          <cell r="N3004" t="str">
            <v>OTHERS</v>
          </cell>
          <cell r="O3004" t="str">
            <v>A (NS)</v>
          </cell>
        </row>
        <row r="3005">
          <cell r="A3005" t="str">
            <v>B01176</v>
          </cell>
          <cell r="B3005" t="str">
            <v>WAHYUNI</v>
          </cell>
          <cell r="C3005" t="str">
            <v>SAMI</v>
          </cell>
          <cell r="D3005" t="str">
            <v>BBF-030</v>
          </cell>
          <cell r="E3005">
            <v>41165</v>
          </cell>
          <cell r="F3005" t="str">
            <v>-</v>
          </cell>
          <cell r="G3005" t="str">
            <v>-</v>
          </cell>
          <cell r="H3005" t="str">
            <v>PRD</v>
          </cell>
          <cell r="I3005" t="str">
            <v>PRD</v>
          </cell>
          <cell r="J3005" t="str">
            <v>ALL</v>
          </cell>
          <cell r="K3005" t="str">
            <v>ALL</v>
          </cell>
          <cell r="L3005" t="str">
            <v>OTHERS ( TRAINER )</v>
          </cell>
          <cell r="M3005" t="str">
            <v>OTHERS ( TRAINER )</v>
          </cell>
          <cell r="N3005" t="str">
            <v>OTHERS</v>
          </cell>
          <cell r="O3005" t="str">
            <v>A (NS)</v>
          </cell>
        </row>
        <row r="3006">
          <cell r="A3006">
            <v>498</v>
          </cell>
          <cell r="B3006" t="str">
            <v>YULI EKAWATI</v>
          </cell>
          <cell r="C3006" t="str">
            <v>SAMI</v>
          </cell>
          <cell r="D3006" t="str">
            <v>OPT-13</v>
          </cell>
          <cell r="E3006">
            <v>37760</v>
          </cell>
          <cell r="F3006" t="str">
            <v>-</v>
          </cell>
          <cell r="G3006" t="str">
            <v>-</v>
          </cell>
          <cell r="H3006" t="str">
            <v>PRD</v>
          </cell>
          <cell r="I3006" t="str">
            <v>PRD</v>
          </cell>
          <cell r="J3006" t="str">
            <v>DYNA</v>
          </cell>
          <cell r="K3006" t="str">
            <v>DYNA</v>
          </cell>
          <cell r="L3006" t="str">
            <v>PRE ASSY HINO DYNA</v>
          </cell>
          <cell r="M3006" t="str">
            <v>MC1-HIN-03</v>
          </cell>
          <cell r="N3006" t="str">
            <v>WFAP 2.1</v>
          </cell>
          <cell r="O3006" t="str">
            <v>A</v>
          </cell>
        </row>
        <row r="3007">
          <cell r="A3007">
            <v>1093</v>
          </cell>
          <cell r="B3007" t="str">
            <v>ARI WIDIYANTI</v>
          </cell>
          <cell r="C3007" t="str">
            <v>SAMI</v>
          </cell>
          <cell r="D3007" t="str">
            <v>OPT-27</v>
          </cell>
          <cell r="E3007">
            <v>37887</v>
          </cell>
          <cell r="F3007" t="str">
            <v>-</v>
          </cell>
          <cell r="G3007" t="str">
            <v>-</v>
          </cell>
          <cell r="H3007" t="str">
            <v>PRD</v>
          </cell>
          <cell r="I3007" t="str">
            <v>PRD</v>
          </cell>
          <cell r="J3007" t="str">
            <v>DYNA</v>
          </cell>
          <cell r="K3007" t="str">
            <v>DYNA</v>
          </cell>
          <cell r="L3007" t="str">
            <v>PRE ASSY HINO DYNA</v>
          </cell>
          <cell r="M3007" t="str">
            <v>SUB LINE CHO</v>
          </cell>
          <cell r="N3007" t="str">
            <v>GL</v>
          </cell>
          <cell r="O3007" t="str">
            <v>A</v>
          </cell>
        </row>
        <row r="3008">
          <cell r="A3008">
            <v>1144</v>
          </cell>
          <cell r="B3008" t="str">
            <v>FITRIA</v>
          </cell>
          <cell r="C3008" t="str">
            <v>SAMI</v>
          </cell>
          <cell r="D3008" t="str">
            <v>OPT-28</v>
          </cell>
          <cell r="E3008">
            <v>37900</v>
          </cell>
          <cell r="F3008" t="str">
            <v>-</v>
          </cell>
          <cell r="G3008" t="str">
            <v>-</v>
          </cell>
          <cell r="H3008" t="str">
            <v>PRD</v>
          </cell>
          <cell r="I3008" t="str">
            <v>PRD</v>
          </cell>
          <cell r="J3008" t="str">
            <v>DYNA</v>
          </cell>
          <cell r="K3008" t="str">
            <v>DYNA</v>
          </cell>
          <cell r="L3008" t="str">
            <v>PRE ASSY HINO DYNA</v>
          </cell>
          <cell r="M3008" t="str">
            <v>INSP PRE ASSY</v>
          </cell>
          <cell r="N3008" t="str">
            <v>P/A INSPECTOR</v>
          </cell>
          <cell r="O3008" t="str">
            <v>A</v>
          </cell>
        </row>
        <row r="3009">
          <cell r="A3009">
            <v>5699</v>
          </cell>
          <cell r="B3009" t="str">
            <v>ENDANG PURWANINGSIH</v>
          </cell>
          <cell r="C3009" t="str">
            <v>SAMI</v>
          </cell>
          <cell r="D3009" t="str">
            <v>OPT-134</v>
          </cell>
          <cell r="E3009">
            <v>39098</v>
          </cell>
          <cell r="F3009" t="str">
            <v>-</v>
          </cell>
          <cell r="G3009" t="str">
            <v>-</v>
          </cell>
          <cell r="H3009" t="str">
            <v>PRD</v>
          </cell>
          <cell r="I3009" t="str">
            <v>PRD</v>
          </cell>
          <cell r="J3009" t="str">
            <v>DYNA</v>
          </cell>
          <cell r="K3009" t="str">
            <v>DYNA</v>
          </cell>
          <cell r="L3009" t="str">
            <v>PRE ASSY HINO DYNA</v>
          </cell>
          <cell r="M3009" t="str">
            <v>BM1-HIN-01</v>
          </cell>
          <cell r="N3009" t="str">
            <v>BONDER</v>
          </cell>
          <cell r="O3009" t="str">
            <v>A</v>
          </cell>
        </row>
        <row r="3010">
          <cell r="A3010">
            <v>5786</v>
          </cell>
          <cell r="B3010" t="str">
            <v>MINTARSIH</v>
          </cell>
          <cell r="C3010" t="str">
            <v>SAMI</v>
          </cell>
          <cell r="D3010" t="str">
            <v>OPT-135</v>
          </cell>
          <cell r="E3010">
            <v>39114</v>
          </cell>
          <cell r="F3010" t="str">
            <v>-</v>
          </cell>
          <cell r="G3010" t="str">
            <v>-</v>
          </cell>
          <cell r="H3010" t="str">
            <v>PRD</v>
          </cell>
          <cell r="I3010" t="str">
            <v>PRD</v>
          </cell>
          <cell r="J3010" t="str">
            <v>DYNA</v>
          </cell>
          <cell r="K3010" t="str">
            <v>DYNA</v>
          </cell>
          <cell r="L3010" t="str">
            <v>PRE ASSY HINO DYNA</v>
          </cell>
          <cell r="M3010" t="str">
            <v>MC2-HIN-01,MC1-HIN-05</v>
          </cell>
          <cell r="N3010" t="str">
            <v>WFAP 2.1</v>
          </cell>
          <cell r="O3010" t="str">
            <v>A</v>
          </cell>
        </row>
        <row r="3011">
          <cell r="A3011">
            <v>21266</v>
          </cell>
          <cell r="B3011" t="str">
            <v>MUH TOIF</v>
          </cell>
          <cell r="C3011" t="str">
            <v>SAMI</v>
          </cell>
          <cell r="D3011" t="str">
            <v>OPT-528</v>
          </cell>
          <cell r="E3011">
            <v>42940</v>
          </cell>
          <cell r="F3011">
            <v>43405</v>
          </cell>
          <cell r="G3011">
            <v>43769</v>
          </cell>
          <cell r="H3011" t="str">
            <v>PRD</v>
          </cell>
          <cell r="I3011" t="str">
            <v>PRD</v>
          </cell>
          <cell r="J3011" t="str">
            <v>DYNA</v>
          </cell>
          <cell r="K3011" t="str">
            <v>DYNA</v>
          </cell>
          <cell r="L3011" t="str">
            <v>PRE ASSY HINO DYNA</v>
          </cell>
          <cell r="M3011" t="str">
            <v>KANBAN (DIFABLE)</v>
          </cell>
          <cell r="N3011" t="str">
            <v>P/A CONTROLLER</v>
          </cell>
          <cell r="O3011" t="str">
            <v>A</v>
          </cell>
        </row>
        <row r="3012">
          <cell r="A3012">
            <v>21505</v>
          </cell>
          <cell r="B3012" t="str">
            <v>VINA AKHADIYATUN</v>
          </cell>
          <cell r="C3012" t="str">
            <v>SAMI</v>
          </cell>
          <cell r="D3012" t="str">
            <v>OPT-534</v>
          </cell>
          <cell r="E3012">
            <v>43031</v>
          </cell>
          <cell r="F3012">
            <v>43435</v>
          </cell>
          <cell r="G3012">
            <v>43799</v>
          </cell>
          <cell r="H3012" t="str">
            <v>PRD</v>
          </cell>
          <cell r="I3012" t="str">
            <v>PRD</v>
          </cell>
          <cell r="J3012" t="str">
            <v>DYNA</v>
          </cell>
          <cell r="K3012" t="str">
            <v>DYNA</v>
          </cell>
          <cell r="L3012" t="str">
            <v>PRE ASSY HINO DYNA</v>
          </cell>
          <cell r="M3012" t="str">
            <v>MC1-HIN-04</v>
          </cell>
          <cell r="N3012" t="str">
            <v>WFAP 2.1</v>
          </cell>
          <cell r="O3012" t="str">
            <v>A</v>
          </cell>
        </row>
        <row r="3013">
          <cell r="A3013">
            <v>22995</v>
          </cell>
          <cell r="B3013" t="str">
            <v>ANI DWI SETYANINGSIH</v>
          </cell>
          <cell r="C3013" t="str">
            <v>SAMI</v>
          </cell>
          <cell r="D3013" t="str">
            <v>OPT-569</v>
          </cell>
          <cell r="E3013">
            <v>43361</v>
          </cell>
          <cell r="F3013">
            <v>43391</v>
          </cell>
          <cell r="G3013">
            <v>43769</v>
          </cell>
          <cell r="H3013" t="str">
            <v>PRD</v>
          </cell>
          <cell r="I3013" t="str">
            <v>PRD</v>
          </cell>
          <cell r="J3013" t="str">
            <v>DYNA</v>
          </cell>
          <cell r="K3013" t="str">
            <v>DYNA</v>
          </cell>
          <cell r="L3013" t="str">
            <v>PRE ASSY HINO DYNA</v>
          </cell>
          <cell r="M3013" t="str">
            <v xml:space="preserve">MC1-HIN-01 </v>
          </cell>
          <cell r="N3013" t="str">
            <v>WFAP 2.1</v>
          </cell>
          <cell r="O3013" t="str">
            <v>A</v>
          </cell>
        </row>
        <row r="3014">
          <cell r="A3014">
            <v>23011</v>
          </cell>
          <cell r="B3014" t="str">
            <v>EKA APRILIA</v>
          </cell>
          <cell r="C3014" t="str">
            <v>SAMI</v>
          </cell>
          <cell r="D3014" t="str">
            <v>OPT-569</v>
          </cell>
          <cell r="E3014">
            <v>43361</v>
          </cell>
          <cell r="F3014">
            <v>43391</v>
          </cell>
          <cell r="G3014">
            <v>43769</v>
          </cell>
          <cell r="H3014" t="str">
            <v>PRD</v>
          </cell>
          <cell r="I3014" t="str">
            <v>PRD</v>
          </cell>
          <cell r="J3014" t="str">
            <v>DYNA</v>
          </cell>
          <cell r="K3014" t="str">
            <v>DYNA</v>
          </cell>
          <cell r="L3014" t="str">
            <v>PRE ASSY HINO DYNA</v>
          </cell>
          <cell r="M3014" t="str">
            <v>TWS-HIN-01</v>
          </cell>
          <cell r="N3014" t="str">
            <v>WFAP 2.2</v>
          </cell>
          <cell r="O3014" t="str">
            <v>A</v>
          </cell>
        </row>
        <row r="3015">
          <cell r="A3015">
            <v>23175</v>
          </cell>
          <cell r="B3015" t="str">
            <v>TRIANA APRILIA PUTRI</v>
          </cell>
          <cell r="C3015" t="str">
            <v>SAMI</v>
          </cell>
          <cell r="D3015" t="str">
            <v>OPT-570</v>
          </cell>
          <cell r="E3015">
            <v>43369</v>
          </cell>
          <cell r="F3015">
            <v>43399</v>
          </cell>
          <cell r="G3015">
            <v>43769</v>
          </cell>
          <cell r="H3015" t="str">
            <v>PRD</v>
          </cell>
          <cell r="I3015" t="str">
            <v>PRD</v>
          </cell>
          <cell r="J3015" t="str">
            <v>DYNA</v>
          </cell>
          <cell r="K3015" t="str">
            <v>DYNA</v>
          </cell>
          <cell r="L3015" t="str">
            <v>PRE ASSY HINO DYNA</v>
          </cell>
          <cell r="M3015" t="str">
            <v>MC1-HIN-02</v>
          </cell>
          <cell r="N3015" t="str">
            <v>WFAP 2.1</v>
          </cell>
          <cell r="O3015" t="str">
            <v>A</v>
          </cell>
        </row>
        <row r="3016">
          <cell r="A3016">
            <v>23189</v>
          </cell>
          <cell r="B3016" t="str">
            <v>AFIFATUS SOLICHAH</v>
          </cell>
          <cell r="C3016" t="str">
            <v>SAMI</v>
          </cell>
          <cell r="D3016" t="str">
            <v>OPT-573</v>
          </cell>
          <cell r="E3016">
            <v>43421</v>
          </cell>
          <cell r="F3016">
            <v>43451</v>
          </cell>
          <cell r="G3016">
            <v>43830</v>
          </cell>
          <cell r="H3016" t="str">
            <v>PRD</v>
          </cell>
          <cell r="I3016" t="str">
            <v>PRD</v>
          </cell>
          <cell r="J3016" t="str">
            <v>DYNA</v>
          </cell>
          <cell r="K3016" t="str">
            <v>DYNA</v>
          </cell>
          <cell r="L3016" t="str">
            <v>PRE ASSY HINO DYNA</v>
          </cell>
          <cell r="M3016" t="str">
            <v>OJT TWIST</v>
          </cell>
          <cell r="N3016" t="str">
            <v>INTERNAL TRIAL</v>
          </cell>
          <cell r="O3016" t="str">
            <v>A</v>
          </cell>
        </row>
        <row r="3017">
          <cell r="A3017">
            <v>23200</v>
          </cell>
          <cell r="B3017" t="str">
            <v>AYU MULYANA</v>
          </cell>
          <cell r="C3017" t="str">
            <v>SAMI</v>
          </cell>
          <cell r="D3017" t="str">
            <v>OPT-573</v>
          </cell>
          <cell r="E3017">
            <v>43421</v>
          </cell>
          <cell r="F3017">
            <v>43451</v>
          </cell>
          <cell r="G3017">
            <v>43830</v>
          </cell>
          <cell r="H3017" t="str">
            <v>PRD</v>
          </cell>
          <cell r="I3017" t="str">
            <v>PRD</v>
          </cell>
          <cell r="J3017" t="str">
            <v>DYNA</v>
          </cell>
          <cell r="K3017" t="str">
            <v>DYNA</v>
          </cell>
          <cell r="L3017" t="str">
            <v>PRE ASSY HINO DYNA</v>
          </cell>
          <cell r="M3017" t="str">
            <v>WT</v>
          </cell>
          <cell r="N3017" t="str">
            <v>P/A CONTROLLER</v>
          </cell>
          <cell r="O3017" t="str">
            <v>A</v>
          </cell>
        </row>
        <row r="3018">
          <cell r="A3018">
            <v>23557</v>
          </cell>
          <cell r="B3018" t="str">
            <v>INDAH PURWANINGSIH</v>
          </cell>
          <cell r="C3018" t="str">
            <v>SAMI</v>
          </cell>
          <cell r="D3018" t="str">
            <v>OPT-577</v>
          </cell>
          <cell r="E3018">
            <v>43452</v>
          </cell>
          <cell r="F3018">
            <v>43483</v>
          </cell>
          <cell r="G3018">
            <v>43861</v>
          </cell>
          <cell r="H3018" t="str">
            <v>PRD</v>
          </cell>
          <cell r="I3018" t="str">
            <v>PRD</v>
          </cell>
          <cell r="J3018" t="str">
            <v>DYNA</v>
          </cell>
          <cell r="K3018" t="str">
            <v>DYNA</v>
          </cell>
          <cell r="L3018" t="str">
            <v>PRE ASSY HINO DYNA</v>
          </cell>
          <cell r="M3018" t="str">
            <v>MC-HIN-01</v>
          </cell>
          <cell r="N3018" t="str">
            <v>WFAP 2.1</v>
          </cell>
          <cell r="O3018" t="str">
            <v>A</v>
          </cell>
        </row>
        <row r="3019">
          <cell r="A3019" t="str">
            <v>M23614</v>
          </cell>
          <cell r="B3019" t="str">
            <v>CANDRA PUTRI LESTARI</v>
          </cell>
          <cell r="C3019" t="str">
            <v>SAMI</v>
          </cell>
          <cell r="D3019" t="str">
            <v>OPT-578</v>
          </cell>
          <cell r="E3019">
            <v>43467</v>
          </cell>
          <cell r="F3019">
            <v>43467</v>
          </cell>
          <cell r="G3019">
            <v>43497</v>
          </cell>
          <cell r="H3019" t="str">
            <v>PRD</v>
          </cell>
          <cell r="I3019" t="str">
            <v>PRD</v>
          </cell>
          <cell r="J3019" t="str">
            <v>DYNA</v>
          </cell>
          <cell r="K3019" t="str">
            <v>DYNA</v>
          </cell>
          <cell r="L3019" t="str">
            <v>PRE ASSY HINO DYNA</v>
          </cell>
          <cell r="M3019" t="str">
            <v>OJT MC</v>
          </cell>
          <cell r="N3019" t="str">
            <v>WFAP 2.1</v>
          </cell>
          <cell r="O3019" t="str">
            <v>A</v>
          </cell>
        </row>
        <row r="3020">
          <cell r="A3020">
            <v>638</v>
          </cell>
          <cell r="B3020" t="str">
            <v>DIAH WAHYUNINGSIH</v>
          </cell>
          <cell r="C3020" t="str">
            <v>SAMI</v>
          </cell>
          <cell r="D3020" t="str">
            <v>OPT-16</v>
          </cell>
          <cell r="E3020">
            <v>37781</v>
          </cell>
          <cell r="F3020" t="str">
            <v>-</v>
          </cell>
          <cell r="G3020" t="str">
            <v>-</v>
          </cell>
          <cell r="H3020" t="str">
            <v>PRD</v>
          </cell>
          <cell r="I3020" t="str">
            <v>PRD</v>
          </cell>
          <cell r="J3020" t="str">
            <v>DYNA</v>
          </cell>
          <cell r="K3020" t="str">
            <v>DYNA</v>
          </cell>
          <cell r="L3020" t="str">
            <v>PRE ASSY HINO DYNA</v>
          </cell>
          <cell r="M3020" t="str">
            <v>BM1-HIN-01</v>
          </cell>
          <cell r="N3020" t="str">
            <v>BONDER</v>
          </cell>
          <cell r="O3020" t="str">
            <v>B</v>
          </cell>
        </row>
        <row r="3021">
          <cell r="A3021">
            <v>5403</v>
          </cell>
          <cell r="B3021" t="str">
            <v>DWI YULIYATI</v>
          </cell>
          <cell r="C3021" t="str">
            <v>SAMI</v>
          </cell>
          <cell r="D3021" t="str">
            <v>OPT-128</v>
          </cell>
          <cell r="E3021">
            <v>38991</v>
          </cell>
          <cell r="F3021" t="str">
            <v>-</v>
          </cell>
          <cell r="G3021" t="str">
            <v>-</v>
          </cell>
          <cell r="H3021" t="str">
            <v>PRD</v>
          </cell>
          <cell r="I3021" t="str">
            <v>PRD</v>
          </cell>
          <cell r="J3021" t="str">
            <v>DYNA</v>
          </cell>
          <cell r="K3021" t="str">
            <v>DYNA</v>
          </cell>
          <cell r="L3021" t="str">
            <v>PRE ASSY HINO DYNA</v>
          </cell>
          <cell r="M3021" t="str">
            <v>SUB LINE CHO</v>
          </cell>
          <cell r="N3021" t="str">
            <v>GL</v>
          </cell>
          <cell r="O3021" t="str">
            <v>B</v>
          </cell>
        </row>
        <row r="3022">
          <cell r="A3022">
            <v>9032</v>
          </cell>
          <cell r="B3022" t="str">
            <v>YOHANA</v>
          </cell>
          <cell r="C3022" t="str">
            <v>SAMI</v>
          </cell>
          <cell r="D3022" t="str">
            <v>OPT-201</v>
          </cell>
          <cell r="E3022">
            <v>39975</v>
          </cell>
          <cell r="F3022" t="str">
            <v>-</v>
          </cell>
          <cell r="G3022" t="str">
            <v>-</v>
          </cell>
          <cell r="H3022" t="str">
            <v>PRD</v>
          </cell>
          <cell r="I3022" t="str">
            <v>PRD</v>
          </cell>
          <cell r="J3022" t="str">
            <v>DYNA</v>
          </cell>
          <cell r="K3022" t="str">
            <v>DYNA</v>
          </cell>
          <cell r="L3022" t="str">
            <v>PRE ASSY HINO DYNA</v>
          </cell>
          <cell r="M3022" t="str">
            <v>MC1-HIN-05,MC2-HIN-01</v>
          </cell>
          <cell r="N3022" t="str">
            <v>WFAP 2.1</v>
          </cell>
          <cell r="O3022" t="str">
            <v>B</v>
          </cell>
        </row>
        <row r="3023">
          <cell r="A3023">
            <v>9825</v>
          </cell>
          <cell r="B3023" t="str">
            <v>MASHADIAH</v>
          </cell>
          <cell r="C3023" t="str">
            <v>SAMI</v>
          </cell>
          <cell r="D3023" t="str">
            <v>OPT-164</v>
          </cell>
          <cell r="E3023">
            <v>40391</v>
          </cell>
          <cell r="F3023" t="str">
            <v>-</v>
          </cell>
          <cell r="G3023" t="str">
            <v>-</v>
          </cell>
          <cell r="H3023" t="str">
            <v>PRD</v>
          </cell>
          <cell r="I3023" t="str">
            <v>PRD</v>
          </cell>
          <cell r="J3023" t="str">
            <v>DYNA</v>
          </cell>
          <cell r="K3023" t="str">
            <v>DYNA</v>
          </cell>
          <cell r="L3023" t="str">
            <v>PRE ASSY HINO DYNA</v>
          </cell>
          <cell r="M3023" t="str">
            <v>TWS-HIN-01</v>
          </cell>
          <cell r="N3023" t="str">
            <v>WFAP 2.1</v>
          </cell>
          <cell r="O3023" t="str">
            <v>B</v>
          </cell>
        </row>
        <row r="3024">
          <cell r="A3024">
            <v>21267</v>
          </cell>
          <cell r="B3024" t="str">
            <v>NURUL LATIFAH</v>
          </cell>
          <cell r="C3024" t="str">
            <v>SAMI</v>
          </cell>
          <cell r="D3024" t="str">
            <v>OPT-528</v>
          </cell>
          <cell r="E3024">
            <v>42940</v>
          </cell>
          <cell r="F3024">
            <v>43405</v>
          </cell>
          <cell r="G3024">
            <v>43769</v>
          </cell>
          <cell r="H3024" t="str">
            <v>PRD</v>
          </cell>
          <cell r="I3024" t="str">
            <v>PRD</v>
          </cell>
          <cell r="J3024" t="str">
            <v>DYNA</v>
          </cell>
          <cell r="K3024" t="str">
            <v>DYNA</v>
          </cell>
          <cell r="L3024" t="str">
            <v>PRE ASSY HINO DYNA</v>
          </cell>
          <cell r="M3024" t="str">
            <v>KANBAN (DIFABLE)</v>
          </cell>
          <cell r="N3024" t="str">
            <v>P/A CONTROLLER</v>
          </cell>
          <cell r="O3024" t="str">
            <v>B</v>
          </cell>
        </row>
        <row r="3025">
          <cell r="A3025">
            <v>21852</v>
          </cell>
          <cell r="B3025" t="str">
            <v>SHONIA FITRIYANA</v>
          </cell>
          <cell r="C3025" t="str">
            <v>SAMI</v>
          </cell>
          <cell r="D3025" t="str">
            <v>OPT-541</v>
          </cell>
          <cell r="E3025">
            <v>43098</v>
          </cell>
          <cell r="F3025">
            <v>43129</v>
          </cell>
          <cell r="G3025">
            <v>43496</v>
          </cell>
          <cell r="H3025" t="str">
            <v>PRD</v>
          </cell>
          <cell r="I3025" t="str">
            <v>PRD</v>
          </cell>
          <cell r="J3025" t="str">
            <v>DYNA</v>
          </cell>
          <cell r="K3025" t="str">
            <v>DYNA</v>
          </cell>
          <cell r="L3025" t="str">
            <v>PRE ASSY HINO DYNA</v>
          </cell>
          <cell r="M3025" t="str">
            <v>MC2-HIN-01</v>
          </cell>
          <cell r="N3025" t="str">
            <v>WFAP 2.1</v>
          </cell>
          <cell r="O3025" t="str">
            <v>B</v>
          </cell>
        </row>
        <row r="3026">
          <cell r="A3026">
            <v>22993</v>
          </cell>
          <cell r="B3026" t="str">
            <v>ANGGI RAHMAWATI</v>
          </cell>
          <cell r="C3026" t="str">
            <v>SAMI</v>
          </cell>
          <cell r="D3026" t="str">
            <v>OPT-569</v>
          </cell>
          <cell r="E3026">
            <v>43361</v>
          </cell>
          <cell r="F3026">
            <v>43391</v>
          </cell>
          <cell r="G3026">
            <v>43769</v>
          </cell>
          <cell r="H3026" t="str">
            <v>PRD</v>
          </cell>
          <cell r="I3026" t="str">
            <v>PRD</v>
          </cell>
          <cell r="J3026" t="str">
            <v>DYNA</v>
          </cell>
          <cell r="K3026" t="str">
            <v>DYNA</v>
          </cell>
          <cell r="L3026" t="str">
            <v>PRE ASSY HINO DYNA</v>
          </cell>
          <cell r="M3026" t="str">
            <v>MC1-HIN-02</v>
          </cell>
          <cell r="N3026" t="str">
            <v>WFAP 2.1</v>
          </cell>
          <cell r="O3026" t="str">
            <v>B</v>
          </cell>
        </row>
        <row r="3027">
          <cell r="A3027">
            <v>22999</v>
          </cell>
          <cell r="B3027" t="str">
            <v>AYU RETNOWATI</v>
          </cell>
          <cell r="C3027" t="str">
            <v>SAMI</v>
          </cell>
          <cell r="D3027" t="str">
            <v>OPT-569</v>
          </cell>
          <cell r="E3027">
            <v>43361</v>
          </cell>
          <cell r="F3027">
            <v>43391</v>
          </cell>
          <cell r="G3027">
            <v>43769</v>
          </cell>
          <cell r="H3027" t="str">
            <v>PRD</v>
          </cell>
          <cell r="I3027" t="str">
            <v>PRD</v>
          </cell>
          <cell r="J3027" t="str">
            <v>DYNA</v>
          </cell>
          <cell r="K3027" t="str">
            <v>DYNA</v>
          </cell>
          <cell r="L3027" t="str">
            <v>PRE ASSY HINO DYNA</v>
          </cell>
          <cell r="M3027" t="str">
            <v>WT</v>
          </cell>
          <cell r="N3027" t="str">
            <v>P/A CONTROLLER</v>
          </cell>
          <cell r="O3027" t="str">
            <v>B</v>
          </cell>
        </row>
        <row r="3028">
          <cell r="A3028">
            <v>23339</v>
          </cell>
          <cell r="B3028" t="str">
            <v xml:space="preserve">MURNI CAHNIA </v>
          </cell>
          <cell r="C3028" t="str">
            <v>SAMI</v>
          </cell>
          <cell r="D3028" t="str">
            <v>OPT-574</v>
          </cell>
          <cell r="E3028">
            <v>43427</v>
          </cell>
          <cell r="F3028">
            <v>43457</v>
          </cell>
          <cell r="G3028">
            <v>43830</v>
          </cell>
          <cell r="H3028" t="str">
            <v>PRD</v>
          </cell>
          <cell r="I3028" t="str">
            <v>PRD</v>
          </cell>
          <cell r="J3028" t="str">
            <v>DYNA</v>
          </cell>
          <cell r="K3028" t="str">
            <v>DYNA</v>
          </cell>
          <cell r="L3028" t="str">
            <v>PRE ASSY HINO DYNA</v>
          </cell>
          <cell r="M3028" t="str">
            <v>MC1-HIN-04</v>
          </cell>
          <cell r="N3028" t="str">
            <v>WFAP 2.1</v>
          </cell>
          <cell r="O3028" t="str">
            <v>B</v>
          </cell>
        </row>
        <row r="3029">
          <cell r="A3029">
            <v>23358</v>
          </cell>
          <cell r="B3029" t="str">
            <v>SHAFIRA RIZMA YANJALINA</v>
          </cell>
          <cell r="C3029" t="str">
            <v>SAMI</v>
          </cell>
          <cell r="D3029" t="str">
            <v>OPT-574</v>
          </cell>
          <cell r="E3029">
            <v>43427</v>
          </cell>
          <cell r="F3029">
            <v>43457</v>
          </cell>
          <cell r="G3029">
            <v>43830</v>
          </cell>
          <cell r="H3029" t="str">
            <v>PRD</v>
          </cell>
          <cell r="I3029" t="str">
            <v>PRD</v>
          </cell>
          <cell r="J3029" t="str">
            <v>DYNA</v>
          </cell>
          <cell r="K3029" t="str">
            <v>DYNA</v>
          </cell>
          <cell r="L3029" t="str">
            <v>PRE ASSY HINO DYNA</v>
          </cell>
          <cell r="M3029" t="str">
            <v xml:space="preserve">MC1-HIN-01 </v>
          </cell>
          <cell r="N3029" t="str">
            <v>WFAP 2.1</v>
          </cell>
          <cell r="O3029" t="str">
            <v>B</v>
          </cell>
        </row>
        <row r="3030">
          <cell r="A3030">
            <v>23555</v>
          </cell>
          <cell r="B3030" t="str">
            <v>IIS NURCAHAYATI</v>
          </cell>
          <cell r="C3030" t="str">
            <v>SAMI</v>
          </cell>
          <cell r="D3030" t="str">
            <v>OPT-577</v>
          </cell>
          <cell r="E3030">
            <v>43452</v>
          </cell>
          <cell r="F3030">
            <v>43483</v>
          </cell>
          <cell r="G3030">
            <v>43861</v>
          </cell>
          <cell r="H3030" t="str">
            <v>PRD</v>
          </cell>
          <cell r="I3030" t="str">
            <v>PRD</v>
          </cell>
          <cell r="J3030" t="str">
            <v>DYNA</v>
          </cell>
          <cell r="K3030" t="str">
            <v>DYNA</v>
          </cell>
          <cell r="L3030" t="str">
            <v>PRE ASSY HINO DYNA</v>
          </cell>
          <cell r="M3030" t="str">
            <v>OJT MC</v>
          </cell>
          <cell r="N3030" t="str">
            <v>INTERNAL TRIAL</v>
          </cell>
          <cell r="O3030" t="str">
            <v>B</v>
          </cell>
        </row>
        <row r="3031">
          <cell r="A3031">
            <v>23603</v>
          </cell>
          <cell r="B3031" t="str">
            <v>USWATUN KHASANAH</v>
          </cell>
          <cell r="C3031" t="str">
            <v>SAMI</v>
          </cell>
          <cell r="D3031" t="str">
            <v>OPT-577</v>
          </cell>
          <cell r="E3031">
            <v>43452</v>
          </cell>
          <cell r="F3031">
            <v>43483</v>
          </cell>
          <cell r="G3031">
            <v>43861</v>
          </cell>
          <cell r="H3031" t="str">
            <v>PRD</v>
          </cell>
          <cell r="I3031" t="str">
            <v>PRD</v>
          </cell>
          <cell r="J3031" t="str">
            <v>DYNA</v>
          </cell>
          <cell r="K3031" t="str">
            <v>DYNA</v>
          </cell>
          <cell r="L3031" t="str">
            <v>PRE ASSY HINO DYNA</v>
          </cell>
          <cell r="M3031" t="str">
            <v>OJT MC</v>
          </cell>
          <cell r="N3031" t="str">
            <v>INTERNAL TRIAL</v>
          </cell>
          <cell r="O3031" t="str">
            <v>B</v>
          </cell>
        </row>
        <row r="3032">
          <cell r="A3032">
            <v>23196</v>
          </cell>
          <cell r="B3032" t="str">
            <v>ANIS FITRIAH</v>
          </cell>
          <cell r="C3032" t="str">
            <v>SAMI</v>
          </cell>
          <cell r="D3032" t="str">
            <v>OPT-573</v>
          </cell>
          <cell r="E3032">
            <v>43421</v>
          </cell>
          <cell r="F3032">
            <v>43451</v>
          </cell>
          <cell r="G3032">
            <v>43830</v>
          </cell>
          <cell r="H3032" t="str">
            <v>PRD</v>
          </cell>
          <cell r="I3032" t="str">
            <v>PRD</v>
          </cell>
          <cell r="J3032" t="str">
            <v>HONDA BBP</v>
          </cell>
          <cell r="K3032" t="str">
            <v>HONDA 36 CELL</v>
          </cell>
          <cell r="L3032" t="str">
            <v>PRE ASSY HONDA 36 CELL</v>
          </cell>
          <cell r="M3032" t="str">
            <v>RYC-H-03,MC2-H-03,WT</v>
          </cell>
          <cell r="N3032" t="str">
            <v>WFAP 2.1</v>
          </cell>
          <cell r="O3032" t="str">
            <v>A (NS)</v>
          </cell>
        </row>
        <row r="3033">
          <cell r="A3033">
            <v>23604</v>
          </cell>
          <cell r="B3033" t="str">
            <v>VIRGI DEVANI MAHARANI</v>
          </cell>
          <cell r="C3033" t="str">
            <v>SAMI</v>
          </cell>
          <cell r="D3033" t="str">
            <v>OPT-577</v>
          </cell>
          <cell r="E3033">
            <v>43452</v>
          </cell>
          <cell r="F3033">
            <v>43483</v>
          </cell>
          <cell r="G3033">
            <v>43861</v>
          </cell>
          <cell r="H3033" t="str">
            <v>PRD</v>
          </cell>
          <cell r="I3033" t="str">
            <v>PRD</v>
          </cell>
          <cell r="J3033" t="str">
            <v>HONDA BBP</v>
          </cell>
          <cell r="K3033" t="str">
            <v>HONDA 36 CELL</v>
          </cell>
          <cell r="L3033" t="str">
            <v>PRE ASSY HONDA 36 CELL</v>
          </cell>
          <cell r="M3033" t="str">
            <v>OJT MC</v>
          </cell>
          <cell r="N3033" t="str">
            <v>INTERNAL TRIAL</v>
          </cell>
          <cell r="O3033" t="str">
            <v>A (NS)</v>
          </cell>
        </row>
        <row r="3034">
          <cell r="A3034">
            <v>67</v>
          </cell>
          <cell r="B3034" t="str">
            <v>RIKA HANDAYANI</v>
          </cell>
          <cell r="C3034" t="str">
            <v>SAMI</v>
          </cell>
          <cell r="D3034" t="str">
            <v>OPT-1</v>
          </cell>
          <cell r="E3034">
            <v>37578</v>
          </cell>
          <cell r="F3034" t="str">
            <v>-</v>
          </cell>
          <cell r="G3034" t="str">
            <v>-</v>
          </cell>
          <cell r="H3034" t="str">
            <v>PRD</v>
          </cell>
          <cell r="I3034" t="str">
            <v>PRD</v>
          </cell>
          <cell r="J3034" t="str">
            <v>HONDA CRV</v>
          </cell>
          <cell r="K3034" t="str">
            <v>HONDA CRV</v>
          </cell>
          <cell r="L3034" t="str">
            <v>PRE ASSY HONDA CRV</v>
          </cell>
          <cell r="M3034" t="str">
            <v>SUB LINE CHO</v>
          </cell>
          <cell r="N3034" t="str">
            <v>GL</v>
          </cell>
          <cell r="O3034" t="str">
            <v>A</v>
          </cell>
        </row>
        <row r="3035">
          <cell r="A3035">
            <v>10205</v>
          </cell>
          <cell r="B3035" t="str">
            <v>SRI RAHAYU</v>
          </cell>
          <cell r="C3035" t="str">
            <v>SAMI</v>
          </cell>
          <cell r="D3035" t="str">
            <v>OPT-253</v>
          </cell>
          <cell r="E3035">
            <v>40458</v>
          </cell>
          <cell r="F3035" t="str">
            <v>-</v>
          </cell>
          <cell r="G3035" t="str">
            <v>-</v>
          </cell>
          <cell r="H3035" t="str">
            <v>PRD</v>
          </cell>
          <cell r="I3035" t="str">
            <v>PRD</v>
          </cell>
          <cell r="J3035" t="str">
            <v>HONDA CRV</v>
          </cell>
          <cell r="K3035" t="str">
            <v>HONDA CRV</v>
          </cell>
          <cell r="L3035" t="str">
            <v>PRE ASSY HONDA CRV</v>
          </cell>
          <cell r="M3035" t="str">
            <v>MC1-CRV-04, US-CRV-03</v>
          </cell>
          <cell r="N3035" t="str">
            <v>WFAP 2.1</v>
          </cell>
          <cell r="O3035" t="str">
            <v>A</v>
          </cell>
        </row>
        <row r="3036">
          <cell r="A3036">
            <v>11586</v>
          </cell>
          <cell r="B3036" t="str">
            <v>NUR KHOLIFAH</v>
          </cell>
          <cell r="C3036" t="str">
            <v>SAMI</v>
          </cell>
          <cell r="D3036" t="str">
            <v>OPT-307</v>
          </cell>
          <cell r="E3036">
            <v>40707</v>
          </cell>
          <cell r="F3036" t="str">
            <v>-</v>
          </cell>
          <cell r="G3036" t="str">
            <v>-</v>
          </cell>
          <cell r="H3036" t="str">
            <v>PRD</v>
          </cell>
          <cell r="I3036" t="str">
            <v>PRD</v>
          </cell>
          <cell r="J3036" t="str">
            <v>HONDA CRV</v>
          </cell>
          <cell r="K3036" t="str">
            <v>HONDA CRV</v>
          </cell>
          <cell r="L3036" t="str">
            <v>PRE ASSY HONDA CRV</v>
          </cell>
          <cell r="M3036" t="str">
            <v>MC1-CRV-06</v>
          </cell>
          <cell r="N3036" t="str">
            <v>WFAP 2.1</v>
          </cell>
          <cell r="O3036" t="str">
            <v>A</v>
          </cell>
        </row>
        <row r="3037">
          <cell r="A3037">
            <v>21074</v>
          </cell>
          <cell r="B3037" t="str">
            <v xml:space="preserve">RUSMIATI </v>
          </cell>
          <cell r="C3037" t="str">
            <v>SAMI</v>
          </cell>
          <cell r="D3037" t="str">
            <v>OPT-520</v>
          </cell>
          <cell r="E3037">
            <v>42863</v>
          </cell>
          <cell r="F3037">
            <v>43344</v>
          </cell>
          <cell r="G3037">
            <v>43708</v>
          </cell>
          <cell r="H3037" t="str">
            <v>PRD</v>
          </cell>
          <cell r="I3037" t="str">
            <v>PRD</v>
          </cell>
          <cell r="J3037" t="str">
            <v>HONDA CRV</v>
          </cell>
          <cell r="K3037" t="str">
            <v>HONDA CRV</v>
          </cell>
          <cell r="L3037" t="str">
            <v>PRE ASSY HONDA CRV</v>
          </cell>
          <cell r="M3037" t="str">
            <v>MC1-CRV-03, US-CRV-02, US-CRV-04</v>
          </cell>
          <cell r="N3037" t="str">
            <v>WFAP 2.1</v>
          </cell>
          <cell r="O3037" t="str">
            <v>A</v>
          </cell>
        </row>
        <row r="3038">
          <cell r="A3038">
            <v>21270</v>
          </cell>
          <cell r="B3038" t="str">
            <v>PAMUNGKAS TRI PRASTYONO</v>
          </cell>
          <cell r="C3038" t="str">
            <v>SAMI</v>
          </cell>
          <cell r="D3038" t="str">
            <v>OPT-529</v>
          </cell>
          <cell r="E3038">
            <v>42969</v>
          </cell>
          <cell r="F3038">
            <v>43405</v>
          </cell>
          <cell r="G3038">
            <v>43769</v>
          </cell>
          <cell r="H3038" t="str">
            <v>PRD</v>
          </cell>
          <cell r="I3038" t="str">
            <v>PRD</v>
          </cell>
          <cell r="J3038" t="str">
            <v>HONDA CRV</v>
          </cell>
          <cell r="K3038" t="str">
            <v>HONDA CRV</v>
          </cell>
          <cell r="L3038" t="str">
            <v>PRE ASSY HONDA CRV</v>
          </cell>
          <cell r="M3038" t="str">
            <v>JT-CRV-02 (DIFABLE)</v>
          </cell>
          <cell r="N3038" t="str">
            <v>WFAP 2.2</v>
          </cell>
          <cell r="O3038" t="str">
            <v>A</v>
          </cell>
        </row>
        <row r="3039">
          <cell r="A3039">
            <v>21597</v>
          </cell>
          <cell r="B3039" t="str">
            <v>LIATUL KHIKMAH</v>
          </cell>
          <cell r="C3039" t="str">
            <v>SAMI</v>
          </cell>
          <cell r="D3039" t="str">
            <v>OPT-536</v>
          </cell>
          <cell r="E3039">
            <v>43048</v>
          </cell>
          <cell r="F3039">
            <v>43435</v>
          </cell>
          <cell r="G3039">
            <v>43799</v>
          </cell>
          <cell r="H3039" t="str">
            <v>PRD</v>
          </cell>
          <cell r="I3039" t="str">
            <v>PRD</v>
          </cell>
          <cell r="J3039" t="str">
            <v>HONDA CRV</v>
          </cell>
          <cell r="K3039" t="str">
            <v>HONDA CRV</v>
          </cell>
          <cell r="L3039" t="str">
            <v>PRE ASSY HONDA CRV</v>
          </cell>
          <cell r="M3039" t="str">
            <v>DRY-CRV-01</v>
          </cell>
          <cell r="N3039" t="str">
            <v>WFAP 2.1</v>
          </cell>
          <cell r="O3039" t="str">
            <v>A</v>
          </cell>
        </row>
        <row r="3040">
          <cell r="A3040">
            <v>21747</v>
          </cell>
          <cell r="B3040" t="str">
            <v>SUMIYATI</v>
          </cell>
          <cell r="C3040" t="str">
            <v>SAMI</v>
          </cell>
          <cell r="D3040" t="str">
            <v>OPT-539</v>
          </cell>
          <cell r="E3040">
            <v>43087</v>
          </cell>
          <cell r="F3040">
            <v>43118</v>
          </cell>
          <cell r="G3040">
            <v>43496</v>
          </cell>
          <cell r="H3040" t="str">
            <v>PRD</v>
          </cell>
          <cell r="I3040" t="str">
            <v>PRD</v>
          </cell>
          <cell r="J3040" t="str">
            <v>HONDA CRV</v>
          </cell>
          <cell r="K3040" t="str">
            <v>HONDA CRV</v>
          </cell>
          <cell r="L3040" t="str">
            <v>PRE ASSY HONDA CRV</v>
          </cell>
          <cell r="M3040" t="str">
            <v>DRY-CRV-02</v>
          </cell>
          <cell r="N3040" t="str">
            <v>WFAP 2.1</v>
          </cell>
          <cell r="O3040" t="str">
            <v>A</v>
          </cell>
        </row>
        <row r="3041">
          <cell r="A3041">
            <v>21933</v>
          </cell>
          <cell r="B3041" t="str">
            <v>FIRAS HAITSAM</v>
          </cell>
          <cell r="C3041" t="str">
            <v>SAMI</v>
          </cell>
          <cell r="D3041" t="str">
            <v>OPT-544</v>
          </cell>
          <cell r="E3041">
            <v>43111</v>
          </cell>
          <cell r="F3041">
            <v>43142</v>
          </cell>
          <cell r="G3041">
            <v>43496</v>
          </cell>
          <cell r="H3041" t="str">
            <v>PRD</v>
          </cell>
          <cell r="I3041" t="str">
            <v>PRD</v>
          </cell>
          <cell r="J3041" t="str">
            <v>HONDA CRV</v>
          </cell>
          <cell r="K3041" t="str">
            <v>HONDA CRV</v>
          </cell>
          <cell r="L3041" t="str">
            <v>PRE ASSY HONDA CRV</v>
          </cell>
          <cell r="M3041" t="str">
            <v>JT-CRV-01 (DIFABLE)</v>
          </cell>
          <cell r="N3041" t="str">
            <v>WFAP 2.2</v>
          </cell>
          <cell r="O3041" t="str">
            <v>A</v>
          </cell>
        </row>
        <row r="3042">
          <cell r="A3042">
            <v>22071</v>
          </cell>
          <cell r="B3042" t="str">
            <v>EKA PURWANINGSIH</v>
          </cell>
          <cell r="C3042" t="str">
            <v>SAMI</v>
          </cell>
          <cell r="D3042" t="str">
            <v>OPT-548</v>
          </cell>
          <cell r="E3042">
            <v>43150</v>
          </cell>
          <cell r="F3042">
            <v>43178</v>
          </cell>
          <cell r="G3042">
            <v>43555</v>
          </cell>
          <cell r="H3042" t="str">
            <v>PRD</v>
          </cell>
          <cell r="I3042" t="str">
            <v>PRD</v>
          </cell>
          <cell r="J3042" t="str">
            <v>HONDA CRV</v>
          </cell>
          <cell r="K3042" t="str">
            <v>HONDA CRV</v>
          </cell>
          <cell r="L3042" t="str">
            <v>PRE ASSY HONDA CRV</v>
          </cell>
          <cell r="M3042" t="str">
            <v>MT-CRV-01, 02</v>
          </cell>
          <cell r="N3042" t="str">
            <v>WFAP 2.1</v>
          </cell>
          <cell r="O3042" t="str">
            <v>A</v>
          </cell>
        </row>
        <row r="3043">
          <cell r="A3043">
            <v>22108</v>
          </cell>
          <cell r="B3043" t="str">
            <v>WULANDARI</v>
          </cell>
          <cell r="C3043" t="str">
            <v>SAMI</v>
          </cell>
          <cell r="D3043" t="str">
            <v>OPT-548</v>
          </cell>
          <cell r="E3043">
            <v>43150</v>
          </cell>
          <cell r="F3043">
            <v>43178</v>
          </cell>
          <cell r="G3043">
            <v>43555</v>
          </cell>
          <cell r="H3043" t="str">
            <v>PRD</v>
          </cell>
          <cell r="I3043" t="str">
            <v>PRD</v>
          </cell>
          <cell r="J3043" t="str">
            <v>HONDA CRV</v>
          </cell>
          <cell r="K3043" t="str">
            <v>HONDA CRV</v>
          </cell>
          <cell r="L3043" t="str">
            <v>PRE ASSY HONDA CRV</v>
          </cell>
          <cell r="M3043" t="str">
            <v>MC1-CRV-08</v>
          </cell>
          <cell r="N3043" t="str">
            <v>WFAP 2.1</v>
          </cell>
          <cell r="O3043" t="str">
            <v>A</v>
          </cell>
        </row>
        <row r="3044">
          <cell r="A3044">
            <v>22303</v>
          </cell>
          <cell r="B3044" t="str">
            <v>NUR HAYATI</v>
          </cell>
          <cell r="C3044" t="str">
            <v>SAMI</v>
          </cell>
          <cell r="D3044" t="str">
            <v>OPT-555</v>
          </cell>
          <cell r="E3044">
            <v>43192</v>
          </cell>
          <cell r="F3044">
            <v>43222</v>
          </cell>
          <cell r="G3044">
            <v>43585</v>
          </cell>
          <cell r="H3044" t="str">
            <v>PRD</v>
          </cell>
          <cell r="I3044" t="str">
            <v>PRD</v>
          </cell>
          <cell r="J3044" t="str">
            <v>HONDA CRV</v>
          </cell>
          <cell r="K3044" t="str">
            <v>HONDA CRV</v>
          </cell>
          <cell r="L3044" t="str">
            <v>PRE ASSY HONDA CRV</v>
          </cell>
          <cell r="M3044" t="str">
            <v>JM2-CRV-01,02</v>
          </cell>
          <cell r="N3044" t="str">
            <v>WFAP 2.2</v>
          </cell>
          <cell r="O3044" t="str">
            <v>A</v>
          </cell>
        </row>
        <row r="3045">
          <cell r="A3045">
            <v>22469</v>
          </cell>
          <cell r="B3045" t="str">
            <v>SHOKHIFATUL WAHDAH</v>
          </cell>
          <cell r="C3045" t="str">
            <v>SAMI</v>
          </cell>
          <cell r="D3045" t="str">
            <v>OPT-559</v>
          </cell>
          <cell r="E3045">
            <v>43220</v>
          </cell>
          <cell r="F3045">
            <v>43250</v>
          </cell>
          <cell r="G3045">
            <v>43616</v>
          </cell>
          <cell r="H3045" t="str">
            <v>PRD</v>
          </cell>
          <cell r="I3045" t="str">
            <v>PRD</v>
          </cell>
          <cell r="J3045" t="str">
            <v>HONDA CRV</v>
          </cell>
          <cell r="K3045" t="str">
            <v>HONDA CRV</v>
          </cell>
          <cell r="L3045" t="str">
            <v>PRE ASSY HONDA CRV</v>
          </cell>
          <cell r="M3045" t="str">
            <v>MSU-CRV-01</v>
          </cell>
          <cell r="N3045" t="str">
            <v>WFAP 2.2</v>
          </cell>
          <cell r="O3045" t="str">
            <v>A</v>
          </cell>
        </row>
        <row r="3046">
          <cell r="A3046">
            <v>22597</v>
          </cell>
          <cell r="B3046" t="str">
            <v>FEBRIANI RATIH PANGESTIKA</v>
          </cell>
          <cell r="C3046" t="str">
            <v>SAMI</v>
          </cell>
          <cell r="D3046" t="str">
            <v>OPT-561</v>
          </cell>
          <cell r="E3046">
            <v>43236</v>
          </cell>
          <cell r="F3046">
            <v>43267</v>
          </cell>
          <cell r="G3046">
            <v>43646</v>
          </cell>
          <cell r="H3046" t="str">
            <v>PRD</v>
          </cell>
          <cell r="I3046" t="str">
            <v>PRD</v>
          </cell>
          <cell r="J3046" t="str">
            <v>HONDA CRV</v>
          </cell>
          <cell r="K3046" t="str">
            <v>HONDA CRV</v>
          </cell>
          <cell r="L3046" t="str">
            <v>PRE ASSY HONDA CRV</v>
          </cell>
          <cell r="M3046" t="str">
            <v>MC1-CRV-07</v>
          </cell>
          <cell r="N3046" t="str">
            <v>WFAP 2.1</v>
          </cell>
          <cell r="O3046" t="str">
            <v>A</v>
          </cell>
        </row>
        <row r="3047">
          <cell r="A3047">
            <v>22602</v>
          </cell>
          <cell r="B3047" t="str">
            <v>IRNA SETIAWATI</v>
          </cell>
          <cell r="C3047" t="str">
            <v>SAMI</v>
          </cell>
          <cell r="D3047" t="str">
            <v>OPT-561</v>
          </cell>
          <cell r="E3047">
            <v>43236</v>
          </cell>
          <cell r="F3047">
            <v>43267</v>
          </cell>
          <cell r="G3047">
            <v>43646</v>
          </cell>
          <cell r="H3047" t="str">
            <v>PRD</v>
          </cell>
          <cell r="I3047" t="str">
            <v>PRD</v>
          </cell>
          <cell r="J3047" t="str">
            <v>HONDA CRV</v>
          </cell>
          <cell r="K3047" t="str">
            <v>HONDA CRV</v>
          </cell>
          <cell r="L3047" t="str">
            <v>PRE ASSY HONDA CRV</v>
          </cell>
          <cell r="M3047" t="str">
            <v>JM3-CRV-02</v>
          </cell>
          <cell r="N3047" t="str">
            <v>WFAP 2.2</v>
          </cell>
          <cell r="O3047" t="str">
            <v>A</v>
          </cell>
        </row>
        <row r="3048">
          <cell r="A3048">
            <v>22693</v>
          </cell>
          <cell r="B3048" t="str">
            <v>DIAN FEBRIYANTI</v>
          </cell>
          <cell r="C3048" t="str">
            <v>SAMI</v>
          </cell>
          <cell r="D3048" t="str">
            <v>OPT-563</v>
          </cell>
          <cell r="E3048">
            <v>43244</v>
          </cell>
          <cell r="F3048">
            <v>43275</v>
          </cell>
          <cell r="G3048">
            <v>43646</v>
          </cell>
          <cell r="H3048" t="str">
            <v>PRD</v>
          </cell>
          <cell r="I3048" t="str">
            <v>PRD</v>
          </cell>
          <cell r="J3048" t="str">
            <v>HONDA CRV</v>
          </cell>
          <cell r="K3048" t="str">
            <v>HONDA CRV</v>
          </cell>
          <cell r="L3048" t="str">
            <v>PRE ASSY HONDA CRV</v>
          </cell>
          <cell r="M3048" t="str">
            <v>KANBAN</v>
          </cell>
          <cell r="N3048" t="str">
            <v>P/A CONTROLLER</v>
          </cell>
          <cell r="O3048" t="str">
            <v>A</v>
          </cell>
        </row>
        <row r="3049">
          <cell r="A3049">
            <v>22694</v>
          </cell>
          <cell r="B3049" t="str">
            <v>DIAN MARETA SARI</v>
          </cell>
          <cell r="C3049" t="str">
            <v>SAMI</v>
          </cell>
          <cell r="D3049" t="str">
            <v>OPT-563</v>
          </cell>
          <cell r="E3049">
            <v>43244</v>
          </cell>
          <cell r="F3049">
            <v>43275</v>
          </cell>
          <cell r="G3049">
            <v>43646</v>
          </cell>
          <cell r="H3049" t="str">
            <v>PRD</v>
          </cell>
          <cell r="I3049" t="str">
            <v>PRD</v>
          </cell>
          <cell r="J3049" t="str">
            <v>HONDA CRV</v>
          </cell>
          <cell r="K3049" t="str">
            <v>HONDA CRV</v>
          </cell>
          <cell r="L3049" t="str">
            <v>PRE ASSY HONDA CRV</v>
          </cell>
          <cell r="M3049" t="str">
            <v>JM3-CRV-01, JM2-CRV-03, MSY-CRV-01</v>
          </cell>
          <cell r="N3049" t="str">
            <v>WFAP 2.2</v>
          </cell>
          <cell r="O3049" t="str">
            <v>A</v>
          </cell>
        </row>
        <row r="3050">
          <cell r="A3050">
            <v>22887</v>
          </cell>
          <cell r="B3050" t="str">
            <v>SHERLY ROSALINA</v>
          </cell>
          <cell r="C3050" t="str">
            <v>SAMI</v>
          </cell>
          <cell r="D3050" t="str">
            <v>OPT-567</v>
          </cell>
          <cell r="E3050">
            <v>43333</v>
          </cell>
          <cell r="F3050">
            <v>43364</v>
          </cell>
          <cell r="G3050">
            <v>43738</v>
          </cell>
          <cell r="H3050" t="str">
            <v>PRD</v>
          </cell>
          <cell r="I3050" t="str">
            <v>PRD</v>
          </cell>
          <cell r="J3050" t="str">
            <v>HONDA CRV</v>
          </cell>
          <cell r="K3050" t="str">
            <v>HONDA CRV</v>
          </cell>
          <cell r="L3050" t="str">
            <v>PRE ASSY HONDA CRV</v>
          </cell>
          <cell r="M3050" t="str">
            <v>WT-CRV-01</v>
          </cell>
          <cell r="N3050" t="str">
            <v>P/A CONTROLLER</v>
          </cell>
          <cell r="O3050" t="str">
            <v>A</v>
          </cell>
        </row>
        <row r="3051">
          <cell r="A3051">
            <v>23018</v>
          </cell>
          <cell r="B3051" t="str">
            <v>FIFIN NOVITA PUTRI RAHAYU</v>
          </cell>
          <cell r="C3051" t="str">
            <v>SAMI</v>
          </cell>
          <cell r="D3051" t="str">
            <v>OPT-569</v>
          </cell>
          <cell r="E3051">
            <v>43361</v>
          </cell>
          <cell r="F3051">
            <v>43391</v>
          </cell>
          <cell r="G3051">
            <v>43769</v>
          </cell>
          <cell r="H3051" t="str">
            <v>PRD</v>
          </cell>
          <cell r="I3051" t="str">
            <v>PRD</v>
          </cell>
          <cell r="J3051" t="str">
            <v>HONDA CRV</v>
          </cell>
          <cell r="K3051" t="str">
            <v>HONDA CRV</v>
          </cell>
          <cell r="L3051" t="str">
            <v>PRE ASSY HONDA CRV</v>
          </cell>
          <cell r="M3051" t="str">
            <v>US-CRV-05</v>
          </cell>
          <cell r="N3051" t="str">
            <v>WFAP 2.1</v>
          </cell>
          <cell r="O3051" t="str">
            <v>A</v>
          </cell>
        </row>
        <row r="3052">
          <cell r="A3052">
            <v>23165</v>
          </cell>
          <cell r="B3052" t="str">
            <v>RIZKA NOVITA DWIYANTI</v>
          </cell>
          <cell r="C3052" t="str">
            <v>SAMI</v>
          </cell>
          <cell r="D3052" t="str">
            <v>OPT-570</v>
          </cell>
          <cell r="E3052">
            <v>43369</v>
          </cell>
          <cell r="F3052">
            <v>43399</v>
          </cell>
          <cell r="G3052">
            <v>43769</v>
          </cell>
          <cell r="H3052" t="str">
            <v>PRD</v>
          </cell>
          <cell r="I3052" t="str">
            <v>PRD</v>
          </cell>
          <cell r="J3052" t="str">
            <v>HONDA CRV</v>
          </cell>
          <cell r="K3052" t="str">
            <v>HONDA CRV</v>
          </cell>
          <cell r="L3052" t="str">
            <v>PRE ASSY HONDA CRV</v>
          </cell>
          <cell r="M3052" t="str">
            <v>MC1-CRV-01, 02</v>
          </cell>
          <cell r="N3052" t="str">
            <v>WFAP 2.1</v>
          </cell>
          <cell r="O3052" t="str">
            <v>A</v>
          </cell>
        </row>
        <row r="3053">
          <cell r="A3053">
            <v>23252</v>
          </cell>
          <cell r="B3053" t="str">
            <v>PRABANDARI AMY</v>
          </cell>
          <cell r="C3053" t="str">
            <v>SAMI</v>
          </cell>
          <cell r="D3053" t="str">
            <v>OPT-573</v>
          </cell>
          <cell r="E3053">
            <v>43421</v>
          </cell>
          <cell r="F3053">
            <v>43451</v>
          </cell>
          <cell r="G3053">
            <v>43830</v>
          </cell>
          <cell r="H3053" t="str">
            <v>PRD</v>
          </cell>
          <cell r="I3053" t="str">
            <v>PRD</v>
          </cell>
          <cell r="J3053" t="str">
            <v>HONDA CRV</v>
          </cell>
          <cell r="K3053" t="str">
            <v>HONDA CRV</v>
          </cell>
          <cell r="L3053" t="str">
            <v>PRE ASSY HONDA CRV</v>
          </cell>
          <cell r="M3053" t="str">
            <v>MC1-CRV-05</v>
          </cell>
          <cell r="N3053" t="str">
            <v>WFAP 2.1</v>
          </cell>
          <cell r="O3053" t="str">
            <v>A</v>
          </cell>
        </row>
        <row r="3054">
          <cell r="A3054">
            <v>23551</v>
          </cell>
          <cell r="B3054" t="str">
            <v>FERNANDA NURNOVIANI</v>
          </cell>
          <cell r="C3054" t="str">
            <v>SAMI</v>
          </cell>
          <cell r="D3054" t="str">
            <v>OPT-577</v>
          </cell>
          <cell r="E3054">
            <v>43452</v>
          </cell>
          <cell r="F3054">
            <v>43483</v>
          </cell>
          <cell r="G3054">
            <v>43861</v>
          </cell>
          <cell r="H3054" t="str">
            <v>PRD</v>
          </cell>
          <cell r="I3054" t="str">
            <v>PRD</v>
          </cell>
          <cell r="J3054" t="str">
            <v>HONDA CRV</v>
          </cell>
          <cell r="K3054" t="str">
            <v>HONDA CRV</v>
          </cell>
          <cell r="L3054" t="str">
            <v>PRE ASSY HONDA CRV</v>
          </cell>
          <cell r="M3054" t="str">
            <v>OJT DRY-CRV-02</v>
          </cell>
          <cell r="N3054" t="str">
            <v>INTERNAL TRIAL</v>
          </cell>
          <cell r="O3054" t="str">
            <v>A</v>
          </cell>
        </row>
        <row r="3055">
          <cell r="A3055">
            <v>23583</v>
          </cell>
          <cell r="B3055" t="str">
            <v xml:space="preserve">RESTU PUJIANTO </v>
          </cell>
          <cell r="C3055" t="str">
            <v>SAMI</v>
          </cell>
          <cell r="D3055" t="str">
            <v>OPT-577</v>
          </cell>
          <cell r="E3055">
            <v>43452</v>
          </cell>
          <cell r="F3055">
            <v>43483</v>
          </cell>
          <cell r="G3055">
            <v>43861</v>
          </cell>
          <cell r="H3055" t="str">
            <v>PRD</v>
          </cell>
          <cell r="I3055" t="str">
            <v>PRD</v>
          </cell>
          <cell r="J3055" t="str">
            <v>HONDA CRV</v>
          </cell>
          <cell r="K3055" t="str">
            <v>HONDA CRV</v>
          </cell>
          <cell r="L3055" t="str">
            <v>PRE ASSY HONDA CRV</v>
          </cell>
          <cell r="M3055" t="str">
            <v>OJT JT-CRV-01</v>
          </cell>
          <cell r="N3055" t="str">
            <v>INTERNAL TRIAL</v>
          </cell>
          <cell r="O3055" t="str">
            <v>A</v>
          </cell>
        </row>
        <row r="3056">
          <cell r="A3056">
            <v>951</v>
          </cell>
          <cell r="B3056" t="str">
            <v>MUNTAPIAH</v>
          </cell>
          <cell r="C3056" t="str">
            <v>SAMI</v>
          </cell>
          <cell r="D3056" t="str">
            <v>OPT-24</v>
          </cell>
          <cell r="E3056">
            <v>37865</v>
          </cell>
          <cell r="F3056" t="str">
            <v>-</v>
          </cell>
          <cell r="G3056" t="str">
            <v>-</v>
          </cell>
          <cell r="H3056" t="str">
            <v>PRD</v>
          </cell>
          <cell r="I3056" t="str">
            <v>PRD</v>
          </cell>
          <cell r="J3056" t="str">
            <v>HONDA CRV</v>
          </cell>
          <cell r="K3056" t="str">
            <v>HONDA CRV</v>
          </cell>
          <cell r="L3056" t="str">
            <v>PRE ASSY HONDA CRV</v>
          </cell>
          <cell r="M3056" t="str">
            <v>SUB LINE CHO</v>
          </cell>
          <cell r="N3056" t="str">
            <v>GL</v>
          </cell>
          <cell r="O3056" t="str">
            <v>B</v>
          </cell>
        </row>
        <row r="3057">
          <cell r="A3057">
            <v>5762</v>
          </cell>
          <cell r="B3057" t="str">
            <v>DWI YANTINI</v>
          </cell>
          <cell r="C3057" t="str">
            <v>SAMI</v>
          </cell>
          <cell r="D3057" t="str">
            <v>OPT-135</v>
          </cell>
          <cell r="E3057">
            <v>39114</v>
          </cell>
          <cell r="F3057" t="str">
            <v>-</v>
          </cell>
          <cell r="G3057" t="str">
            <v>-</v>
          </cell>
          <cell r="H3057" t="str">
            <v>PRD</v>
          </cell>
          <cell r="I3057" t="str">
            <v>PRD</v>
          </cell>
          <cell r="J3057" t="str">
            <v>HONDA CRV</v>
          </cell>
          <cell r="K3057" t="str">
            <v>HONDA CRV</v>
          </cell>
          <cell r="L3057" t="str">
            <v>PRE ASSY HONDA CRV</v>
          </cell>
          <cell r="M3057" t="str">
            <v>MC1-CRV-02</v>
          </cell>
          <cell r="N3057" t="str">
            <v>WFAP 2.1</v>
          </cell>
          <cell r="O3057" t="str">
            <v>B</v>
          </cell>
        </row>
        <row r="3058">
          <cell r="A3058">
            <v>5780</v>
          </cell>
          <cell r="B3058" t="str">
            <v>KRISWANTI</v>
          </cell>
          <cell r="C3058" t="str">
            <v>SAMI</v>
          </cell>
          <cell r="D3058" t="str">
            <v>OPT-135</v>
          </cell>
          <cell r="E3058">
            <v>39114</v>
          </cell>
          <cell r="F3058" t="str">
            <v>-</v>
          </cell>
          <cell r="G3058" t="str">
            <v>-</v>
          </cell>
          <cell r="H3058" t="str">
            <v>PRD</v>
          </cell>
          <cell r="I3058" t="str">
            <v>PRD</v>
          </cell>
          <cell r="J3058" t="str">
            <v>HONDA CRV</v>
          </cell>
          <cell r="K3058" t="str">
            <v>HONDA CRV</v>
          </cell>
          <cell r="L3058" t="str">
            <v>PRE ASSY HONDA CRV</v>
          </cell>
          <cell r="M3058" t="str">
            <v>MC1-CRV-06</v>
          </cell>
          <cell r="N3058" t="str">
            <v>WFAP 2.1</v>
          </cell>
          <cell r="O3058" t="str">
            <v>B</v>
          </cell>
        </row>
        <row r="3059">
          <cell r="A3059">
            <v>10181</v>
          </cell>
          <cell r="B3059" t="str">
            <v>HIMMATUL AZIZAH</v>
          </cell>
          <cell r="C3059" t="str">
            <v>SAMI</v>
          </cell>
          <cell r="D3059" t="str">
            <v>OPT-253</v>
          </cell>
          <cell r="E3059">
            <v>40458</v>
          </cell>
          <cell r="F3059" t="str">
            <v>-</v>
          </cell>
          <cell r="G3059" t="str">
            <v>-</v>
          </cell>
          <cell r="H3059" t="str">
            <v>PRD</v>
          </cell>
          <cell r="I3059" t="str">
            <v>PRD</v>
          </cell>
          <cell r="J3059" t="str">
            <v>HONDA CRV</v>
          </cell>
          <cell r="K3059" t="str">
            <v>HONDA CRV</v>
          </cell>
          <cell r="L3059" t="str">
            <v>PRE ASSY HONDA CRV</v>
          </cell>
          <cell r="M3059" t="str">
            <v>MC1-CRV-04</v>
          </cell>
          <cell r="N3059" t="str">
            <v>WFAP 2.1</v>
          </cell>
          <cell r="O3059" t="str">
            <v>B</v>
          </cell>
        </row>
        <row r="3060">
          <cell r="A3060">
            <v>20479</v>
          </cell>
          <cell r="B3060" t="str">
            <v>ISROWIYAH</v>
          </cell>
          <cell r="C3060" t="str">
            <v>SAMI</v>
          </cell>
          <cell r="D3060" t="str">
            <v>OPT-504</v>
          </cell>
          <cell r="E3060">
            <v>42634</v>
          </cell>
          <cell r="F3060">
            <v>43132</v>
          </cell>
          <cell r="G3060">
            <v>43496</v>
          </cell>
          <cell r="H3060" t="str">
            <v>PRD</v>
          </cell>
          <cell r="I3060" t="str">
            <v>PRD</v>
          </cell>
          <cell r="J3060" t="str">
            <v>HONDA CRV</v>
          </cell>
          <cell r="K3060" t="str">
            <v>HONDA CRV</v>
          </cell>
          <cell r="L3060" t="str">
            <v>PRE ASSY HONDA CRV</v>
          </cell>
          <cell r="M3060" t="str">
            <v>US-CRV-02</v>
          </cell>
          <cell r="N3060" t="str">
            <v>WFAP 2.1</v>
          </cell>
          <cell r="O3060" t="str">
            <v>B</v>
          </cell>
        </row>
        <row r="3061">
          <cell r="A3061">
            <v>20529</v>
          </cell>
          <cell r="B3061" t="str">
            <v>RIZQIYAH AULAWIYAH</v>
          </cell>
          <cell r="C3061" t="str">
            <v>SAMI</v>
          </cell>
          <cell r="D3061" t="str">
            <v>OPT-504</v>
          </cell>
          <cell r="E3061">
            <v>42634</v>
          </cell>
          <cell r="F3061">
            <v>43132</v>
          </cell>
          <cell r="G3061">
            <v>43496</v>
          </cell>
          <cell r="H3061" t="str">
            <v>PRD</v>
          </cell>
          <cell r="I3061" t="str">
            <v>PRD</v>
          </cell>
          <cell r="J3061" t="str">
            <v>HONDA CRV</v>
          </cell>
          <cell r="K3061" t="str">
            <v>HONDA CRV</v>
          </cell>
          <cell r="L3061" t="str">
            <v>PRE ASSY HONDA CRV</v>
          </cell>
          <cell r="M3061" t="str">
            <v>WT</v>
          </cell>
          <cell r="N3061" t="str">
            <v>P/A CONTROLLER</v>
          </cell>
          <cell r="O3061" t="str">
            <v>B</v>
          </cell>
        </row>
        <row r="3062">
          <cell r="A3062">
            <v>20970</v>
          </cell>
          <cell r="B3062" t="str">
            <v>FARIS SETIADI</v>
          </cell>
          <cell r="C3062" t="str">
            <v>SAMI</v>
          </cell>
          <cell r="D3062" t="str">
            <v>OPT-512</v>
          </cell>
          <cell r="E3062">
            <v>42674</v>
          </cell>
          <cell r="F3062">
            <v>43160</v>
          </cell>
          <cell r="G3062">
            <v>43524</v>
          </cell>
          <cell r="H3062" t="str">
            <v>PRD</v>
          </cell>
          <cell r="I3062" t="str">
            <v>PRD</v>
          </cell>
          <cell r="J3062" t="str">
            <v>HONDA CRV</v>
          </cell>
          <cell r="K3062" t="str">
            <v>HONDA CRV</v>
          </cell>
          <cell r="L3062" t="str">
            <v>PRE ASSY HONDA CRV</v>
          </cell>
          <cell r="M3062" t="str">
            <v>JT-CRV-01</v>
          </cell>
          <cell r="N3062" t="str">
            <v>WFAP 2.2</v>
          </cell>
          <cell r="O3062" t="str">
            <v>B</v>
          </cell>
        </row>
        <row r="3063">
          <cell r="A3063">
            <v>21225</v>
          </cell>
          <cell r="B3063" t="str">
            <v>INDRI HAPSARI</v>
          </cell>
          <cell r="C3063" t="str">
            <v>SAMI</v>
          </cell>
          <cell r="D3063" t="str">
            <v>OPT-524</v>
          </cell>
          <cell r="E3063">
            <v>42884</v>
          </cell>
          <cell r="F3063">
            <v>43374</v>
          </cell>
          <cell r="G3063">
            <v>43738</v>
          </cell>
          <cell r="H3063" t="str">
            <v>PRD</v>
          </cell>
          <cell r="I3063" t="str">
            <v>PRD</v>
          </cell>
          <cell r="J3063" t="str">
            <v>HONDA CRV</v>
          </cell>
          <cell r="K3063" t="str">
            <v>HONDA CRV</v>
          </cell>
          <cell r="L3063" t="str">
            <v>PRE ASSY HONDA CRV</v>
          </cell>
          <cell r="M3063" t="str">
            <v>MT-CRV-01, 02</v>
          </cell>
          <cell r="N3063" t="str">
            <v>WFAP 2.1</v>
          </cell>
          <cell r="O3063" t="str">
            <v>B</v>
          </cell>
        </row>
        <row r="3064">
          <cell r="A3064">
            <v>21264</v>
          </cell>
          <cell r="B3064" t="str">
            <v>BIMA SATYA MAHARDIKA</v>
          </cell>
          <cell r="C3064" t="str">
            <v>SAMI</v>
          </cell>
          <cell r="D3064" t="str">
            <v>OPT-528</v>
          </cell>
          <cell r="E3064">
            <v>42940</v>
          </cell>
          <cell r="F3064">
            <v>43405</v>
          </cell>
          <cell r="G3064">
            <v>43769</v>
          </cell>
          <cell r="H3064" t="str">
            <v>PRD</v>
          </cell>
          <cell r="I3064" t="str">
            <v>PRD</v>
          </cell>
          <cell r="J3064" t="str">
            <v>HONDA CRV</v>
          </cell>
          <cell r="K3064" t="str">
            <v>HONDA CRV</v>
          </cell>
          <cell r="L3064" t="str">
            <v>PRE ASSY HONDA CRV</v>
          </cell>
          <cell r="M3064" t="str">
            <v>JT-CRV-02 (DIFABLE)</v>
          </cell>
          <cell r="N3064" t="str">
            <v>WFAP 2.2</v>
          </cell>
          <cell r="O3064" t="str">
            <v>B</v>
          </cell>
        </row>
        <row r="3065">
          <cell r="A3065">
            <v>21437</v>
          </cell>
          <cell r="B3065" t="str">
            <v>WIWIT SETYONINGSIH</v>
          </cell>
          <cell r="C3065" t="str">
            <v>SAMI</v>
          </cell>
          <cell r="D3065" t="str">
            <v>OPT-533</v>
          </cell>
          <cell r="E3065">
            <v>43024</v>
          </cell>
          <cell r="F3065">
            <v>43435</v>
          </cell>
          <cell r="G3065">
            <v>43799</v>
          </cell>
          <cell r="H3065" t="str">
            <v>PRD</v>
          </cell>
          <cell r="I3065" t="str">
            <v>PRD</v>
          </cell>
          <cell r="J3065" t="str">
            <v>HONDA CRV</v>
          </cell>
          <cell r="K3065" t="str">
            <v>HONDA CRV</v>
          </cell>
          <cell r="L3065" t="str">
            <v>PRE ASSY HONDA CRV</v>
          </cell>
          <cell r="M3065" t="str">
            <v>MC1-CRV-05</v>
          </cell>
          <cell r="N3065" t="str">
            <v>WFAP 2.1</v>
          </cell>
          <cell r="O3065" t="str">
            <v>B</v>
          </cell>
        </row>
        <row r="3066">
          <cell r="A3066">
            <v>21590</v>
          </cell>
          <cell r="B3066" t="str">
            <v>IKA PRASTIKA SARI</v>
          </cell>
          <cell r="C3066" t="str">
            <v>SAMI</v>
          </cell>
          <cell r="D3066" t="str">
            <v>OPT-536</v>
          </cell>
          <cell r="E3066">
            <v>43048</v>
          </cell>
          <cell r="F3066">
            <v>43435</v>
          </cell>
          <cell r="G3066">
            <v>43799</v>
          </cell>
          <cell r="H3066" t="str">
            <v>PRD</v>
          </cell>
          <cell r="I3066" t="str">
            <v>PRD</v>
          </cell>
          <cell r="J3066" t="str">
            <v>HONDA CRV</v>
          </cell>
          <cell r="K3066" t="str">
            <v>HONDA CRV</v>
          </cell>
          <cell r="L3066" t="str">
            <v>PRE ASSY HONDA CRV</v>
          </cell>
          <cell r="M3066" t="str">
            <v>MSU-CRV-01</v>
          </cell>
          <cell r="N3066" t="str">
            <v>WFAP 2.2</v>
          </cell>
          <cell r="O3066" t="str">
            <v>B</v>
          </cell>
        </row>
        <row r="3067">
          <cell r="A3067">
            <v>22103</v>
          </cell>
          <cell r="B3067" t="str">
            <v>SURYATI</v>
          </cell>
          <cell r="C3067" t="str">
            <v>SAMI</v>
          </cell>
          <cell r="D3067" t="str">
            <v>OPT-548</v>
          </cell>
          <cell r="E3067">
            <v>43150</v>
          </cell>
          <cell r="F3067">
            <v>43178</v>
          </cell>
          <cell r="G3067">
            <v>43555</v>
          </cell>
          <cell r="H3067" t="str">
            <v>PRD</v>
          </cell>
          <cell r="I3067" t="str">
            <v>PRD</v>
          </cell>
          <cell r="J3067" t="str">
            <v>HONDA CRV</v>
          </cell>
          <cell r="K3067" t="str">
            <v>HONDA CRV</v>
          </cell>
          <cell r="L3067" t="str">
            <v>PRE ASSY HONDA CRV</v>
          </cell>
          <cell r="M3067" t="str">
            <v>MC1-CRV-07</v>
          </cell>
          <cell r="N3067" t="str">
            <v>WFAP 2.1</v>
          </cell>
          <cell r="O3067" t="str">
            <v>B</v>
          </cell>
        </row>
        <row r="3068">
          <cell r="A3068">
            <v>22444</v>
          </cell>
          <cell r="B3068" t="str">
            <v>AMELIA MAYANG PUTRI</v>
          </cell>
          <cell r="C3068" t="str">
            <v>SAMI</v>
          </cell>
          <cell r="D3068" t="str">
            <v>OPT-559</v>
          </cell>
          <cell r="E3068">
            <v>43220</v>
          </cell>
          <cell r="F3068">
            <v>43250</v>
          </cell>
          <cell r="G3068">
            <v>43616</v>
          </cell>
          <cell r="H3068" t="str">
            <v>PRD</v>
          </cell>
          <cell r="I3068" t="str">
            <v>PRD</v>
          </cell>
          <cell r="J3068" t="str">
            <v>HONDA CRV</v>
          </cell>
          <cell r="K3068" t="str">
            <v>HONDA CRV</v>
          </cell>
          <cell r="L3068" t="str">
            <v>PRE ASSY HONDA CRV</v>
          </cell>
          <cell r="M3068" t="str">
            <v>JM2-CRV-01</v>
          </cell>
          <cell r="N3068" t="str">
            <v>WFAP 2.2</v>
          </cell>
          <cell r="O3068" t="str">
            <v>B</v>
          </cell>
        </row>
        <row r="3069">
          <cell r="A3069">
            <v>22802</v>
          </cell>
          <cell r="B3069" t="str">
            <v>AGNES DEWI ANGGARA</v>
          </cell>
          <cell r="C3069" t="str">
            <v>SAMI</v>
          </cell>
          <cell r="D3069" t="str">
            <v>OPT-567</v>
          </cell>
          <cell r="E3069">
            <v>43333</v>
          </cell>
          <cell r="F3069">
            <v>43364</v>
          </cell>
          <cell r="G3069">
            <v>43738</v>
          </cell>
          <cell r="H3069" t="str">
            <v>PRD</v>
          </cell>
          <cell r="I3069" t="str">
            <v>PRD</v>
          </cell>
          <cell r="J3069" t="str">
            <v>HONDA CRV</v>
          </cell>
          <cell r="K3069" t="str">
            <v>HONDA CRV</v>
          </cell>
          <cell r="L3069" t="str">
            <v>PRE ASSY HONDA CRV</v>
          </cell>
          <cell r="M3069" t="str">
            <v>KANBAN</v>
          </cell>
          <cell r="N3069" t="str">
            <v>P/A CONTROLLER</v>
          </cell>
          <cell r="O3069" t="str">
            <v>B</v>
          </cell>
        </row>
        <row r="3070">
          <cell r="A3070">
            <v>23014</v>
          </cell>
          <cell r="B3070" t="str">
            <v>EVA DWI HARIYANI</v>
          </cell>
          <cell r="C3070" t="str">
            <v>SAMI</v>
          </cell>
          <cell r="D3070" t="str">
            <v>OPT-569</v>
          </cell>
          <cell r="E3070">
            <v>43361</v>
          </cell>
          <cell r="F3070">
            <v>43391</v>
          </cell>
          <cell r="G3070">
            <v>43769</v>
          </cell>
          <cell r="H3070" t="str">
            <v>PRD</v>
          </cell>
          <cell r="I3070" t="str">
            <v>PRD</v>
          </cell>
          <cell r="J3070" t="str">
            <v>HONDA CRV</v>
          </cell>
          <cell r="K3070" t="str">
            <v>HONDA CRV</v>
          </cell>
          <cell r="L3070" t="str">
            <v>PRE ASSY HONDA CRV</v>
          </cell>
          <cell r="M3070" t="str">
            <v>JM3-CRV-02</v>
          </cell>
          <cell r="N3070" t="str">
            <v>WFAP 2.2</v>
          </cell>
          <cell r="O3070" t="str">
            <v>B</v>
          </cell>
        </row>
        <row r="3071">
          <cell r="A3071">
            <v>23253</v>
          </cell>
          <cell r="B3071" t="str">
            <v>RAHAYU RISANTI</v>
          </cell>
          <cell r="C3071" t="str">
            <v>SAMI</v>
          </cell>
          <cell r="D3071" t="str">
            <v>OPT-573</v>
          </cell>
          <cell r="E3071">
            <v>43421</v>
          </cell>
          <cell r="F3071">
            <v>43451</v>
          </cell>
          <cell r="G3071">
            <v>43830</v>
          </cell>
          <cell r="H3071" t="str">
            <v>PRD</v>
          </cell>
          <cell r="I3071" t="str">
            <v>PRD</v>
          </cell>
          <cell r="J3071" t="str">
            <v>HONDA CRV</v>
          </cell>
          <cell r="K3071" t="str">
            <v>HONDA CRV</v>
          </cell>
          <cell r="L3071" t="str">
            <v>PRE ASSY HONDA CRV</v>
          </cell>
          <cell r="M3071" t="str">
            <v>OJT AC90-CRV-01</v>
          </cell>
          <cell r="N3071" t="str">
            <v>OTHERS</v>
          </cell>
          <cell r="O3071" t="str">
            <v>B</v>
          </cell>
        </row>
        <row r="3072">
          <cell r="A3072">
            <v>23313</v>
          </cell>
          <cell r="B3072" t="str">
            <v xml:space="preserve">FITRI WAHYU NINGSIH </v>
          </cell>
          <cell r="C3072" t="str">
            <v>SAMI</v>
          </cell>
          <cell r="D3072" t="str">
            <v>OPT-574</v>
          </cell>
          <cell r="E3072">
            <v>43427</v>
          </cell>
          <cell r="F3072">
            <v>43457</v>
          </cell>
          <cell r="G3072">
            <v>43830</v>
          </cell>
          <cell r="H3072" t="str">
            <v>PRD</v>
          </cell>
          <cell r="I3072" t="str">
            <v>PRD</v>
          </cell>
          <cell r="J3072" t="str">
            <v>HONDA CRV</v>
          </cell>
          <cell r="K3072" t="str">
            <v>HONDA CRV</v>
          </cell>
          <cell r="L3072" t="str">
            <v>PRE ASSY HONDA CRV</v>
          </cell>
          <cell r="M3072" t="str">
            <v>DRY-CRV-02</v>
          </cell>
          <cell r="N3072" t="str">
            <v>WFAP 2.1</v>
          </cell>
          <cell r="O3072" t="str">
            <v>B</v>
          </cell>
        </row>
        <row r="3073">
          <cell r="A3073">
            <v>23363</v>
          </cell>
          <cell r="B3073" t="str">
            <v xml:space="preserve">SITI INDRIYANI </v>
          </cell>
          <cell r="C3073" t="str">
            <v>SAMI</v>
          </cell>
          <cell r="D3073" t="str">
            <v>OPT-574</v>
          </cell>
          <cell r="E3073">
            <v>43427</v>
          </cell>
          <cell r="F3073">
            <v>43457</v>
          </cell>
          <cell r="G3073">
            <v>43830</v>
          </cell>
          <cell r="H3073" t="str">
            <v>PRD</v>
          </cell>
          <cell r="I3073" t="str">
            <v>PRD</v>
          </cell>
          <cell r="J3073" t="str">
            <v>HONDA CRV</v>
          </cell>
          <cell r="K3073" t="str">
            <v>HONDA CRV</v>
          </cell>
          <cell r="L3073" t="str">
            <v>PRE ASSY HONDA CRV</v>
          </cell>
          <cell r="M3073" t="str">
            <v>JM3-CRV-01</v>
          </cell>
          <cell r="N3073" t="str">
            <v>WFAP 2.1</v>
          </cell>
          <cell r="O3073" t="str">
            <v>B</v>
          </cell>
        </row>
        <row r="3074">
          <cell r="A3074">
            <v>23375</v>
          </cell>
          <cell r="B3074" t="str">
            <v>UMI NUR FADLILAH</v>
          </cell>
          <cell r="C3074" t="str">
            <v>SAMI</v>
          </cell>
          <cell r="D3074" t="str">
            <v>OPT-574</v>
          </cell>
          <cell r="E3074">
            <v>43427</v>
          </cell>
          <cell r="F3074">
            <v>43457</v>
          </cell>
          <cell r="G3074">
            <v>43830</v>
          </cell>
          <cell r="H3074" t="str">
            <v>PRD</v>
          </cell>
          <cell r="I3074" t="str">
            <v>PRD</v>
          </cell>
          <cell r="J3074" t="str">
            <v>HONDA CRV</v>
          </cell>
          <cell r="K3074" t="str">
            <v>HONDA CRV</v>
          </cell>
          <cell r="L3074" t="str">
            <v>PRE ASSY HONDA CRV</v>
          </cell>
          <cell r="M3074" t="str">
            <v>MC1-CRV-08</v>
          </cell>
          <cell r="N3074" t="str">
            <v>WFAP 2.1</v>
          </cell>
          <cell r="O3074" t="str">
            <v>B</v>
          </cell>
        </row>
        <row r="3075">
          <cell r="A3075">
            <v>23439</v>
          </cell>
          <cell r="B3075" t="str">
            <v>MUJI LESTARI</v>
          </cell>
          <cell r="C3075" t="str">
            <v>SAMI</v>
          </cell>
          <cell r="D3075" t="str">
            <v>OPT-575</v>
          </cell>
          <cell r="E3075">
            <v>43434</v>
          </cell>
          <cell r="F3075">
            <v>43464</v>
          </cell>
          <cell r="G3075">
            <v>43830</v>
          </cell>
          <cell r="H3075" t="str">
            <v>PRD</v>
          </cell>
          <cell r="I3075" t="str">
            <v>PRD</v>
          </cell>
          <cell r="J3075" t="str">
            <v>HONDA CRV</v>
          </cell>
          <cell r="K3075" t="str">
            <v>HONDA CRV</v>
          </cell>
          <cell r="L3075" t="str">
            <v>PRE ASSY HONDA CRV</v>
          </cell>
          <cell r="M3075" t="str">
            <v>DRY-CRV-01</v>
          </cell>
          <cell r="N3075" t="str">
            <v>WFAP 2.1</v>
          </cell>
          <cell r="O3075" t="str">
            <v>B</v>
          </cell>
        </row>
        <row r="3076">
          <cell r="A3076">
            <v>23480</v>
          </cell>
          <cell r="B3076" t="str">
            <v>UMI KHOTIJAH FATIYAH</v>
          </cell>
          <cell r="C3076" t="str">
            <v>SAMI</v>
          </cell>
          <cell r="D3076" t="str">
            <v>OPT-575</v>
          </cell>
          <cell r="E3076">
            <v>43434</v>
          </cell>
          <cell r="F3076">
            <v>43464</v>
          </cell>
          <cell r="G3076">
            <v>43830</v>
          </cell>
          <cell r="H3076" t="str">
            <v>PRD</v>
          </cell>
          <cell r="I3076" t="str">
            <v>PRD</v>
          </cell>
          <cell r="J3076" t="str">
            <v>HONDA CRV</v>
          </cell>
          <cell r="K3076" t="str">
            <v>HONDA CRV</v>
          </cell>
          <cell r="L3076" t="str">
            <v>PRE ASSY HONDA CRV</v>
          </cell>
          <cell r="M3076" t="str">
            <v>OJT WT</v>
          </cell>
          <cell r="N3076" t="str">
            <v>OTHERS</v>
          </cell>
          <cell r="O3076" t="str">
            <v>B</v>
          </cell>
        </row>
        <row r="3077">
          <cell r="A3077">
            <v>23607</v>
          </cell>
          <cell r="B3077" t="str">
            <v>WULANDARI</v>
          </cell>
          <cell r="C3077" t="str">
            <v>SAMI</v>
          </cell>
          <cell r="D3077" t="str">
            <v>OPT-577</v>
          </cell>
          <cell r="E3077">
            <v>43452</v>
          </cell>
          <cell r="F3077">
            <v>43483</v>
          </cell>
          <cell r="G3077">
            <v>43861</v>
          </cell>
          <cell r="H3077" t="str">
            <v>PRD</v>
          </cell>
          <cell r="I3077" t="str">
            <v>PRD</v>
          </cell>
          <cell r="J3077" t="str">
            <v>HONDA CRV</v>
          </cell>
          <cell r="K3077" t="str">
            <v>HONDA CRV</v>
          </cell>
          <cell r="L3077" t="str">
            <v>PRE ASSY HONDA CRV</v>
          </cell>
          <cell r="M3077" t="str">
            <v>OJT</v>
          </cell>
          <cell r="N3077" t="str">
            <v>INTERNAL TRIAL</v>
          </cell>
          <cell r="O3077" t="str">
            <v>B</v>
          </cell>
        </row>
        <row r="3078">
          <cell r="A3078" t="str">
            <v>M23618</v>
          </cell>
          <cell r="B3078" t="str">
            <v>ERVA LESTARI</v>
          </cell>
          <cell r="C3078" t="str">
            <v>SAMI</v>
          </cell>
          <cell r="D3078" t="str">
            <v>OPT-578</v>
          </cell>
          <cell r="E3078">
            <v>43467</v>
          </cell>
          <cell r="F3078">
            <v>43467</v>
          </cell>
          <cell r="G3078">
            <v>43497</v>
          </cell>
          <cell r="H3078" t="str">
            <v>PRD</v>
          </cell>
          <cell r="I3078" t="str">
            <v>PRD</v>
          </cell>
          <cell r="J3078" t="str">
            <v>HONDA CRV</v>
          </cell>
          <cell r="K3078" t="str">
            <v>HONDA CRV</v>
          </cell>
          <cell r="L3078" t="str">
            <v>PRE ASSY HONDA CRV</v>
          </cell>
          <cell r="M3078" t="str">
            <v>OJT</v>
          </cell>
          <cell r="N3078" t="str">
            <v>INTERNAL TRIAL</v>
          </cell>
          <cell r="O3078" t="str">
            <v>B</v>
          </cell>
        </row>
        <row r="3079">
          <cell r="A3079">
            <v>8814</v>
          </cell>
          <cell r="B3079" t="str">
            <v>AYU RESMI NOVISARI</v>
          </cell>
          <cell r="C3079" t="str">
            <v>SAMI</v>
          </cell>
          <cell r="D3079" t="str">
            <v>OPT-195</v>
          </cell>
          <cell r="E3079">
            <v>39937</v>
          </cell>
          <cell r="F3079" t="str">
            <v>-</v>
          </cell>
          <cell r="G3079" t="str">
            <v>-</v>
          </cell>
          <cell r="H3079" t="str">
            <v>PRD</v>
          </cell>
          <cell r="I3079" t="str">
            <v>PRD</v>
          </cell>
          <cell r="J3079" t="str">
            <v>HONDA EXPORT</v>
          </cell>
          <cell r="K3079" t="str">
            <v>HONDA EXPORT</v>
          </cell>
          <cell r="L3079" t="str">
            <v>PRE ASSY HONDA EXPORT</v>
          </cell>
          <cell r="M3079" t="str">
            <v>SUB LINE CHO</v>
          </cell>
          <cell r="N3079" t="str">
            <v>GL</v>
          </cell>
          <cell r="O3079" t="str">
            <v>A</v>
          </cell>
        </row>
        <row r="3080">
          <cell r="A3080">
            <v>21710</v>
          </cell>
          <cell r="B3080" t="str">
            <v>DINA MUSLIMATUN K</v>
          </cell>
          <cell r="C3080" t="str">
            <v>SAMI</v>
          </cell>
          <cell r="D3080" t="str">
            <v>OPT-539</v>
          </cell>
          <cell r="E3080">
            <v>43087</v>
          </cell>
          <cell r="F3080">
            <v>43118</v>
          </cell>
          <cell r="G3080">
            <v>43496</v>
          </cell>
          <cell r="H3080" t="str">
            <v>PRD</v>
          </cell>
          <cell r="I3080" t="str">
            <v>PRD</v>
          </cell>
          <cell r="J3080" t="str">
            <v>HONDA EXPORT</v>
          </cell>
          <cell r="K3080" t="str">
            <v>HONDA EXPORT</v>
          </cell>
          <cell r="L3080" t="str">
            <v>PRE ASSY HONDA EXPORT</v>
          </cell>
          <cell r="M3080" t="str">
            <v>WK 13</v>
          </cell>
          <cell r="N3080" t="str">
            <v>WFAP 2.2</v>
          </cell>
          <cell r="O3080" t="str">
            <v>A</v>
          </cell>
        </row>
        <row r="3081">
          <cell r="A3081" t="str">
            <v>M23617</v>
          </cell>
          <cell r="B3081" t="str">
            <v>ERNIASARI</v>
          </cell>
          <cell r="C3081" t="str">
            <v>SAMI</v>
          </cell>
          <cell r="D3081" t="str">
            <v>OPT-578</v>
          </cell>
          <cell r="E3081">
            <v>43467</v>
          </cell>
          <cell r="F3081">
            <v>43467</v>
          </cell>
          <cell r="G3081">
            <v>43497</v>
          </cell>
          <cell r="H3081" t="str">
            <v>PRD</v>
          </cell>
          <cell r="I3081" t="str">
            <v>PRD</v>
          </cell>
          <cell r="J3081" t="str">
            <v>HONDA EXPORT</v>
          </cell>
          <cell r="K3081" t="str">
            <v>HONDA EXPORT</v>
          </cell>
          <cell r="L3081" t="str">
            <v>PRE ASSY HONDA EXPORT</v>
          </cell>
          <cell r="M3081" t="str">
            <v>OJT</v>
          </cell>
          <cell r="N3081" t="str">
            <v>INTERNAL TRIAL</v>
          </cell>
          <cell r="O3081" t="str">
            <v>A</v>
          </cell>
        </row>
        <row r="3082">
          <cell r="A3082">
            <v>22216</v>
          </cell>
          <cell r="B3082" t="str">
            <v>FATIKHATUL KHASANAH</v>
          </cell>
          <cell r="C3082" t="str">
            <v>SAMI</v>
          </cell>
          <cell r="D3082" t="str">
            <v>OPT-551</v>
          </cell>
          <cell r="E3082">
            <v>43161</v>
          </cell>
          <cell r="F3082">
            <v>43192</v>
          </cell>
          <cell r="G3082">
            <v>43555</v>
          </cell>
          <cell r="H3082" t="str">
            <v>PRD</v>
          </cell>
          <cell r="I3082" t="str">
            <v>PRD</v>
          </cell>
          <cell r="J3082" t="str">
            <v>HONDA EXPORT</v>
          </cell>
          <cell r="K3082" t="str">
            <v>HONDA EXPORT</v>
          </cell>
          <cell r="L3082" t="str">
            <v>PRE ASSY HONDA EXPORT</v>
          </cell>
          <cell r="M3082" t="str">
            <v>WK-13</v>
          </cell>
          <cell r="N3082" t="str">
            <v>WFAP 2.1</v>
          </cell>
          <cell r="O3082" t="str">
            <v>B</v>
          </cell>
        </row>
        <row r="3083">
          <cell r="A3083">
            <v>616</v>
          </cell>
          <cell r="B3083" t="str">
            <v>IKA SUCI MANDASARI</v>
          </cell>
          <cell r="C3083" t="str">
            <v>SAMI</v>
          </cell>
          <cell r="D3083" t="str">
            <v>OPT-16</v>
          </cell>
          <cell r="E3083">
            <v>37781</v>
          </cell>
          <cell r="F3083" t="str">
            <v>-</v>
          </cell>
          <cell r="G3083" t="str">
            <v>-</v>
          </cell>
          <cell r="H3083" t="str">
            <v>PRD</v>
          </cell>
          <cell r="I3083" t="str">
            <v>PRD</v>
          </cell>
          <cell r="J3083" t="str">
            <v>HONDA EXPORT</v>
          </cell>
          <cell r="K3083" t="str">
            <v>HONDA EXPORT</v>
          </cell>
          <cell r="L3083" t="str">
            <v>PRE ASSY HONDA EXPORT 1</v>
          </cell>
          <cell r="M3083" t="str">
            <v>MSU-HDA-01, 02</v>
          </cell>
          <cell r="N3083" t="str">
            <v>WFAP 2.2</v>
          </cell>
          <cell r="O3083" t="str">
            <v>A</v>
          </cell>
        </row>
        <row r="3084">
          <cell r="A3084">
            <v>10502</v>
          </cell>
          <cell r="B3084" t="str">
            <v>FANY LISTRI ANY</v>
          </cell>
          <cell r="C3084" t="str">
            <v>SAMI</v>
          </cell>
          <cell r="D3084" t="str">
            <v>OPT-273</v>
          </cell>
          <cell r="E3084">
            <v>40535</v>
          </cell>
          <cell r="F3084" t="str">
            <v>-</v>
          </cell>
          <cell r="G3084" t="str">
            <v>-</v>
          </cell>
          <cell r="H3084" t="str">
            <v>PRD</v>
          </cell>
          <cell r="I3084" t="str">
            <v>PRD</v>
          </cell>
          <cell r="J3084" t="str">
            <v>HONDA EXPORT</v>
          </cell>
          <cell r="K3084" t="str">
            <v>HONDA EXPORT</v>
          </cell>
          <cell r="L3084" t="str">
            <v>PRE ASSY HONDA EXPORT 1</v>
          </cell>
          <cell r="M3084" t="str">
            <v>JM3-HDA-01, 02</v>
          </cell>
          <cell r="N3084" t="str">
            <v>WFAP 2.2</v>
          </cell>
          <cell r="O3084" t="str">
            <v>A</v>
          </cell>
        </row>
        <row r="3085">
          <cell r="A3085">
            <v>10698</v>
          </cell>
          <cell r="B3085" t="str">
            <v>ELNURANI MARTANINGRUM</v>
          </cell>
          <cell r="C3085" t="str">
            <v>SAMI</v>
          </cell>
          <cell r="D3085" t="str">
            <v>OPT-280</v>
          </cell>
          <cell r="E3085">
            <v>40560</v>
          </cell>
          <cell r="F3085" t="str">
            <v>-</v>
          </cell>
          <cell r="G3085" t="str">
            <v>-</v>
          </cell>
          <cell r="H3085" t="str">
            <v>PRD</v>
          </cell>
          <cell r="I3085" t="str">
            <v>PRD</v>
          </cell>
          <cell r="J3085" t="str">
            <v>HONDA EXPORT</v>
          </cell>
          <cell r="K3085" t="str">
            <v>HONDA EXPORT</v>
          </cell>
          <cell r="L3085" t="str">
            <v>PRE ASSY HONDA EXPORT 1</v>
          </cell>
          <cell r="M3085" t="str">
            <v>INSP PRE ASSY</v>
          </cell>
          <cell r="N3085" t="str">
            <v>P/A INSPECTOR</v>
          </cell>
          <cell r="O3085" t="str">
            <v>A</v>
          </cell>
        </row>
        <row r="3086">
          <cell r="A3086">
            <v>11089</v>
          </cell>
          <cell r="B3086" t="str">
            <v>SUMIYATI</v>
          </cell>
          <cell r="C3086" t="str">
            <v>SAMI</v>
          </cell>
          <cell r="D3086" t="str">
            <v>OPT-289</v>
          </cell>
          <cell r="E3086">
            <v>40595</v>
          </cell>
          <cell r="F3086" t="str">
            <v>-</v>
          </cell>
          <cell r="G3086" t="str">
            <v>-</v>
          </cell>
          <cell r="H3086" t="str">
            <v>PRD</v>
          </cell>
          <cell r="I3086" t="str">
            <v>PRD</v>
          </cell>
          <cell r="J3086" t="str">
            <v>HONDA EXPORT</v>
          </cell>
          <cell r="K3086" t="str">
            <v>HONDA EXPORT</v>
          </cell>
          <cell r="L3086" t="str">
            <v>PRE ASSY HONDA EXPORT 1</v>
          </cell>
          <cell r="M3086" t="str">
            <v>INSP CUTTING</v>
          </cell>
          <cell r="N3086" t="str">
            <v>P/A INSPECTOR</v>
          </cell>
          <cell r="O3086" t="str">
            <v>A</v>
          </cell>
        </row>
        <row r="3087">
          <cell r="A3087">
            <v>20550</v>
          </cell>
          <cell r="B3087" t="str">
            <v>AGUSTINA</v>
          </cell>
          <cell r="C3087" t="str">
            <v>SAMI</v>
          </cell>
          <cell r="D3087" t="str">
            <v>OPT-505</v>
          </cell>
          <cell r="E3087">
            <v>42639</v>
          </cell>
          <cell r="F3087">
            <v>43132</v>
          </cell>
          <cell r="G3087">
            <v>43496</v>
          </cell>
          <cell r="H3087" t="str">
            <v>PRD</v>
          </cell>
          <cell r="I3087" t="str">
            <v>PRD</v>
          </cell>
          <cell r="J3087" t="str">
            <v>HONDA EXPORT</v>
          </cell>
          <cell r="K3087" t="str">
            <v>HONDA EXPORT</v>
          </cell>
          <cell r="L3087" t="str">
            <v>PRE ASSY HONDA EXPORT 1</v>
          </cell>
          <cell r="M3087" t="str">
            <v>KANBAN</v>
          </cell>
          <cell r="N3087" t="str">
            <v>P/A CONTROLLER</v>
          </cell>
          <cell r="O3087" t="str">
            <v>A</v>
          </cell>
        </row>
        <row r="3088">
          <cell r="A3088">
            <v>20818</v>
          </cell>
          <cell r="B3088" t="str">
            <v xml:space="preserve">SISKA TRI HAPSARI </v>
          </cell>
          <cell r="C3088" t="str">
            <v>SAMI</v>
          </cell>
          <cell r="D3088" t="str">
            <v>OPT-508</v>
          </cell>
          <cell r="E3088">
            <v>42649</v>
          </cell>
          <cell r="F3088">
            <v>43132</v>
          </cell>
          <cell r="G3088">
            <v>43496</v>
          </cell>
          <cell r="H3088" t="str">
            <v>PRD</v>
          </cell>
          <cell r="I3088" t="str">
            <v>PRD</v>
          </cell>
          <cell r="J3088" t="str">
            <v>HONDA EXPORT</v>
          </cell>
          <cell r="K3088" t="str">
            <v>HONDA EXPORT</v>
          </cell>
          <cell r="L3088" t="str">
            <v>PRE ASSY HONDA EXPORT 1</v>
          </cell>
          <cell r="M3088" t="str">
            <v>TWS-HDA-03</v>
          </cell>
          <cell r="N3088" t="str">
            <v>WFAP 2.2</v>
          </cell>
          <cell r="O3088" t="str">
            <v>A</v>
          </cell>
        </row>
        <row r="3089">
          <cell r="A3089">
            <v>20980</v>
          </cell>
          <cell r="B3089" t="str">
            <v>LENY RUSNAWATI</v>
          </cell>
          <cell r="C3089" t="str">
            <v>SAMI</v>
          </cell>
          <cell r="D3089" t="str">
            <v>OPT-513</v>
          </cell>
          <cell r="E3089">
            <v>42674</v>
          </cell>
          <cell r="F3089">
            <v>43160</v>
          </cell>
          <cell r="G3089">
            <v>43524</v>
          </cell>
          <cell r="H3089" t="str">
            <v>PRD</v>
          </cell>
          <cell r="I3089" t="str">
            <v>PRD</v>
          </cell>
          <cell r="J3089" t="str">
            <v>HONDA EXPORT</v>
          </cell>
          <cell r="K3089" t="str">
            <v>HONDA EXPORT</v>
          </cell>
          <cell r="L3089" t="str">
            <v>PRE ASSY HONDA EXPORT 1</v>
          </cell>
          <cell r="M3089" t="str">
            <v>WT</v>
          </cell>
          <cell r="N3089" t="str">
            <v>P/A CONTROLLER</v>
          </cell>
          <cell r="O3089" t="str">
            <v>A</v>
          </cell>
        </row>
        <row r="3090">
          <cell r="A3090">
            <v>21663</v>
          </cell>
          <cell r="B3090" t="str">
            <v>LU'LU'ATUL MARDLIYAH</v>
          </cell>
          <cell r="C3090" t="str">
            <v>SAMI</v>
          </cell>
          <cell r="D3090" t="str">
            <v>OPT-537</v>
          </cell>
          <cell r="E3090">
            <v>43055</v>
          </cell>
          <cell r="F3090">
            <v>43466</v>
          </cell>
          <cell r="G3090">
            <v>43830</v>
          </cell>
          <cell r="H3090" t="str">
            <v>PRD</v>
          </cell>
          <cell r="I3090" t="str">
            <v>PRD</v>
          </cell>
          <cell r="J3090" t="str">
            <v>HONDA EXPORT</v>
          </cell>
          <cell r="K3090" t="str">
            <v>HONDA EXPORT</v>
          </cell>
          <cell r="L3090" t="str">
            <v>PRE ASSY HONDA EXPORT 1</v>
          </cell>
          <cell r="M3090" t="str">
            <v>WT</v>
          </cell>
          <cell r="N3090" t="str">
            <v>P/A CONTROLLER</v>
          </cell>
          <cell r="O3090" t="str">
            <v>A</v>
          </cell>
        </row>
        <row r="3091">
          <cell r="A3091">
            <v>21758</v>
          </cell>
          <cell r="B3091" t="str">
            <v>WIJI LESTARI</v>
          </cell>
          <cell r="C3091" t="str">
            <v>SAMI</v>
          </cell>
          <cell r="D3091" t="str">
            <v>OPT-540</v>
          </cell>
          <cell r="E3091">
            <v>43090</v>
          </cell>
          <cell r="F3091">
            <v>43121</v>
          </cell>
          <cell r="G3091">
            <v>43496</v>
          </cell>
          <cell r="H3091" t="str">
            <v>PRD</v>
          </cell>
          <cell r="I3091" t="str">
            <v>PRD</v>
          </cell>
          <cell r="J3091" t="str">
            <v>HONDA EXPORT</v>
          </cell>
          <cell r="K3091" t="str">
            <v>HONDA EXPORT</v>
          </cell>
          <cell r="L3091" t="str">
            <v>PRE ASSY HONDA EXPORT 1</v>
          </cell>
          <cell r="M3091" t="str">
            <v>TWS-HDA-08</v>
          </cell>
          <cell r="N3091" t="str">
            <v>WFAP 2.2</v>
          </cell>
          <cell r="O3091" t="str">
            <v>A</v>
          </cell>
        </row>
        <row r="3092">
          <cell r="A3092">
            <v>21872</v>
          </cell>
          <cell r="B3092" t="str">
            <v>DIAN AYU KARLINA</v>
          </cell>
          <cell r="C3092" t="str">
            <v>SAMI</v>
          </cell>
          <cell r="D3092" t="str">
            <v>OPT-542</v>
          </cell>
          <cell r="E3092">
            <v>43103</v>
          </cell>
          <cell r="F3092">
            <v>43134</v>
          </cell>
          <cell r="G3092">
            <v>43496</v>
          </cell>
          <cell r="H3092" t="str">
            <v>PRD</v>
          </cell>
          <cell r="I3092" t="str">
            <v>PRD</v>
          </cell>
          <cell r="J3092" t="str">
            <v>HONDA EXPORT</v>
          </cell>
          <cell r="K3092" t="str">
            <v>HONDA EXPORT</v>
          </cell>
          <cell r="L3092" t="str">
            <v>PRE ASSY HONDA EXPORT 1</v>
          </cell>
          <cell r="M3092" t="str">
            <v>JM2-HDA-08</v>
          </cell>
          <cell r="N3092" t="str">
            <v>WFAP 2.2</v>
          </cell>
          <cell r="O3092" t="str">
            <v>A</v>
          </cell>
        </row>
        <row r="3093">
          <cell r="A3093">
            <v>22069</v>
          </cell>
          <cell r="B3093" t="str">
            <v>EFI LISTIYANA</v>
          </cell>
          <cell r="C3093" t="str">
            <v>SAMI</v>
          </cell>
          <cell r="D3093" t="str">
            <v>OPT-548</v>
          </cell>
          <cell r="E3093">
            <v>43150</v>
          </cell>
          <cell r="F3093">
            <v>43178</v>
          </cell>
          <cell r="G3093">
            <v>43555</v>
          </cell>
          <cell r="H3093" t="str">
            <v>PRD</v>
          </cell>
          <cell r="I3093" t="str">
            <v>PRD</v>
          </cell>
          <cell r="J3093" t="str">
            <v>HONDA EXPORT</v>
          </cell>
          <cell r="K3093" t="str">
            <v>HONDA EXPORT</v>
          </cell>
          <cell r="L3093" t="str">
            <v>PRE ASSY HONDA EXPORT 1</v>
          </cell>
          <cell r="M3093" t="str">
            <v>JM2-HDA-04, 07</v>
          </cell>
          <cell r="N3093" t="str">
            <v>WFAP 2.2</v>
          </cell>
          <cell r="O3093" t="str">
            <v>A</v>
          </cell>
        </row>
        <row r="3094">
          <cell r="A3094">
            <v>22363</v>
          </cell>
          <cell r="B3094" t="str">
            <v>ANGGA HARY SETIAWAN</v>
          </cell>
          <cell r="C3094" t="str">
            <v>SAMI</v>
          </cell>
          <cell r="D3094" t="str">
            <v>OPT-557</v>
          </cell>
          <cell r="E3094">
            <v>43200</v>
          </cell>
          <cell r="F3094">
            <v>43230</v>
          </cell>
          <cell r="G3094">
            <v>43585</v>
          </cell>
          <cell r="H3094" t="str">
            <v>PRD</v>
          </cell>
          <cell r="I3094" t="str">
            <v>PRD</v>
          </cell>
          <cell r="J3094" t="str">
            <v>HONDA EXPORT</v>
          </cell>
          <cell r="K3094" t="str">
            <v>HONDA EXPORT</v>
          </cell>
          <cell r="L3094" t="str">
            <v>PRE ASSY HONDA EXPORT 1</v>
          </cell>
          <cell r="M3094" t="str">
            <v>KANBAN (DIFABLE)</v>
          </cell>
          <cell r="N3094" t="str">
            <v>P/A CONTROLLER</v>
          </cell>
          <cell r="O3094" t="str">
            <v>A</v>
          </cell>
        </row>
        <row r="3095">
          <cell r="A3095">
            <v>22445</v>
          </cell>
          <cell r="B3095" t="str">
            <v>AYU WARDINI</v>
          </cell>
          <cell r="C3095" t="str">
            <v>SAMI</v>
          </cell>
          <cell r="D3095" t="str">
            <v>OPT-559</v>
          </cell>
          <cell r="E3095">
            <v>43220</v>
          </cell>
          <cell r="F3095">
            <v>43250</v>
          </cell>
          <cell r="G3095">
            <v>43616</v>
          </cell>
          <cell r="H3095" t="str">
            <v>PRD</v>
          </cell>
          <cell r="I3095" t="str">
            <v>PRD</v>
          </cell>
          <cell r="J3095" t="str">
            <v>HONDA EXPORT</v>
          </cell>
          <cell r="K3095" t="str">
            <v>HONDA EXPORT</v>
          </cell>
          <cell r="L3095" t="str">
            <v>PRE ASSY HONDA EXPORT 1</v>
          </cell>
          <cell r="M3095" t="str">
            <v>WT</v>
          </cell>
          <cell r="N3095" t="str">
            <v>P/A CONTROLLER</v>
          </cell>
          <cell r="O3095" t="str">
            <v>A</v>
          </cell>
        </row>
        <row r="3096">
          <cell r="A3096">
            <v>22901</v>
          </cell>
          <cell r="B3096" t="str">
            <v>WARDA FADIYA</v>
          </cell>
          <cell r="C3096" t="str">
            <v>SAMI</v>
          </cell>
          <cell r="D3096" t="str">
            <v>OPT-567</v>
          </cell>
          <cell r="E3096">
            <v>43333</v>
          </cell>
          <cell r="F3096">
            <v>43364</v>
          </cell>
          <cell r="G3096">
            <v>43738</v>
          </cell>
          <cell r="H3096" t="str">
            <v>PRD</v>
          </cell>
          <cell r="I3096" t="str">
            <v>PRD</v>
          </cell>
          <cell r="J3096" t="str">
            <v>HONDA EXPORT</v>
          </cell>
          <cell r="K3096" t="str">
            <v>HONDA EXPORT</v>
          </cell>
          <cell r="L3096" t="str">
            <v>PRE ASSY HONDA EXPORT 1</v>
          </cell>
          <cell r="M3096" t="str">
            <v xml:space="preserve">WT </v>
          </cell>
          <cell r="N3096" t="str">
            <v>P/A CONTROLLER</v>
          </cell>
          <cell r="O3096" t="str">
            <v>A</v>
          </cell>
        </row>
        <row r="3097">
          <cell r="A3097">
            <v>22943</v>
          </cell>
          <cell r="B3097" t="str">
            <v>ISTI LANAILIL KUSNA</v>
          </cell>
          <cell r="C3097" t="str">
            <v>SAMI</v>
          </cell>
          <cell r="D3097" t="str">
            <v>OPT-568</v>
          </cell>
          <cell r="E3097">
            <v>43343</v>
          </cell>
          <cell r="F3097">
            <v>43374</v>
          </cell>
          <cell r="G3097">
            <v>43738</v>
          </cell>
          <cell r="H3097" t="str">
            <v>PRD</v>
          </cell>
          <cell r="I3097" t="str">
            <v>PRD</v>
          </cell>
          <cell r="J3097" t="str">
            <v>HONDA EXPORT</v>
          </cell>
          <cell r="K3097" t="str">
            <v>HONDA EXPORT</v>
          </cell>
          <cell r="L3097" t="str">
            <v>PRE ASSY HONDA EXPORT 1</v>
          </cell>
          <cell r="M3097" t="str">
            <v>KANBAN</v>
          </cell>
          <cell r="N3097" t="str">
            <v>P/A CONTROLLER</v>
          </cell>
          <cell r="O3097" t="str">
            <v>A</v>
          </cell>
        </row>
        <row r="3098">
          <cell r="A3098">
            <v>22978</v>
          </cell>
          <cell r="B3098" t="str">
            <v>SITI FATONAH</v>
          </cell>
          <cell r="C3098" t="str">
            <v>SAMI</v>
          </cell>
          <cell r="D3098" t="str">
            <v>OPT-568</v>
          </cell>
          <cell r="E3098">
            <v>43343</v>
          </cell>
          <cell r="F3098">
            <v>43374</v>
          </cell>
          <cell r="G3098">
            <v>43738</v>
          </cell>
          <cell r="H3098" t="str">
            <v>PRD</v>
          </cell>
          <cell r="I3098" t="str">
            <v>PRD</v>
          </cell>
          <cell r="J3098" t="str">
            <v>HONDA EXPORT</v>
          </cell>
          <cell r="K3098" t="str">
            <v>HONDA EXPORT</v>
          </cell>
          <cell r="L3098" t="str">
            <v>PRE ASSY HONDA EXPORT 1</v>
          </cell>
          <cell r="M3098" t="str">
            <v>JM2-HAD-06</v>
          </cell>
          <cell r="N3098" t="str">
            <v>WFAP 2.2</v>
          </cell>
          <cell r="O3098" t="str">
            <v>A</v>
          </cell>
        </row>
        <row r="3099">
          <cell r="A3099">
            <v>22979</v>
          </cell>
          <cell r="B3099" t="str">
            <v>SITI LISTARI</v>
          </cell>
          <cell r="C3099" t="str">
            <v>SAMI</v>
          </cell>
          <cell r="D3099" t="str">
            <v>OPT-568</v>
          </cell>
          <cell r="E3099">
            <v>43343</v>
          </cell>
          <cell r="F3099">
            <v>43374</v>
          </cell>
          <cell r="G3099">
            <v>43738</v>
          </cell>
          <cell r="H3099" t="str">
            <v>PRD</v>
          </cell>
          <cell r="I3099" t="str">
            <v>PRD</v>
          </cell>
          <cell r="J3099" t="str">
            <v>HONDA EXPORT</v>
          </cell>
          <cell r="K3099" t="str">
            <v>HONDA EXPORT</v>
          </cell>
          <cell r="L3099" t="str">
            <v>PRE ASSY HONDA EXPORT 1</v>
          </cell>
          <cell r="M3099" t="str">
            <v>TWS-HAD-09</v>
          </cell>
          <cell r="N3099" t="str">
            <v>WFAP 2.2</v>
          </cell>
          <cell r="O3099" t="str">
            <v>A</v>
          </cell>
        </row>
        <row r="3100">
          <cell r="A3100">
            <v>23009</v>
          </cell>
          <cell r="B3100" t="str">
            <v>EFA KAROLLINA PUTRI</v>
          </cell>
          <cell r="C3100" t="str">
            <v>SAMI</v>
          </cell>
          <cell r="D3100" t="str">
            <v>OPT-569</v>
          </cell>
          <cell r="E3100">
            <v>43361</v>
          </cell>
          <cell r="F3100">
            <v>43391</v>
          </cell>
          <cell r="G3100">
            <v>43769</v>
          </cell>
          <cell r="H3100" t="str">
            <v>PRD</v>
          </cell>
          <cell r="I3100" t="str">
            <v>PRD</v>
          </cell>
          <cell r="J3100" t="str">
            <v>HONDA EXPORT</v>
          </cell>
          <cell r="K3100" t="str">
            <v>HONDA EXPORT</v>
          </cell>
          <cell r="L3100" t="str">
            <v>PRE ASSY HONDA EXPORT 1</v>
          </cell>
          <cell r="M3100" t="str">
            <v>JT-HAD-03</v>
          </cell>
          <cell r="N3100" t="str">
            <v>WFAP 2.2</v>
          </cell>
          <cell r="O3100" t="str">
            <v>A</v>
          </cell>
        </row>
        <row r="3101">
          <cell r="A3101">
            <v>23050</v>
          </cell>
          <cell r="B3101" t="str">
            <v>NAFIS UBAIDAH</v>
          </cell>
          <cell r="C3101" t="str">
            <v>SAMI</v>
          </cell>
          <cell r="D3101" t="str">
            <v>OPT-569</v>
          </cell>
          <cell r="E3101">
            <v>43361</v>
          </cell>
          <cell r="F3101">
            <v>43391</v>
          </cell>
          <cell r="G3101">
            <v>43769</v>
          </cell>
          <cell r="H3101" t="str">
            <v>PRD</v>
          </cell>
          <cell r="I3101" t="str">
            <v>PRD</v>
          </cell>
          <cell r="J3101" t="str">
            <v>HONDA EXPORT</v>
          </cell>
          <cell r="K3101" t="str">
            <v>HONDA EXPORT</v>
          </cell>
          <cell r="L3101" t="str">
            <v>PRE ASSY HONDA EXPORT 1</v>
          </cell>
          <cell r="M3101" t="str">
            <v>MSY-HAD-01</v>
          </cell>
          <cell r="N3101" t="str">
            <v>WFAP 2.2</v>
          </cell>
          <cell r="O3101" t="str">
            <v>A</v>
          </cell>
        </row>
        <row r="3102">
          <cell r="A3102">
            <v>23181</v>
          </cell>
          <cell r="B3102" t="str">
            <v>YULIA FITRIAWATI</v>
          </cell>
          <cell r="C3102" t="str">
            <v>SAMI</v>
          </cell>
          <cell r="D3102" t="str">
            <v>OPT-570</v>
          </cell>
          <cell r="E3102">
            <v>43369</v>
          </cell>
          <cell r="F3102">
            <v>43399</v>
          </cell>
          <cell r="G3102">
            <v>43769</v>
          </cell>
          <cell r="H3102" t="str">
            <v>PRD</v>
          </cell>
          <cell r="I3102" t="str">
            <v>PRD</v>
          </cell>
          <cell r="J3102" t="str">
            <v>HONDA EXPORT</v>
          </cell>
          <cell r="K3102" t="str">
            <v>HONDA EXPORT</v>
          </cell>
          <cell r="L3102" t="str">
            <v>PRE ASSY HONDA EXPORT 1</v>
          </cell>
          <cell r="M3102" t="str">
            <v>MSU-HAD-01</v>
          </cell>
          <cell r="N3102" t="str">
            <v>WFAP 2.2</v>
          </cell>
          <cell r="O3102" t="str">
            <v>A</v>
          </cell>
        </row>
        <row r="3103">
          <cell r="A3103">
            <v>23330</v>
          </cell>
          <cell r="B3103" t="str">
            <v>LUTFIYATUL CHASANAH</v>
          </cell>
          <cell r="C3103" t="str">
            <v>SAMI</v>
          </cell>
          <cell r="D3103" t="str">
            <v>OPT-574</v>
          </cell>
          <cell r="E3103">
            <v>43427</v>
          </cell>
          <cell r="F3103">
            <v>43457</v>
          </cell>
          <cell r="G3103">
            <v>43830</v>
          </cell>
          <cell r="H3103" t="str">
            <v>PRD</v>
          </cell>
          <cell r="I3103" t="str">
            <v>PRD</v>
          </cell>
          <cell r="J3103" t="str">
            <v>HONDA EXPORT</v>
          </cell>
          <cell r="K3103" t="str">
            <v>HONDA EXPORT</v>
          </cell>
          <cell r="L3103" t="str">
            <v>PRE ASSY HONDA EXPORT 1</v>
          </cell>
          <cell r="M3103" t="str">
            <v>TWS-HDA-03</v>
          </cell>
          <cell r="N3103" t="str">
            <v>WFAP 2.1</v>
          </cell>
          <cell r="O3103" t="str">
            <v>A</v>
          </cell>
        </row>
        <row r="3104">
          <cell r="A3104">
            <v>23340</v>
          </cell>
          <cell r="B3104" t="str">
            <v>NADILA APRILIA PURWANINGSIH</v>
          </cell>
          <cell r="C3104" t="str">
            <v>SAMI</v>
          </cell>
          <cell r="D3104" t="str">
            <v>OPT-574</v>
          </cell>
          <cell r="E3104">
            <v>43427</v>
          </cell>
          <cell r="F3104">
            <v>43457</v>
          </cell>
          <cell r="G3104">
            <v>43830</v>
          </cell>
          <cell r="H3104" t="str">
            <v>PRD</v>
          </cell>
          <cell r="I3104" t="str">
            <v>PRD</v>
          </cell>
          <cell r="J3104" t="str">
            <v>HONDA EXPORT</v>
          </cell>
          <cell r="K3104" t="str">
            <v>HONDA EXPORT</v>
          </cell>
          <cell r="L3104" t="str">
            <v>PRE ASSY HONDA EXPORT 1</v>
          </cell>
          <cell r="M3104" t="str">
            <v>OJT WK -13</v>
          </cell>
          <cell r="N3104" t="str">
            <v>INTERNAL TRIAL</v>
          </cell>
          <cell r="O3104" t="str">
            <v>A</v>
          </cell>
        </row>
        <row r="3105">
          <cell r="A3105" t="str">
            <v>B00091</v>
          </cell>
          <cell r="B3105" t="str">
            <v>TRI UTAMI</v>
          </cell>
          <cell r="C3105" t="str">
            <v>SAMI</v>
          </cell>
          <cell r="D3105" t="str">
            <v>BBF-001</v>
          </cell>
          <cell r="E3105">
            <v>40826</v>
          </cell>
          <cell r="F3105" t="str">
            <v>-</v>
          </cell>
          <cell r="G3105" t="str">
            <v>-</v>
          </cell>
          <cell r="H3105" t="str">
            <v>PRD</v>
          </cell>
          <cell r="I3105" t="str">
            <v>PRD</v>
          </cell>
          <cell r="J3105" t="str">
            <v>HONDA EXPORT</v>
          </cell>
          <cell r="K3105" t="str">
            <v>HONDA EXPORT</v>
          </cell>
          <cell r="L3105" t="str">
            <v>PRE ASSY HONDA EXPORT 1</v>
          </cell>
          <cell r="M3105" t="str">
            <v>TWS-HDA-11</v>
          </cell>
          <cell r="N3105" t="str">
            <v>WFAP 2.2</v>
          </cell>
          <cell r="O3105" t="str">
            <v>A</v>
          </cell>
        </row>
        <row r="3106">
          <cell r="A3106">
            <v>21017</v>
          </cell>
          <cell r="B3106" t="str">
            <v>DANU RISTIONO</v>
          </cell>
          <cell r="C3106" t="str">
            <v>SAMI</v>
          </cell>
          <cell r="D3106" t="str">
            <v>OPT-515</v>
          </cell>
          <cell r="E3106">
            <v>42702</v>
          </cell>
          <cell r="F3106">
            <v>43191</v>
          </cell>
          <cell r="G3106">
            <v>43555</v>
          </cell>
          <cell r="H3106" t="str">
            <v>PRD</v>
          </cell>
          <cell r="I3106" t="str">
            <v>PRD</v>
          </cell>
          <cell r="J3106" t="str">
            <v>HONDA EXPORT</v>
          </cell>
          <cell r="K3106" t="str">
            <v>HONDA EXPORT</v>
          </cell>
          <cell r="L3106" t="str">
            <v>PRE ASSY HONDA EXPORT 1</v>
          </cell>
          <cell r="M3106" t="str">
            <v>MT-HDA-01  (DIFABLE)</v>
          </cell>
          <cell r="N3106" t="str">
            <v>WFAP 2.2</v>
          </cell>
          <cell r="O3106" t="str">
            <v>A (NS)</v>
          </cell>
        </row>
        <row r="3107">
          <cell r="A3107">
            <v>22344</v>
          </cell>
          <cell r="B3107" t="str">
            <v>MELISA AGUSTIN</v>
          </cell>
          <cell r="C3107" t="str">
            <v>SAMI</v>
          </cell>
          <cell r="D3107" t="str">
            <v>OPT-556</v>
          </cell>
          <cell r="E3107">
            <v>43195</v>
          </cell>
          <cell r="F3107">
            <v>43225</v>
          </cell>
          <cell r="G3107">
            <v>43585</v>
          </cell>
          <cell r="H3107" t="str">
            <v>PRD</v>
          </cell>
          <cell r="I3107" t="str">
            <v>PRD</v>
          </cell>
          <cell r="J3107" t="str">
            <v>HONDA EXPORT</v>
          </cell>
          <cell r="K3107" t="str">
            <v>HONDA EXPORT</v>
          </cell>
          <cell r="L3107" t="str">
            <v>PRE ASSY HONDA EXPORT 1</v>
          </cell>
          <cell r="M3107" t="str">
            <v>WT</v>
          </cell>
          <cell r="N3107" t="str">
            <v>P/A CONTROLLER</v>
          </cell>
          <cell r="O3107" t="str">
            <v>A (NS)</v>
          </cell>
        </row>
        <row r="3108">
          <cell r="A3108">
            <v>23051</v>
          </cell>
          <cell r="B3108" t="str">
            <v>NAHROYA</v>
          </cell>
          <cell r="C3108" t="str">
            <v>SAMI</v>
          </cell>
          <cell r="D3108" t="str">
            <v>OPT-569</v>
          </cell>
          <cell r="E3108">
            <v>43361</v>
          </cell>
          <cell r="F3108">
            <v>43391</v>
          </cell>
          <cell r="G3108">
            <v>43769</v>
          </cell>
          <cell r="H3108" t="str">
            <v>PRD</v>
          </cell>
          <cell r="I3108" t="str">
            <v>PRD</v>
          </cell>
          <cell r="J3108" t="str">
            <v>HONDA EXPORT</v>
          </cell>
          <cell r="K3108" t="str">
            <v>HONDA EXPORT</v>
          </cell>
          <cell r="L3108" t="str">
            <v>PRE ASSY HONDA EXPORT 1</v>
          </cell>
          <cell r="M3108" t="str">
            <v>JM3-HAD-02</v>
          </cell>
          <cell r="N3108" t="str">
            <v>WFAP 2.2</v>
          </cell>
          <cell r="O3108" t="str">
            <v>A (NS)</v>
          </cell>
        </row>
        <row r="3109">
          <cell r="A3109">
            <v>23191</v>
          </cell>
          <cell r="B3109" t="str">
            <v>AKHMAD SAEFUL</v>
          </cell>
          <cell r="C3109" t="str">
            <v>SAMI</v>
          </cell>
          <cell r="D3109" t="str">
            <v>OPT-573</v>
          </cell>
          <cell r="E3109">
            <v>43421</v>
          </cell>
          <cell r="F3109">
            <v>43451</v>
          </cell>
          <cell r="G3109">
            <v>43830</v>
          </cell>
          <cell r="H3109" t="str">
            <v>PRD</v>
          </cell>
          <cell r="I3109" t="str">
            <v>PRD</v>
          </cell>
          <cell r="J3109" t="str">
            <v>HONDA EXPORT</v>
          </cell>
          <cell r="K3109" t="str">
            <v>HONDA EXPORT</v>
          </cell>
          <cell r="L3109" t="str">
            <v>PRE ASSY HONDA EXPORT 1</v>
          </cell>
          <cell r="M3109" t="str">
            <v>TV-10</v>
          </cell>
          <cell r="N3109" t="str">
            <v>WFAP 2.2</v>
          </cell>
          <cell r="O3109" t="str">
            <v>A (NS)</v>
          </cell>
        </row>
        <row r="3110">
          <cell r="A3110">
            <v>23525</v>
          </cell>
          <cell r="B3110" t="str">
            <v>SRI REJEKI</v>
          </cell>
          <cell r="C3110" t="str">
            <v>SAMI</v>
          </cell>
          <cell r="D3110" t="str">
            <v>OPT-576</v>
          </cell>
          <cell r="E3110">
            <v>43441</v>
          </cell>
          <cell r="F3110">
            <v>43472</v>
          </cell>
          <cell r="G3110">
            <v>43830</v>
          </cell>
          <cell r="H3110" t="str">
            <v>PRD</v>
          </cell>
          <cell r="I3110" t="str">
            <v>PRD</v>
          </cell>
          <cell r="J3110" t="str">
            <v>HONDA EXPORT</v>
          </cell>
          <cell r="K3110" t="str">
            <v>HONDA EXPORT</v>
          </cell>
          <cell r="L3110" t="str">
            <v>PRE ASSY HONDA EXPORT 1</v>
          </cell>
          <cell r="M3110" t="str">
            <v>WT</v>
          </cell>
          <cell r="N3110" t="str">
            <v>P/A CONTROLLER</v>
          </cell>
          <cell r="O3110" t="str">
            <v>A (NS)</v>
          </cell>
        </row>
        <row r="3111">
          <cell r="A3111">
            <v>23529</v>
          </cell>
          <cell r="B3111" t="str">
            <v>TRISKA ALDAFIYAH</v>
          </cell>
          <cell r="C3111" t="str">
            <v>SAMI</v>
          </cell>
          <cell r="D3111" t="str">
            <v>OPT-576</v>
          </cell>
          <cell r="E3111">
            <v>43441</v>
          </cell>
          <cell r="F3111">
            <v>43472</v>
          </cell>
          <cell r="G3111">
            <v>43830</v>
          </cell>
          <cell r="H3111" t="str">
            <v>PRD</v>
          </cell>
          <cell r="I3111" t="str">
            <v>PRD</v>
          </cell>
          <cell r="J3111" t="str">
            <v>HONDA EXPORT</v>
          </cell>
          <cell r="K3111" t="str">
            <v>HONDA EXPORT</v>
          </cell>
          <cell r="L3111" t="str">
            <v>PRE ASSY HONDA EXPORT 1</v>
          </cell>
          <cell r="M3111" t="str">
            <v>KANBAN</v>
          </cell>
          <cell r="N3111" t="str">
            <v>P/A CONTROLLER</v>
          </cell>
          <cell r="O3111" t="str">
            <v>A (NS)</v>
          </cell>
        </row>
        <row r="3112">
          <cell r="A3112">
            <v>23530</v>
          </cell>
          <cell r="B3112" t="str">
            <v xml:space="preserve">ULFA NUR AMALIA </v>
          </cell>
          <cell r="C3112" t="str">
            <v>SAMI</v>
          </cell>
          <cell r="D3112" t="str">
            <v>OPT-576</v>
          </cell>
          <cell r="E3112">
            <v>43441</v>
          </cell>
          <cell r="F3112">
            <v>43472</v>
          </cell>
          <cell r="G3112">
            <v>43830</v>
          </cell>
          <cell r="H3112" t="str">
            <v>PRD</v>
          </cell>
          <cell r="I3112" t="str">
            <v>PRD</v>
          </cell>
          <cell r="J3112" t="str">
            <v>HONDA EXPORT</v>
          </cell>
          <cell r="K3112" t="str">
            <v>HONDA EXPORT</v>
          </cell>
          <cell r="L3112" t="str">
            <v>PRE ASSY HONDA EXPORT 1</v>
          </cell>
          <cell r="M3112" t="str">
            <v>KANBAN</v>
          </cell>
          <cell r="N3112" t="str">
            <v>P/A CONTROLLER</v>
          </cell>
          <cell r="O3112" t="str">
            <v>A (NS)</v>
          </cell>
        </row>
        <row r="3113">
          <cell r="A3113">
            <v>23531</v>
          </cell>
          <cell r="B3113" t="str">
            <v>UMUL FARIKHAH</v>
          </cell>
          <cell r="C3113" t="str">
            <v>SAMI</v>
          </cell>
          <cell r="D3113" t="str">
            <v>OPT-576</v>
          </cell>
          <cell r="E3113">
            <v>43441</v>
          </cell>
          <cell r="F3113">
            <v>43472</v>
          </cell>
          <cell r="G3113">
            <v>43830</v>
          </cell>
          <cell r="H3113" t="str">
            <v>PRD</v>
          </cell>
          <cell r="I3113" t="str">
            <v>PRD</v>
          </cell>
          <cell r="J3113" t="str">
            <v>HONDA EXPORT</v>
          </cell>
          <cell r="K3113" t="str">
            <v>HONDA EXPORT</v>
          </cell>
          <cell r="L3113" t="str">
            <v>PRE ASSY HONDA EXPORT 1</v>
          </cell>
          <cell r="M3113" t="str">
            <v>WT</v>
          </cell>
          <cell r="N3113" t="str">
            <v>P/A CONTROLLER</v>
          </cell>
          <cell r="O3113" t="str">
            <v>A (NS)</v>
          </cell>
        </row>
        <row r="3114">
          <cell r="A3114" t="str">
            <v>B00859</v>
          </cell>
          <cell r="B3114" t="str">
            <v>ABDUL MAJID</v>
          </cell>
          <cell r="C3114" t="str">
            <v>SAMI</v>
          </cell>
          <cell r="D3114" t="str">
            <v>BBF-017</v>
          </cell>
          <cell r="E3114">
            <v>40945</v>
          </cell>
          <cell r="F3114" t="str">
            <v>-</v>
          </cell>
          <cell r="G3114" t="str">
            <v>-</v>
          </cell>
          <cell r="H3114" t="str">
            <v>PRD</v>
          </cell>
          <cell r="I3114" t="str">
            <v>PRD</v>
          </cell>
          <cell r="J3114" t="str">
            <v>HONDA EXPORT</v>
          </cell>
          <cell r="K3114" t="str">
            <v>HONDA EXPORT</v>
          </cell>
          <cell r="L3114" t="str">
            <v>PRE ASSY HONDA EXPORT 1</v>
          </cell>
          <cell r="M3114" t="str">
            <v>JT-HDA-01</v>
          </cell>
          <cell r="N3114" t="str">
            <v>WFAP 2.2</v>
          </cell>
          <cell r="O3114" t="str">
            <v>A (NS)</v>
          </cell>
        </row>
        <row r="3115">
          <cell r="A3115">
            <v>629</v>
          </cell>
          <cell r="B3115" t="str">
            <v>SETYO RAHAYUNINGSIH</v>
          </cell>
          <cell r="C3115" t="str">
            <v>SAMI</v>
          </cell>
          <cell r="D3115" t="str">
            <v>OPT-16</v>
          </cell>
          <cell r="E3115">
            <v>37781</v>
          </cell>
          <cell r="F3115" t="str">
            <v>-</v>
          </cell>
          <cell r="G3115" t="str">
            <v>-</v>
          </cell>
          <cell r="H3115" t="str">
            <v>PRD</v>
          </cell>
          <cell r="I3115" t="str">
            <v>PRD</v>
          </cell>
          <cell r="J3115" t="str">
            <v>HONDA EXPORT</v>
          </cell>
          <cell r="K3115" t="str">
            <v>HONDA EXPORT</v>
          </cell>
          <cell r="L3115" t="str">
            <v>PRE ASSY HONDA EXPORT 1</v>
          </cell>
          <cell r="M3115" t="str">
            <v>JM2-HDA-05,06</v>
          </cell>
          <cell r="N3115" t="str">
            <v>WFAP 2.2</v>
          </cell>
          <cell r="O3115" t="str">
            <v>B</v>
          </cell>
        </row>
        <row r="3116">
          <cell r="A3116">
            <v>1044</v>
          </cell>
          <cell r="B3116" t="str">
            <v>ENDANG DEWI MURNI</v>
          </cell>
          <cell r="C3116" t="str">
            <v>SAMI</v>
          </cell>
          <cell r="D3116" t="str">
            <v>OPT-26</v>
          </cell>
          <cell r="E3116">
            <v>37879</v>
          </cell>
          <cell r="F3116" t="str">
            <v>-</v>
          </cell>
          <cell r="G3116" t="str">
            <v>-</v>
          </cell>
          <cell r="H3116" t="str">
            <v>PRD</v>
          </cell>
          <cell r="I3116" t="str">
            <v>PRD</v>
          </cell>
          <cell r="J3116" t="str">
            <v>HONDA EXPORT</v>
          </cell>
          <cell r="K3116" t="str">
            <v>HONDA EXPORT</v>
          </cell>
          <cell r="L3116" t="str">
            <v>PRE ASSY HONDA EXPORT 1</v>
          </cell>
          <cell r="M3116" t="str">
            <v>TWS-HDA-03</v>
          </cell>
          <cell r="N3116" t="str">
            <v>WFAP 2.2</v>
          </cell>
          <cell r="O3116" t="str">
            <v>B</v>
          </cell>
        </row>
        <row r="3117">
          <cell r="A3117">
            <v>5763</v>
          </cell>
          <cell r="B3117" t="str">
            <v>DYAH TRI KINASIH</v>
          </cell>
          <cell r="C3117" t="str">
            <v>SAMI</v>
          </cell>
          <cell r="D3117" t="str">
            <v>OPT-135</v>
          </cell>
          <cell r="E3117">
            <v>39114</v>
          </cell>
          <cell r="F3117" t="str">
            <v>-</v>
          </cell>
          <cell r="G3117" t="str">
            <v>-</v>
          </cell>
          <cell r="H3117" t="str">
            <v>PRD</v>
          </cell>
          <cell r="I3117" t="str">
            <v>PRD</v>
          </cell>
          <cell r="J3117" t="str">
            <v>HONDA EXPORT</v>
          </cell>
          <cell r="K3117" t="str">
            <v>HONDA EXPORT</v>
          </cell>
          <cell r="L3117" t="str">
            <v>PRE ASSY HONDA EXPORT 1</v>
          </cell>
          <cell r="M3117" t="str">
            <v>INSP PRE ASSY</v>
          </cell>
          <cell r="N3117" t="str">
            <v>P/A INSPECTOR</v>
          </cell>
          <cell r="O3117" t="str">
            <v>B</v>
          </cell>
        </row>
        <row r="3118">
          <cell r="A3118">
            <v>5813</v>
          </cell>
          <cell r="B3118" t="str">
            <v>SITI YULI QOIFAH</v>
          </cell>
          <cell r="C3118" t="str">
            <v>SAMI</v>
          </cell>
          <cell r="D3118" t="str">
            <v>OPT-135</v>
          </cell>
          <cell r="E3118">
            <v>39114</v>
          </cell>
          <cell r="F3118" t="str">
            <v>-</v>
          </cell>
          <cell r="G3118" t="str">
            <v>-</v>
          </cell>
          <cell r="H3118" t="str">
            <v>PRD</v>
          </cell>
          <cell r="I3118" t="str">
            <v>PRD</v>
          </cell>
          <cell r="J3118" t="str">
            <v>HONDA EXPORT</v>
          </cell>
          <cell r="K3118" t="str">
            <v>HONDA EXPORT</v>
          </cell>
          <cell r="L3118" t="str">
            <v>PRE ASSY HONDA EXPORT 1</v>
          </cell>
          <cell r="M3118" t="str">
            <v>SUB LINE CHO</v>
          </cell>
          <cell r="N3118" t="str">
            <v>GL</v>
          </cell>
          <cell r="O3118" t="str">
            <v>B</v>
          </cell>
        </row>
        <row r="3119">
          <cell r="A3119">
            <v>12568</v>
          </cell>
          <cell r="B3119" t="str">
            <v>WAHYUNINGSIH</v>
          </cell>
          <cell r="C3119" t="str">
            <v>SAMI</v>
          </cell>
          <cell r="D3119" t="str">
            <v>OPT-318</v>
          </cell>
          <cell r="E3119">
            <v>40812</v>
          </cell>
          <cell r="F3119" t="str">
            <v>-</v>
          </cell>
          <cell r="G3119" t="str">
            <v>-</v>
          </cell>
          <cell r="H3119" t="str">
            <v>PRD</v>
          </cell>
          <cell r="I3119" t="str">
            <v>PRD</v>
          </cell>
          <cell r="J3119" t="str">
            <v>HONDA EXPORT</v>
          </cell>
          <cell r="K3119" t="str">
            <v>HONDA EXPORT</v>
          </cell>
          <cell r="L3119" t="str">
            <v>PRE ASSY HONDA EXPORT 1</v>
          </cell>
          <cell r="M3119" t="str">
            <v>JM3-HAD-01,02</v>
          </cell>
          <cell r="N3119" t="str">
            <v>WFAP 2.2</v>
          </cell>
          <cell r="O3119" t="str">
            <v>B</v>
          </cell>
        </row>
        <row r="3120">
          <cell r="A3120">
            <v>20386</v>
          </cell>
          <cell r="B3120" t="str">
            <v>MUHAMMAD IMAM PRAYOGO</v>
          </cell>
          <cell r="C3120" t="str">
            <v>SAMI</v>
          </cell>
          <cell r="D3120" t="str">
            <v>OPT-502</v>
          </cell>
          <cell r="E3120">
            <v>42614</v>
          </cell>
          <cell r="F3120" t="str">
            <v>-</v>
          </cell>
          <cell r="G3120" t="str">
            <v>-</v>
          </cell>
          <cell r="H3120" t="str">
            <v>PRD</v>
          </cell>
          <cell r="I3120" t="str">
            <v>PRD</v>
          </cell>
          <cell r="J3120" t="str">
            <v>HONDA EXPORT</v>
          </cell>
          <cell r="K3120" t="str">
            <v>HONDA EXPORT</v>
          </cell>
          <cell r="L3120" t="str">
            <v>PRE ASSY HONDA EXPORT 1</v>
          </cell>
          <cell r="M3120" t="str">
            <v>KANBAN (DIFABLE)</v>
          </cell>
          <cell r="N3120" t="str">
            <v>P/A CONTROLLER</v>
          </cell>
          <cell r="O3120" t="str">
            <v>B</v>
          </cell>
        </row>
        <row r="3121">
          <cell r="A3121">
            <v>20510</v>
          </cell>
          <cell r="B3121" t="str">
            <v>NOVI KURNIASARI</v>
          </cell>
          <cell r="C3121" t="str">
            <v>SAMI</v>
          </cell>
          <cell r="D3121" t="str">
            <v>OPT-504</v>
          </cell>
          <cell r="E3121">
            <v>42634</v>
          </cell>
          <cell r="F3121">
            <v>43132</v>
          </cell>
          <cell r="G3121">
            <v>43496</v>
          </cell>
          <cell r="H3121" t="str">
            <v>PRD</v>
          </cell>
          <cell r="I3121" t="str">
            <v>PRD</v>
          </cell>
          <cell r="J3121" t="str">
            <v>HONDA EXPORT</v>
          </cell>
          <cell r="K3121" t="str">
            <v>HONDA EXPORT</v>
          </cell>
          <cell r="L3121" t="str">
            <v>PRE ASSY HONDA EXPORT 1</v>
          </cell>
          <cell r="M3121" t="str">
            <v>WT</v>
          </cell>
          <cell r="N3121" t="str">
            <v>P/A CONTROLLER</v>
          </cell>
          <cell r="O3121" t="str">
            <v>B</v>
          </cell>
        </row>
        <row r="3122">
          <cell r="A3122">
            <v>20543</v>
          </cell>
          <cell r="B3122" t="str">
            <v>SITI ZUMAROTUN NAFISAH</v>
          </cell>
          <cell r="C3122" t="str">
            <v>SAMI</v>
          </cell>
          <cell r="D3122" t="str">
            <v>OPT-504</v>
          </cell>
          <cell r="E3122">
            <v>42634</v>
          </cell>
          <cell r="F3122">
            <v>43132</v>
          </cell>
          <cell r="G3122">
            <v>43496</v>
          </cell>
          <cell r="H3122" t="str">
            <v>PRD</v>
          </cell>
          <cell r="I3122" t="str">
            <v>PRD</v>
          </cell>
          <cell r="J3122" t="str">
            <v>HONDA EXPORT</v>
          </cell>
          <cell r="K3122" t="str">
            <v>HONDA EXPORT</v>
          </cell>
          <cell r="L3122" t="str">
            <v>PRE ASSY HONDA EXPORT 1</v>
          </cell>
          <cell r="M3122" t="str">
            <v>TWS-HDA-06,07</v>
          </cell>
          <cell r="N3122" t="str">
            <v>WFAP 2.2</v>
          </cell>
          <cell r="O3122" t="str">
            <v>B</v>
          </cell>
        </row>
        <row r="3123">
          <cell r="A3123">
            <v>20547</v>
          </cell>
          <cell r="B3123" t="str">
            <v xml:space="preserve">AFIANA NAZULA </v>
          </cell>
          <cell r="C3123" t="str">
            <v>SAMI</v>
          </cell>
          <cell r="D3123" t="str">
            <v>OPT-505</v>
          </cell>
          <cell r="E3123">
            <v>42639</v>
          </cell>
          <cell r="F3123">
            <v>43132</v>
          </cell>
          <cell r="G3123">
            <v>43496</v>
          </cell>
          <cell r="H3123" t="str">
            <v>PRD</v>
          </cell>
          <cell r="I3123" t="str">
            <v>PRD</v>
          </cell>
          <cell r="J3123" t="str">
            <v>HONDA EXPORT</v>
          </cell>
          <cell r="K3123" t="str">
            <v>HONDA EXPORT</v>
          </cell>
          <cell r="L3123" t="str">
            <v>PRE ASSY HONDA EXPORT 1</v>
          </cell>
          <cell r="M3123" t="str">
            <v>WT</v>
          </cell>
          <cell r="N3123" t="str">
            <v>P/A CONTROLLER</v>
          </cell>
          <cell r="O3123" t="str">
            <v>B</v>
          </cell>
        </row>
        <row r="3124">
          <cell r="A3124">
            <v>20553</v>
          </cell>
          <cell r="B3124" t="str">
            <v>ALFIYATUR ROHMANIAH</v>
          </cell>
          <cell r="C3124" t="str">
            <v>SAMI</v>
          </cell>
          <cell r="D3124" t="str">
            <v>OPT-505</v>
          </cell>
          <cell r="E3124">
            <v>42639</v>
          </cell>
          <cell r="F3124">
            <v>43132</v>
          </cell>
          <cell r="G3124">
            <v>43496</v>
          </cell>
          <cell r="H3124" t="str">
            <v>PRD</v>
          </cell>
          <cell r="I3124" t="str">
            <v>PRD</v>
          </cell>
          <cell r="J3124" t="str">
            <v>HONDA EXPORT</v>
          </cell>
          <cell r="K3124" t="str">
            <v>HONDA EXPORT</v>
          </cell>
          <cell r="L3124" t="str">
            <v>PRE ASSY HONDA EXPORT 1</v>
          </cell>
          <cell r="M3124" t="str">
            <v>INSP SILIKON INJECTION</v>
          </cell>
          <cell r="N3124" t="str">
            <v>P/A INSPECTOR</v>
          </cell>
          <cell r="O3124" t="str">
            <v>B</v>
          </cell>
        </row>
        <row r="3125">
          <cell r="A3125">
            <v>20563</v>
          </cell>
          <cell r="B3125" t="str">
            <v>DEFI SAFITA</v>
          </cell>
          <cell r="C3125" t="str">
            <v>SAMI</v>
          </cell>
          <cell r="D3125" t="str">
            <v>OPT-505</v>
          </cell>
          <cell r="E3125">
            <v>42639</v>
          </cell>
          <cell r="F3125">
            <v>43132</v>
          </cell>
          <cell r="G3125">
            <v>43496</v>
          </cell>
          <cell r="H3125" t="str">
            <v>PRD</v>
          </cell>
          <cell r="I3125" t="str">
            <v>PRD</v>
          </cell>
          <cell r="J3125" t="str">
            <v>HONDA EXPORT</v>
          </cell>
          <cell r="K3125" t="str">
            <v>HONDA EXPORT</v>
          </cell>
          <cell r="L3125" t="str">
            <v>PRE ASSY HONDA EXPORT 1</v>
          </cell>
          <cell r="M3125" t="str">
            <v>JM2-HAD-08</v>
          </cell>
          <cell r="N3125" t="str">
            <v>WFAP 2.2</v>
          </cell>
          <cell r="O3125" t="str">
            <v>B</v>
          </cell>
        </row>
        <row r="3126">
          <cell r="A3126">
            <v>20568</v>
          </cell>
          <cell r="B3126" t="str">
            <v>DEWI VERA SASKIYA</v>
          </cell>
          <cell r="C3126" t="str">
            <v>SAMI</v>
          </cell>
          <cell r="D3126" t="str">
            <v>OPT-505</v>
          </cell>
          <cell r="E3126">
            <v>42639</v>
          </cell>
          <cell r="F3126">
            <v>43132</v>
          </cell>
          <cell r="G3126">
            <v>43496</v>
          </cell>
          <cell r="H3126" t="str">
            <v>PRD</v>
          </cell>
          <cell r="I3126" t="str">
            <v>PRD</v>
          </cell>
          <cell r="J3126" t="str">
            <v>HONDA EXPORT</v>
          </cell>
          <cell r="K3126" t="str">
            <v>HONDA EXPORT</v>
          </cell>
          <cell r="L3126" t="str">
            <v>PRE ASSY HONDA EXPORT 1</v>
          </cell>
          <cell r="M3126" t="str">
            <v>KANBAN</v>
          </cell>
          <cell r="N3126" t="str">
            <v>P/A CONTROLLER</v>
          </cell>
          <cell r="O3126" t="str">
            <v>B</v>
          </cell>
        </row>
        <row r="3127">
          <cell r="A3127">
            <v>21305</v>
          </cell>
          <cell r="B3127" t="str">
            <v>NABELA DWI PRATIWI</v>
          </cell>
          <cell r="C3127" t="str">
            <v>SAMI</v>
          </cell>
          <cell r="D3127" t="str">
            <v>OPT-530</v>
          </cell>
          <cell r="E3127">
            <v>43010</v>
          </cell>
          <cell r="F3127">
            <v>43405</v>
          </cell>
          <cell r="G3127">
            <v>43769</v>
          </cell>
          <cell r="H3127" t="str">
            <v>PRD</v>
          </cell>
          <cell r="I3127" t="str">
            <v>PRD</v>
          </cell>
          <cell r="J3127" t="str">
            <v>HONDA EXPORT</v>
          </cell>
          <cell r="K3127" t="str">
            <v>HONDA EXPORT</v>
          </cell>
          <cell r="L3127" t="str">
            <v>PRE ASSY HONDA EXPORT 1</v>
          </cell>
          <cell r="M3127" t="str">
            <v>WT</v>
          </cell>
          <cell r="N3127" t="str">
            <v>P/A CONTROLLER</v>
          </cell>
          <cell r="O3127" t="str">
            <v>B</v>
          </cell>
        </row>
        <row r="3128">
          <cell r="A3128">
            <v>21824</v>
          </cell>
          <cell r="B3128" t="str">
            <v>DHURFITUL MUFIDAH</v>
          </cell>
          <cell r="C3128" t="str">
            <v>SAMI</v>
          </cell>
          <cell r="D3128" t="str">
            <v>OPT-541</v>
          </cell>
          <cell r="E3128">
            <v>43098</v>
          </cell>
          <cell r="F3128">
            <v>43129</v>
          </cell>
          <cell r="G3128">
            <v>43496</v>
          </cell>
          <cell r="H3128" t="str">
            <v>PRD</v>
          </cell>
          <cell r="I3128" t="str">
            <v>PRD</v>
          </cell>
          <cell r="J3128" t="str">
            <v>HONDA EXPORT</v>
          </cell>
          <cell r="K3128" t="str">
            <v>HONDA EXPORT</v>
          </cell>
          <cell r="L3128" t="str">
            <v>PRE ASSY HONDA EXPORT 1</v>
          </cell>
          <cell r="M3128" t="str">
            <v>TWS-HDA-11,10</v>
          </cell>
          <cell r="N3128" t="str">
            <v>WFAP 2.2</v>
          </cell>
          <cell r="O3128" t="str">
            <v>B</v>
          </cell>
        </row>
        <row r="3129">
          <cell r="A3129">
            <v>22088</v>
          </cell>
          <cell r="B3129" t="str">
            <v>NURUL SOBAH</v>
          </cell>
          <cell r="C3129" t="str">
            <v>SAMI</v>
          </cell>
          <cell r="D3129" t="str">
            <v>OPT-548</v>
          </cell>
          <cell r="E3129">
            <v>43150</v>
          </cell>
          <cell r="F3129">
            <v>43178</v>
          </cell>
          <cell r="G3129">
            <v>43555</v>
          </cell>
          <cell r="H3129" t="str">
            <v>PRD</v>
          </cell>
          <cell r="I3129" t="str">
            <v>PRD</v>
          </cell>
          <cell r="J3129" t="str">
            <v>HONDA EXPORT</v>
          </cell>
          <cell r="K3129" t="str">
            <v>HONDA EXPORT</v>
          </cell>
          <cell r="L3129" t="str">
            <v>PRE ASSY HONDA EXPORT 1</v>
          </cell>
          <cell r="M3129" t="str">
            <v>WT</v>
          </cell>
          <cell r="N3129" t="str">
            <v>P/A CONTROLLER</v>
          </cell>
          <cell r="O3129" t="str">
            <v>B</v>
          </cell>
        </row>
        <row r="3130">
          <cell r="A3130">
            <v>22408</v>
          </cell>
          <cell r="B3130" t="str">
            <v>NURUL MA'RIFAH</v>
          </cell>
          <cell r="C3130" t="str">
            <v>SAMI</v>
          </cell>
          <cell r="D3130" t="str">
            <v>OPT-558</v>
          </cell>
          <cell r="E3130">
            <v>43213</v>
          </cell>
          <cell r="F3130">
            <v>43243</v>
          </cell>
          <cell r="G3130">
            <v>43616</v>
          </cell>
          <cell r="H3130" t="str">
            <v>PRD</v>
          </cell>
          <cell r="I3130" t="str">
            <v>PRD</v>
          </cell>
          <cell r="J3130" t="str">
            <v>HONDA EXPORT</v>
          </cell>
          <cell r="K3130" t="str">
            <v>HONDA EXPORT</v>
          </cell>
          <cell r="L3130" t="str">
            <v>PRE ASSY HONDA EXPORT 1</v>
          </cell>
          <cell r="M3130" t="str">
            <v>MSU-HAD-03</v>
          </cell>
          <cell r="N3130" t="str">
            <v>WFAP 2.2</v>
          </cell>
          <cell r="O3130" t="str">
            <v>B</v>
          </cell>
        </row>
        <row r="3131">
          <cell r="A3131">
            <v>22812</v>
          </cell>
          <cell r="B3131" t="str">
            <v>ARUM SUSANTI</v>
          </cell>
          <cell r="C3131" t="str">
            <v>SAMI</v>
          </cell>
          <cell r="D3131" t="str">
            <v>OPT-567</v>
          </cell>
          <cell r="E3131">
            <v>43333</v>
          </cell>
          <cell r="F3131">
            <v>43364</v>
          </cell>
          <cell r="G3131">
            <v>43738</v>
          </cell>
          <cell r="H3131" t="str">
            <v>PRD</v>
          </cell>
          <cell r="I3131" t="str">
            <v>PRD</v>
          </cell>
          <cell r="J3131" t="str">
            <v>HONDA EXPORT</v>
          </cell>
          <cell r="K3131" t="str">
            <v>HONDA EXPORT</v>
          </cell>
          <cell r="L3131" t="str">
            <v>PRE ASSY HONDA EXPORT 1</v>
          </cell>
          <cell r="M3131" t="str">
            <v>MSU-HDA-01</v>
          </cell>
          <cell r="N3131" t="str">
            <v>WFAP 2.2</v>
          </cell>
          <cell r="O3131" t="str">
            <v>B</v>
          </cell>
        </row>
        <row r="3132">
          <cell r="A3132">
            <v>22813</v>
          </cell>
          <cell r="B3132" t="str">
            <v>AYU LILIS SUYANI</v>
          </cell>
          <cell r="C3132" t="str">
            <v>SAMI</v>
          </cell>
          <cell r="D3132" t="str">
            <v>OPT-567</v>
          </cell>
          <cell r="E3132">
            <v>43333</v>
          </cell>
          <cell r="F3132">
            <v>43364</v>
          </cell>
          <cell r="G3132">
            <v>43738</v>
          </cell>
          <cell r="H3132" t="str">
            <v>PRD</v>
          </cell>
          <cell r="I3132" t="str">
            <v>PRD</v>
          </cell>
          <cell r="J3132" t="str">
            <v>HONDA EXPORT</v>
          </cell>
          <cell r="K3132" t="str">
            <v>HONDA EXPORT</v>
          </cell>
          <cell r="L3132" t="str">
            <v>PRE ASSY HONDA EXPORT 1</v>
          </cell>
          <cell r="M3132" t="str">
            <v>TWS-HDA-08,09</v>
          </cell>
          <cell r="N3132" t="str">
            <v>WFAP 2.2</v>
          </cell>
          <cell r="O3132" t="str">
            <v>B</v>
          </cell>
        </row>
        <row r="3133">
          <cell r="A3133">
            <v>22815</v>
          </cell>
          <cell r="B3133" t="str">
            <v>CANTIA YULIATIN</v>
          </cell>
          <cell r="C3133" t="str">
            <v>SAMI</v>
          </cell>
          <cell r="D3133" t="str">
            <v>OPT-567</v>
          </cell>
          <cell r="E3133">
            <v>43333</v>
          </cell>
          <cell r="F3133">
            <v>43364</v>
          </cell>
          <cell r="G3133">
            <v>43738</v>
          </cell>
          <cell r="H3133" t="str">
            <v>PRD</v>
          </cell>
          <cell r="I3133" t="str">
            <v>PRD</v>
          </cell>
          <cell r="J3133" t="str">
            <v>HONDA EXPORT</v>
          </cell>
          <cell r="K3133" t="str">
            <v>HONDA EXPORT</v>
          </cell>
          <cell r="L3133" t="str">
            <v>PRE ASSY HONDA EXPORT 1</v>
          </cell>
          <cell r="M3133" t="str">
            <v>JM2-HDA-03,04,07</v>
          </cell>
          <cell r="N3133" t="str">
            <v>WFAP 2.2</v>
          </cell>
          <cell r="O3133" t="str">
            <v>B</v>
          </cell>
        </row>
        <row r="3134">
          <cell r="A3134">
            <v>22854</v>
          </cell>
          <cell r="B3134" t="str">
            <v>MIFTAHUL JANAH</v>
          </cell>
          <cell r="C3134" t="str">
            <v>SAMI</v>
          </cell>
          <cell r="D3134" t="str">
            <v>OPT-567</v>
          </cell>
          <cell r="E3134">
            <v>43333</v>
          </cell>
          <cell r="F3134">
            <v>43364</v>
          </cell>
          <cell r="G3134">
            <v>43738</v>
          </cell>
          <cell r="H3134" t="str">
            <v>PRD</v>
          </cell>
          <cell r="I3134" t="str">
            <v>PRD</v>
          </cell>
          <cell r="J3134" t="str">
            <v>HONDA EXPORT</v>
          </cell>
          <cell r="K3134" t="str">
            <v>HONDA EXPORT</v>
          </cell>
          <cell r="L3134" t="str">
            <v>PRE ASSY HONDA EXPORT 1</v>
          </cell>
          <cell r="M3134" t="str">
            <v>KANBAN</v>
          </cell>
          <cell r="N3134" t="str">
            <v>P/A CONTROLLER</v>
          </cell>
          <cell r="O3134" t="str">
            <v>B</v>
          </cell>
        </row>
        <row r="3135">
          <cell r="A3135">
            <v>23045</v>
          </cell>
          <cell r="B3135" t="str">
            <v>MIFTAKHUL JANAH</v>
          </cell>
          <cell r="C3135" t="str">
            <v>SAMI</v>
          </cell>
          <cell r="D3135" t="str">
            <v>OPT-569</v>
          </cell>
          <cell r="E3135">
            <v>43361</v>
          </cell>
          <cell r="F3135">
            <v>43391</v>
          </cell>
          <cell r="G3135">
            <v>43769</v>
          </cell>
          <cell r="H3135" t="str">
            <v>PRD</v>
          </cell>
          <cell r="I3135" t="str">
            <v>PRD</v>
          </cell>
          <cell r="J3135" t="str">
            <v>HONDA EXPORT</v>
          </cell>
          <cell r="K3135" t="str">
            <v>HONDA EXPORT</v>
          </cell>
          <cell r="L3135" t="str">
            <v>PRE ASSY HONDA EXPORT 1</v>
          </cell>
          <cell r="M3135" t="str">
            <v>MSY-HAD-01,02</v>
          </cell>
          <cell r="N3135" t="str">
            <v>WFAP 2.2</v>
          </cell>
          <cell r="O3135" t="str">
            <v>B</v>
          </cell>
        </row>
        <row r="3136">
          <cell r="A3136">
            <v>23296</v>
          </cell>
          <cell r="B3136" t="str">
            <v>ANIF AFIATUL IZZATI</v>
          </cell>
          <cell r="C3136" t="str">
            <v>SAMI</v>
          </cell>
          <cell r="D3136" t="str">
            <v>OPT-574</v>
          </cell>
          <cell r="E3136">
            <v>43427</v>
          </cell>
          <cell r="F3136">
            <v>43457</v>
          </cell>
          <cell r="G3136">
            <v>43830</v>
          </cell>
          <cell r="H3136" t="str">
            <v>PRD</v>
          </cell>
          <cell r="I3136" t="str">
            <v>PRD</v>
          </cell>
          <cell r="J3136" t="str">
            <v>HONDA EXPORT</v>
          </cell>
          <cell r="K3136" t="str">
            <v>HONDA EXPORT</v>
          </cell>
          <cell r="L3136" t="str">
            <v>PRE ASSY HONDA EXPORT 1</v>
          </cell>
          <cell r="M3136" t="str">
            <v>WT</v>
          </cell>
          <cell r="N3136" t="str">
            <v>P/A CONTROLLER</v>
          </cell>
          <cell r="O3136" t="str">
            <v>B</v>
          </cell>
        </row>
        <row r="3137">
          <cell r="A3137">
            <v>23303</v>
          </cell>
          <cell r="B3137" t="str">
            <v>DINDA FADHILA</v>
          </cell>
          <cell r="C3137" t="str">
            <v>SAMI</v>
          </cell>
          <cell r="D3137" t="str">
            <v>OPT-574</v>
          </cell>
          <cell r="E3137">
            <v>43427</v>
          </cell>
          <cell r="F3137">
            <v>43457</v>
          </cell>
          <cell r="G3137">
            <v>43830</v>
          </cell>
          <cell r="H3137" t="str">
            <v>PRD</v>
          </cell>
          <cell r="I3137" t="str">
            <v>PRD</v>
          </cell>
          <cell r="J3137" t="str">
            <v>HONDA EXPORT</v>
          </cell>
          <cell r="K3137" t="str">
            <v>HONDA EXPORT</v>
          </cell>
          <cell r="L3137" t="str">
            <v>PRE ASSY HONDA EXPORT 1</v>
          </cell>
          <cell r="M3137" t="str">
            <v>OJT JM2-HAD-08</v>
          </cell>
          <cell r="N3137" t="str">
            <v>INTERNAL TRIAL</v>
          </cell>
          <cell r="O3137" t="str">
            <v>B</v>
          </cell>
        </row>
        <row r="3138">
          <cell r="A3138">
            <v>23351</v>
          </cell>
          <cell r="B3138" t="str">
            <v>RIZA MAILIN NIKMAH</v>
          </cell>
          <cell r="C3138" t="str">
            <v>SAMI</v>
          </cell>
          <cell r="D3138" t="str">
            <v>OPT-574</v>
          </cell>
          <cell r="E3138">
            <v>43427</v>
          </cell>
          <cell r="F3138">
            <v>43457</v>
          </cell>
          <cell r="G3138">
            <v>43830</v>
          </cell>
          <cell r="H3138" t="str">
            <v>PRD</v>
          </cell>
          <cell r="I3138" t="str">
            <v>PRD</v>
          </cell>
          <cell r="J3138" t="str">
            <v>HONDA EXPORT</v>
          </cell>
          <cell r="K3138" t="str">
            <v>HONDA EXPORT</v>
          </cell>
          <cell r="L3138" t="str">
            <v>PRE ASSY HONDA EXPORT 1</v>
          </cell>
          <cell r="M3138" t="str">
            <v>OJT TWS-HAD-06</v>
          </cell>
          <cell r="N3138" t="str">
            <v>INTERNAL TRIAL</v>
          </cell>
          <cell r="O3138" t="str">
            <v>B</v>
          </cell>
        </row>
        <row r="3139">
          <cell r="A3139">
            <v>23546</v>
          </cell>
          <cell r="B3139" t="str">
            <v>DINA ANNISSAUL HABIBAH</v>
          </cell>
          <cell r="C3139" t="str">
            <v>SAMI</v>
          </cell>
          <cell r="D3139" t="str">
            <v>OPT-577</v>
          </cell>
          <cell r="E3139">
            <v>43452</v>
          </cell>
          <cell r="F3139">
            <v>43483</v>
          </cell>
          <cell r="G3139">
            <v>43861</v>
          </cell>
          <cell r="H3139" t="str">
            <v>PRD</v>
          </cell>
          <cell r="I3139" t="str">
            <v>PRD</v>
          </cell>
          <cell r="J3139" t="str">
            <v>HONDA EXPORT</v>
          </cell>
          <cell r="K3139" t="str">
            <v>HONDA EXPORT</v>
          </cell>
          <cell r="L3139" t="str">
            <v>PRE ASSY HONDA EXPORT 1</v>
          </cell>
          <cell r="M3139" t="str">
            <v>OJT</v>
          </cell>
          <cell r="N3139" t="str">
            <v>INTERNAL TRIAL</v>
          </cell>
          <cell r="O3139" t="str">
            <v>B</v>
          </cell>
        </row>
        <row r="3140">
          <cell r="A3140">
            <v>1105</v>
          </cell>
          <cell r="B3140" t="str">
            <v>KHOMSATUN</v>
          </cell>
          <cell r="C3140" t="str">
            <v>SAMI</v>
          </cell>
          <cell r="D3140" t="str">
            <v>OPT-27</v>
          </cell>
          <cell r="E3140">
            <v>37887</v>
          </cell>
          <cell r="F3140" t="str">
            <v>-</v>
          </cell>
          <cell r="G3140" t="str">
            <v>-</v>
          </cell>
          <cell r="H3140" t="str">
            <v>PRD</v>
          </cell>
          <cell r="I3140" t="str">
            <v>PRD</v>
          </cell>
          <cell r="J3140" t="str">
            <v>HONDA EXPORT</v>
          </cell>
          <cell r="K3140" t="str">
            <v>HONDA EXPORT</v>
          </cell>
          <cell r="L3140" t="str">
            <v>PRE ASSY HONDA EXPORT 2</v>
          </cell>
          <cell r="M3140" t="str">
            <v>SUB LINE CHO</v>
          </cell>
          <cell r="N3140" t="str">
            <v>GL</v>
          </cell>
          <cell r="O3140" t="str">
            <v>A</v>
          </cell>
        </row>
        <row r="3141">
          <cell r="A3141">
            <v>5462</v>
          </cell>
          <cell r="B3141" t="str">
            <v>SUSILOWATI</v>
          </cell>
          <cell r="C3141" t="str">
            <v>SAMI</v>
          </cell>
          <cell r="D3141" t="str">
            <v>OPT-128</v>
          </cell>
          <cell r="E3141">
            <v>38991</v>
          </cell>
          <cell r="F3141" t="str">
            <v>-</v>
          </cell>
          <cell r="G3141" t="str">
            <v>-</v>
          </cell>
          <cell r="H3141" t="str">
            <v>PRD</v>
          </cell>
          <cell r="I3141" t="str">
            <v>PRD</v>
          </cell>
          <cell r="J3141" t="str">
            <v>HONDA EXPORT</v>
          </cell>
          <cell r="K3141" t="str">
            <v>HONDA EXPORT</v>
          </cell>
          <cell r="L3141" t="str">
            <v>PRE ASSY HONDA EXPORT 2</v>
          </cell>
          <cell r="M3141" t="str">
            <v>MC1-HDA-26, 01, 09</v>
          </cell>
          <cell r="N3141" t="str">
            <v>WFAP 2.1</v>
          </cell>
          <cell r="O3141" t="str">
            <v>A</v>
          </cell>
        </row>
        <row r="3142">
          <cell r="A3142">
            <v>20549</v>
          </cell>
          <cell r="B3142" t="str">
            <v xml:space="preserve">AFIDHATUL FITRIA </v>
          </cell>
          <cell r="C3142" t="str">
            <v>SAMI</v>
          </cell>
          <cell r="D3142" t="str">
            <v>OPT-505</v>
          </cell>
          <cell r="E3142">
            <v>42639</v>
          </cell>
          <cell r="F3142">
            <v>43132</v>
          </cell>
          <cell r="G3142">
            <v>43496</v>
          </cell>
          <cell r="H3142" t="str">
            <v>PRD</v>
          </cell>
          <cell r="I3142" t="str">
            <v>PRD</v>
          </cell>
          <cell r="J3142" t="str">
            <v>HONDA EXPORT</v>
          </cell>
          <cell r="K3142" t="str">
            <v>HONDA EXPORT</v>
          </cell>
          <cell r="L3142" t="str">
            <v>PRE ASSY HONDA EXPORT 2</v>
          </cell>
          <cell r="M3142" t="str">
            <v>MC1-HDA-04, 05</v>
          </cell>
          <cell r="N3142" t="str">
            <v>WFAP 2.1</v>
          </cell>
          <cell r="O3142" t="str">
            <v>A</v>
          </cell>
        </row>
        <row r="3143">
          <cell r="A3143">
            <v>20941</v>
          </cell>
          <cell r="B3143" t="str">
            <v xml:space="preserve">INDAH FITRIYANI </v>
          </cell>
          <cell r="C3143" t="str">
            <v>SAMI</v>
          </cell>
          <cell r="D3143" t="str">
            <v>OPT-511</v>
          </cell>
          <cell r="E3143">
            <v>42667</v>
          </cell>
          <cell r="F3143">
            <v>43160</v>
          </cell>
          <cell r="G3143">
            <v>43524</v>
          </cell>
          <cell r="H3143" t="str">
            <v>PRD</v>
          </cell>
          <cell r="I3143" t="str">
            <v>PRD</v>
          </cell>
          <cell r="J3143" t="str">
            <v>HONDA EXPORT</v>
          </cell>
          <cell r="K3143" t="str">
            <v>HONDA EXPORT</v>
          </cell>
          <cell r="L3143" t="str">
            <v>PRE ASSY HONDA EXPORT 2</v>
          </cell>
          <cell r="M3143" t="str">
            <v>MC1-HDA-16, 17</v>
          </cell>
          <cell r="N3143" t="str">
            <v>WFAP 2.1</v>
          </cell>
          <cell r="O3143" t="str">
            <v>A</v>
          </cell>
        </row>
        <row r="3144">
          <cell r="A3144">
            <v>21521</v>
          </cell>
          <cell r="B3144" t="str">
            <v>DIDIK ARIYANDI</v>
          </cell>
          <cell r="C3144" t="str">
            <v>SAMI</v>
          </cell>
          <cell r="D3144" t="str">
            <v>OPT-535</v>
          </cell>
          <cell r="E3144">
            <v>43045</v>
          </cell>
          <cell r="F3144">
            <v>43435</v>
          </cell>
          <cell r="G3144">
            <v>43799</v>
          </cell>
          <cell r="H3144" t="str">
            <v>PRD</v>
          </cell>
          <cell r="I3144" t="str">
            <v>PRD</v>
          </cell>
          <cell r="J3144" t="str">
            <v>HONDA EXPORT</v>
          </cell>
          <cell r="K3144" t="str">
            <v>HONDA EXPORT</v>
          </cell>
          <cell r="L3144" t="str">
            <v>PRE ASSY HONDA EXPORT 2</v>
          </cell>
          <cell r="M3144" t="str">
            <v>MC3-HDA-03, 04, 05</v>
          </cell>
          <cell r="N3144" t="str">
            <v>WFAP 2.1</v>
          </cell>
          <cell r="O3144" t="str">
            <v>A</v>
          </cell>
        </row>
        <row r="3145">
          <cell r="A3145">
            <v>21717</v>
          </cell>
          <cell r="B3145" t="str">
            <v>GUNAWAN</v>
          </cell>
          <cell r="C3145" t="str">
            <v>SAMI</v>
          </cell>
          <cell r="D3145" t="str">
            <v>OPT-539</v>
          </cell>
          <cell r="E3145">
            <v>43087</v>
          </cell>
          <cell r="F3145">
            <v>43118</v>
          </cell>
          <cell r="G3145">
            <v>43496</v>
          </cell>
          <cell r="H3145" t="str">
            <v>PRD</v>
          </cell>
          <cell r="I3145" t="str">
            <v>PRD</v>
          </cell>
          <cell r="J3145" t="str">
            <v>HONDA EXPORT</v>
          </cell>
          <cell r="K3145" t="str">
            <v>HONDA EXPORT</v>
          </cell>
          <cell r="L3145" t="str">
            <v>PRE ASSY HONDA EXPORT 2</v>
          </cell>
          <cell r="M3145" t="str">
            <v>KODERA</v>
          </cell>
          <cell r="N3145" t="str">
            <v>CUTTING WIRE</v>
          </cell>
          <cell r="O3145" t="str">
            <v>A</v>
          </cell>
        </row>
        <row r="3146">
          <cell r="A3146">
            <v>22062</v>
          </cell>
          <cell r="B3146" t="str">
            <v>ALFIANA AISYA</v>
          </cell>
          <cell r="C3146" t="str">
            <v>SAMI</v>
          </cell>
          <cell r="D3146" t="str">
            <v>OPT-548</v>
          </cell>
          <cell r="E3146">
            <v>43150</v>
          </cell>
          <cell r="F3146">
            <v>43178</v>
          </cell>
          <cell r="G3146">
            <v>43555</v>
          </cell>
          <cell r="H3146" t="str">
            <v>PRD</v>
          </cell>
          <cell r="I3146" t="str">
            <v>PRD</v>
          </cell>
          <cell r="J3146" t="str">
            <v>HONDA EXPORT</v>
          </cell>
          <cell r="K3146" t="str">
            <v>HONDA EXPORT</v>
          </cell>
          <cell r="L3146" t="str">
            <v>PRE ASSY HONDA EXPORT 2</v>
          </cell>
          <cell r="M3146" t="str">
            <v>MC1-HDA-15, 32</v>
          </cell>
          <cell r="N3146" t="str">
            <v>WFAP 2.1</v>
          </cell>
          <cell r="O3146" t="str">
            <v>A</v>
          </cell>
        </row>
        <row r="3147">
          <cell r="A3147">
            <v>22905</v>
          </cell>
          <cell r="B3147" t="str">
            <v>AGUSTA BAYU ANDIKA</v>
          </cell>
          <cell r="C3147" t="str">
            <v>SAMI</v>
          </cell>
          <cell r="D3147" t="str">
            <v>OPT-568</v>
          </cell>
          <cell r="E3147">
            <v>43343</v>
          </cell>
          <cell r="F3147">
            <v>43374</v>
          </cell>
          <cell r="G3147">
            <v>43738</v>
          </cell>
          <cell r="H3147" t="str">
            <v>PRD</v>
          </cell>
          <cell r="I3147" t="str">
            <v>PRD</v>
          </cell>
          <cell r="J3147" t="str">
            <v>HONDA EXPORT</v>
          </cell>
          <cell r="K3147" t="str">
            <v>HONDA EXPORT</v>
          </cell>
          <cell r="L3147" t="str">
            <v>PRE ASSY HONDA EXPORT 2</v>
          </cell>
          <cell r="M3147" t="str">
            <v>MC2-HAD-01</v>
          </cell>
          <cell r="N3147" t="str">
            <v>WFAP 2.1</v>
          </cell>
          <cell r="O3147" t="str">
            <v>A</v>
          </cell>
        </row>
        <row r="3148">
          <cell r="A3148">
            <v>22976</v>
          </cell>
          <cell r="B3148" t="str">
            <v>SETIOWATI</v>
          </cell>
          <cell r="C3148" t="str">
            <v>SAMI</v>
          </cell>
          <cell r="D3148" t="str">
            <v>OPT-568</v>
          </cell>
          <cell r="E3148">
            <v>43343</v>
          </cell>
          <cell r="F3148">
            <v>43374</v>
          </cell>
          <cell r="G3148">
            <v>43738</v>
          </cell>
          <cell r="H3148" t="str">
            <v>PRD</v>
          </cell>
          <cell r="I3148" t="str">
            <v>PRD</v>
          </cell>
          <cell r="J3148" t="str">
            <v>HONDA EXPORT</v>
          </cell>
          <cell r="K3148" t="str">
            <v>HONDA EXPORT</v>
          </cell>
          <cell r="L3148" t="str">
            <v>PRE ASSY HONDA EXPORT 2</v>
          </cell>
          <cell r="M3148" t="str">
            <v>MC1-HAD-22,23,24</v>
          </cell>
          <cell r="N3148" t="str">
            <v>WFAP 2.1</v>
          </cell>
          <cell r="O3148" t="str">
            <v>A</v>
          </cell>
        </row>
        <row r="3149">
          <cell r="A3149">
            <v>23019</v>
          </cell>
          <cell r="B3149" t="str">
            <v>FITRI FATMAWATI</v>
          </cell>
          <cell r="C3149" t="str">
            <v>SAMI</v>
          </cell>
          <cell r="D3149" t="str">
            <v>OPT-569</v>
          </cell>
          <cell r="E3149">
            <v>43361</v>
          </cell>
          <cell r="F3149">
            <v>43391</v>
          </cell>
          <cell r="G3149">
            <v>43769</v>
          </cell>
          <cell r="H3149" t="str">
            <v>PRD</v>
          </cell>
          <cell r="I3149" t="str">
            <v>PRD</v>
          </cell>
          <cell r="J3149" t="str">
            <v>HONDA EXPORT</v>
          </cell>
          <cell r="K3149" t="str">
            <v>HONDA EXPORT</v>
          </cell>
          <cell r="L3149" t="str">
            <v>PRE ASSY HONDA EXPORT 2</v>
          </cell>
          <cell r="M3149" t="str">
            <v>MC2-HAD-09,19,20</v>
          </cell>
          <cell r="N3149" t="str">
            <v>WFAP 2.1</v>
          </cell>
          <cell r="O3149" t="str">
            <v>A</v>
          </cell>
        </row>
        <row r="3150">
          <cell r="A3150">
            <v>23333</v>
          </cell>
          <cell r="B3150" t="str">
            <v>ZULAICHA NIFA ANNISA</v>
          </cell>
          <cell r="C3150" t="str">
            <v>SAMI</v>
          </cell>
          <cell r="D3150" t="str">
            <v>OPT-574</v>
          </cell>
          <cell r="E3150">
            <v>43427</v>
          </cell>
          <cell r="F3150">
            <v>43457</v>
          </cell>
          <cell r="G3150">
            <v>43830</v>
          </cell>
          <cell r="H3150" t="str">
            <v>PRD</v>
          </cell>
          <cell r="I3150" t="str">
            <v>PRD</v>
          </cell>
          <cell r="J3150" t="str">
            <v>HONDA EXPORT</v>
          </cell>
          <cell r="K3150" t="str">
            <v>HONDA EXPORT</v>
          </cell>
          <cell r="L3150" t="str">
            <v>PRE ASSY HONDA EXPORT 2</v>
          </cell>
          <cell r="M3150" t="str">
            <v>MC1-HDA-04,05</v>
          </cell>
          <cell r="N3150" t="str">
            <v>WFAP 2.1</v>
          </cell>
          <cell r="O3150" t="str">
            <v>A</v>
          </cell>
        </row>
        <row r="3151">
          <cell r="A3151">
            <v>23362</v>
          </cell>
          <cell r="B3151" t="str">
            <v>SITI ANA KHOFIFAH</v>
          </cell>
          <cell r="C3151" t="str">
            <v>SAMI</v>
          </cell>
          <cell r="D3151" t="str">
            <v>OPT-574</v>
          </cell>
          <cell r="E3151">
            <v>43427</v>
          </cell>
          <cell r="F3151">
            <v>43457</v>
          </cell>
          <cell r="G3151">
            <v>43830</v>
          </cell>
          <cell r="H3151" t="str">
            <v>PRD</v>
          </cell>
          <cell r="I3151" t="str">
            <v>PRD</v>
          </cell>
          <cell r="J3151" t="str">
            <v>HONDA EXPORT</v>
          </cell>
          <cell r="K3151" t="str">
            <v>HONDA EXPORT</v>
          </cell>
          <cell r="L3151" t="str">
            <v>PRE ASSY HONDA EXPORT 2</v>
          </cell>
          <cell r="M3151" t="str">
            <v>MC1-HAD-01</v>
          </cell>
          <cell r="N3151" t="str">
            <v>WFAP 2.1</v>
          </cell>
          <cell r="O3151" t="str">
            <v>A</v>
          </cell>
        </row>
        <row r="3152">
          <cell r="A3152">
            <v>9320</v>
          </cell>
          <cell r="B3152" t="str">
            <v>RISTANTI</v>
          </cell>
          <cell r="C3152" t="str">
            <v>SAMI</v>
          </cell>
          <cell r="D3152" t="str">
            <v>OPT-216</v>
          </cell>
          <cell r="E3152">
            <v>40148</v>
          </cell>
          <cell r="F3152" t="str">
            <v>-</v>
          </cell>
          <cell r="G3152" t="str">
            <v>-</v>
          </cell>
          <cell r="H3152" t="str">
            <v>PRD</v>
          </cell>
          <cell r="I3152" t="str">
            <v>PRD</v>
          </cell>
          <cell r="J3152" t="str">
            <v>HONDA EXPORT</v>
          </cell>
          <cell r="K3152" t="str">
            <v>HONDA EXPORT</v>
          </cell>
          <cell r="L3152" t="str">
            <v>PRE ASSY HONDA EXPORT 2</v>
          </cell>
          <cell r="M3152" t="str">
            <v>MC1-HAD-39, 55</v>
          </cell>
          <cell r="N3152" t="str">
            <v>WFAP 2.1</v>
          </cell>
          <cell r="O3152" t="str">
            <v>A (NS)</v>
          </cell>
        </row>
        <row r="3153">
          <cell r="A3153">
            <v>22188</v>
          </cell>
          <cell r="B3153" t="str">
            <v>KRISRIYANA AFIFAH</v>
          </cell>
          <cell r="C3153" t="str">
            <v>SAMI</v>
          </cell>
          <cell r="D3153" t="str">
            <v>OPT-550</v>
          </cell>
          <cell r="E3153">
            <v>43158</v>
          </cell>
          <cell r="F3153">
            <v>43186</v>
          </cell>
          <cell r="G3153">
            <v>43555</v>
          </cell>
          <cell r="H3153" t="str">
            <v>PRD</v>
          </cell>
          <cell r="I3153" t="str">
            <v>PRD</v>
          </cell>
          <cell r="J3153" t="str">
            <v>HONDA EXPORT</v>
          </cell>
          <cell r="K3153" t="str">
            <v>HONDA EXPORT</v>
          </cell>
          <cell r="L3153" t="str">
            <v>PRE ASSY HONDA EXPORT 2</v>
          </cell>
          <cell r="M3153" t="str">
            <v>MC1-HDA-33, 34</v>
          </cell>
          <cell r="N3153" t="str">
            <v>WFAP 2.1</v>
          </cell>
          <cell r="O3153" t="str">
            <v>A (NS)</v>
          </cell>
        </row>
        <row r="3154">
          <cell r="A3154">
            <v>23190</v>
          </cell>
          <cell r="B3154" t="str">
            <v>AKHMAD RIFAI</v>
          </cell>
          <cell r="C3154" t="str">
            <v>SAMI</v>
          </cell>
          <cell r="D3154" t="str">
            <v>OPT-573</v>
          </cell>
          <cell r="E3154">
            <v>43421</v>
          </cell>
          <cell r="F3154">
            <v>43451</v>
          </cell>
          <cell r="G3154">
            <v>43830</v>
          </cell>
          <cell r="H3154" t="str">
            <v>PRD</v>
          </cell>
          <cell r="I3154" t="str">
            <v>PRD</v>
          </cell>
          <cell r="J3154" t="str">
            <v>HONDA EXPORT</v>
          </cell>
          <cell r="K3154" t="str">
            <v>HONDA EXPORT</v>
          </cell>
          <cell r="L3154" t="str">
            <v>PRE ASSY HONDA EXPORT 2</v>
          </cell>
          <cell r="M3154" t="str">
            <v>MC3-HAD-06</v>
          </cell>
          <cell r="N3154" t="str">
            <v>WFAP 2.1</v>
          </cell>
          <cell r="O3154" t="str">
            <v>A (NS)</v>
          </cell>
        </row>
        <row r="3155">
          <cell r="A3155">
            <v>23327</v>
          </cell>
          <cell r="B3155" t="str">
            <v>LINA RAHMAWATI</v>
          </cell>
          <cell r="C3155" t="str">
            <v>SAMI</v>
          </cell>
          <cell r="D3155" t="str">
            <v>OPT-574</v>
          </cell>
          <cell r="E3155">
            <v>43427</v>
          </cell>
          <cell r="F3155">
            <v>43457</v>
          </cell>
          <cell r="G3155">
            <v>43830</v>
          </cell>
          <cell r="H3155" t="str">
            <v>PRD</v>
          </cell>
          <cell r="I3155" t="str">
            <v>PRD</v>
          </cell>
          <cell r="J3155" t="str">
            <v>HONDA EXPORT</v>
          </cell>
          <cell r="K3155" t="str">
            <v>HONDA EXPORT</v>
          </cell>
          <cell r="L3155" t="str">
            <v>PRE ASSY HONDA EXPORT 2</v>
          </cell>
          <cell r="M3155" t="str">
            <v>MC1-HAD-33</v>
          </cell>
          <cell r="N3155" t="str">
            <v>WFAP 2.1</v>
          </cell>
          <cell r="O3155" t="str">
            <v>A (NS)</v>
          </cell>
        </row>
        <row r="3156">
          <cell r="A3156">
            <v>5819</v>
          </cell>
          <cell r="B3156" t="str">
            <v>SRI WAHYUNI</v>
          </cell>
          <cell r="C3156" t="str">
            <v>SAMI</v>
          </cell>
          <cell r="D3156" t="str">
            <v>OPT-135</v>
          </cell>
          <cell r="E3156">
            <v>39114</v>
          </cell>
          <cell r="F3156" t="str">
            <v>-</v>
          </cell>
          <cell r="G3156" t="str">
            <v>-</v>
          </cell>
          <cell r="H3156" t="str">
            <v>PRD</v>
          </cell>
          <cell r="I3156" t="str">
            <v>PRD</v>
          </cell>
          <cell r="J3156" t="str">
            <v>HONDA EXPORT</v>
          </cell>
          <cell r="K3156" t="str">
            <v>HONDA EXPORT</v>
          </cell>
          <cell r="L3156" t="str">
            <v>PRE ASSY HONDA EXPORT 2</v>
          </cell>
          <cell r="M3156" t="str">
            <v>MC1-HDA-04, 05</v>
          </cell>
          <cell r="N3156" t="str">
            <v>WFAP 2.1</v>
          </cell>
          <cell r="O3156" t="str">
            <v>B</v>
          </cell>
        </row>
        <row r="3157">
          <cell r="A3157">
            <v>10061</v>
          </cell>
          <cell r="B3157" t="str">
            <v>UPIK SITI ROCHANA</v>
          </cell>
          <cell r="C3157" t="str">
            <v>SAMI</v>
          </cell>
          <cell r="D3157" t="str">
            <v>OPT-247</v>
          </cell>
          <cell r="E3157">
            <v>40438</v>
          </cell>
          <cell r="F3157" t="str">
            <v>-</v>
          </cell>
          <cell r="G3157" t="str">
            <v>-</v>
          </cell>
          <cell r="H3157" t="str">
            <v>PRD</v>
          </cell>
          <cell r="I3157" t="str">
            <v>PRD</v>
          </cell>
          <cell r="J3157" t="str">
            <v>HONDA EXPORT</v>
          </cell>
          <cell r="K3157" t="str">
            <v>HONDA EXPORT</v>
          </cell>
          <cell r="L3157" t="str">
            <v>PRE ASSY HONDA EXPORT 2</v>
          </cell>
          <cell r="M3157" t="str">
            <v>MC2-HDA-09, 19, 20</v>
          </cell>
          <cell r="N3157" t="str">
            <v>WFAP 2.1</v>
          </cell>
          <cell r="O3157" t="str">
            <v>B</v>
          </cell>
        </row>
        <row r="3158">
          <cell r="A3158">
            <v>12117</v>
          </cell>
          <cell r="B3158" t="str">
            <v>MAHMUDAH</v>
          </cell>
          <cell r="C3158" t="str">
            <v>SAMI</v>
          </cell>
          <cell r="D3158" t="str">
            <v>OPT-314</v>
          </cell>
          <cell r="E3158">
            <v>40798</v>
          </cell>
          <cell r="F3158" t="str">
            <v>-</v>
          </cell>
          <cell r="G3158" t="str">
            <v>-</v>
          </cell>
          <cell r="H3158" t="str">
            <v>PRD</v>
          </cell>
          <cell r="I3158" t="str">
            <v>PRD</v>
          </cell>
          <cell r="J3158" t="str">
            <v>HONDA EXPORT</v>
          </cell>
          <cell r="K3158" t="str">
            <v>HONDA EXPORT</v>
          </cell>
          <cell r="L3158" t="str">
            <v>PRE ASSY HONDA EXPORT 2</v>
          </cell>
          <cell r="M3158" t="str">
            <v>MC1-HDA-09</v>
          </cell>
          <cell r="N3158" t="str">
            <v>WFAP 2.1</v>
          </cell>
          <cell r="O3158" t="str">
            <v>B</v>
          </cell>
        </row>
        <row r="3159">
          <cell r="A3159">
            <v>12348</v>
          </cell>
          <cell r="B3159" t="str">
            <v>AGUSTINA WIJIATI</v>
          </cell>
          <cell r="C3159" t="str">
            <v>SAMI</v>
          </cell>
          <cell r="D3159" t="str">
            <v>OPT-317</v>
          </cell>
          <cell r="E3159">
            <v>40809</v>
          </cell>
          <cell r="F3159" t="str">
            <v>-</v>
          </cell>
          <cell r="G3159" t="str">
            <v>-</v>
          </cell>
          <cell r="H3159" t="str">
            <v>PRD</v>
          </cell>
          <cell r="I3159" t="str">
            <v>PRD</v>
          </cell>
          <cell r="J3159" t="str">
            <v>HONDA EXPORT</v>
          </cell>
          <cell r="K3159" t="str">
            <v>HONDA EXPORT</v>
          </cell>
          <cell r="L3159" t="str">
            <v>PRE ASSY HONDA EXPORT 2</v>
          </cell>
          <cell r="M3159" t="str">
            <v>MC3-HDA-06, 01, MC1-HDA-09</v>
          </cell>
          <cell r="N3159" t="str">
            <v>WFAP 2.1</v>
          </cell>
          <cell r="O3159" t="str">
            <v>B</v>
          </cell>
        </row>
        <row r="3160">
          <cell r="A3160">
            <v>17363</v>
          </cell>
          <cell r="B3160" t="str">
            <v>DIAH DWI JAYATI</v>
          </cell>
          <cell r="C3160" t="str">
            <v>SAMI</v>
          </cell>
          <cell r="D3160" t="str">
            <v>OPT-442</v>
          </cell>
          <cell r="E3160">
            <v>41772</v>
          </cell>
          <cell r="F3160" t="str">
            <v>-</v>
          </cell>
          <cell r="G3160" t="str">
            <v>-</v>
          </cell>
          <cell r="H3160" t="str">
            <v>PRD</v>
          </cell>
          <cell r="I3160" t="str">
            <v>PRD</v>
          </cell>
          <cell r="J3160" t="str">
            <v>HONDA EXPORT</v>
          </cell>
          <cell r="K3160" t="str">
            <v>HONDA EXPORT</v>
          </cell>
          <cell r="L3160" t="str">
            <v>PRE ASSY HONDA EXPORT 2</v>
          </cell>
          <cell r="M3160" t="str">
            <v>MC1-HDA-15, 32</v>
          </cell>
          <cell r="N3160" t="str">
            <v>WFAP 2.1</v>
          </cell>
          <cell r="O3160" t="str">
            <v>B</v>
          </cell>
        </row>
        <row r="3161">
          <cell r="A3161">
            <v>21583</v>
          </cell>
          <cell r="B3161" t="str">
            <v xml:space="preserve">FAHRUL UMAR </v>
          </cell>
          <cell r="C3161" t="str">
            <v>SAMI</v>
          </cell>
          <cell r="D3161" t="str">
            <v>OPT-536</v>
          </cell>
          <cell r="E3161">
            <v>43048</v>
          </cell>
          <cell r="F3161">
            <v>43435</v>
          </cell>
          <cell r="G3161">
            <v>43799</v>
          </cell>
          <cell r="H3161" t="str">
            <v>PRD</v>
          </cell>
          <cell r="I3161" t="str">
            <v>PRD</v>
          </cell>
          <cell r="J3161" t="str">
            <v>HONDA EXPORT</v>
          </cell>
          <cell r="K3161" t="str">
            <v>HONDA EXPORT</v>
          </cell>
          <cell r="L3161" t="str">
            <v>PRE ASSY HONDA EXPORT 2</v>
          </cell>
          <cell r="M3161" t="str">
            <v>MC3-HDA-02, 03, 04</v>
          </cell>
          <cell r="N3161" t="str">
            <v>WFAP 2.1</v>
          </cell>
          <cell r="O3161" t="str">
            <v>B</v>
          </cell>
        </row>
        <row r="3162">
          <cell r="A3162">
            <v>21728</v>
          </cell>
          <cell r="B3162" t="str">
            <v>M SHOKHIBUL MIGHFAR</v>
          </cell>
          <cell r="C3162" t="str">
            <v>SAMI</v>
          </cell>
          <cell r="D3162" t="str">
            <v>OPT-539</v>
          </cell>
          <cell r="E3162">
            <v>43087</v>
          </cell>
          <cell r="F3162">
            <v>43118</v>
          </cell>
          <cell r="G3162">
            <v>43496</v>
          </cell>
          <cell r="H3162" t="str">
            <v>PRD</v>
          </cell>
          <cell r="I3162" t="str">
            <v>PRD</v>
          </cell>
          <cell r="J3162" t="str">
            <v>HONDA EXPORT</v>
          </cell>
          <cell r="K3162" t="str">
            <v>HONDA EXPORT</v>
          </cell>
          <cell r="L3162" t="str">
            <v>PRE ASSY HONDA EXPORT 2</v>
          </cell>
          <cell r="M3162" t="str">
            <v>MC3-HDA-05, 06, MC2-HDA-01</v>
          </cell>
          <cell r="N3162" t="str">
            <v>WFAP 2.1</v>
          </cell>
          <cell r="O3162" t="str">
            <v>B</v>
          </cell>
        </row>
        <row r="3163">
          <cell r="A3163">
            <v>22480</v>
          </cell>
          <cell r="B3163" t="str">
            <v>AYU ASTRIYANI</v>
          </cell>
          <cell r="C3163" t="str">
            <v>SAMI</v>
          </cell>
          <cell r="D3163" t="str">
            <v>OPT-560</v>
          </cell>
          <cell r="E3163">
            <v>43224</v>
          </cell>
          <cell r="F3163">
            <v>43255</v>
          </cell>
          <cell r="G3163">
            <v>43616</v>
          </cell>
          <cell r="H3163" t="str">
            <v>PRD</v>
          </cell>
          <cell r="I3163" t="str">
            <v>PRD</v>
          </cell>
          <cell r="J3163" t="str">
            <v>HONDA EXPORT</v>
          </cell>
          <cell r="K3163" t="str">
            <v>HONDA EXPORT</v>
          </cell>
          <cell r="L3163" t="str">
            <v>PRE ASSY HONDA EXPORT 2</v>
          </cell>
          <cell r="M3163" t="str">
            <v>MC1-HDA-22,23,24</v>
          </cell>
          <cell r="N3163" t="str">
            <v>WFAP 2.1</v>
          </cell>
          <cell r="O3163" t="str">
            <v>B</v>
          </cell>
        </row>
        <row r="3164">
          <cell r="A3164" t="str">
            <v>B00816</v>
          </cell>
          <cell r="B3164" t="str">
            <v>ESTI PURWANINGSIH</v>
          </cell>
          <cell r="C3164" t="str">
            <v>SAMI</v>
          </cell>
          <cell r="D3164" t="str">
            <v>BBF-014</v>
          </cell>
          <cell r="E3164">
            <v>40917</v>
          </cell>
          <cell r="F3164" t="str">
            <v>-</v>
          </cell>
          <cell r="G3164" t="str">
            <v>-</v>
          </cell>
          <cell r="H3164" t="str">
            <v>PRD</v>
          </cell>
          <cell r="I3164" t="str">
            <v>PRD</v>
          </cell>
          <cell r="J3164" t="str">
            <v>HONDA EXPORT</v>
          </cell>
          <cell r="K3164" t="str">
            <v>HONDA EXPORT</v>
          </cell>
          <cell r="L3164" t="str">
            <v>PRE ASSY HONDA EXPORT 2</v>
          </cell>
          <cell r="M3164" t="str">
            <v>MC1-HDA16, 17</v>
          </cell>
          <cell r="N3164" t="str">
            <v>WFAP 2.1</v>
          </cell>
          <cell r="O3164" t="str">
            <v>B</v>
          </cell>
        </row>
        <row r="3165">
          <cell r="A3165">
            <v>523</v>
          </cell>
          <cell r="B3165" t="str">
            <v>RIYANA PUJI LESTARI</v>
          </cell>
          <cell r="C3165" t="str">
            <v>SAMI</v>
          </cell>
          <cell r="D3165" t="str">
            <v>OPT-14</v>
          </cell>
          <cell r="E3165">
            <v>37767</v>
          </cell>
          <cell r="F3165" t="str">
            <v>-</v>
          </cell>
          <cell r="G3165" t="str">
            <v>-</v>
          </cell>
          <cell r="H3165" t="str">
            <v>PRD</v>
          </cell>
          <cell r="I3165" t="str">
            <v>PRD</v>
          </cell>
          <cell r="J3165" t="str">
            <v>HONDA EXPORT</v>
          </cell>
          <cell r="K3165" t="str">
            <v>HONDA EXPORT</v>
          </cell>
          <cell r="L3165" t="str">
            <v>PRE ASSY HONDA EXPORT 3</v>
          </cell>
          <cell r="M3165" t="str">
            <v>SUB LINE CHO</v>
          </cell>
          <cell r="N3165" t="str">
            <v>GL</v>
          </cell>
          <cell r="O3165" t="str">
            <v>A</v>
          </cell>
        </row>
        <row r="3166">
          <cell r="A3166">
            <v>11990</v>
          </cell>
          <cell r="B3166" t="str">
            <v>FAILUL HIDAYAH</v>
          </cell>
          <cell r="C3166" t="str">
            <v>SAMI</v>
          </cell>
          <cell r="D3166" t="str">
            <v>OPT-312</v>
          </cell>
          <cell r="E3166">
            <v>40777</v>
          </cell>
          <cell r="F3166" t="str">
            <v>-</v>
          </cell>
          <cell r="G3166" t="str">
            <v>-</v>
          </cell>
          <cell r="H3166" t="str">
            <v>PRD</v>
          </cell>
          <cell r="I3166" t="str">
            <v>PRD</v>
          </cell>
          <cell r="J3166" t="str">
            <v>HONDA EXPORT</v>
          </cell>
          <cell r="K3166" t="str">
            <v>HONDA EXPORT</v>
          </cell>
          <cell r="L3166" t="str">
            <v>PRE ASSY HONDA EXPORT 3</v>
          </cell>
          <cell r="M3166" t="str">
            <v>MC1-HDA-10, 11</v>
          </cell>
          <cell r="N3166" t="str">
            <v>WFAP 2.1</v>
          </cell>
          <cell r="O3166" t="str">
            <v>A</v>
          </cell>
        </row>
        <row r="3167">
          <cell r="A3167">
            <v>20951</v>
          </cell>
          <cell r="B3167" t="str">
            <v>NUNUK SALAMAH</v>
          </cell>
          <cell r="C3167" t="str">
            <v>SAMI</v>
          </cell>
          <cell r="D3167" t="str">
            <v>OPT-511</v>
          </cell>
          <cell r="E3167">
            <v>42667</v>
          </cell>
          <cell r="F3167">
            <v>43160</v>
          </cell>
          <cell r="G3167">
            <v>43524</v>
          </cell>
          <cell r="H3167" t="str">
            <v>PRD</v>
          </cell>
          <cell r="I3167" t="str">
            <v>PRD</v>
          </cell>
          <cell r="J3167" t="str">
            <v>HONDA EXPORT</v>
          </cell>
          <cell r="K3167" t="str">
            <v>HONDA EXPORT</v>
          </cell>
          <cell r="L3167" t="str">
            <v>PRE ASSY HONDA EXPORT 3</v>
          </cell>
          <cell r="M3167" t="str">
            <v>MC2-HDA-05, 06</v>
          </cell>
          <cell r="N3167" t="str">
            <v>WFAP 2.1</v>
          </cell>
          <cell r="O3167" t="str">
            <v>A</v>
          </cell>
        </row>
        <row r="3168">
          <cell r="A3168">
            <v>21154</v>
          </cell>
          <cell r="B3168" t="str">
            <v>FAFA ADCHA YANA</v>
          </cell>
          <cell r="C3168" t="str">
            <v>SAMI</v>
          </cell>
          <cell r="D3168" t="str">
            <v>OPT-522</v>
          </cell>
          <cell r="E3168">
            <v>42871</v>
          </cell>
          <cell r="F3168">
            <v>43374</v>
          </cell>
          <cell r="G3168">
            <v>43738</v>
          </cell>
          <cell r="H3168" t="str">
            <v>PRD</v>
          </cell>
          <cell r="I3168" t="str">
            <v>PRD</v>
          </cell>
          <cell r="J3168" t="str">
            <v>HONDA EXPORT</v>
          </cell>
          <cell r="K3168" t="str">
            <v>HONDA EXPORT</v>
          </cell>
          <cell r="L3168" t="str">
            <v>PRE ASSY HONDA EXPORT 3</v>
          </cell>
          <cell r="M3168" t="str">
            <v>MC1-HDA-13, 21</v>
          </cell>
          <cell r="N3168" t="str">
            <v>WFAP 2.1</v>
          </cell>
          <cell r="O3168" t="str">
            <v>A</v>
          </cell>
        </row>
        <row r="3169">
          <cell r="A3169">
            <v>22334</v>
          </cell>
          <cell r="B3169" t="str">
            <v>DWI NOVIANTI</v>
          </cell>
          <cell r="C3169" t="str">
            <v>SAMI</v>
          </cell>
          <cell r="D3169" t="str">
            <v>OPT-556</v>
          </cell>
          <cell r="E3169">
            <v>43195</v>
          </cell>
          <cell r="F3169">
            <v>43225</v>
          </cell>
          <cell r="G3169">
            <v>43585</v>
          </cell>
          <cell r="H3169" t="str">
            <v>PRD</v>
          </cell>
          <cell r="I3169" t="str">
            <v>PRD</v>
          </cell>
          <cell r="J3169" t="str">
            <v>HONDA EXPORT</v>
          </cell>
          <cell r="K3169" t="str">
            <v>HONDA EXPORT</v>
          </cell>
          <cell r="L3169" t="str">
            <v>PRE ASSY HONDA EXPORT 3</v>
          </cell>
          <cell r="M3169" t="str">
            <v>MC1-HDA-15</v>
          </cell>
          <cell r="N3169" t="str">
            <v>WFAP 2.1</v>
          </cell>
          <cell r="O3169" t="str">
            <v>A</v>
          </cell>
        </row>
        <row r="3170">
          <cell r="A3170">
            <v>23030</v>
          </cell>
          <cell r="B3170" t="str">
            <v>IMROATUL AZIZAH</v>
          </cell>
          <cell r="C3170" t="str">
            <v>SAMI</v>
          </cell>
          <cell r="D3170" t="str">
            <v>OPT-569</v>
          </cell>
          <cell r="E3170">
            <v>43361</v>
          </cell>
          <cell r="F3170">
            <v>43391</v>
          </cell>
          <cell r="G3170">
            <v>43769</v>
          </cell>
          <cell r="H3170" t="str">
            <v>PRD</v>
          </cell>
          <cell r="I3170" t="str">
            <v>PRD</v>
          </cell>
          <cell r="J3170" t="str">
            <v>HONDA EXPORT</v>
          </cell>
          <cell r="K3170" t="str">
            <v>HONDA EXPORT</v>
          </cell>
          <cell r="L3170" t="str">
            <v>PRE ASSY HONDA EXPORT 3</v>
          </cell>
          <cell r="M3170" t="str">
            <v>MC1-HAD-12</v>
          </cell>
          <cell r="N3170" t="str">
            <v>WFAP 2.1</v>
          </cell>
          <cell r="O3170" t="str">
            <v>A</v>
          </cell>
        </row>
        <row r="3171">
          <cell r="A3171" t="str">
            <v>B00643</v>
          </cell>
          <cell r="B3171" t="str">
            <v>SOLIKAH</v>
          </cell>
          <cell r="C3171" t="str">
            <v>SAMI</v>
          </cell>
          <cell r="D3171" t="str">
            <v>BBF-010</v>
          </cell>
          <cell r="E3171">
            <v>40889</v>
          </cell>
          <cell r="F3171" t="str">
            <v>-</v>
          </cell>
          <cell r="G3171" t="str">
            <v>-</v>
          </cell>
          <cell r="H3171" t="str">
            <v>PRD</v>
          </cell>
          <cell r="I3171" t="str">
            <v>PRD</v>
          </cell>
          <cell r="J3171" t="str">
            <v>HONDA EXPORT</v>
          </cell>
          <cell r="K3171" t="str">
            <v>HONDA EXPORT</v>
          </cell>
          <cell r="L3171" t="str">
            <v>PRE ASSY HONDA EXPORT 3</v>
          </cell>
          <cell r="M3171" t="str">
            <v>MC1-HDA-14</v>
          </cell>
          <cell r="N3171" t="str">
            <v>WFAP 2.1</v>
          </cell>
          <cell r="O3171" t="str">
            <v>A</v>
          </cell>
        </row>
        <row r="3172">
          <cell r="A3172">
            <v>21897</v>
          </cell>
          <cell r="B3172" t="str">
            <v>NUR KHASANAH</v>
          </cell>
          <cell r="C3172" t="str">
            <v>SAMI</v>
          </cell>
          <cell r="D3172" t="str">
            <v>OPT-542</v>
          </cell>
          <cell r="E3172">
            <v>43103</v>
          </cell>
          <cell r="F3172">
            <v>43134</v>
          </cell>
          <cell r="G3172">
            <v>43496</v>
          </cell>
          <cell r="H3172" t="str">
            <v>PRD</v>
          </cell>
          <cell r="I3172" t="str">
            <v>PRD</v>
          </cell>
          <cell r="J3172" t="str">
            <v>HONDA EXPORT</v>
          </cell>
          <cell r="K3172" t="str">
            <v>HONDA EXPORT</v>
          </cell>
          <cell r="L3172" t="str">
            <v>PRE ASSY HONDA EXPORT 3</v>
          </cell>
          <cell r="M3172" t="str">
            <v>MC2-HDA-05,06</v>
          </cell>
          <cell r="N3172" t="str">
            <v>WFAP 2.1</v>
          </cell>
          <cell r="O3172" t="str">
            <v>A (NS)</v>
          </cell>
        </row>
        <row r="3173">
          <cell r="A3173">
            <v>22056</v>
          </cell>
          <cell r="B3173" t="str">
            <v>VIVIANA DEWI</v>
          </cell>
          <cell r="C3173" t="str">
            <v>SAMI</v>
          </cell>
          <cell r="D3173" t="str">
            <v>OPT-547</v>
          </cell>
          <cell r="E3173">
            <v>43144</v>
          </cell>
          <cell r="F3173">
            <v>43172</v>
          </cell>
          <cell r="G3173">
            <v>43524</v>
          </cell>
          <cell r="H3173" t="str">
            <v>PRD</v>
          </cell>
          <cell r="I3173" t="str">
            <v>PRD</v>
          </cell>
          <cell r="J3173" t="str">
            <v>HONDA EXPORT</v>
          </cell>
          <cell r="K3173" t="str">
            <v>HONDA EXPORT</v>
          </cell>
          <cell r="L3173" t="str">
            <v>PRE ASSY HONDA EXPORT 3</v>
          </cell>
          <cell r="M3173" t="str">
            <v>MC1-HDA-15</v>
          </cell>
          <cell r="N3173" t="str">
            <v>WFAP 2.1</v>
          </cell>
          <cell r="O3173" t="str">
            <v>A (NS)</v>
          </cell>
        </row>
        <row r="3174">
          <cell r="A3174">
            <v>23118</v>
          </cell>
          <cell r="B3174" t="str">
            <v>FERA KURNIAWATI</v>
          </cell>
          <cell r="C3174" t="str">
            <v>SAMI</v>
          </cell>
          <cell r="D3174" t="str">
            <v>OPT-570</v>
          </cell>
          <cell r="E3174">
            <v>43369</v>
          </cell>
          <cell r="F3174">
            <v>43399</v>
          </cell>
          <cell r="G3174">
            <v>43769</v>
          </cell>
          <cell r="H3174" t="str">
            <v>PRD</v>
          </cell>
          <cell r="I3174" t="str">
            <v>PRD</v>
          </cell>
          <cell r="J3174" t="str">
            <v>HONDA EXPORT</v>
          </cell>
          <cell r="K3174" t="str">
            <v>HONDA EXPORT</v>
          </cell>
          <cell r="L3174" t="str">
            <v>PRE ASSY HONDA EXPORT 3</v>
          </cell>
          <cell r="M3174" t="str">
            <v>MC1-HAD-13</v>
          </cell>
          <cell r="N3174" t="str">
            <v>WFAP 2.1</v>
          </cell>
          <cell r="O3174" t="str">
            <v>A (NS)</v>
          </cell>
        </row>
        <row r="3175">
          <cell r="A3175">
            <v>23428</v>
          </cell>
          <cell r="B3175" t="str">
            <v>LILIS HANDAYANI</v>
          </cell>
          <cell r="C3175" t="str">
            <v>SAMI</v>
          </cell>
          <cell r="D3175" t="str">
            <v>OPT-575</v>
          </cell>
          <cell r="E3175">
            <v>43434</v>
          </cell>
          <cell r="F3175">
            <v>43464</v>
          </cell>
          <cell r="G3175">
            <v>43830</v>
          </cell>
          <cell r="H3175" t="str">
            <v>PRD</v>
          </cell>
          <cell r="I3175" t="str">
            <v>PRD</v>
          </cell>
          <cell r="J3175" t="str">
            <v>HONDA EXPORT</v>
          </cell>
          <cell r="K3175" t="str">
            <v>HONDA EXPORT</v>
          </cell>
          <cell r="L3175" t="str">
            <v>PRE ASSY HONDA EXPORT 3</v>
          </cell>
          <cell r="M3175" t="str">
            <v>MC1-HAD-29</v>
          </cell>
          <cell r="N3175" t="str">
            <v>INTERNAL TRIAL</v>
          </cell>
          <cell r="O3175" t="str">
            <v>A (NS)</v>
          </cell>
        </row>
        <row r="3176">
          <cell r="A3176">
            <v>23532</v>
          </cell>
          <cell r="B3176" t="str">
            <v>VIKA MAFTUAH</v>
          </cell>
          <cell r="C3176" t="str">
            <v>SAMI</v>
          </cell>
          <cell r="D3176" t="str">
            <v>OPT-576</v>
          </cell>
          <cell r="E3176">
            <v>43441</v>
          </cell>
          <cell r="F3176">
            <v>43472</v>
          </cell>
          <cell r="G3176">
            <v>43830</v>
          </cell>
          <cell r="H3176" t="str">
            <v>PRD</v>
          </cell>
          <cell r="I3176" t="str">
            <v>PRD</v>
          </cell>
          <cell r="J3176" t="str">
            <v>HONDA EXPORT</v>
          </cell>
          <cell r="K3176" t="str">
            <v>HONDA EXPORT</v>
          </cell>
          <cell r="L3176" t="str">
            <v>PRE ASSY HONDA EXPORT 3</v>
          </cell>
          <cell r="M3176" t="str">
            <v>DRY-HAD-01</v>
          </cell>
          <cell r="N3176" t="str">
            <v>WFAP 2.2</v>
          </cell>
          <cell r="O3176" t="str">
            <v>A (NS)</v>
          </cell>
        </row>
        <row r="3177">
          <cell r="A3177">
            <v>389</v>
          </cell>
          <cell r="B3177" t="str">
            <v>SITI AISAH</v>
          </cell>
          <cell r="C3177" t="str">
            <v>SAMI</v>
          </cell>
          <cell r="D3177" t="str">
            <v>OPT-10</v>
          </cell>
          <cell r="E3177">
            <v>37732</v>
          </cell>
          <cell r="F3177" t="str">
            <v>-</v>
          </cell>
          <cell r="G3177" t="str">
            <v>-</v>
          </cell>
          <cell r="H3177" t="str">
            <v>PRD</v>
          </cell>
          <cell r="I3177" t="str">
            <v>PRD</v>
          </cell>
          <cell r="J3177" t="str">
            <v>HONDA EXPORT</v>
          </cell>
          <cell r="K3177" t="str">
            <v>HONDA EXPORT</v>
          </cell>
          <cell r="L3177" t="str">
            <v>PRE ASSY HONDA EXPORT 3</v>
          </cell>
          <cell r="M3177" t="str">
            <v>SUB LINE CHO</v>
          </cell>
          <cell r="N3177" t="str">
            <v>GL</v>
          </cell>
          <cell r="O3177" t="str">
            <v>B</v>
          </cell>
        </row>
        <row r="3178">
          <cell r="A3178">
            <v>624</v>
          </cell>
          <cell r="B3178" t="str">
            <v>NUR HASANAH</v>
          </cell>
          <cell r="C3178" t="str">
            <v>SAMI</v>
          </cell>
          <cell r="D3178" t="str">
            <v>OPT-16</v>
          </cell>
          <cell r="E3178">
            <v>37781</v>
          </cell>
          <cell r="F3178" t="str">
            <v>-</v>
          </cell>
          <cell r="G3178" t="str">
            <v>-</v>
          </cell>
          <cell r="H3178" t="str">
            <v>PRD</v>
          </cell>
          <cell r="I3178" t="str">
            <v>PRD</v>
          </cell>
          <cell r="J3178" t="str">
            <v>HONDA EXPORT</v>
          </cell>
          <cell r="K3178" t="str">
            <v>HONDA EXPORT</v>
          </cell>
          <cell r="L3178" t="str">
            <v>PRE ASSY HONDA EXPORT 3</v>
          </cell>
          <cell r="M3178" t="str">
            <v>MC1-HDA-10, 11</v>
          </cell>
          <cell r="N3178" t="str">
            <v>WFAP 2.1</v>
          </cell>
          <cell r="O3178" t="str">
            <v>B</v>
          </cell>
        </row>
        <row r="3179">
          <cell r="A3179">
            <v>12211</v>
          </cell>
          <cell r="B3179" t="str">
            <v>SITI AISAH</v>
          </cell>
          <cell r="C3179" t="str">
            <v>SAMI</v>
          </cell>
          <cell r="D3179" t="str">
            <v>OPT-315</v>
          </cell>
          <cell r="E3179">
            <v>40802</v>
          </cell>
          <cell r="F3179" t="str">
            <v>-</v>
          </cell>
          <cell r="G3179" t="str">
            <v>-</v>
          </cell>
          <cell r="H3179" t="str">
            <v>PRD</v>
          </cell>
          <cell r="I3179" t="str">
            <v>PRD</v>
          </cell>
          <cell r="J3179" t="str">
            <v>HONDA EXPORT</v>
          </cell>
          <cell r="K3179" t="str">
            <v>HONDA EXPORT</v>
          </cell>
          <cell r="L3179" t="str">
            <v>PRE ASSY HONDA EXPORT 3</v>
          </cell>
          <cell r="M3179" t="str">
            <v>MC1-HDA-21, 13</v>
          </cell>
          <cell r="N3179" t="str">
            <v>WFAP 2.1</v>
          </cell>
          <cell r="O3179" t="str">
            <v>B</v>
          </cell>
        </row>
        <row r="3180">
          <cell r="A3180">
            <v>20542</v>
          </cell>
          <cell r="B3180" t="str">
            <v>SITI NUR FAIZAH</v>
          </cell>
          <cell r="C3180" t="str">
            <v>SAMI</v>
          </cell>
          <cell r="D3180" t="str">
            <v>OPT-504</v>
          </cell>
          <cell r="E3180">
            <v>42634</v>
          </cell>
          <cell r="F3180">
            <v>43132</v>
          </cell>
          <cell r="G3180">
            <v>43496</v>
          </cell>
          <cell r="H3180" t="str">
            <v>PRD</v>
          </cell>
          <cell r="I3180" t="str">
            <v>PRD</v>
          </cell>
          <cell r="J3180" t="str">
            <v>HONDA EXPORT</v>
          </cell>
          <cell r="K3180" t="str">
            <v>HONDA EXPORT</v>
          </cell>
          <cell r="L3180" t="str">
            <v>PRE ASSY HONDA EXPORT 3</v>
          </cell>
          <cell r="M3180" t="str">
            <v>MC2-HDA-14, MC1-HDA-29</v>
          </cell>
          <cell r="N3180" t="str">
            <v>WFAP 2.1</v>
          </cell>
          <cell r="O3180" t="str">
            <v>B</v>
          </cell>
        </row>
        <row r="3181">
          <cell r="A3181">
            <v>21754</v>
          </cell>
          <cell r="B3181" t="str">
            <v>YULIA MULYA NISSA</v>
          </cell>
          <cell r="C3181" t="str">
            <v>SAMI</v>
          </cell>
          <cell r="D3181" t="str">
            <v>OPT-539</v>
          </cell>
          <cell r="E3181">
            <v>43087</v>
          </cell>
          <cell r="F3181">
            <v>43118</v>
          </cell>
          <cell r="G3181">
            <v>43496</v>
          </cell>
          <cell r="H3181" t="str">
            <v>PRD</v>
          </cell>
          <cell r="I3181" t="str">
            <v>PRD</v>
          </cell>
          <cell r="J3181" t="str">
            <v>HONDA EXPORT</v>
          </cell>
          <cell r="K3181" t="str">
            <v>HONDA EXPORT</v>
          </cell>
          <cell r="L3181" t="str">
            <v>PRE ASSY HONDA EXPORT 3</v>
          </cell>
          <cell r="M3181" t="str">
            <v>MC2-HDA-12</v>
          </cell>
          <cell r="N3181" t="str">
            <v>WFAP 2.1</v>
          </cell>
          <cell r="O3181" t="str">
            <v>B</v>
          </cell>
        </row>
        <row r="3182">
          <cell r="A3182">
            <v>22235</v>
          </cell>
          <cell r="B3182" t="str">
            <v>RIZKIANA KHOMSAH</v>
          </cell>
          <cell r="C3182" t="str">
            <v>SAMI</v>
          </cell>
          <cell r="D3182" t="str">
            <v>OPT-551</v>
          </cell>
          <cell r="E3182">
            <v>43161</v>
          </cell>
          <cell r="F3182">
            <v>43192</v>
          </cell>
          <cell r="G3182">
            <v>43555</v>
          </cell>
          <cell r="H3182" t="str">
            <v>PRD</v>
          </cell>
          <cell r="I3182" t="str">
            <v>PRD</v>
          </cell>
          <cell r="J3182" t="str">
            <v>HONDA EXPORT</v>
          </cell>
          <cell r="K3182" t="str">
            <v>HONDA EXPORT</v>
          </cell>
          <cell r="L3182" t="str">
            <v>PRE ASSY HONDA EXPORT 3</v>
          </cell>
          <cell r="M3182" t="str">
            <v>MC2-HDA-05,06</v>
          </cell>
          <cell r="N3182" t="str">
            <v>WFAP 2.1</v>
          </cell>
          <cell r="O3182" t="str">
            <v>B</v>
          </cell>
        </row>
        <row r="3183">
          <cell r="A3183">
            <v>22973</v>
          </cell>
          <cell r="B3183" t="str">
            <v>SARA YUNITA</v>
          </cell>
          <cell r="C3183" t="str">
            <v>SAMI</v>
          </cell>
          <cell r="D3183" t="str">
            <v>OPT-568</v>
          </cell>
          <cell r="E3183">
            <v>43343</v>
          </cell>
          <cell r="F3183">
            <v>43374</v>
          </cell>
          <cell r="G3183">
            <v>43738</v>
          </cell>
          <cell r="H3183" t="str">
            <v>PRD</v>
          </cell>
          <cell r="I3183" t="str">
            <v>PRD</v>
          </cell>
          <cell r="J3183" t="str">
            <v>HONDA EXPORT</v>
          </cell>
          <cell r="K3183" t="str">
            <v>HONDA EXPORT</v>
          </cell>
          <cell r="L3183" t="str">
            <v>PRE ASSY HONDA EXPORT 3</v>
          </cell>
          <cell r="M3183" t="str">
            <v>MC1-HDA-14</v>
          </cell>
          <cell r="N3183" t="str">
            <v>WFAP 2.1</v>
          </cell>
          <cell r="O3183" t="str">
            <v>B</v>
          </cell>
        </row>
        <row r="3184">
          <cell r="A3184">
            <v>23609</v>
          </cell>
          <cell r="B3184" t="str">
            <v>YULIANA RIZKY AMALIA</v>
          </cell>
          <cell r="C3184" t="str">
            <v>SAMI</v>
          </cell>
          <cell r="D3184" t="str">
            <v>OPT-577</v>
          </cell>
          <cell r="E3184">
            <v>43452</v>
          </cell>
          <cell r="F3184">
            <v>43483</v>
          </cell>
          <cell r="G3184">
            <v>43861</v>
          </cell>
          <cell r="H3184" t="str">
            <v>PRD</v>
          </cell>
          <cell r="I3184" t="str">
            <v>PRD</v>
          </cell>
          <cell r="J3184" t="str">
            <v>HONDA EXPORT</v>
          </cell>
          <cell r="K3184" t="str">
            <v>HONDA EXPORT</v>
          </cell>
          <cell r="L3184" t="str">
            <v>PRE ASSY HONDA EXPORT 3</v>
          </cell>
          <cell r="M3184" t="str">
            <v>OJT</v>
          </cell>
          <cell r="N3184" t="str">
            <v>INTERNAL TRIAL</v>
          </cell>
          <cell r="O3184" t="str">
            <v>B</v>
          </cell>
        </row>
        <row r="3185">
          <cell r="A3185">
            <v>1074</v>
          </cell>
          <cell r="B3185" t="str">
            <v>YULI SETYONINGSIH</v>
          </cell>
          <cell r="C3185" t="str">
            <v>SAMI</v>
          </cell>
          <cell r="D3185" t="str">
            <v>OPT-27</v>
          </cell>
          <cell r="E3185">
            <v>37887</v>
          </cell>
          <cell r="F3185" t="str">
            <v>-</v>
          </cell>
          <cell r="G3185" t="str">
            <v>-</v>
          </cell>
          <cell r="H3185" t="str">
            <v>PRD</v>
          </cell>
          <cell r="I3185" t="str">
            <v>PRD</v>
          </cell>
          <cell r="J3185" t="str">
            <v>HONDA EXPORT</v>
          </cell>
          <cell r="K3185" t="str">
            <v>HONDA EXPORT</v>
          </cell>
          <cell r="L3185" t="str">
            <v>PRE ASSY HONDA EXPORT 4</v>
          </cell>
          <cell r="M3185" t="str">
            <v>MC1-HDA-51, 54</v>
          </cell>
          <cell r="N3185" t="str">
            <v>WFAP 2.1</v>
          </cell>
          <cell r="O3185" t="str">
            <v>A</v>
          </cell>
        </row>
        <row r="3186">
          <cell r="A3186">
            <v>8841</v>
          </cell>
          <cell r="B3186" t="str">
            <v>MUSHTAFIDAH</v>
          </cell>
          <cell r="C3186" t="str">
            <v>SAMI</v>
          </cell>
          <cell r="D3186" t="str">
            <v>OPT-195</v>
          </cell>
          <cell r="E3186">
            <v>39937</v>
          </cell>
          <cell r="F3186" t="str">
            <v>-</v>
          </cell>
          <cell r="G3186" t="str">
            <v>-</v>
          </cell>
          <cell r="H3186" t="str">
            <v>PRD</v>
          </cell>
          <cell r="I3186" t="str">
            <v>PRD</v>
          </cell>
          <cell r="J3186" t="str">
            <v>HONDA EXPORT</v>
          </cell>
          <cell r="K3186" t="str">
            <v>HONDA EXPORT</v>
          </cell>
          <cell r="L3186" t="str">
            <v>PRE ASSY HONDA EXPORT 4</v>
          </cell>
          <cell r="M3186" t="str">
            <v>MC1-HDA-45, 46</v>
          </cell>
          <cell r="N3186" t="str">
            <v>WFAP 2.1</v>
          </cell>
          <cell r="O3186" t="str">
            <v>A</v>
          </cell>
        </row>
        <row r="3187">
          <cell r="A3187">
            <v>8957</v>
          </cell>
          <cell r="B3187" t="str">
            <v>SUMIATUN</v>
          </cell>
          <cell r="C3187" t="str">
            <v>SAMI</v>
          </cell>
          <cell r="D3187" t="str">
            <v>OPT-199</v>
          </cell>
          <cell r="E3187">
            <v>39968</v>
          </cell>
          <cell r="F3187" t="str">
            <v>-</v>
          </cell>
          <cell r="G3187" t="str">
            <v>-</v>
          </cell>
          <cell r="H3187" t="str">
            <v>PRD</v>
          </cell>
          <cell r="I3187" t="str">
            <v>PRD</v>
          </cell>
          <cell r="J3187" t="str">
            <v>HONDA EXPORT</v>
          </cell>
          <cell r="K3187" t="str">
            <v>HONDA EXPORT</v>
          </cell>
          <cell r="L3187" t="str">
            <v>PRE ASSY HONDA EXPORT 4</v>
          </cell>
          <cell r="M3187" t="str">
            <v>SUB LINE CHO</v>
          </cell>
          <cell r="N3187" t="str">
            <v>GL</v>
          </cell>
          <cell r="O3187" t="str">
            <v>A</v>
          </cell>
        </row>
        <row r="3188">
          <cell r="A3188">
            <v>20819</v>
          </cell>
          <cell r="B3188" t="str">
            <v>SITI HESTI KHAROMAH</v>
          </cell>
          <cell r="C3188" t="str">
            <v>SAMI</v>
          </cell>
          <cell r="D3188" t="str">
            <v>OPT-508</v>
          </cell>
          <cell r="E3188">
            <v>42649</v>
          </cell>
          <cell r="F3188">
            <v>43132</v>
          </cell>
          <cell r="G3188">
            <v>43496</v>
          </cell>
          <cell r="H3188" t="str">
            <v>PRD</v>
          </cell>
          <cell r="I3188" t="str">
            <v>PRD</v>
          </cell>
          <cell r="J3188" t="str">
            <v>HONDA EXPORT</v>
          </cell>
          <cell r="K3188" t="str">
            <v>HONDA EXPORT</v>
          </cell>
          <cell r="L3188" t="str">
            <v>PRE ASSY HONDA EXPORT 4</v>
          </cell>
          <cell r="M3188" t="str">
            <v>DRY-HDA-01</v>
          </cell>
          <cell r="N3188" t="str">
            <v>WFAP 2.2</v>
          </cell>
          <cell r="O3188" t="str">
            <v>A</v>
          </cell>
        </row>
        <row r="3189">
          <cell r="A3189">
            <v>20997</v>
          </cell>
          <cell r="B3189" t="str">
            <v>SITI MUSDALIFAH</v>
          </cell>
          <cell r="C3189" t="str">
            <v>SAMI</v>
          </cell>
          <cell r="D3189" t="str">
            <v>OPT-513</v>
          </cell>
          <cell r="E3189">
            <v>42674</v>
          </cell>
          <cell r="F3189">
            <v>43160</v>
          </cell>
          <cell r="G3189">
            <v>43524</v>
          </cell>
          <cell r="H3189" t="str">
            <v>PRD</v>
          </cell>
          <cell r="I3189" t="str">
            <v>PRD</v>
          </cell>
          <cell r="J3189" t="str">
            <v>HONDA EXPORT</v>
          </cell>
          <cell r="K3189" t="str">
            <v>HONDA EXPORT</v>
          </cell>
          <cell r="L3189" t="str">
            <v>PRE ASSY HONDA EXPORT 4</v>
          </cell>
          <cell r="M3189" t="str">
            <v>MC1-HDA-39, 40</v>
          </cell>
          <cell r="N3189" t="str">
            <v>WFAP 2.1</v>
          </cell>
          <cell r="O3189" t="str">
            <v>A</v>
          </cell>
        </row>
        <row r="3190">
          <cell r="A3190">
            <v>22085</v>
          </cell>
          <cell r="B3190" t="str">
            <v>NOVITA DIAN SAFITRI</v>
          </cell>
          <cell r="C3190" t="str">
            <v>SAMI</v>
          </cell>
          <cell r="D3190" t="str">
            <v>OPT-548</v>
          </cell>
          <cell r="E3190">
            <v>43150</v>
          </cell>
          <cell r="F3190">
            <v>43178</v>
          </cell>
          <cell r="G3190">
            <v>43555</v>
          </cell>
          <cell r="H3190" t="str">
            <v>PRD</v>
          </cell>
          <cell r="I3190" t="str">
            <v>PRD</v>
          </cell>
          <cell r="J3190" t="str">
            <v>HONDA EXPORT</v>
          </cell>
          <cell r="K3190" t="str">
            <v>HONDA EXPORT</v>
          </cell>
          <cell r="L3190" t="str">
            <v>PRE ASSY HONDA EXPORT 4</v>
          </cell>
          <cell r="M3190" t="str">
            <v>MC1-HDA-36, MC2-HDA-17</v>
          </cell>
          <cell r="N3190" t="str">
            <v>WFAP 2.1</v>
          </cell>
          <cell r="O3190" t="str">
            <v>A</v>
          </cell>
        </row>
        <row r="3191">
          <cell r="A3191">
            <v>22739</v>
          </cell>
          <cell r="B3191" t="str">
            <v>YULISTIYA YUNITA UTAMI</v>
          </cell>
          <cell r="C3191" t="str">
            <v>SAMI</v>
          </cell>
          <cell r="D3191" t="str">
            <v>OPT-564</v>
          </cell>
          <cell r="E3191">
            <v>43255</v>
          </cell>
          <cell r="F3191">
            <v>43285</v>
          </cell>
          <cell r="G3191">
            <v>43646</v>
          </cell>
          <cell r="H3191" t="str">
            <v>PRD</v>
          </cell>
          <cell r="I3191" t="str">
            <v>PRD</v>
          </cell>
          <cell r="J3191" t="str">
            <v>HONDA EXPORT</v>
          </cell>
          <cell r="K3191" t="str">
            <v>HONDA EXPORT</v>
          </cell>
          <cell r="L3191" t="str">
            <v>PRE ASSY HONDA EXPORT 4</v>
          </cell>
          <cell r="M3191" t="str">
            <v>MC1-HDA-44</v>
          </cell>
          <cell r="N3191" t="str">
            <v>WFAP 2.1</v>
          </cell>
          <cell r="O3191" t="str">
            <v>A</v>
          </cell>
        </row>
        <row r="3192">
          <cell r="A3192">
            <v>23087</v>
          </cell>
          <cell r="B3192" t="str">
            <v>WAHYU LESTARI</v>
          </cell>
          <cell r="C3192" t="str">
            <v>SAMI</v>
          </cell>
          <cell r="D3192" t="str">
            <v>OPT-569</v>
          </cell>
          <cell r="E3192">
            <v>43361</v>
          </cell>
          <cell r="F3192">
            <v>43391</v>
          </cell>
          <cell r="G3192">
            <v>43769</v>
          </cell>
          <cell r="H3192" t="str">
            <v>PRD</v>
          </cell>
          <cell r="I3192" t="str">
            <v>PRD</v>
          </cell>
          <cell r="J3192" t="str">
            <v>HONDA EXPORT</v>
          </cell>
          <cell r="K3192" t="str">
            <v>HONDA EXPORT</v>
          </cell>
          <cell r="L3192" t="str">
            <v>PRE ASSY HONDA EXPORT 4</v>
          </cell>
          <cell r="M3192" t="str">
            <v>MC1-HAD-52,53</v>
          </cell>
          <cell r="N3192" t="str">
            <v>WFAP 2.1</v>
          </cell>
          <cell r="O3192" t="str">
            <v>A</v>
          </cell>
        </row>
        <row r="3193">
          <cell r="A3193">
            <v>23119</v>
          </cell>
          <cell r="B3193" t="str">
            <v>FETI ROHAYA</v>
          </cell>
          <cell r="C3193" t="str">
            <v>SAMI</v>
          </cell>
          <cell r="D3193" t="str">
            <v>OPT-570</v>
          </cell>
          <cell r="E3193">
            <v>43369</v>
          </cell>
          <cell r="F3193">
            <v>43399</v>
          </cell>
          <cell r="G3193">
            <v>43769</v>
          </cell>
          <cell r="H3193" t="str">
            <v>PRD</v>
          </cell>
          <cell r="I3193" t="str">
            <v>PRD</v>
          </cell>
          <cell r="J3193" t="str">
            <v>HONDA EXPORT</v>
          </cell>
          <cell r="K3193" t="str">
            <v>HONDA EXPORT</v>
          </cell>
          <cell r="L3193" t="str">
            <v>PRE ASSY HONDA EXPORT 4</v>
          </cell>
          <cell r="M3193" t="str">
            <v>MC1-HAD-43</v>
          </cell>
          <cell r="N3193" t="str">
            <v>WFAP 2.1</v>
          </cell>
          <cell r="O3193" t="str">
            <v>A</v>
          </cell>
        </row>
        <row r="3194">
          <cell r="A3194">
            <v>22971</v>
          </cell>
          <cell r="B3194" t="str">
            <v>RIANA NOVIYANTI</v>
          </cell>
          <cell r="C3194" t="str">
            <v>SAMI</v>
          </cell>
          <cell r="D3194" t="str">
            <v>OPT-568</v>
          </cell>
          <cell r="E3194">
            <v>43343</v>
          </cell>
          <cell r="F3194">
            <v>43374</v>
          </cell>
          <cell r="G3194">
            <v>43738</v>
          </cell>
          <cell r="H3194" t="str">
            <v>PRD</v>
          </cell>
          <cell r="I3194" t="str">
            <v>PRD</v>
          </cell>
          <cell r="J3194" t="str">
            <v>HONDA EXPORT</v>
          </cell>
          <cell r="K3194" t="str">
            <v>HONDA EXPORT</v>
          </cell>
          <cell r="L3194" t="str">
            <v>PRE ASSY HONDA EXPORT 4</v>
          </cell>
          <cell r="M3194" t="str">
            <v>MC1-HAD-55</v>
          </cell>
          <cell r="N3194" t="str">
            <v>WFAP 2.1</v>
          </cell>
          <cell r="O3194" t="str">
            <v>A (NS)</v>
          </cell>
        </row>
        <row r="3195">
          <cell r="A3195">
            <v>23425</v>
          </cell>
          <cell r="B3195" t="str">
            <v>KONATUN</v>
          </cell>
          <cell r="C3195" t="str">
            <v>SAMI</v>
          </cell>
          <cell r="D3195" t="str">
            <v>OPT-575</v>
          </cell>
          <cell r="E3195">
            <v>43434</v>
          </cell>
          <cell r="F3195">
            <v>43464</v>
          </cell>
          <cell r="G3195">
            <v>43830</v>
          </cell>
          <cell r="H3195" t="str">
            <v>PRD</v>
          </cell>
          <cell r="I3195" t="str">
            <v>PRD</v>
          </cell>
          <cell r="J3195" t="str">
            <v>HONDA EXPORT</v>
          </cell>
          <cell r="K3195" t="str">
            <v>HONDA EXPORT</v>
          </cell>
          <cell r="L3195" t="str">
            <v>PRE ASSY HONDA EXPORT 4</v>
          </cell>
          <cell r="M3195" t="str">
            <v xml:space="preserve">MC1-HAD-39 </v>
          </cell>
          <cell r="N3195" t="str">
            <v>INTERNAL TRIAL</v>
          </cell>
          <cell r="O3195" t="str">
            <v>A (NS)</v>
          </cell>
        </row>
        <row r="3196">
          <cell r="A3196">
            <v>999</v>
          </cell>
          <cell r="B3196" t="str">
            <v>SAPARLINA RATNAWATI</v>
          </cell>
          <cell r="C3196" t="str">
            <v>SAMI</v>
          </cell>
          <cell r="D3196" t="str">
            <v>OPT-25</v>
          </cell>
          <cell r="E3196">
            <v>37872</v>
          </cell>
          <cell r="F3196" t="str">
            <v>-</v>
          </cell>
          <cell r="G3196" t="str">
            <v>-</v>
          </cell>
          <cell r="H3196" t="str">
            <v>PRD</v>
          </cell>
          <cell r="I3196" t="str">
            <v>PRD</v>
          </cell>
          <cell r="J3196" t="str">
            <v>HONDA EXPORT</v>
          </cell>
          <cell r="K3196" t="str">
            <v>HONDA EXPORT</v>
          </cell>
          <cell r="L3196" t="str">
            <v>PRE ASSY HONDA EXPORT 4</v>
          </cell>
          <cell r="M3196" t="str">
            <v>SUB LINE CHO</v>
          </cell>
          <cell r="N3196" t="str">
            <v>GL</v>
          </cell>
          <cell r="O3196" t="str">
            <v>B</v>
          </cell>
        </row>
        <row r="3197">
          <cell r="A3197">
            <v>5444</v>
          </cell>
          <cell r="B3197" t="str">
            <v>SITI NADHIYAH</v>
          </cell>
          <cell r="C3197" t="str">
            <v>SAMI</v>
          </cell>
          <cell r="D3197" t="str">
            <v>OPT-128</v>
          </cell>
          <cell r="E3197">
            <v>38991</v>
          </cell>
          <cell r="F3197" t="str">
            <v>-</v>
          </cell>
          <cell r="G3197" t="str">
            <v>-</v>
          </cell>
          <cell r="H3197" t="str">
            <v>PRD</v>
          </cell>
          <cell r="I3197" t="str">
            <v>PRD</v>
          </cell>
          <cell r="J3197" t="str">
            <v>HONDA EXPORT</v>
          </cell>
          <cell r="K3197" t="str">
            <v>HONDA EXPORT</v>
          </cell>
          <cell r="L3197" t="str">
            <v>PRE ASSY HONDA EXPORT 4</v>
          </cell>
          <cell r="M3197" t="str">
            <v>MC1-HDA-40</v>
          </cell>
          <cell r="N3197" t="str">
            <v>WFAP 2.1</v>
          </cell>
          <cell r="O3197" t="str">
            <v>B</v>
          </cell>
        </row>
        <row r="3198">
          <cell r="A3198">
            <v>11527</v>
          </cell>
          <cell r="B3198" t="str">
            <v>AYU LESTARI</v>
          </cell>
          <cell r="C3198" t="str">
            <v>SAMI</v>
          </cell>
          <cell r="D3198" t="str">
            <v>OPT-307</v>
          </cell>
          <cell r="E3198">
            <v>40707</v>
          </cell>
          <cell r="F3198" t="str">
            <v>-</v>
          </cell>
          <cell r="G3198" t="str">
            <v>-</v>
          </cell>
          <cell r="H3198" t="str">
            <v>PRD</v>
          </cell>
          <cell r="I3198" t="str">
            <v>PRD</v>
          </cell>
          <cell r="J3198" t="str">
            <v>HONDA EXPORT</v>
          </cell>
          <cell r="K3198" t="str">
            <v>HONDA EXPORT</v>
          </cell>
          <cell r="L3198" t="str">
            <v>PRE ASSY HONDA EXPORT 4</v>
          </cell>
          <cell r="M3198" t="str">
            <v>MC1-HDA-52, 53</v>
          </cell>
          <cell r="N3198" t="str">
            <v>WFAP 2.1</v>
          </cell>
          <cell r="O3198" t="str">
            <v>B</v>
          </cell>
        </row>
        <row r="3199">
          <cell r="A3199">
            <v>15197</v>
          </cell>
          <cell r="B3199" t="str">
            <v>NUR FITRIYA NINGSIH</v>
          </cell>
          <cell r="C3199" t="str">
            <v>SAMI</v>
          </cell>
          <cell r="D3199" t="str">
            <v>OPT-385</v>
          </cell>
          <cell r="E3199">
            <v>41435</v>
          </cell>
          <cell r="F3199" t="str">
            <v>-</v>
          </cell>
          <cell r="G3199" t="str">
            <v>-</v>
          </cell>
          <cell r="H3199" t="str">
            <v>PRD</v>
          </cell>
          <cell r="I3199" t="str">
            <v>PRD</v>
          </cell>
          <cell r="J3199" t="str">
            <v>HONDA EXPORT</v>
          </cell>
          <cell r="K3199" t="str">
            <v>HONDA EXPORT</v>
          </cell>
          <cell r="L3199" t="str">
            <v>PRE ASSY HONDA EXPORT 4</v>
          </cell>
          <cell r="M3199" t="str">
            <v>MC1-HDA-45,46</v>
          </cell>
          <cell r="N3199" t="str">
            <v>WFAP 2.1</v>
          </cell>
          <cell r="O3199" t="str">
            <v>B</v>
          </cell>
        </row>
        <row r="3200">
          <cell r="A3200">
            <v>21862</v>
          </cell>
          <cell r="B3200" t="str">
            <v>VINA HANDAYANI</v>
          </cell>
          <cell r="C3200" t="str">
            <v>SAMI</v>
          </cell>
          <cell r="D3200" t="str">
            <v>OPT-541</v>
          </cell>
          <cell r="E3200">
            <v>43098</v>
          </cell>
          <cell r="F3200">
            <v>43129</v>
          </cell>
          <cell r="G3200">
            <v>43496</v>
          </cell>
          <cell r="H3200" t="str">
            <v>PRD</v>
          </cell>
          <cell r="I3200" t="str">
            <v>PRD</v>
          </cell>
          <cell r="J3200" t="str">
            <v>HONDA EXPORT</v>
          </cell>
          <cell r="K3200" t="str">
            <v>HONDA EXPORT</v>
          </cell>
          <cell r="L3200" t="str">
            <v>PRE ASSY HONDA EXPORT 4</v>
          </cell>
          <cell r="M3200" t="str">
            <v>MC1-HDA-54,55</v>
          </cell>
          <cell r="N3200" t="str">
            <v>WFAP 2.1</v>
          </cell>
          <cell r="O3200" t="str">
            <v>B</v>
          </cell>
        </row>
        <row r="3201">
          <cell r="A3201">
            <v>22195</v>
          </cell>
          <cell r="B3201" t="str">
            <v>PUTRI WINARTI</v>
          </cell>
          <cell r="C3201" t="str">
            <v>SAMI</v>
          </cell>
          <cell r="D3201" t="str">
            <v>OPT-550</v>
          </cell>
          <cell r="E3201">
            <v>43158</v>
          </cell>
          <cell r="F3201">
            <v>43186</v>
          </cell>
          <cell r="G3201">
            <v>43555</v>
          </cell>
          <cell r="H3201" t="str">
            <v>PRD</v>
          </cell>
          <cell r="I3201" t="str">
            <v>PRD</v>
          </cell>
          <cell r="J3201" t="str">
            <v>HONDA EXPORT</v>
          </cell>
          <cell r="K3201" t="str">
            <v>HONDA EXPORT</v>
          </cell>
          <cell r="L3201" t="str">
            <v>PRE ASSY HONDA EXPORT 4</v>
          </cell>
          <cell r="M3201" t="str">
            <v>MC1-HDA-36, MC2-HDA-17</v>
          </cell>
          <cell r="N3201" t="str">
            <v>WFAP 2.1</v>
          </cell>
          <cell r="O3201" t="str">
            <v>B</v>
          </cell>
        </row>
        <row r="3202">
          <cell r="A3202">
            <v>22230</v>
          </cell>
          <cell r="B3202" t="str">
            <v>NUR FAIZATI</v>
          </cell>
          <cell r="C3202" t="str">
            <v>SAMI</v>
          </cell>
          <cell r="D3202" t="str">
            <v>OPT-551</v>
          </cell>
          <cell r="E3202">
            <v>43161</v>
          </cell>
          <cell r="F3202">
            <v>43192</v>
          </cell>
          <cell r="G3202">
            <v>43555</v>
          </cell>
          <cell r="H3202" t="str">
            <v>PRD</v>
          </cell>
          <cell r="I3202" t="str">
            <v>PRD</v>
          </cell>
          <cell r="J3202" t="str">
            <v>HONDA EXPORT</v>
          </cell>
          <cell r="K3202" t="str">
            <v>HONDA EXPORT</v>
          </cell>
          <cell r="L3202" t="str">
            <v>PRE ASSY HONDA EXPORT 4</v>
          </cell>
          <cell r="M3202" t="str">
            <v>DRY-HAD-01</v>
          </cell>
          <cell r="N3202" t="str">
            <v>WFAP 2.2</v>
          </cell>
          <cell r="O3202" t="str">
            <v>B</v>
          </cell>
        </row>
        <row r="3203">
          <cell r="A3203">
            <v>22260</v>
          </cell>
          <cell r="B3203" t="str">
            <v>YUSUF</v>
          </cell>
          <cell r="C3203" t="str">
            <v>SAMI</v>
          </cell>
          <cell r="D3203" t="str">
            <v>OPT-552</v>
          </cell>
          <cell r="E3203">
            <v>43171</v>
          </cell>
          <cell r="F3203">
            <v>43202</v>
          </cell>
          <cell r="G3203">
            <v>43555</v>
          </cell>
          <cell r="H3203" t="str">
            <v>PRD</v>
          </cell>
          <cell r="I3203" t="str">
            <v>PRD</v>
          </cell>
          <cell r="J3203" t="str">
            <v>HONDA EXPORT</v>
          </cell>
          <cell r="K3203" t="str">
            <v>HONDA EXPORT</v>
          </cell>
          <cell r="L3203" t="str">
            <v>PRE ASSY HONDA EXPORT 4</v>
          </cell>
          <cell r="M3203" t="str">
            <v>MC1-HDA-44,43</v>
          </cell>
          <cell r="N3203" t="str">
            <v>WFAP 2.1</v>
          </cell>
          <cell r="O3203" t="str">
            <v>B</v>
          </cell>
        </row>
        <row r="3204">
          <cell r="A3204">
            <v>22951</v>
          </cell>
          <cell r="B3204" t="str">
            <v>MELIA FITRIANI</v>
          </cell>
          <cell r="C3204" t="str">
            <v>SAMI</v>
          </cell>
          <cell r="D3204" t="str">
            <v>OPT-568</v>
          </cell>
          <cell r="E3204">
            <v>43343</v>
          </cell>
          <cell r="F3204">
            <v>43374</v>
          </cell>
          <cell r="G3204">
            <v>43738</v>
          </cell>
          <cell r="H3204" t="str">
            <v>PRD</v>
          </cell>
          <cell r="I3204" t="str">
            <v>PRD</v>
          </cell>
          <cell r="J3204" t="str">
            <v>HONDA EXPORT</v>
          </cell>
          <cell r="K3204" t="str">
            <v>HONDA EXPORT</v>
          </cell>
          <cell r="L3204" t="str">
            <v>PRE ASSY HONDA EXPORT 4</v>
          </cell>
          <cell r="M3204" t="str">
            <v>MC1-HAD-51</v>
          </cell>
          <cell r="N3204" t="str">
            <v>WFAP 2.1</v>
          </cell>
          <cell r="O3204" t="str">
            <v>B</v>
          </cell>
        </row>
        <row r="3205">
          <cell r="A3205">
            <v>340</v>
          </cell>
          <cell r="B3205" t="str">
            <v>NUR WAHYUNI</v>
          </cell>
          <cell r="C3205" t="str">
            <v>SAMI</v>
          </cell>
          <cell r="D3205" t="str">
            <v>OPT-9</v>
          </cell>
          <cell r="E3205">
            <v>37725</v>
          </cell>
          <cell r="F3205" t="str">
            <v>-</v>
          </cell>
          <cell r="G3205" t="str">
            <v>-</v>
          </cell>
          <cell r="H3205" t="str">
            <v>PRD</v>
          </cell>
          <cell r="I3205" t="str">
            <v>PRD</v>
          </cell>
          <cell r="J3205" t="str">
            <v>HONDA BBP</v>
          </cell>
          <cell r="K3205" t="str">
            <v>HV HONDA 5JLA BBP</v>
          </cell>
          <cell r="L3205" t="str">
            <v>PRE ASSY HONDA HV</v>
          </cell>
          <cell r="M3205" t="str">
            <v>SUB LINE CHO</v>
          </cell>
          <cell r="N3205" t="str">
            <v>GL</v>
          </cell>
          <cell r="O3205" t="str">
            <v>A</v>
          </cell>
        </row>
        <row r="3206">
          <cell r="A3206">
            <v>11055</v>
          </cell>
          <cell r="B3206" t="str">
            <v>AFIDATUL UMAROH</v>
          </cell>
          <cell r="C3206" t="str">
            <v>SAMI</v>
          </cell>
          <cell r="D3206" t="str">
            <v>OPT-289</v>
          </cell>
          <cell r="E3206">
            <v>40595</v>
          </cell>
          <cell r="F3206" t="str">
            <v>-</v>
          </cell>
          <cell r="G3206" t="str">
            <v>-</v>
          </cell>
          <cell r="H3206" t="str">
            <v>PRD</v>
          </cell>
          <cell r="I3206" t="str">
            <v>PRD</v>
          </cell>
          <cell r="J3206" t="str">
            <v>HONDA BBP</v>
          </cell>
          <cell r="K3206" t="str">
            <v>HV HONDA 5JLA BBP</v>
          </cell>
          <cell r="L3206" t="str">
            <v>PRE ASSY HONDA HV</v>
          </cell>
          <cell r="M3206" t="str">
            <v>INTERMEDIATE 1</v>
          </cell>
          <cell r="N3206" t="str">
            <v>P/A INSPECTOR</v>
          </cell>
          <cell r="O3206" t="str">
            <v>A</v>
          </cell>
        </row>
        <row r="3207">
          <cell r="A3207">
            <v>22298</v>
          </cell>
          <cell r="B3207" t="str">
            <v>MAFULA</v>
          </cell>
          <cell r="C3207" t="str">
            <v>SAMI</v>
          </cell>
          <cell r="D3207" t="str">
            <v>OPT-555</v>
          </cell>
          <cell r="E3207">
            <v>43192</v>
          </cell>
          <cell r="F3207">
            <v>43222</v>
          </cell>
          <cell r="G3207">
            <v>43585</v>
          </cell>
          <cell r="H3207" t="str">
            <v>PRD</v>
          </cell>
          <cell r="I3207" t="str">
            <v>PRD</v>
          </cell>
          <cell r="J3207" t="str">
            <v>HONDA BBP</v>
          </cell>
          <cell r="K3207" t="str">
            <v>HV HONDA 5JLA BBP</v>
          </cell>
          <cell r="L3207" t="str">
            <v>PRE ASSY HONDA HV</v>
          </cell>
          <cell r="M3207" t="str">
            <v>INTERMEDIATE 01</v>
          </cell>
          <cell r="N3207" t="str">
            <v>WFAP 2.2</v>
          </cell>
          <cell r="O3207" t="str">
            <v>A</v>
          </cell>
        </row>
        <row r="3208">
          <cell r="A3208">
            <v>22301</v>
          </cell>
          <cell r="B3208" t="str">
            <v>NIRWAN SAPUTRA</v>
          </cell>
          <cell r="C3208" t="str">
            <v>SAMI</v>
          </cell>
          <cell r="D3208" t="str">
            <v>OPT-555</v>
          </cell>
          <cell r="E3208">
            <v>43192</v>
          </cell>
          <cell r="F3208">
            <v>43222</v>
          </cell>
          <cell r="G3208">
            <v>43585</v>
          </cell>
          <cell r="H3208" t="str">
            <v>PRD</v>
          </cell>
          <cell r="I3208" t="str">
            <v>PRD</v>
          </cell>
          <cell r="J3208" t="str">
            <v>HONDA BBP</v>
          </cell>
          <cell r="K3208" t="str">
            <v>HV HONDA 5JLA BBP</v>
          </cell>
          <cell r="L3208" t="str">
            <v>PRE ASSY HONDA HV</v>
          </cell>
          <cell r="M3208" t="str">
            <v>WT, KANBAN</v>
          </cell>
          <cell r="N3208" t="str">
            <v>P/A CONTROLLER</v>
          </cell>
          <cell r="O3208" t="str">
            <v>A</v>
          </cell>
        </row>
        <row r="3209">
          <cell r="A3209">
            <v>23378</v>
          </cell>
          <cell r="B3209" t="str">
            <v>VIVI MUKHAVIDHO</v>
          </cell>
          <cell r="C3209" t="str">
            <v>SAMI</v>
          </cell>
          <cell r="D3209" t="str">
            <v>OPT-574</v>
          </cell>
          <cell r="E3209">
            <v>43427</v>
          </cell>
          <cell r="F3209">
            <v>43457</v>
          </cell>
          <cell r="G3209">
            <v>43830</v>
          </cell>
          <cell r="H3209" t="str">
            <v>PRD</v>
          </cell>
          <cell r="I3209" t="str">
            <v>PRD</v>
          </cell>
          <cell r="J3209" t="str">
            <v>HONDA BBP</v>
          </cell>
          <cell r="K3209" t="str">
            <v>HV HONDA 5JLA BBP</v>
          </cell>
          <cell r="L3209" t="str">
            <v>PRE ASSY HONDA HV</v>
          </cell>
          <cell r="M3209" t="str">
            <v>JM2-H-01, RYC-H-01</v>
          </cell>
          <cell r="N3209" t="str">
            <v>WFAP 2.2</v>
          </cell>
          <cell r="O3209" t="str">
            <v>A</v>
          </cell>
        </row>
        <row r="3210">
          <cell r="A3210">
            <v>23481</v>
          </cell>
          <cell r="B3210" t="str">
            <v>USWATUN KHASANAH</v>
          </cell>
          <cell r="C3210" t="str">
            <v>SAMI</v>
          </cell>
          <cell r="D3210" t="str">
            <v>OPT-575</v>
          </cell>
          <cell r="E3210">
            <v>43434</v>
          </cell>
          <cell r="F3210">
            <v>43464</v>
          </cell>
          <cell r="G3210">
            <v>43830</v>
          </cell>
          <cell r="H3210" t="str">
            <v>PRD</v>
          </cell>
          <cell r="I3210" t="str">
            <v>PRD</v>
          </cell>
          <cell r="J3210" t="str">
            <v>HONDA BBP</v>
          </cell>
          <cell r="K3210" t="str">
            <v>HV HONDA 5JLA BBP</v>
          </cell>
          <cell r="L3210" t="str">
            <v>PRE ASSY HONDA HV</v>
          </cell>
          <cell r="M3210" t="str">
            <v>INTERMEDIATE 02</v>
          </cell>
          <cell r="N3210" t="str">
            <v>WFAP 2.2</v>
          </cell>
          <cell r="O3210" t="str">
            <v>A</v>
          </cell>
        </row>
        <row r="3211">
          <cell r="A3211">
            <v>6186</v>
          </cell>
          <cell r="B3211" t="str">
            <v>FUAD NUR ZAMAN</v>
          </cell>
          <cell r="C3211" t="str">
            <v>SAMI</v>
          </cell>
          <cell r="D3211" t="str">
            <v>OPT-141</v>
          </cell>
          <cell r="E3211">
            <v>39173</v>
          </cell>
          <cell r="F3211" t="str">
            <v>-</v>
          </cell>
          <cell r="G3211" t="str">
            <v>-</v>
          </cell>
          <cell r="H3211" t="str">
            <v>PRD</v>
          </cell>
          <cell r="I3211" t="str">
            <v>PRD</v>
          </cell>
          <cell r="J3211" t="str">
            <v>HONDA BBP</v>
          </cell>
          <cell r="K3211" t="str">
            <v>HV HONDA 5JLA BBP</v>
          </cell>
          <cell r="L3211" t="str">
            <v>PRE ASSY HONDA HV</v>
          </cell>
          <cell r="M3211" t="str">
            <v>SUB LINE CHO</v>
          </cell>
          <cell r="N3211" t="str">
            <v>GL</v>
          </cell>
          <cell r="O3211" t="str">
            <v>B</v>
          </cell>
        </row>
        <row r="3212">
          <cell r="A3212">
            <v>22429</v>
          </cell>
          <cell r="B3212" t="str">
            <v>SRI WAHYUNI</v>
          </cell>
          <cell r="C3212" t="str">
            <v>SAMI</v>
          </cell>
          <cell r="D3212" t="str">
            <v>OPT-558</v>
          </cell>
          <cell r="E3212">
            <v>43213</v>
          </cell>
          <cell r="F3212">
            <v>43243</v>
          </cell>
          <cell r="G3212">
            <v>43616</v>
          </cell>
          <cell r="H3212" t="str">
            <v>PRD</v>
          </cell>
          <cell r="I3212" t="str">
            <v>PRD</v>
          </cell>
          <cell r="J3212" t="str">
            <v>HONDA BBP</v>
          </cell>
          <cell r="K3212" t="str">
            <v>HV HONDA 5JLA BBP</v>
          </cell>
          <cell r="L3212" t="str">
            <v>PRE ASSY HONDA HV</v>
          </cell>
          <cell r="M3212" t="str">
            <v>JM2-H-01,RYC-H-02,KBN</v>
          </cell>
          <cell r="N3212" t="str">
            <v>WFAP 2.1</v>
          </cell>
          <cell r="O3212" t="str">
            <v>B</v>
          </cell>
        </row>
        <row r="3213">
          <cell r="A3213">
            <v>23369</v>
          </cell>
          <cell r="B3213" t="str">
            <v>SRI RAHAYU</v>
          </cell>
          <cell r="C3213" t="str">
            <v>SAMI</v>
          </cell>
          <cell r="D3213" t="str">
            <v>OPT-574</v>
          </cell>
          <cell r="E3213">
            <v>43427</v>
          </cell>
          <cell r="F3213">
            <v>43457</v>
          </cell>
          <cell r="G3213">
            <v>43830</v>
          </cell>
          <cell r="H3213" t="str">
            <v>PRD</v>
          </cell>
          <cell r="I3213" t="str">
            <v>PRD</v>
          </cell>
          <cell r="J3213" t="str">
            <v>HONDA BBP</v>
          </cell>
          <cell r="K3213" t="str">
            <v>HV HONDA 5JLA BBP</v>
          </cell>
          <cell r="L3213" t="str">
            <v>PRE ASSY HONDA HV</v>
          </cell>
          <cell r="M3213" t="str">
            <v>MC2-H-01,MC2-H-02,WT</v>
          </cell>
          <cell r="N3213" t="str">
            <v>WFAP 2.1</v>
          </cell>
          <cell r="O3213" t="str">
            <v>B</v>
          </cell>
        </row>
        <row r="3214">
          <cell r="A3214">
            <v>23558</v>
          </cell>
          <cell r="B3214" t="str">
            <v>IRAWATI</v>
          </cell>
          <cell r="C3214" t="str">
            <v>SAMI</v>
          </cell>
          <cell r="D3214" t="str">
            <v>OPT-577</v>
          </cell>
          <cell r="E3214">
            <v>43452</v>
          </cell>
          <cell r="F3214">
            <v>43483</v>
          </cell>
          <cell r="G3214">
            <v>43861</v>
          </cell>
          <cell r="H3214" t="str">
            <v>PRD</v>
          </cell>
          <cell r="I3214" t="str">
            <v>PRD</v>
          </cell>
          <cell r="J3214" t="str">
            <v>HONDA BBP</v>
          </cell>
          <cell r="K3214" t="str">
            <v>HV HONDA 5JLA BBP</v>
          </cell>
          <cell r="L3214" t="str">
            <v>PRE ASSY HONDA HV</v>
          </cell>
          <cell r="M3214" t="str">
            <v>OJT</v>
          </cell>
          <cell r="N3214" t="str">
            <v>INTERNAL TRIAL</v>
          </cell>
          <cell r="O3214" t="str">
            <v>B</v>
          </cell>
        </row>
        <row r="3215">
          <cell r="A3215">
            <v>22685</v>
          </cell>
          <cell r="B3215" t="str">
            <v>WIDYA PRATIWI</v>
          </cell>
          <cell r="C3215" t="str">
            <v>SAMI</v>
          </cell>
          <cell r="D3215" t="str">
            <v>OPT-562</v>
          </cell>
          <cell r="E3215">
            <v>43241</v>
          </cell>
          <cell r="F3215">
            <v>43272</v>
          </cell>
          <cell r="G3215">
            <v>43646</v>
          </cell>
          <cell r="H3215" t="str">
            <v>PRD</v>
          </cell>
          <cell r="I3215" t="str">
            <v>PRD</v>
          </cell>
          <cell r="J3215" t="str">
            <v>HONDA SOLENOID</v>
          </cell>
          <cell r="K3215" t="str">
            <v>HONDA SOLENOID</v>
          </cell>
          <cell r="L3215" t="str">
            <v>PRE ASSY HONDA SOLENOID</v>
          </cell>
          <cell r="M3215" t="str">
            <v>MC2-HDS-02</v>
          </cell>
          <cell r="N3215" t="str">
            <v>WFAP 2.1</v>
          </cell>
          <cell r="O3215" t="str">
            <v>A</v>
          </cell>
        </row>
        <row r="3216">
          <cell r="A3216">
            <v>22695</v>
          </cell>
          <cell r="B3216" t="str">
            <v>DIANAJI TRIAS HUDAYA</v>
          </cell>
          <cell r="C3216" t="str">
            <v>SAMI</v>
          </cell>
          <cell r="D3216" t="str">
            <v>OPT-563</v>
          </cell>
          <cell r="E3216">
            <v>43244</v>
          </cell>
          <cell r="F3216">
            <v>43275</v>
          </cell>
          <cell r="G3216">
            <v>43646</v>
          </cell>
          <cell r="H3216" t="str">
            <v>PRD</v>
          </cell>
          <cell r="I3216" t="str">
            <v>PRD</v>
          </cell>
          <cell r="J3216" t="str">
            <v>HONDA SOLENOID</v>
          </cell>
          <cell r="K3216" t="str">
            <v>HONDA SOLENOID</v>
          </cell>
          <cell r="L3216" t="str">
            <v>PRE ASSY HONDA SOLENOID</v>
          </cell>
          <cell r="M3216" t="str">
            <v>MC2-HDS-01,03</v>
          </cell>
          <cell r="N3216" t="str">
            <v>WFAP 2.1</v>
          </cell>
          <cell r="O3216" t="str">
            <v>A</v>
          </cell>
        </row>
        <row r="3217">
          <cell r="A3217">
            <v>23549</v>
          </cell>
          <cell r="B3217" t="str">
            <v>EVA YUNANI</v>
          </cell>
          <cell r="C3217" t="str">
            <v>SAMI</v>
          </cell>
          <cell r="D3217" t="str">
            <v>OPT-577</v>
          </cell>
          <cell r="E3217">
            <v>43452</v>
          </cell>
          <cell r="F3217">
            <v>43483</v>
          </cell>
          <cell r="G3217">
            <v>43861</v>
          </cell>
          <cell r="H3217" t="str">
            <v>PRD</v>
          </cell>
          <cell r="I3217" t="str">
            <v>PRD</v>
          </cell>
          <cell r="J3217" t="str">
            <v>HONDA SOLENOID</v>
          </cell>
          <cell r="K3217" t="str">
            <v>HONDA SOLENOID</v>
          </cell>
          <cell r="L3217" t="str">
            <v>PRE ASSY HONDA SOLENOID</v>
          </cell>
          <cell r="M3217" t="str">
            <v>OJT MC2-HDS-01, 03</v>
          </cell>
          <cell r="N3217" t="str">
            <v>INTERNAL TRIAL</v>
          </cell>
          <cell r="O3217" t="str">
            <v>A (NS)</v>
          </cell>
        </row>
        <row r="3218">
          <cell r="A3218">
            <v>22630</v>
          </cell>
          <cell r="B3218" t="str">
            <v>SITI RODHIYAH</v>
          </cell>
          <cell r="C3218" t="str">
            <v>SAMI</v>
          </cell>
          <cell r="D3218" t="str">
            <v>OPT-561</v>
          </cell>
          <cell r="E3218">
            <v>43236</v>
          </cell>
          <cell r="F3218">
            <v>43267</v>
          </cell>
          <cell r="G3218">
            <v>43646</v>
          </cell>
          <cell r="H3218" t="str">
            <v>PRD</v>
          </cell>
          <cell r="I3218" t="str">
            <v>PRD</v>
          </cell>
          <cell r="J3218" t="str">
            <v>HONDA SOLENOID</v>
          </cell>
          <cell r="K3218" t="str">
            <v>HONDA SOLENOID</v>
          </cell>
          <cell r="L3218" t="str">
            <v>PRE ASSY HONDA SOLENOID</v>
          </cell>
          <cell r="M3218" t="str">
            <v>MC2-HDS-02</v>
          </cell>
          <cell r="N3218" t="str">
            <v>WFAP 2.1</v>
          </cell>
          <cell r="O3218" t="str">
            <v>B</v>
          </cell>
        </row>
        <row r="3219">
          <cell r="A3219">
            <v>22832</v>
          </cell>
          <cell r="B3219" t="str">
            <v>HENI KURNIASIH</v>
          </cell>
          <cell r="C3219" t="str">
            <v>SAMI</v>
          </cell>
          <cell r="D3219" t="str">
            <v>OPT-567</v>
          </cell>
          <cell r="E3219">
            <v>43333</v>
          </cell>
          <cell r="F3219">
            <v>43364</v>
          </cell>
          <cell r="G3219">
            <v>43738</v>
          </cell>
          <cell r="H3219" t="str">
            <v>PRD</v>
          </cell>
          <cell r="I3219" t="str">
            <v>PRD</v>
          </cell>
          <cell r="J3219" t="str">
            <v>HONDA SOLENOID</v>
          </cell>
          <cell r="K3219" t="str">
            <v>HONDA SOLENOID</v>
          </cell>
          <cell r="L3219" t="str">
            <v>PRE ASSY HONDA SOLENOID</v>
          </cell>
          <cell r="M3219" t="str">
            <v>MC2-HDS-01,03</v>
          </cell>
          <cell r="N3219" t="str">
            <v>WFAP 2.1</v>
          </cell>
          <cell r="O3219" t="str">
            <v>B</v>
          </cell>
        </row>
        <row r="3220">
          <cell r="A3220">
            <v>630</v>
          </cell>
          <cell r="B3220" t="str">
            <v>SETYO RINI</v>
          </cell>
          <cell r="C3220" t="str">
            <v>SAMI</v>
          </cell>
          <cell r="D3220" t="str">
            <v>OPT-16</v>
          </cell>
          <cell r="E3220">
            <v>37781</v>
          </cell>
          <cell r="F3220" t="str">
            <v>-</v>
          </cell>
          <cell r="G3220" t="str">
            <v>-</v>
          </cell>
          <cell r="H3220" t="str">
            <v>PRD</v>
          </cell>
          <cell r="I3220" t="str">
            <v>PRD</v>
          </cell>
          <cell r="J3220" t="str">
            <v>MAZDA ATENZA</v>
          </cell>
          <cell r="K3220" t="str">
            <v>MAZDA ATENZA</v>
          </cell>
          <cell r="L3220" t="str">
            <v>PRE ASSY MAZDA ATENZA</v>
          </cell>
          <cell r="M3220" t="str">
            <v>SUB LINE CHO</v>
          </cell>
          <cell r="N3220" t="str">
            <v>GL</v>
          </cell>
          <cell r="O3220" t="str">
            <v>A</v>
          </cell>
        </row>
        <row r="3221">
          <cell r="A3221">
            <v>756</v>
          </cell>
          <cell r="B3221" t="str">
            <v>TRI ROCHANIYATI</v>
          </cell>
          <cell r="C3221" t="str">
            <v>SAMI</v>
          </cell>
          <cell r="D3221" t="str">
            <v>OPT-20</v>
          </cell>
          <cell r="E3221">
            <v>37830</v>
          </cell>
          <cell r="F3221" t="str">
            <v>-</v>
          </cell>
          <cell r="G3221" t="str">
            <v>-</v>
          </cell>
          <cell r="H3221" t="str">
            <v>PRD</v>
          </cell>
          <cell r="I3221" t="str">
            <v>PRD</v>
          </cell>
          <cell r="J3221" t="str">
            <v>MAZDA ATENZA</v>
          </cell>
          <cell r="K3221" t="str">
            <v>MAZDA ATENZA</v>
          </cell>
          <cell r="L3221" t="str">
            <v>PRE ASSY MAZDA ATENZA</v>
          </cell>
          <cell r="M3221" t="str">
            <v>SUB LINE CHO</v>
          </cell>
          <cell r="N3221" t="str">
            <v>GL</v>
          </cell>
          <cell r="O3221" t="str">
            <v>A</v>
          </cell>
        </row>
        <row r="3222">
          <cell r="A3222">
            <v>1436</v>
          </cell>
          <cell r="B3222" t="str">
            <v>NINA SULISTYA</v>
          </cell>
          <cell r="C3222" t="str">
            <v>SAMI</v>
          </cell>
          <cell r="D3222" t="str">
            <v>OPT-35</v>
          </cell>
          <cell r="E3222">
            <v>37970</v>
          </cell>
          <cell r="F3222" t="str">
            <v>-</v>
          </cell>
          <cell r="G3222" t="str">
            <v>-</v>
          </cell>
          <cell r="H3222" t="str">
            <v>PRD</v>
          </cell>
          <cell r="I3222" t="str">
            <v>PRD</v>
          </cell>
          <cell r="J3222" t="str">
            <v>MAZDA ATENZA</v>
          </cell>
          <cell r="K3222" t="str">
            <v>MAZDA ATENZA</v>
          </cell>
          <cell r="L3222" t="str">
            <v>PRE ASSY MAZDA ATENZA</v>
          </cell>
          <cell r="M3222" t="str">
            <v>BM4-MZD-01</v>
          </cell>
          <cell r="N3222" t="str">
            <v>BONDER</v>
          </cell>
          <cell r="O3222" t="str">
            <v>A</v>
          </cell>
        </row>
        <row r="3223">
          <cell r="A3223">
            <v>5245</v>
          </cell>
          <cell r="B3223" t="str">
            <v>DWI INDARWATI</v>
          </cell>
          <cell r="C3223" t="str">
            <v>SAMI</v>
          </cell>
          <cell r="D3223" t="str">
            <v>OPT-125</v>
          </cell>
          <cell r="E3223">
            <v>38961</v>
          </cell>
          <cell r="F3223" t="str">
            <v>-</v>
          </cell>
          <cell r="G3223" t="str">
            <v>-</v>
          </cell>
          <cell r="H3223" t="str">
            <v>PRD</v>
          </cell>
          <cell r="I3223" t="str">
            <v>PRD</v>
          </cell>
          <cell r="J3223" t="str">
            <v>MAZDA ATENZA</v>
          </cell>
          <cell r="K3223" t="str">
            <v>MAZDA ATENZA</v>
          </cell>
          <cell r="L3223" t="str">
            <v>PRE ASSY MAZDA ATENZA</v>
          </cell>
          <cell r="M3223" t="str">
            <v>RYC-MZD-02</v>
          </cell>
          <cell r="N3223" t="str">
            <v>WFAP 2.2</v>
          </cell>
          <cell r="O3223" t="str">
            <v>A</v>
          </cell>
        </row>
        <row r="3224">
          <cell r="A3224">
            <v>6129</v>
          </cell>
          <cell r="B3224" t="str">
            <v>DIAN ANGGRAENI</v>
          </cell>
          <cell r="C3224" t="str">
            <v>SAMI</v>
          </cell>
          <cell r="D3224" t="str">
            <v>OPT-140</v>
          </cell>
          <cell r="E3224">
            <v>39157</v>
          </cell>
          <cell r="F3224" t="str">
            <v>-</v>
          </cell>
          <cell r="G3224" t="str">
            <v>-</v>
          </cell>
          <cell r="H3224" t="str">
            <v>PRD</v>
          </cell>
          <cell r="I3224" t="str">
            <v>PRD</v>
          </cell>
          <cell r="J3224" t="str">
            <v>MAZDA ATENZA</v>
          </cell>
          <cell r="K3224" t="str">
            <v>MAZDA ATENZA</v>
          </cell>
          <cell r="L3224" t="str">
            <v>PRE ASSY MAZDA ATENZA</v>
          </cell>
          <cell r="M3224" t="str">
            <v>TWS-MZD-07</v>
          </cell>
          <cell r="N3224" t="str">
            <v>WFAP 2.1</v>
          </cell>
          <cell r="O3224" t="str">
            <v>A</v>
          </cell>
        </row>
        <row r="3225">
          <cell r="A3225">
            <v>9753</v>
          </cell>
          <cell r="B3225" t="str">
            <v>SEFTI PURWANTI</v>
          </cell>
          <cell r="C3225" t="str">
            <v>SAMI</v>
          </cell>
          <cell r="D3225" t="str">
            <v>OPT-224</v>
          </cell>
          <cell r="E3225">
            <v>40301</v>
          </cell>
          <cell r="F3225" t="str">
            <v>-</v>
          </cell>
          <cell r="G3225" t="str">
            <v>-</v>
          </cell>
          <cell r="H3225" t="str">
            <v>PRD</v>
          </cell>
          <cell r="I3225" t="str">
            <v>PRD</v>
          </cell>
          <cell r="J3225" t="str">
            <v>MAZDA ATENZA</v>
          </cell>
          <cell r="K3225" t="str">
            <v>MAZDA ATENZA</v>
          </cell>
          <cell r="L3225" t="str">
            <v>PRE ASSY MAZDA ATENZA</v>
          </cell>
          <cell r="M3225" t="str">
            <v>SUB LINE CHO</v>
          </cell>
          <cell r="N3225" t="str">
            <v>GL</v>
          </cell>
          <cell r="O3225" t="str">
            <v>A</v>
          </cell>
        </row>
        <row r="3226">
          <cell r="A3226">
            <v>10173</v>
          </cell>
          <cell r="B3226" t="str">
            <v>DWI MEI NINGRUM</v>
          </cell>
          <cell r="C3226" t="str">
            <v>SAMI</v>
          </cell>
          <cell r="D3226" t="str">
            <v>OPT-253</v>
          </cell>
          <cell r="E3226">
            <v>40458</v>
          </cell>
          <cell r="F3226" t="str">
            <v>-</v>
          </cell>
          <cell r="G3226" t="str">
            <v>-</v>
          </cell>
          <cell r="H3226" t="str">
            <v>PRD</v>
          </cell>
          <cell r="I3226" t="str">
            <v>PRD</v>
          </cell>
          <cell r="J3226" t="str">
            <v>MAZDA ATENZA</v>
          </cell>
          <cell r="K3226" t="str">
            <v>MAZDA ATENZA</v>
          </cell>
          <cell r="L3226" t="str">
            <v>PRE ASSY MAZDA ATENZA</v>
          </cell>
          <cell r="M3226" t="str">
            <v>TWS-MZD-04</v>
          </cell>
          <cell r="N3226" t="str">
            <v>WFAP 2.2</v>
          </cell>
          <cell r="O3226" t="str">
            <v>A</v>
          </cell>
        </row>
        <row r="3227">
          <cell r="A3227">
            <v>10229</v>
          </cell>
          <cell r="B3227" t="str">
            <v>SITI SUBAEDAH</v>
          </cell>
          <cell r="C3227" t="str">
            <v>SAMI</v>
          </cell>
          <cell r="D3227" t="str">
            <v>OPT-259</v>
          </cell>
          <cell r="E3227">
            <v>40489</v>
          </cell>
          <cell r="F3227" t="str">
            <v>-</v>
          </cell>
          <cell r="G3227" t="str">
            <v>-</v>
          </cell>
          <cell r="H3227" t="str">
            <v>PRD</v>
          </cell>
          <cell r="I3227" t="str">
            <v>PRD</v>
          </cell>
          <cell r="J3227" t="str">
            <v>MAZDA ATENZA</v>
          </cell>
          <cell r="K3227" t="str">
            <v>MAZDA ATENZA</v>
          </cell>
          <cell r="L3227" t="str">
            <v>PRE ASSY MAZDA ATENZA</v>
          </cell>
          <cell r="M3227" t="str">
            <v>BM1-MZD-01</v>
          </cell>
          <cell r="N3227" t="str">
            <v>BONDER</v>
          </cell>
          <cell r="O3227" t="str">
            <v>A</v>
          </cell>
        </row>
        <row r="3228">
          <cell r="A3228">
            <v>12629</v>
          </cell>
          <cell r="B3228" t="str">
            <v>ANA MAFTUKHAH</v>
          </cell>
          <cell r="C3228" t="str">
            <v>SAMI</v>
          </cell>
          <cell r="D3228" t="str">
            <v>OPT-320</v>
          </cell>
          <cell r="E3228">
            <v>40819</v>
          </cell>
          <cell r="F3228" t="str">
            <v>-</v>
          </cell>
          <cell r="G3228" t="str">
            <v>-</v>
          </cell>
          <cell r="H3228" t="str">
            <v>PRD</v>
          </cell>
          <cell r="I3228" t="str">
            <v>PRD</v>
          </cell>
          <cell r="J3228" t="str">
            <v>MAZDA ATENZA</v>
          </cell>
          <cell r="K3228" t="str">
            <v>MAZDA ATENZA</v>
          </cell>
          <cell r="L3228" t="str">
            <v>PRE ASSY MAZDA ATENZA</v>
          </cell>
          <cell r="M3228" t="str">
            <v>INSP PRE ASSY</v>
          </cell>
          <cell r="N3228" t="str">
            <v>P/A INSPECTOR</v>
          </cell>
          <cell r="O3228" t="str">
            <v>A</v>
          </cell>
        </row>
        <row r="3229">
          <cell r="A3229">
            <v>21156</v>
          </cell>
          <cell r="B3229" t="str">
            <v>FARAH HANUN SARY</v>
          </cell>
          <cell r="C3229" t="str">
            <v>SAMI</v>
          </cell>
          <cell r="D3229" t="str">
            <v>OPT-522</v>
          </cell>
          <cell r="E3229">
            <v>42871</v>
          </cell>
          <cell r="F3229">
            <v>43374</v>
          </cell>
          <cell r="G3229">
            <v>43738</v>
          </cell>
          <cell r="H3229" t="str">
            <v>PRD</v>
          </cell>
          <cell r="I3229" t="str">
            <v>PRD</v>
          </cell>
          <cell r="J3229" t="str">
            <v>MAZDA ATENZA</v>
          </cell>
          <cell r="K3229" t="str">
            <v>MAZDA ATENZA</v>
          </cell>
          <cell r="L3229" t="str">
            <v>PRE ASSY MAZDA ATENZA</v>
          </cell>
          <cell r="M3229" t="str">
            <v>JM2-MZD-01</v>
          </cell>
          <cell r="N3229" t="str">
            <v>WFAP 2.2</v>
          </cell>
          <cell r="O3229" t="str">
            <v>A</v>
          </cell>
        </row>
        <row r="3230">
          <cell r="A3230">
            <v>22378</v>
          </cell>
          <cell r="B3230" t="str">
            <v>DEWI GUSTIANINGSIH</v>
          </cell>
          <cell r="C3230" t="str">
            <v>SAMI</v>
          </cell>
          <cell r="D3230" t="str">
            <v>OPT-558</v>
          </cell>
          <cell r="E3230">
            <v>43213</v>
          </cell>
          <cell r="F3230">
            <v>43243</v>
          </cell>
          <cell r="G3230">
            <v>43616</v>
          </cell>
          <cell r="H3230" t="str">
            <v>PRD</v>
          </cell>
          <cell r="I3230" t="str">
            <v>PRD</v>
          </cell>
          <cell r="J3230" t="str">
            <v>MAZDA ATENZA</v>
          </cell>
          <cell r="K3230" t="str">
            <v>MAZDA ATENZA</v>
          </cell>
          <cell r="L3230" t="str">
            <v>PRE ASSY MAZDA ATENZA</v>
          </cell>
          <cell r="M3230" t="str">
            <v>MC1-MZD-06, 07</v>
          </cell>
          <cell r="N3230" t="str">
            <v>WFAP 2.1</v>
          </cell>
          <cell r="O3230" t="str">
            <v>A</v>
          </cell>
        </row>
        <row r="3231">
          <cell r="A3231">
            <v>22460</v>
          </cell>
          <cell r="B3231" t="str">
            <v>NUR FAIKA MAYYASARI</v>
          </cell>
          <cell r="C3231" t="str">
            <v>SAMI</v>
          </cell>
          <cell r="D3231" t="str">
            <v>OPT-559</v>
          </cell>
          <cell r="E3231">
            <v>43220</v>
          </cell>
          <cell r="F3231">
            <v>43250</v>
          </cell>
          <cell r="G3231">
            <v>43616</v>
          </cell>
          <cell r="H3231" t="str">
            <v>PRD</v>
          </cell>
          <cell r="I3231" t="str">
            <v>PRD</v>
          </cell>
          <cell r="J3231" t="str">
            <v>MAZDA ATENZA</v>
          </cell>
          <cell r="K3231" t="str">
            <v>MAZDA ATENZA</v>
          </cell>
          <cell r="L3231" t="str">
            <v>PRE ASSY MAZDA ATENZA</v>
          </cell>
          <cell r="M3231" t="str">
            <v>MC2-MZD-03</v>
          </cell>
          <cell r="N3231" t="str">
            <v>WFAP 2.1</v>
          </cell>
          <cell r="O3231" t="str">
            <v>A</v>
          </cell>
        </row>
        <row r="3232">
          <cell r="A3232">
            <v>22473</v>
          </cell>
          <cell r="B3232" t="str">
            <v>VINA ULFI SAFITRI ROHMAH</v>
          </cell>
          <cell r="C3232" t="str">
            <v>SAMI</v>
          </cell>
          <cell r="D3232" t="str">
            <v>OPT-559</v>
          </cell>
          <cell r="E3232">
            <v>43220</v>
          </cell>
          <cell r="F3232">
            <v>43250</v>
          </cell>
          <cell r="G3232">
            <v>43616</v>
          </cell>
          <cell r="H3232" t="str">
            <v>PRD</v>
          </cell>
          <cell r="I3232" t="str">
            <v>PRD</v>
          </cell>
          <cell r="J3232" t="str">
            <v>MAZDA ATENZA</v>
          </cell>
          <cell r="K3232" t="str">
            <v>MAZDA ATENZA</v>
          </cell>
          <cell r="L3232" t="str">
            <v>PRE ASSY MAZDA ATENZA</v>
          </cell>
          <cell r="M3232" t="str">
            <v>TWS-MZD-02</v>
          </cell>
          <cell r="N3232" t="str">
            <v>WFAP 2.2</v>
          </cell>
          <cell r="O3232" t="str">
            <v>A</v>
          </cell>
        </row>
        <row r="3233">
          <cell r="A3233">
            <v>22541</v>
          </cell>
          <cell r="B3233" t="str">
            <v>LILIS DITA PRATIWI</v>
          </cell>
          <cell r="C3233" t="str">
            <v>SAMI</v>
          </cell>
          <cell r="D3233" t="str">
            <v>OPT-560</v>
          </cell>
          <cell r="E3233">
            <v>43224</v>
          </cell>
          <cell r="F3233">
            <v>43255</v>
          </cell>
          <cell r="G3233">
            <v>43616</v>
          </cell>
          <cell r="H3233" t="str">
            <v>PRD</v>
          </cell>
          <cell r="I3233" t="str">
            <v>PRD</v>
          </cell>
          <cell r="J3233" t="str">
            <v>MAZDA ATENZA</v>
          </cell>
          <cell r="K3233" t="str">
            <v>MAZDA ATENZA</v>
          </cell>
          <cell r="L3233" t="str">
            <v>PRE ASSY MAZDA ATENZA</v>
          </cell>
          <cell r="M3233" t="str">
            <v>MC1-MZD-04</v>
          </cell>
          <cell r="N3233" t="str">
            <v>WFAP 2.1</v>
          </cell>
          <cell r="O3233" t="str">
            <v>A</v>
          </cell>
        </row>
        <row r="3234">
          <cell r="A3234">
            <v>22668</v>
          </cell>
          <cell r="B3234" t="str">
            <v>NOVA DWIYANI</v>
          </cell>
          <cell r="C3234" t="str">
            <v>SAMI</v>
          </cell>
          <cell r="D3234" t="str">
            <v>OPT-562</v>
          </cell>
          <cell r="E3234">
            <v>43241</v>
          </cell>
          <cell r="F3234">
            <v>43272</v>
          </cell>
          <cell r="G3234">
            <v>43646</v>
          </cell>
          <cell r="H3234" t="str">
            <v>PRD</v>
          </cell>
          <cell r="I3234" t="str">
            <v>PRD</v>
          </cell>
          <cell r="J3234" t="str">
            <v>MAZDA ATENZA</v>
          </cell>
          <cell r="K3234" t="str">
            <v>MAZDA ATENZA</v>
          </cell>
          <cell r="L3234" t="str">
            <v>PRE ASSY MAZDA ATENZA</v>
          </cell>
          <cell r="M3234" t="str">
            <v>MC1-MZD-01</v>
          </cell>
          <cell r="N3234" t="str">
            <v>WFAP 2.1</v>
          </cell>
          <cell r="O3234" t="str">
            <v>A</v>
          </cell>
        </row>
        <row r="3235">
          <cell r="A3235">
            <v>22670</v>
          </cell>
          <cell r="B3235" t="str">
            <v>NUR JANAH</v>
          </cell>
          <cell r="C3235" t="str">
            <v>SAMI</v>
          </cell>
          <cell r="D3235" t="str">
            <v>OPT-562</v>
          </cell>
          <cell r="E3235">
            <v>43241</v>
          </cell>
          <cell r="F3235">
            <v>43272</v>
          </cell>
          <cell r="G3235">
            <v>43646</v>
          </cell>
          <cell r="H3235" t="str">
            <v>PRD</v>
          </cell>
          <cell r="I3235" t="str">
            <v>PRD</v>
          </cell>
          <cell r="J3235" t="str">
            <v>MAZDA ATENZA</v>
          </cell>
          <cell r="K3235" t="str">
            <v>MAZDA ATENZA</v>
          </cell>
          <cell r="L3235" t="str">
            <v>PRE ASSY MAZDA ATENZA</v>
          </cell>
          <cell r="M3235" t="str">
            <v>BM4-MZD-03</v>
          </cell>
          <cell r="N3235" t="str">
            <v>BONDER</v>
          </cell>
          <cell r="O3235" t="str">
            <v>A</v>
          </cell>
        </row>
        <row r="3236">
          <cell r="A3236">
            <v>22688</v>
          </cell>
          <cell r="B3236" t="str">
            <v>ADINDA PUTRI FAOZIZAH</v>
          </cell>
          <cell r="C3236" t="str">
            <v>SAMI</v>
          </cell>
          <cell r="D3236" t="str">
            <v>OPT-563</v>
          </cell>
          <cell r="E3236">
            <v>43244</v>
          </cell>
          <cell r="F3236">
            <v>43275</v>
          </cell>
          <cell r="G3236">
            <v>43646</v>
          </cell>
          <cell r="H3236" t="str">
            <v>PRD</v>
          </cell>
          <cell r="I3236" t="str">
            <v>PRD</v>
          </cell>
          <cell r="J3236" t="str">
            <v>MAZDA ATENZA</v>
          </cell>
          <cell r="K3236" t="str">
            <v>MAZDA ATENZA</v>
          </cell>
          <cell r="L3236" t="str">
            <v>PRE ASSY MAZDA ATENZA</v>
          </cell>
          <cell r="M3236" t="str">
            <v>KANBAN</v>
          </cell>
          <cell r="N3236" t="str">
            <v>P/A CONTROLLER</v>
          </cell>
          <cell r="O3236" t="str">
            <v>A</v>
          </cell>
        </row>
        <row r="3237">
          <cell r="A3237">
            <v>22701</v>
          </cell>
          <cell r="B3237" t="str">
            <v>IDA NUR FITRIA</v>
          </cell>
          <cell r="C3237" t="str">
            <v>SAMI</v>
          </cell>
          <cell r="D3237" t="str">
            <v>OPT-563</v>
          </cell>
          <cell r="E3237">
            <v>43244</v>
          </cell>
          <cell r="F3237">
            <v>43275</v>
          </cell>
          <cell r="G3237">
            <v>43646</v>
          </cell>
          <cell r="H3237" t="str">
            <v>PRD</v>
          </cell>
          <cell r="I3237" t="str">
            <v>PRD</v>
          </cell>
          <cell r="J3237" t="str">
            <v>MAZDA ATENZA</v>
          </cell>
          <cell r="K3237" t="str">
            <v>MAZDA ATENZA</v>
          </cell>
          <cell r="L3237" t="str">
            <v>PRE ASSY MAZDA ATENZA</v>
          </cell>
          <cell r="M3237" t="str">
            <v>KANBAN</v>
          </cell>
          <cell r="N3237" t="str">
            <v>P/A CONTROLLER</v>
          </cell>
          <cell r="O3237" t="str">
            <v>A</v>
          </cell>
        </row>
        <row r="3238">
          <cell r="A3238">
            <v>22704</v>
          </cell>
          <cell r="B3238" t="str">
            <v>MARIYANTI</v>
          </cell>
          <cell r="C3238" t="str">
            <v>SAMI</v>
          </cell>
          <cell r="D3238" t="str">
            <v>OPT-563</v>
          </cell>
          <cell r="E3238">
            <v>43244</v>
          </cell>
          <cell r="F3238">
            <v>43275</v>
          </cell>
          <cell r="G3238">
            <v>43646</v>
          </cell>
          <cell r="H3238" t="str">
            <v>PRD</v>
          </cell>
          <cell r="I3238" t="str">
            <v>PRD</v>
          </cell>
          <cell r="J3238" t="str">
            <v>MAZDA ATENZA</v>
          </cell>
          <cell r="K3238" t="str">
            <v>MAZDA ATENZA</v>
          </cell>
          <cell r="L3238" t="str">
            <v>PRE ASSY MAZDA ATENZA</v>
          </cell>
          <cell r="M3238" t="str">
            <v>MC3-MZD-02</v>
          </cell>
          <cell r="N3238" t="str">
            <v>WFAP 2.1</v>
          </cell>
          <cell r="O3238" t="str">
            <v>A</v>
          </cell>
        </row>
        <row r="3239">
          <cell r="A3239">
            <v>22718</v>
          </cell>
          <cell r="B3239" t="str">
            <v>SUSIYANI MITA ANGGREINI</v>
          </cell>
          <cell r="C3239" t="str">
            <v>SAMI</v>
          </cell>
          <cell r="D3239" t="str">
            <v>OPT-563</v>
          </cell>
          <cell r="E3239">
            <v>43244</v>
          </cell>
          <cell r="F3239">
            <v>43275</v>
          </cell>
          <cell r="G3239">
            <v>43646</v>
          </cell>
          <cell r="H3239" t="str">
            <v>PRD</v>
          </cell>
          <cell r="I3239" t="str">
            <v>PRD</v>
          </cell>
          <cell r="J3239" t="str">
            <v>MAZDA ATENZA</v>
          </cell>
          <cell r="K3239" t="str">
            <v>MAZDA ATENZA</v>
          </cell>
          <cell r="L3239" t="str">
            <v>PRE ASSY MAZDA ATENZA</v>
          </cell>
          <cell r="M3239" t="str">
            <v>MC1-MZD-05</v>
          </cell>
          <cell r="N3239" t="str">
            <v>WFAP 2.1</v>
          </cell>
          <cell r="O3239" t="str">
            <v>A</v>
          </cell>
        </row>
        <row r="3240">
          <cell r="A3240">
            <v>23015</v>
          </cell>
          <cell r="B3240" t="str">
            <v>EVA YULLI ROCHMAWATI</v>
          </cell>
          <cell r="C3240" t="str">
            <v>SAMI</v>
          </cell>
          <cell r="D3240" t="str">
            <v>OPT-569</v>
          </cell>
          <cell r="E3240">
            <v>43361</v>
          </cell>
          <cell r="F3240">
            <v>43391</v>
          </cell>
          <cell r="G3240">
            <v>43769</v>
          </cell>
          <cell r="H3240" t="str">
            <v>PRD</v>
          </cell>
          <cell r="I3240" t="str">
            <v>PRD</v>
          </cell>
          <cell r="J3240" t="str">
            <v>MAZDA ATENZA</v>
          </cell>
          <cell r="K3240" t="str">
            <v>MAZDA ATENZA</v>
          </cell>
          <cell r="L3240" t="str">
            <v>PRE ASSY MAZDA ATENZA</v>
          </cell>
          <cell r="M3240" t="str">
            <v>DRY-MZD-01</v>
          </cell>
          <cell r="N3240" t="str">
            <v>WFAP 2.2</v>
          </cell>
          <cell r="O3240" t="str">
            <v>A</v>
          </cell>
        </row>
        <row r="3241">
          <cell r="A3241">
            <v>23108</v>
          </cell>
          <cell r="B3241" t="str">
            <v>DIAN NOFIANA</v>
          </cell>
          <cell r="C3241" t="str">
            <v>SAMI</v>
          </cell>
          <cell r="D3241" t="str">
            <v>OPT-570</v>
          </cell>
          <cell r="E3241">
            <v>43369</v>
          </cell>
          <cell r="F3241">
            <v>43399</v>
          </cell>
          <cell r="G3241">
            <v>43769</v>
          </cell>
          <cell r="H3241" t="str">
            <v>PRD</v>
          </cell>
          <cell r="I3241" t="str">
            <v>PRD</v>
          </cell>
          <cell r="J3241" t="str">
            <v>MAZDA ATENZA</v>
          </cell>
          <cell r="K3241" t="str">
            <v>MAZDA ATENZA</v>
          </cell>
          <cell r="L3241" t="str">
            <v>PRE ASSY MAZDA ATENZA</v>
          </cell>
          <cell r="M3241" t="str">
            <v>TWS-MZD-05</v>
          </cell>
          <cell r="N3241" t="str">
            <v>WFAP 2.2</v>
          </cell>
          <cell r="O3241" t="str">
            <v>A</v>
          </cell>
        </row>
        <row r="3242">
          <cell r="A3242">
            <v>23126</v>
          </cell>
          <cell r="B3242" t="str">
            <v xml:space="preserve">KITANA PUTRI </v>
          </cell>
          <cell r="C3242" t="str">
            <v>SAMI</v>
          </cell>
          <cell r="D3242" t="str">
            <v>OPT-570</v>
          </cell>
          <cell r="E3242">
            <v>43369</v>
          </cell>
          <cell r="F3242">
            <v>43399</v>
          </cell>
          <cell r="G3242">
            <v>43769</v>
          </cell>
          <cell r="H3242" t="str">
            <v>PRD</v>
          </cell>
          <cell r="I3242" t="str">
            <v>PRD</v>
          </cell>
          <cell r="J3242" t="str">
            <v>MAZDA ATENZA</v>
          </cell>
          <cell r="K3242" t="str">
            <v>MAZDA ATENZA</v>
          </cell>
          <cell r="L3242" t="str">
            <v>PRE ASSY MAZDA ATENZA</v>
          </cell>
          <cell r="M3242" t="str">
            <v>JM2-MZD-02</v>
          </cell>
          <cell r="N3242" t="str">
            <v>WFAP 2.2</v>
          </cell>
          <cell r="O3242" t="str">
            <v>A</v>
          </cell>
        </row>
        <row r="3243">
          <cell r="A3243">
            <v>23164</v>
          </cell>
          <cell r="B3243" t="str">
            <v>RIYA DHOTUL CHASANAH</v>
          </cell>
          <cell r="C3243" t="str">
            <v>SAMI</v>
          </cell>
          <cell r="D3243" t="str">
            <v>OPT-570</v>
          </cell>
          <cell r="E3243">
            <v>43369</v>
          </cell>
          <cell r="F3243">
            <v>43399</v>
          </cell>
          <cell r="G3243">
            <v>43769</v>
          </cell>
          <cell r="H3243" t="str">
            <v>PRD</v>
          </cell>
          <cell r="I3243" t="str">
            <v>PRD</v>
          </cell>
          <cell r="J3243" t="str">
            <v>MAZDA ATENZA</v>
          </cell>
          <cell r="K3243" t="str">
            <v>MAZDA ATENZA</v>
          </cell>
          <cell r="L3243" t="str">
            <v>PRE ASSY MAZDA ATENZA</v>
          </cell>
          <cell r="M3243" t="str">
            <v>WT-MZD-01</v>
          </cell>
          <cell r="N3243" t="str">
            <v>P/A CONTROLLER</v>
          </cell>
          <cell r="O3243" t="str">
            <v>A</v>
          </cell>
        </row>
        <row r="3244">
          <cell r="A3244">
            <v>23166</v>
          </cell>
          <cell r="B3244" t="str">
            <v>SANTI RIZKIANI ADIBA</v>
          </cell>
          <cell r="C3244" t="str">
            <v>SAMI</v>
          </cell>
          <cell r="D3244" t="str">
            <v>OPT-570</v>
          </cell>
          <cell r="E3244">
            <v>43369</v>
          </cell>
          <cell r="F3244">
            <v>43399</v>
          </cell>
          <cell r="G3244">
            <v>43769</v>
          </cell>
          <cell r="H3244" t="str">
            <v>PRD</v>
          </cell>
          <cell r="I3244" t="str">
            <v>PRD</v>
          </cell>
          <cell r="J3244" t="str">
            <v>MAZDA ATENZA</v>
          </cell>
          <cell r="K3244" t="str">
            <v>MAZDA ATENZA</v>
          </cell>
          <cell r="L3244" t="str">
            <v>PRE ASSY MAZDA ATENZA</v>
          </cell>
          <cell r="M3244" t="str">
            <v>WT-MZD-03</v>
          </cell>
          <cell r="N3244" t="str">
            <v>P/A CONTROLLER</v>
          </cell>
          <cell r="O3244" t="str">
            <v>A</v>
          </cell>
        </row>
        <row r="3245">
          <cell r="A3245">
            <v>23167</v>
          </cell>
          <cell r="B3245" t="str">
            <v>SITI KHOLIPAH</v>
          </cell>
          <cell r="C3245" t="str">
            <v>SAMI</v>
          </cell>
          <cell r="D3245" t="str">
            <v>OPT-570</v>
          </cell>
          <cell r="E3245">
            <v>43369</v>
          </cell>
          <cell r="F3245">
            <v>43399</v>
          </cell>
          <cell r="G3245">
            <v>43769</v>
          </cell>
          <cell r="H3245" t="str">
            <v>PRD</v>
          </cell>
          <cell r="I3245" t="str">
            <v>PRD</v>
          </cell>
          <cell r="J3245" t="str">
            <v>MAZDA ATENZA</v>
          </cell>
          <cell r="K3245" t="str">
            <v>MAZDA ATENZA</v>
          </cell>
          <cell r="L3245" t="str">
            <v>PRE ASSY MAZDA ATENZA</v>
          </cell>
          <cell r="M3245" t="str">
            <v>MC1-MZD-02</v>
          </cell>
          <cell r="N3245" t="str">
            <v>WFAP 2.1</v>
          </cell>
          <cell r="O3245" t="str">
            <v>A</v>
          </cell>
        </row>
        <row r="3246">
          <cell r="A3246">
            <v>23266</v>
          </cell>
          <cell r="B3246" t="str">
            <v>SELI WIDIASTUTI ANDRIANI</v>
          </cell>
          <cell r="C3246" t="str">
            <v>SAMI</v>
          </cell>
          <cell r="D3246" t="str">
            <v>OPT-573</v>
          </cell>
          <cell r="E3246">
            <v>43421</v>
          </cell>
          <cell r="F3246">
            <v>43451</v>
          </cell>
          <cell r="G3246">
            <v>43830</v>
          </cell>
          <cell r="H3246" t="str">
            <v>PRD</v>
          </cell>
          <cell r="I3246" t="str">
            <v>PRD</v>
          </cell>
          <cell r="J3246" t="str">
            <v>MAZDA ATENZA</v>
          </cell>
          <cell r="K3246" t="str">
            <v>MAZDA ATENZA</v>
          </cell>
          <cell r="L3246" t="str">
            <v>PRE ASSY MAZDA ATENZA</v>
          </cell>
          <cell r="M3246" t="str">
            <v>MC1-MZD-03</v>
          </cell>
          <cell r="N3246" t="str">
            <v>WFAP 2.1</v>
          </cell>
          <cell r="O3246" t="str">
            <v>A</v>
          </cell>
        </row>
        <row r="3247">
          <cell r="A3247">
            <v>23326</v>
          </cell>
          <cell r="B3247" t="str">
            <v>LILIK NURCHOLIDA</v>
          </cell>
          <cell r="C3247" t="str">
            <v>SAMI</v>
          </cell>
          <cell r="D3247" t="str">
            <v>OPT-574</v>
          </cell>
          <cell r="E3247">
            <v>43427</v>
          </cell>
          <cell r="F3247">
            <v>43457</v>
          </cell>
          <cell r="G3247">
            <v>43830</v>
          </cell>
          <cell r="H3247" t="str">
            <v>PRD</v>
          </cell>
          <cell r="I3247" t="str">
            <v>PRD</v>
          </cell>
          <cell r="J3247" t="str">
            <v>MAZDA ATENZA</v>
          </cell>
          <cell r="K3247" t="str">
            <v>MAZDA ATENZA</v>
          </cell>
          <cell r="L3247" t="str">
            <v>PRE ASSY MAZDA ATENZA</v>
          </cell>
          <cell r="M3247" t="str">
            <v>MC3-MZD-03</v>
          </cell>
          <cell r="N3247" t="str">
            <v>WFAP 2.1</v>
          </cell>
          <cell r="O3247" t="str">
            <v>A</v>
          </cell>
        </row>
        <row r="3248">
          <cell r="A3248">
            <v>23334</v>
          </cell>
          <cell r="B3248" t="str">
            <v>MEI NOVITA SARI</v>
          </cell>
          <cell r="C3248" t="str">
            <v>SAMI</v>
          </cell>
          <cell r="D3248" t="str">
            <v>OPT-574</v>
          </cell>
          <cell r="E3248">
            <v>43427</v>
          </cell>
          <cell r="F3248">
            <v>43457</v>
          </cell>
          <cell r="G3248">
            <v>43830</v>
          </cell>
          <cell r="H3248" t="str">
            <v>PRD</v>
          </cell>
          <cell r="I3248" t="str">
            <v>PRD</v>
          </cell>
          <cell r="J3248" t="str">
            <v>MAZDA ATENZA</v>
          </cell>
          <cell r="K3248" t="str">
            <v>MAZDA ATENZA</v>
          </cell>
          <cell r="L3248" t="str">
            <v>PRE ASSY MAZDA ATENZA</v>
          </cell>
          <cell r="M3248" t="str">
            <v>RYC-MZD-02</v>
          </cell>
          <cell r="N3248" t="str">
            <v>WFAP 2.2</v>
          </cell>
          <cell r="O3248" t="str">
            <v>A</v>
          </cell>
        </row>
        <row r="3249">
          <cell r="A3249">
            <v>23368</v>
          </cell>
          <cell r="B3249" t="str">
            <v>SITI SOLEKHA</v>
          </cell>
          <cell r="C3249" t="str">
            <v>SAMI</v>
          </cell>
          <cell r="D3249" t="str">
            <v>OPT-574</v>
          </cell>
          <cell r="E3249">
            <v>43427</v>
          </cell>
          <cell r="F3249">
            <v>43457</v>
          </cell>
          <cell r="G3249">
            <v>43830</v>
          </cell>
          <cell r="H3249" t="str">
            <v>PRD</v>
          </cell>
          <cell r="I3249" t="str">
            <v>PRD</v>
          </cell>
          <cell r="J3249" t="str">
            <v>MAZDA ATENZA</v>
          </cell>
          <cell r="K3249" t="str">
            <v>MAZDA ATENZA</v>
          </cell>
          <cell r="L3249" t="str">
            <v>PRE ASSY MAZDA ATENZA</v>
          </cell>
          <cell r="M3249" t="str">
            <v>BM4-MZD-04</v>
          </cell>
          <cell r="N3249" t="str">
            <v>BONDER</v>
          </cell>
          <cell r="O3249" t="str">
            <v>A</v>
          </cell>
        </row>
        <row r="3250">
          <cell r="A3250" t="str">
            <v>M23632</v>
          </cell>
          <cell r="B3250" t="str">
            <v>ROBI UTOMO</v>
          </cell>
          <cell r="C3250" t="str">
            <v>SAMI</v>
          </cell>
          <cell r="D3250" t="str">
            <v>OPT-578</v>
          </cell>
          <cell r="E3250">
            <v>43467</v>
          </cell>
          <cell r="F3250">
            <v>43467</v>
          </cell>
          <cell r="G3250">
            <v>43497</v>
          </cell>
          <cell r="H3250" t="str">
            <v>PRD</v>
          </cell>
          <cell r="I3250" t="str">
            <v>PRD</v>
          </cell>
          <cell r="J3250" t="str">
            <v>MAZDA ATENZA</v>
          </cell>
          <cell r="K3250" t="str">
            <v>MAZDA ATENZA</v>
          </cell>
          <cell r="L3250" t="str">
            <v>PRE ASSY MAZDA ATENZA</v>
          </cell>
          <cell r="M3250" t="str">
            <v>MC-MZD-01</v>
          </cell>
          <cell r="N3250" t="str">
            <v>WFAP 2.1</v>
          </cell>
          <cell r="O3250" t="str">
            <v>A</v>
          </cell>
        </row>
        <row r="3251">
          <cell r="A3251" t="str">
            <v>M23635</v>
          </cell>
          <cell r="B3251" t="str">
            <v>SEPTI NURPRATIWI</v>
          </cell>
          <cell r="C3251" t="str">
            <v>SAMI</v>
          </cell>
          <cell r="D3251" t="str">
            <v>OPT-578</v>
          </cell>
          <cell r="E3251">
            <v>43467</v>
          </cell>
          <cell r="F3251">
            <v>43467</v>
          </cell>
          <cell r="G3251">
            <v>43497</v>
          </cell>
          <cell r="H3251" t="str">
            <v>PRD</v>
          </cell>
          <cell r="I3251" t="str">
            <v>PRD</v>
          </cell>
          <cell r="J3251" t="str">
            <v>MAZDA ATENZA</v>
          </cell>
          <cell r="K3251" t="str">
            <v>MAZDA ATENZA</v>
          </cell>
          <cell r="L3251" t="str">
            <v>PRE ASSY MAZDA ATENZA</v>
          </cell>
          <cell r="M3251" t="str">
            <v>RYCM</v>
          </cell>
          <cell r="N3251" t="str">
            <v>WFAP 2.2</v>
          </cell>
          <cell r="O3251" t="str">
            <v>A</v>
          </cell>
        </row>
        <row r="3252">
          <cell r="A3252" t="str">
            <v>M23690</v>
          </cell>
          <cell r="B3252" t="str">
            <v>IIN WIDYAWATI SAPITRI</v>
          </cell>
          <cell r="C3252" t="str">
            <v>SAMI</v>
          </cell>
          <cell r="D3252" t="str">
            <v>OPT-580</v>
          </cell>
          <cell r="E3252">
            <v>43475</v>
          </cell>
          <cell r="F3252">
            <v>43475</v>
          </cell>
          <cell r="G3252">
            <v>43505</v>
          </cell>
          <cell r="H3252" t="str">
            <v>PRD</v>
          </cell>
          <cell r="I3252" t="str">
            <v>PRD</v>
          </cell>
          <cell r="J3252" t="str">
            <v>MAZDA ATENZA</v>
          </cell>
          <cell r="K3252" t="str">
            <v>MAZDA ATENZA</v>
          </cell>
          <cell r="L3252" t="str">
            <v>PRE ASSY MAZDA ATENZA</v>
          </cell>
          <cell r="M3252" t="str">
            <v>TWIST-MZD</v>
          </cell>
          <cell r="N3252" t="str">
            <v>WFAP 2.2</v>
          </cell>
          <cell r="O3252" t="str">
            <v>A</v>
          </cell>
        </row>
        <row r="3253">
          <cell r="A3253">
            <v>21476</v>
          </cell>
          <cell r="B3253" t="str">
            <v>AINUN ATIKA</v>
          </cell>
          <cell r="C3253" t="str">
            <v>SAMI</v>
          </cell>
          <cell r="D3253" t="str">
            <v>OPT-534</v>
          </cell>
          <cell r="E3253">
            <v>43031</v>
          </cell>
          <cell r="F3253">
            <v>43435</v>
          </cell>
          <cell r="G3253">
            <v>43799</v>
          </cell>
          <cell r="H3253" t="str">
            <v>PRD</v>
          </cell>
          <cell r="I3253" t="str">
            <v>PRD</v>
          </cell>
          <cell r="J3253" t="str">
            <v>MAZDA ATENZA</v>
          </cell>
          <cell r="K3253" t="str">
            <v>MAZDA ATENZA</v>
          </cell>
          <cell r="L3253" t="str">
            <v>PRE ASSY MAZDA ATENZA</v>
          </cell>
          <cell r="M3253" t="str">
            <v>TWS-MZD-04</v>
          </cell>
          <cell r="N3253" t="str">
            <v>WFAP 2.2</v>
          </cell>
          <cell r="O3253" t="str">
            <v>A (NS)</v>
          </cell>
        </row>
        <row r="3254">
          <cell r="A3254">
            <v>21866</v>
          </cell>
          <cell r="B3254" t="str">
            <v>ANIS KHOIRIAH</v>
          </cell>
          <cell r="C3254" t="str">
            <v>SAMI</v>
          </cell>
          <cell r="D3254" t="str">
            <v>OPT-542</v>
          </cell>
          <cell r="E3254">
            <v>43103</v>
          </cell>
          <cell r="F3254">
            <v>43134</v>
          </cell>
          <cell r="G3254">
            <v>43496</v>
          </cell>
          <cell r="H3254" t="str">
            <v>PRD</v>
          </cell>
          <cell r="I3254" t="str">
            <v>PRD</v>
          </cell>
          <cell r="J3254" t="str">
            <v>MAZDA ATENZA</v>
          </cell>
          <cell r="K3254" t="str">
            <v>MAZDA ATENZA</v>
          </cell>
          <cell r="L3254" t="str">
            <v>PRE ASSY MAZDA ATENZA</v>
          </cell>
          <cell r="M3254" t="str">
            <v>WT-MZD-02</v>
          </cell>
          <cell r="N3254" t="str">
            <v>P/A CONTROLLER</v>
          </cell>
          <cell r="O3254" t="str">
            <v>A (NS)</v>
          </cell>
        </row>
        <row r="3255">
          <cell r="A3255">
            <v>21869</v>
          </cell>
          <cell r="B3255" t="str">
            <v>DEVI PUJI ASTARI</v>
          </cell>
          <cell r="C3255" t="str">
            <v>SAMI</v>
          </cell>
          <cell r="D3255" t="str">
            <v>OPT-542</v>
          </cell>
          <cell r="E3255">
            <v>43103</v>
          </cell>
          <cell r="F3255">
            <v>43134</v>
          </cell>
          <cell r="G3255">
            <v>43496</v>
          </cell>
          <cell r="H3255" t="str">
            <v>PRD</v>
          </cell>
          <cell r="I3255" t="str">
            <v>PRD</v>
          </cell>
          <cell r="J3255" t="str">
            <v>MAZDA ATENZA</v>
          </cell>
          <cell r="K3255" t="str">
            <v>MAZDA ATENZA</v>
          </cell>
          <cell r="L3255" t="str">
            <v>PRE ASSY MAZDA ATENZA</v>
          </cell>
          <cell r="M3255" t="str">
            <v>JM2-MZD-03, JM3-MZD-01</v>
          </cell>
          <cell r="N3255" t="str">
            <v>WFAP 2.2</v>
          </cell>
          <cell r="O3255" t="str">
            <v>A (NS)</v>
          </cell>
        </row>
        <row r="3256">
          <cell r="A3256">
            <v>21885</v>
          </cell>
          <cell r="B3256" t="str">
            <v>KHIKMATUN ILMI</v>
          </cell>
          <cell r="C3256" t="str">
            <v>SAMI</v>
          </cell>
          <cell r="D3256" t="str">
            <v>OPT-542</v>
          </cell>
          <cell r="E3256">
            <v>43103</v>
          </cell>
          <cell r="F3256">
            <v>43134</v>
          </cell>
          <cell r="G3256">
            <v>43496</v>
          </cell>
          <cell r="H3256" t="str">
            <v>PRD</v>
          </cell>
          <cell r="I3256" t="str">
            <v>PRD</v>
          </cell>
          <cell r="J3256" t="str">
            <v>MAZDA ATENZA</v>
          </cell>
          <cell r="K3256" t="str">
            <v>MAZDA ATENZA</v>
          </cell>
          <cell r="L3256" t="str">
            <v>PRE ASSY MAZDA ATENZA</v>
          </cell>
          <cell r="M3256" t="str">
            <v>MT-MZD-01, MC1-MZD-02</v>
          </cell>
          <cell r="N3256" t="str">
            <v>WFAP 2.2</v>
          </cell>
          <cell r="O3256" t="str">
            <v>A (NS)</v>
          </cell>
        </row>
        <row r="3257">
          <cell r="A3257">
            <v>21910</v>
          </cell>
          <cell r="B3257" t="str">
            <v>YAYU TUNANIYAH</v>
          </cell>
          <cell r="C3257" t="str">
            <v>SAMI</v>
          </cell>
          <cell r="D3257" t="str">
            <v>OPT-542</v>
          </cell>
          <cell r="E3257">
            <v>43103</v>
          </cell>
          <cell r="F3257">
            <v>43134</v>
          </cell>
          <cell r="G3257">
            <v>43496</v>
          </cell>
          <cell r="H3257" t="str">
            <v>PRD</v>
          </cell>
          <cell r="I3257" t="str">
            <v>PRD</v>
          </cell>
          <cell r="J3257" t="str">
            <v>MAZDA ATENZA</v>
          </cell>
          <cell r="K3257" t="str">
            <v>MAZDA ATENZA</v>
          </cell>
          <cell r="L3257" t="str">
            <v>PRE ASSY MAZDA ATENZA</v>
          </cell>
          <cell r="M3257" t="str">
            <v>TWS-MZD-06</v>
          </cell>
          <cell r="N3257" t="str">
            <v>WFAP 2.2</v>
          </cell>
          <cell r="O3257" t="str">
            <v>A (NS)</v>
          </cell>
        </row>
        <row r="3258">
          <cell r="A3258">
            <v>22673</v>
          </cell>
          <cell r="B3258" t="str">
            <v>PURI FARTIKANING LISDIYANTI</v>
          </cell>
          <cell r="C3258" t="str">
            <v>SAMI</v>
          </cell>
          <cell r="D3258" t="str">
            <v>OPT-562</v>
          </cell>
          <cell r="E3258">
            <v>43241</v>
          </cell>
          <cell r="F3258">
            <v>43272</v>
          </cell>
          <cell r="G3258">
            <v>43646</v>
          </cell>
          <cell r="H3258" t="str">
            <v>PRD</v>
          </cell>
          <cell r="I3258" t="str">
            <v>PRD</v>
          </cell>
          <cell r="J3258" t="str">
            <v>MAZDA ATENZA</v>
          </cell>
          <cell r="K3258" t="str">
            <v>MAZDA ATENZA</v>
          </cell>
          <cell r="L3258" t="str">
            <v>PRE ASSY MAZDA ATENZA</v>
          </cell>
          <cell r="M3258" t="str">
            <v>TWS-MZD-05</v>
          </cell>
          <cell r="N3258" t="str">
            <v>WFAP 2.2</v>
          </cell>
          <cell r="O3258" t="str">
            <v>A (NS)</v>
          </cell>
        </row>
        <row r="3259">
          <cell r="A3259">
            <v>22958</v>
          </cell>
          <cell r="B3259" t="str">
            <v>NADHIMATUL FIKRIYAH</v>
          </cell>
          <cell r="C3259" t="str">
            <v>SAMI</v>
          </cell>
          <cell r="D3259" t="str">
            <v>OPT-568</v>
          </cell>
          <cell r="E3259">
            <v>43343</v>
          </cell>
          <cell r="F3259">
            <v>43374</v>
          </cell>
          <cell r="G3259">
            <v>43738</v>
          </cell>
          <cell r="H3259" t="str">
            <v>PRD</v>
          </cell>
          <cell r="I3259" t="str">
            <v>PRD</v>
          </cell>
          <cell r="J3259" t="str">
            <v>MAZDA ATENZA</v>
          </cell>
          <cell r="K3259" t="str">
            <v>MAZDA ATENZA</v>
          </cell>
          <cell r="L3259" t="str">
            <v>PRE ASSY MAZDA ATENZA</v>
          </cell>
          <cell r="M3259" t="str">
            <v>MC3-MZD-02</v>
          </cell>
          <cell r="N3259" t="str">
            <v>WFAP 2.1</v>
          </cell>
          <cell r="O3259" t="str">
            <v>A (NS)</v>
          </cell>
        </row>
        <row r="3260">
          <cell r="A3260" t="str">
            <v>B00591</v>
          </cell>
          <cell r="B3260" t="str">
            <v>MURTI ARUM MAWARNI</v>
          </cell>
          <cell r="C3260" t="str">
            <v>SAMI</v>
          </cell>
          <cell r="D3260" t="str">
            <v>BBF-009</v>
          </cell>
          <cell r="E3260">
            <v>40882</v>
          </cell>
          <cell r="F3260" t="str">
            <v>-</v>
          </cell>
          <cell r="G3260" t="str">
            <v>-</v>
          </cell>
          <cell r="H3260" t="str">
            <v>PRD</v>
          </cell>
          <cell r="I3260" t="str">
            <v>PRD</v>
          </cell>
          <cell r="J3260" t="str">
            <v>MAZDA ATENZA</v>
          </cell>
          <cell r="K3260" t="str">
            <v>MAZDA ATENZA</v>
          </cell>
          <cell r="L3260" t="str">
            <v>PRE ASSY MAZDA ATENZA</v>
          </cell>
          <cell r="M3260" t="str">
            <v>BM2-MZD-01</v>
          </cell>
          <cell r="N3260" t="str">
            <v>BONDER</v>
          </cell>
          <cell r="O3260" t="str">
            <v>A (NS)</v>
          </cell>
        </row>
        <row r="3261">
          <cell r="A3261">
            <v>23547</v>
          </cell>
          <cell r="B3261" t="str">
            <v>DWI WIDYANINGSIH</v>
          </cell>
          <cell r="C3261" t="str">
            <v>SAMI</v>
          </cell>
          <cell r="D3261" t="str">
            <v>OPT-577</v>
          </cell>
          <cell r="E3261">
            <v>43452</v>
          </cell>
          <cell r="F3261">
            <v>43483</v>
          </cell>
          <cell r="G3261">
            <v>43861</v>
          </cell>
          <cell r="H3261" t="str">
            <v>PRD</v>
          </cell>
          <cell r="I3261" t="str">
            <v>PRD</v>
          </cell>
          <cell r="J3261" t="str">
            <v>MAZDA ATENZA</v>
          </cell>
          <cell r="K3261" t="str">
            <v>MAZDA ATENZA</v>
          </cell>
          <cell r="L3261" t="str">
            <v>PRE ASSY MAZDA ATENZA</v>
          </cell>
          <cell r="M3261" t="str">
            <v>OJT JM-MZD-01</v>
          </cell>
          <cell r="N3261" t="str">
            <v>INTERNAL TRIAL</v>
          </cell>
          <cell r="O3261" t="str">
            <v>A (NS)</v>
          </cell>
        </row>
        <row r="3262">
          <cell r="A3262">
            <v>23550</v>
          </cell>
          <cell r="B3262" t="str">
            <v>FAIZATUL KHASANAH</v>
          </cell>
          <cell r="C3262" t="str">
            <v>SAMI</v>
          </cell>
          <cell r="D3262" t="str">
            <v>OPT-577</v>
          </cell>
          <cell r="E3262">
            <v>43452</v>
          </cell>
          <cell r="F3262">
            <v>43483</v>
          </cell>
          <cell r="G3262">
            <v>43861</v>
          </cell>
          <cell r="H3262" t="str">
            <v>PRD</v>
          </cell>
          <cell r="I3262" t="str">
            <v>PRD</v>
          </cell>
          <cell r="J3262" t="str">
            <v>MAZDA ATENZA</v>
          </cell>
          <cell r="K3262" t="str">
            <v>MAZDA ATENZA</v>
          </cell>
          <cell r="L3262" t="str">
            <v>PRE ASSY MAZDA ATENZA</v>
          </cell>
          <cell r="M3262" t="str">
            <v>OJT TWS-MZD-01</v>
          </cell>
          <cell r="N3262" t="str">
            <v>INTERNAL TRIAL</v>
          </cell>
          <cell r="O3262" t="str">
            <v>A (NS)</v>
          </cell>
        </row>
        <row r="3263">
          <cell r="A3263">
            <v>305</v>
          </cell>
          <cell r="B3263" t="str">
            <v>SARI RAHAYU</v>
          </cell>
          <cell r="C3263" t="str">
            <v>SAMI</v>
          </cell>
          <cell r="D3263" t="str">
            <v>OPT-9</v>
          </cell>
          <cell r="E3263">
            <v>37725</v>
          </cell>
          <cell r="F3263" t="str">
            <v>-</v>
          </cell>
          <cell r="G3263" t="str">
            <v>-</v>
          </cell>
          <cell r="H3263" t="str">
            <v>PRD</v>
          </cell>
          <cell r="I3263" t="str">
            <v>PRD</v>
          </cell>
          <cell r="J3263" t="str">
            <v>MAZDA ATENZA</v>
          </cell>
          <cell r="K3263" t="str">
            <v>MAZDA ATENZA</v>
          </cell>
          <cell r="L3263" t="str">
            <v>PRE ASSY MAZDA ATENZA</v>
          </cell>
          <cell r="M3263" t="str">
            <v>SUB LINE CHO</v>
          </cell>
          <cell r="N3263" t="str">
            <v>GL</v>
          </cell>
          <cell r="O3263" t="str">
            <v>B</v>
          </cell>
        </row>
        <row r="3264">
          <cell r="A3264">
            <v>562</v>
          </cell>
          <cell r="B3264" t="str">
            <v>NUR HIDAYAH</v>
          </cell>
          <cell r="C3264" t="str">
            <v>SAMI</v>
          </cell>
          <cell r="D3264" t="str">
            <v>OPT-15</v>
          </cell>
          <cell r="E3264">
            <v>37774</v>
          </cell>
          <cell r="F3264" t="str">
            <v>-</v>
          </cell>
          <cell r="G3264" t="str">
            <v>-</v>
          </cell>
          <cell r="H3264" t="str">
            <v>PRD</v>
          </cell>
          <cell r="I3264" t="str">
            <v>PRD</v>
          </cell>
          <cell r="J3264" t="str">
            <v>MAZDA ATENZA</v>
          </cell>
          <cell r="K3264" t="str">
            <v>MAZDA ATENZA</v>
          </cell>
          <cell r="L3264" t="str">
            <v>PRE ASSY MAZDA ATENZA</v>
          </cell>
          <cell r="M3264" t="str">
            <v>JM2-MZD-01, 02</v>
          </cell>
          <cell r="N3264" t="str">
            <v>WFAP 2.2</v>
          </cell>
          <cell r="O3264" t="str">
            <v>B</v>
          </cell>
        </row>
        <row r="3265">
          <cell r="A3265">
            <v>8703</v>
          </cell>
          <cell r="B3265" t="str">
            <v>WIWIN RAHAYU</v>
          </cell>
          <cell r="C3265" t="str">
            <v>SAMI</v>
          </cell>
          <cell r="D3265" t="str">
            <v>OPT-190</v>
          </cell>
          <cell r="E3265">
            <v>39888</v>
          </cell>
          <cell r="F3265" t="str">
            <v>-</v>
          </cell>
          <cell r="G3265" t="str">
            <v>-</v>
          </cell>
          <cell r="H3265" t="str">
            <v>PRD</v>
          </cell>
          <cell r="I3265" t="str">
            <v>PRD</v>
          </cell>
          <cell r="J3265" t="str">
            <v>MAZDA ATENZA</v>
          </cell>
          <cell r="K3265" t="str">
            <v>MAZDA ATENZA</v>
          </cell>
          <cell r="L3265" t="str">
            <v>PRE ASSY MAZDA ATENZA</v>
          </cell>
          <cell r="M3265" t="str">
            <v>MC1-MZD-01, 02</v>
          </cell>
          <cell r="N3265" t="str">
            <v>WFAP 2.1</v>
          </cell>
          <cell r="O3265" t="str">
            <v>B</v>
          </cell>
        </row>
        <row r="3266">
          <cell r="A3266">
            <v>10593</v>
          </cell>
          <cell r="B3266" t="str">
            <v>YESI NURWIANENGRUM</v>
          </cell>
          <cell r="C3266" t="str">
            <v>SAMI</v>
          </cell>
          <cell r="D3266" t="str">
            <v>OPT-276</v>
          </cell>
          <cell r="E3266">
            <v>40544</v>
          </cell>
          <cell r="F3266" t="str">
            <v>-</v>
          </cell>
          <cell r="G3266" t="str">
            <v>-</v>
          </cell>
          <cell r="H3266" t="str">
            <v>PRD</v>
          </cell>
          <cell r="I3266" t="str">
            <v>PRD</v>
          </cell>
          <cell r="J3266" t="str">
            <v>MAZDA ATENZA</v>
          </cell>
          <cell r="K3266" t="str">
            <v>MAZDA ATENZA</v>
          </cell>
          <cell r="L3266" t="str">
            <v>PRE ASSY MAZDA ATENZA</v>
          </cell>
          <cell r="M3266" t="str">
            <v>SUB LINE CHO</v>
          </cell>
          <cell r="N3266" t="str">
            <v>GL</v>
          </cell>
          <cell r="O3266" t="str">
            <v>B</v>
          </cell>
        </row>
        <row r="3267">
          <cell r="A3267">
            <v>20523</v>
          </cell>
          <cell r="B3267" t="str">
            <v>RIQOTUL FUADAH</v>
          </cell>
          <cell r="C3267" t="str">
            <v>SAMI</v>
          </cell>
          <cell r="D3267" t="str">
            <v>OPT-504</v>
          </cell>
          <cell r="E3267">
            <v>42634</v>
          </cell>
          <cell r="F3267">
            <v>43132</v>
          </cell>
          <cell r="G3267">
            <v>43496</v>
          </cell>
          <cell r="H3267" t="str">
            <v>PRD</v>
          </cell>
          <cell r="I3267" t="str">
            <v>PRD</v>
          </cell>
          <cell r="J3267" t="str">
            <v>MAZDA ATENZA</v>
          </cell>
          <cell r="K3267" t="str">
            <v>MAZDA ATENZA</v>
          </cell>
          <cell r="L3267" t="str">
            <v>PRE ASSY MAZDA ATENZA</v>
          </cell>
          <cell r="M3267" t="str">
            <v>TWS-MZD-02</v>
          </cell>
          <cell r="N3267" t="str">
            <v>WFAP 2.2</v>
          </cell>
          <cell r="O3267" t="str">
            <v>B</v>
          </cell>
        </row>
        <row r="3268">
          <cell r="A3268">
            <v>21275</v>
          </cell>
          <cell r="B3268" t="str">
            <v>ANIS PRISTIKA</v>
          </cell>
          <cell r="C3268" t="str">
            <v>SAMI</v>
          </cell>
          <cell r="D3268" t="str">
            <v>OPT-530</v>
          </cell>
          <cell r="E3268">
            <v>43010</v>
          </cell>
          <cell r="F3268">
            <v>43405</v>
          </cell>
          <cell r="G3268">
            <v>43769</v>
          </cell>
          <cell r="H3268" t="str">
            <v>PRD</v>
          </cell>
          <cell r="I3268" t="str">
            <v>PRD</v>
          </cell>
          <cell r="J3268" t="str">
            <v>MAZDA ATENZA</v>
          </cell>
          <cell r="K3268" t="str">
            <v>MAZDA ATENZA</v>
          </cell>
          <cell r="L3268" t="str">
            <v>PRE ASSY MAZDA ATENZA</v>
          </cell>
          <cell r="M3268" t="str">
            <v>TWS-MZD-01</v>
          </cell>
          <cell r="N3268" t="str">
            <v>WFAP 2.2</v>
          </cell>
          <cell r="O3268" t="str">
            <v>B</v>
          </cell>
        </row>
        <row r="3269">
          <cell r="A3269">
            <v>22434</v>
          </cell>
          <cell r="B3269" t="str">
            <v>WULAN ZAGITA NINGRUM</v>
          </cell>
          <cell r="C3269" t="str">
            <v>SAMI</v>
          </cell>
          <cell r="D3269" t="str">
            <v>OPT-558</v>
          </cell>
          <cell r="E3269">
            <v>43213</v>
          </cell>
          <cell r="F3269">
            <v>43243</v>
          </cell>
          <cell r="G3269">
            <v>43616</v>
          </cell>
          <cell r="H3269" t="str">
            <v>PRD</v>
          </cell>
          <cell r="I3269" t="str">
            <v>PRD</v>
          </cell>
          <cell r="J3269" t="str">
            <v>MAZDA ATENZA</v>
          </cell>
          <cell r="K3269" t="str">
            <v>MAZDA ATENZA</v>
          </cell>
          <cell r="L3269" t="str">
            <v>PRE ASSY MAZDA ATENZA</v>
          </cell>
          <cell r="M3269" t="str">
            <v>WT-MZD-01</v>
          </cell>
          <cell r="N3269" t="str">
            <v>P/A CONTROLLER</v>
          </cell>
          <cell r="O3269" t="str">
            <v>B</v>
          </cell>
        </row>
        <row r="3270">
          <cell r="A3270">
            <v>23123</v>
          </cell>
          <cell r="B3270" t="str">
            <v>IDAYANA</v>
          </cell>
          <cell r="C3270" t="str">
            <v>SAMI</v>
          </cell>
          <cell r="D3270" t="str">
            <v>OPT-570</v>
          </cell>
          <cell r="E3270">
            <v>43369</v>
          </cell>
          <cell r="F3270">
            <v>43399</v>
          </cell>
          <cell r="G3270">
            <v>43769</v>
          </cell>
          <cell r="H3270" t="str">
            <v>PRD</v>
          </cell>
          <cell r="I3270" t="str">
            <v>PRD</v>
          </cell>
          <cell r="J3270" t="str">
            <v>MAZDA ATENZA</v>
          </cell>
          <cell r="K3270" t="str">
            <v>MAZDA ATENZA</v>
          </cell>
          <cell r="L3270" t="str">
            <v>PRE ASSY MAZDA ATENZA</v>
          </cell>
          <cell r="M3270" t="str">
            <v>DRY-MZD-01</v>
          </cell>
          <cell r="N3270" t="str">
            <v>WFAP 2.2</v>
          </cell>
          <cell r="O3270" t="str">
            <v>B</v>
          </cell>
        </row>
        <row r="3271">
          <cell r="A3271">
            <v>23124</v>
          </cell>
          <cell r="B3271" t="str">
            <v>INDRI WULANDARI</v>
          </cell>
          <cell r="C3271" t="str">
            <v>SAMI</v>
          </cell>
          <cell r="D3271" t="str">
            <v>OPT-570</v>
          </cell>
          <cell r="E3271">
            <v>43369</v>
          </cell>
          <cell r="F3271">
            <v>43399</v>
          </cell>
          <cell r="G3271">
            <v>43769</v>
          </cell>
          <cell r="H3271" t="str">
            <v>PRD</v>
          </cell>
          <cell r="I3271" t="str">
            <v>PRD</v>
          </cell>
          <cell r="J3271" t="str">
            <v>MAZDA ATENZA</v>
          </cell>
          <cell r="K3271" t="str">
            <v>MAZDA ATENZA</v>
          </cell>
          <cell r="L3271" t="str">
            <v>PRE ASSY MAZDA ATENZA</v>
          </cell>
          <cell r="M3271" t="str">
            <v>MC2-MZD-03</v>
          </cell>
          <cell r="N3271" t="str">
            <v>WFAP 2.1</v>
          </cell>
          <cell r="O3271" t="str">
            <v>B</v>
          </cell>
        </row>
        <row r="3272">
          <cell r="A3272">
            <v>23125</v>
          </cell>
          <cell r="B3272" t="str">
            <v>INTAN RAHAYU WIDYASWATI</v>
          </cell>
          <cell r="C3272" t="str">
            <v>SAMI</v>
          </cell>
          <cell r="D3272" t="str">
            <v>OPT-570</v>
          </cell>
          <cell r="E3272">
            <v>43369</v>
          </cell>
          <cell r="F3272">
            <v>43399</v>
          </cell>
          <cell r="G3272">
            <v>43769</v>
          </cell>
          <cell r="H3272" t="str">
            <v>PRD</v>
          </cell>
          <cell r="I3272" t="str">
            <v>PRD</v>
          </cell>
          <cell r="J3272" t="str">
            <v>MAZDA ATENZA</v>
          </cell>
          <cell r="K3272" t="str">
            <v>MAZDA ATENZA</v>
          </cell>
          <cell r="L3272" t="str">
            <v>PRE ASSY MAZDA ATENZA</v>
          </cell>
          <cell r="M3272" t="str">
            <v>TWS-MZD-03</v>
          </cell>
          <cell r="N3272" t="str">
            <v>WFAP 2.2</v>
          </cell>
          <cell r="O3272" t="str">
            <v>B</v>
          </cell>
        </row>
        <row r="3273">
          <cell r="A3273">
            <v>23168</v>
          </cell>
          <cell r="B3273" t="str">
            <v>SITI MASTUROH</v>
          </cell>
          <cell r="C3273" t="str">
            <v>SAMI</v>
          </cell>
          <cell r="D3273" t="str">
            <v>OPT-570</v>
          </cell>
          <cell r="E3273">
            <v>43369</v>
          </cell>
          <cell r="F3273">
            <v>43399</v>
          </cell>
          <cell r="G3273">
            <v>43769</v>
          </cell>
          <cell r="H3273" t="str">
            <v>PRD</v>
          </cell>
          <cell r="I3273" t="str">
            <v>PRD</v>
          </cell>
          <cell r="J3273" t="str">
            <v>MAZDA ATENZA</v>
          </cell>
          <cell r="K3273" t="str">
            <v>MAZDA ATENZA</v>
          </cell>
          <cell r="L3273" t="str">
            <v>PRE ASSY MAZDA ATENZA</v>
          </cell>
          <cell r="M3273" t="str">
            <v>KANBAN</v>
          </cell>
          <cell r="N3273" t="str">
            <v>P/A CONTROLLER</v>
          </cell>
          <cell r="O3273" t="str">
            <v>B</v>
          </cell>
        </row>
        <row r="3274">
          <cell r="A3274">
            <v>23170</v>
          </cell>
          <cell r="B3274" t="str">
            <v>SITI NURCAHYANI</v>
          </cell>
          <cell r="C3274" t="str">
            <v>SAMI</v>
          </cell>
          <cell r="D3274" t="str">
            <v>OPT-570</v>
          </cell>
          <cell r="E3274">
            <v>43369</v>
          </cell>
          <cell r="F3274">
            <v>43399</v>
          </cell>
          <cell r="G3274">
            <v>43769</v>
          </cell>
          <cell r="H3274" t="str">
            <v>PRD</v>
          </cell>
          <cell r="I3274" t="str">
            <v>PRD</v>
          </cell>
          <cell r="J3274" t="str">
            <v>MAZDA ATENZA</v>
          </cell>
          <cell r="K3274" t="str">
            <v>MAZDA ATENZA</v>
          </cell>
          <cell r="L3274" t="str">
            <v>PRE ASSY MAZDA ATENZA</v>
          </cell>
          <cell r="M3274" t="str">
            <v>MC1-MZD-01</v>
          </cell>
          <cell r="N3274" t="str">
            <v>WFAP 2.1</v>
          </cell>
          <cell r="O3274" t="str">
            <v>B</v>
          </cell>
        </row>
        <row r="3275">
          <cell r="A3275">
            <v>23269</v>
          </cell>
          <cell r="B3275" t="str">
            <v>SITI MUNAWAROH</v>
          </cell>
          <cell r="C3275" t="str">
            <v>SAMI</v>
          </cell>
          <cell r="D3275" t="str">
            <v>OPT-573</v>
          </cell>
          <cell r="E3275">
            <v>43421</v>
          </cell>
          <cell r="F3275">
            <v>43451</v>
          </cell>
          <cell r="G3275">
            <v>43830</v>
          </cell>
          <cell r="H3275" t="str">
            <v>PRD</v>
          </cell>
          <cell r="I3275" t="str">
            <v>PRD</v>
          </cell>
          <cell r="J3275" t="str">
            <v>MAZDA ATENZA</v>
          </cell>
          <cell r="K3275" t="str">
            <v>MAZDA ATENZA</v>
          </cell>
          <cell r="L3275" t="str">
            <v>PRE ASSY MAZDA ATENZA</v>
          </cell>
          <cell r="M3275" t="str">
            <v>TWS</v>
          </cell>
          <cell r="N3275" t="str">
            <v>WFAP 2.2</v>
          </cell>
          <cell r="O3275" t="str">
            <v>B</v>
          </cell>
        </row>
        <row r="3276">
          <cell r="A3276">
            <v>23335</v>
          </cell>
          <cell r="B3276" t="str">
            <v>MEILINA NURSANTI</v>
          </cell>
          <cell r="C3276" t="str">
            <v>SAMI</v>
          </cell>
          <cell r="D3276" t="str">
            <v>OPT-574</v>
          </cell>
          <cell r="E3276">
            <v>43427</v>
          </cell>
          <cell r="F3276">
            <v>43457</v>
          </cell>
          <cell r="G3276">
            <v>43830</v>
          </cell>
          <cell r="H3276" t="str">
            <v>PRD</v>
          </cell>
          <cell r="I3276" t="str">
            <v>PRD</v>
          </cell>
          <cell r="J3276" t="str">
            <v>MAZDA ATENZA</v>
          </cell>
          <cell r="K3276" t="str">
            <v>MAZDA ATENZA</v>
          </cell>
          <cell r="L3276" t="str">
            <v>PRE ASSY MAZDA ATENZA</v>
          </cell>
          <cell r="M3276" t="str">
            <v>RYCEM</v>
          </cell>
          <cell r="N3276" t="str">
            <v>WFAP 2.2</v>
          </cell>
          <cell r="O3276" t="str">
            <v>B</v>
          </cell>
        </row>
        <row r="3277">
          <cell r="A3277">
            <v>23485</v>
          </cell>
          <cell r="B3277" t="str">
            <v>WENI ISNAENI</v>
          </cell>
          <cell r="C3277" t="str">
            <v>SAMI</v>
          </cell>
          <cell r="D3277" t="str">
            <v>OPT-575</v>
          </cell>
          <cell r="E3277">
            <v>43434</v>
          </cell>
          <cell r="F3277">
            <v>43464</v>
          </cell>
          <cell r="G3277">
            <v>43830</v>
          </cell>
          <cell r="H3277" t="str">
            <v>PRD</v>
          </cell>
          <cell r="I3277" t="str">
            <v>PRD</v>
          </cell>
          <cell r="J3277" t="str">
            <v>MAZDA ATENZA</v>
          </cell>
          <cell r="K3277" t="str">
            <v>MAZDA ATENZA</v>
          </cell>
          <cell r="L3277" t="str">
            <v>PRE ASSY MAZDA ATENZA</v>
          </cell>
          <cell r="M3277" t="str">
            <v>OJT</v>
          </cell>
          <cell r="N3277" t="str">
            <v>INTERNAL TRIAL</v>
          </cell>
          <cell r="O3277" t="str">
            <v>B</v>
          </cell>
        </row>
        <row r="3278">
          <cell r="A3278" t="str">
            <v>B01962</v>
          </cell>
          <cell r="B3278" t="str">
            <v>DWI ANAFI</v>
          </cell>
          <cell r="C3278" t="str">
            <v>SAMI</v>
          </cell>
          <cell r="D3278" t="str">
            <v>BBF-075</v>
          </cell>
          <cell r="E3278">
            <v>41522</v>
          </cell>
          <cell r="F3278" t="str">
            <v>-</v>
          </cell>
          <cell r="G3278" t="str">
            <v>-</v>
          </cell>
          <cell r="H3278" t="str">
            <v>PRD</v>
          </cell>
          <cell r="I3278" t="str">
            <v>PRD</v>
          </cell>
          <cell r="J3278" t="str">
            <v>MAZDA ATENZA</v>
          </cell>
          <cell r="K3278" t="str">
            <v>MAZDA ATENZA</v>
          </cell>
          <cell r="L3278" t="str">
            <v>PRE ASSY MAZDA ATENZA</v>
          </cell>
          <cell r="M3278" t="str">
            <v>INSP PRE ASSY</v>
          </cell>
          <cell r="N3278" t="str">
            <v>P/A INSPECTOR</v>
          </cell>
          <cell r="O3278" t="str">
            <v>B</v>
          </cell>
        </row>
        <row r="3279">
          <cell r="A3279" t="str">
            <v>M23615</v>
          </cell>
          <cell r="B3279" t="str">
            <v>DIAN PUTRI SEPTIANI</v>
          </cell>
          <cell r="C3279" t="str">
            <v>SAMI</v>
          </cell>
          <cell r="D3279" t="str">
            <v>OPT-578</v>
          </cell>
          <cell r="E3279">
            <v>43467</v>
          </cell>
          <cell r="F3279">
            <v>43467</v>
          </cell>
          <cell r="G3279">
            <v>43497</v>
          </cell>
          <cell r="H3279" t="str">
            <v>PRD</v>
          </cell>
          <cell r="I3279" t="str">
            <v>PRD</v>
          </cell>
          <cell r="J3279" t="str">
            <v>MAZDA ATENZA</v>
          </cell>
          <cell r="K3279" t="str">
            <v>MAZDA ATENZA</v>
          </cell>
          <cell r="L3279" t="str">
            <v>PRE ASSY MAZDA ATENZA</v>
          </cell>
          <cell r="M3279" t="str">
            <v>OJT</v>
          </cell>
          <cell r="N3279" t="str">
            <v>INTERNAL TRIAL</v>
          </cell>
          <cell r="O3279" t="str">
            <v>B</v>
          </cell>
        </row>
        <row r="3280">
          <cell r="A3280" t="str">
            <v>M23638</v>
          </cell>
          <cell r="B3280" t="str">
            <v>SITI JUWAEROH</v>
          </cell>
          <cell r="C3280" t="str">
            <v>SAMI</v>
          </cell>
          <cell r="D3280" t="str">
            <v>OPT-578</v>
          </cell>
          <cell r="E3280">
            <v>43467</v>
          </cell>
          <cell r="F3280">
            <v>43467</v>
          </cell>
          <cell r="G3280">
            <v>43497</v>
          </cell>
          <cell r="H3280" t="str">
            <v>PRD</v>
          </cell>
          <cell r="I3280" t="str">
            <v>PRD</v>
          </cell>
          <cell r="J3280" t="str">
            <v>MAZDA ATENZA</v>
          </cell>
          <cell r="K3280" t="str">
            <v>MAZDA ATENZA</v>
          </cell>
          <cell r="L3280" t="str">
            <v>PRE ASSY MAZDA ATENZA</v>
          </cell>
          <cell r="M3280" t="str">
            <v>OJT TWIST-MZD</v>
          </cell>
          <cell r="N3280" t="str">
            <v>INTERNAL TRIAL</v>
          </cell>
          <cell r="O3280" t="str">
            <v>B</v>
          </cell>
        </row>
        <row r="3281">
          <cell r="A3281">
            <v>55</v>
          </cell>
          <cell r="B3281" t="str">
            <v>ENI PUJI ASTUTI</v>
          </cell>
          <cell r="C3281" t="str">
            <v>SAMI</v>
          </cell>
          <cell r="D3281" t="str">
            <v>OPT-1</v>
          </cell>
          <cell r="E3281">
            <v>37578</v>
          </cell>
          <cell r="F3281" t="str">
            <v>-</v>
          </cell>
          <cell r="G3281" t="str">
            <v>-</v>
          </cell>
          <cell r="H3281" t="str">
            <v>PRD</v>
          </cell>
          <cell r="I3281" t="str">
            <v>PRD</v>
          </cell>
          <cell r="J3281" t="str">
            <v>MAZDA ATENZA</v>
          </cell>
          <cell r="K3281" t="str">
            <v>MAZDA ATENZA</v>
          </cell>
          <cell r="L3281" t="str">
            <v>PRE ASSY MAZDA ATENZA CX-5</v>
          </cell>
          <cell r="M3281" t="str">
            <v>MC2-MZD-03</v>
          </cell>
          <cell r="N3281" t="str">
            <v>WFAP 2.1</v>
          </cell>
          <cell r="O3281" t="str">
            <v>B</v>
          </cell>
        </row>
        <row r="3282">
          <cell r="A3282">
            <v>311</v>
          </cell>
          <cell r="B3282" t="str">
            <v>WANTI LESTARI</v>
          </cell>
          <cell r="C3282" t="str">
            <v>SAMI</v>
          </cell>
          <cell r="D3282" t="str">
            <v>OPT-9</v>
          </cell>
          <cell r="E3282">
            <v>37725</v>
          </cell>
          <cell r="F3282" t="str">
            <v>-</v>
          </cell>
          <cell r="G3282" t="str">
            <v>-</v>
          </cell>
          <cell r="H3282" t="str">
            <v>PRD</v>
          </cell>
          <cell r="I3282" t="str">
            <v>PRD</v>
          </cell>
          <cell r="J3282" t="str">
            <v>MAZDA ATENZA</v>
          </cell>
          <cell r="K3282" t="str">
            <v>MAZDA ATENZA</v>
          </cell>
          <cell r="L3282" t="str">
            <v>PRE ASSY MAZDA ATENZA CX-5</v>
          </cell>
          <cell r="M3282" t="str">
            <v>SUB LINE CHO</v>
          </cell>
          <cell r="N3282" t="str">
            <v>GL</v>
          </cell>
          <cell r="O3282" t="str">
            <v>B</v>
          </cell>
        </row>
        <row r="3283">
          <cell r="A3283">
            <v>1305</v>
          </cell>
          <cell r="B3283" t="str">
            <v>MUSAROFAH</v>
          </cell>
          <cell r="C3283" t="str">
            <v>SAMI</v>
          </cell>
          <cell r="D3283" t="str">
            <v>OPT-32</v>
          </cell>
          <cell r="E3283">
            <v>37928</v>
          </cell>
          <cell r="F3283" t="str">
            <v>-</v>
          </cell>
          <cell r="G3283" t="str">
            <v>-</v>
          </cell>
          <cell r="H3283" t="str">
            <v>PRD</v>
          </cell>
          <cell r="I3283" t="str">
            <v>PRD</v>
          </cell>
          <cell r="J3283" t="str">
            <v>MAZDA ATENZA</v>
          </cell>
          <cell r="K3283" t="str">
            <v>MAZDA ATENZA</v>
          </cell>
          <cell r="L3283" t="str">
            <v>PRE ASSY MAZDA ATENZA CX-5</v>
          </cell>
          <cell r="M3283" t="str">
            <v>BM4-MZD-03</v>
          </cell>
          <cell r="N3283" t="str">
            <v>BONDER</v>
          </cell>
          <cell r="O3283" t="str">
            <v>B</v>
          </cell>
        </row>
        <row r="3284">
          <cell r="A3284">
            <v>10100</v>
          </cell>
          <cell r="B3284" t="str">
            <v>MENIK JAYANTI</v>
          </cell>
          <cell r="C3284" t="str">
            <v>SAMI</v>
          </cell>
          <cell r="D3284" t="str">
            <v>OPT-248</v>
          </cell>
          <cell r="E3284">
            <v>40444</v>
          </cell>
          <cell r="F3284" t="str">
            <v>-</v>
          </cell>
          <cell r="G3284" t="str">
            <v>-</v>
          </cell>
          <cell r="H3284" t="str">
            <v>PRD</v>
          </cell>
          <cell r="I3284" t="str">
            <v>PRD</v>
          </cell>
          <cell r="J3284" t="str">
            <v>MAZDA ATENZA</v>
          </cell>
          <cell r="K3284" t="str">
            <v>MAZDA ATENZA</v>
          </cell>
          <cell r="L3284" t="str">
            <v>PRE ASSY MAZDA ATENZA CX-5</v>
          </cell>
          <cell r="M3284" t="str">
            <v>BM1-MZD-01</v>
          </cell>
          <cell r="N3284" t="str">
            <v>BONDER</v>
          </cell>
          <cell r="O3284" t="str">
            <v>B</v>
          </cell>
        </row>
        <row r="3285">
          <cell r="A3285">
            <v>10513</v>
          </cell>
          <cell r="B3285" t="str">
            <v>NAJIKHATUL MU'ALIFAH</v>
          </cell>
          <cell r="C3285" t="str">
            <v>SAMI</v>
          </cell>
          <cell r="D3285" t="str">
            <v>OPT-273</v>
          </cell>
          <cell r="E3285">
            <v>40535</v>
          </cell>
          <cell r="F3285" t="str">
            <v>-</v>
          </cell>
          <cell r="G3285" t="str">
            <v>-</v>
          </cell>
          <cell r="H3285" t="str">
            <v>PRD</v>
          </cell>
          <cell r="I3285" t="str">
            <v>PRD</v>
          </cell>
          <cell r="J3285" t="str">
            <v>MAZDA ATENZA</v>
          </cell>
          <cell r="K3285" t="str">
            <v>MAZDA ATENZA</v>
          </cell>
          <cell r="L3285" t="str">
            <v>PRE ASSY MAZDA ATENZA CX-5</v>
          </cell>
          <cell r="M3285" t="str">
            <v>BM4-MZD-02</v>
          </cell>
          <cell r="N3285" t="str">
            <v>BONDER</v>
          </cell>
          <cell r="O3285" t="str">
            <v>B</v>
          </cell>
        </row>
        <row r="3286">
          <cell r="A3286">
            <v>11345</v>
          </cell>
          <cell r="B3286" t="str">
            <v>NOVIANA ISFRIYANTI</v>
          </cell>
          <cell r="C3286" t="str">
            <v>SAMI</v>
          </cell>
          <cell r="D3286" t="str">
            <v>OPT-301</v>
          </cell>
          <cell r="E3286">
            <v>40672</v>
          </cell>
          <cell r="F3286" t="str">
            <v>-</v>
          </cell>
          <cell r="G3286" t="str">
            <v>-</v>
          </cell>
          <cell r="H3286" t="str">
            <v>PRD</v>
          </cell>
          <cell r="I3286" t="str">
            <v>PRD</v>
          </cell>
          <cell r="J3286" t="str">
            <v>MAZDA ATENZA</v>
          </cell>
          <cell r="K3286" t="str">
            <v>MAZDA ATENZA</v>
          </cell>
          <cell r="L3286" t="str">
            <v>PRE ASSY MAZDA ATENZA CX-5</v>
          </cell>
          <cell r="M3286" t="str">
            <v>MC1-MZD-06</v>
          </cell>
          <cell r="N3286" t="str">
            <v>WFAP 2.1</v>
          </cell>
          <cell r="O3286" t="str">
            <v>B</v>
          </cell>
        </row>
        <row r="3287">
          <cell r="A3287">
            <v>12934</v>
          </cell>
          <cell r="B3287" t="str">
            <v>SITI KHALIMATUS SADIYAH</v>
          </cell>
          <cell r="C3287" t="str">
            <v>SAMI</v>
          </cell>
          <cell r="D3287" t="str">
            <v>OPT-322</v>
          </cell>
          <cell r="E3287">
            <v>40833</v>
          </cell>
          <cell r="F3287" t="str">
            <v>-</v>
          </cell>
          <cell r="G3287" t="str">
            <v>-</v>
          </cell>
          <cell r="H3287" t="str">
            <v>PRD</v>
          </cell>
          <cell r="I3287" t="str">
            <v>PRD</v>
          </cell>
          <cell r="J3287" t="str">
            <v>MAZDA ATENZA</v>
          </cell>
          <cell r="K3287" t="str">
            <v>MAZDA ATENZA</v>
          </cell>
          <cell r="L3287" t="str">
            <v>PRE ASSY MAZDA ATENZA CX-5</v>
          </cell>
          <cell r="M3287" t="str">
            <v>INSP PRE ASSY</v>
          </cell>
          <cell r="N3287" t="str">
            <v>P/A INSPECTOR</v>
          </cell>
          <cell r="O3287" t="str">
            <v>B</v>
          </cell>
        </row>
        <row r="3288">
          <cell r="A3288">
            <v>20723</v>
          </cell>
          <cell r="B3288" t="str">
            <v>LENY SETYOWATI</v>
          </cell>
          <cell r="C3288" t="str">
            <v>SAMI</v>
          </cell>
          <cell r="D3288" t="str">
            <v>OPT-506</v>
          </cell>
          <cell r="E3288">
            <v>42642</v>
          </cell>
          <cell r="F3288">
            <v>43132</v>
          </cell>
          <cell r="G3288">
            <v>43496</v>
          </cell>
          <cell r="H3288" t="str">
            <v>PRD</v>
          </cell>
          <cell r="I3288" t="str">
            <v>PRD</v>
          </cell>
          <cell r="J3288" t="str">
            <v>MAZDA ATENZA</v>
          </cell>
          <cell r="K3288" t="str">
            <v>MAZDA ATENZA</v>
          </cell>
          <cell r="L3288" t="str">
            <v>PRE ASSY MAZDA ATENZA CX-5</v>
          </cell>
          <cell r="M3288" t="str">
            <v>MC1-MZD-07</v>
          </cell>
          <cell r="N3288" t="str">
            <v>WFAP 2.1</v>
          </cell>
          <cell r="O3288" t="str">
            <v>B</v>
          </cell>
        </row>
        <row r="3289">
          <cell r="A3289">
            <v>21181</v>
          </cell>
          <cell r="B3289" t="str">
            <v>SANDY MAULANA</v>
          </cell>
          <cell r="C3289" t="str">
            <v>SAMI</v>
          </cell>
          <cell r="D3289" t="str">
            <v>OPT-522</v>
          </cell>
          <cell r="E3289">
            <v>42871</v>
          </cell>
          <cell r="F3289">
            <v>43374</v>
          </cell>
          <cell r="G3289">
            <v>43738</v>
          </cell>
          <cell r="H3289" t="str">
            <v>PRD</v>
          </cell>
          <cell r="I3289" t="str">
            <v>PRD</v>
          </cell>
          <cell r="J3289" t="str">
            <v>MAZDA ATENZA</v>
          </cell>
          <cell r="K3289" t="str">
            <v>MAZDA ATENZA</v>
          </cell>
          <cell r="L3289" t="str">
            <v>PRE ASSY MAZDA ATENZA CX-5</v>
          </cell>
          <cell r="M3289" t="str">
            <v>RYC-MZD-01</v>
          </cell>
          <cell r="N3289" t="str">
            <v>WFAP 2.2</v>
          </cell>
          <cell r="O3289" t="str">
            <v>B</v>
          </cell>
        </row>
        <row r="3290">
          <cell r="A3290">
            <v>22442</v>
          </cell>
          <cell r="B3290" t="str">
            <v>ADINDA PUTRI MAHARANI</v>
          </cell>
          <cell r="C3290" t="str">
            <v>SAMI</v>
          </cell>
          <cell r="D3290" t="str">
            <v>OPT-559</v>
          </cell>
          <cell r="E3290">
            <v>43220</v>
          </cell>
          <cell r="F3290">
            <v>43250</v>
          </cell>
          <cell r="G3290">
            <v>43616</v>
          </cell>
          <cell r="H3290" t="str">
            <v>PRD</v>
          </cell>
          <cell r="I3290" t="str">
            <v>PRD</v>
          </cell>
          <cell r="J3290" t="str">
            <v>MAZDA ATENZA</v>
          </cell>
          <cell r="K3290" t="str">
            <v>MAZDA ATENZA</v>
          </cell>
          <cell r="L3290" t="str">
            <v>PRE ASSY MAZDA ATENZA CX-5</v>
          </cell>
          <cell r="M3290" t="str">
            <v>MC3-MZD-03</v>
          </cell>
          <cell r="N3290" t="str">
            <v>WFAP 2.1</v>
          </cell>
          <cell r="O3290" t="str">
            <v>B</v>
          </cell>
        </row>
        <row r="3291">
          <cell r="A3291">
            <v>22465</v>
          </cell>
          <cell r="B3291" t="str">
            <v>RISYA DEWI RAHMAWATI</v>
          </cell>
          <cell r="C3291" t="str">
            <v>SAMI</v>
          </cell>
          <cell r="D3291" t="str">
            <v>OPT-559</v>
          </cell>
          <cell r="E3291">
            <v>43220</v>
          </cell>
          <cell r="F3291">
            <v>43250</v>
          </cell>
          <cell r="G3291">
            <v>43616</v>
          </cell>
          <cell r="H3291" t="str">
            <v>PRD</v>
          </cell>
          <cell r="I3291" t="str">
            <v>PRD</v>
          </cell>
          <cell r="J3291" t="str">
            <v>MAZDA ATENZA</v>
          </cell>
          <cell r="K3291" t="str">
            <v>MAZDA ATENZA</v>
          </cell>
          <cell r="L3291" t="str">
            <v>PRE ASSY MAZDA ATENZA CX-5</v>
          </cell>
          <cell r="M3291" t="str">
            <v>WT-MZD-01</v>
          </cell>
          <cell r="N3291" t="str">
            <v>P/A CONTROLLER</v>
          </cell>
          <cell r="O3291" t="str">
            <v>B</v>
          </cell>
        </row>
        <row r="3292">
          <cell r="A3292">
            <v>22666</v>
          </cell>
          <cell r="B3292" t="str">
            <v>MULYANI</v>
          </cell>
          <cell r="C3292" t="str">
            <v>SAMI</v>
          </cell>
          <cell r="D3292" t="str">
            <v>OPT-562</v>
          </cell>
          <cell r="E3292">
            <v>43241</v>
          </cell>
          <cell r="F3292">
            <v>43272</v>
          </cell>
          <cell r="G3292">
            <v>43646</v>
          </cell>
          <cell r="H3292" t="str">
            <v>PRD</v>
          </cell>
          <cell r="I3292" t="str">
            <v>PRD</v>
          </cell>
          <cell r="J3292" t="str">
            <v>MAZDA ATENZA</v>
          </cell>
          <cell r="K3292" t="str">
            <v>MAZDA ATENZA</v>
          </cell>
          <cell r="L3292" t="str">
            <v>PRE ASSY MAZDA ATENZA CX-5</v>
          </cell>
          <cell r="M3292" t="str">
            <v>RYC-MZD-02</v>
          </cell>
          <cell r="N3292" t="str">
            <v>WFAP 2.2</v>
          </cell>
          <cell r="O3292" t="str">
            <v>B</v>
          </cell>
        </row>
        <row r="3293">
          <cell r="A3293">
            <v>22690</v>
          </cell>
          <cell r="B3293" t="str">
            <v>ANITA IDA LESTARI</v>
          </cell>
          <cell r="C3293" t="str">
            <v>SAMI</v>
          </cell>
          <cell r="D3293" t="str">
            <v>OPT-563</v>
          </cell>
          <cell r="E3293">
            <v>43244</v>
          </cell>
          <cell r="F3293">
            <v>43275</v>
          </cell>
          <cell r="G3293">
            <v>43646</v>
          </cell>
          <cell r="H3293" t="str">
            <v>PRD</v>
          </cell>
          <cell r="I3293" t="str">
            <v>PRD</v>
          </cell>
          <cell r="J3293" t="str">
            <v>MAZDA ATENZA</v>
          </cell>
          <cell r="K3293" t="str">
            <v>MAZDA ATENZA</v>
          </cell>
          <cell r="L3293" t="str">
            <v>PRE ASSY MAZDA ATENZA CX-5</v>
          </cell>
          <cell r="M3293" t="str">
            <v>KANBAN</v>
          </cell>
          <cell r="N3293" t="str">
            <v>P/A CONTROLLER</v>
          </cell>
          <cell r="O3293" t="str">
            <v>B</v>
          </cell>
        </row>
        <row r="3294">
          <cell r="A3294">
            <v>23610</v>
          </cell>
          <cell r="B3294" t="str">
            <v>ZAHROTHUN NISA'</v>
          </cell>
          <cell r="C3294" t="str">
            <v>SAMI</v>
          </cell>
          <cell r="D3294" t="str">
            <v>OPT-577</v>
          </cell>
          <cell r="E3294">
            <v>43452</v>
          </cell>
          <cell r="F3294">
            <v>43483</v>
          </cell>
          <cell r="G3294">
            <v>43861</v>
          </cell>
          <cell r="H3294" t="str">
            <v>PRD</v>
          </cell>
          <cell r="I3294" t="str">
            <v>PRD</v>
          </cell>
          <cell r="J3294" t="str">
            <v>MAZDA ATENZA</v>
          </cell>
          <cell r="K3294" t="str">
            <v>MAZDA ATENZA</v>
          </cell>
          <cell r="L3294" t="str">
            <v>PRE ASSY MAZDA ATENZA CX-5</v>
          </cell>
          <cell r="M3294" t="str">
            <v>OJT</v>
          </cell>
          <cell r="N3294" t="str">
            <v>INTERNAL TRIAL</v>
          </cell>
          <cell r="O3294" t="str">
            <v>B</v>
          </cell>
        </row>
        <row r="3295">
          <cell r="A3295">
            <v>12571</v>
          </cell>
          <cell r="B3295" t="str">
            <v>WINARTI</v>
          </cell>
          <cell r="C3295" t="str">
            <v>SAMI</v>
          </cell>
          <cell r="D3295" t="str">
            <v>OPT-318</v>
          </cell>
          <cell r="E3295">
            <v>40812</v>
          </cell>
          <cell r="F3295" t="str">
            <v>-</v>
          </cell>
          <cell r="G3295" t="str">
            <v>-</v>
          </cell>
          <cell r="H3295" t="str">
            <v>PRD</v>
          </cell>
          <cell r="I3295" t="str">
            <v>PRD</v>
          </cell>
          <cell r="J3295" t="str">
            <v>SUZUKI HUSTLER</v>
          </cell>
          <cell r="K3295" t="str">
            <v>SUZUKI Y0C</v>
          </cell>
          <cell r="L3295" t="str">
            <v>PRE ASSY SUZUKI Y0C</v>
          </cell>
          <cell r="M3295" t="str">
            <v>SUB LINE CHO</v>
          </cell>
          <cell r="N3295" t="str">
            <v>GL</v>
          </cell>
          <cell r="O3295" t="str">
            <v>A (NS)</v>
          </cell>
        </row>
        <row r="3296">
          <cell r="A3296">
            <v>20663</v>
          </cell>
          <cell r="B3296" t="str">
            <v>TRI WADIAH</v>
          </cell>
          <cell r="C3296" t="str">
            <v>SAMI</v>
          </cell>
          <cell r="D3296" t="str">
            <v>OPT-505</v>
          </cell>
          <cell r="E3296">
            <v>42639</v>
          </cell>
          <cell r="F3296">
            <v>43132</v>
          </cell>
          <cell r="G3296">
            <v>43496</v>
          </cell>
          <cell r="H3296" t="str">
            <v>PRD</v>
          </cell>
          <cell r="I3296" t="str">
            <v>PRD</v>
          </cell>
          <cell r="J3296" t="str">
            <v>SUZUKI HUSTLER</v>
          </cell>
          <cell r="K3296" t="str">
            <v>SUZUKI Y0C</v>
          </cell>
          <cell r="L3296" t="str">
            <v>PRE ASSY SUZUKI Y0C</v>
          </cell>
          <cell r="M3296" t="str">
            <v>TWS-SZK-01</v>
          </cell>
          <cell r="N3296" t="str">
            <v>WFAP 2.2</v>
          </cell>
          <cell r="O3296" t="str">
            <v>A (NS)</v>
          </cell>
        </row>
        <row r="3297">
          <cell r="A3297">
            <v>22352</v>
          </cell>
          <cell r="B3297" t="str">
            <v>SITI MAESAROH</v>
          </cell>
          <cell r="C3297" t="str">
            <v>SAMI</v>
          </cell>
          <cell r="D3297" t="str">
            <v>OPT-556</v>
          </cell>
          <cell r="E3297">
            <v>43195</v>
          </cell>
          <cell r="F3297">
            <v>43225</v>
          </cell>
          <cell r="G3297">
            <v>43585</v>
          </cell>
          <cell r="H3297" t="str">
            <v>PRD</v>
          </cell>
          <cell r="I3297" t="str">
            <v>PRD</v>
          </cell>
          <cell r="J3297" t="str">
            <v>SUZUKI HUSTLER</v>
          </cell>
          <cell r="K3297" t="str">
            <v>SUZUKI Y0C</v>
          </cell>
          <cell r="L3297" t="str">
            <v>PRE ASSY SUZUKI Y0C</v>
          </cell>
          <cell r="M3297" t="str">
            <v>BM2-SZK-01</v>
          </cell>
          <cell r="N3297" t="str">
            <v>BONDER</v>
          </cell>
          <cell r="O3297" t="str">
            <v>A (NS)</v>
          </cell>
        </row>
        <row r="3298">
          <cell r="A3298">
            <v>22871</v>
          </cell>
          <cell r="B3298" t="str">
            <v>NURUL OKTAVIANA</v>
          </cell>
          <cell r="C3298" t="str">
            <v>SAMI</v>
          </cell>
          <cell r="D3298" t="str">
            <v>OPT-567</v>
          </cell>
          <cell r="E3298">
            <v>43333</v>
          </cell>
          <cell r="F3298">
            <v>43364</v>
          </cell>
          <cell r="G3298">
            <v>43738</v>
          </cell>
          <cell r="H3298" t="str">
            <v>PRD</v>
          </cell>
          <cell r="I3298" t="str">
            <v>PRD</v>
          </cell>
          <cell r="J3298" t="str">
            <v>SUZUKI HUSTLER</v>
          </cell>
          <cell r="K3298" t="str">
            <v>SUZUKI Y0C</v>
          </cell>
          <cell r="L3298" t="str">
            <v>PRE ASSY SUZUKI Y0C</v>
          </cell>
          <cell r="M3298" t="str">
            <v>MC2-SZK-01,02</v>
          </cell>
          <cell r="N3298" t="str">
            <v>WFAP 2.1</v>
          </cell>
          <cell r="O3298" t="str">
            <v>A (NS)</v>
          </cell>
        </row>
        <row r="3299">
          <cell r="A3299">
            <v>23312</v>
          </cell>
          <cell r="B3299" t="str">
            <v>FITRI ARIANTI</v>
          </cell>
          <cell r="C3299" t="str">
            <v>SAMI</v>
          </cell>
          <cell r="D3299" t="str">
            <v>OPT-574</v>
          </cell>
          <cell r="E3299">
            <v>43427</v>
          </cell>
          <cell r="F3299">
            <v>43457</v>
          </cell>
          <cell r="G3299">
            <v>43830</v>
          </cell>
          <cell r="H3299" t="str">
            <v>PRD</v>
          </cell>
          <cell r="I3299" t="str">
            <v>PRD</v>
          </cell>
          <cell r="J3299" t="str">
            <v>SUZUKI HUSTLER</v>
          </cell>
          <cell r="K3299" t="str">
            <v>SUZUKI Y0C</v>
          </cell>
          <cell r="L3299" t="str">
            <v>PRE ASSY SUZUKI Y0C</v>
          </cell>
          <cell r="M3299" t="str">
            <v>MANUAL CRIMPING</v>
          </cell>
          <cell r="N3299" t="str">
            <v>WFAP 2.1</v>
          </cell>
          <cell r="O3299" t="str">
            <v>A (NS)</v>
          </cell>
        </row>
        <row r="3300">
          <cell r="A3300">
            <v>23476</v>
          </cell>
          <cell r="B3300" t="str">
            <v>TRIANI MELINAWATI</v>
          </cell>
          <cell r="C3300" t="str">
            <v>SAMI</v>
          </cell>
          <cell r="D3300" t="str">
            <v>OPT-575</v>
          </cell>
          <cell r="E3300">
            <v>43434</v>
          </cell>
          <cell r="F3300">
            <v>43464</v>
          </cell>
          <cell r="G3300">
            <v>43830</v>
          </cell>
          <cell r="H3300" t="str">
            <v>PRD</v>
          </cell>
          <cell r="I3300" t="str">
            <v>PRD</v>
          </cell>
          <cell r="J3300" t="str">
            <v>SUZUKI HUSTLER</v>
          </cell>
          <cell r="K3300" t="str">
            <v>SUZUKI Y0C</v>
          </cell>
          <cell r="L3300" t="str">
            <v>PRE ASSY SUZUKI Y0C</v>
          </cell>
          <cell r="M3300" t="str">
            <v>MC-SZK-01</v>
          </cell>
          <cell r="N3300" t="str">
            <v>WFAP 2.1</v>
          </cell>
          <cell r="O3300" t="str">
            <v>B</v>
          </cell>
        </row>
        <row r="3301">
          <cell r="A3301">
            <v>77</v>
          </cell>
          <cell r="B3301" t="str">
            <v>ZULIKAH</v>
          </cell>
          <cell r="C3301" t="str">
            <v>SAMI</v>
          </cell>
          <cell r="D3301" t="str">
            <v>OPT-1</v>
          </cell>
          <cell r="E3301">
            <v>37578</v>
          </cell>
          <cell r="F3301" t="str">
            <v>-</v>
          </cell>
          <cell r="G3301" t="str">
            <v>-</v>
          </cell>
          <cell r="H3301" t="str">
            <v>PRD</v>
          </cell>
          <cell r="I3301" t="str">
            <v>PRD</v>
          </cell>
          <cell r="J3301" t="str">
            <v>SUZUKI WAGON R</v>
          </cell>
          <cell r="K3301" t="str">
            <v>SUZUKI YW0</v>
          </cell>
          <cell r="L3301" t="str">
            <v>PRE ASSY SUZUKI YW0</v>
          </cell>
          <cell r="M3301" t="str">
            <v>SUB LINE CHO</v>
          </cell>
          <cell r="N3301" t="str">
            <v>GL</v>
          </cell>
          <cell r="O3301" t="str">
            <v>A</v>
          </cell>
        </row>
        <row r="3302">
          <cell r="A3302">
            <v>8859</v>
          </cell>
          <cell r="B3302" t="str">
            <v>SETYARINI</v>
          </cell>
          <cell r="C3302" t="str">
            <v>SAMI</v>
          </cell>
          <cell r="D3302" t="str">
            <v>OPT-195</v>
          </cell>
          <cell r="E3302">
            <v>39937</v>
          </cell>
          <cell r="F3302" t="str">
            <v>-</v>
          </cell>
          <cell r="G3302" t="str">
            <v>-</v>
          </cell>
          <cell r="H3302" t="str">
            <v>PRD</v>
          </cell>
          <cell r="I3302" t="str">
            <v>PRD</v>
          </cell>
          <cell r="J3302" t="str">
            <v>SUZUKI WAGON R</v>
          </cell>
          <cell r="K3302" t="str">
            <v>SUZUKI YW0</v>
          </cell>
          <cell r="L3302" t="str">
            <v>PRE ASSY SUZUKI YW0</v>
          </cell>
          <cell r="M3302" t="str">
            <v>MC1-SZK-01, 02</v>
          </cell>
          <cell r="N3302" t="str">
            <v>WFAP 2.1</v>
          </cell>
          <cell r="O3302" t="str">
            <v>A</v>
          </cell>
        </row>
        <row r="3303">
          <cell r="A3303">
            <v>10532</v>
          </cell>
          <cell r="B3303" t="str">
            <v>SOFA FATMAWATI</v>
          </cell>
          <cell r="C3303" t="str">
            <v>SAMI</v>
          </cell>
          <cell r="D3303" t="str">
            <v>OPT-273</v>
          </cell>
          <cell r="E3303">
            <v>40535</v>
          </cell>
          <cell r="F3303" t="str">
            <v>-</v>
          </cell>
          <cell r="G3303" t="str">
            <v>-</v>
          </cell>
          <cell r="H3303" t="str">
            <v>PRD</v>
          </cell>
          <cell r="I3303" t="str">
            <v>PRD</v>
          </cell>
          <cell r="J3303" t="str">
            <v>SUZUKI WAGON R</v>
          </cell>
          <cell r="K3303" t="str">
            <v>SUZUKI YW0</v>
          </cell>
          <cell r="L3303" t="str">
            <v>PRE ASSY SUZUKI YW0</v>
          </cell>
          <cell r="M3303" t="str">
            <v>INSP PRE ASSY</v>
          </cell>
          <cell r="N3303" t="str">
            <v>P/A INSPECTOR</v>
          </cell>
          <cell r="O3303" t="str">
            <v>A</v>
          </cell>
        </row>
        <row r="3304">
          <cell r="A3304">
            <v>19100</v>
          </cell>
          <cell r="B3304" t="str">
            <v xml:space="preserve">ENI RAHMAWATI </v>
          </cell>
          <cell r="C3304" t="str">
            <v>SAMI</v>
          </cell>
          <cell r="D3304" t="str">
            <v>OPT-475</v>
          </cell>
          <cell r="E3304">
            <v>42254</v>
          </cell>
          <cell r="F3304" t="str">
            <v>-</v>
          </cell>
          <cell r="G3304" t="str">
            <v>-</v>
          </cell>
          <cell r="H3304" t="str">
            <v>PRD</v>
          </cell>
          <cell r="I3304" t="str">
            <v>PRD</v>
          </cell>
          <cell r="J3304" t="str">
            <v>SUZUKI WAGON R</v>
          </cell>
          <cell r="K3304" t="str">
            <v>SUZUKI YW0</v>
          </cell>
          <cell r="L3304" t="str">
            <v>PRE ASSY SUZUKI YW0</v>
          </cell>
          <cell r="M3304" t="str">
            <v>ARR-01,02</v>
          </cell>
          <cell r="N3304" t="str">
            <v>WFAP 2.2</v>
          </cell>
          <cell r="O3304" t="str">
            <v>A</v>
          </cell>
        </row>
        <row r="3305">
          <cell r="A3305">
            <v>20789</v>
          </cell>
          <cell r="B3305" t="str">
            <v>LILIS APRIYANTI</v>
          </cell>
          <cell r="C3305" t="str">
            <v>SAMI</v>
          </cell>
          <cell r="D3305" t="str">
            <v>OPT-507</v>
          </cell>
          <cell r="E3305">
            <v>42649</v>
          </cell>
          <cell r="F3305">
            <v>43132</v>
          </cell>
          <cell r="G3305">
            <v>43496</v>
          </cell>
          <cell r="H3305" t="str">
            <v>PRD</v>
          </cell>
          <cell r="I3305" t="str">
            <v>PRD</v>
          </cell>
          <cell r="J3305" t="str">
            <v>SUZUKI WAGON R</v>
          </cell>
          <cell r="K3305" t="str">
            <v>SUZUKI YW0</v>
          </cell>
          <cell r="L3305" t="str">
            <v>PRE ASSY SUZUKI YW0</v>
          </cell>
          <cell r="M3305" t="str">
            <v>KANBAN</v>
          </cell>
          <cell r="N3305" t="str">
            <v>P/A CONTROLLER</v>
          </cell>
          <cell r="O3305" t="str">
            <v>A</v>
          </cell>
        </row>
        <row r="3306">
          <cell r="A3306">
            <v>20820</v>
          </cell>
          <cell r="B3306" t="str">
            <v>SITI NURJANAH</v>
          </cell>
          <cell r="C3306" t="str">
            <v>SAMI</v>
          </cell>
          <cell r="D3306" t="str">
            <v>OPT-508</v>
          </cell>
          <cell r="E3306">
            <v>42649</v>
          </cell>
          <cell r="F3306">
            <v>43132</v>
          </cell>
          <cell r="G3306">
            <v>43496</v>
          </cell>
          <cell r="H3306" t="str">
            <v>PRD</v>
          </cell>
          <cell r="I3306" t="str">
            <v>PRD</v>
          </cell>
          <cell r="J3306" t="str">
            <v>SUZUKI WAGON R</v>
          </cell>
          <cell r="K3306" t="str">
            <v>SUZUKI YW0</v>
          </cell>
          <cell r="L3306" t="str">
            <v>PRE ASSY SUZUKI YW0</v>
          </cell>
          <cell r="M3306" t="str">
            <v>TWS-SZK-02</v>
          </cell>
          <cell r="N3306" t="str">
            <v>WFAP 2.2</v>
          </cell>
          <cell r="O3306" t="str">
            <v>A</v>
          </cell>
        </row>
        <row r="3307">
          <cell r="A3307">
            <v>21468</v>
          </cell>
          <cell r="B3307" t="str">
            <v>SRI LESTARI</v>
          </cell>
          <cell r="C3307" t="str">
            <v>SAMI</v>
          </cell>
          <cell r="D3307" t="str">
            <v>OPT-533</v>
          </cell>
          <cell r="E3307">
            <v>43024</v>
          </cell>
          <cell r="F3307">
            <v>43435</v>
          </cell>
          <cell r="G3307">
            <v>43799</v>
          </cell>
          <cell r="H3307" t="str">
            <v>PRD</v>
          </cell>
          <cell r="I3307" t="str">
            <v>PRD</v>
          </cell>
          <cell r="J3307" t="str">
            <v>SUZUKI WAGON R</v>
          </cell>
          <cell r="K3307" t="str">
            <v>SUZUKI YW0</v>
          </cell>
          <cell r="L3307" t="str">
            <v>PRE ASSY SUZUKI YW0</v>
          </cell>
          <cell r="M3307" t="str">
            <v>RYC-SZK-01,02</v>
          </cell>
          <cell r="N3307" t="str">
            <v>WFAP 2.2</v>
          </cell>
          <cell r="O3307" t="str">
            <v>A</v>
          </cell>
        </row>
        <row r="3308">
          <cell r="A3308">
            <v>21936</v>
          </cell>
          <cell r="B3308" t="str">
            <v>VENINA AGUSTINA</v>
          </cell>
          <cell r="C3308" t="str">
            <v>SAMI</v>
          </cell>
          <cell r="D3308" t="str">
            <v>OPT-544</v>
          </cell>
          <cell r="E3308">
            <v>43111</v>
          </cell>
          <cell r="F3308">
            <v>43142</v>
          </cell>
          <cell r="G3308">
            <v>43496</v>
          </cell>
          <cell r="H3308" t="str">
            <v>PRD</v>
          </cell>
          <cell r="I3308" t="str">
            <v>PRD</v>
          </cell>
          <cell r="J3308" t="str">
            <v>SUZUKI WAGON R</v>
          </cell>
          <cell r="K3308" t="str">
            <v>SUZUKI YW0</v>
          </cell>
          <cell r="L3308" t="str">
            <v>PRE ASSY SUZUKI YW0</v>
          </cell>
          <cell r="M3308" t="str">
            <v>MT, JT-SZK-01</v>
          </cell>
          <cell r="N3308" t="str">
            <v>WFAP 2.1</v>
          </cell>
          <cell r="O3308" t="str">
            <v>A</v>
          </cell>
        </row>
        <row r="3309">
          <cell r="A3309">
            <v>22096</v>
          </cell>
          <cell r="B3309" t="str">
            <v>SISKA EMILIA</v>
          </cell>
          <cell r="C3309" t="str">
            <v>SAMI</v>
          </cell>
          <cell r="D3309" t="str">
            <v>OPT-548</v>
          </cell>
          <cell r="E3309">
            <v>43150</v>
          </cell>
          <cell r="F3309">
            <v>43178</v>
          </cell>
          <cell r="G3309">
            <v>43555</v>
          </cell>
          <cell r="H3309" t="str">
            <v>PRD</v>
          </cell>
          <cell r="I3309" t="str">
            <v>PRD</v>
          </cell>
          <cell r="J3309" t="str">
            <v>SUZUKI WAGON R</v>
          </cell>
          <cell r="K3309" t="str">
            <v>SUZUKI YW0</v>
          </cell>
          <cell r="L3309" t="str">
            <v>PRE ASSY SUZUKI YW0</v>
          </cell>
          <cell r="M3309" t="str">
            <v>TW-SZK-02</v>
          </cell>
          <cell r="N3309" t="str">
            <v>WFAP 2.2</v>
          </cell>
          <cell r="O3309" t="str">
            <v>A</v>
          </cell>
        </row>
        <row r="3310">
          <cell r="A3310">
            <v>22168</v>
          </cell>
          <cell r="B3310" t="str">
            <v>AYU NUR FADILAH</v>
          </cell>
          <cell r="C3310" t="str">
            <v>SAMI</v>
          </cell>
          <cell r="D3310" t="str">
            <v>OPT-550</v>
          </cell>
          <cell r="E3310">
            <v>43158</v>
          </cell>
          <cell r="F3310">
            <v>43186</v>
          </cell>
          <cell r="G3310">
            <v>43555</v>
          </cell>
          <cell r="H3310" t="str">
            <v>PRD</v>
          </cell>
          <cell r="I3310" t="str">
            <v>PRD</v>
          </cell>
          <cell r="J3310" t="str">
            <v>SUZUKI WAGON R</v>
          </cell>
          <cell r="K3310" t="str">
            <v>SUZUKI YW0</v>
          </cell>
          <cell r="L3310" t="str">
            <v>PRE ASSY SUZUKI YW0</v>
          </cell>
          <cell r="M3310" t="str">
            <v>MSU-SZK-01, MSY-SZK-01, SS70, DRY-SZK-01</v>
          </cell>
          <cell r="N3310" t="str">
            <v>WFAP 2.2</v>
          </cell>
          <cell r="O3310" t="str">
            <v>A</v>
          </cell>
        </row>
        <row r="3311">
          <cell r="A3311">
            <v>23052</v>
          </cell>
          <cell r="B3311" t="str">
            <v>NAILI SYARIFAH</v>
          </cell>
          <cell r="C3311" t="str">
            <v>SAMI</v>
          </cell>
          <cell r="D3311" t="str">
            <v>OPT-569</v>
          </cell>
          <cell r="E3311">
            <v>43361</v>
          </cell>
          <cell r="F3311">
            <v>43391</v>
          </cell>
          <cell r="G3311">
            <v>43769</v>
          </cell>
          <cell r="H3311" t="str">
            <v>PRD</v>
          </cell>
          <cell r="I3311" t="str">
            <v>PRD</v>
          </cell>
          <cell r="J3311" t="str">
            <v>SUZUKI WAGON R</v>
          </cell>
          <cell r="K3311" t="str">
            <v>SUZUKI YW0</v>
          </cell>
          <cell r="L3311" t="str">
            <v>PRE ASSY SUZUKI YW0</v>
          </cell>
          <cell r="M3311" t="str">
            <v>JM2-SZK-01, 02, 03, 05, JM3-SZK-01</v>
          </cell>
          <cell r="N3311" t="str">
            <v>WFAP 2.2</v>
          </cell>
          <cell r="O3311" t="str">
            <v>A</v>
          </cell>
        </row>
        <row r="3312">
          <cell r="A3312">
            <v>23068</v>
          </cell>
          <cell r="B3312" t="str">
            <v>RIZKI MAFTUKHA</v>
          </cell>
          <cell r="C3312" t="str">
            <v>SAMI</v>
          </cell>
          <cell r="D3312" t="str">
            <v>OPT-569</v>
          </cell>
          <cell r="E3312">
            <v>43361</v>
          </cell>
          <cell r="F3312">
            <v>43391</v>
          </cell>
          <cell r="G3312">
            <v>43769</v>
          </cell>
          <cell r="H3312" t="str">
            <v>PRD</v>
          </cell>
          <cell r="I3312" t="str">
            <v>PRD</v>
          </cell>
          <cell r="J3312" t="str">
            <v>SUZUKI WAGON R</v>
          </cell>
          <cell r="K3312" t="str">
            <v>SUZUKI YW0</v>
          </cell>
          <cell r="L3312" t="str">
            <v>PRE ASSY SUZUKI YW0</v>
          </cell>
          <cell r="M3312" t="str">
            <v>WT</v>
          </cell>
          <cell r="N3312" t="str">
            <v>P/A CONTROLLER</v>
          </cell>
          <cell r="O3312" t="str">
            <v>A</v>
          </cell>
        </row>
        <row r="3313">
          <cell r="A3313">
            <v>23122</v>
          </cell>
          <cell r="B3313" t="str">
            <v>ICHA LAILATUL FITRIYANI</v>
          </cell>
          <cell r="C3313" t="str">
            <v>SAMI</v>
          </cell>
          <cell r="D3313" t="str">
            <v>OPT-570</v>
          </cell>
          <cell r="E3313">
            <v>43369</v>
          </cell>
          <cell r="F3313">
            <v>43399</v>
          </cell>
          <cell r="G3313">
            <v>43769</v>
          </cell>
          <cell r="H3313" t="str">
            <v>PRD</v>
          </cell>
          <cell r="I3313" t="str">
            <v>PRD</v>
          </cell>
          <cell r="J3313" t="str">
            <v>SUZUKI WAGON R</v>
          </cell>
          <cell r="K3313" t="str">
            <v>SUZUKI YW0</v>
          </cell>
          <cell r="L3313" t="str">
            <v>PRE ASSY SUZUKI YW0</v>
          </cell>
          <cell r="M3313" t="str">
            <v>MC2-SZK-04,05</v>
          </cell>
          <cell r="N3313" t="str">
            <v>WFAP 2.2</v>
          </cell>
          <cell r="O3313" t="str">
            <v>A</v>
          </cell>
        </row>
        <row r="3314">
          <cell r="A3314">
            <v>23207</v>
          </cell>
          <cell r="B3314" t="str">
            <v>DEVI MARTIKA</v>
          </cell>
          <cell r="C3314" t="str">
            <v>SAMI</v>
          </cell>
          <cell r="D3314" t="str">
            <v>OPT-573</v>
          </cell>
          <cell r="E3314">
            <v>43421</v>
          </cell>
          <cell r="F3314">
            <v>43451</v>
          </cell>
          <cell r="G3314">
            <v>43830</v>
          </cell>
          <cell r="H3314" t="str">
            <v>PRD</v>
          </cell>
          <cell r="I3314" t="str">
            <v>PRD</v>
          </cell>
          <cell r="J3314" t="str">
            <v>SUZUKI WAGON R</v>
          </cell>
          <cell r="K3314" t="str">
            <v>SUZUKI YW0</v>
          </cell>
          <cell r="L3314" t="str">
            <v>PRE ASSY SUZUKI YW0</v>
          </cell>
          <cell r="M3314" t="str">
            <v>TWS</v>
          </cell>
          <cell r="N3314" t="str">
            <v>WFAP 2.2</v>
          </cell>
          <cell r="O3314" t="str">
            <v>A</v>
          </cell>
        </row>
        <row r="3315">
          <cell r="A3315">
            <v>23405</v>
          </cell>
          <cell r="B3315" t="str">
            <v>DEVY MEILANA LESTARI</v>
          </cell>
          <cell r="C3315" t="str">
            <v>SAMI</v>
          </cell>
          <cell r="D3315" t="str">
            <v>OPT-575</v>
          </cell>
          <cell r="E3315">
            <v>43434</v>
          </cell>
          <cell r="F3315">
            <v>43464</v>
          </cell>
          <cell r="G3315">
            <v>43830</v>
          </cell>
          <cell r="H3315" t="str">
            <v>PRD</v>
          </cell>
          <cell r="I3315" t="str">
            <v>PRD</v>
          </cell>
          <cell r="J3315" t="str">
            <v>SUZUKI WAGON R</v>
          </cell>
          <cell r="K3315" t="str">
            <v>SUZUKI YW0</v>
          </cell>
          <cell r="L3315" t="str">
            <v>PRE ASSY SUZUKI YW0</v>
          </cell>
          <cell r="M3315" t="str">
            <v>OJT JT + MT</v>
          </cell>
          <cell r="N3315" t="str">
            <v>INTERNAL TRIAL</v>
          </cell>
          <cell r="O3315" t="str">
            <v>A</v>
          </cell>
        </row>
        <row r="3316">
          <cell r="A3316">
            <v>23534</v>
          </cell>
          <cell r="B3316" t="str">
            <v>YUNITA TAZA SUCI RAHAYU</v>
          </cell>
          <cell r="C3316" t="str">
            <v>SAMI</v>
          </cell>
          <cell r="D3316" t="str">
            <v>OPT-576</v>
          </cell>
          <cell r="E3316">
            <v>43441</v>
          </cell>
          <cell r="F3316">
            <v>43472</v>
          </cell>
          <cell r="G3316">
            <v>43830</v>
          </cell>
          <cell r="H3316" t="str">
            <v>PRD</v>
          </cell>
          <cell r="I3316" t="str">
            <v>PRD</v>
          </cell>
          <cell r="J3316" t="str">
            <v>SUZUKI WAGON R</v>
          </cell>
          <cell r="K3316" t="str">
            <v>SUZUKI YW0</v>
          </cell>
          <cell r="L3316" t="str">
            <v>PRE ASSY SUZUKI YW0</v>
          </cell>
          <cell r="M3316" t="str">
            <v>OJT KANBAN</v>
          </cell>
          <cell r="N3316" t="str">
            <v>INTERNAL TRIAL</v>
          </cell>
          <cell r="O3316" t="str">
            <v>A</v>
          </cell>
        </row>
        <row r="3317">
          <cell r="A3317" t="str">
            <v>B02497</v>
          </cell>
          <cell r="B3317" t="str">
            <v>ENI MARLINA</v>
          </cell>
          <cell r="C3317" t="str">
            <v>SAMI</v>
          </cell>
          <cell r="D3317" t="str">
            <v>BBF-113</v>
          </cell>
          <cell r="E3317">
            <v>41835</v>
          </cell>
          <cell r="F3317" t="str">
            <v>-</v>
          </cell>
          <cell r="G3317" t="str">
            <v>-</v>
          </cell>
          <cell r="H3317" t="str">
            <v>PRD</v>
          </cell>
          <cell r="I3317" t="str">
            <v>PRD</v>
          </cell>
          <cell r="J3317" t="str">
            <v>SUZUKI WAGON R</v>
          </cell>
          <cell r="K3317" t="str">
            <v>SUZUKI YW0</v>
          </cell>
          <cell r="L3317" t="str">
            <v>PRE ASSY SUZUKI YW0</v>
          </cell>
          <cell r="M3317" t="str">
            <v>BM3-SZK-01,02</v>
          </cell>
          <cell r="N3317" t="str">
            <v>BONDER</v>
          </cell>
          <cell r="O3317" t="str">
            <v>A</v>
          </cell>
        </row>
        <row r="3318">
          <cell r="A3318" t="str">
            <v>M23631</v>
          </cell>
          <cell r="B3318" t="str">
            <v>RIZKIYA LADHIFAH</v>
          </cell>
          <cell r="C3318" t="str">
            <v>SAMI</v>
          </cell>
          <cell r="D3318" t="str">
            <v>OPT-578</v>
          </cell>
          <cell r="E3318">
            <v>43467</v>
          </cell>
          <cell r="F3318">
            <v>43467</v>
          </cell>
          <cell r="G3318">
            <v>43497</v>
          </cell>
          <cell r="H3318" t="str">
            <v>PRD</v>
          </cell>
          <cell r="I3318" t="str">
            <v>PRD</v>
          </cell>
          <cell r="J3318" t="str">
            <v>SUZUKI WAGON R</v>
          </cell>
          <cell r="K3318" t="str">
            <v>SUZUKI YW0</v>
          </cell>
          <cell r="L3318" t="str">
            <v>PRE ASSY SUZUKI YW0</v>
          </cell>
          <cell r="M3318" t="str">
            <v>OJT TWIST</v>
          </cell>
          <cell r="N3318" t="str">
            <v>INTERNAL TRIAL</v>
          </cell>
          <cell r="O3318" t="str">
            <v>A</v>
          </cell>
        </row>
        <row r="3319">
          <cell r="A3319">
            <v>23611</v>
          </cell>
          <cell r="B3319" t="str">
            <v xml:space="preserve">ZIYADATUL AMANAH </v>
          </cell>
          <cell r="C3319" t="str">
            <v>SAMI</v>
          </cell>
          <cell r="D3319" t="str">
            <v>OPT-577</v>
          </cell>
          <cell r="E3319">
            <v>43452</v>
          </cell>
          <cell r="F3319">
            <v>43483</v>
          </cell>
          <cell r="G3319">
            <v>43861</v>
          </cell>
          <cell r="H3319" t="str">
            <v>PRD</v>
          </cell>
          <cell r="I3319" t="str">
            <v>PRD</v>
          </cell>
          <cell r="J3319" t="str">
            <v>SUZUKI WAGON R</v>
          </cell>
          <cell r="K3319" t="str">
            <v>SUZUKI YW0</v>
          </cell>
          <cell r="L3319" t="str">
            <v>PRE ASSY SUZUKI YW0</v>
          </cell>
          <cell r="M3319" t="str">
            <v>OJT TWIST</v>
          </cell>
          <cell r="N3319" t="str">
            <v>INTERNAL TRIAL</v>
          </cell>
          <cell r="O3319" t="str">
            <v>A (NS)</v>
          </cell>
        </row>
        <row r="3320">
          <cell r="A3320">
            <v>5912</v>
          </cell>
          <cell r="B3320" t="str">
            <v>KAMINI</v>
          </cell>
          <cell r="C3320" t="str">
            <v>SAMI</v>
          </cell>
          <cell r="D3320" t="str">
            <v>OPT-137</v>
          </cell>
          <cell r="E3320">
            <v>39129</v>
          </cell>
          <cell r="F3320" t="str">
            <v>-</v>
          </cell>
          <cell r="G3320" t="str">
            <v>-</v>
          </cell>
          <cell r="H3320" t="str">
            <v>PRD</v>
          </cell>
          <cell r="I3320" t="str">
            <v>PRD</v>
          </cell>
          <cell r="J3320" t="str">
            <v>SUZUKI WAGON R</v>
          </cell>
          <cell r="K3320" t="str">
            <v>SUZUKI YW0</v>
          </cell>
          <cell r="L3320" t="str">
            <v>PRE ASSY SUZUKI YW0</v>
          </cell>
          <cell r="M3320" t="str">
            <v>SUB LINE CHO</v>
          </cell>
          <cell r="N3320" t="str">
            <v>GL</v>
          </cell>
          <cell r="O3320" t="str">
            <v>B</v>
          </cell>
        </row>
        <row r="3321">
          <cell r="A3321">
            <v>11546</v>
          </cell>
          <cell r="B3321" t="str">
            <v>ENDAH AYU ANJARWATI</v>
          </cell>
          <cell r="C3321" t="str">
            <v>SAMI</v>
          </cell>
          <cell r="D3321" t="str">
            <v>OPT-307</v>
          </cell>
          <cell r="E3321">
            <v>40707</v>
          </cell>
          <cell r="F3321" t="str">
            <v>-</v>
          </cell>
          <cell r="G3321" t="str">
            <v>-</v>
          </cell>
          <cell r="H3321" t="str">
            <v>PRD</v>
          </cell>
          <cell r="I3321" t="str">
            <v>PRD</v>
          </cell>
          <cell r="J3321" t="str">
            <v>SUZUKI WAGON R</v>
          </cell>
          <cell r="K3321" t="str">
            <v>SUZUKI YW0</v>
          </cell>
          <cell r="L3321" t="str">
            <v>PRE ASSY SUZUKI YW0</v>
          </cell>
          <cell r="M3321" t="str">
            <v>JC2-SZK-01,02,03,05, JM3-SZK-01</v>
          </cell>
          <cell r="N3321" t="str">
            <v>WFAP 2.2</v>
          </cell>
          <cell r="O3321" t="str">
            <v>B</v>
          </cell>
        </row>
        <row r="3322">
          <cell r="A3322">
            <v>20451</v>
          </cell>
          <cell r="B3322" t="str">
            <v>ELI RAHMAWATI</v>
          </cell>
          <cell r="C3322" t="str">
            <v>SAMI</v>
          </cell>
          <cell r="D3322" t="str">
            <v>OPT-504</v>
          </cell>
          <cell r="E3322">
            <v>42634</v>
          </cell>
          <cell r="F3322">
            <v>43132</v>
          </cell>
          <cell r="G3322">
            <v>43496</v>
          </cell>
          <cell r="H3322" t="str">
            <v>PRD</v>
          </cell>
          <cell r="I3322" t="str">
            <v>PRD</v>
          </cell>
          <cell r="J3322" t="str">
            <v>SUZUKI WAGON R</v>
          </cell>
          <cell r="K3322" t="str">
            <v>SUZUKI YW0</v>
          </cell>
          <cell r="L3322" t="str">
            <v>PRE ASSY SUZUKI YW0</v>
          </cell>
          <cell r="M3322" t="str">
            <v>ST22-SZK-01, US-SZK-01, 04</v>
          </cell>
          <cell r="N3322" t="str">
            <v>WFAP 2.1</v>
          </cell>
          <cell r="O3322" t="str">
            <v>B</v>
          </cell>
        </row>
        <row r="3323">
          <cell r="A3323">
            <v>20644</v>
          </cell>
          <cell r="B3323" t="str">
            <v xml:space="preserve">RIZQI SUPRIHATIN </v>
          </cell>
          <cell r="C3323" t="str">
            <v>SAMI</v>
          </cell>
          <cell r="D3323" t="str">
            <v>OPT-505</v>
          </cell>
          <cell r="E3323">
            <v>42639</v>
          </cell>
          <cell r="F3323">
            <v>43132</v>
          </cell>
          <cell r="G3323">
            <v>43496</v>
          </cell>
          <cell r="H3323" t="str">
            <v>PRD</v>
          </cell>
          <cell r="I3323" t="str">
            <v>PRD</v>
          </cell>
          <cell r="J3323" t="str">
            <v>SUZUKI WAGON R</v>
          </cell>
          <cell r="K3323" t="str">
            <v>SUZUKI YW0</v>
          </cell>
          <cell r="L3323" t="str">
            <v>PRE ASSY SUZUKI YW0</v>
          </cell>
          <cell r="M3323" t="str">
            <v>MC2-SZK-01, 02</v>
          </cell>
          <cell r="N3323" t="str">
            <v>WFAP 2.1</v>
          </cell>
          <cell r="O3323" t="str">
            <v>B</v>
          </cell>
        </row>
        <row r="3324">
          <cell r="A3324">
            <v>21020</v>
          </cell>
          <cell r="B3324" t="str">
            <v>NUR KHAYATI</v>
          </cell>
          <cell r="C3324" t="str">
            <v>SAMI</v>
          </cell>
          <cell r="D3324" t="str">
            <v>OPT-515</v>
          </cell>
          <cell r="E3324">
            <v>42702</v>
          </cell>
          <cell r="F3324">
            <v>43191</v>
          </cell>
          <cell r="G3324">
            <v>43555</v>
          </cell>
          <cell r="H3324" t="str">
            <v>PRD</v>
          </cell>
          <cell r="I3324" t="str">
            <v>PRD</v>
          </cell>
          <cell r="J3324" t="str">
            <v>SUZUKI WAGON R</v>
          </cell>
          <cell r="K3324" t="str">
            <v>SUZUKI YW0</v>
          </cell>
          <cell r="L3324" t="str">
            <v>PRE ASSY SUZUKI YW0</v>
          </cell>
          <cell r="M3324" t="str">
            <v>MT-SZK-01, JT-SZK-01 ( DIFABLE )</v>
          </cell>
          <cell r="N3324" t="str">
            <v>WFAP 2.2</v>
          </cell>
          <cell r="O3324" t="str">
            <v>B</v>
          </cell>
        </row>
        <row r="3325">
          <cell r="A3325">
            <v>21293</v>
          </cell>
          <cell r="B3325" t="str">
            <v>ILFA MINATIKA</v>
          </cell>
          <cell r="C3325" t="str">
            <v>SAMI</v>
          </cell>
          <cell r="D3325" t="str">
            <v>OPT-530</v>
          </cell>
          <cell r="E3325">
            <v>43010</v>
          </cell>
          <cell r="F3325">
            <v>43405</v>
          </cell>
          <cell r="G3325">
            <v>43769</v>
          </cell>
          <cell r="H3325" t="str">
            <v>PRD</v>
          </cell>
          <cell r="I3325" t="str">
            <v>PRD</v>
          </cell>
          <cell r="J3325" t="str">
            <v>SUZUKI WAGON R</v>
          </cell>
          <cell r="K3325" t="str">
            <v>SUZUKI YW0</v>
          </cell>
          <cell r="L3325" t="str">
            <v>PRE ASSY SUZUKI YW0</v>
          </cell>
          <cell r="M3325" t="str">
            <v>BM3-SZK-01,02</v>
          </cell>
          <cell r="N3325" t="str">
            <v>BONDER</v>
          </cell>
          <cell r="O3325" t="str">
            <v>B</v>
          </cell>
        </row>
        <row r="3326">
          <cell r="A3326">
            <v>21856</v>
          </cell>
          <cell r="B3326" t="str">
            <v>SRI WAHYUNI</v>
          </cell>
          <cell r="C3326" t="str">
            <v>SAMI</v>
          </cell>
          <cell r="D3326" t="str">
            <v>OPT-541</v>
          </cell>
          <cell r="E3326">
            <v>43098</v>
          </cell>
          <cell r="F3326">
            <v>43129</v>
          </cell>
          <cell r="G3326">
            <v>43496</v>
          </cell>
          <cell r="H3326" t="str">
            <v>PRD</v>
          </cell>
          <cell r="I3326" t="str">
            <v>PRD</v>
          </cell>
          <cell r="J3326" t="str">
            <v>SUZUKI WAGON R</v>
          </cell>
          <cell r="K3326" t="str">
            <v>SUZUKI YW0</v>
          </cell>
          <cell r="L3326" t="str">
            <v>PRE ASSY SUZUKI YW0</v>
          </cell>
          <cell r="M3326" t="str">
            <v>MSU,MSY,SS70-SZK-01</v>
          </cell>
          <cell r="N3326" t="str">
            <v>WFAP 2.2</v>
          </cell>
          <cell r="O3326" t="str">
            <v>B</v>
          </cell>
        </row>
        <row r="3327">
          <cell r="A3327">
            <v>22456</v>
          </cell>
          <cell r="B3327" t="str">
            <v>LUTFI YULIANI</v>
          </cell>
          <cell r="C3327" t="str">
            <v>SAMI</v>
          </cell>
          <cell r="D3327" t="str">
            <v>OPT-559</v>
          </cell>
          <cell r="E3327">
            <v>43220</v>
          </cell>
          <cell r="F3327">
            <v>43250</v>
          </cell>
          <cell r="G3327">
            <v>43616</v>
          </cell>
          <cell r="H3327" t="str">
            <v>PRD</v>
          </cell>
          <cell r="I3327" t="str">
            <v>PRD</v>
          </cell>
          <cell r="J3327" t="str">
            <v>SUZUKI WAGON R</v>
          </cell>
          <cell r="K3327" t="str">
            <v>SUZUKI YW0</v>
          </cell>
          <cell r="L3327" t="str">
            <v>PRE ASSY SUZUKI YW0</v>
          </cell>
          <cell r="M3327" t="str">
            <v>TWS-SZK-01, 02</v>
          </cell>
          <cell r="N3327" t="str">
            <v>WFAP 2.2</v>
          </cell>
          <cell r="O3327" t="str">
            <v>B</v>
          </cell>
        </row>
        <row r="3328">
          <cell r="A3328">
            <v>22565</v>
          </cell>
          <cell r="B3328" t="str">
            <v>SARITA ADHAINI</v>
          </cell>
          <cell r="C3328" t="str">
            <v>SAMI</v>
          </cell>
          <cell r="D3328" t="str">
            <v>OPT-560</v>
          </cell>
          <cell r="E3328">
            <v>43224</v>
          </cell>
          <cell r="F3328">
            <v>43255</v>
          </cell>
          <cell r="G3328">
            <v>43616</v>
          </cell>
          <cell r="H3328" t="str">
            <v>PRD</v>
          </cell>
          <cell r="I3328" t="str">
            <v>PRD</v>
          </cell>
          <cell r="J3328" t="str">
            <v>SUZUKI WAGON R</v>
          </cell>
          <cell r="K3328" t="str">
            <v>SUZUKI YW0</v>
          </cell>
          <cell r="L3328" t="str">
            <v>PRE ASSY SUZUKI YW0</v>
          </cell>
          <cell r="M3328" t="str">
            <v>MC1-SZK-01, 02</v>
          </cell>
          <cell r="N3328" t="str">
            <v>WFAP 2.1</v>
          </cell>
          <cell r="O3328" t="str">
            <v>B</v>
          </cell>
        </row>
        <row r="3329">
          <cell r="A3329">
            <v>22598</v>
          </cell>
          <cell r="B3329" t="str">
            <v>FIA PARWATI</v>
          </cell>
          <cell r="C3329" t="str">
            <v>SAMI</v>
          </cell>
          <cell r="D3329" t="str">
            <v>OPT-561</v>
          </cell>
          <cell r="E3329">
            <v>43236</v>
          </cell>
          <cell r="F3329">
            <v>43267</v>
          </cell>
          <cell r="G3329">
            <v>43646</v>
          </cell>
          <cell r="H3329" t="str">
            <v>PRD</v>
          </cell>
          <cell r="I3329" t="str">
            <v>PRD</v>
          </cell>
          <cell r="J3329" t="str">
            <v>SUZUKI WAGON R</v>
          </cell>
          <cell r="K3329" t="str">
            <v>SUZUKI YW0</v>
          </cell>
          <cell r="L3329" t="str">
            <v>PRE ASSY SUZUKI YW0</v>
          </cell>
          <cell r="M3329" t="str">
            <v>ARR-SZK-01</v>
          </cell>
          <cell r="N3329" t="str">
            <v>WFAP 2.2</v>
          </cell>
          <cell r="O3329" t="str">
            <v>B</v>
          </cell>
        </row>
        <row r="3330">
          <cell r="A3330">
            <v>22632</v>
          </cell>
          <cell r="B3330" t="str">
            <v>TRI MUSTAFIYANI</v>
          </cell>
          <cell r="C3330" t="str">
            <v>SAMI</v>
          </cell>
          <cell r="D3330" t="str">
            <v>OPT-561</v>
          </cell>
          <cell r="E3330">
            <v>43236</v>
          </cell>
          <cell r="F3330">
            <v>43267</v>
          </cell>
          <cell r="G3330">
            <v>43646</v>
          </cell>
          <cell r="H3330" t="str">
            <v>PRD</v>
          </cell>
          <cell r="I3330" t="str">
            <v>PRD</v>
          </cell>
          <cell r="J3330" t="str">
            <v>SUZUKI WAGON R</v>
          </cell>
          <cell r="K3330" t="str">
            <v>SUZUKI YW0</v>
          </cell>
          <cell r="L3330" t="str">
            <v>PRE ASSY SUZUKI YW0</v>
          </cell>
          <cell r="M3330" t="str">
            <v>KANBAN</v>
          </cell>
          <cell r="N3330" t="str">
            <v>P/A CONTROLLER</v>
          </cell>
          <cell r="O3330" t="str">
            <v>B</v>
          </cell>
        </row>
        <row r="3331">
          <cell r="A3331">
            <v>22687</v>
          </cell>
          <cell r="B3331" t="str">
            <v>YUNI OKTAVIANI</v>
          </cell>
          <cell r="C3331" t="str">
            <v>SAMI</v>
          </cell>
          <cell r="D3331" t="str">
            <v>OPT-562</v>
          </cell>
          <cell r="E3331">
            <v>43241</v>
          </cell>
          <cell r="F3331">
            <v>43272</v>
          </cell>
          <cell r="G3331">
            <v>43646</v>
          </cell>
          <cell r="H3331" t="str">
            <v>PRD</v>
          </cell>
          <cell r="I3331" t="str">
            <v>PRD</v>
          </cell>
          <cell r="J3331" t="str">
            <v>SUZUKI WAGON R</v>
          </cell>
          <cell r="K3331" t="str">
            <v>SUZUKI YW0</v>
          </cell>
          <cell r="L3331" t="str">
            <v>PRE ASSY SUZUKI YW0</v>
          </cell>
          <cell r="M3331" t="str">
            <v>WT</v>
          </cell>
          <cell r="N3331" t="str">
            <v>P/A CONTROLLER</v>
          </cell>
          <cell r="O3331" t="str">
            <v>B</v>
          </cell>
        </row>
        <row r="3332">
          <cell r="A3332">
            <v>22728</v>
          </cell>
          <cell r="B3332" t="str">
            <v>DIAH WAHYU FEBRIANTY</v>
          </cell>
          <cell r="C3332" t="str">
            <v>SAMI</v>
          </cell>
          <cell r="D3332" t="str">
            <v>OPT-564</v>
          </cell>
          <cell r="E3332">
            <v>43255</v>
          </cell>
          <cell r="F3332">
            <v>43285</v>
          </cell>
          <cell r="G3332">
            <v>43646</v>
          </cell>
          <cell r="H3332" t="str">
            <v>PRD</v>
          </cell>
          <cell r="I3332" t="str">
            <v>PRD</v>
          </cell>
          <cell r="J3332" t="str">
            <v>SUZUKI WAGON R</v>
          </cell>
          <cell r="K3332" t="str">
            <v>SUZUKI YW0</v>
          </cell>
          <cell r="L3332" t="str">
            <v>PRE ASSY SUZUKI YW0</v>
          </cell>
          <cell r="M3332" t="str">
            <v xml:space="preserve"> INSP PRE ASSY</v>
          </cell>
          <cell r="N3332" t="str">
            <v>P/A INSPECTOR</v>
          </cell>
          <cell r="O3332" t="str">
            <v>B</v>
          </cell>
        </row>
        <row r="3333">
          <cell r="A3333">
            <v>22830</v>
          </cell>
          <cell r="B3333" t="str">
            <v>EVITA SETIANA DEWI</v>
          </cell>
          <cell r="C3333" t="str">
            <v>SAMI</v>
          </cell>
          <cell r="D3333" t="str">
            <v>OPT-567</v>
          </cell>
          <cell r="E3333">
            <v>43333</v>
          </cell>
          <cell r="F3333">
            <v>43364</v>
          </cell>
          <cell r="G3333">
            <v>43738</v>
          </cell>
          <cell r="H3333" t="str">
            <v>PRD</v>
          </cell>
          <cell r="I3333" t="str">
            <v>PRD</v>
          </cell>
          <cell r="J3333" t="str">
            <v>SUZUKI WAGON R</v>
          </cell>
          <cell r="K3333" t="str">
            <v>SUZUKI YW0</v>
          </cell>
          <cell r="L3333" t="str">
            <v>PRE ASSY SUZUKI YW0</v>
          </cell>
          <cell r="M3333" t="str">
            <v>RYC-SZK-01,02</v>
          </cell>
          <cell r="N3333" t="str">
            <v>WFAP 2.2</v>
          </cell>
          <cell r="O3333" t="str">
            <v>B</v>
          </cell>
        </row>
        <row r="3334">
          <cell r="A3334">
            <v>22950</v>
          </cell>
          <cell r="B3334" t="str">
            <v>MAULIDA NUR SAFITRI</v>
          </cell>
          <cell r="C3334" t="str">
            <v>SAMI</v>
          </cell>
          <cell r="D3334" t="str">
            <v>OPT-568</v>
          </cell>
          <cell r="E3334">
            <v>43343</v>
          </cell>
          <cell r="F3334">
            <v>43374</v>
          </cell>
          <cell r="G3334">
            <v>43738</v>
          </cell>
          <cell r="H3334" t="str">
            <v>PRD</v>
          </cell>
          <cell r="I3334" t="str">
            <v>PRD</v>
          </cell>
          <cell r="J3334" t="str">
            <v>SUZUKI WAGON R</v>
          </cell>
          <cell r="K3334" t="str">
            <v>SUZUKI YW0</v>
          </cell>
          <cell r="L3334" t="str">
            <v>PRE ASSY SUZUKI YW0</v>
          </cell>
          <cell r="M3334" t="str">
            <v>MC3-SZK-01, MC2-SZK-03</v>
          </cell>
          <cell r="N3334" t="str">
            <v>WFAP 2.1</v>
          </cell>
          <cell r="O3334" t="str">
            <v>B</v>
          </cell>
        </row>
        <row r="3335">
          <cell r="A3335">
            <v>23208</v>
          </cell>
          <cell r="B3335" t="str">
            <v>DEWI FATMAWATI</v>
          </cell>
          <cell r="C3335" t="str">
            <v>SAMI</v>
          </cell>
          <cell r="D3335" t="str">
            <v>OPT-573</v>
          </cell>
          <cell r="E3335">
            <v>43421</v>
          </cell>
          <cell r="F3335">
            <v>43451</v>
          </cell>
          <cell r="G3335">
            <v>43830</v>
          </cell>
          <cell r="H3335" t="str">
            <v>PRD</v>
          </cell>
          <cell r="I3335" t="str">
            <v>PRD</v>
          </cell>
          <cell r="J3335" t="str">
            <v>SUZUKI WAGON R</v>
          </cell>
          <cell r="K3335" t="str">
            <v>SUZUKI YW0</v>
          </cell>
          <cell r="L3335" t="str">
            <v>PRE ASSY SUZUKI YW0</v>
          </cell>
          <cell r="M3335" t="str">
            <v>MANUAL CRIMPING</v>
          </cell>
          <cell r="N3335" t="str">
            <v>WFAP 2.1</v>
          </cell>
          <cell r="O3335" t="str">
            <v>B</v>
          </cell>
        </row>
        <row r="3336">
          <cell r="A3336">
            <v>23298</v>
          </cell>
          <cell r="B3336" t="str">
            <v>ARI PURWANTI FARISKITIYANI</v>
          </cell>
          <cell r="C3336" t="str">
            <v>SAMI</v>
          </cell>
          <cell r="D3336" t="str">
            <v>OPT-574</v>
          </cell>
          <cell r="E3336">
            <v>43427</v>
          </cell>
          <cell r="F3336">
            <v>43457</v>
          </cell>
          <cell r="G3336">
            <v>43830</v>
          </cell>
          <cell r="H3336" t="str">
            <v>PRD</v>
          </cell>
          <cell r="I3336" t="str">
            <v>PRD</v>
          </cell>
          <cell r="J3336" t="str">
            <v>SUZUKI WAGON R</v>
          </cell>
          <cell r="K3336" t="str">
            <v>SUZUKI YW0</v>
          </cell>
          <cell r="L3336" t="str">
            <v>PRE ASSY SUZUKI YW0</v>
          </cell>
          <cell r="M3336" t="str">
            <v>OJT MC</v>
          </cell>
          <cell r="N3336" t="str">
            <v>INTERNAL TRIAL</v>
          </cell>
          <cell r="O3336" t="str">
            <v>B</v>
          </cell>
        </row>
        <row r="3337">
          <cell r="A3337">
            <v>23301</v>
          </cell>
          <cell r="B3337" t="str">
            <v>BUNIYATI EKA SUCI</v>
          </cell>
          <cell r="C3337" t="str">
            <v>SAMI</v>
          </cell>
          <cell r="D3337" t="str">
            <v>OPT-574</v>
          </cell>
          <cell r="E3337">
            <v>43427</v>
          </cell>
          <cell r="F3337">
            <v>43457</v>
          </cell>
          <cell r="G3337">
            <v>43830</v>
          </cell>
          <cell r="H3337" t="str">
            <v>PRD</v>
          </cell>
          <cell r="I3337" t="str">
            <v>PRD</v>
          </cell>
          <cell r="J3337" t="str">
            <v>SUZUKI WAGON R</v>
          </cell>
          <cell r="K3337" t="str">
            <v>SUZUKI YW0</v>
          </cell>
          <cell r="L3337" t="str">
            <v>PRE ASSY SUZUKI YW0</v>
          </cell>
          <cell r="M3337" t="str">
            <v>OJT JM</v>
          </cell>
          <cell r="N3337" t="str">
            <v>INTERNAL TRIAL</v>
          </cell>
          <cell r="O3337" t="str">
            <v>B</v>
          </cell>
        </row>
        <row r="3338">
          <cell r="A3338">
            <v>23406</v>
          </cell>
          <cell r="B3338" t="str">
            <v>DITA AGUSTIN</v>
          </cell>
          <cell r="C3338" t="str">
            <v>SAMI</v>
          </cell>
          <cell r="D3338" t="str">
            <v>OPT-575</v>
          </cell>
          <cell r="E3338">
            <v>43434</v>
          </cell>
          <cell r="F3338">
            <v>43464</v>
          </cell>
          <cell r="G3338">
            <v>43830</v>
          </cell>
          <cell r="H3338" t="str">
            <v>PRD</v>
          </cell>
          <cell r="I3338" t="str">
            <v>PRD</v>
          </cell>
          <cell r="J3338" t="str">
            <v>SUZUKI WAGON R</v>
          </cell>
          <cell r="K3338" t="str">
            <v>SUZUKI YW0</v>
          </cell>
          <cell r="L3338" t="str">
            <v>PRE ASSY SUZUKI YW0</v>
          </cell>
          <cell r="M3338" t="str">
            <v>OJT MSU , DRY</v>
          </cell>
          <cell r="N3338" t="str">
            <v>INTERNAL TRIAL</v>
          </cell>
          <cell r="O3338" t="str">
            <v>B</v>
          </cell>
        </row>
        <row r="3339">
          <cell r="A3339">
            <v>23535</v>
          </cell>
          <cell r="B3339" t="str">
            <v>ZULIFAH</v>
          </cell>
          <cell r="C3339" t="str">
            <v>SAMI</v>
          </cell>
          <cell r="D3339" t="str">
            <v>OPT-576</v>
          </cell>
          <cell r="E3339">
            <v>43441</v>
          </cell>
          <cell r="F3339">
            <v>43472</v>
          </cell>
          <cell r="G3339">
            <v>43830</v>
          </cell>
          <cell r="H3339" t="str">
            <v>PRD</v>
          </cell>
          <cell r="I3339" t="str">
            <v>PRD</v>
          </cell>
          <cell r="J3339" t="str">
            <v>SUZUKI WAGON R</v>
          </cell>
          <cell r="K3339" t="str">
            <v>SUZUKI YW0</v>
          </cell>
          <cell r="L3339" t="str">
            <v>PRE ASSY SUZUKI YW0</v>
          </cell>
          <cell r="M3339" t="str">
            <v>OJT TWIST</v>
          </cell>
          <cell r="N3339" t="str">
            <v>INTERNAL TRIAL</v>
          </cell>
          <cell r="O3339" t="str">
            <v>B</v>
          </cell>
        </row>
        <row r="3340">
          <cell r="A3340">
            <v>165</v>
          </cell>
          <cell r="B3340" t="str">
            <v>DEWI SETYANINGSIH</v>
          </cell>
          <cell r="C3340" t="str">
            <v>SAMI</v>
          </cell>
          <cell r="D3340" t="str">
            <v>OPT-5</v>
          </cell>
          <cell r="E3340">
            <v>37679</v>
          </cell>
          <cell r="F3340" t="str">
            <v>-</v>
          </cell>
          <cell r="G3340" t="str">
            <v>-</v>
          </cell>
          <cell r="H3340" t="str">
            <v>PRD</v>
          </cell>
          <cell r="I3340" t="str">
            <v>PRD</v>
          </cell>
          <cell r="J3340" t="str">
            <v>HV TOYOTA</v>
          </cell>
          <cell r="K3340" t="str">
            <v>HV TOYOTA</v>
          </cell>
          <cell r="L3340" t="str">
            <v>PRE ASSY TOYOTA HV</v>
          </cell>
          <cell r="M3340" t="str">
            <v>SUB LINE CHO</v>
          </cell>
          <cell r="N3340" t="str">
            <v>GL</v>
          </cell>
          <cell r="O3340" t="str">
            <v>A</v>
          </cell>
        </row>
        <row r="3341">
          <cell r="A3341">
            <v>6364</v>
          </cell>
          <cell r="B3341" t="str">
            <v>ISTIHANAH</v>
          </cell>
          <cell r="C3341" t="str">
            <v>SAMI</v>
          </cell>
          <cell r="D3341" t="str">
            <v>OPT-148</v>
          </cell>
          <cell r="E3341">
            <v>39279</v>
          </cell>
          <cell r="F3341" t="str">
            <v>-</v>
          </cell>
          <cell r="G3341" t="str">
            <v>-</v>
          </cell>
          <cell r="H3341" t="str">
            <v>PRD</v>
          </cell>
          <cell r="I3341" t="str">
            <v>PRD</v>
          </cell>
          <cell r="J3341" t="str">
            <v>HV TOYOTA</v>
          </cell>
          <cell r="K3341" t="str">
            <v>HV TOYOTA</v>
          </cell>
          <cell r="L3341" t="str">
            <v>PRE ASSY TOYOTA HV</v>
          </cell>
          <cell r="M3341" t="str">
            <v>BM3-T-01, US-T-01, ARR-T-01</v>
          </cell>
          <cell r="N3341" t="str">
            <v>BONDER</v>
          </cell>
          <cell r="O3341" t="str">
            <v>A</v>
          </cell>
        </row>
        <row r="3342">
          <cell r="A3342">
            <v>22275</v>
          </cell>
          <cell r="B3342" t="str">
            <v>AFNA ARIFATUL SONIA</v>
          </cell>
          <cell r="C3342" t="str">
            <v>SAMI</v>
          </cell>
          <cell r="D3342" t="str">
            <v>OPT-555</v>
          </cell>
          <cell r="E3342">
            <v>43192</v>
          </cell>
          <cell r="F3342">
            <v>43222</v>
          </cell>
          <cell r="G3342">
            <v>43585</v>
          </cell>
          <cell r="H3342" t="str">
            <v>PRD</v>
          </cell>
          <cell r="I3342" t="str">
            <v>PRD</v>
          </cell>
          <cell r="J3342" t="str">
            <v>HV TOYOTA</v>
          </cell>
          <cell r="K3342" t="str">
            <v>HV TOYOTA</v>
          </cell>
          <cell r="L3342" t="str">
            <v>PRE ASSY TOYOTA HV</v>
          </cell>
          <cell r="M3342" t="str">
            <v>SCH-T-01</v>
          </cell>
          <cell r="N3342" t="str">
            <v>WFAP 2.1</v>
          </cell>
          <cell r="O3342" t="str">
            <v>A</v>
          </cell>
        </row>
        <row r="3343">
          <cell r="A3343">
            <v>22311</v>
          </cell>
          <cell r="B3343" t="str">
            <v>ROKATUN</v>
          </cell>
          <cell r="C3343" t="str">
            <v>SAMI</v>
          </cell>
          <cell r="D3343" t="str">
            <v>OPT-555</v>
          </cell>
          <cell r="E3343">
            <v>43192</v>
          </cell>
          <cell r="F3343">
            <v>43222</v>
          </cell>
          <cell r="G3343">
            <v>43585</v>
          </cell>
          <cell r="H3343" t="str">
            <v>PRD</v>
          </cell>
          <cell r="I3343" t="str">
            <v>PRD</v>
          </cell>
          <cell r="J3343" t="str">
            <v>HV TOYOTA</v>
          </cell>
          <cell r="K3343" t="str">
            <v>HV TOYOTA</v>
          </cell>
          <cell r="L3343" t="str">
            <v>PRE ASSY TOYOTA HV</v>
          </cell>
          <cell r="M3343" t="str">
            <v>MC1-T-05</v>
          </cell>
          <cell r="N3343" t="str">
            <v>WFAP 2.1</v>
          </cell>
          <cell r="O3343" t="str">
            <v>A</v>
          </cell>
        </row>
        <row r="3344">
          <cell r="A3344">
            <v>22566</v>
          </cell>
          <cell r="B3344" t="str">
            <v>SEKAR DEWI</v>
          </cell>
          <cell r="C3344" t="str">
            <v>SAMI</v>
          </cell>
          <cell r="D3344" t="str">
            <v>OPT-560</v>
          </cell>
          <cell r="E3344">
            <v>43224</v>
          </cell>
          <cell r="F3344">
            <v>43255</v>
          </cell>
          <cell r="G3344">
            <v>43616</v>
          </cell>
          <cell r="H3344" t="str">
            <v>PRD</v>
          </cell>
          <cell r="I3344" t="str">
            <v>PRD</v>
          </cell>
          <cell r="J3344" t="str">
            <v>HV TOYOTA</v>
          </cell>
          <cell r="K3344" t="str">
            <v>HV TOYOTA</v>
          </cell>
          <cell r="L3344" t="str">
            <v>PRE ASSY TOYOTA HV</v>
          </cell>
          <cell r="M3344" t="str">
            <v>WT</v>
          </cell>
          <cell r="N3344" t="str">
            <v>P/A CONTROLLER</v>
          </cell>
          <cell r="O3344" t="str">
            <v>A</v>
          </cell>
        </row>
        <row r="3345">
          <cell r="A3345">
            <v>22904</v>
          </cell>
          <cell r="B3345" t="str">
            <v>WULAN HIDAYASARI</v>
          </cell>
          <cell r="C3345" t="str">
            <v>SAMI</v>
          </cell>
          <cell r="D3345" t="str">
            <v>OPT-567</v>
          </cell>
          <cell r="E3345">
            <v>43333</v>
          </cell>
          <cell r="F3345">
            <v>43364</v>
          </cell>
          <cell r="G3345">
            <v>43738</v>
          </cell>
          <cell r="H3345" t="str">
            <v>PRD</v>
          </cell>
          <cell r="I3345" t="str">
            <v>PRD</v>
          </cell>
          <cell r="J3345" t="str">
            <v>HV TOYOTA</v>
          </cell>
          <cell r="K3345" t="str">
            <v>HV TOYOTA</v>
          </cell>
          <cell r="L3345" t="str">
            <v>PRE ASSY TOYOTA HV</v>
          </cell>
          <cell r="M3345" t="str">
            <v>KANBAN</v>
          </cell>
          <cell r="N3345" t="str">
            <v>P/A CONTROLLER</v>
          </cell>
          <cell r="O3345" t="str">
            <v>A</v>
          </cell>
        </row>
        <row r="3346">
          <cell r="A3346">
            <v>23212</v>
          </cell>
          <cell r="B3346" t="str">
            <v xml:space="preserve">DINA YULIANA </v>
          </cell>
          <cell r="C3346" t="str">
            <v>SAMI</v>
          </cell>
          <cell r="D3346" t="str">
            <v>OPT-573</v>
          </cell>
          <cell r="E3346">
            <v>43421</v>
          </cell>
          <cell r="F3346">
            <v>43451</v>
          </cell>
          <cell r="G3346">
            <v>43830</v>
          </cell>
          <cell r="H3346" t="str">
            <v>PRD</v>
          </cell>
          <cell r="I3346" t="str">
            <v>PRD</v>
          </cell>
          <cell r="J3346" t="str">
            <v>HV TOYOTA</v>
          </cell>
          <cell r="K3346" t="str">
            <v>HV TOYOTA</v>
          </cell>
          <cell r="L3346" t="str">
            <v>PRE ASSY TOYOTA HV</v>
          </cell>
          <cell r="M3346" t="str">
            <v>MC1-T-01,04,MC3-T-04</v>
          </cell>
          <cell r="N3346" t="str">
            <v>WFAP 2.1</v>
          </cell>
          <cell r="O3346" t="str">
            <v>A</v>
          </cell>
        </row>
        <row r="3347">
          <cell r="A3347" t="str">
            <v>B01705</v>
          </cell>
          <cell r="B3347" t="str">
            <v>JURIYAH</v>
          </cell>
          <cell r="C3347" t="str">
            <v>SAMI</v>
          </cell>
          <cell r="D3347" t="str">
            <v>BBF-061</v>
          </cell>
          <cell r="E3347">
            <v>41410</v>
          </cell>
          <cell r="F3347" t="str">
            <v>-</v>
          </cell>
          <cell r="G3347" t="str">
            <v>-</v>
          </cell>
          <cell r="H3347" t="str">
            <v>PRD</v>
          </cell>
          <cell r="I3347" t="str">
            <v>PRD</v>
          </cell>
          <cell r="J3347" t="str">
            <v>HV TOYOTA</v>
          </cell>
          <cell r="K3347" t="str">
            <v>HV TOYOTA</v>
          </cell>
          <cell r="L3347" t="str">
            <v>PRE ASSY TOYOTA HV</v>
          </cell>
          <cell r="M3347" t="str">
            <v>DRY-T-01, 02</v>
          </cell>
          <cell r="N3347" t="str">
            <v>WFAP 2.2</v>
          </cell>
          <cell r="O3347" t="str">
            <v>A</v>
          </cell>
        </row>
        <row r="3348">
          <cell r="A3348" t="str">
            <v>M23619</v>
          </cell>
          <cell r="B3348" t="str">
            <v>EVA MAULINASARI</v>
          </cell>
          <cell r="C3348" t="str">
            <v>SAMI</v>
          </cell>
          <cell r="D3348" t="str">
            <v>OPT-578</v>
          </cell>
          <cell r="E3348">
            <v>43467</v>
          </cell>
          <cell r="F3348">
            <v>43467</v>
          </cell>
          <cell r="G3348">
            <v>43497</v>
          </cell>
          <cell r="H3348" t="str">
            <v>PRD</v>
          </cell>
          <cell r="I3348" t="str">
            <v>PRD</v>
          </cell>
          <cell r="J3348" t="str">
            <v>HV TOYOTA</v>
          </cell>
          <cell r="K3348" t="str">
            <v>HV TOYOTA</v>
          </cell>
          <cell r="L3348" t="str">
            <v>PRE ASSY TOYOTA HV</v>
          </cell>
          <cell r="M3348" t="str">
            <v>RYCM</v>
          </cell>
          <cell r="N3348" t="str">
            <v>WFAP 2.2</v>
          </cell>
          <cell r="O3348" t="str">
            <v>A (NS)</v>
          </cell>
        </row>
        <row r="3349">
          <cell r="A3349">
            <v>8899</v>
          </cell>
          <cell r="B3349" t="str">
            <v>ZULITA</v>
          </cell>
          <cell r="C3349" t="str">
            <v>SAMI</v>
          </cell>
          <cell r="D3349" t="str">
            <v>OPT-196</v>
          </cell>
          <cell r="E3349">
            <v>39961</v>
          </cell>
          <cell r="F3349" t="str">
            <v>-</v>
          </cell>
          <cell r="G3349" t="str">
            <v>-</v>
          </cell>
          <cell r="H3349" t="str">
            <v>PRD</v>
          </cell>
          <cell r="I3349" t="str">
            <v>PRD</v>
          </cell>
          <cell r="J3349" t="str">
            <v>HV TOYOTA</v>
          </cell>
          <cell r="K3349" t="str">
            <v>HV TOYOTA</v>
          </cell>
          <cell r="L3349" t="str">
            <v>PRE ASSY TOYOTA HV</v>
          </cell>
          <cell r="M3349" t="str">
            <v>SUB LINE CHO</v>
          </cell>
          <cell r="N3349" t="str">
            <v>GL</v>
          </cell>
          <cell r="O3349" t="str">
            <v>B</v>
          </cell>
        </row>
        <row r="3350">
          <cell r="A3350">
            <v>11006</v>
          </cell>
          <cell r="B3350" t="str">
            <v>INTAN PUSPITA</v>
          </cell>
          <cell r="C3350" t="str">
            <v>SAMI</v>
          </cell>
          <cell r="D3350" t="str">
            <v>OPT-287</v>
          </cell>
          <cell r="E3350">
            <v>40585</v>
          </cell>
          <cell r="F3350" t="str">
            <v>-</v>
          </cell>
          <cell r="G3350" t="str">
            <v>-</v>
          </cell>
          <cell r="H3350" t="str">
            <v>PRD</v>
          </cell>
          <cell r="I3350" t="str">
            <v>PRD</v>
          </cell>
          <cell r="J3350" t="str">
            <v>HV TOYOTA</v>
          </cell>
          <cell r="K3350" t="str">
            <v>HV TOYOTA</v>
          </cell>
          <cell r="L3350" t="str">
            <v>PRE ASSY TOYOTA HV</v>
          </cell>
          <cell r="M3350" t="str">
            <v>BM3-T-01, ARR-T-01, TWS-T-01</v>
          </cell>
          <cell r="N3350" t="str">
            <v>BONDER</v>
          </cell>
          <cell r="O3350" t="str">
            <v>B</v>
          </cell>
        </row>
        <row r="3351">
          <cell r="A3351">
            <v>12113</v>
          </cell>
          <cell r="B3351" t="str">
            <v>LILIK FATULIYAH</v>
          </cell>
          <cell r="C3351" t="str">
            <v>SAMI</v>
          </cell>
          <cell r="D3351" t="str">
            <v>OPT-314</v>
          </cell>
          <cell r="E3351">
            <v>40798</v>
          </cell>
          <cell r="F3351" t="str">
            <v>-</v>
          </cell>
          <cell r="G3351" t="str">
            <v>-</v>
          </cell>
          <cell r="H3351" t="str">
            <v>PRD</v>
          </cell>
          <cell r="I3351" t="str">
            <v>PRD</v>
          </cell>
          <cell r="J3351" t="str">
            <v>HV TOYOTA</v>
          </cell>
          <cell r="K3351" t="str">
            <v>HV TOYOTA</v>
          </cell>
          <cell r="L3351" t="str">
            <v>PRE ASSY TOYOTA HV</v>
          </cell>
          <cell r="M3351" t="str">
            <v>MC1-T-04, 05</v>
          </cell>
          <cell r="N3351" t="str">
            <v>WFAP 2.1</v>
          </cell>
          <cell r="O3351" t="str">
            <v>B</v>
          </cell>
        </row>
        <row r="3352">
          <cell r="A3352">
            <v>17180</v>
          </cell>
          <cell r="B3352" t="str">
            <v>YESSI MAY SHELLA</v>
          </cell>
          <cell r="C3352" t="str">
            <v>SAMI</v>
          </cell>
          <cell r="D3352" t="str">
            <v>OPT-439</v>
          </cell>
          <cell r="E3352">
            <v>41758</v>
          </cell>
          <cell r="F3352" t="str">
            <v>-</v>
          </cell>
          <cell r="G3352" t="str">
            <v>-</v>
          </cell>
          <cell r="H3352" t="str">
            <v>PRD</v>
          </cell>
          <cell r="I3352" t="str">
            <v>PRD</v>
          </cell>
          <cell r="J3352" t="str">
            <v>HV TOYOTA</v>
          </cell>
          <cell r="K3352" t="str">
            <v>HV TOYOTA</v>
          </cell>
          <cell r="L3352" t="str">
            <v>PRE ASSY TOYOTA HV</v>
          </cell>
          <cell r="M3352" t="str">
            <v>MC1-T-02, 01, 03</v>
          </cell>
          <cell r="N3352" t="str">
            <v>WFAP 2.1</v>
          </cell>
          <cell r="O3352" t="str">
            <v>B</v>
          </cell>
        </row>
        <row r="3353">
          <cell r="A3353">
            <v>21798</v>
          </cell>
          <cell r="B3353" t="str">
            <v>SITI ROCHANAH</v>
          </cell>
          <cell r="C3353" t="str">
            <v>SAMI</v>
          </cell>
          <cell r="D3353" t="str">
            <v>OPT-540</v>
          </cell>
          <cell r="E3353">
            <v>43090</v>
          </cell>
          <cell r="F3353">
            <v>43121</v>
          </cell>
          <cell r="G3353">
            <v>43496</v>
          </cell>
          <cell r="H3353" t="str">
            <v>PRD</v>
          </cell>
          <cell r="I3353" t="str">
            <v>PRD</v>
          </cell>
          <cell r="J3353" t="str">
            <v>HV TOYOTA</v>
          </cell>
          <cell r="K3353" t="str">
            <v>HV TOYOTA</v>
          </cell>
          <cell r="L3353" t="str">
            <v>PRE ASSY TOYOTA HV</v>
          </cell>
          <cell r="M3353" t="str">
            <v>RYC-TAC-01</v>
          </cell>
          <cell r="N3353" t="str">
            <v>WFAP 2.2</v>
          </cell>
          <cell r="O3353" t="str">
            <v>B</v>
          </cell>
        </row>
        <row r="3354">
          <cell r="A3354">
            <v>23136</v>
          </cell>
          <cell r="B3354" t="str">
            <v>MELLY ISTIANI</v>
          </cell>
          <cell r="C3354" t="str">
            <v>SAMI</v>
          </cell>
          <cell r="D3354" t="str">
            <v>OPT-570</v>
          </cell>
          <cell r="E3354">
            <v>43369</v>
          </cell>
          <cell r="F3354">
            <v>43399</v>
          </cell>
          <cell r="G3354">
            <v>43769</v>
          </cell>
          <cell r="H3354" t="str">
            <v>PRD</v>
          </cell>
          <cell r="I3354" t="str">
            <v>PRD</v>
          </cell>
          <cell r="J3354" t="str">
            <v>HV TOYOTA</v>
          </cell>
          <cell r="K3354" t="str">
            <v>HV TOYOTA</v>
          </cell>
          <cell r="L3354" t="str">
            <v>PRE ASSY TOYOTA HV</v>
          </cell>
          <cell r="M3354" t="str">
            <v>KANBAN</v>
          </cell>
          <cell r="N3354" t="str">
            <v>P/A CONTROLLER</v>
          </cell>
          <cell r="O3354" t="str">
            <v>B</v>
          </cell>
        </row>
        <row r="3355">
          <cell r="A3355">
            <v>23195</v>
          </cell>
          <cell r="B3355" t="str">
            <v>ANADIA AYU NURUL HIDAYAH</v>
          </cell>
          <cell r="C3355" t="str">
            <v>SAMI</v>
          </cell>
          <cell r="D3355" t="str">
            <v>OPT-573</v>
          </cell>
          <cell r="E3355">
            <v>43421</v>
          </cell>
          <cell r="F3355">
            <v>43451</v>
          </cell>
          <cell r="G3355">
            <v>43830</v>
          </cell>
          <cell r="H3355" t="str">
            <v>PRD</v>
          </cell>
          <cell r="I3355" t="str">
            <v>PRD</v>
          </cell>
          <cell r="J3355" t="str">
            <v>HV TOYOTA</v>
          </cell>
          <cell r="K3355" t="str">
            <v>HV TOYOTA</v>
          </cell>
          <cell r="L3355" t="str">
            <v>PRE ASSY TOYOTA HV</v>
          </cell>
          <cell r="M3355" t="str">
            <v>WT</v>
          </cell>
          <cell r="N3355" t="str">
            <v>P/A CONTROLLER</v>
          </cell>
          <cell r="O3355" t="str">
            <v>B</v>
          </cell>
        </row>
        <row r="3356">
          <cell r="A3356">
            <v>23264</v>
          </cell>
          <cell r="B3356" t="str">
            <v>SABILLA SITI MASULLA</v>
          </cell>
          <cell r="C3356" t="str">
            <v>SAMI</v>
          </cell>
          <cell r="D3356" t="str">
            <v>OPT-573</v>
          </cell>
          <cell r="E3356">
            <v>43421</v>
          </cell>
          <cell r="F3356">
            <v>43451</v>
          </cell>
          <cell r="G3356">
            <v>43830</v>
          </cell>
          <cell r="H3356" t="str">
            <v>PRD</v>
          </cell>
          <cell r="I3356" t="str">
            <v>PRD</v>
          </cell>
          <cell r="J3356" t="str">
            <v>HV TOYOTA</v>
          </cell>
          <cell r="K3356" t="str">
            <v>HV TOYOTA</v>
          </cell>
          <cell r="L3356" t="str">
            <v>PRE ASSY TOYOTA HV</v>
          </cell>
          <cell r="M3356" t="str">
            <v>ASCH-T-01, DRY-T-01,02</v>
          </cell>
          <cell r="N3356" t="str">
            <v>CUTTING WIRE</v>
          </cell>
          <cell r="O3356" t="str">
            <v>B</v>
          </cell>
        </row>
        <row r="3357">
          <cell r="A3357">
            <v>23419</v>
          </cell>
          <cell r="B3357" t="str">
            <v>HAWANING TYAS</v>
          </cell>
          <cell r="C3357" t="str">
            <v>SAMI</v>
          </cell>
          <cell r="D3357" t="str">
            <v>OPT-575</v>
          </cell>
          <cell r="E3357">
            <v>43434</v>
          </cell>
          <cell r="F3357">
            <v>43464</v>
          </cell>
          <cell r="G3357">
            <v>43830</v>
          </cell>
          <cell r="H3357" t="str">
            <v>PRD</v>
          </cell>
          <cell r="I3357" t="str">
            <v>PRD</v>
          </cell>
          <cell r="J3357" t="str">
            <v>HV TOYOTA</v>
          </cell>
          <cell r="K3357" t="str">
            <v>HV TOYOTA</v>
          </cell>
          <cell r="L3357" t="str">
            <v>PRE ASSY TOYOTA HV</v>
          </cell>
          <cell r="M3357" t="str">
            <v>OJT MC</v>
          </cell>
          <cell r="N3357" t="str">
            <v>INTERNAL TRIAL</v>
          </cell>
          <cell r="O3357" t="str">
            <v>B</v>
          </cell>
        </row>
        <row r="3358">
          <cell r="A3358">
            <v>23500</v>
          </cell>
          <cell r="B3358" t="str">
            <v>ERNA TRI PRAHASTI</v>
          </cell>
          <cell r="C3358" t="str">
            <v>SAMI</v>
          </cell>
          <cell r="D3358" t="str">
            <v>OPT-576</v>
          </cell>
          <cell r="E3358">
            <v>43441</v>
          </cell>
          <cell r="F3358">
            <v>43472</v>
          </cell>
          <cell r="G3358">
            <v>43830</v>
          </cell>
          <cell r="H3358" t="str">
            <v>PRD</v>
          </cell>
          <cell r="I3358" t="str">
            <v>PRD</v>
          </cell>
          <cell r="J3358" t="str">
            <v>HV TOYOTA</v>
          </cell>
          <cell r="K3358" t="str">
            <v>HV TOYOTA</v>
          </cell>
          <cell r="L3358" t="str">
            <v>PRE ASSY TOYOTA HV</v>
          </cell>
          <cell r="M3358" t="str">
            <v>OJT</v>
          </cell>
          <cell r="N3358" t="str">
            <v>INTERNAL TRIAL</v>
          </cell>
          <cell r="O3358" t="str">
            <v>B</v>
          </cell>
        </row>
        <row r="3359">
          <cell r="A3359" t="str">
            <v>B00329</v>
          </cell>
          <cell r="B3359" t="str">
            <v>PUJI LESTARI</v>
          </cell>
          <cell r="C3359" t="str">
            <v>SAMI</v>
          </cell>
          <cell r="D3359" t="str">
            <v>BBF-005</v>
          </cell>
          <cell r="E3359">
            <v>40854</v>
          </cell>
          <cell r="F3359" t="str">
            <v>-</v>
          </cell>
          <cell r="G3359" t="str">
            <v>-</v>
          </cell>
          <cell r="H3359" t="str">
            <v>PRD</v>
          </cell>
          <cell r="I3359" t="str">
            <v>PRD</v>
          </cell>
          <cell r="J3359" t="str">
            <v>HV TOYOTA</v>
          </cell>
          <cell r="K3359" t="str">
            <v>HV TOYOTA</v>
          </cell>
          <cell r="L3359" t="str">
            <v>PRE ASSY TOYOTA HV</v>
          </cell>
          <cell r="M3359" t="str">
            <v>PEMOTONG AMIZEN, RYC-T-01</v>
          </cell>
          <cell r="N3359" t="str">
            <v>WFAP 2.2</v>
          </cell>
          <cell r="O3359" t="str">
            <v>B</v>
          </cell>
        </row>
        <row r="3360">
          <cell r="A3360">
            <v>22443</v>
          </cell>
          <cell r="B3360" t="str">
            <v>AINULLIVIA SEPTIANI</v>
          </cell>
          <cell r="C3360" t="str">
            <v>SAMI</v>
          </cell>
          <cell r="D3360" t="str">
            <v>OPT-559</v>
          </cell>
          <cell r="E3360">
            <v>43220</v>
          </cell>
          <cell r="F3360">
            <v>43250</v>
          </cell>
          <cell r="G3360">
            <v>43616</v>
          </cell>
          <cell r="H3360" t="str">
            <v>PRD</v>
          </cell>
          <cell r="I3360" t="str">
            <v>PRD</v>
          </cell>
          <cell r="J3360" t="str">
            <v>HV TOYOTA</v>
          </cell>
          <cell r="K3360" t="str">
            <v>HV TOYOTA</v>
          </cell>
          <cell r="L3360" t="str">
            <v>PRE ASSY TOYOTA PRIUS</v>
          </cell>
          <cell r="M3360" t="str">
            <v>TWS-T-01</v>
          </cell>
          <cell r="N3360" t="str">
            <v>WFAP 2.2</v>
          </cell>
          <cell r="O3360" t="str">
            <v>A</v>
          </cell>
        </row>
        <row r="3361">
          <cell r="A3361">
            <v>22954</v>
          </cell>
          <cell r="B3361" t="str">
            <v>MONICA ADELIANI</v>
          </cell>
          <cell r="C3361" t="str">
            <v>SAMI</v>
          </cell>
          <cell r="D3361" t="str">
            <v>OPT-568</v>
          </cell>
          <cell r="E3361">
            <v>43343</v>
          </cell>
          <cell r="F3361">
            <v>43374</v>
          </cell>
          <cell r="G3361">
            <v>43738</v>
          </cell>
          <cell r="H3361" t="str">
            <v>PRD</v>
          </cell>
          <cell r="I3361" t="str">
            <v>PRD</v>
          </cell>
          <cell r="J3361" t="str">
            <v>HV TOYOTA</v>
          </cell>
          <cell r="K3361" t="str">
            <v>HV TOYOTA</v>
          </cell>
          <cell r="L3361" t="str">
            <v>PRE ASSY TOYOTA PRIUS</v>
          </cell>
          <cell r="M3361" t="str">
            <v xml:space="preserve">MC2-T-01 </v>
          </cell>
          <cell r="N3361" t="str">
            <v>WFAP 2.1</v>
          </cell>
          <cell r="O3361" t="str">
            <v>A</v>
          </cell>
        </row>
        <row r="3362">
          <cell r="A3362">
            <v>23288</v>
          </cell>
          <cell r="B3362" t="str">
            <v>ZIDNI ILMA SAFITRI</v>
          </cell>
          <cell r="C3362" t="str">
            <v>SAMI</v>
          </cell>
          <cell r="D3362" t="str">
            <v>OPT-573</v>
          </cell>
          <cell r="E3362">
            <v>43421</v>
          </cell>
          <cell r="F3362">
            <v>43451</v>
          </cell>
          <cell r="G3362">
            <v>43830</v>
          </cell>
          <cell r="H3362" t="str">
            <v>PRD</v>
          </cell>
          <cell r="I3362" t="str">
            <v>PRD</v>
          </cell>
          <cell r="J3362" t="str">
            <v>HV TOYOTA</v>
          </cell>
          <cell r="K3362" t="str">
            <v>HV TOYOTA</v>
          </cell>
          <cell r="L3362" t="str">
            <v>PRE ASSY TOYOTA PRIUS</v>
          </cell>
          <cell r="M3362" t="str">
            <v>MC1-T-06</v>
          </cell>
          <cell r="N3362" t="str">
            <v>WFAP 2.1</v>
          </cell>
          <cell r="O3362" t="str">
            <v>A</v>
          </cell>
        </row>
        <row r="3363">
          <cell r="A3363">
            <v>23294</v>
          </cell>
          <cell r="B3363" t="str">
            <v>AMINATUL LAILIYAH</v>
          </cell>
          <cell r="C3363" t="str">
            <v>SAMI</v>
          </cell>
          <cell r="D3363" t="str">
            <v>OPT-574</v>
          </cell>
          <cell r="E3363">
            <v>43427</v>
          </cell>
          <cell r="F3363">
            <v>43457</v>
          </cell>
          <cell r="G3363">
            <v>43830</v>
          </cell>
          <cell r="H3363" t="str">
            <v>PRD</v>
          </cell>
          <cell r="I3363" t="str">
            <v>PRD</v>
          </cell>
          <cell r="J3363" t="str">
            <v>HV TOYOTA</v>
          </cell>
          <cell r="K3363" t="str">
            <v>HV TOYOTA</v>
          </cell>
          <cell r="L3363" t="str">
            <v>PRE ASSY TOYOTA PRIUS</v>
          </cell>
          <cell r="M3363" t="str">
            <v xml:space="preserve"> KANBAN</v>
          </cell>
          <cell r="N3363" t="str">
            <v>P/A CONTROLLER</v>
          </cell>
          <cell r="O3363" t="str">
            <v>A</v>
          </cell>
        </row>
        <row r="3364">
          <cell r="A3364">
            <v>23344</v>
          </cell>
          <cell r="B3364" t="str">
            <v>NUR HIDAYAH</v>
          </cell>
          <cell r="C3364" t="str">
            <v>SAMI</v>
          </cell>
          <cell r="D3364" t="str">
            <v>OPT-574</v>
          </cell>
          <cell r="E3364">
            <v>43427</v>
          </cell>
          <cell r="F3364">
            <v>43457</v>
          </cell>
          <cell r="G3364">
            <v>43830</v>
          </cell>
          <cell r="H3364" t="str">
            <v>PRD</v>
          </cell>
          <cell r="I3364" t="str">
            <v>PRD</v>
          </cell>
          <cell r="J3364" t="str">
            <v>HV TOYOTA</v>
          </cell>
          <cell r="K3364" t="str">
            <v>HV TOYOTA</v>
          </cell>
          <cell r="L3364" t="str">
            <v>PRE ASSY TOYOTA PRIUS</v>
          </cell>
          <cell r="M3364" t="str">
            <v xml:space="preserve"> WT</v>
          </cell>
          <cell r="N3364" t="str">
            <v>P/A CONTROLLER</v>
          </cell>
          <cell r="O3364" t="str">
            <v>A</v>
          </cell>
        </row>
        <row r="3365">
          <cell r="A3365">
            <v>23374</v>
          </cell>
          <cell r="B3365" t="str">
            <v>ULFI LAELI MUFLIKHAH</v>
          </cell>
          <cell r="C3365" t="str">
            <v>SAMI</v>
          </cell>
          <cell r="D3365" t="str">
            <v>OPT-574</v>
          </cell>
          <cell r="E3365">
            <v>43427</v>
          </cell>
          <cell r="F3365">
            <v>43457</v>
          </cell>
          <cell r="G3365">
            <v>43830</v>
          </cell>
          <cell r="H3365" t="str">
            <v>PRD</v>
          </cell>
          <cell r="I3365" t="str">
            <v>PRD</v>
          </cell>
          <cell r="J3365" t="str">
            <v>HV TOYOTA</v>
          </cell>
          <cell r="K3365" t="str">
            <v>HV TOYOTA</v>
          </cell>
          <cell r="L3365" t="str">
            <v>PRE ASSY TOYOTA PRIUS</v>
          </cell>
          <cell r="M3365" t="str">
            <v>MC1-T-06</v>
          </cell>
          <cell r="N3365" t="str">
            <v>WFAP 2.1</v>
          </cell>
          <cell r="O3365" t="str">
            <v>A</v>
          </cell>
        </row>
        <row r="3366">
          <cell r="A3366">
            <v>21927</v>
          </cell>
          <cell r="B3366" t="str">
            <v>TRI HARYATI</v>
          </cell>
          <cell r="C3366" t="str">
            <v>SAMI</v>
          </cell>
          <cell r="D3366" t="str">
            <v>OPT-543</v>
          </cell>
          <cell r="E3366">
            <v>43108</v>
          </cell>
          <cell r="F3366">
            <v>43139</v>
          </cell>
          <cell r="G3366">
            <v>43496</v>
          </cell>
          <cell r="H3366" t="str">
            <v>PRD</v>
          </cell>
          <cell r="I3366" t="str">
            <v>PRD</v>
          </cell>
          <cell r="J3366" t="str">
            <v>HV TOYOTA</v>
          </cell>
          <cell r="K3366" t="str">
            <v>HV TOYOTA</v>
          </cell>
          <cell r="L3366" t="str">
            <v>PRE ASSY TOYOTA PRIUS</v>
          </cell>
          <cell r="M3366" t="str">
            <v>INSP CUTTING</v>
          </cell>
          <cell r="N3366" t="str">
            <v>P/A INSPECTOR</v>
          </cell>
          <cell r="O3366" t="str">
            <v>B</v>
          </cell>
        </row>
        <row r="3367">
          <cell r="A3367">
            <v>23001</v>
          </cell>
          <cell r="B3367" t="str">
            <v>DANA KUMALA PRAMIS SHELLA</v>
          </cell>
          <cell r="C3367" t="str">
            <v>SAMI</v>
          </cell>
          <cell r="D3367" t="str">
            <v>OPT-569</v>
          </cell>
          <cell r="E3367">
            <v>43361</v>
          </cell>
          <cell r="F3367">
            <v>43391</v>
          </cell>
          <cell r="G3367">
            <v>43769</v>
          </cell>
          <cell r="H3367" t="str">
            <v>PRD</v>
          </cell>
          <cell r="I3367" t="str">
            <v>PRD</v>
          </cell>
          <cell r="J3367" t="str">
            <v>HV TOYOTA</v>
          </cell>
          <cell r="K3367" t="str">
            <v>HV TOYOTA</v>
          </cell>
          <cell r="L3367" t="str">
            <v>PRE ASSY TOYOTA PRIUS</v>
          </cell>
          <cell r="M3367" t="str">
            <v>MC2-T-01, US-T-03</v>
          </cell>
          <cell r="N3367" t="str">
            <v>WFAP 2.1</v>
          </cell>
          <cell r="O3367" t="str">
            <v>B</v>
          </cell>
        </row>
        <row r="3368">
          <cell r="A3368">
            <v>23135</v>
          </cell>
          <cell r="B3368" t="str">
            <v>MEI SAPUTRI DIANA</v>
          </cell>
          <cell r="C3368" t="str">
            <v>SAMI</v>
          </cell>
          <cell r="D3368" t="str">
            <v>OPT-570</v>
          </cell>
          <cell r="E3368">
            <v>43369</v>
          </cell>
          <cell r="F3368">
            <v>43399</v>
          </cell>
          <cell r="G3368">
            <v>43769</v>
          </cell>
          <cell r="H3368" t="str">
            <v>PRD</v>
          </cell>
          <cell r="I3368" t="str">
            <v>PRD</v>
          </cell>
          <cell r="J3368" t="str">
            <v>HV TOYOTA</v>
          </cell>
          <cell r="K3368" t="str">
            <v>HV TOYOTA</v>
          </cell>
          <cell r="L3368" t="str">
            <v>PRE ASSY TOYOTA PRIUS</v>
          </cell>
          <cell r="M3368" t="str">
            <v>WT , KANBAN</v>
          </cell>
          <cell r="N3368" t="str">
            <v>P/A CONTROLLER</v>
          </cell>
          <cell r="O3368" t="str">
            <v>B</v>
          </cell>
        </row>
        <row r="3369">
          <cell r="A3369">
            <v>23376</v>
          </cell>
          <cell r="B3369" t="str">
            <v>UMMI HANI IDDA MURNIASIH</v>
          </cell>
          <cell r="C3369" t="str">
            <v>SAMI</v>
          </cell>
          <cell r="D3369" t="str">
            <v>OPT-574</v>
          </cell>
          <cell r="E3369">
            <v>43427</v>
          </cell>
          <cell r="F3369">
            <v>43457</v>
          </cell>
          <cell r="G3369">
            <v>43830</v>
          </cell>
          <cell r="H3369" t="str">
            <v>PRD</v>
          </cell>
          <cell r="I3369" t="str">
            <v>PRD</v>
          </cell>
          <cell r="J3369" t="str">
            <v>HV TOYOTA</v>
          </cell>
          <cell r="K3369" t="str">
            <v>HV TOYOTA</v>
          </cell>
          <cell r="L3369" t="str">
            <v>PRE ASSY TOYOTA PRIUS</v>
          </cell>
          <cell r="M3369" t="str">
            <v>WT,KANBAN</v>
          </cell>
          <cell r="N3369" t="str">
            <v>P/A CONTROLLER</v>
          </cell>
          <cell r="O3369" t="str">
            <v>B</v>
          </cell>
        </row>
        <row r="3370">
          <cell r="A3370">
            <v>23377</v>
          </cell>
          <cell r="B3370" t="str">
            <v>VERA MABRUROH</v>
          </cell>
          <cell r="C3370" t="str">
            <v>SAMI</v>
          </cell>
          <cell r="D3370" t="str">
            <v>OPT-574</v>
          </cell>
          <cell r="E3370">
            <v>43427</v>
          </cell>
          <cell r="F3370">
            <v>43457</v>
          </cell>
          <cell r="G3370">
            <v>43830</v>
          </cell>
          <cell r="H3370" t="str">
            <v>PRD</v>
          </cell>
          <cell r="I3370" t="str">
            <v>PRD</v>
          </cell>
          <cell r="J3370" t="str">
            <v>HV TOYOTA</v>
          </cell>
          <cell r="K3370" t="str">
            <v>HV TOYOTA</v>
          </cell>
          <cell r="L3370" t="str">
            <v>PRE ASSY TOYOTA PRIUS</v>
          </cell>
          <cell r="M3370" t="str">
            <v>TWS</v>
          </cell>
          <cell r="N3370" t="str">
            <v>WFAP 2.2</v>
          </cell>
          <cell r="O3370" t="str">
            <v>B</v>
          </cell>
        </row>
        <row r="3371">
          <cell r="A3371">
            <v>23379</v>
          </cell>
          <cell r="B3371" t="str">
            <v>VIVI NOVIA</v>
          </cell>
          <cell r="C3371" t="str">
            <v>SAMI</v>
          </cell>
          <cell r="D3371" t="str">
            <v>OPT-574</v>
          </cell>
          <cell r="E3371">
            <v>43427</v>
          </cell>
          <cell r="F3371">
            <v>43457</v>
          </cell>
          <cell r="G3371">
            <v>43830</v>
          </cell>
          <cell r="H3371" t="str">
            <v>PRD</v>
          </cell>
          <cell r="I3371" t="str">
            <v>PRD</v>
          </cell>
          <cell r="J3371" t="str">
            <v>HV TOYOTA</v>
          </cell>
          <cell r="K3371" t="str">
            <v>HV TOYOTA</v>
          </cell>
          <cell r="L3371" t="str">
            <v>PRE ASSY TOYOTA PRIUS</v>
          </cell>
          <cell r="M3371" t="str">
            <v>UST-03</v>
          </cell>
          <cell r="N3371" t="str">
            <v>WFAP 2.1</v>
          </cell>
          <cell r="O3371" t="str">
            <v>B</v>
          </cell>
        </row>
        <row r="3372">
          <cell r="A3372">
            <v>23387</v>
          </cell>
          <cell r="B3372" t="str">
            <v>YUNI DIAH ASTUTI</v>
          </cell>
          <cell r="C3372" t="str">
            <v>SAMI</v>
          </cell>
          <cell r="D3372" t="str">
            <v>OPT-574</v>
          </cell>
          <cell r="E3372">
            <v>43427</v>
          </cell>
          <cell r="F3372">
            <v>43457</v>
          </cell>
          <cell r="G3372">
            <v>43830</v>
          </cell>
          <cell r="H3372" t="str">
            <v>PRD</v>
          </cell>
          <cell r="I3372" t="str">
            <v>PRD</v>
          </cell>
          <cell r="J3372" t="str">
            <v>HV TOYOTA</v>
          </cell>
          <cell r="K3372" t="str">
            <v>HV TOYOTA</v>
          </cell>
          <cell r="L3372" t="str">
            <v>PRE ASSY TOYOTA PRIUS</v>
          </cell>
          <cell r="M3372" t="str">
            <v>MC1-T-06</v>
          </cell>
          <cell r="N3372" t="str">
            <v>WFAP 2.1</v>
          </cell>
          <cell r="O3372" t="str">
            <v>B</v>
          </cell>
        </row>
        <row r="3373">
          <cell r="A3373">
            <v>9486</v>
          </cell>
          <cell r="B3373" t="str">
            <v>WINDARWATI ZURIYANTI</v>
          </cell>
          <cell r="C3373" t="str">
            <v>SAMI</v>
          </cell>
          <cell r="D3373" t="str">
            <v>OPT-216</v>
          </cell>
          <cell r="E3373">
            <v>40148</v>
          </cell>
          <cell r="F3373" t="str">
            <v>-</v>
          </cell>
          <cell r="G3373" t="str">
            <v>-</v>
          </cell>
          <cell r="H3373" t="str">
            <v>PRD</v>
          </cell>
          <cell r="I3373" t="str">
            <v>PRD</v>
          </cell>
          <cell r="J3373" t="str">
            <v>ALL</v>
          </cell>
          <cell r="K3373" t="str">
            <v>ALL</v>
          </cell>
          <cell r="L3373" t="str">
            <v>PREGNANT LINE</v>
          </cell>
          <cell r="M3373" t="str">
            <v>INSERT PLUG</v>
          </cell>
          <cell r="N3373" t="str">
            <v>PREGNANT LINE</v>
          </cell>
          <cell r="O3373" t="str">
            <v>A (NS)</v>
          </cell>
        </row>
        <row r="3374">
          <cell r="A3374">
            <v>9898</v>
          </cell>
          <cell r="B3374" t="str">
            <v>MURINA MUKTI SIAMI</v>
          </cell>
          <cell r="C3374" t="str">
            <v>SAMI</v>
          </cell>
          <cell r="D3374" t="str">
            <v>OPT-244</v>
          </cell>
          <cell r="E3374">
            <v>40424</v>
          </cell>
          <cell r="F3374" t="str">
            <v>-</v>
          </cell>
          <cell r="G3374" t="str">
            <v>-</v>
          </cell>
          <cell r="H3374" t="str">
            <v>PRD</v>
          </cell>
          <cell r="I3374" t="str">
            <v>PRD</v>
          </cell>
          <cell r="J3374" t="str">
            <v>ALL</v>
          </cell>
          <cell r="K3374" t="str">
            <v>ALL</v>
          </cell>
          <cell r="L3374" t="str">
            <v>PREGNANT LINE</v>
          </cell>
          <cell r="M3374" t="str">
            <v>INSERT PLUG</v>
          </cell>
          <cell r="N3374" t="str">
            <v>PREGNANT LINE</v>
          </cell>
          <cell r="O3374" t="str">
            <v>A (NS)</v>
          </cell>
        </row>
        <row r="3375">
          <cell r="A3375">
            <v>9961</v>
          </cell>
          <cell r="B3375" t="str">
            <v>RISTI IKA SARI</v>
          </cell>
          <cell r="C3375" t="str">
            <v>SAMI</v>
          </cell>
          <cell r="D3375" t="str">
            <v>OPT-246</v>
          </cell>
          <cell r="E3375">
            <v>40431</v>
          </cell>
          <cell r="F3375" t="str">
            <v>-</v>
          </cell>
          <cell r="G3375" t="str">
            <v>-</v>
          </cell>
          <cell r="H3375" t="str">
            <v>PRD</v>
          </cell>
          <cell r="I3375" t="str">
            <v>PRD</v>
          </cell>
          <cell r="J3375" t="str">
            <v>ALL</v>
          </cell>
          <cell r="K3375" t="str">
            <v>ALL</v>
          </cell>
          <cell r="L3375" t="str">
            <v>PREGNANT LINE</v>
          </cell>
          <cell r="M3375" t="str">
            <v>INSERT PLUG</v>
          </cell>
          <cell r="N3375" t="str">
            <v>PREGNANT LINE</v>
          </cell>
          <cell r="O3375" t="str">
            <v>A (NS)</v>
          </cell>
        </row>
        <row r="3376">
          <cell r="A3376">
            <v>10523</v>
          </cell>
          <cell r="B3376" t="str">
            <v>RIA LESTARINA</v>
          </cell>
          <cell r="C3376" t="str">
            <v>SAMI</v>
          </cell>
          <cell r="D3376" t="str">
            <v>OPT-273</v>
          </cell>
          <cell r="E3376">
            <v>40535</v>
          </cell>
          <cell r="F3376" t="str">
            <v>-</v>
          </cell>
          <cell r="G3376" t="str">
            <v>-</v>
          </cell>
          <cell r="H3376" t="str">
            <v>PRD</v>
          </cell>
          <cell r="I3376" t="str">
            <v>PRD</v>
          </cell>
          <cell r="J3376" t="str">
            <v>ALL</v>
          </cell>
          <cell r="K3376" t="str">
            <v>ALL</v>
          </cell>
          <cell r="L3376" t="str">
            <v>PREGNANT LINE</v>
          </cell>
          <cell r="M3376" t="str">
            <v>INSERT PLUG</v>
          </cell>
          <cell r="N3376" t="str">
            <v>PREGNANT LINE</v>
          </cell>
          <cell r="O3376" t="str">
            <v>A (NS)</v>
          </cell>
        </row>
        <row r="3377">
          <cell r="A3377">
            <v>11483</v>
          </cell>
          <cell r="B3377" t="str">
            <v>SITI MAISAROH</v>
          </cell>
          <cell r="C3377" t="str">
            <v>SAMI</v>
          </cell>
          <cell r="D3377" t="str">
            <v>OPT-306</v>
          </cell>
          <cell r="E3377">
            <v>40701</v>
          </cell>
          <cell r="F3377" t="str">
            <v>-</v>
          </cell>
          <cell r="G3377" t="str">
            <v>-</v>
          </cell>
          <cell r="H3377" t="str">
            <v>PRD</v>
          </cell>
          <cell r="I3377" t="str">
            <v>PRD</v>
          </cell>
          <cell r="J3377" t="str">
            <v>ALL</v>
          </cell>
          <cell r="K3377" t="str">
            <v>ALL</v>
          </cell>
          <cell r="L3377" t="str">
            <v>PREGNANT LINE</v>
          </cell>
          <cell r="M3377" t="str">
            <v>INSERT PLUG</v>
          </cell>
          <cell r="N3377" t="str">
            <v>PREGNANT LINE</v>
          </cell>
          <cell r="O3377" t="str">
            <v>A (NS)</v>
          </cell>
        </row>
        <row r="3378">
          <cell r="A3378">
            <v>11656</v>
          </cell>
          <cell r="B3378" t="str">
            <v>ANIS KHOIDAH</v>
          </cell>
          <cell r="C3378" t="str">
            <v>SAMI</v>
          </cell>
          <cell r="D3378" t="str">
            <v>OPT-308</v>
          </cell>
          <cell r="E3378">
            <v>40714</v>
          </cell>
          <cell r="F3378" t="str">
            <v>-</v>
          </cell>
          <cell r="G3378" t="str">
            <v>-</v>
          </cell>
          <cell r="H3378" t="str">
            <v>PRD</v>
          </cell>
          <cell r="I3378" t="str">
            <v>PRD</v>
          </cell>
          <cell r="J3378" t="str">
            <v>ALL</v>
          </cell>
          <cell r="K3378" t="str">
            <v>ALL</v>
          </cell>
          <cell r="L3378" t="str">
            <v>PREGNANT LINE</v>
          </cell>
          <cell r="M3378" t="str">
            <v>INSERT PLUG</v>
          </cell>
          <cell r="N3378" t="str">
            <v>PREGNANT LINE</v>
          </cell>
          <cell r="O3378" t="str">
            <v>A (NS)</v>
          </cell>
        </row>
        <row r="3379">
          <cell r="A3379">
            <v>11743</v>
          </cell>
          <cell r="B3379" t="str">
            <v>MUSTHOFIAH</v>
          </cell>
          <cell r="C3379" t="str">
            <v>SAMI</v>
          </cell>
          <cell r="D3379" t="str">
            <v>OPT-308</v>
          </cell>
          <cell r="E3379">
            <v>40714</v>
          </cell>
          <cell r="F3379" t="str">
            <v>-</v>
          </cell>
          <cell r="G3379" t="str">
            <v>-</v>
          </cell>
          <cell r="H3379" t="str">
            <v>PRD</v>
          </cell>
          <cell r="I3379" t="str">
            <v>PRD</v>
          </cell>
          <cell r="J3379" t="str">
            <v>ALL</v>
          </cell>
          <cell r="K3379" t="str">
            <v>ALL</v>
          </cell>
          <cell r="L3379" t="str">
            <v>PREGNANT LINE</v>
          </cell>
          <cell r="M3379" t="str">
            <v>WIRE SAMPLE</v>
          </cell>
          <cell r="N3379" t="str">
            <v>PREGNANT LINE</v>
          </cell>
          <cell r="O3379" t="str">
            <v>A (NS)</v>
          </cell>
        </row>
        <row r="3380">
          <cell r="A3380">
            <v>11787</v>
          </cell>
          <cell r="B3380" t="str">
            <v>TRI APRILIANI</v>
          </cell>
          <cell r="C3380" t="str">
            <v>SAMI</v>
          </cell>
          <cell r="D3380" t="str">
            <v>OPT-308</v>
          </cell>
          <cell r="E3380">
            <v>40714</v>
          </cell>
          <cell r="F3380" t="str">
            <v>-</v>
          </cell>
          <cell r="G3380" t="str">
            <v>-</v>
          </cell>
          <cell r="H3380" t="str">
            <v>PRD</v>
          </cell>
          <cell r="I3380" t="str">
            <v>PRD</v>
          </cell>
          <cell r="J3380" t="str">
            <v>ALL</v>
          </cell>
          <cell r="K3380" t="str">
            <v>ALL</v>
          </cell>
          <cell r="L3380" t="str">
            <v>PREGNANT LINE</v>
          </cell>
          <cell r="M3380" t="str">
            <v>INSERT PLUG</v>
          </cell>
          <cell r="N3380" t="str">
            <v>PREGNANT LINE</v>
          </cell>
          <cell r="O3380" t="str">
            <v>A (NS)</v>
          </cell>
        </row>
        <row r="3381">
          <cell r="A3381">
            <v>11820</v>
          </cell>
          <cell r="B3381" t="str">
            <v>LIYA SETIYANINGSIH</v>
          </cell>
          <cell r="C3381" t="str">
            <v>SAMI</v>
          </cell>
          <cell r="D3381" t="str">
            <v>OPT-309</v>
          </cell>
          <cell r="E3381">
            <v>40721</v>
          </cell>
          <cell r="F3381" t="str">
            <v>-</v>
          </cell>
          <cell r="G3381" t="str">
            <v>-</v>
          </cell>
          <cell r="H3381" t="str">
            <v>PRD</v>
          </cell>
          <cell r="I3381" t="str">
            <v>PRD</v>
          </cell>
          <cell r="J3381" t="str">
            <v>ALL</v>
          </cell>
          <cell r="K3381" t="str">
            <v>ALL</v>
          </cell>
          <cell r="L3381" t="str">
            <v>PREGNANT LINE</v>
          </cell>
          <cell r="M3381" t="str">
            <v>WIRE SAMPLE</v>
          </cell>
          <cell r="N3381" t="str">
            <v>PREGNANT LINE</v>
          </cell>
          <cell r="O3381" t="str">
            <v>A (NS)</v>
          </cell>
        </row>
        <row r="3382">
          <cell r="A3382">
            <v>11903</v>
          </cell>
          <cell r="B3382" t="str">
            <v>USWATUN KHASANAH</v>
          </cell>
          <cell r="C3382" t="str">
            <v>SAMI</v>
          </cell>
          <cell r="D3382" t="str">
            <v>OPT-310</v>
          </cell>
          <cell r="E3382">
            <v>40735</v>
          </cell>
          <cell r="F3382" t="str">
            <v>-</v>
          </cell>
          <cell r="G3382" t="str">
            <v>-</v>
          </cell>
          <cell r="H3382" t="str">
            <v>PRD</v>
          </cell>
          <cell r="I3382" t="str">
            <v>PRD</v>
          </cell>
          <cell r="J3382" t="str">
            <v>ALL</v>
          </cell>
          <cell r="K3382" t="str">
            <v>ALL</v>
          </cell>
          <cell r="L3382" t="str">
            <v>PREGNANT LINE</v>
          </cell>
          <cell r="M3382" t="str">
            <v>INSERT PLUG</v>
          </cell>
          <cell r="N3382" t="str">
            <v>PREGNANT LINE</v>
          </cell>
          <cell r="O3382" t="str">
            <v>A (NS)</v>
          </cell>
        </row>
        <row r="3383">
          <cell r="A3383" t="str">
            <v>B00684</v>
          </cell>
          <cell r="B3383" t="str">
            <v>MILA AYU KORITA PUTRI</v>
          </cell>
          <cell r="C3383" t="str">
            <v>SAMI</v>
          </cell>
          <cell r="D3383" t="str">
            <v>BBF-011</v>
          </cell>
          <cell r="E3383">
            <v>40896</v>
          </cell>
          <cell r="F3383" t="str">
            <v>-</v>
          </cell>
          <cell r="G3383" t="str">
            <v>-</v>
          </cell>
          <cell r="H3383" t="str">
            <v>PRD</v>
          </cell>
          <cell r="I3383" t="str">
            <v>PRD</v>
          </cell>
          <cell r="J3383" t="str">
            <v>ALL</v>
          </cell>
          <cell r="K3383" t="str">
            <v>ALL</v>
          </cell>
          <cell r="L3383" t="str">
            <v>PREGNANT LINE</v>
          </cell>
          <cell r="M3383" t="str">
            <v>INSERT PLUG</v>
          </cell>
          <cell r="N3383" t="str">
            <v>PREGNANT LINE</v>
          </cell>
          <cell r="O3383" t="str">
            <v>A (NS)</v>
          </cell>
        </row>
        <row r="3384">
          <cell r="A3384" t="str">
            <v>B00764</v>
          </cell>
          <cell r="B3384" t="str">
            <v>ENI NURHIKMAH</v>
          </cell>
          <cell r="C3384" t="str">
            <v>SAMI</v>
          </cell>
          <cell r="D3384" t="str">
            <v>BBF-013</v>
          </cell>
          <cell r="E3384">
            <v>40910</v>
          </cell>
          <cell r="F3384" t="str">
            <v>-</v>
          </cell>
          <cell r="G3384" t="str">
            <v>-</v>
          </cell>
          <cell r="H3384" t="str">
            <v>PRD</v>
          </cell>
          <cell r="I3384" t="str">
            <v>PRD</v>
          </cell>
          <cell r="J3384" t="str">
            <v>ALL</v>
          </cell>
          <cell r="K3384" t="str">
            <v>ALL</v>
          </cell>
          <cell r="L3384" t="str">
            <v>PREGNANT LINE</v>
          </cell>
          <cell r="M3384" t="str">
            <v>INSERT PLUG</v>
          </cell>
          <cell r="N3384" t="str">
            <v>PREGNANT LINE</v>
          </cell>
          <cell r="O3384" t="str">
            <v>A (NS)</v>
          </cell>
        </row>
        <row r="3385">
          <cell r="A3385">
            <v>1004</v>
          </cell>
          <cell r="B3385" t="str">
            <v>ISTIKOMSATUN</v>
          </cell>
          <cell r="C3385" t="str">
            <v>SAMI</v>
          </cell>
          <cell r="D3385" t="str">
            <v>OPT-25</v>
          </cell>
          <cell r="E3385">
            <v>37872</v>
          </cell>
          <cell r="F3385" t="str">
            <v>-</v>
          </cell>
          <cell r="G3385" t="str">
            <v>-</v>
          </cell>
          <cell r="H3385" t="str">
            <v>PRD</v>
          </cell>
          <cell r="I3385" t="str">
            <v>PRD</v>
          </cell>
          <cell r="J3385" t="str">
            <v>ALL</v>
          </cell>
          <cell r="K3385" t="str">
            <v>ALL</v>
          </cell>
          <cell r="L3385" t="str">
            <v>PREGNANT LINE</v>
          </cell>
          <cell r="M3385" t="str">
            <v>INSERT PLUG</v>
          </cell>
          <cell r="N3385" t="str">
            <v>PREGNANT LINE</v>
          </cell>
          <cell r="O3385" t="str">
            <v>A (NS)</v>
          </cell>
        </row>
        <row r="3386">
          <cell r="A3386">
            <v>11860</v>
          </cell>
          <cell r="B3386" t="str">
            <v>ULIN NIKMAH</v>
          </cell>
          <cell r="C3386" t="str">
            <v>SAMI</v>
          </cell>
          <cell r="D3386" t="str">
            <v>OPT-309</v>
          </cell>
          <cell r="E3386">
            <v>40721</v>
          </cell>
          <cell r="F3386" t="str">
            <v>-</v>
          </cell>
          <cell r="G3386" t="str">
            <v>-</v>
          </cell>
          <cell r="H3386" t="str">
            <v>PRD</v>
          </cell>
          <cell r="I3386" t="str">
            <v>PRD ADM</v>
          </cell>
          <cell r="J3386" t="str">
            <v>ALL</v>
          </cell>
          <cell r="K3386" t="str">
            <v>ALL</v>
          </cell>
          <cell r="L3386" t="str">
            <v>PRD ADM</v>
          </cell>
          <cell r="M3386" t="str">
            <v>ADMINISTRATION</v>
          </cell>
          <cell r="N3386" t="str">
            <v>OTHERS</v>
          </cell>
          <cell r="O3386" t="str">
            <v>A</v>
          </cell>
        </row>
        <row r="3387">
          <cell r="A3387">
            <v>12161</v>
          </cell>
          <cell r="B3387" t="str">
            <v>KUMIK ATI</v>
          </cell>
          <cell r="C3387" t="str">
            <v>SAMI</v>
          </cell>
          <cell r="D3387" t="str">
            <v>ADM-49</v>
          </cell>
          <cell r="E3387">
            <v>40800</v>
          </cell>
          <cell r="F3387" t="str">
            <v>-</v>
          </cell>
          <cell r="G3387" t="str">
            <v>-</v>
          </cell>
          <cell r="H3387" t="str">
            <v>PRD</v>
          </cell>
          <cell r="I3387" t="str">
            <v>PRD ADM</v>
          </cell>
          <cell r="J3387" t="str">
            <v>ALL</v>
          </cell>
          <cell r="K3387" t="str">
            <v>ALL</v>
          </cell>
          <cell r="L3387" t="str">
            <v>PRD ADM</v>
          </cell>
          <cell r="M3387" t="str">
            <v>ADMINISTRATION</v>
          </cell>
          <cell r="N3387" t="str">
            <v>OTHERS</v>
          </cell>
          <cell r="O3387" t="str">
            <v>A (NS)</v>
          </cell>
        </row>
        <row r="3388">
          <cell r="A3388">
            <v>15931</v>
          </cell>
          <cell r="B3388" t="str">
            <v>PUTRI MEI ERAWATI</v>
          </cell>
          <cell r="C3388" t="str">
            <v>SAMI</v>
          </cell>
          <cell r="D3388" t="str">
            <v>OPT-399</v>
          </cell>
          <cell r="E3388">
            <v>41557</v>
          </cell>
          <cell r="F3388" t="str">
            <v>-</v>
          </cell>
          <cell r="G3388" t="str">
            <v>-</v>
          </cell>
          <cell r="H3388" t="str">
            <v>PRD</v>
          </cell>
          <cell r="I3388" t="str">
            <v>PRD ADM</v>
          </cell>
          <cell r="J3388" t="str">
            <v>ALL</v>
          </cell>
          <cell r="K3388" t="str">
            <v>ALL</v>
          </cell>
          <cell r="L3388" t="str">
            <v>PRD ADM</v>
          </cell>
          <cell r="M3388" t="str">
            <v>ADMINISTRATION</v>
          </cell>
          <cell r="N3388" t="str">
            <v>OTHERS</v>
          </cell>
          <cell r="O3388" t="str">
            <v>A (NS)</v>
          </cell>
        </row>
        <row r="3389">
          <cell r="A3389">
            <v>20205</v>
          </cell>
          <cell r="B3389" t="str">
            <v>ERWIN DWI PAMUNGKAS</v>
          </cell>
          <cell r="C3389" t="str">
            <v>SAMI</v>
          </cell>
          <cell r="D3389" t="str">
            <v>OPT-500</v>
          </cell>
          <cell r="E3389">
            <v>42604</v>
          </cell>
          <cell r="F3389" t="str">
            <v>-</v>
          </cell>
          <cell r="G3389" t="str">
            <v>-</v>
          </cell>
          <cell r="H3389" t="str">
            <v>PRD</v>
          </cell>
          <cell r="I3389" t="str">
            <v>PRD ADM</v>
          </cell>
          <cell r="J3389" t="str">
            <v>ALL</v>
          </cell>
          <cell r="K3389" t="str">
            <v>ALL</v>
          </cell>
          <cell r="L3389" t="str">
            <v>PRD ADM</v>
          </cell>
          <cell r="M3389" t="str">
            <v>ADMINISTRATION (INTREPETER)</v>
          </cell>
          <cell r="N3389" t="str">
            <v>OTHERS</v>
          </cell>
          <cell r="O3389" t="str">
            <v>A (NS)</v>
          </cell>
        </row>
        <row r="3390">
          <cell r="A3390">
            <v>11037</v>
          </cell>
          <cell r="B3390" t="str">
            <v>ASROFAH</v>
          </cell>
          <cell r="C3390" t="str">
            <v>SAMI</v>
          </cell>
          <cell r="D3390" t="str">
            <v>OPT-288</v>
          </cell>
          <cell r="E3390">
            <v>40592</v>
          </cell>
          <cell r="F3390" t="str">
            <v>-</v>
          </cell>
          <cell r="G3390" t="str">
            <v>-</v>
          </cell>
          <cell r="H3390" t="str">
            <v>PRD</v>
          </cell>
          <cell r="I3390" t="str">
            <v>PRD ADM</v>
          </cell>
          <cell r="J3390" t="str">
            <v>ALL</v>
          </cell>
          <cell r="K3390" t="str">
            <v>ALL</v>
          </cell>
          <cell r="L3390" t="str">
            <v>PRD ADM</v>
          </cell>
          <cell r="M3390" t="str">
            <v>ADMINISTRATION</v>
          </cell>
          <cell r="N3390" t="str">
            <v>OTHERS</v>
          </cell>
          <cell r="O3390" t="str">
            <v>B</v>
          </cell>
        </row>
        <row r="3391">
          <cell r="A3391">
            <v>9569</v>
          </cell>
          <cell r="B3391" t="str">
            <v>ETIK AMIYATI</v>
          </cell>
          <cell r="C3391" t="str">
            <v>SAMI</v>
          </cell>
          <cell r="D3391" t="str">
            <v>OPT-217</v>
          </cell>
          <cell r="E3391">
            <v>40179</v>
          </cell>
          <cell r="F3391" t="str">
            <v>-</v>
          </cell>
          <cell r="G3391" t="str">
            <v>-</v>
          </cell>
          <cell r="H3391" t="str">
            <v>PRD</v>
          </cell>
          <cell r="I3391" t="str">
            <v>PRD LL</v>
          </cell>
          <cell r="J3391" t="str">
            <v>ALL</v>
          </cell>
          <cell r="K3391" t="str">
            <v>ALL</v>
          </cell>
          <cell r="L3391" t="str">
            <v>BATERAY CABLE &amp; CV 30</v>
          </cell>
          <cell r="M3391" t="str">
            <v>PRD LINE CHO ( REMAGANG )</v>
          </cell>
          <cell r="N3391" t="str">
            <v>FPI LL</v>
          </cell>
          <cell r="O3391" t="str">
            <v>A</v>
          </cell>
        </row>
        <row r="3392">
          <cell r="A3392">
            <v>5441</v>
          </cell>
          <cell r="B3392" t="str">
            <v>SITI KOMARIYAH</v>
          </cell>
          <cell r="C3392" t="str">
            <v>SAMI</v>
          </cell>
          <cell r="D3392" t="str">
            <v>OPT-128</v>
          </cell>
          <cell r="E3392">
            <v>38991</v>
          </cell>
          <cell r="F3392" t="str">
            <v>-</v>
          </cell>
          <cell r="G3392" t="str">
            <v>-</v>
          </cell>
          <cell r="H3392" t="str">
            <v>PRD</v>
          </cell>
          <cell r="I3392" t="str">
            <v>PRD LL</v>
          </cell>
          <cell r="J3392" t="str">
            <v>ALL</v>
          </cell>
          <cell r="K3392" t="str">
            <v>ALL</v>
          </cell>
          <cell r="L3392" t="str">
            <v>BATERAY CABLE &amp; CV 30</v>
          </cell>
          <cell r="M3392" t="str">
            <v>PRD LINE CHO</v>
          </cell>
          <cell r="N3392" t="str">
            <v>FPI LL</v>
          </cell>
          <cell r="O3392" t="str">
            <v>B</v>
          </cell>
        </row>
        <row r="3393">
          <cell r="A3393">
            <v>11238</v>
          </cell>
          <cell r="B3393" t="str">
            <v>MOCH. AGUS WIBOWO</v>
          </cell>
          <cell r="C3393" t="str">
            <v>SAMI</v>
          </cell>
          <cell r="D3393" t="str">
            <v>INT</v>
          </cell>
          <cell r="E3393">
            <v>40610</v>
          </cell>
          <cell r="F3393" t="str">
            <v>-</v>
          </cell>
          <cell r="G3393" t="str">
            <v>-</v>
          </cell>
          <cell r="H3393" t="str">
            <v>PRD</v>
          </cell>
          <cell r="I3393" t="str">
            <v>PRD LL</v>
          </cell>
          <cell r="J3393" t="str">
            <v>ALL</v>
          </cell>
          <cell r="K3393" t="str">
            <v>ALL</v>
          </cell>
          <cell r="L3393" t="str">
            <v>CPA CRV</v>
          </cell>
          <cell r="M3393" t="str">
            <v>PRD LINE CHO</v>
          </cell>
          <cell r="N3393" t="str">
            <v>FPI LL</v>
          </cell>
          <cell r="O3393" t="str">
            <v>A</v>
          </cell>
        </row>
        <row r="3394">
          <cell r="A3394">
            <v>5550</v>
          </cell>
          <cell r="B3394" t="str">
            <v>SUPRIYANTO</v>
          </cell>
          <cell r="C3394" t="str">
            <v>SAMI</v>
          </cell>
          <cell r="D3394" t="str">
            <v>OPT-130</v>
          </cell>
          <cell r="E3394">
            <v>39052</v>
          </cell>
          <cell r="F3394" t="str">
            <v>-</v>
          </cell>
          <cell r="G3394" t="str">
            <v>-</v>
          </cell>
          <cell r="H3394" t="str">
            <v>PRD</v>
          </cell>
          <cell r="I3394" t="str">
            <v>PRD LL</v>
          </cell>
          <cell r="J3394" t="str">
            <v>ALL</v>
          </cell>
          <cell r="K3394" t="str">
            <v>ALL</v>
          </cell>
          <cell r="L3394" t="str">
            <v>CPA CRV</v>
          </cell>
          <cell r="M3394" t="str">
            <v>PRD LINE CHO</v>
          </cell>
          <cell r="N3394" t="str">
            <v>FPI LL</v>
          </cell>
          <cell r="O3394" t="str">
            <v>B</v>
          </cell>
        </row>
        <row r="3395">
          <cell r="A3395">
            <v>9450</v>
          </cell>
          <cell r="B3395" t="str">
            <v>MEI DWI ASTUTI</v>
          </cell>
          <cell r="C3395" t="str">
            <v>SAMI</v>
          </cell>
          <cell r="D3395" t="str">
            <v>OPT-216</v>
          </cell>
          <cell r="E3395">
            <v>40148</v>
          </cell>
          <cell r="F3395" t="str">
            <v>-</v>
          </cell>
          <cell r="G3395" t="str">
            <v>-</v>
          </cell>
          <cell r="H3395" t="str">
            <v>PRD</v>
          </cell>
          <cell r="I3395" t="str">
            <v>PRD LL</v>
          </cell>
          <cell r="J3395" t="str">
            <v>ALL</v>
          </cell>
          <cell r="K3395" t="str">
            <v>ALL</v>
          </cell>
          <cell r="L3395" t="str">
            <v>CPA DYNA &amp; C.TUBE</v>
          </cell>
          <cell r="M3395" t="str">
            <v>PRD LINE CHO</v>
          </cell>
          <cell r="N3395" t="str">
            <v>FPI LL</v>
          </cell>
          <cell r="O3395" t="str">
            <v>A</v>
          </cell>
        </row>
        <row r="3396">
          <cell r="A3396">
            <v>65</v>
          </cell>
          <cell r="B3396" t="str">
            <v>RETNO PURWANTI</v>
          </cell>
          <cell r="C3396" t="str">
            <v>SAMI</v>
          </cell>
          <cell r="D3396" t="str">
            <v>OPT-1</v>
          </cell>
          <cell r="E3396">
            <v>37578</v>
          </cell>
          <cell r="F3396" t="str">
            <v>-</v>
          </cell>
          <cell r="G3396" t="str">
            <v>-</v>
          </cell>
          <cell r="H3396" t="str">
            <v>PRD</v>
          </cell>
          <cell r="I3396" t="str">
            <v>PRD LL</v>
          </cell>
          <cell r="J3396" t="str">
            <v>ALL</v>
          </cell>
          <cell r="K3396" t="str">
            <v>ALL</v>
          </cell>
          <cell r="L3396" t="str">
            <v>CPA DYNA &amp; C.TUBE</v>
          </cell>
          <cell r="M3396" t="str">
            <v>PRD LINE CHO</v>
          </cell>
          <cell r="N3396" t="str">
            <v>FPI LL</v>
          </cell>
          <cell r="O3396" t="str">
            <v>B</v>
          </cell>
        </row>
        <row r="3397">
          <cell r="A3397">
            <v>53</v>
          </cell>
          <cell r="B3397" t="str">
            <v>ARIYANI</v>
          </cell>
          <cell r="C3397" t="str">
            <v>SAMI</v>
          </cell>
          <cell r="D3397" t="str">
            <v>OPT-1</v>
          </cell>
          <cell r="E3397">
            <v>37578</v>
          </cell>
          <cell r="F3397" t="str">
            <v>-</v>
          </cell>
          <cell r="G3397" t="str">
            <v>-</v>
          </cell>
          <cell r="H3397" t="str">
            <v>PRD</v>
          </cell>
          <cell r="I3397" t="str">
            <v>PRD LL</v>
          </cell>
          <cell r="J3397" t="str">
            <v>ALL</v>
          </cell>
          <cell r="K3397" t="str">
            <v>ALL</v>
          </cell>
          <cell r="L3397" t="str">
            <v>CPA HONDA EXPORT</v>
          </cell>
          <cell r="M3397" t="str">
            <v>PRD LINE CHO</v>
          </cell>
          <cell r="N3397" t="str">
            <v>FPI LL</v>
          </cell>
          <cell r="O3397" t="str">
            <v>A</v>
          </cell>
        </row>
        <row r="3398">
          <cell r="A3398">
            <v>8941</v>
          </cell>
          <cell r="B3398" t="str">
            <v>WITJAYANTI</v>
          </cell>
          <cell r="C3398" t="str">
            <v>SAMI</v>
          </cell>
          <cell r="D3398" t="str">
            <v>OPT-198</v>
          </cell>
          <cell r="E3398">
            <v>39966</v>
          </cell>
          <cell r="F3398" t="str">
            <v>-</v>
          </cell>
          <cell r="G3398" t="str">
            <v>-</v>
          </cell>
          <cell r="H3398" t="str">
            <v>PRD</v>
          </cell>
          <cell r="I3398" t="str">
            <v>PRD LL</v>
          </cell>
          <cell r="J3398" t="str">
            <v>ALL</v>
          </cell>
          <cell r="K3398" t="str">
            <v>ALL</v>
          </cell>
          <cell r="L3398" t="str">
            <v>CPA HONDA EXPORT</v>
          </cell>
          <cell r="M3398" t="str">
            <v>PRD LINE CHO ( MAGANG )</v>
          </cell>
          <cell r="N3398" t="str">
            <v>FPI LL</v>
          </cell>
          <cell r="O3398" t="str">
            <v>A</v>
          </cell>
        </row>
        <row r="3399">
          <cell r="A3399">
            <v>786</v>
          </cell>
          <cell r="B3399" t="str">
            <v>SUPRIYONO</v>
          </cell>
          <cell r="C3399" t="str">
            <v>SAMI</v>
          </cell>
          <cell r="D3399" t="str">
            <v>TKN-3</v>
          </cell>
          <cell r="E3399">
            <v>37830</v>
          </cell>
          <cell r="F3399" t="str">
            <v>-</v>
          </cell>
          <cell r="G3399" t="str">
            <v>-</v>
          </cell>
          <cell r="H3399" t="str">
            <v>PRD</v>
          </cell>
          <cell r="I3399" t="str">
            <v>PRD LL</v>
          </cell>
          <cell r="J3399" t="str">
            <v>ALL</v>
          </cell>
          <cell r="K3399" t="str">
            <v>ALL</v>
          </cell>
          <cell r="L3399" t="str">
            <v>CPA HONDA EXPORT</v>
          </cell>
          <cell r="M3399" t="str">
            <v>PRD LINE CHO</v>
          </cell>
          <cell r="N3399" t="str">
            <v>FPI LL</v>
          </cell>
          <cell r="O3399" t="str">
            <v>B</v>
          </cell>
        </row>
        <row r="3400">
          <cell r="A3400">
            <v>1171</v>
          </cell>
          <cell r="B3400" t="str">
            <v>TRI PALUPI HANDAYANI</v>
          </cell>
          <cell r="C3400" t="str">
            <v>SAMI</v>
          </cell>
          <cell r="D3400" t="str">
            <v>OPT-29</v>
          </cell>
          <cell r="E3400">
            <v>37907</v>
          </cell>
          <cell r="F3400" t="str">
            <v>-</v>
          </cell>
          <cell r="G3400" t="str">
            <v>-</v>
          </cell>
          <cell r="H3400" t="str">
            <v>PRD</v>
          </cell>
          <cell r="I3400" t="str">
            <v>PRD LL</v>
          </cell>
          <cell r="J3400" t="str">
            <v>ALL</v>
          </cell>
          <cell r="K3400" t="str">
            <v>ALL</v>
          </cell>
          <cell r="L3400" t="str">
            <v>CPA HONDA EXPORT</v>
          </cell>
          <cell r="M3400" t="str">
            <v>PRD LINE CHO</v>
          </cell>
          <cell r="N3400" t="str">
            <v>FPI LL</v>
          </cell>
          <cell r="O3400" t="str">
            <v>B</v>
          </cell>
        </row>
        <row r="3401">
          <cell r="A3401">
            <v>9649</v>
          </cell>
          <cell r="B3401" t="str">
            <v>YULIUS DIO GARUDA NUSANTARA</v>
          </cell>
          <cell r="C3401" t="str">
            <v>SAMI</v>
          </cell>
          <cell r="D3401" t="str">
            <v>OPT-218</v>
          </cell>
          <cell r="E3401">
            <v>40179</v>
          </cell>
          <cell r="F3401" t="str">
            <v>-</v>
          </cell>
          <cell r="G3401" t="str">
            <v>-</v>
          </cell>
          <cell r="H3401" t="str">
            <v>PRD</v>
          </cell>
          <cell r="I3401" t="str">
            <v>PRD LL</v>
          </cell>
          <cell r="J3401" t="str">
            <v>ALL</v>
          </cell>
          <cell r="K3401" t="str">
            <v>ALL</v>
          </cell>
          <cell r="L3401" t="str">
            <v>CPA HV</v>
          </cell>
          <cell r="M3401" t="str">
            <v>PRD LINE CHO</v>
          </cell>
          <cell r="N3401" t="str">
            <v>FPI LL</v>
          </cell>
          <cell r="O3401" t="str">
            <v>A</v>
          </cell>
        </row>
        <row r="3402">
          <cell r="A3402">
            <v>6145</v>
          </cell>
          <cell r="B3402" t="str">
            <v>NAHDLOH</v>
          </cell>
          <cell r="C3402" t="str">
            <v>SAMI</v>
          </cell>
          <cell r="D3402" t="str">
            <v>OPT-140</v>
          </cell>
          <cell r="E3402">
            <v>39157</v>
          </cell>
          <cell r="F3402" t="str">
            <v>-</v>
          </cell>
          <cell r="G3402" t="str">
            <v>-</v>
          </cell>
          <cell r="H3402" t="str">
            <v>PRD</v>
          </cell>
          <cell r="I3402" t="str">
            <v>PRD LL</v>
          </cell>
          <cell r="J3402" t="str">
            <v>ALL</v>
          </cell>
          <cell r="K3402" t="str">
            <v>ALL</v>
          </cell>
          <cell r="L3402" t="str">
            <v>CPA HV</v>
          </cell>
          <cell r="M3402" t="str">
            <v>PRD LINE CHO</v>
          </cell>
          <cell r="N3402" t="str">
            <v>FPI LL</v>
          </cell>
          <cell r="O3402" t="str">
            <v>B</v>
          </cell>
        </row>
        <row r="3403">
          <cell r="A3403">
            <v>322</v>
          </cell>
          <cell r="B3403" t="str">
            <v>SUNARNI</v>
          </cell>
          <cell r="C3403" t="str">
            <v>SAMI</v>
          </cell>
          <cell r="D3403" t="str">
            <v>OPT-9</v>
          </cell>
          <cell r="E3403">
            <v>37725</v>
          </cell>
          <cell r="F3403" t="str">
            <v>-</v>
          </cell>
          <cell r="G3403" t="str">
            <v>-</v>
          </cell>
          <cell r="H3403" t="str">
            <v>PRD</v>
          </cell>
          <cell r="I3403" t="str">
            <v>PRD LL</v>
          </cell>
          <cell r="J3403" t="str">
            <v>ALL</v>
          </cell>
          <cell r="K3403" t="str">
            <v>ALL</v>
          </cell>
          <cell r="L3403" t="str">
            <v>CPA MAZDA</v>
          </cell>
          <cell r="M3403" t="str">
            <v>PRD LINE CHO</v>
          </cell>
          <cell r="N3403" t="str">
            <v>FPI LL</v>
          </cell>
          <cell r="O3403" t="str">
            <v>A</v>
          </cell>
        </row>
        <row r="3404">
          <cell r="A3404">
            <v>82</v>
          </cell>
          <cell r="B3404" t="str">
            <v>DWI WIDIYANA</v>
          </cell>
          <cell r="C3404" t="str">
            <v>SAMI</v>
          </cell>
          <cell r="D3404" t="str">
            <v>OPT-2</v>
          </cell>
          <cell r="E3404">
            <v>37610</v>
          </cell>
          <cell r="F3404" t="str">
            <v>-</v>
          </cell>
          <cell r="G3404" t="str">
            <v>-</v>
          </cell>
          <cell r="H3404" t="str">
            <v>PRD</v>
          </cell>
          <cell r="I3404" t="str">
            <v>PRD LL</v>
          </cell>
          <cell r="J3404" t="str">
            <v>ALL</v>
          </cell>
          <cell r="K3404" t="str">
            <v>ALL</v>
          </cell>
          <cell r="L3404" t="str">
            <v>CPA MAZDA</v>
          </cell>
          <cell r="M3404" t="str">
            <v>PRD LINE CHO</v>
          </cell>
          <cell r="N3404" t="str">
            <v>FPI LL</v>
          </cell>
          <cell r="O3404" t="str">
            <v>B</v>
          </cell>
        </row>
        <row r="3405">
          <cell r="A3405">
            <v>247</v>
          </cell>
          <cell r="B3405" t="str">
            <v>SARI SOESANTI</v>
          </cell>
          <cell r="C3405" t="str">
            <v>SAMI</v>
          </cell>
          <cell r="D3405" t="str">
            <v>OPT-7</v>
          </cell>
          <cell r="E3405">
            <v>37704</v>
          </cell>
          <cell r="F3405" t="str">
            <v>-</v>
          </cell>
          <cell r="G3405" t="str">
            <v>-</v>
          </cell>
          <cell r="H3405" t="str">
            <v>PRD</v>
          </cell>
          <cell r="I3405" t="str">
            <v>PRD LL</v>
          </cell>
          <cell r="J3405" t="str">
            <v>ALL</v>
          </cell>
          <cell r="K3405" t="str">
            <v>ALL</v>
          </cell>
          <cell r="L3405" t="str">
            <v>CPA SUZUKI</v>
          </cell>
          <cell r="M3405" t="str">
            <v>PRD LINE CHO</v>
          </cell>
          <cell r="N3405" t="str">
            <v>FPI LL</v>
          </cell>
          <cell r="O3405" t="str">
            <v>A</v>
          </cell>
        </row>
        <row r="3406">
          <cell r="A3406">
            <v>121</v>
          </cell>
          <cell r="B3406" t="str">
            <v>SUSANTI</v>
          </cell>
          <cell r="C3406" t="str">
            <v>SAMI</v>
          </cell>
          <cell r="D3406" t="str">
            <v>OPT-3</v>
          </cell>
          <cell r="E3406">
            <v>37627</v>
          </cell>
          <cell r="F3406" t="str">
            <v>-</v>
          </cell>
          <cell r="G3406" t="str">
            <v>-</v>
          </cell>
          <cell r="H3406" t="str">
            <v>PRD</v>
          </cell>
          <cell r="I3406" t="str">
            <v>PRD LL</v>
          </cell>
          <cell r="J3406" t="str">
            <v>ALL</v>
          </cell>
          <cell r="K3406" t="str">
            <v>ALL</v>
          </cell>
          <cell r="L3406" t="str">
            <v>CPA SUZUKI</v>
          </cell>
          <cell r="M3406" t="str">
            <v>PRD LINE CHO</v>
          </cell>
          <cell r="N3406" t="str">
            <v>FPI LL</v>
          </cell>
          <cell r="O3406" t="str">
            <v>B</v>
          </cell>
        </row>
        <row r="3407">
          <cell r="A3407">
            <v>625</v>
          </cell>
          <cell r="B3407" t="str">
            <v>NUR KHOLIFAH</v>
          </cell>
          <cell r="C3407" t="str">
            <v>SAMI</v>
          </cell>
          <cell r="D3407" t="str">
            <v>OPT-16</v>
          </cell>
          <cell r="E3407">
            <v>37781</v>
          </cell>
          <cell r="F3407" t="str">
            <v>-</v>
          </cell>
          <cell r="G3407" t="str">
            <v>-</v>
          </cell>
          <cell r="H3407" t="str">
            <v>PRD</v>
          </cell>
          <cell r="I3407" t="str">
            <v>PRD LL</v>
          </cell>
          <cell r="J3407" t="str">
            <v>ALL</v>
          </cell>
          <cell r="K3407" t="str">
            <v>ALL</v>
          </cell>
          <cell r="L3407" t="str">
            <v>CUTTING IMPROVEMENT &amp; ANALISA WIRE LOSS</v>
          </cell>
          <cell r="M3407" t="str">
            <v>PRD LL</v>
          </cell>
          <cell r="N3407" t="str">
            <v>FPI LL</v>
          </cell>
          <cell r="O3407" t="str">
            <v>A (NS)</v>
          </cell>
        </row>
        <row r="3408">
          <cell r="A3408">
            <v>641</v>
          </cell>
          <cell r="B3408" t="str">
            <v>RIRIN HARINI</v>
          </cell>
          <cell r="C3408" t="str">
            <v>SAMI</v>
          </cell>
          <cell r="D3408" t="str">
            <v>OPT-16</v>
          </cell>
          <cell r="E3408">
            <v>37781</v>
          </cell>
          <cell r="F3408" t="str">
            <v>-</v>
          </cell>
          <cell r="G3408" t="str">
            <v>-</v>
          </cell>
          <cell r="H3408" t="str">
            <v>PRD</v>
          </cell>
          <cell r="I3408" t="str">
            <v>PRD LL</v>
          </cell>
          <cell r="J3408" t="str">
            <v>ALL</v>
          </cell>
          <cell r="K3408" t="str">
            <v>ALL</v>
          </cell>
          <cell r="L3408" t="str">
            <v>CUTTING IMPROVEMENT &amp; ANALISA WIRE LOSS</v>
          </cell>
          <cell r="M3408" t="str">
            <v>PRD LL</v>
          </cell>
          <cell r="N3408" t="str">
            <v>FPI LL</v>
          </cell>
          <cell r="O3408" t="str">
            <v>A (NS)</v>
          </cell>
        </row>
        <row r="3409">
          <cell r="A3409">
            <v>751</v>
          </cell>
          <cell r="B3409" t="str">
            <v>WARTI</v>
          </cell>
          <cell r="C3409" t="str">
            <v>SAMI</v>
          </cell>
          <cell r="D3409" t="str">
            <v>OPT-19</v>
          </cell>
          <cell r="E3409">
            <v>37816</v>
          </cell>
          <cell r="F3409" t="str">
            <v>-</v>
          </cell>
          <cell r="G3409" t="str">
            <v>-</v>
          </cell>
          <cell r="H3409" t="str">
            <v>PRD</v>
          </cell>
          <cell r="I3409" t="str">
            <v>PRD LL</v>
          </cell>
          <cell r="J3409" t="str">
            <v>ALL</v>
          </cell>
          <cell r="K3409" t="str">
            <v>ALL</v>
          </cell>
          <cell r="L3409" t="str">
            <v>CV 1</v>
          </cell>
          <cell r="M3409" t="str">
            <v>PRD LINE CHO</v>
          </cell>
          <cell r="N3409" t="str">
            <v>FPI LL</v>
          </cell>
          <cell r="O3409" t="str">
            <v>A</v>
          </cell>
        </row>
        <row r="3410">
          <cell r="A3410">
            <v>5443</v>
          </cell>
          <cell r="B3410" t="str">
            <v>SITI MONDOLIFAH</v>
          </cell>
          <cell r="C3410" t="str">
            <v>SAMI</v>
          </cell>
          <cell r="D3410" t="str">
            <v>OPT-128</v>
          </cell>
          <cell r="E3410">
            <v>38991</v>
          </cell>
          <cell r="F3410" t="str">
            <v>-</v>
          </cell>
          <cell r="G3410" t="str">
            <v>-</v>
          </cell>
          <cell r="H3410" t="str">
            <v>PRD</v>
          </cell>
          <cell r="I3410" t="str">
            <v>PRD LL</v>
          </cell>
          <cell r="J3410" t="str">
            <v>ALL</v>
          </cell>
          <cell r="K3410" t="str">
            <v>ALL</v>
          </cell>
          <cell r="L3410" t="str">
            <v>CV 1</v>
          </cell>
          <cell r="M3410" t="str">
            <v>PRD LINE CHO</v>
          </cell>
          <cell r="N3410" t="str">
            <v>FPI LL</v>
          </cell>
          <cell r="O3410" t="str">
            <v>B</v>
          </cell>
        </row>
        <row r="3411">
          <cell r="A3411">
            <v>6359</v>
          </cell>
          <cell r="B3411" t="str">
            <v>ARIF ROHIM</v>
          </cell>
          <cell r="C3411" t="str">
            <v>SAMI</v>
          </cell>
          <cell r="D3411" t="str">
            <v>OPT-148</v>
          </cell>
          <cell r="E3411">
            <v>39279</v>
          </cell>
          <cell r="F3411" t="str">
            <v>-</v>
          </cell>
          <cell r="G3411" t="str">
            <v>-</v>
          </cell>
          <cell r="H3411" t="str">
            <v>PRD</v>
          </cell>
          <cell r="I3411" t="str">
            <v>PRD LL</v>
          </cell>
          <cell r="J3411" t="str">
            <v>ALL</v>
          </cell>
          <cell r="K3411" t="str">
            <v>ALL</v>
          </cell>
          <cell r="L3411" t="str">
            <v>CV 10 &amp; CV 10B</v>
          </cell>
          <cell r="M3411" t="str">
            <v>PRD LINE CHO</v>
          </cell>
          <cell r="N3411" t="str">
            <v>FPI LL</v>
          </cell>
          <cell r="O3411" t="str">
            <v>A</v>
          </cell>
        </row>
        <row r="3412">
          <cell r="A3412">
            <v>5254</v>
          </cell>
          <cell r="B3412" t="str">
            <v>SITI BIYARTI</v>
          </cell>
          <cell r="C3412" t="str">
            <v>SAMI</v>
          </cell>
          <cell r="D3412" t="str">
            <v>OPT-125</v>
          </cell>
          <cell r="E3412">
            <v>38961</v>
          </cell>
          <cell r="F3412" t="str">
            <v>-</v>
          </cell>
          <cell r="G3412" t="str">
            <v>-</v>
          </cell>
          <cell r="H3412" t="str">
            <v>PRD</v>
          </cell>
          <cell r="I3412" t="str">
            <v>PRD LL</v>
          </cell>
          <cell r="J3412" t="str">
            <v>ALL</v>
          </cell>
          <cell r="K3412" t="str">
            <v>ALL</v>
          </cell>
          <cell r="L3412" t="str">
            <v>CV 12 &amp; CV 19</v>
          </cell>
          <cell r="M3412" t="str">
            <v>PRD LINE CHO ( MAGANG )</v>
          </cell>
          <cell r="N3412" t="str">
            <v>FPI LL</v>
          </cell>
          <cell r="O3412" t="str">
            <v>A</v>
          </cell>
        </row>
        <row r="3413">
          <cell r="A3413">
            <v>6366</v>
          </cell>
          <cell r="B3413" t="str">
            <v>NUR KHOLIS</v>
          </cell>
          <cell r="C3413" t="str">
            <v>SAMI</v>
          </cell>
          <cell r="D3413" t="str">
            <v>OPT-148</v>
          </cell>
          <cell r="E3413">
            <v>39279</v>
          </cell>
          <cell r="F3413" t="str">
            <v>-</v>
          </cell>
          <cell r="G3413" t="str">
            <v>-</v>
          </cell>
          <cell r="H3413" t="str">
            <v>PRD</v>
          </cell>
          <cell r="I3413" t="str">
            <v>PRD LL</v>
          </cell>
          <cell r="J3413" t="str">
            <v>ALL</v>
          </cell>
          <cell r="K3413" t="str">
            <v>ALL</v>
          </cell>
          <cell r="L3413" t="str">
            <v>CV 12 &amp; CV 19</v>
          </cell>
          <cell r="M3413" t="str">
            <v>PRD LINE CHO</v>
          </cell>
          <cell r="N3413" t="str">
            <v>FPI LL</v>
          </cell>
          <cell r="O3413" t="str">
            <v>B</v>
          </cell>
        </row>
        <row r="3414">
          <cell r="A3414">
            <v>6061</v>
          </cell>
          <cell r="B3414" t="str">
            <v>KALISTIYAH</v>
          </cell>
          <cell r="C3414" t="str">
            <v>SAMI</v>
          </cell>
          <cell r="D3414" t="str">
            <v>OPT-139</v>
          </cell>
          <cell r="E3414">
            <v>39142</v>
          </cell>
          <cell r="F3414" t="str">
            <v>-</v>
          </cell>
          <cell r="G3414" t="str">
            <v>-</v>
          </cell>
          <cell r="H3414" t="str">
            <v>PRD</v>
          </cell>
          <cell r="I3414" t="str">
            <v>PRD LL</v>
          </cell>
          <cell r="J3414" t="str">
            <v>ALL</v>
          </cell>
          <cell r="K3414" t="str">
            <v>ALL</v>
          </cell>
          <cell r="L3414" t="str">
            <v>CV 13</v>
          </cell>
          <cell r="M3414" t="str">
            <v>PRD LINE CHO</v>
          </cell>
          <cell r="N3414" t="str">
            <v>FPI LL</v>
          </cell>
          <cell r="O3414" t="str">
            <v>A</v>
          </cell>
        </row>
        <row r="3415">
          <cell r="A3415">
            <v>58</v>
          </cell>
          <cell r="B3415" t="str">
            <v>HADIYANTI</v>
          </cell>
          <cell r="C3415" t="str">
            <v>SAMI</v>
          </cell>
          <cell r="D3415" t="str">
            <v>OPT-1</v>
          </cell>
          <cell r="E3415">
            <v>37578</v>
          </cell>
          <cell r="F3415" t="str">
            <v>-</v>
          </cell>
          <cell r="G3415" t="str">
            <v>-</v>
          </cell>
          <cell r="H3415" t="str">
            <v>PRD</v>
          </cell>
          <cell r="I3415" t="str">
            <v>PRD LL</v>
          </cell>
          <cell r="J3415" t="str">
            <v>ALL</v>
          </cell>
          <cell r="K3415" t="str">
            <v>ALL</v>
          </cell>
          <cell r="L3415" t="str">
            <v>CV 13</v>
          </cell>
          <cell r="M3415" t="str">
            <v>PRD LINE CHO</v>
          </cell>
          <cell r="N3415" t="str">
            <v>FPI LL</v>
          </cell>
          <cell r="O3415" t="str">
            <v>B</v>
          </cell>
        </row>
        <row r="3416">
          <cell r="A3416">
            <v>208</v>
          </cell>
          <cell r="B3416" t="str">
            <v>CHATARINA RETNO SUMARTI</v>
          </cell>
          <cell r="C3416" t="str">
            <v>SAMI</v>
          </cell>
          <cell r="D3416" t="str">
            <v>OPT-6</v>
          </cell>
          <cell r="E3416">
            <v>37697</v>
          </cell>
          <cell r="F3416" t="str">
            <v>-</v>
          </cell>
          <cell r="G3416" t="str">
            <v>-</v>
          </cell>
          <cell r="H3416" t="str">
            <v>PRD</v>
          </cell>
          <cell r="I3416" t="str">
            <v>PRD LL</v>
          </cell>
          <cell r="J3416" t="str">
            <v>ALL</v>
          </cell>
          <cell r="K3416" t="str">
            <v>ALL</v>
          </cell>
          <cell r="L3416" t="str">
            <v>CV 13</v>
          </cell>
          <cell r="M3416" t="str">
            <v>PRD LINE CHO</v>
          </cell>
          <cell r="N3416" t="str">
            <v>FPI LL</v>
          </cell>
          <cell r="O3416" t="str">
            <v>B</v>
          </cell>
        </row>
        <row r="3417">
          <cell r="A3417">
            <v>10585</v>
          </cell>
          <cell r="B3417" t="str">
            <v>NINA RIA YUNITA</v>
          </cell>
          <cell r="C3417" t="str">
            <v>SAMI</v>
          </cell>
          <cell r="D3417" t="str">
            <v>OPT-276</v>
          </cell>
          <cell r="E3417">
            <v>40544</v>
          </cell>
          <cell r="F3417" t="str">
            <v>-</v>
          </cell>
          <cell r="G3417" t="str">
            <v>-</v>
          </cell>
          <cell r="H3417" t="str">
            <v>PRD</v>
          </cell>
          <cell r="I3417" t="str">
            <v>PRD LL</v>
          </cell>
          <cell r="J3417" t="str">
            <v>ALL</v>
          </cell>
          <cell r="K3417" t="str">
            <v>ALL</v>
          </cell>
          <cell r="L3417" t="str">
            <v>CV 14</v>
          </cell>
          <cell r="M3417" t="str">
            <v>PRD LINE CHO ( REMAGANG )</v>
          </cell>
          <cell r="N3417" t="str">
            <v>FPI LL</v>
          </cell>
          <cell r="O3417" t="str">
            <v>A</v>
          </cell>
        </row>
        <row r="3418">
          <cell r="A3418">
            <v>5842</v>
          </cell>
          <cell r="B3418" t="str">
            <v>YULI RISTIANI</v>
          </cell>
          <cell r="C3418" t="str">
            <v>SAMI</v>
          </cell>
          <cell r="D3418" t="str">
            <v>OPT-135</v>
          </cell>
          <cell r="E3418">
            <v>39114</v>
          </cell>
          <cell r="F3418" t="str">
            <v>-</v>
          </cell>
          <cell r="G3418" t="str">
            <v>-</v>
          </cell>
          <cell r="H3418" t="str">
            <v>PRD</v>
          </cell>
          <cell r="I3418" t="str">
            <v>PRD LL</v>
          </cell>
          <cell r="J3418" t="str">
            <v>ALL</v>
          </cell>
          <cell r="K3418" t="str">
            <v>ALL</v>
          </cell>
          <cell r="L3418" t="str">
            <v>CV 14</v>
          </cell>
          <cell r="M3418" t="str">
            <v>PRD LINE CHO</v>
          </cell>
          <cell r="N3418" t="str">
            <v>FPI LL</v>
          </cell>
          <cell r="O3418" t="str">
            <v>B</v>
          </cell>
        </row>
        <row r="3419">
          <cell r="A3419">
            <v>370</v>
          </cell>
          <cell r="B3419" t="str">
            <v>HENDAH HASTATI</v>
          </cell>
          <cell r="C3419" t="str">
            <v>SAMI</v>
          </cell>
          <cell r="D3419" t="str">
            <v>OPT-10</v>
          </cell>
          <cell r="E3419">
            <v>37732</v>
          </cell>
          <cell r="F3419" t="str">
            <v>-</v>
          </cell>
          <cell r="G3419" t="str">
            <v>-</v>
          </cell>
          <cell r="H3419" t="str">
            <v>PRD</v>
          </cell>
          <cell r="I3419" t="str">
            <v>PRD LL</v>
          </cell>
          <cell r="J3419" t="str">
            <v>ALL</v>
          </cell>
          <cell r="K3419" t="str">
            <v>ALL</v>
          </cell>
          <cell r="L3419" t="str">
            <v>CV 16</v>
          </cell>
          <cell r="M3419" t="str">
            <v>PRD LINE CHO</v>
          </cell>
          <cell r="N3419" t="str">
            <v>FPI LL</v>
          </cell>
          <cell r="O3419" t="str">
            <v>A</v>
          </cell>
        </row>
        <row r="3420">
          <cell r="A3420">
            <v>63</v>
          </cell>
          <cell r="B3420" t="str">
            <v>NIELA NURUL KHIKMAH</v>
          </cell>
          <cell r="C3420" t="str">
            <v>SAMI</v>
          </cell>
          <cell r="D3420" t="str">
            <v>OPT-1</v>
          </cell>
          <cell r="E3420">
            <v>37578</v>
          </cell>
          <cell r="F3420" t="str">
            <v>-</v>
          </cell>
          <cell r="G3420" t="str">
            <v>-</v>
          </cell>
          <cell r="H3420" t="str">
            <v>PRD</v>
          </cell>
          <cell r="I3420" t="str">
            <v>PRD LL</v>
          </cell>
          <cell r="J3420" t="str">
            <v>ALL</v>
          </cell>
          <cell r="K3420" t="str">
            <v>ALL</v>
          </cell>
          <cell r="L3420" t="str">
            <v>CV 16</v>
          </cell>
          <cell r="M3420" t="str">
            <v>PRD LINE CHO</v>
          </cell>
          <cell r="N3420" t="str">
            <v>FPI LL</v>
          </cell>
          <cell r="O3420" t="str">
            <v>B</v>
          </cell>
        </row>
        <row r="3421">
          <cell r="A3421">
            <v>9707</v>
          </cell>
          <cell r="B3421" t="str">
            <v>WULAN INTANNIA R.</v>
          </cell>
          <cell r="C3421" t="str">
            <v>SAMI</v>
          </cell>
          <cell r="D3421" t="str">
            <v>OPT-223</v>
          </cell>
          <cell r="E3421">
            <v>40299</v>
          </cell>
          <cell r="F3421" t="str">
            <v>-</v>
          </cell>
          <cell r="G3421" t="str">
            <v>-</v>
          </cell>
          <cell r="H3421" t="str">
            <v>PRD</v>
          </cell>
          <cell r="I3421" t="str">
            <v>PRD LL</v>
          </cell>
          <cell r="J3421" t="str">
            <v>ALL</v>
          </cell>
          <cell r="K3421" t="str">
            <v>ALL</v>
          </cell>
          <cell r="L3421" t="str">
            <v>CV 17</v>
          </cell>
          <cell r="M3421" t="str">
            <v>PRD LINE CHO ( MAGANG )</v>
          </cell>
          <cell r="N3421" t="str">
            <v>FPI LL</v>
          </cell>
          <cell r="O3421" t="str">
            <v>A</v>
          </cell>
        </row>
        <row r="3422">
          <cell r="A3422">
            <v>282</v>
          </cell>
          <cell r="B3422" t="str">
            <v>ICHNAWATI</v>
          </cell>
          <cell r="C3422" t="str">
            <v>SAMI</v>
          </cell>
          <cell r="D3422" t="str">
            <v>OPT-8</v>
          </cell>
          <cell r="E3422">
            <v>37718</v>
          </cell>
          <cell r="F3422" t="str">
            <v>-</v>
          </cell>
          <cell r="G3422" t="str">
            <v>-</v>
          </cell>
          <cell r="H3422" t="str">
            <v>PRD</v>
          </cell>
          <cell r="I3422" t="str">
            <v>PRD LL</v>
          </cell>
          <cell r="J3422" t="str">
            <v>ALL</v>
          </cell>
          <cell r="K3422" t="str">
            <v>ALL</v>
          </cell>
          <cell r="L3422" t="str">
            <v>CV 24, CV 29A, CV 29B</v>
          </cell>
          <cell r="M3422" t="str">
            <v>PRD LINE CHO</v>
          </cell>
          <cell r="N3422" t="str">
            <v>FPI LL</v>
          </cell>
          <cell r="O3422" t="str">
            <v>A</v>
          </cell>
        </row>
        <row r="3423">
          <cell r="A3423">
            <v>8933</v>
          </cell>
          <cell r="B3423" t="str">
            <v>ANITA WIDAYANTI</v>
          </cell>
          <cell r="C3423" t="str">
            <v>SAMI</v>
          </cell>
          <cell r="D3423" t="str">
            <v>OPT-198</v>
          </cell>
          <cell r="E3423">
            <v>39966</v>
          </cell>
          <cell r="F3423" t="str">
            <v>-</v>
          </cell>
          <cell r="G3423" t="str">
            <v>-</v>
          </cell>
          <cell r="H3423" t="str">
            <v>PRD</v>
          </cell>
          <cell r="I3423" t="str">
            <v>PRD LL</v>
          </cell>
          <cell r="J3423" t="str">
            <v>ALL</v>
          </cell>
          <cell r="K3423" t="str">
            <v>ALL</v>
          </cell>
          <cell r="L3423" t="str">
            <v>CV 4</v>
          </cell>
          <cell r="M3423" t="str">
            <v>PRD LINE CHO</v>
          </cell>
          <cell r="N3423" t="str">
            <v>FPI LL</v>
          </cell>
          <cell r="O3423" t="str">
            <v>A</v>
          </cell>
        </row>
        <row r="3424">
          <cell r="A3424">
            <v>9998</v>
          </cell>
          <cell r="B3424" t="str">
            <v>ARUM MULIASARI</v>
          </cell>
          <cell r="C3424" t="str">
            <v>SAMI</v>
          </cell>
          <cell r="D3424" t="str">
            <v>OPT-247</v>
          </cell>
          <cell r="E3424">
            <v>40438</v>
          </cell>
          <cell r="F3424" t="str">
            <v>-</v>
          </cell>
          <cell r="G3424" t="str">
            <v>-</v>
          </cell>
          <cell r="H3424" t="str">
            <v>PRD</v>
          </cell>
          <cell r="I3424" t="str">
            <v>PRD LL</v>
          </cell>
          <cell r="J3424" t="str">
            <v>ALL</v>
          </cell>
          <cell r="K3424" t="str">
            <v>ALL</v>
          </cell>
          <cell r="L3424" t="str">
            <v>CV 4</v>
          </cell>
          <cell r="M3424" t="str">
            <v>PRD LINE CHO ( REMAGANG )</v>
          </cell>
          <cell r="N3424" t="str">
            <v>FPI LL</v>
          </cell>
          <cell r="O3424" t="str">
            <v>B</v>
          </cell>
        </row>
        <row r="3425">
          <cell r="A3425">
            <v>17459</v>
          </cell>
          <cell r="B3425" t="str">
            <v>ADITYA KURNIAWAN</v>
          </cell>
          <cell r="C3425" t="str">
            <v>SAMI</v>
          </cell>
          <cell r="D3425" t="str">
            <v>ES-56</v>
          </cell>
          <cell r="E3425">
            <v>41778</v>
          </cell>
          <cell r="F3425" t="str">
            <v>-</v>
          </cell>
          <cell r="G3425" t="str">
            <v>-</v>
          </cell>
          <cell r="H3425" t="str">
            <v>PRD</v>
          </cell>
          <cell r="I3425" t="str">
            <v>PRD LL</v>
          </cell>
          <cell r="J3425" t="str">
            <v>ALL</v>
          </cell>
          <cell r="K3425" t="str">
            <v>ALL</v>
          </cell>
          <cell r="L3425" t="str">
            <v>CV A03</v>
          </cell>
          <cell r="M3425" t="str">
            <v>PRD LINE CHO</v>
          </cell>
          <cell r="N3425" t="str">
            <v>FPI LL</v>
          </cell>
          <cell r="O3425" t="str">
            <v>A</v>
          </cell>
        </row>
        <row r="3426">
          <cell r="A3426">
            <v>5425</v>
          </cell>
          <cell r="B3426" t="str">
            <v>JULIATI</v>
          </cell>
          <cell r="C3426" t="str">
            <v>SAMI</v>
          </cell>
          <cell r="D3426" t="str">
            <v>OPT-128</v>
          </cell>
          <cell r="E3426">
            <v>38991</v>
          </cell>
          <cell r="F3426" t="str">
            <v>-</v>
          </cell>
          <cell r="G3426" t="str">
            <v>-</v>
          </cell>
          <cell r="H3426" t="str">
            <v>PRD</v>
          </cell>
          <cell r="I3426" t="str">
            <v>PRD LL</v>
          </cell>
          <cell r="J3426" t="str">
            <v>ALL</v>
          </cell>
          <cell r="K3426" t="str">
            <v>ALL</v>
          </cell>
          <cell r="L3426" t="str">
            <v>CV A04</v>
          </cell>
          <cell r="M3426" t="str">
            <v>PRD LINE CHO</v>
          </cell>
          <cell r="N3426" t="str">
            <v>FPI LL</v>
          </cell>
          <cell r="O3426" t="str">
            <v>A</v>
          </cell>
        </row>
        <row r="3427">
          <cell r="A3427">
            <v>5728</v>
          </cell>
          <cell r="B3427" t="str">
            <v>RITA ERTA ARI WINARNI</v>
          </cell>
          <cell r="C3427" t="str">
            <v>SAMI</v>
          </cell>
          <cell r="D3427" t="str">
            <v>OPT-134</v>
          </cell>
          <cell r="E3427">
            <v>39098</v>
          </cell>
          <cell r="F3427" t="str">
            <v>-</v>
          </cell>
          <cell r="G3427" t="str">
            <v>-</v>
          </cell>
          <cell r="H3427" t="str">
            <v>PRD</v>
          </cell>
          <cell r="I3427" t="str">
            <v>PRD LL</v>
          </cell>
          <cell r="J3427" t="str">
            <v>ALL</v>
          </cell>
          <cell r="K3427" t="str">
            <v>ALL</v>
          </cell>
          <cell r="L3427" t="str">
            <v>CV A04</v>
          </cell>
          <cell r="M3427" t="str">
            <v>PRD LINE CHO</v>
          </cell>
          <cell r="N3427" t="str">
            <v>FPI LL</v>
          </cell>
          <cell r="O3427" t="str">
            <v>B</v>
          </cell>
        </row>
        <row r="3428">
          <cell r="A3428">
            <v>480</v>
          </cell>
          <cell r="B3428" t="str">
            <v>IIN YUNANI</v>
          </cell>
          <cell r="C3428" t="str">
            <v>SAMI</v>
          </cell>
          <cell r="D3428" t="str">
            <v>OPT-13</v>
          </cell>
          <cell r="E3428">
            <v>37760</v>
          </cell>
          <cell r="F3428" t="str">
            <v>-</v>
          </cell>
          <cell r="G3428" t="str">
            <v>-</v>
          </cell>
          <cell r="H3428" t="str">
            <v>PRD</v>
          </cell>
          <cell r="I3428" t="str">
            <v>PRD LL</v>
          </cell>
          <cell r="J3428" t="str">
            <v>ALL</v>
          </cell>
          <cell r="K3428" t="str">
            <v>ALL</v>
          </cell>
          <cell r="L3428" t="str">
            <v>CV A06</v>
          </cell>
          <cell r="M3428" t="str">
            <v>PRD LINE CHO</v>
          </cell>
          <cell r="N3428" t="str">
            <v>FPI LL</v>
          </cell>
          <cell r="O3428" t="str">
            <v>A</v>
          </cell>
        </row>
        <row r="3429">
          <cell r="A3429">
            <v>410</v>
          </cell>
          <cell r="B3429" t="str">
            <v>UJI UTAMI</v>
          </cell>
          <cell r="C3429" t="str">
            <v>SAMI</v>
          </cell>
          <cell r="D3429" t="str">
            <v>OPT-11</v>
          </cell>
          <cell r="E3429">
            <v>37739</v>
          </cell>
          <cell r="F3429" t="str">
            <v>-</v>
          </cell>
          <cell r="G3429" t="str">
            <v>-</v>
          </cell>
          <cell r="H3429" t="str">
            <v>PRD</v>
          </cell>
          <cell r="I3429" t="str">
            <v>PRD LL</v>
          </cell>
          <cell r="J3429" t="str">
            <v>ALL</v>
          </cell>
          <cell r="K3429" t="str">
            <v>ALL</v>
          </cell>
          <cell r="L3429" t="str">
            <v>CV A06</v>
          </cell>
          <cell r="M3429" t="str">
            <v>PRD LINE CHO</v>
          </cell>
          <cell r="N3429" t="str">
            <v>FPI LL</v>
          </cell>
          <cell r="O3429" t="str">
            <v>B</v>
          </cell>
        </row>
        <row r="3430">
          <cell r="A3430">
            <v>79</v>
          </cell>
          <cell r="B3430" t="str">
            <v>ARIL KHOMAH</v>
          </cell>
          <cell r="C3430" t="str">
            <v>SAMI</v>
          </cell>
          <cell r="D3430" t="str">
            <v>OPT-3</v>
          </cell>
          <cell r="E3430">
            <v>37627</v>
          </cell>
          <cell r="F3430" t="str">
            <v>-</v>
          </cell>
          <cell r="G3430" t="str">
            <v>-</v>
          </cell>
          <cell r="H3430" t="str">
            <v>PRD</v>
          </cell>
          <cell r="I3430" t="str">
            <v>PRD LL</v>
          </cell>
          <cell r="J3430" t="str">
            <v>ALL</v>
          </cell>
          <cell r="K3430" t="str">
            <v>ALL</v>
          </cell>
          <cell r="L3430" t="str">
            <v>CV A07</v>
          </cell>
          <cell r="M3430" t="str">
            <v>PRD LINE CHO</v>
          </cell>
          <cell r="N3430" t="str">
            <v>FPI LL</v>
          </cell>
          <cell r="O3430" t="str">
            <v>A (NS)</v>
          </cell>
        </row>
        <row r="3431">
          <cell r="A3431">
            <v>5539</v>
          </cell>
          <cell r="B3431" t="str">
            <v>ARI TRI YANTO</v>
          </cell>
          <cell r="C3431" t="str">
            <v>SAMI</v>
          </cell>
          <cell r="D3431" t="str">
            <v>OPT-130</v>
          </cell>
          <cell r="E3431">
            <v>39052</v>
          </cell>
          <cell r="F3431" t="str">
            <v>-</v>
          </cell>
          <cell r="G3431" t="str">
            <v>-</v>
          </cell>
          <cell r="H3431" t="str">
            <v>PRD</v>
          </cell>
          <cell r="I3431" t="str">
            <v>PRD LL</v>
          </cell>
          <cell r="J3431" t="str">
            <v>ALL</v>
          </cell>
          <cell r="K3431" t="str">
            <v>ALL</v>
          </cell>
          <cell r="L3431" t="str">
            <v>CV A08 &amp; CV A11</v>
          </cell>
          <cell r="M3431" t="str">
            <v>PRD LINE CHO</v>
          </cell>
          <cell r="N3431" t="str">
            <v>FPI LL</v>
          </cell>
          <cell r="O3431" t="str">
            <v>A</v>
          </cell>
        </row>
        <row r="3432">
          <cell r="A3432">
            <v>183</v>
          </cell>
          <cell r="B3432" t="str">
            <v>SITI NUR KHASANAH</v>
          </cell>
          <cell r="C3432" t="str">
            <v>SAMI</v>
          </cell>
          <cell r="D3432" t="str">
            <v>OPT-5</v>
          </cell>
          <cell r="E3432">
            <v>37679</v>
          </cell>
          <cell r="F3432" t="str">
            <v>-</v>
          </cell>
          <cell r="G3432" t="str">
            <v>-</v>
          </cell>
          <cell r="H3432" t="str">
            <v>PRD</v>
          </cell>
          <cell r="I3432" t="str">
            <v>PRD LL</v>
          </cell>
          <cell r="J3432" t="str">
            <v>ALL</v>
          </cell>
          <cell r="K3432" t="str">
            <v>ALL</v>
          </cell>
          <cell r="L3432" t="str">
            <v>CV A08 &amp; CV A11</v>
          </cell>
          <cell r="M3432" t="str">
            <v>PRD LINE CHO</v>
          </cell>
          <cell r="N3432" t="str">
            <v>FPI LL</v>
          </cell>
          <cell r="O3432" t="str">
            <v>B</v>
          </cell>
        </row>
        <row r="3433">
          <cell r="A3433">
            <v>8771</v>
          </cell>
          <cell r="B3433" t="str">
            <v>JAMINAH</v>
          </cell>
          <cell r="C3433" t="str">
            <v>SAMI</v>
          </cell>
          <cell r="D3433" t="str">
            <v>OPT-194</v>
          </cell>
          <cell r="E3433">
            <v>39931</v>
          </cell>
          <cell r="F3433" t="str">
            <v>-</v>
          </cell>
          <cell r="G3433" t="str">
            <v>-</v>
          </cell>
          <cell r="H3433" t="str">
            <v>PRD</v>
          </cell>
          <cell r="I3433" t="str">
            <v>PRD LL</v>
          </cell>
          <cell r="J3433" t="str">
            <v>ALL</v>
          </cell>
          <cell r="K3433" t="str">
            <v>ALL</v>
          </cell>
          <cell r="L3433" t="str">
            <v>CV A09, CV A10 &amp; CV A12</v>
          </cell>
          <cell r="M3433" t="str">
            <v>PRD LINE CHO</v>
          </cell>
          <cell r="N3433" t="str">
            <v>FPI LL</v>
          </cell>
          <cell r="O3433" t="str">
            <v>A</v>
          </cell>
        </row>
        <row r="3434">
          <cell r="A3434">
            <v>8794</v>
          </cell>
          <cell r="B3434" t="str">
            <v>SITI MASRIAH</v>
          </cell>
          <cell r="C3434" t="str">
            <v>SAMI</v>
          </cell>
          <cell r="D3434" t="str">
            <v>OPT-194</v>
          </cell>
          <cell r="E3434">
            <v>39931</v>
          </cell>
          <cell r="F3434" t="str">
            <v>-</v>
          </cell>
          <cell r="G3434" t="str">
            <v>-</v>
          </cell>
          <cell r="H3434" t="str">
            <v>PRD</v>
          </cell>
          <cell r="I3434" t="str">
            <v>PRD LL</v>
          </cell>
          <cell r="J3434" t="str">
            <v>ALL</v>
          </cell>
          <cell r="K3434" t="str">
            <v>ALL</v>
          </cell>
          <cell r="L3434" t="str">
            <v>CV A09, CV A10 &amp; CV A12</v>
          </cell>
          <cell r="M3434" t="str">
            <v>PRD LINE CHO</v>
          </cell>
          <cell r="N3434" t="str">
            <v>FPI LL</v>
          </cell>
          <cell r="O3434" t="str">
            <v>B</v>
          </cell>
        </row>
        <row r="3435">
          <cell r="A3435">
            <v>6137</v>
          </cell>
          <cell r="B3435" t="str">
            <v>FEPTI CATUR WULANDARI</v>
          </cell>
          <cell r="C3435" t="str">
            <v>SAMI</v>
          </cell>
          <cell r="D3435" t="str">
            <v>OPT-140</v>
          </cell>
          <cell r="E3435">
            <v>39157</v>
          </cell>
          <cell r="F3435" t="str">
            <v>-</v>
          </cell>
          <cell r="G3435" t="str">
            <v>-</v>
          </cell>
          <cell r="H3435" t="str">
            <v>PRD</v>
          </cell>
          <cell r="I3435" t="str">
            <v>PRD LL</v>
          </cell>
          <cell r="J3435" t="str">
            <v>ALL</v>
          </cell>
          <cell r="K3435" t="str">
            <v>ALL</v>
          </cell>
          <cell r="L3435" t="str">
            <v>CV B01</v>
          </cell>
          <cell r="M3435" t="str">
            <v>PRD LINE CHO</v>
          </cell>
          <cell r="N3435" t="str">
            <v>FPI LL</v>
          </cell>
          <cell r="O3435" t="str">
            <v>A</v>
          </cell>
        </row>
        <row r="3436">
          <cell r="A3436">
            <v>519</v>
          </cell>
          <cell r="B3436" t="str">
            <v>LUSIA TRI WULANDARI</v>
          </cell>
          <cell r="C3436" t="str">
            <v>SAMI</v>
          </cell>
          <cell r="D3436" t="str">
            <v>OPT-14</v>
          </cell>
          <cell r="E3436">
            <v>37767</v>
          </cell>
          <cell r="F3436" t="str">
            <v>-</v>
          </cell>
          <cell r="G3436" t="str">
            <v>-</v>
          </cell>
          <cell r="H3436" t="str">
            <v>PRD</v>
          </cell>
          <cell r="I3436" t="str">
            <v>PRD LL</v>
          </cell>
          <cell r="J3436" t="str">
            <v>ALL</v>
          </cell>
          <cell r="K3436" t="str">
            <v>ALL</v>
          </cell>
          <cell r="L3436" t="str">
            <v>CV B01</v>
          </cell>
          <cell r="M3436" t="str">
            <v>PRD LINE CHO</v>
          </cell>
          <cell r="N3436" t="str">
            <v>FPI LL</v>
          </cell>
          <cell r="O3436" t="str">
            <v>B</v>
          </cell>
        </row>
        <row r="3437">
          <cell r="A3437">
            <v>285</v>
          </cell>
          <cell r="B3437" t="str">
            <v>RENY LESTARI</v>
          </cell>
          <cell r="C3437" t="str">
            <v>SAMI</v>
          </cell>
          <cell r="D3437" t="str">
            <v>OPT-8</v>
          </cell>
          <cell r="E3437">
            <v>37718</v>
          </cell>
          <cell r="F3437" t="str">
            <v>-</v>
          </cell>
          <cell r="G3437" t="str">
            <v>-</v>
          </cell>
          <cell r="H3437" t="str">
            <v>PRD</v>
          </cell>
          <cell r="I3437" t="str">
            <v>PRD LL</v>
          </cell>
          <cell r="J3437" t="str">
            <v>ALL</v>
          </cell>
          <cell r="K3437" t="str">
            <v>ALL</v>
          </cell>
          <cell r="L3437" t="str">
            <v>CV B09</v>
          </cell>
          <cell r="M3437" t="str">
            <v>PRD LINE CHO</v>
          </cell>
          <cell r="N3437" t="str">
            <v>FPI LL</v>
          </cell>
          <cell r="O3437" t="str">
            <v>A</v>
          </cell>
        </row>
        <row r="3438">
          <cell r="A3438">
            <v>9030</v>
          </cell>
          <cell r="B3438" t="str">
            <v>WANTI</v>
          </cell>
          <cell r="C3438" t="str">
            <v>SAMI</v>
          </cell>
          <cell r="D3438" t="str">
            <v>OPT-201</v>
          </cell>
          <cell r="E3438">
            <v>39975</v>
          </cell>
          <cell r="F3438" t="str">
            <v>-</v>
          </cell>
          <cell r="G3438" t="str">
            <v>-</v>
          </cell>
          <cell r="H3438" t="str">
            <v>PRD</v>
          </cell>
          <cell r="I3438" t="str">
            <v>PRD LL</v>
          </cell>
          <cell r="J3438" t="str">
            <v>ALL</v>
          </cell>
          <cell r="K3438" t="str">
            <v>ALL</v>
          </cell>
          <cell r="L3438" t="str">
            <v>CV B09</v>
          </cell>
          <cell r="M3438" t="str">
            <v>PRD LINE CHO</v>
          </cell>
          <cell r="N3438" t="str">
            <v>FPI LL</v>
          </cell>
          <cell r="O3438" t="str">
            <v>A</v>
          </cell>
        </row>
        <row r="3439">
          <cell r="A3439">
            <v>125</v>
          </cell>
          <cell r="B3439" t="str">
            <v>VITA NURUL COMA</v>
          </cell>
          <cell r="C3439" t="str">
            <v>SAMI</v>
          </cell>
          <cell r="D3439" t="str">
            <v>OPT-3</v>
          </cell>
          <cell r="E3439">
            <v>37627</v>
          </cell>
          <cell r="F3439" t="str">
            <v>-</v>
          </cell>
          <cell r="G3439" t="str">
            <v>-</v>
          </cell>
          <cell r="H3439" t="str">
            <v>PRD</v>
          </cell>
          <cell r="I3439" t="str">
            <v>PRD LL</v>
          </cell>
          <cell r="J3439" t="str">
            <v>ALL</v>
          </cell>
          <cell r="K3439" t="str">
            <v>ALL</v>
          </cell>
          <cell r="L3439" t="str">
            <v>CV HV 02 &amp; CV HV 13</v>
          </cell>
          <cell r="M3439" t="str">
            <v>PRD LINE CHO</v>
          </cell>
          <cell r="N3439" t="str">
            <v>FPI LL</v>
          </cell>
          <cell r="O3439" t="str">
            <v>A</v>
          </cell>
        </row>
        <row r="3440">
          <cell r="A3440">
            <v>181</v>
          </cell>
          <cell r="B3440" t="str">
            <v>RENI OFARA</v>
          </cell>
          <cell r="C3440" t="str">
            <v>SAMI</v>
          </cell>
          <cell r="D3440" t="str">
            <v>OPT-5</v>
          </cell>
          <cell r="E3440">
            <v>37679</v>
          </cell>
          <cell r="F3440" t="str">
            <v>-</v>
          </cell>
          <cell r="G3440" t="str">
            <v>-</v>
          </cell>
          <cell r="H3440" t="str">
            <v>PRD</v>
          </cell>
          <cell r="I3440" t="str">
            <v>PRD LL</v>
          </cell>
          <cell r="J3440" t="str">
            <v>ALL</v>
          </cell>
          <cell r="K3440" t="str">
            <v>ALL</v>
          </cell>
          <cell r="L3440" t="str">
            <v>CV HV 02 &amp; CV HV 13</v>
          </cell>
          <cell r="M3440" t="str">
            <v>PRD LINE CHO</v>
          </cell>
          <cell r="N3440" t="str">
            <v>FPI LL</v>
          </cell>
          <cell r="O3440" t="str">
            <v>B</v>
          </cell>
        </row>
        <row r="3441">
          <cell r="A3441">
            <v>614</v>
          </cell>
          <cell r="B3441" t="str">
            <v>ETIK APRIYANTI</v>
          </cell>
          <cell r="C3441" t="str">
            <v>SAMI</v>
          </cell>
          <cell r="D3441" t="str">
            <v>OPT-16</v>
          </cell>
          <cell r="E3441">
            <v>37781</v>
          </cell>
          <cell r="F3441" t="str">
            <v>-</v>
          </cell>
          <cell r="G3441" t="str">
            <v>-</v>
          </cell>
          <cell r="H3441" t="str">
            <v>PRD</v>
          </cell>
          <cell r="I3441" t="str">
            <v>PRD LL</v>
          </cell>
          <cell r="J3441" t="str">
            <v>ALL</v>
          </cell>
          <cell r="K3441" t="str">
            <v>ALL</v>
          </cell>
          <cell r="L3441" t="str">
            <v>CV HV 03 &amp; CV HV 6</v>
          </cell>
          <cell r="M3441" t="str">
            <v>PRD LINE CHO ( REMAGANG )</v>
          </cell>
          <cell r="N3441" t="str">
            <v>FPI LL</v>
          </cell>
          <cell r="O3441" t="str">
            <v>A</v>
          </cell>
        </row>
        <row r="3442">
          <cell r="A3442">
            <v>5694</v>
          </cell>
          <cell r="B3442" t="str">
            <v>DEWI MURWANTI</v>
          </cell>
          <cell r="C3442" t="str">
            <v>SAMI</v>
          </cell>
          <cell r="D3442" t="str">
            <v>OPT-134</v>
          </cell>
          <cell r="E3442">
            <v>39098</v>
          </cell>
          <cell r="F3442" t="str">
            <v>-</v>
          </cell>
          <cell r="G3442" t="str">
            <v>-</v>
          </cell>
          <cell r="H3442" t="str">
            <v>PRD</v>
          </cell>
          <cell r="I3442" t="str">
            <v>PRD LL</v>
          </cell>
          <cell r="J3442" t="str">
            <v>ALL</v>
          </cell>
          <cell r="K3442" t="str">
            <v>ALL</v>
          </cell>
          <cell r="L3442" t="str">
            <v>CV HV 03 &amp; CV HV 6</v>
          </cell>
          <cell r="M3442" t="str">
            <v>PRD LINE CHO</v>
          </cell>
          <cell r="N3442" t="str">
            <v>FPI LL</v>
          </cell>
          <cell r="O3442" t="str">
            <v>B</v>
          </cell>
        </row>
        <row r="3443">
          <cell r="A3443">
            <v>3732</v>
          </cell>
          <cell r="B3443" t="str">
            <v>SUPRIYATI</v>
          </cell>
          <cell r="C3443" t="str">
            <v>SAMI</v>
          </cell>
          <cell r="D3443" t="str">
            <v>OPT-98</v>
          </cell>
          <cell r="E3443">
            <v>38626</v>
          </cell>
          <cell r="F3443" t="str">
            <v>-</v>
          </cell>
          <cell r="G3443" t="str">
            <v>-</v>
          </cell>
          <cell r="H3443" t="str">
            <v>PRD</v>
          </cell>
          <cell r="I3443" t="str">
            <v>PRD LL</v>
          </cell>
          <cell r="J3443" t="str">
            <v>ALL</v>
          </cell>
          <cell r="K3443" t="str">
            <v>ALL</v>
          </cell>
          <cell r="L3443" t="str">
            <v>CV HV 04, CV HV 12, CV HV 08 &amp; CV HV 11</v>
          </cell>
          <cell r="M3443" t="str">
            <v>PRD LINE CHO</v>
          </cell>
          <cell r="N3443" t="str">
            <v>FPI LL</v>
          </cell>
          <cell r="O3443" t="str">
            <v>A</v>
          </cell>
        </row>
        <row r="3444">
          <cell r="A3444">
            <v>217</v>
          </cell>
          <cell r="B3444" t="str">
            <v>RIMA NOVIYATI</v>
          </cell>
          <cell r="C3444" t="str">
            <v>SAMI</v>
          </cell>
          <cell r="D3444" t="str">
            <v>OPT-6</v>
          </cell>
          <cell r="E3444">
            <v>37697</v>
          </cell>
          <cell r="F3444" t="str">
            <v>-</v>
          </cell>
          <cell r="G3444" t="str">
            <v>-</v>
          </cell>
          <cell r="H3444" t="str">
            <v>PRD</v>
          </cell>
          <cell r="I3444" t="str">
            <v>PRD LL</v>
          </cell>
          <cell r="J3444" t="str">
            <v>ALL</v>
          </cell>
          <cell r="K3444" t="str">
            <v>ALL</v>
          </cell>
          <cell r="L3444" t="str">
            <v>CV HV 04, CV HV 12, CV HV 08 &amp; CV HV 11</v>
          </cell>
          <cell r="M3444" t="str">
            <v>PRD LINE CHO</v>
          </cell>
          <cell r="N3444" t="str">
            <v>FPI LL</v>
          </cell>
          <cell r="O3444" t="str">
            <v>B</v>
          </cell>
        </row>
        <row r="3445">
          <cell r="A3445">
            <v>9519</v>
          </cell>
          <cell r="B3445" t="str">
            <v>MIRNA NINGSIH</v>
          </cell>
          <cell r="C3445" t="str">
            <v>SAMI</v>
          </cell>
          <cell r="D3445" t="str">
            <v>OPT-216</v>
          </cell>
          <cell r="E3445">
            <v>40148</v>
          </cell>
          <cell r="F3445" t="str">
            <v>-</v>
          </cell>
          <cell r="G3445" t="str">
            <v>-</v>
          </cell>
          <cell r="H3445" t="str">
            <v>PRD</v>
          </cell>
          <cell r="I3445" t="str">
            <v>PRD LL</v>
          </cell>
          <cell r="J3445" t="str">
            <v>ALL</v>
          </cell>
          <cell r="K3445" t="str">
            <v>ALL</v>
          </cell>
          <cell r="L3445" t="str">
            <v>CV HV 05 &amp; CV HV 10</v>
          </cell>
          <cell r="M3445" t="str">
            <v>PRD LINE CHO</v>
          </cell>
          <cell r="N3445" t="str">
            <v>FPI LL</v>
          </cell>
          <cell r="O3445" t="str">
            <v>B</v>
          </cell>
        </row>
        <row r="3446">
          <cell r="A3446">
            <v>8679</v>
          </cell>
          <cell r="B3446" t="str">
            <v>ALPRI ZULINTIAS</v>
          </cell>
          <cell r="C3446" t="str">
            <v>SAMI</v>
          </cell>
          <cell r="D3446" t="str">
            <v>OPT-190</v>
          </cell>
          <cell r="E3446">
            <v>39888</v>
          </cell>
          <cell r="F3446" t="str">
            <v>-</v>
          </cell>
          <cell r="G3446" t="str">
            <v>-</v>
          </cell>
          <cell r="H3446" t="str">
            <v>PRD</v>
          </cell>
          <cell r="I3446" t="str">
            <v>PRD LL</v>
          </cell>
          <cell r="J3446" t="str">
            <v>ALL</v>
          </cell>
          <cell r="K3446" t="str">
            <v>ALL</v>
          </cell>
          <cell r="L3446" t="str">
            <v>CV HV 07 &amp; CV HV 09</v>
          </cell>
          <cell r="M3446" t="str">
            <v>PRD LINE CHO ( REMAGANG )</v>
          </cell>
          <cell r="N3446" t="str">
            <v>FPI LL</v>
          </cell>
          <cell r="O3446" t="str">
            <v>A</v>
          </cell>
        </row>
        <row r="3447">
          <cell r="A3447">
            <v>281</v>
          </cell>
          <cell r="B3447" t="str">
            <v>SRI SUPARTINI</v>
          </cell>
          <cell r="C3447" t="str">
            <v>SAMI</v>
          </cell>
          <cell r="D3447" t="str">
            <v>OPT-8</v>
          </cell>
          <cell r="E3447">
            <v>37718</v>
          </cell>
          <cell r="F3447" t="str">
            <v>-</v>
          </cell>
          <cell r="G3447" t="str">
            <v>-</v>
          </cell>
          <cell r="H3447" t="str">
            <v>PRD</v>
          </cell>
          <cell r="I3447" t="str">
            <v>PRD LL</v>
          </cell>
          <cell r="J3447" t="str">
            <v>ALL</v>
          </cell>
          <cell r="K3447" t="str">
            <v>ALL</v>
          </cell>
          <cell r="L3447" t="str">
            <v>HSPO &amp; PL</v>
          </cell>
          <cell r="M3447" t="str">
            <v>PRD LL</v>
          </cell>
          <cell r="N3447" t="str">
            <v>FPI LL</v>
          </cell>
          <cell r="O3447" t="str">
            <v>A (NS)</v>
          </cell>
        </row>
        <row r="3448">
          <cell r="A3448">
            <v>9487</v>
          </cell>
          <cell r="B3448" t="str">
            <v>YUNI LESTARI</v>
          </cell>
          <cell r="C3448" t="str">
            <v>SAMI</v>
          </cell>
          <cell r="D3448" t="str">
            <v>OPT-216</v>
          </cell>
          <cell r="E3448">
            <v>40148</v>
          </cell>
          <cell r="F3448" t="str">
            <v>-</v>
          </cell>
          <cell r="G3448" t="str">
            <v>-</v>
          </cell>
          <cell r="H3448" t="str">
            <v>PRD</v>
          </cell>
          <cell r="I3448" t="str">
            <v>PRD LL</v>
          </cell>
          <cell r="J3448" t="str">
            <v>ALL</v>
          </cell>
          <cell r="K3448" t="str">
            <v>ALL</v>
          </cell>
          <cell r="L3448" t="str">
            <v>KONTROL MP MAGANG</v>
          </cell>
          <cell r="M3448" t="str">
            <v>PRD LINE CHO ( REMAGANG )</v>
          </cell>
          <cell r="N3448" t="str">
            <v>FPI LL</v>
          </cell>
          <cell r="O3448" t="str">
            <v>A (NS)</v>
          </cell>
        </row>
        <row r="3449">
          <cell r="A3449">
            <v>3735</v>
          </cell>
          <cell r="B3449" t="str">
            <v>SITI LESTARI</v>
          </cell>
          <cell r="C3449" t="str">
            <v>SAMI</v>
          </cell>
          <cell r="D3449" t="str">
            <v>OPT-98</v>
          </cell>
          <cell r="E3449">
            <v>38626</v>
          </cell>
          <cell r="F3449" t="str">
            <v>-</v>
          </cell>
          <cell r="G3449" t="str">
            <v>-</v>
          </cell>
          <cell r="H3449" t="str">
            <v>PRD</v>
          </cell>
          <cell r="I3449" t="str">
            <v>PRD LL</v>
          </cell>
          <cell r="J3449" t="str">
            <v>ALL</v>
          </cell>
          <cell r="K3449" t="str">
            <v>ALL</v>
          </cell>
          <cell r="L3449" t="str">
            <v>MAN POWER, OT, ADM</v>
          </cell>
          <cell r="M3449" t="str">
            <v>PRD LL</v>
          </cell>
          <cell r="N3449" t="str">
            <v>FPI LL</v>
          </cell>
          <cell r="O3449" t="str">
            <v>A (NS)</v>
          </cell>
        </row>
        <row r="3450">
          <cell r="A3450">
            <v>706</v>
          </cell>
          <cell r="B3450" t="str">
            <v>BUDI PRASETYO</v>
          </cell>
          <cell r="C3450" t="str">
            <v>SAMI</v>
          </cell>
          <cell r="D3450" t="str">
            <v>SPV UP</v>
          </cell>
          <cell r="E3450">
            <v>37802</v>
          </cell>
          <cell r="F3450" t="str">
            <v>-</v>
          </cell>
          <cell r="G3450" t="str">
            <v>-</v>
          </cell>
          <cell r="H3450" t="str">
            <v>PRD</v>
          </cell>
          <cell r="I3450" t="str">
            <v>PRD SPV</v>
          </cell>
          <cell r="J3450" t="str">
            <v>ALL</v>
          </cell>
          <cell r="K3450" t="str">
            <v>ALL</v>
          </cell>
          <cell r="L3450" t="str">
            <v>COORD. SUPERVISOR</v>
          </cell>
          <cell r="M3450" t="str">
            <v>COORD. SPV PRODUKSI</v>
          </cell>
          <cell r="N3450" t="str">
            <v>FPI SPV</v>
          </cell>
          <cell r="O3450" t="str">
            <v>A</v>
          </cell>
        </row>
        <row r="3451">
          <cell r="A3451">
            <v>5533</v>
          </cell>
          <cell r="B3451" t="str">
            <v>NANANG YUDI PRASETYO</v>
          </cell>
          <cell r="C3451" t="str">
            <v>SAMI</v>
          </cell>
          <cell r="D3451" t="str">
            <v>SPV UP</v>
          </cell>
          <cell r="E3451">
            <v>39027</v>
          </cell>
          <cell r="F3451" t="str">
            <v>-</v>
          </cell>
          <cell r="G3451" t="str">
            <v>-</v>
          </cell>
          <cell r="H3451" t="str">
            <v>PRD</v>
          </cell>
          <cell r="I3451" t="str">
            <v>PRD SPV</v>
          </cell>
          <cell r="J3451" t="str">
            <v>ALL</v>
          </cell>
          <cell r="K3451" t="str">
            <v>ALL</v>
          </cell>
          <cell r="L3451" t="str">
            <v>COORD. SUPERVISOR</v>
          </cell>
          <cell r="M3451" t="str">
            <v>COORD. SPV PRODUKSI</v>
          </cell>
          <cell r="N3451" t="str">
            <v>FPI SPV</v>
          </cell>
          <cell r="O3451" t="str">
            <v>A (NS)</v>
          </cell>
        </row>
        <row r="3452">
          <cell r="A3452">
            <v>1655</v>
          </cell>
          <cell r="B3452" t="str">
            <v>JOKO PURWANTO</v>
          </cell>
          <cell r="C3452" t="str">
            <v>SAMI</v>
          </cell>
          <cell r="D3452" t="str">
            <v>SPV UP</v>
          </cell>
          <cell r="E3452">
            <v>38061</v>
          </cell>
          <cell r="F3452" t="str">
            <v>-</v>
          </cell>
          <cell r="G3452" t="str">
            <v>-</v>
          </cell>
          <cell r="H3452" t="str">
            <v>PRD</v>
          </cell>
          <cell r="I3452" t="str">
            <v>PRD SPV</v>
          </cell>
          <cell r="J3452" t="str">
            <v>ALL</v>
          </cell>
          <cell r="K3452" t="str">
            <v>ALL</v>
          </cell>
          <cell r="L3452" t="str">
            <v>COORD. SUPERVISOR</v>
          </cell>
          <cell r="M3452" t="str">
            <v>COORD. SPV PRODUKSI</v>
          </cell>
          <cell r="N3452" t="str">
            <v>FPI SPV</v>
          </cell>
          <cell r="O3452" t="str">
            <v>B</v>
          </cell>
        </row>
        <row r="3453">
          <cell r="A3453">
            <v>126</v>
          </cell>
          <cell r="B3453" t="str">
            <v>WIHARYANTI</v>
          </cell>
          <cell r="C3453" t="str">
            <v>SAMI</v>
          </cell>
          <cell r="D3453" t="str">
            <v>SPV UP</v>
          </cell>
          <cell r="E3453">
            <v>37627</v>
          </cell>
          <cell r="F3453" t="str">
            <v>-</v>
          </cell>
          <cell r="G3453" t="str">
            <v>-</v>
          </cell>
          <cell r="H3453" t="str">
            <v>PRD</v>
          </cell>
          <cell r="I3453" t="str">
            <v>PRD SPV</v>
          </cell>
          <cell r="J3453" t="str">
            <v>ALL</v>
          </cell>
          <cell r="K3453" t="str">
            <v>ALL</v>
          </cell>
          <cell r="L3453" t="str">
            <v>SUPERVISOR</v>
          </cell>
          <cell r="M3453" t="str">
            <v>CPA HONDA, HONDA SOLENOID DAN BC</v>
          </cell>
          <cell r="N3453" t="str">
            <v>FPI SPV</v>
          </cell>
          <cell r="O3453" t="str">
            <v>A</v>
          </cell>
        </row>
        <row r="3454">
          <cell r="A3454">
            <v>268</v>
          </cell>
          <cell r="B3454" t="str">
            <v>TAUFIK WIDHIANTO</v>
          </cell>
          <cell r="C3454" t="str">
            <v>SAMI</v>
          </cell>
          <cell r="D3454" t="str">
            <v>SPV UP</v>
          </cell>
          <cell r="E3454">
            <v>37704</v>
          </cell>
          <cell r="F3454" t="str">
            <v>-</v>
          </cell>
          <cell r="G3454" t="str">
            <v>-</v>
          </cell>
          <cell r="H3454" t="str">
            <v>PRD</v>
          </cell>
          <cell r="I3454" t="str">
            <v>PRD SPV</v>
          </cell>
          <cell r="J3454" t="str">
            <v>ALL</v>
          </cell>
          <cell r="K3454" t="str">
            <v>ALL</v>
          </cell>
          <cell r="L3454" t="str">
            <v>SUPERVISOR</v>
          </cell>
          <cell r="M3454" t="str">
            <v>ALL HV, DYNA, CUTTING TUBE</v>
          </cell>
          <cell r="N3454" t="str">
            <v>FPI SPV</v>
          </cell>
          <cell r="O3454" t="str">
            <v>A</v>
          </cell>
        </row>
        <row r="3455">
          <cell r="A3455">
            <v>12028</v>
          </cell>
          <cell r="B3455" t="str">
            <v>ARDI RISDIANTO</v>
          </cell>
          <cell r="C3455" t="str">
            <v>SAMI</v>
          </cell>
          <cell r="D3455" t="str">
            <v>SPV UP</v>
          </cell>
          <cell r="E3455">
            <v>40791</v>
          </cell>
          <cell r="F3455" t="str">
            <v>-</v>
          </cell>
          <cell r="G3455" t="str">
            <v>-</v>
          </cell>
          <cell r="H3455" t="str">
            <v>PRD</v>
          </cell>
          <cell r="I3455" t="str">
            <v>PRD SPV</v>
          </cell>
          <cell r="J3455" t="str">
            <v>ALL</v>
          </cell>
          <cell r="K3455" t="str">
            <v>ALL</v>
          </cell>
          <cell r="L3455" t="str">
            <v>SUPERVISOR</v>
          </cell>
          <cell r="M3455" t="str">
            <v>MAZDA</v>
          </cell>
          <cell r="N3455" t="str">
            <v>FPI SPV</v>
          </cell>
          <cell r="O3455" t="str">
            <v>A</v>
          </cell>
        </row>
        <row r="3456">
          <cell r="A3456">
            <v>18662</v>
          </cell>
          <cell r="B3456" t="str">
            <v>MARYANTO</v>
          </cell>
          <cell r="C3456" t="str">
            <v>SAMI</v>
          </cell>
          <cell r="D3456" t="str">
            <v>SPV UP</v>
          </cell>
          <cell r="E3456">
            <v>42009</v>
          </cell>
          <cell r="F3456" t="str">
            <v>-</v>
          </cell>
          <cell r="G3456" t="str">
            <v>-</v>
          </cell>
          <cell r="H3456" t="str">
            <v>PRD</v>
          </cell>
          <cell r="I3456" t="str">
            <v>PRD SPV</v>
          </cell>
          <cell r="J3456" t="str">
            <v>ALL</v>
          </cell>
          <cell r="K3456" t="str">
            <v>ALL</v>
          </cell>
          <cell r="L3456" t="str">
            <v>SUPERVISOR</v>
          </cell>
          <cell r="M3456" t="str">
            <v>HONDA FIT, CITY, MTR BIKE, SMALLCAR, FREEDFIT, ACC</v>
          </cell>
          <cell r="N3456" t="str">
            <v>FPI SPV</v>
          </cell>
          <cell r="O3456" t="str">
            <v>A</v>
          </cell>
        </row>
        <row r="3457">
          <cell r="A3457">
            <v>1170</v>
          </cell>
          <cell r="B3457" t="str">
            <v>PUDJI IDAYANI</v>
          </cell>
          <cell r="C3457" t="str">
            <v>SAMI</v>
          </cell>
          <cell r="D3457" t="str">
            <v>SPV UP</v>
          </cell>
          <cell r="E3457">
            <v>37907</v>
          </cell>
          <cell r="F3457" t="str">
            <v>-</v>
          </cell>
          <cell r="G3457" t="str">
            <v>-</v>
          </cell>
          <cell r="H3457" t="str">
            <v>PRD</v>
          </cell>
          <cell r="I3457" t="str">
            <v>PRD SPV</v>
          </cell>
          <cell r="J3457" t="str">
            <v>ALL</v>
          </cell>
          <cell r="K3457" t="str">
            <v>ALL</v>
          </cell>
          <cell r="L3457" t="str">
            <v>SUPERVISOR</v>
          </cell>
          <cell r="M3457" t="str">
            <v>SUZUKI YW0, HONDA N-VAN</v>
          </cell>
          <cell r="N3457" t="str">
            <v>FPI SPV</v>
          </cell>
          <cell r="O3457" t="str">
            <v>A (NS)</v>
          </cell>
        </row>
        <row r="3458">
          <cell r="A3458">
            <v>4648</v>
          </cell>
          <cell r="B3458" t="str">
            <v>PADMI LESTARI</v>
          </cell>
          <cell r="C3458" t="str">
            <v>SAMI</v>
          </cell>
          <cell r="D3458" t="str">
            <v>SPV UP</v>
          </cell>
          <cell r="E3458">
            <v>38901</v>
          </cell>
          <cell r="F3458" t="str">
            <v>-</v>
          </cell>
          <cell r="G3458" t="str">
            <v>-</v>
          </cell>
          <cell r="H3458" t="str">
            <v>PRD</v>
          </cell>
          <cell r="I3458" t="str">
            <v>PRD SPV</v>
          </cell>
          <cell r="J3458" t="str">
            <v>ALL</v>
          </cell>
          <cell r="K3458" t="str">
            <v>ALL</v>
          </cell>
          <cell r="L3458" t="str">
            <v>SUPERVISOR</v>
          </cell>
          <cell r="M3458" t="str">
            <v>ADMIN, CUTTING PROJECT, HSPO &amp; PL</v>
          </cell>
          <cell r="N3458" t="str">
            <v>FPI SPV</v>
          </cell>
          <cell r="O3458" t="str">
            <v>A (NS)</v>
          </cell>
        </row>
        <row r="3459">
          <cell r="A3459">
            <v>12032</v>
          </cell>
          <cell r="B3459" t="str">
            <v>NUR FARID</v>
          </cell>
          <cell r="C3459" t="str">
            <v>SAMI</v>
          </cell>
          <cell r="D3459" t="str">
            <v>SPV UP</v>
          </cell>
          <cell r="E3459">
            <v>40791</v>
          </cell>
          <cell r="F3459" t="str">
            <v>-</v>
          </cell>
          <cell r="G3459" t="str">
            <v>-</v>
          </cell>
          <cell r="H3459" t="str">
            <v>PRD</v>
          </cell>
          <cell r="I3459" t="str">
            <v>PRD SPV</v>
          </cell>
          <cell r="J3459" t="str">
            <v>ALL</v>
          </cell>
          <cell r="K3459" t="str">
            <v>ALL</v>
          </cell>
          <cell r="L3459" t="str">
            <v>SUPERVISOR</v>
          </cell>
          <cell r="M3459" t="str">
            <v>ADMIN &amp; TRAINER</v>
          </cell>
          <cell r="N3459" t="str">
            <v>FPI SPV</v>
          </cell>
          <cell r="O3459" t="str">
            <v>A (NS)</v>
          </cell>
        </row>
        <row r="3460">
          <cell r="A3460">
            <v>13649</v>
          </cell>
          <cell r="B3460" t="str">
            <v>HERLAMBANG DIAN INDRA PRAJA</v>
          </cell>
          <cell r="C3460" t="str">
            <v>SAMI</v>
          </cell>
          <cell r="D3460" t="str">
            <v>SPV UP</v>
          </cell>
          <cell r="E3460">
            <v>41155</v>
          </cell>
          <cell r="F3460" t="str">
            <v>-</v>
          </cell>
          <cell r="G3460" t="str">
            <v>-</v>
          </cell>
          <cell r="H3460" t="str">
            <v>PRD</v>
          </cell>
          <cell r="I3460" t="str">
            <v>PRD SPV</v>
          </cell>
          <cell r="J3460" t="str">
            <v>ALL</v>
          </cell>
          <cell r="K3460" t="str">
            <v>ALL</v>
          </cell>
          <cell r="L3460" t="str">
            <v>SUPERVISOR</v>
          </cell>
          <cell r="M3460" t="str">
            <v>HINO DYNA, CUTTING TUBE</v>
          </cell>
          <cell r="N3460" t="str">
            <v>FPI SPV</v>
          </cell>
          <cell r="O3460" t="str">
            <v>A (NS)</v>
          </cell>
        </row>
        <row r="3461">
          <cell r="A3461">
            <v>284</v>
          </cell>
          <cell r="B3461" t="str">
            <v>PUDJI SRI SAPUTRI</v>
          </cell>
          <cell r="C3461" t="str">
            <v>SAMI</v>
          </cell>
          <cell r="D3461" t="str">
            <v>SPV UP</v>
          </cell>
          <cell r="E3461">
            <v>37718</v>
          </cell>
          <cell r="F3461" t="str">
            <v>-</v>
          </cell>
          <cell r="G3461" t="str">
            <v>-</v>
          </cell>
          <cell r="H3461" t="str">
            <v>PRD</v>
          </cell>
          <cell r="I3461" t="str">
            <v>PRD SPV</v>
          </cell>
          <cell r="J3461" t="str">
            <v>ALL</v>
          </cell>
          <cell r="K3461" t="str">
            <v>ALL</v>
          </cell>
          <cell r="L3461" t="str">
            <v>SUPERVISOR</v>
          </cell>
          <cell r="M3461" t="str">
            <v>MAZDA</v>
          </cell>
          <cell r="N3461" t="str">
            <v>FPI SPV</v>
          </cell>
          <cell r="O3461" t="str">
            <v>B</v>
          </cell>
        </row>
        <row r="3462">
          <cell r="A3462">
            <v>711</v>
          </cell>
          <cell r="B3462" t="str">
            <v>RAHMAT SAMUEL</v>
          </cell>
          <cell r="C3462" t="str">
            <v>SAMI</v>
          </cell>
          <cell r="D3462" t="str">
            <v>SPV UP</v>
          </cell>
          <cell r="E3462">
            <v>37802</v>
          </cell>
          <cell r="F3462" t="str">
            <v>-</v>
          </cell>
          <cell r="G3462" t="str">
            <v>-</v>
          </cell>
          <cell r="H3462" t="str">
            <v>PRD</v>
          </cell>
          <cell r="I3462" t="str">
            <v>PRD SPV</v>
          </cell>
          <cell r="J3462" t="str">
            <v>ALL</v>
          </cell>
          <cell r="K3462" t="str">
            <v>ALL</v>
          </cell>
          <cell r="L3462" t="str">
            <v>SUPERVISOR</v>
          </cell>
          <cell r="M3462" t="str">
            <v>CPA HONDA, HONDA SOLENOID DAN BC</v>
          </cell>
          <cell r="N3462" t="str">
            <v>FPI SPV</v>
          </cell>
          <cell r="O3462" t="str">
            <v>B</v>
          </cell>
        </row>
        <row r="3463">
          <cell r="A3463">
            <v>1206</v>
          </cell>
          <cell r="B3463" t="str">
            <v>SRI PURWANTI</v>
          </cell>
          <cell r="C3463" t="str">
            <v>SAMI</v>
          </cell>
          <cell r="D3463" t="str">
            <v>SPV UP</v>
          </cell>
          <cell r="E3463">
            <v>37914</v>
          </cell>
          <cell r="F3463" t="str">
            <v>-</v>
          </cell>
          <cell r="G3463" t="str">
            <v>-</v>
          </cell>
          <cell r="H3463" t="str">
            <v>PRD</v>
          </cell>
          <cell r="I3463" t="str">
            <v>PRD SPV</v>
          </cell>
          <cell r="J3463" t="str">
            <v>ALL</v>
          </cell>
          <cell r="K3463" t="str">
            <v>ALL</v>
          </cell>
          <cell r="L3463" t="str">
            <v>SUPERVISOR</v>
          </cell>
          <cell r="M3463" t="str">
            <v>ALL HV, DYNA, CUTTING TUBE</v>
          </cell>
          <cell r="N3463" t="str">
            <v>FPI SPV</v>
          </cell>
          <cell r="O3463" t="str">
            <v>B</v>
          </cell>
        </row>
        <row r="3464">
          <cell r="A3464">
            <v>13645</v>
          </cell>
          <cell r="B3464" t="str">
            <v>WIDODO PRASETIO</v>
          </cell>
          <cell r="C3464" t="str">
            <v>SAMI</v>
          </cell>
          <cell r="D3464" t="str">
            <v>SPV UP</v>
          </cell>
          <cell r="E3464">
            <v>41092</v>
          </cell>
          <cell r="F3464" t="str">
            <v>-</v>
          </cell>
          <cell r="G3464" t="str">
            <v>-</v>
          </cell>
          <cell r="H3464" t="str">
            <v>PRD</v>
          </cell>
          <cell r="I3464" t="str">
            <v>PRD SPV</v>
          </cell>
          <cell r="J3464" t="str">
            <v>ALL</v>
          </cell>
          <cell r="K3464" t="str">
            <v>ALL</v>
          </cell>
          <cell r="L3464" t="str">
            <v>SUPERVISOR</v>
          </cell>
          <cell r="M3464" t="str">
            <v>HONDA FIT, CITY, MTR BIKE, SMALLCAR, FREEDFIT, ACC</v>
          </cell>
          <cell r="N3464" t="str">
            <v>FPI SPV</v>
          </cell>
          <cell r="O3464" t="str">
            <v>B</v>
          </cell>
        </row>
        <row r="3465">
          <cell r="A3465">
            <v>18660</v>
          </cell>
          <cell r="B3465" t="str">
            <v>ERYC SEPTIAN PRASETYA</v>
          </cell>
          <cell r="C3465" t="str">
            <v>SAMI</v>
          </cell>
          <cell r="D3465" t="str">
            <v>SPV UP</v>
          </cell>
          <cell r="E3465">
            <v>42009</v>
          </cell>
          <cell r="F3465" t="str">
            <v>-</v>
          </cell>
          <cell r="G3465" t="str">
            <v>-</v>
          </cell>
          <cell r="H3465" t="str">
            <v>PRD</v>
          </cell>
          <cell r="I3465" t="str">
            <v>PRD SPV</v>
          </cell>
          <cell r="J3465" t="str">
            <v>ALL</v>
          </cell>
          <cell r="K3465" t="str">
            <v>ALL</v>
          </cell>
          <cell r="L3465" t="str">
            <v>SUPERVISOR</v>
          </cell>
          <cell r="M3465" t="str">
            <v>HONDA CRV</v>
          </cell>
          <cell r="N3465" t="str">
            <v>FPI SPV</v>
          </cell>
          <cell r="O3465" t="str">
            <v>B</v>
          </cell>
        </row>
        <row r="3466">
          <cell r="A3466">
            <v>9633</v>
          </cell>
          <cell r="B3466" t="str">
            <v>SITI NURIYAH</v>
          </cell>
          <cell r="C3466" t="str">
            <v>SAMI</v>
          </cell>
          <cell r="D3466" t="str">
            <v>OPT-218</v>
          </cell>
          <cell r="E3466">
            <v>40179</v>
          </cell>
          <cell r="F3466" t="str">
            <v>-</v>
          </cell>
          <cell r="G3466" t="str">
            <v>-</v>
          </cell>
          <cell r="H3466" t="str">
            <v>QA</v>
          </cell>
          <cell r="I3466" t="str">
            <v>INSP</v>
          </cell>
          <cell r="J3466" t="str">
            <v>ALL</v>
          </cell>
          <cell r="K3466" t="str">
            <v>ALL</v>
          </cell>
          <cell r="L3466" t="str">
            <v>ALL</v>
          </cell>
          <cell r="M3466" t="str">
            <v>GL PJK INSPECTION</v>
          </cell>
          <cell r="N3466" t="str">
            <v>GL</v>
          </cell>
          <cell r="O3466" t="str">
            <v>A</v>
          </cell>
        </row>
        <row r="3467">
          <cell r="A3467">
            <v>9926</v>
          </cell>
          <cell r="B3467" t="str">
            <v>DWI SULISTYOWATI</v>
          </cell>
          <cell r="C3467" t="str">
            <v>SAMI</v>
          </cell>
          <cell r="D3467" t="str">
            <v>OPT-246</v>
          </cell>
          <cell r="E3467">
            <v>40431</v>
          </cell>
          <cell r="F3467" t="str">
            <v>-</v>
          </cell>
          <cell r="G3467" t="str">
            <v>-</v>
          </cell>
          <cell r="H3467" t="str">
            <v>QA</v>
          </cell>
          <cell r="I3467" t="str">
            <v>INSP</v>
          </cell>
          <cell r="J3467" t="str">
            <v>ALL</v>
          </cell>
          <cell r="K3467" t="str">
            <v>ALL</v>
          </cell>
          <cell r="L3467" t="str">
            <v>ALL</v>
          </cell>
          <cell r="M3467" t="str">
            <v>PJK INSP</v>
          </cell>
          <cell r="N3467" t="str">
            <v>RELIEF</v>
          </cell>
          <cell r="O3467" t="str">
            <v>A</v>
          </cell>
        </row>
        <row r="3468">
          <cell r="A3468">
            <v>10287</v>
          </cell>
          <cell r="B3468" t="str">
            <v>NANIK</v>
          </cell>
          <cell r="C3468" t="str">
            <v>SAMI</v>
          </cell>
          <cell r="D3468" t="str">
            <v>OPT-263</v>
          </cell>
          <cell r="E3468">
            <v>40504</v>
          </cell>
          <cell r="F3468" t="str">
            <v>-</v>
          </cell>
          <cell r="G3468" t="str">
            <v>-</v>
          </cell>
          <cell r="H3468" t="str">
            <v>QA</v>
          </cell>
          <cell r="I3468" t="str">
            <v>INSP</v>
          </cell>
          <cell r="J3468" t="str">
            <v>ALL</v>
          </cell>
          <cell r="K3468" t="str">
            <v>ALL</v>
          </cell>
          <cell r="L3468" t="str">
            <v>ALL</v>
          </cell>
          <cell r="M3468" t="str">
            <v>PJK INSP</v>
          </cell>
          <cell r="N3468" t="str">
            <v>RELIEF</v>
          </cell>
          <cell r="O3468" t="str">
            <v>A</v>
          </cell>
        </row>
        <row r="3469">
          <cell r="A3469">
            <v>12233</v>
          </cell>
          <cell r="B3469" t="str">
            <v>AGUS SAPUTRA</v>
          </cell>
          <cell r="C3469" t="str">
            <v>SAMI</v>
          </cell>
          <cell r="D3469" t="str">
            <v>OPT-316</v>
          </cell>
          <cell r="E3469">
            <v>40805</v>
          </cell>
          <cell r="F3469" t="str">
            <v>-</v>
          </cell>
          <cell r="G3469" t="str">
            <v>-</v>
          </cell>
          <cell r="H3469" t="str">
            <v>QA</v>
          </cell>
          <cell r="I3469" t="str">
            <v>INSP</v>
          </cell>
          <cell r="J3469" t="str">
            <v>ALL</v>
          </cell>
          <cell r="K3469" t="str">
            <v>ALL</v>
          </cell>
          <cell r="L3469" t="str">
            <v>ALL</v>
          </cell>
          <cell r="M3469" t="str">
            <v>PJK INSP</v>
          </cell>
          <cell r="N3469" t="str">
            <v>RELIEF</v>
          </cell>
          <cell r="O3469" t="str">
            <v>A</v>
          </cell>
        </row>
        <row r="3470">
          <cell r="A3470">
            <v>12930</v>
          </cell>
          <cell r="B3470" t="str">
            <v>SETIANINGSIH</v>
          </cell>
          <cell r="C3470" t="str">
            <v>SAMI</v>
          </cell>
          <cell r="D3470" t="str">
            <v>OPT-322</v>
          </cell>
          <cell r="E3470">
            <v>40833</v>
          </cell>
          <cell r="F3470" t="str">
            <v>-</v>
          </cell>
          <cell r="G3470" t="str">
            <v>-</v>
          </cell>
          <cell r="H3470" t="str">
            <v>QA</v>
          </cell>
          <cell r="I3470" t="str">
            <v>INSP</v>
          </cell>
          <cell r="J3470" t="str">
            <v>ALL</v>
          </cell>
          <cell r="K3470" t="str">
            <v>ALL</v>
          </cell>
          <cell r="L3470" t="str">
            <v>ALL</v>
          </cell>
          <cell r="M3470" t="str">
            <v>PJK INSP</v>
          </cell>
          <cell r="N3470" t="str">
            <v>RELIEF</v>
          </cell>
          <cell r="O3470" t="str">
            <v>A</v>
          </cell>
        </row>
        <row r="3471">
          <cell r="A3471">
            <v>13653</v>
          </cell>
          <cell r="B3471" t="str">
            <v>PITA JUNIANI</v>
          </cell>
          <cell r="C3471" t="str">
            <v>SAMI</v>
          </cell>
          <cell r="D3471" t="str">
            <v>OPT-346</v>
          </cell>
          <cell r="E3471">
            <v>41165</v>
          </cell>
          <cell r="F3471" t="str">
            <v>-</v>
          </cell>
          <cell r="G3471" t="str">
            <v>-</v>
          </cell>
          <cell r="H3471" t="str">
            <v>QA</v>
          </cell>
          <cell r="I3471" t="str">
            <v>INSP</v>
          </cell>
          <cell r="J3471" t="str">
            <v>ALL</v>
          </cell>
          <cell r="K3471" t="str">
            <v>ALL</v>
          </cell>
          <cell r="L3471" t="str">
            <v>ALL</v>
          </cell>
          <cell r="M3471" t="str">
            <v>PJK INSP</v>
          </cell>
          <cell r="N3471" t="str">
            <v>RELIEF</v>
          </cell>
          <cell r="O3471" t="str">
            <v>A</v>
          </cell>
        </row>
        <row r="3472">
          <cell r="A3472">
            <v>5767</v>
          </cell>
          <cell r="B3472" t="str">
            <v>ERNAWATI</v>
          </cell>
          <cell r="C3472" t="str">
            <v>SAMI</v>
          </cell>
          <cell r="D3472" t="str">
            <v>OPT-135</v>
          </cell>
          <cell r="E3472">
            <v>39114</v>
          </cell>
          <cell r="F3472" t="str">
            <v>-</v>
          </cell>
          <cell r="G3472" t="str">
            <v>-</v>
          </cell>
          <cell r="H3472" t="str">
            <v>QA</v>
          </cell>
          <cell r="I3472" t="str">
            <v>INSP</v>
          </cell>
          <cell r="J3472" t="str">
            <v>ALL</v>
          </cell>
          <cell r="K3472" t="str">
            <v>ALL</v>
          </cell>
          <cell r="L3472" t="str">
            <v>ALL</v>
          </cell>
          <cell r="M3472" t="str">
            <v>GL PJK INSPECTION</v>
          </cell>
          <cell r="N3472" t="str">
            <v>GL</v>
          </cell>
          <cell r="O3472" t="str">
            <v>B</v>
          </cell>
        </row>
        <row r="3473">
          <cell r="A3473">
            <v>6147</v>
          </cell>
          <cell r="B3473" t="str">
            <v>NOVIA SARI</v>
          </cell>
          <cell r="C3473" t="str">
            <v>SAMI</v>
          </cell>
          <cell r="D3473" t="str">
            <v>OPT-140</v>
          </cell>
          <cell r="E3473">
            <v>39157</v>
          </cell>
          <cell r="F3473" t="str">
            <v>-</v>
          </cell>
          <cell r="G3473" t="str">
            <v>-</v>
          </cell>
          <cell r="H3473" t="str">
            <v>QA</v>
          </cell>
          <cell r="I3473" t="str">
            <v>INSP</v>
          </cell>
          <cell r="J3473" t="str">
            <v>ALL</v>
          </cell>
          <cell r="K3473" t="str">
            <v>ALL</v>
          </cell>
          <cell r="L3473" t="str">
            <v>ALL</v>
          </cell>
          <cell r="M3473" t="str">
            <v>PJK INSP</v>
          </cell>
          <cell r="N3473" t="str">
            <v>RELIEF</v>
          </cell>
          <cell r="O3473" t="str">
            <v>B</v>
          </cell>
        </row>
        <row r="3474">
          <cell r="A3474">
            <v>9427</v>
          </cell>
          <cell r="B3474" t="str">
            <v>DEWI SUNDARI</v>
          </cell>
          <cell r="C3474" t="str">
            <v>SAMI</v>
          </cell>
          <cell r="D3474" t="str">
            <v>OPT-216</v>
          </cell>
          <cell r="E3474">
            <v>40148</v>
          </cell>
          <cell r="F3474" t="str">
            <v>-</v>
          </cell>
          <cell r="G3474" t="str">
            <v>-</v>
          </cell>
          <cell r="H3474" t="str">
            <v>QA</v>
          </cell>
          <cell r="I3474" t="str">
            <v>INSP</v>
          </cell>
          <cell r="J3474" t="str">
            <v>ALL</v>
          </cell>
          <cell r="K3474" t="str">
            <v>ALL</v>
          </cell>
          <cell r="L3474" t="str">
            <v>ALL</v>
          </cell>
          <cell r="M3474" t="str">
            <v>PJK INSP</v>
          </cell>
          <cell r="N3474" t="str">
            <v>RELIEF</v>
          </cell>
          <cell r="O3474" t="str">
            <v>B</v>
          </cell>
        </row>
        <row r="3475">
          <cell r="A3475">
            <v>10127</v>
          </cell>
          <cell r="B3475" t="str">
            <v>TRI WAHYUNI PUDJI RAHAYU</v>
          </cell>
          <cell r="C3475" t="str">
            <v>SAMI</v>
          </cell>
          <cell r="D3475" t="str">
            <v>OPT-248</v>
          </cell>
          <cell r="E3475">
            <v>40444</v>
          </cell>
          <cell r="F3475" t="str">
            <v>-</v>
          </cell>
          <cell r="G3475" t="str">
            <v>-</v>
          </cell>
          <cell r="H3475" t="str">
            <v>QA</v>
          </cell>
          <cell r="I3475" t="str">
            <v>INSP</v>
          </cell>
          <cell r="J3475" t="str">
            <v>ALL</v>
          </cell>
          <cell r="K3475" t="str">
            <v>ALL</v>
          </cell>
          <cell r="L3475" t="str">
            <v>ALL</v>
          </cell>
          <cell r="M3475" t="str">
            <v>PJK INSP</v>
          </cell>
          <cell r="N3475" t="str">
            <v>RELIEF</v>
          </cell>
          <cell r="O3475" t="str">
            <v>B</v>
          </cell>
        </row>
        <row r="3476">
          <cell r="A3476">
            <v>10203</v>
          </cell>
          <cell r="B3476" t="str">
            <v>SITI NUR HIDAYAH</v>
          </cell>
          <cell r="C3476" t="str">
            <v>SAMI</v>
          </cell>
          <cell r="D3476" t="str">
            <v>OPT-253</v>
          </cell>
          <cell r="E3476">
            <v>40458</v>
          </cell>
          <cell r="F3476" t="str">
            <v>-</v>
          </cell>
          <cell r="G3476" t="str">
            <v>-</v>
          </cell>
          <cell r="H3476" t="str">
            <v>QA</v>
          </cell>
          <cell r="I3476" t="str">
            <v>INSP</v>
          </cell>
          <cell r="J3476" t="str">
            <v>ALL</v>
          </cell>
          <cell r="K3476" t="str">
            <v>ALL</v>
          </cell>
          <cell r="L3476" t="str">
            <v>ALL</v>
          </cell>
          <cell r="M3476" t="str">
            <v>PJK INSP</v>
          </cell>
          <cell r="N3476" t="str">
            <v>RELIEF</v>
          </cell>
          <cell r="O3476" t="str">
            <v>B</v>
          </cell>
        </row>
        <row r="3477">
          <cell r="A3477">
            <v>10290</v>
          </cell>
          <cell r="B3477" t="str">
            <v>RIYADUL KHASANAH</v>
          </cell>
          <cell r="C3477" t="str">
            <v>SAMI</v>
          </cell>
          <cell r="D3477" t="str">
            <v>OPT-263</v>
          </cell>
          <cell r="E3477">
            <v>40504</v>
          </cell>
          <cell r="F3477" t="str">
            <v>-</v>
          </cell>
          <cell r="G3477" t="str">
            <v>-</v>
          </cell>
          <cell r="H3477" t="str">
            <v>QA</v>
          </cell>
          <cell r="I3477" t="str">
            <v>INSP</v>
          </cell>
          <cell r="J3477" t="str">
            <v>ALL</v>
          </cell>
          <cell r="K3477" t="str">
            <v>ALL</v>
          </cell>
          <cell r="L3477" t="str">
            <v>ALL</v>
          </cell>
          <cell r="M3477" t="str">
            <v>PJK INSP</v>
          </cell>
          <cell r="N3477" t="str">
            <v>RELIEF</v>
          </cell>
          <cell r="O3477" t="str">
            <v>B</v>
          </cell>
        </row>
        <row r="3478">
          <cell r="A3478">
            <v>11019</v>
          </cell>
          <cell r="B3478" t="str">
            <v>RICHA LAILIA</v>
          </cell>
          <cell r="C3478" t="str">
            <v>SAMI</v>
          </cell>
          <cell r="D3478" t="str">
            <v>OPT-287</v>
          </cell>
          <cell r="E3478">
            <v>40585</v>
          </cell>
          <cell r="F3478" t="str">
            <v>-</v>
          </cell>
          <cell r="G3478" t="str">
            <v>-</v>
          </cell>
          <cell r="H3478" t="str">
            <v>QA</v>
          </cell>
          <cell r="I3478" t="str">
            <v>INSP</v>
          </cell>
          <cell r="J3478" t="str">
            <v>ALL</v>
          </cell>
          <cell r="K3478" t="str">
            <v>ALL</v>
          </cell>
          <cell r="L3478" t="str">
            <v>ALL</v>
          </cell>
          <cell r="M3478" t="str">
            <v>PJK INSP</v>
          </cell>
          <cell r="N3478" t="str">
            <v>RELIEF</v>
          </cell>
          <cell r="O3478" t="str">
            <v>B</v>
          </cell>
        </row>
        <row r="3479">
          <cell r="A3479">
            <v>4851</v>
          </cell>
          <cell r="B3479" t="str">
            <v>ROHMAT</v>
          </cell>
          <cell r="C3479" t="str">
            <v>SAMI</v>
          </cell>
          <cell r="D3479" t="str">
            <v>OPT-120</v>
          </cell>
          <cell r="E3479">
            <v>38930</v>
          </cell>
          <cell r="F3479" t="str">
            <v>-</v>
          </cell>
          <cell r="G3479" t="str">
            <v>-</v>
          </cell>
          <cell r="H3479" t="str">
            <v>QA</v>
          </cell>
          <cell r="I3479" t="str">
            <v>INSP</v>
          </cell>
          <cell r="J3479" t="str">
            <v>BATTERY CABLE</v>
          </cell>
          <cell r="K3479" t="str">
            <v>BATTERY CABLE</v>
          </cell>
          <cell r="L3479" t="str">
            <v>BATTERY CABLE NEW</v>
          </cell>
          <cell r="M3479" t="str">
            <v>FINAL INSPECTION</v>
          </cell>
          <cell r="N3479" t="str">
            <v>QA APPROVE</v>
          </cell>
          <cell r="O3479" t="str">
            <v>A</v>
          </cell>
        </row>
        <row r="3480">
          <cell r="A3480">
            <v>5230</v>
          </cell>
          <cell r="B3480" t="str">
            <v>IKA YULIANI</v>
          </cell>
          <cell r="C3480" t="str">
            <v>SAMI</v>
          </cell>
          <cell r="D3480" t="str">
            <v>OPT-125</v>
          </cell>
          <cell r="E3480">
            <v>38961</v>
          </cell>
          <cell r="F3480" t="str">
            <v>-</v>
          </cell>
          <cell r="G3480" t="str">
            <v>-</v>
          </cell>
          <cell r="H3480" t="str">
            <v>QA</v>
          </cell>
          <cell r="I3480" t="str">
            <v>INSP</v>
          </cell>
          <cell r="J3480" t="str">
            <v>BATTERY CABLE</v>
          </cell>
          <cell r="K3480" t="str">
            <v>BATTERY CABLE</v>
          </cell>
          <cell r="L3480" t="str">
            <v>BATTERY CABLE NEW</v>
          </cell>
          <cell r="M3480" t="str">
            <v>FINAL INSPECTION</v>
          </cell>
          <cell r="N3480" t="str">
            <v>QA APPROVE</v>
          </cell>
          <cell r="O3480" t="str">
            <v>A</v>
          </cell>
        </row>
        <row r="3481">
          <cell r="A3481">
            <v>13504</v>
          </cell>
          <cell r="B3481" t="str">
            <v>NAILATUL MAHMUDAH</v>
          </cell>
          <cell r="C3481" t="str">
            <v>SAMI</v>
          </cell>
          <cell r="D3481" t="str">
            <v>OPT-339</v>
          </cell>
          <cell r="E3481">
            <v>40945</v>
          </cell>
          <cell r="F3481" t="str">
            <v>-</v>
          </cell>
          <cell r="G3481" t="str">
            <v>-</v>
          </cell>
          <cell r="H3481" t="str">
            <v>QA</v>
          </cell>
          <cell r="I3481" t="str">
            <v>INSP</v>
          </cell>
          <cell r="J3481" t="str">
            <v>BATTERY CABLE</v>
          </cell>
          <cell r="K3481" t="str">
            <v>BATTERY CABLE</v>
          </cell>
          <cell r="L3481" t="str">
            <v>BATTERY CABLE NEW</v>
          </cell>
          <cell r="M3481" t="str">
            <v>FINAL INSPECTION</v>
          </cell>
          <cell r="N3481" t="str">
            <v>QA APPROVE</v>
          </cell>
          <cell r="O3481" t="str">
            <v>A</v>
          </cell>
        </row>
        <row r="3482">
          <cell r="A3482">
            <v>22883</v>
          </cell>
          <cell r="B3482" t="str">
            <v>RISKI SAPUTRA</v>
          </cell>
          <cell r="C3482" t="str">
            <v>SAMI</v>
          </cell>
          <cell r="D3482" t="str">
            <v>OPT-567</v>
          </cell>
          <cell r="E3482">
            <v>43333</v>
          </cell>
          <cell r="F3482">
            <v>43364</v>
          </cell>
          <cell r="G3482">
            <v>43738</v>
          </cell>
          <cell r="H3482" t="str">
            <v>QA</v>
          </cell>
          <cell r="I3482" t="str">
            <v>INSP</v>
          </cell>
          <cell r="J3482" t="str">
            <v>BATTERY CABLE</v>
          </cell>
          <cell r="K3482" t="str">
            <v>BATTERY CABLE</v>
          </cell>
          <cell r="L3482" t="str">
            <v>BATTERY CABLE NEW</v>
          </cell>
          <cell r="M3482" t="str">
            <v>FINAL INSPECTION</v>
          </cell>
          <cell r="N3482" t="str">
            <v>QA APPROVE</v>
          </cell>
          <cell r="O3482" t="str">
            <v>A</v>
          </cell>
        </row>
        <row r="3483">
          <cell r="A3483">
            <v>10235</v>
          </cell>
          <cell r="B3483" t="str">
            <v>HANA KUSUMAWARDANI</v>
          </cell>
          <cell r="C3483" t="str">
            <v>SAMI</v>
          </cell>
          <cell r="D3483" t="str">
            <v>OPT-259</v>
          </cell>
          <cell r="E3483">
            <v>40489</v>
          </cell>
          <cell r="F3483" t="str">
            <v>-</v>
          </cell>
          <cell r="G3483" t="str">
            <v>-</v>
          </cell>
          <cell r="H3483" t="str">
            <v>QA</v>
          </cell>
          <cell r="I3483" t="str">
            <v>INSP</v>
          </cell>
          <cell r="J3483" t="str">
            <v>BATTERY CABLE</v>
          </cell>
          <cell r="K3483" t="str">
            <v>BATTERY CABLE</v>
          </cell>
          <cell r="L3483" t="str">
            <v>BATTERY CABLE NEW</v>
          </cell>
          <cell r="M3483" t="str">
            <v>FINAL INSPECTION</v>
          </cell>
          <cell r="N3483" t="str">
            <v>QA APPROVE</v>
          </cell>
          <cell r="O3483" t="str">
            <v>B</v>
          </cell>
        </row>
        <row r="3484">
          <cell r="A3484">
            <v>11854</v>
          </cell>
          <cell r="B3484" t="str">
            <v>SUNDARI</v>
          </cell>
          <cell r="C3484" t="str">
            <v>SAMI</v>
          </cell>
          <cell r="D3484" t="str">
            <v>OPT-309</v>
          </cell>
          <cell r="E3484">
            <v>40721</v>
          </cell>
          <cell r="F3484" t="str">
            <v>-</v>
          </cell>
          <cell r="G3484" t="str">
            <v>-</v>
          </cell>
          <cell r="H3484" t="str">
            <v>QA</v>
          </cell>
          <cell r="I3484" t="str">
            <v>INSP</v>
          </cell>
          <cell r="J3484" t="str">
            <v>BATTERY CABLE</v>
          </cell>
          <cell r="K3484" t="str">
            <v>BATTERY CABLE</v>
          </cell>
          <cell r="L3484" t="str">
            <v>BATTERY CABLE NEW</v>
          </cell>
          <cell r="M3484" t="str">
            <v>FINAL INSPECTION</v>
          </cell>
          <cell r="N3484" t="str">
            <v>QA APPROVE</v>
          </cell>
          <cell r="O3484" t="str">
            <v>B</v>
          </cell>
        </row>
        <row r="3485">
          <cell r="A3485">
            <v>11946</v>
          </cell>
          <cell r="B3485" t="str">
            <v>NADHIFATUL MAULA</v>
          </cell>
          <cell r="C3485" t="str">
            <v>SAMI</v>
          </cell>
          <cell r="D3485" t="str">
            <v>OPT-311</v>
          </cell>
          <cell r="E3485">
            <v>40770</v>
          </cell>
          <cell r="F3485" t="str">
            <v>-</v>
          </cell>
          <cell r="G3485" t="str">
            <v>-</v>
          </cell>
          <cell r="H3485" t="str">
            <v>QA</v>
          </cell>
          <cell r="I3485" t="str">
            <v>INSP</v>
          </cell>
          <cell r="J3485" t="str">
            <v>BATTERY CABLE</v>
          </cell>
          <cell r="K3485" t="str">
            <v>BATTERY CABLE</v>
          </cell>
          <cell r="L3485" t="str">
            <v>BATTERY CABLE NEW</v>
          </cell>
          <cell r="M3485" t="str">
            <v>FINAL INSPECTION</v>
          </cell>
          <cell r="N3485" t="str">
            <v>QA APPROVE</v>
          </cell>
          <cell r="O3485" t="str">
            <v>B</v>
          </cell>
        </row>
        <row r="3486">
          <cell r="A3486">
            <v>21961</v>
          </cell>
          <cell r="B3486" t="str">
            <v>LIPUR HIDAYAH</v>
          </cell>
          <cell r="C3486" t="str">
            <v>SAMI</v>
          </cell>
          <cell r="D3486" t="str">
            <v>OPT-545</v>
          </cell>
          <cell r="E3486">
            <v>43116</v>
          </cell>
          <cell r="F3486">
            <v>43147</v>
          </cell>
          <cell r="G3486">
            <v>43524</v>
          </cell>
          <cell r="H3486" t="str">
            <v>QA</v>
          </cell>
          <cell r="I3486" t="str">
            <v>INSP</v>
          </cell>
          <cell r="J3486" t="str">
            <v>BATTERY CABLE</v>
          </cell>
          <cell r="K3486" t="str">
            <v>BATTERY CABLE</v>
          </cell>
          <cell r="L3486" t="str">
            <v>BATTERY CABLE NEW</v>
          </cell>
          <cell r="M3486" t="str">
            <v>FINAL INSPECTION</v>
          </cell>
          <cell r="N3486" t="str">
            <v>QA APPROVE</v>
          </cell>
          <cell r="O3486" t="str">
            <v>B</v>
          </cell>
        </row>
        <row r="3487">
          <cell r="A3487">
            <v>5435</v>
          </cell>
          <cell r="B3487" t="str">
            <v>PUJIATI</v>
          </cell>
          <cell r="C3487" t="str">
            <v>SAMI</v>
          </cell>
          <cell r="D3487" t="str">
            <v>OPT-128</v>
          </cell>
          <cell r="E3487">
            <v>38991</v>
          </cell>
          <cell r="F3487" t="str">
            <v>-</v>
          </cell>
          <cell r="G3487" t="str">
            <v>-</v>
          </cell>
          <cell r="H3487" t="str">
            <v>QA</v>
          </cell>
          <cell r="I3487" t="str">
            <v>INSP</v>
          </cell>
          <cell r="J3487" t="str">
            <v>SUZUKI WAGON R</v>
          </cell>
          <cell r="K3487" t="str">
            <v>SUZUKI YW0</v>
          </cell>
          <cell r="L3487" t="str">
            <v>CV 1</v>
          </cell>
          <cell r="M3487" t="str">
            <v>FINAL INSPECTION</v>
          </cell>
          <cell r="N3487" t="str">
            <v>QA APPROVE</v>
          </cell>
          <cell r="O3487" t="str">
            <v>A</v>
          </cell>
        </row>
        <row r="3488">
          <cell r="A3488">
            <v>10642</v>
          </cell>
          <cell r="B3488" t="str">
            <v>YANI WIDIASTUTI</v>
          </cell>
          <cell r="C3488" t="str">
            <v>SAMI</v>
          </cell>
          <cell r="D3488" t="str">
            <v>OPT-278</v>
          </cell>
          <cell r="E3488">
            <v>40549</v>
          </cell>
          <cell r="F3488" t="str">
            <v>-</v>
          </cell>
          <cell r="G3488" t="str">
            <v>-</v>
          </cell>
          <cell r="H3488" t="str">
            <v>QA</v>
          </cell>
          <cell r="I3488" t="str">
            <v>INSP</v>
          </cell>
          <cell r="J3488" t="str">
            <v>SUZUKI WAGON R</v>
          </cell>
          <cell r="K3488" t="str">
            <v>SUZUKI YW0</v>
          </cell>
          <cell r="L3488" t="str">
            <v>CV 1</v>
          </cell>
          <cell r="M3488" t="str">
            <v>DC</v>
          </cell>
          <cell r="N3488" t="str">
            <v>DC</v>
          </cell>
          <cell r="O3488" t="str">
            <v>A</v>
          </cell>
        </row>
        <row r="3489">
          <cell r="A3489">
            <v>23020</v>
          </cell>
          <cell r="B3489" t="str">
            <v>FITRIANA</v>
          </cell>
          <cell r="C3489" t="str">
            <v>SAMI</v>
          </cell>
          <cell r="D3489" t="str">
            <v>OPT-569</v>
          </cell>
          <cell r="E3489">
            <v>43361</v>
          </cell>
          <cell r="F3489">
            <v>43391</v>
          </cell>
          <cell r="G3489">
            <v>43769</v>
          </cell>
          <cell r="H3489" t="str">
            <v>QA</v>
          </cell>
          <cell r="I3489" t="str">
            <v>INSP</v>
          </cell>
          <cell r="J3489" t="str">
            <v>SUZUKI WAGON R</v>
          </cell>
          <cell r="K3489" t="str">
            <v>SUZUKI YW0</v>
          </cell>
          <cell r="L3489" t="str">
            <v>CV 1</v>
          </cell>
          <cell r="M3489" t="str">
            <v>FINAL INSPECTION</v>
          </cell>
          <cell r="N3489" t="str">
            <v>QA APPROVE</v>
          </cell>
          <cell r="O3489" t="str">
            <v>A</v>
          </cell>
        </row>
        <row r="3490">
          <cell r="A3490" t="str">
            <v>B00927</v>
          </cell>
          <cell r="B3490" t="str">
            <v>NURUL ISMILATUN ANISAH</v>
          </cell>
          <cell r="C3490" t="str">
            <v>SAMI</v>
          </cell>
          <cell r="D3490" t="str">
            <v>BBF-020</v>
          </cell>
          <cell r="E3490">
            <v>40955</v>
          </cell>
          <cell r="F3490" t="str">
            <v>-</v>
          </cell>
          <cell r="G3490" t="str">
            <v>-</v>
          </cell>
          <cell r="H3490" t="str">
            <v>QA</v>
          </cell>
          <cell r="I3490" t="str">
            <v>INSP</v>
          </cell>
          <cell r="J3490" t="str">
            <v>SUZUKI WAGON R</v>
          </cell>
          <cell r="K3490" t="str">
            <v>SUZUKI YW0</v>
          </cell>
          <cell r="L3490" t="str">
            <v>CV 1</v>
          </cell>
          <cell r="M3490" t="str">
            <v>DC</v>
          </cell>
          <cell r="N3490" t="str">
            <v>DC</v>
          </cell>
          <cell r="O3490" t="str">
            <v>A</v>
          </cell>
        </row>
        <row r="3491">
          <cell r="A3491">
            <v>10274</v>
          </cell>
          <cell r="B3491" t="str">
            <v>WIDYA NURMALITASARI</v>
          </cell>
          <cell r="C3491" t="str">
            <v>SAMI</v>
          </cell>
          <cell r="D3491" t="str">
            <v>OPT-261</v>
          </cell>
          <cell r="E3491">
            <v>40497</v>
          </cell>
          <cell r="F3491" t="str">
            <v>-</v>
          </cell>
          <cell r="G3491" t="str">
            <v>-</v>
          </cell>
          <cell r="H3491" t="str">
            <v>QA</v>
          </cell>
          <cell r="I3491" t="str">
            <v>INSP</v>
          </cell>
          <cell r="J3491" t="str">
            <v>SUZUKI WAGON R</v>
          </cell>
          <cell r="K3491" t="str">
            <v>SUZUKI YW0</v>
          </cell>
          <cell r="L3491" t="str">
            <v>CV 1</v>
          </cell>
          <cell r="M3491" t="str">
            <v>FINAL INSPECTION</v>
          </cell>
          <cell r="N3491" t="str">
            <v>QA APPROVE</v>
          </cell>
          <cell r="O3491" t="str">
            <v>B</v>
          </cell>
        </row>
        <row r="3492">
          <cell r="A3492">
            <v>11522</v>
          </cell>
          <cell r="B3492" t="str">
            <v>ANISAH NURUL Q.</v>
          </cell>
          <cell r="C3492" t="str">
            <v>SAMI</v>
          </cell>
          <cell r="D3492" t="str">
            <v>OPT-307</v>
          </cell>
          <cell r="E3492">
            <v>40707</v>
          </cell>
          <cell r="F3492" t="str">
            <v>-</v>
          </cell>
          <cell r="G3492" t="str">
            <v>-</v>
          </cell>
          <cell r="H3492" t="str">
            <v>QA</v>
          </cell>
          <cell r="I3492" t="str">
            <v>INSP</v>
          </cell>
          <cell r="J3492" t="str">
            <v>SUZUKI WAGON R</v>
          </cell>
          <cell r="K3492" t="str">
            <v>SUZUKI YW0</v>
          </cell>
          <cell r="L3492" t="str">
            <v>CV 1</v>
          </cell>
          <cell r="M3492" t="str">
            <v>DC</v>
          </cell>
          <cell r="N3492" t="str">
            <v>DC</v>
          </cell>
          <cell r="O3492" t="str">
            <v>B</v>
          </cell>
        </row>
        <row r="3493">
          <cell r="A3493">
            <v>12254</v>
          </cell>
          <cell r="B3493" t="str">
            <v>DIAH PONCORINI</v>
          </cell>
          <cell r="C3493" t="str">
            <v>SAMI</v>
          </cell>
          <cell r="D3493" t="str">
            <v>OPT-316</v>
          </cell>
          <cell r="E3493">
            <v>40805</v>
          </cell>
          <cell r="F3493" t="str">
            <v>-</v>
          </cell>
          <cell r="G3493" t="str">
            <v>-</v>
          </cell>
          <cell r="H3493" t="str">
            <v>QA</v>
          </cell>
          <cell r="I3493" t="str">
            <v>INSP</v>
          </cell>
          <cell r="J3493" t="str">
            <v>SUZUKI WAGON R</v>
          </cell>
          <cell r="K3493" t="str">
            <v>SUZUKI YW0</v>
          </cell>
          <cell r="L3493" t="str">
            <v>CV 1</v>
          </cell>
          <cell r="M3493" t="str">
            <v>DC</v>
          </cell>
          <cell r="N3493" t="str">
            <v>DC</v>
          </cell>
          <cell r="O3493" t="str">
            <v>B</v>
          </cell>
        </row>
        <row r="3494">
          <cell r="A3494">
            <v>19080</v>
          </cell>
          <cell r="B3494" t="str">
            <v>ANIK SETYOWATI</v>
          </cell>
          <cell r="C3494" t="str">
            <v>SAMI</v>
          </cell>
          <cell r="D3494" t="str">
            <v>OPT-475</v>
          </cell>
          <cell r="E3494">
            <v>42254</v>
          </cell>
          <cell r="F3494" t="str">
            <v>-</v>
          </cell>
          <cell r="G3494" t="str">
            <v>-</v>
          </cell>
          <cell r="H3494" t="str">
            <v>QA</v>
          </cell>
          <cell r="I3494" t="str">
            <v>INSP</v>
          </cell>
          <cell r="J3494" t="str">
            <v>SUZUKI WAGON R</v>
          </cell>
          <cell r="K3494" t="str">
            <v>SUZUKI YW0</v>
          </cell>
          <cell r="L3494" t="str">
            <v>CV 1</v>
          </cell>
          <cell r="M3494" t="str">
            <v>FINAL INSPECTION</v>
          </cell>
          <cell r="N3494" t="str">
            <v>QA APPROVE</v>
          </cell>
          <cell r="O3494" t="str">
            <v>B</v>
          </cell>
        </row>
        <row r="3495">
          <cell r="A3495">
            <v>5256</v>
          </cell>
          <cell r="B3495" t="str">
            <v>MUKHAYATI</v>
          </cell>
          <cell r="C3495" t="str">
            <v>SAMI</v>
          </cell>
          <cell r="D3495" t="str">
            <v>OPT-125</v>
          </cell>
          <cell r="E3495">
            <v>38961</v>
          </cell>
          <cell r="F3495" t="str">
            <v>-</v>
          </cell>
          <cell r="G3495" t="str">
            <v>-</v>
          </cell>
          <cell r="H3495" t="str">
            <v>QA</v>
          </cell>
          <cell r="I3495" t="str">
            <v>INSP</v>
          </cell>
          <cell r="J3495" t="str">
            <v>SUZUKI WAGON R, SUZUKI HUTSLER, HONDA CR-V</v>
          </cell>
          <cell r="K3495" t="str">
            <v>SUZUKI</v>
          </cell>
          <cell r="L3495" t="str">
            <v>CV 1, A03, A08, A10, A12</v>
          </cell>
          <cell r="M3495" t="str">
            <v>GL INSPECTION</v>
          </cell>
          <cell r="N3495" t="str">
            <v>GL</v>
          </cell>
          <cell r="O3495" t="str">
            <v>A</v>
          </cell>
        </row>
        <row r="3496">
          <cell r="A3496">
            <v>5430</v>
          </cell>
          <cell r="B3496" t="str">
            <v>MAS ENDI</v>
          </cell>
          <cell r="C3496" t="str">
            <v>SAMI</v>
          </cell>
          <cell r="D3496" t="str">
            <v>OPT-128</v>
          </cell>
          <cell r="E3496">
            <v>38991</v>
          </cell>
          <cell r="F3496" t="str">
            <v>-</v>
          </cell>
          <cell r="G3496" t="str">
            <v>-</v>
          </cell>
          <cell r="H3496" t="str">
            <v>QA</v>
          </cell>
          <cell r="I3496" t="str">
            <v>INSP</v>
          </cell>
          <cell r="J3496" t="str">
            <v>SUZUKI WAGON R, SUZUKI HUTSLER, HONDA CR-V</v>
          </cell>
          <cell r="K3496" t="str">
            <v>SUZUKI</v>
          </cell>
          <cell r="L3496" t="str">
            <v>CV 1, A03, A08, A10, A12</v>
          </cell>
          <cell r="M3496" t="str">
            <v>GL INSPECTION</v>
          </cell>
          <cell r="N3496" t="str">
            <v>GL</v>
          </cell>
          <cell r="O3496" t="str">
            <v>B</v>
          </cell>
        </row>
        <row r="3497">
          <cell r="A3497">
            <v>10931</v>
          </cell>
          <cell r="B3497" t="str">
            <v>INAYATUL CHASANAH</v>
          </cell>
          <cell r="C3497" t="str">
            <v>SAMI</v>
          </cell>
          <cell r="D3497" t="str">
            <v>OPT-285</v>
          </cell>
          <cell r="E3497">
            <v>40578</v>
          </cell>
          <cell r="F3497" t="str">
            <v>-</v>
          </cell>
          <cell r="G3497" t="str">
            <v>-</v>
          </cell>
          <cell r="H3497" t="str">
            <v>QA</v>
          </cell>
          <cell r="I3497" t="str">
            <v>INSP</v>
          </cell>
          <cell r="J3497" t="str">
            <v>HONDA MOTORBIKE</v>
          </cell>
          <cell r="K3497" t="str">
            <v>HONDA HARNESS WIRE</v>
          </cell>
          <cell r="L3497" t="str">
            <v>CV 10</v>
          </cell>
          <cell r="M3497" t="str">
            <v>FINAL INSPECTION</v>
          </cell>
          <cell r="N3497" t="str">
            <v>QA APPROVE</v>
          </cell>
          <cell r="O3497" t="str">
            <v>A</v>
          </cell>
        </row>
        <row r="3498">
          <cell r="A3498">
            <v>13251</v>
          </cell>
          <cell r="B3498" t="str">
            <v>NIKMATUL MAGHFIROH</v>
          </cell>
          <cell r="C3498" t="str">
            <v>SAMI</v>
          </cell>
          <cell r="D3498" t="str">
            <v>OPT-335</v>
          </cell>
          <cell r="E3498">
            <v>40917</v>
          </cell>
          <cell r="F3498" t="str">
            <v>-</v>
          </cell>
          <cell r="G3498" t="str">
            <v>-</v>
          </cell>
          <cell r="H3498" t="str">
            <v>QA</v>
          </cell>
          <cell r="I3498" t="str">
            <v>INSP</v>
          </cell>
          <cell r="J3498" t="str">
            <v>HONDA MOTORBIKE</v>
          </cell>
          <cell r="K3498" t="str">
            <v>HONDA HARNESS WIRE</v>
          </cell>
          <cell r="L3498" t="str">
            <v>CV 10</v>
          </cell>
          <cell r="M3498" t="str">
            <v>DC</v>
          </cell>
          <cell r="N3498" t="str">
            <v>DC</v>
          </cell>
          <cell r="O3498" t="str">
            <v>A</v>
          </cell>
        </row>
        <row r="3499">
          <cell r="A3499">
            <v>15339</v>
          </cell>
          <cell r="B3499" t="str">
            <v>LUVI OKVIANTI</v>
          </cell>
          <cell r="C3499" t="str">
            <v>SAMI</v>
          </cell>
          <cell r="D3499" t="str">
            <v>OPT-387</v>
          </cell>
          <cell r="E3499">
            <v>41442</v>
          </cell>
          <cell r="F3499" t="str">
            <v>-</v>
          </cell>
          <cell r="G3499" t="str">
            <v>-</v>
          </cell>
          <cell r="H3499" t="str">
            <v>QA</v>
          </cell>
          <cell r="I3499" t="str">
            <v>INSP</v>
          </cell>
          <cell r="J3499" t="str">
            <v>HONDA MOTORBIKE</v>
          </cell>
          <cell r="K3499" t="str">
            <v>HONDA HARNESS WIRE</v>
          </cell>
          <cell r="L3499" t="str">
            <v>CV 10</v>
          </cell>
          <cell r="M3499" t="str">
            <v>FINAL INSPECTION</v>
          </cell>
          <cell r="N3499" t="str">
            <v>QA APPROVE</v>
          </cell>
          <cell r="O3499" t="str">
            <v>A</v>
          </cell>
        </row>
        <row r="3500">
          <cell r="A3500">
            <v>3723</v>
          </cell>
          <cell r="B3500" t="str">
            <v>NURUL KHASANAH</v>
          </cell>
          <cell r="C3500" t="str">
            <v>SAMI</v>
          </cell>
          <cell r="D3500" t="str">
            <v>OPT-98</v>
          </cell>
          <cell r="E3500">
            <v>38626</v>
          </cell>
          <cell r="F3500" t="str">
            <v>-</v>
          </cell>
          <cell r="G3500" t="str">
            <v>-</v>
          </cell>
          <cell r="H3500" t="str">
            <v>QA</v>
          </cell>
          <cell r="I3500" t="str">
            <v>INSP</v>
          </cell>
          <cell r="J3500" t="str">
            <v>HONDA MOTORBIKE, HONDA FIT, HONDA GRACE</v>
          </cell>
          <cell r="K3500" t="str">
            <v>HONDA</v>
          </cell>
          <cell r="L3500" t="str">
            <v>CV 10, 13, 17, B09</v>
          </cell>
          <cell r="M3500" t="str">
            <v>GL INSPECTION</v>
          </cell>
          <cell r="N3500" t="str">
            <v>GL</v>
          </cell>
          <cell r="O3500" t="str">
            <v>A</v>
          </cell>
        </row>
        <row r="3501">
          <cell r="A3501" t="str">
            <v>B00428</v>
          </cell>
          <cell r="B3501" t="str">
            <v>DWI ANGGAR SULISTYO</v>
          </cell>
          <cell r="C3501" t="str">
            <v>SAMI</v>
          </cell>
          <cell r="D3501" t="str">
            <v>BBF-007</v>
          </cell>
          <cell r="E3501">
            <v>40868</v>
          </cell>
          <cell r="F3501" t="str">
            <v>-</v>
          </cell>
          <cell r="G3501" t="str">
            <v>-</v>
          </cell>
          <cell r="H3501" t="str">
            <v>QA</v>
          </cell>
          <cell r="I3501" t="str">
            <v>INSP</v>
          </cell>
          <cell r="J3501" t="str">
            <v>HONDA MOTORBIKE, HONDA FIT, HONDA GRACE</v>
          </cell>
          <cell r="K3501" t="str">
            <v>HONDA</v>
          </cell>
          <cell r="L3501" t="str">
            <v>CV 10, 13, 17, B09</v>
          </cell>
          <cell r="M3501" t="str">
            <v>GL INSPECTION</v>
          </cell>
          <cell r="N3501" t="str">
            <v>GL</v>
          </cell>
          <cell r="O3501" t="str">
            <v>B</v>
          </cell>
        </row>
        <row r="3502">
          <cell r="A3502">
            <v>11584</v>
          </cell>
          <cell r="B3502" t="str">
            <v>NUR AINI</v>
          </cell>
          <cell r="C3502" t="str">
            <v>SAMI</v>
          </cell>
          <cell r="D3502" t="str">
            <v>OPT-307</v>
          </cell>
          <cell r="E3502">
            <v>40707</v>
          </cell>
          <cell r="F3502" t="str">
            <v>-</v>
          </cell>
          <cell r="G3502" t="str">
            <v>-</v>
          </cell>
          <cell r="H3502" t="str">
            <v>QA</v>
          </cell>
          <cell r="I3502" t="str">
            <v>INSP</v>
          </cell>
          <cell r="J3502" t="str">
            <v>HONDA N-WAGON</v>
          </cell>
          <cell r="K3502" t="str">
            <v>HONDA SMALL CAR W/H DOOR</v>
          </cell>
          <cell r="L3502" t="str">
            <v>CV 12</v>
          </cell>
          <cell r="M3502" t="str">
            <v>VISUAL</v>
          </cell>
          <cell r="N3502" t="str">
            <v>VISUAL INSPECTION</v>
          </cell>
          <cell r="O3502" t="str">
            <v>B</v>
          </cell>
        </row>
        <row r="3503">
          <cell r="A3503">
            <v>20513</v>
          </cell>
          <cell r="B3503" t="str">
            <v>NUR AENI</v>
          </cell>
          <cell r="C3503" t="str">
            <v>SAMI</v>
          </cell>
          <cell r="D3503" t="str">
            <v>OPT-504</v>
          </cell>
          <cell r="E3503">
            <v>42634</v>
          </cell>
          <cell r="F3503">
            <v>43132</v>
          </cell>
          <cell r="G3503">
            <v>43496</v>
          </cell>
          <cell r="H3503" t="str">
            <v>QA</v>
          </cell>
          <cell r="I3503" t="str">
            <v>INSP</v>
          </cell>
          <cell r="J3503" t="str">
            <v>HONDA N-WAGON</v>
          </cell>
          <cell r="K3503" t="str">
            <v>HONDA SMALL CAR W/H DOOR</v>
          </cell>
          <cell r="L3503" t="str">
            <v>CV 12</v>
          </cell>
          <cell r="M3503" t="str">
            <v>VISUAL</v>
          </cell>
          <cell r="N3503" t="str">
            <v>VISUAL INSPECTION</v>
          </cell>
          <cell r="O3503" t="str">
            <v>B</v>
          </cell>
        </row>
        <row r="3504">
          <cell r="A3504">
            <v>5794</v>
          </cell>
          <cell r="B3504" t="str">
            <v>NURUL KHOIRIYAH</v>
          </cell>
          <cell r="C3504" t="str">
            <v>SAMI</v>
          </cell>
          <cell r="D3504" t="str">
            <v>OPT-135</v>
          </cell>
          <cell r="E3504">
            <v>39114</v>
          </cell>
          <cell r="F3504" t="str">
            <v>-</v>
          </cell>
          <cell r="G3504" t="str">
            <v>-</v>
          </cell>
          <cell r="H3504" t="str">
            <v>QA</v>
          </cell>
          <cell r="I3504" t="str">
            <v>INSP</v>
          </cell>
          <cell r="J3504" t="str">
            <v>HONDA N-WAGON, HONDA FREED, HONDA CR-V</v>
          </cell>
          <cell r="K3504" t="str">
            <v>HONDA</v>
          </cell>
          <cell r="L3504" t="str">
            <v>CV 12, 19, 4, A11, A09</v>
          </cell>
          <cell r="M3504" t="str">
            <v>GL INSPECTION</v>
          </cell>
          <cell r="N3504" t="str">
            <v>GL</v>
          </cell>
          <cell r="O3504" t="str">
            <v>A</v>
          </cell>
        </row>
        <row r="3505">
          <cell r="A3505" t="str">
            <v>B00085</v>
          </cell>
          <cell r="B3505" t="str">
            <v>SUHESTI</v>
          </cell>
          <cell r="C3505" t="str">
            <v>SAMI</v>
          </cell>
          <cell r="D3505" t="str">
            <v>BBF-001</v>
          </cell>
          <cell r="E3505">
            <v>40826</v>
          </cell>
          <cell r="F3505" t="str">
            <v>-</v>
          </cell>
          <cell r="G3505" t="str">
            <v>-</v>
          </cell>
          <cell r="H3505" t="str">
            <v>QA</v>
          </cell>
          <cell r="I3505" t="str">
            <v>INSP</v>
          </cell>
          <cell r="J3505" t="str">
            <v>HONDA N-WAGON, HONDA FREED, HONDA CR-V</v>
          </cell>
          <cell r="K3505" t="str">
            <v>HONDA</v>
          </cell>
          <cell r="L3505" t="str">
            <v>CV 12, 19, 4, A11, A09</v>
          </cell>
          <cell r="M3505" t="str">
            <v>GL INSPECTION</v>
          </cell>
          <cell r="N3505" t="str">
            <v>GL</v>
          </cell>
          <cell r="O3505" t="str">
            <v>B</v>
          </cell>
        </row>
        <row r="3506">
          <cell r="A3506">
            <v>1133</v>
          </cell>
          <cell r="B3506" t="str">
            <v>ISTI HANDAYANI</v>
          </cell>
          <cell r="C3506" t="str">
            <v>SAMI</v>
          </cell>
          <cell r="D3506" t="str">
            <v>OPT-28</v>
          </cell>
          <cell r="E3506">
            <v>37900</v>
          </cell>
          <cell r="F3506" t="str">
            <v>-</v>
          </cell>
          <cell r="G3506" t="str">
            <v>-</v>
          </cell>
          <cell r="H3506" t="str">
            <v>QA</v>
          </cell>
          <cell r="I3506" t="str">
            <v>INSP</v>
          </cell>
          <cell r="J3506" t="str">
            <v>HONDA FIT</v>
          </cell>
          <cell r="K3506" t="str">
            <v>HONDA FIT WIRE HARN L CABIN</v>
          </cell>
          <cell r="L3506" t="str">
            <v>CV 13</v>
          </cell>
          <cell r="M3506" t="str">
            <v>SCANNER</v>
          </cell>
          <cell r="N3506" t="str">
            <v>QA APPROVE</v>
          </cell>
          <cell r="O3506" t="str">
            <v>A</v>
          </cell>
        </row>
        <row r="3507">
          <cell r="A3507">
            <v>9994</v>
          </cell>
          <cell r="B3507" t="str">
            <v>ANISAH TRI MURTININGSIH</v>
          </cell>
          <cell r="C3507" t="str">
            <v>SAMI</v>
          </cell>
          <cell r="D3507" t="str">
            <v>OPT-247</v>
          </cell>
          <cell r="E3507">
            <v>40438</v>
          </cell>
          <cell r="F3507" t="str">
            <v>-</v>
          </cell>
          <cell r="G3507" t="str">
            <v>-</v>
          </cell>
          <cell r="H3507" t="str">
            <v>QA</v>
          </cell>
          <cell r="I3507" t="str">
            <v>INSP</v>
          </cell>
          <cell r="J3507" t="str">
            <v>HONDA FIT</v>
          </cell>
          <cell r="K3507" t="str">
            <v>HONDA FIT WIRE HARN L CABIN</v>
          </cell>
          <cell r="L3507" t="str">
            <v>CV 13</v>
          </cell>
          <cell r="M3507" t="str">
            <v>FINAL INSPECTION</v>
          </cell>
          <cell r="N3507" t="str">
            <v>QA APPROVE</v>
          </cell>
          <cell r="O3507" t="str">
            <v>A</v>
          </cell>
        </row>
        <row r="3508">
          <cell r="A3508">
            <v>10128</v>
          </cell>
          <cell r="B3508" t="str">
            <v>TURNINGSIH</v>
          </cell>
          <cell r="C3508" t="str">
            <v>SAMI</v>
          </cell>
          <cell r="D3508" t="str">
            <v>OPT-248</v>
          </cell>
          <cell r="E3508">
            <v>40444</v>
          </cell>
          <cell r="F3508" t="str">
            <v>-</v>
          </cell>
          <cell r="G3508" t="str">
            <v>-</v>
          </cell>
          <cell r="H3508" t="str">
            <v>QA</v>
          </cell>
          <cell r="I3508" t="str">
            <v>INSP</v>
          </cell>
          <cell r="J3508" t="str">
            <v>HONDA FIT</v>
          </cell>
          <cell r="K3508" t="str">
            <v>HONDA FIT WIRE HARN L CABIN</v>
          </cell>
          <cell r="L3508" t="str">
            <v>CV 13</v>
          </cell>
          <cell r="M3508" t="str">
            <v>FINAL INSPECTION</v>
          </cell>
          <cell r="N3508" t="str">
            <v>QA APPROVE</v>
          </cell>
          <cell r="O3508" t="str">
            <v>A</v>
          </cell>
        </row>
        <row r="3509">
          <cell r="A3509">
            <v>10602</v>
          </cell>
          <cell r="B3509" t="str">
            <v>NURUL SEPTIYANI</v>
          </cell>
          <cell r="C3509" t="str">
            <v>SAMI</v>
          </cell>
          <cell r="D3509" t="str">
            <v>OPT-276</v>
          </cell>
          <cell r="E3509">
            <v>40544</v>
          </cell>
          <cell r="F3509" t="str">
            <v>-</v>
          </cell>
          <cell r="G3509" t="str">
            <v>-</v>
          </cell>
          <cell r="H3509" t="str">
            <v>QA</v>
          </cell>
          <cell r="I3509" t="str">
            <v>INSP</v>
          </cell>
          <cell r="J3509" t="str">
            <v>HONDA FIT</v>
          </cell>
          <cell r="K3509" t="str">
            <v>HONDA FIT WIRE HARN L CABIN</v>
          </cell>
          <cell r="L3509" t="str">
            <v>CV 13</v>
          </cell>
          <cell r="M3509" t="str">
            <v>GL REWORK</v>
          </cell>
          <cell r="N3509" t="str">
            <v>REWORK</v>
          </cell>
          <cell r="O3509" t="str">
            <v>A</v>
          </cell>
        </row>
        <row r="3510">
          <cell r="A3510">
            <v>303</v>
          </cell>
          <cell r="B3510" t="str">
            <v>RISTIANI</v>
          </cell>
          <cell r="C3510" t="str">
            <v>SAMI</v>
          </cell>
          <cell r="D3510" t="str">
            <v>OPT-8</v>
          </cell>
          <cell r="E3510">
            <v>37718</v>
          </cell>
          <cell r="F3510" t="str">
            <v>-</v>
          </cell>
          <cell r="G3510" t="str">
            <v>-</v>
          </cell>
          <cell r="H3510" t="str">
            <v>QA</v>
          </cell>
          <cell r="I3510" t="str">
            <v>INSP</v>
          </cell>
          <cell r="J3510" t="str">
            <v>DYNA</v>
          </cell>
          <cell r="K3510" t="str">
            <v>DYNA</v>
          </cell>
          <cell r="L3510" t="str">
            <v>CV 14</v>
          </cell>
          <cell r="M3510" t="str">
            <v>FINAL INSPECTION</v>
          </cell>
          <cell r="N3510" t="str">
            <v>QA APPROVE</v>
          </cell>
          <cell r="O3510" t="str">
            <v>A</v>
          </cell>
        </row>
        <row r="3511">
          <cell r="A3511">
            <v>9937</v>
          </cell>
          <cell r="B3511" t="str">
            <v>ISMAWATI</v>
          </cell>
          <cell r="C3511" t="str">
            <v>SAMI</v>
          </cell>
          <cell r="D3511" t="str">
            <v>OPT-246</v>
          </cell>
          <cell r="E3511">
            <v>40431</v>
          </cell>
          <cell r="F3511" t="str">
            <v>-</v>
          </cell>
          <cell r="G3511" t="str">
            <v>-</v>
          </cell>
          <cell r="H3511" t="str">
            <v>QA</v>
          </cell>
          <cell r="I3511" t="str">
            <v>INSP</v>
          </cell>
          <cell r="J3511" t="str">
            <v>DYNA</v>
          </cell>
          <cell r="K3511" t="str">
            <v>DYNA</v>
          </cell>
          <cell r="L3511" t="str">
            <v>CV 14</v>
          </cell>
          <cell r="M3511" t="str">
            <v>FINAL INSPECTION</v>
          </cell>
          <cell r="N3511" t="str">
            <v>QA APPROVE</v>
          </cell>
          <cell r="O3511" t="str">
            <v>A</v>
          </cell>
        </row>
        <row r="3512">
          <cell r="A3512">
            <v>5275</v>
          </cell>
          <cell r="B3512" t="str">
            <v>TRI RAHAYU</v>
          </cell>
          <cell r="C3512" t="str">
            <v>SAMI</v>
          </cell>
          <cell r="D3512" t="str">
            <v>OPT-125</v>
          </cell>
          <cell r="E3512">
            <v>38961</v>
          </cell>
          <cell r="F3512" t="str">
            <v>-</v>
          </cell>
          <cell r="G3512" t="str">
            <v>-</v>
          </cell>
          <cell r="H3512" t="str">
            <v>QA</v>
          </cell>
          <cell r="I3512" t="str">
            <v>INSP</v>
          </cell>
          <cell r="J3512" t="str">
            <v>DYNA</v>
          </cell>
          <cell r="K3512" t="str">
            <v>DYNA</v>
          </cell>
          <cell r="L3512" t="str">
            <v>CV 14</v>
          </cell>
          <cell r="M3512" t="str">
            <v>GL REWORK</v>
          </cell>
          <cell r="N3512" t="str">
            <v>REWORK</v>
          </cell>
          <cell r="O3512" t="str">
            <v>B</v>
          </cell>
        </row>
        <row r="3513">
          <cell r="A3513">
            <v>5775</v>
          </cell>
          <cell r="B3513" t="str">
            <v>INDARI FUJI HARYATI</v>
          </cell>
          <cell r="C3513" t="str">
            <v>SAMI</v>
          </cell>
          <cell r="D3513" t="str">
            <v>OPT-135</v>
          </cell>
          <cell r="E3513">
            <v>39114</v>
          </cell>
          <cell r="F3513" t="str">
            <v>-</v>
          </cell>
          <cell r="G3513" t="str">
            <v>-</v>
          </cell>
          <cell r="H3513" t="str">
            <v>QA</v>
          </cell>
          <cell r="I3513" t="str">
            <v>INSP</v>
          </cell>
          <cell r="J3513" t="str">
            <v>DYNA</v>
          </cell>
          <cell r="K3513" t="str">
            <v>DYNA</v>
          </cell>
          <cell r="L3513" t="str">
            <v>CV 14</v>
          </cell>
          <cell r="M3513" t="str">
            <v>FINAL INSPECTION</v>
          </cell>
          <cell r="N3513" t="str">
            <v>QA APPROVE</v>
          </cell>
          <cell r="O3513" t="str">
            <v>B</v>
          </cell>
        </row>
        <row r="3514">
          <cell r="A3514">
            <v>9436</v>
          </cell>
          <cell r="B3514" t="str">
            <v>IKA FITRIYANI</v>
          </cell>
          <cell r="C3514" t="str">
            <v>SAMI</v>
          </cell>
          <cell r="D3514" t="str">
            <v>OPT-216</v>
          </cell>
          <cell r="E3514">
            <v>40148</v>
          </cell>
          <cell r="F3514" t="str">
            <v>-</v>
          </cell>
          <cell r="G3514" t="str">
            <v>-</v>
          </cell>
          <cell r="H3514" t="str">
            <v>QA</v>
          </cell>
          <cell r="I3514" t="str">
            <v>INSP</v>
          </cell>
          <cell r="J3514" t="str">
            <v>DYNA</v>
          </cell>
          <cell r="K3514" t="str">
            <v>DYNA</v>
          </cell>
          <cell r="L3514" t="str">
            <v>CV 14</v>
          </cell>
          <cell r="M3514" t="str">
            <v>FINAL INSPECTION</v>
          </cell>
          <cell r="N3514" t="str">
            <v>QA APPROVE</v>
          </cell>
          <cell r="O3514" t="str">
            <v>B</v>
          </cell>
        </row>
        <row r="3515">
          <cell r="A3515">
            <v>1154</v>
          </cell>
          <cell r="B3515" t="str">
            <v>AFIK MUFARIDHO</v>
          </cell>
          <cell r="C3515" t="str">
            <v>SAMI</v>
          </cell>
          <cell r="D3515" t="str">
            <v>OPT-28</v>
          </cell>
          <cell r="E3515">
            <v>37900</v>
          </cell>
          <cell r="F3515" t="str">
            <v>-</v>
          </cell>
          <cell r="G3515" t="str">
            <v>-</v>
          </cell>
          <cell r="H3515" t="str">
            <v>QA</v>
          </cell>
          <cell r="I3515" t="str">
            <v>INSP</v>
          </cell>
          <cell r="J3515" t="str">
            <v>DYNA, MAZDA ATENZA</v>
          </cell>
          <cell r="K3515" t="str">
            <v>DYNA, MAZDA ATENZA</v>
          </cell>
          <cell r="L3515" t="str">
            <v>CV 14, 16, A06, A07, A04</v>
          </cell>
          <cell r="M3515" t="str">
            <v>GL INSPECTION</v>
          </cell>
          <cell r="N3515" t="str">
            <v>GL</v>
          </cell>
          <cell r="O3515" t="str">
            <v>A</v>
          </cell>
        </row>
        <row r="3516">
          <cell r="A3516">
            <v>319</v>
          </cell>
          <cell r="B3516" t="str">
            <v>NURWACHIDAH</v>
          </cell>
          <cell r="C3516" t="str">
            <v>SAMI</v>
          </cell>
          <cell r="D3516" t="str">
            <v>OPT-9</v>
          </cell>
          <cell r="E3516">
            <v>37725</v>
          </cell>
          <cell r="F3516" t="str">
            <v>-</v>
          </cell>
          <cell r="G3516" t="str">
            <v>-</v>
          </cell>
          <cell r="H3516" t="str">
            <v>QA</v>
          </cell>
          <cell r="I3516" t="str">
            <v>INSP</v>
          </cell>
          <cell r="J3516" t="str">
            <v>DYNA, MAZDA ATENZA</v>
          </cell>
          <cell r="K3516" t="str">
            <v>DYNA, MAZDA ATENZA</v>
          </cell>
          <cell r="L3516" t="str">
            <v>CV 14, 16, A06, A07, A04</v>
          </cell>
          <cell r="M3516" t="str">
            <v>GL INSPECTION</v>
          </cell>
          <cell r="N3516" t="str">
            <v>GL</v>
          </cell>
          <cell r="O3516" t="str">
            <v>A (NS)</v>
          </cell>
        </row>
        <row r="3517">
          <cell r="A3517">
            <v>725</v>
          </cell>
          <cell r="B3517" t="str">
            <v>NUNUNG SETIARINI</v>
          </cell>
          <cell r="C3517" t="str">
            <v>SAMI</v>
          </cell>
          <cell r="D3517" t="str">
            <v>OPT-19</v>
          </cell>
          <cell r="E3517">
            <v>37816</v>
          </cell>
          <cell r="F3517" t="str">
            <v>-</v>
          </cell>
          <cell r="G3517" t="str">
            <v>-</v>
          </cell>
          <cell r="H3517" t="str">
            <v>QA</v>
          </cell>
          <cell r="I3517" t="str">
            <v>INSP</v>
          </cell>
          <cell r="J3517" t="str">
            <v>DYNA, MAZDA ATENZA</v>
          </cell>
          <cell r="K3517" t="str">
            <v>DYNA, MAZDA ATENZA</v>
          </cell>
          <cell r="L3517" t="str">
            <v>CV 14, 16, A06, A07, A04</v>
          </cell>
          <cell r="M3517" t="str">
            <v>GL INSPECTION</v>
          </cell>
          <cell r="N3517" t="str">
            <v>GL</v>
          </cell>
          <cell r="O3517" t="str">
            <v>B</v>
          </cell>
        </row>
        <row r="3518">
          <cell r="A3518">
            <v>1265</v>
          </cell>
          <cell r="B3518" t="str">
            <v>TITIK ROKHMAYANTI</v>
          </cell>
          <cell r="C3518" t="str">
            <v>SAMI</v>
          </cell>
          <cell r="D3518" t="str">
            <v>OPT-31</v>
          </cell>
          <cell r="E3518">
            <v>37921</v>
          </cell>
          <cell r="F3518" t="str">
            <v>-</v>
          </cell>
          <cell r="G3518" t="str">
            <v>-</v>
          </cell>
          <cell r="H3518" t="str">
            <v>QA</v>
          </cell>
          <cell r="I3518" t="str">
            <v>INSP</v>
          </cell>
          <cell r="J3518" t="str">
            <v>DYNA</v>
          </cell>
          <cell r="K3518" t="str">
            <v>DYNA</v>
          </cell>
          <cell r="L3518" t="str">
            <v>CV 16</v>
          </cell>
          <cell r="M3518" t="str">
            <v>FINAL INSPECTION</v>
          </cell>
          <cell r="N3518" t="str">
            <v>QA APPROVE</v>
          </cell>
          <cell r="O3518" t="str">
            <v>A</v>
          </cell>
        </row>
        <row r="3519">
          <cell r="A3519">
            <v>9230</v>
          </cell>
          <cell r="B3519" t="str">
            <v>SUTIYAH</v>
          </cell>
          <cell r="C3519" t="str">
            <v>SAMI</v>
          </cell>
          <cell r="D3519" t="str">
            <v>OPT-216</v>
          </cell>
          <cell r="E3519">
            <v>40008</v>
          </cell>
          <cell r="F3519" t="str">
            <v>-</v>
          </cell>
          <cell r="G3519" t="str">
            <v>-</v>
          </cell>
          <cell r="H3519" t="str">
            <v>QA</v>
          </cell>
          <cell r="I3519" t="str">
            <v>INSP</v>
          </cell>
          <cell r="J3519" t="str">
            <v>DYNA</v>
          </cell>
          <cell r="K3519" t="str">
            <v>DYNA</v>
          </cell>
          <cell r="L3519" t="str">
            <v>CV 16</v>
          </cell>
          <cell r="M3519" t="str">
            <v>GL REWORK</v>
          </cell>
          <cell r="N3519" t="str">
            <v>REWORK</v>
          </cell>
          <cell r="O3519" t="str">
            <v>A</v>
          </cell>
        </row>
        <row r="3520">
          <cell r="A3520">
            <v>11711</v>
          </cell>
          <cell r="B3520" t="str">
            <v>IRA AMBARWATI</v>
          </cell>
          <cell r="C3520" t="str">
            <v>SAMI</v>
          </cell>
          <cell r="D3520" t="str">
            <v>OPT-308</v>
          </cell>
          <cell r="E3520">
            <v>40714</v>
          </cell>
          <cell r="F3520" t="str">
            <v>-</v>
          </cell>
          <cell r="G3520" t="str">
            <v>-</v>
          </cell>
          <cell r="H3520" t="str">
            <v>QA</v>
          </cell>
          <cell r="I3520" t="str">
            <v>INSP</v>
          </cell>
          <cell r="J3520" t="str">
            <v>DYNA</v>
          </cell>
          <cell r="K3520" t="str">
            <v>DYNA</v>
          </cell>
          <cell r="L3520" t="str">
            <v>CV 16</v>
          </cell>
          <cell r="M3520" t="str">
            <v>FINAL INSPECTION</v>
          </cell>
          <cell r="N3520" t="str">
            <v>QA APPROVE</v>
          </cell>
          <cell r="O3520" t="str">
            <v>B</v>
          </cell>
        </row>
        <row r="3521">
          <cell r="A3521">
            <v>10858</v>
          </cell>
          <cell r="B3521" t="str">
            <v>SITI NUR KHASANAH</v>
          </cell>
          <cell r="C3521" t="str">
            <v>SAMI</v>
          </cell>
          <cell r="D3521" t="str">
            <v>OPT-283</v>
          </cell>
          <cell r="E3521">
            <v>40572</v>
          </cell>
          <cell r="F3521" t="str">
            <v>-</v>
          </cell>
          <cell r="G3521" t="str">
            <v>-</v>
          </cell>
          <cell r="H3521" t="str">
            <v>QA</v>
          </cell>
          <cell r="I3521" t="str">
            <v>INSP</v>
          </cell>
          <cell r="J3521" t="str">
            <v>HONDA GRACE</v>
          </cell>
          <cell r="K3521" t="str">
            <v>HONDA CITY W/H L CABIN</v>
          </cell>
          <cell r="L3521" t="str">
            <v>CV 17</v>
          </cell>
          <cell r="M3521" t="str">
            <v>FINAL INSPECTION</v>
          </cell>
          <cell r="N3521" t="str">
            <v>QA APPROVE</v>
          </cell>
          <cell r="O3521" t="str">
            <v>A</v>
          </cell>
        </row>
        <row r="3522">
          <cell r="A3522">
            <v>11739</v>
          </cell>
          <cell r="B3522" t="str">
            <v>MUFARIKHAH</v>
          </cell>
          <cell r="C3522" t="str">
            <v>SAMI</v>
          </cell>
          <cell r="D3522" t="str">
            <v>OPT-308</v>
          </cell>
          <cell r="E3522">
            <v>40714</v>
          </cell>
          <cell r="F3522" t="str">
            <v>-</v>
          </cell>
          <cell r="G3522" t="str">
            <v>-</v>
          </cell>
          <cell r="H3522" t="str">
            <v>QA</v>
          </cell>
          <cell r="I3522" t="str">
            <v>INSP</v>
          </cell>
          <cell r="J3522" t="str">
            <v>HONDA GRACE</v>
          </cell>
          <cell r="K3522" t="str">
            <v>HONDA CITY W/H L CABIN</v>
          </cell>
          <cell r="L3522" t="str">
            <v>CV 17</v>
          </cell>
          <cell r="M3522" t="str">
            <v>DC</v>
          </cell>
          <cell r="N3522" t="str">
            <v>DC</v>
          </cell>
          <cell r="O3522" t="str">
            <v>A</v>
          </cell>
        </row>
        <row r="3523">
          <cell r="A3523">
            <v>12603</v>
          </cell>
          <cell r="B3523" t="str">
            <v>DWI OCTA L.</v>
          </cell>
          <cell r="C3523" t="str">
            <v>SAMI</v>
          </cell>
          <cell r="D3523" t="str">
            <v>OPT-319</v>
          </cell>
          <cell r="E3523">
            <v>40816</v>
          </cell>
          <cell r="F3523" t="str">
            <v>-</v>
          </cell>
          <cell r="G3523" t="str">
            <v>-</v>
          </cell>
          <cell r="H3523" t="str">
            <v>QA</v>
          </cell>
          <cell r="I3523" t="str">
            <v>INSP</v>
          </cell>
          <cell r="J3523" t="str">
            <v>HONDA GRACE</v>
          </cell>
          <cell r="K3523" t="str">
            <v>HONDA CITY W/H L CABIN</v>
          </cell>
          <cell r="L3523" t="str">
            <v>CV 17</v>
          </cell>
          <cell r="M3523" t="str">
            <v>FINAL INSPECTION</v>
          </cell>
          <cell r="N3523" t="str">
            <v>QA APPROVE</v>
          </cell>
          <cell r="O3523" t="str">
            <v>A</v>
          </cell>
        </row>
        <row r="3524">
          <cell r="A3524">
            <v>22365</v>
          </cell>
          <cell r="B3524" t="str">
            <v>ACHMAD BAEHAQI</v>
          </cell>
          <cell r="C3524" t="str">
            <v>SAMI</v>
          </cell>
          <cell r="D3524" t="str">
            <v>OPT-558</v>
          </cell>
          <cell r="E3524">
            <v>43213</v>
          </cell>
          <cell r="F3524">
            <v>43243</v>
          </cell>
          <cell r="G3524">
            <v>43616</v>
          </cell>
          <cell r="H3524" t="str">
            <v>QA</v>
          </cell>
          <cell r="I3524" t="str">
            <v>INSP</v>
          </cell>
          <cell r="J3524" t="str">
            <v>HONDA FIT</v>
          </cell>
          <cell r="K3524" t="str">
            <v>HONDA CITY W/H L CABIN</v>
          </cell>
          <cell r="L3524" t="str">
            <v>CV 17</v>
          </cell>
          <cell r="M3524" t="str">
            <v>DC (TRANSFER)</v>
          </cell>
          <cell r="N3524" t="str">
            <v>DC</v>
          </cell>
          <cell r="O3524" t="str">
            <v>A</v>
          </cell>
        </row>
        <row r="3525">
          <cell r="A3525">
            <v>581</v>
          </cell>
          <cell r="B3525" t="str">
            <v>FARIDA NUR KHASANAH</v>
          </cell>
          <cell r="C3525" t="str">
            <v>SAMI</v>
          </cell>
          <cell r="D3525" t="str">
            <v>OPT-15</v>
          </cell>
          <cell r="E3525">
            <v>37774</v>
          </cell>
          <cell r="F3525" t="str">
            <v>-</v>
          </cell>
          <cell r="G3525" t="str">
            <v>-</v>
          </cell>
          <cell r="H3525" t="str">
            <v>QA</v>
          </cell>
          <cell r="I3525" t="str">
            <v>INSP</v>
          </cell>
          <cell r="J3525" t="str">
            <v>HONDA GRACE</v>
          </cell>
          <cell r="K3525" t="str">
            <v>HONDA CITY W/H L CABIN</v>
          </cell>
          <cell r="L3525" t="str">
            <v>CV 17</v>
          </cell>
          <cell r="M3525" t="str">
            <v>GL REWORK</v>
          </cell>
          <cell r="N3525" t="str">
            <v>REWORK</v>
          </cell>
          <cell r="O3525" t="str">
            <v>B</v>
          </cell>
        </row>
        <row r="3526">
          <cell r="A3526">
            <v>5706</v>
          </cell>
          <cell r="B3526" t="str">
            <v>INNAYATUS SHOLIKHAH</v>
          </cell>
          <cell r="C3526" t="str">
            <v>SAMI</v>
          </cell>
          <cell r="D3526" t="str">
            <v>OPT-134</v>
          </cell>
          <cell r="E3526">
            <v>39098</v>
          </cell>
          <cell r="F3526" t="str">
            <v>-</v>
          </cell>
          <cell r="G3526" t="str">
            <v>-</v>
          </cell>
          <cell r="H3526" t="str">
            <v>QA</v>
          </cell>
          <cell r="I3526" t="str">
            <v>INSP</v>
          </cell>
          <cell r="J3526" t="str">
            <v>HONDA GRACE</v>
          </cell>
          <cell r="K3526" t="str">
            <v>HONDA CITY W/H L CABIN</v>
          </cell>
          <cell r="L3526" t="str">
            <v>CV 17</v>
          </cell>
          <cell r="M3526" t="str">
            <v>FINAL INSPECTION</v>
          </cell>
          <cell r="N3526" t="str">
            <v>QA APPROVE</v>
          </cell>
          <cell r="O3526" t="str">
            <v>B</v>
          </cell>
        </row>
        <row r="3527">
          <cell r="A3527">
            <v>19287</v>
          </cell>
          <cell r="B3527" t="str">
            <v>DYAH ARYANI</v>
          </cell>
          <cell r="C3527" t="str">
            <v>SAMI</v>
          </cell>
          <cell r="D3527" t="str">
            <v>OPT-478</v>
          </cell>
          <cell r="E3527">
            <v>42282</v>
          </cell>
          <cell r="F3527" t="str">
            <v>-</v>
          </cell>
          <cell r="G3527" t="str">
            <v>-</v>
          </cell>
          <cell r="H3527" t="str">
            <v>QA</v>
          </cell>
          <cell r="I3527" t="str">
            <v>INSP</v>
          </cell>
          <cell r="J3527" t="str">
            <v>HONDA GRACE</v>
          </cell>
          <cell r="K3527" t="str">
            <v>HONDA CITY W/H L CABIN</v>
          </cell>
          <cell r="L3527" t="str">
            <v>CV 17</v>
          </cell>
          <cell r="M3527" t="str">
            <v>DC</v>
          </cell>
          <cell r="N3527" t="str">
            <v>DC</v>
          </cell>
          <cell r="O3527" t="str">
            <v>B</v>
          </cell>
        </row>
        <row r="3528">
          <cell r="A3528">
            <v>22909</v>
          </cell>
          <cell r="B3528" t="str">
            <v>ARDANANG PRATAMA</v>
          </cell>
          <cell r="C3528" t="str">
            <v>SAMI</v>
          </cell>
          <cell r="D3528" t="str">
            <v>OPT-568</v>
          </cell>
          <cell r="E3528">
            <v>43343</v>
          </cell>
          <cell r="F3528">
            <v>43374</v>
          </cell>
          <cell r="G3528">
            <v>43738</v>
          </cell>
          <cell r="H3528" t="str">
            <v>QA</v>
          </cell>
          <cell r="I3528" t="str">
            <v>INSP</v>
          </cell>
          <cell r="J3528" t="str">
            <v>HONDA FIT</v>
          </cell>
          <cell r="K3528" t="str">
            <v>HONDA CITY W/H L CABIN</v>
          </cell>
          <cell r="L3528" t="str">
            <v>CV 17</v>
          </cell>
          <cell r="M3528" t="str">
            <v>DC (TRANSFER)</v>
          </cell>
          <cell r="N3528" t="str">
            <v>DC</v>
          </cell>
          <cell r="O3528" t="str">
            <v>B</v>
          </cell>
        </row>
        <row r="3529">
          <cell r="A3529">
            <v>356</v>
          </cell>
          <cell r="B3529" t="str">
            <v>ANI DWI SETYONINGSIH</v>
          </cell>
          <cell r="C3529" t="str">
            <v>SAMI</v>
          </cell>
          <cell r="D3529" t="str">
            <v>OPT-10</v>
          </cell>
          <cell r="E3529">
            <v>37732</v>
          </cell>
          <cell r="F3529" t="str">
            <v>-</v>
          </cell>
          <cell r="G3529" t="str">
            <v>-</v>
          </cell>
          <cell r="H3529" t="str">
            <v>QA</v>
          </cell>
          <cell r="I3529" t="str">
            <v>INSP</v>
          </cell>
          <cell r="J3529" t="str">
            <v>HONDA N WAGON</v>
          </cell>
          <cell r="K3529" t="str">
            <v>HONDA SMALL CAR W/H FLOOR</v>
          </cell>
          <cell r="L3529" t="str">
            <v>CV 19</v>
          </cell>
          <cell r="M3529" t="str">
            <v>GL REWORK</v>
          </cell>
          <cell r="N3529" t="str">
            <v>REWORK</v>
          </cell>
          <cell r="O3529" t="str">
            <v>A</v>
          </cell>
        </row>
        <row r="3530">
          <cell r="A3530">
            <v>6088</v>
          </cell>
          <cell r="B3530" t="str">
            <v>SHOLEKHAH</v>
          </cell>
          <cell r="C3530" t="str">
            <v>SAMI</v>
          </cell>
          <cell r="D3530" t="str">
            <v>OPT-139</v>
          </cell>
          <cell r="E3530">
            <v>39142</v>
          </cell>
          <cell r="F3530" t="str">
            <v>-</v>
          </cell>
          <cell r="G3530" t="str">
            <v>-</v>
          </cell>
          <cell r="H3530" t="str">
            <v>QA</v>
          </cell>
          <cell r="I3530" t="str">
            <v>INSP</v>
          </cell>
          <cell r="J3530" t="str">
            <v>HONDA N-WAGON</v>
          </cell>
          <cell r="K3530" t="str">
            <v>HONDA SMALL CAR W/H FLOOR</v>
          </cell>
          <cell r="L3530" t="str">
            <v>CV 19</v>
          </cell>
          <cell r="M3530" t="str">
            <v>FINAL INSPECTION</v>
          </cell>
          <cell r="N3530" t="str">
            <v>QA APPROVE</v>
          </cell>
          <cell r="O3530" t="str">
            <v>A</v>
          </cell>
        </row>
        <row r="3531">
          <cell r="A3531">
            <v>10232</v>
          </cell>
          <cell r="B3531" t="str">
            <v>TUTI ISNAWATI</v>
          </cell>
          <cell r="C3531" t="str">
            <v>SAMI</v>
          </cell>
          <cell r="D3531" t="str">
            <v>OPT-259</v>
          </cell>
          <cell r="E3531">
            <v>40489</v>
          </cell>
          <cell r="F3531" t="str">
            <v>-</v>
          </cell>
          <cell r="G3531" t="str">
            <v>-</v>
          </cell>
          <cell r="H3531" t="str">
            <v>QA</v>
          </cell>
          <cell r="I3531" t="str">
            <v>INSP</v>
          </cell>
          <cell r="J3531" t="str">
            <v>HONDA N-WAGON</v>
          </cell>
          <cell r="K3531" t="str">
            <v>HONDA SMALL CAR W/H FLOOR</v>
          </cell>
          <cell r="L3531" t="str">
            <v>CV 19</v>
          </cell>
          <cell r="M3531" t="str">
            <v>FINAL INSPECTION</v>
          </cell>
          <cell r="N3531" t="str">
            <v>QA APPROVE</v>
          </cell>
          <cell r="O3531" t="str">
            <v>A</v>
          </cell>
        </row>
        <row r="3532">
          <cell r="A3532">
            <v>11838</v>
          </cell>
          <cell r="B3532" t="str">
            <v>SITI ANISAH</v>
          </cell>
          <cell r="C3532" t="str">
            <v>SAMI</v>
          </cell>
          <cell r="D3532" t="str">
            <v>OPT-309</v>
          </cell>
          <cell r="E3532">
            <v>40721</v>
          </cell>
          <cell r="F3532" t="str">
            <v>-</v>
          </cell>
          <cell r="G3532" t="str">
            <v>-</v>
          </cell>
          <cell r="H3532" t="str">
            <v>QA</v>
          </cell>
          <cell r="I3532" t="str">
            <v>INSP</v>
          </cell>
          <cell r="J3532" t="str">
            <v>HONDA N-WAGON</v>
          </cell>
          <cell r="K3532" t="str">
            <v>HONDA SMALL CAR W/H FLOOR</v>
          </cell>
          <cell r="L3532" t="str">
            <v>CV 19</v>
          </cell>
          <cell r="M3532" t="str">
            <v>SCANNER</v>
          </cell>
          <cell r="N3532" t="str">
            <v>QA APPROVE</v>
          </cell>
          <cell r="O3532" t="str">
            <v>A</v>
          </cell>
        </row>
        <row r="3533">
          <cell r="A3533">
            <v>21210</v>
          </cell>
          <cell r="B3533" t="str">
            <v>DWI RETNONINGSIH</v>
          </cell>
          <cell r="C3533" t="str">
            <v>SAMI</v>
          </cell>
          <cell r="D3533" t="str">
            <v>OPT-523</v>
          </cell>
          <cell r="E3533">
            <v>42877</v>
          </cell>
          <cell r="F3533">
            <v>43374</v>
          </cell>
          <cell r="G3533">
            <v>43738</v>
          </cell>
          <cell r="H3533" t="str">
            <v>QA</v>
          </cell>
          <cell r="I3533" t="str">
            <v>INSP</v>
          </cell>
          <cell r="J3533" t="str">
            <v>HONDA N-WAGON</v>
          </cell>
          <cell r="K3533" t="str">
            <v>HONDA SMALL CAR W/H FLOOR</v>
          </cell>
          <cell r="L3533" t="str">
            <v>CV 19</v>
          </cell>
          <cell r="M3533" t="str">
            <v>FINAL INSPECTION</v>
          </cell>
          <cell r="N3533" t="str">
            <v>QA APPROVE</v>
          </cell>
          <cell r="O3533" t="str">
            <v>B</v>
          </cell>
        </row>
        <row r="3534">
          <cell r="A3534">
            <v>21342</v>
          </cell>
          <cell r="B3534" t="str">
            <v>IQBAL NOVA RIZALDI</v>
          </cell>
          <cell r="C3534" t="str">
            <v>SAMI</v>
          </cell>
          <cell r="D3534" t="str">
            <v>OPT-531</v>
          </cell>
          <cell r="E3534">
            <v>43013</v>
          </cell>
          <cell r="F3534">
            <v>43405</v>
          </cell>
          <cell r="G3534">
            <v>43769</v>
          </cell>
          <cell r="H3534" t="str">
            <v>QA</v>
          </cell>
          <cell r="I3534" t="str">
            <v>INSP</v>
          </cell>
          <cell r="J3534" t="str">
            <v>HONDA N-WAGON</v>
          </cell>
          <cell r="K3534" t="str">
            <v>HONDA SMALL CAR W/H FLOOR</v>
          </cell>
          <cell r="L3534" t="str">
            <v>CV 19</v>
          </cell>
          <cell r="M3534" t="str">
            <v>FINAL INSPECTION</v>
          </cell>
          <cell r="N3534" t="str">
            <v>QA APPROVE</v>
          </cell>
          <cell r="O3534" t="str">
            <v>B</v>
          </cell>
        </row>
        <row r="3535">
          <cell r="A3535">
            <v>23038</v>
          </cell>
          <cell r="B3535" t="str">
            <v>LATIF NUR CAHYO</v>
          </cell>
          <cell r="C3535" t="str">
            <v>SAMI</v>
          </cell>
          <cell r="D3535" t="str">
            <v>OPT-569</v>
          </cell>
          <cell r="E3535">
            <v>43361</v>
          </cell>
          <cell r="F3535">
            <v>43391</v>
          </cell>
          <cell r="G3535">
            <v>43769</v>
          </cell>
          <cell r="H3535" t="str">
            <v>QA</v>
          </cell>
          <cell r="I3535" t="str">
            <v>INSP</v>
          </cell>
          <cell r="J3535" t="str">
            <v>HONDA N-WAGON</v>
          </cell>
          <cell r="K3535" t="str">
            <v>HONDA SMALL CAR W/H FLOOR</v>
          </cell>
          <cell r="L3535" t="str">
            <v>CV 19</v>
          </cell>
          <cell r="M3535" t="str">
            <v>SCANNER</v>
          </cell>
          <cell r="N3535" t="str">
            <v>QA APPROVE</v>
          </cell>
          <cell r="O3535" t="str">
            <v>B</v>
          </cell>
        </row>
        <row r="3536">
          <cell r="A3536">
            <v>916</v>
          </cell>
          <cell r="B3536" t="str">
            <v>WINASIH</v>
          </cell>
          <cell r="C3536" t="str">
            <v>SAMI</v>
          </cell>
          <cell r="D3536" t="str">
            <v>OPT-23</v>
          </cell>
          <cell r="E3536">
            <v>37858</v>
          </cell>
          <cell r="F3536" t="str">
            <v>-</v>
          </cell>
          <cell r="G3536" t="str">
            <v>-</v>
          </cell>
          <cell r="H3536" t="str">
            <v>QA</v>
          </cell>
          <cell r="I3536" t="str">
            <v>INSP</v>
          </cell>
          <cell r="J3536" t="str">
            <v>HONDA SOLENOID, HONDA FIT, HONDA VEZEL, HONDA ACCURA, HONDA N-VAN, BC</v>
          </cell>
          <cell r="K3536" t="str">
            <v>HONDA</v>
          </cell>
          <cell r="L3536" t="str">
            <v>CV 24, 29A, 29B, 30, B01, BC</v>
          </cell>
          <cell r="M3536" t="str">
            <v>GL INSPECTION</v>
          </cell>
          <cell r="N3536" t="str">
            <v>GL</v>
          </cell>
          <cell r="O3536" t="str">
            <v>A</v>
          </cell>
        </row>
        <row r="3537">
          <cell r="A3537">
            <v>220</v>
          </cell>
          <cell r="B3537" t="str">
            <v>SITI JUWARYATI</v>
          </cell>
          <cell r="C3537" t="str">
            <v>SAMI</v>
          </cell>
          <cell r="D3537" t="str">
            <v>OPT-6</v>
          </cell>
          <cell r="E3537">
            <v>37697</v>
          </cell>
          <cell r="F3537" t="str">
            <v>-</v>
          </cell>
          <cell r="G3537" t="str">
            <v>-</v>
          </cell>
          <cell r="H3537" t="str">
            <v>QA</v>
          </cell>
          <cell r="I3537" t="str">
            <v>INSP</v>
          </cell>
          <cell r="J3537" t="str">
            <v>HONDA SOLENOID, HONDA FIT, HONDA VEZEL, HONDA ACCURA, HONDA N-VAN, BC</v>
          </cell>
          <cell r="K3537" t="str">
            <v>HONDA</v>
          </cell>
          <cell r="L3537" t="str">
            <v>CV 24, 29A, 29B, 30, B01, BC</v>
          </cell>
          <cell r="M3537" t="str">
            <v>GL INSPECTION</v>
          </cell>
          <cell r="N3537" t="str">
            <v>GL</v>
          </cell>
          <cell r="O3537" t="str">
            <v>B</v>
          </cell>
        </row>
        <row r="3538">
          <cell r="A3538">
            <v>12506</v>
          </cell>
          <cell r="B3538" t="str">
            <v>NUR LAILY FARIKHA</v>
          </cell>
          <cell r="C3538" t="str">
            <v>SAMI</v>
          </cell>
          <cell r="D3538" t="str">
            <v>OPT-318</v>
          </cell>
          <cell r="E3538">
            <v>40812</v>
          </cell>
          <cell r="F3538" t="str">
            <v>-</v>
          </cell>
          <cell r="G3538" t="str">
            <v>-</v>
          </cell>
          <cell r="H3538" t="str">
            <v>QA</v>
          </cell>
          <cell r="I3538" t="str">
            <v>INSP</v>
          </cell>
          <cell r="J3538" t="str">
            <v>HONDA SOLENOID</v>
          </cell>
          <cell r="K3538" t="str">
            <v>HONDA SOLENOID</v>
          </cell>
          <cell r="L3538" t="str">
            <v>CV 24A</v>
          </cell>
          <cell r="M3538" t="str">
            <v>SCANNER</v>
          </cell>
          <cell r="N3538" t="str">
            <v>QA APPROVE</v>
          </cell>
          <cell r="O3538" t="str">
            <v>A</v>
          </cell>
        </row>
        <row r="3539">
          <cell r="A3539">
            <v>17334</v>
          </cell>
          <cell r="B3539" t="str">
            <v>NUR ALIMATUS SA'ADAH</v>
          </cell>
          <cell r="C3539" t="str">
            <v>SAMI</v>
          </cell>
          <cell r="D3539" t="str">
            <v>OPT-441</v>
          </cell>
          <cell r="E3539">
            <v>41767</v>
          </cell>
          <cell r="F3539" t="str">
            <v>-</v>
          </cell>
          <cell r="G3539" t="str">
            <v>-</v>
          </cell>
          <cell r="H3539" t="str">
            <v>QA</v>
          </cell>
          <cell r="I3539" t="str">
            <v>INSP</v>
          </cell>
          <cell r="J3539" t="str">
            <v>HONDA SOLENOID</v>
          </cell>
          <cell r="K3539" t="str">
            <v>HONDA SOLENOID</v>
          </cell>
          <cell r="L3539" t="str">
            <v>CV 24A</v>
          </cell>
          <cell r="M3539" t="str">
            <v>VISUAL</v>
          </cell>
          <cell r="N3539" t="str">
            <v>VISUAL INSPECTION</v>
          </cell>
          <cell r="O3539" t="str">
            <v>A</v>
          </cell>
        </row>
        <row r="3540">
          <cell r="A3540">
            <v>1192</v>
          </cell>
          <cell r="B3540" t="str">
            <v>VERAWATI</v>
          </cell>
          <cell r="C3540" t="str">
            <v>SAMI</v>
          </cell>
          <cell r="D3540" t="str">
            <v>OPT-29</v>
          </cell>
          <cell r="E3540">
            <v>37907</v>
          </cell>
          <cell r="F3540" t="str">
            <v>-</v>
          </cell>
          <cell r="G3540" t="str">
            <v>-</v>
          </cell>
          <cell r="H3540" t="str">
            <v>QA</v>
          </cell>
          <cell r="I3540" t="str">
            <v>INSP</v>
          </cell>
          <cell r="J3540" t="str">
            <v>HONDA SOLENOID</v>
          </cell>
          <cell r="K3540" t="str">
            <v>HONDA SOLENOID</v>
          </cell>
          <cell r="L3540" t="str">
            <v>CV 24A</v>
          </cell>
          <cell r="M3540" t="str">
            <v>GL REWORK</v>
          </cell>
          <cell r="N3540" t="str">
            <v>REWORK</v>
          </cell>
          <cell r="O3540" t="str">
            <v>B</v>
          </cell>
        </row>
        <row r="3541">
          <cell r="A3541">
            <v>1251</v>
          </cell>
          <cell r="B3541" t="str">
            <v>MUAYANAH</v>
          </cell>
          <cell r="C3541" t="str">
            <v>SAMI</v>
          </cell>
          <cell r="D3541" t="str">
            <v>OPT-31</v>
          </cell>
          <cell r="E3541">
            <v>37921</v>
          </cell>
          <cell r="F3541" t="str">
            <v>-</v>
          </cell>
          <cell r="G3541" t="str">
            <v>-</v>
          </cell>
          <cell r="H3541" t="str">
            <v>QA</v>
          </cell>
          <cell r="I3541" t="str">
            <v>INSP</v>
          </cell>
          <cell r="J3541" t="str">
            <v>HONDA SOLENOID</v>
          </cell>
          <cell r="K3541" t="str">
            <v>HONDA SOLENOID</v>
          </cell>
          <cell r="L3541" t="str">
            <v>CV 24A</v>
          </cell>
          <cell r="M3541" t="str">
            <v>SCANNER</v>
          </cell>
          <cell r="N3541" t="str">
            <v>QA APPROVE</v>
          </cell>
          <cell r="O3541" t="str">
            <v>B</v>
          </cell>
        </row>
        <row r="3542">
          <cell r="A3542">
            <v>10201</v>
          </cell>
          <cell r="B3542" t="str">
            <v>SILMA MULIANA</v>
          </cell>
          <cell r="C3542" t="str">
            <v>SAMI</v>
          </cell>
          <cell r="D3542" t="str">
            <v>OPT-253</v>
          </cell>
          <cell r="E3542">
            <v>40458</v>
          </cell>
          <cell r="F3542" t="str">
            <v>-</v>
          </cell>
          <cell r="G3542" t="str">
            <v>-</v>
          </cell>
          <cell r="H3542" t="str">
            <v>QA</v>
          </cell>
          <cell r="I3542" t="str">
            <v>INSP</v>
          </cell>
          <cell r="J3542" t="str">
            <v>HONDA SOLENOID</v>
          </cell>
          <cell r="K3542" t="str">
            <v>HONDA SOLENOID</v>
          </cell>
          <cell r="L3542" t="str">
            <v>CV 24A</v>
          </cell>
          <cell r="M3542" t="str">
            <v>VISUAL</v>
          </cell>
          <cell r="N3542" t="str">
            <v>VISUAL INSPECTION</v>
          </cell>
          <cell r="O3542" t="str">
            <v>B</v>
          </cell>
        </row>
        <row r="3543">
          <cell r="A3543">
            <v>9069</v>
          </cell>
          <cell r="B3543" t="str">
            <v>ERNA YUNIANTI</v>
          </cell>
          <cell r="C3543" t="str">
            <v>SAMI</v>
          </cell>
          <cell r="D3543" t="str">
            <v>OPT-203</v>
          </cell>
          <cell r="E3543">
            <v>39993</v>
          </cell>
          <cell r="F3543" t="str">
            <v>-</v>
          </cell>
          <cell r="G3543" t="str">
            <v>-</v>
          </cell>
          <cell r="H3543" t="str">
            <v>QA</v>
          </cell>
          <cell r="I3543" t="str">
            <v>INSP</v>
          </cell>
          <cell r="J3543" t="str">
            <v>HONDA SOLENOID</v>
          </cell>
          <cell r="K3543" t="str">
            <v>HONDA SOLENOID</v>
          </cell>
          <cell r="L3543" t="str">
            <v>CV 24B</v>
          </cell>
          <cell r="M3543" t="str">
            <v>SCANNER</v>
          </cell>
          <cell r="N3543" t="str">
            <v>QA APPROVE</v>
          </cell>
          <cell r="O3543" t="str">
            <v>A</v>
          </cell>
        </row>
        <row r="3544">
          <cell r="A3544">
            <v>14817</v>
          </cell>
          <cell r="B3544" t="str">
            <v>PUJI LESTARI</v>
          </cell>
          <cell r="C3544" t="str">
            <v>SAMI</v>
          </cell>
          <cell r="D3544" t="str">
            <v>OPT-378</v>
          </cell>
          <cell r="E3544">
            <v>41400</v>
          </cell>
          <cell r="F3544" t="str">
            <v>-</v>
          </cell>
          <cell r="G3544" t="str">
            <v>-</v>
          </cell>
          <cell r="H3544" t="str">
            <v>QA</v>
          </cell>
          <cell r="I3544" t="str">
            <v>INSP</v>
          </cell>
          <cell r="J3544" t="str">
            <v>HONDA SOLENOID</v>
          </cell>
          <cell r="K3544" t="str">
            <v>HONDA SOLENOID</v>
          </cell>
          <cell r="L3544" t="str">
            <v>CV 24B</v>
          </cell>
          <cell r="M3544" t="str">
            <v>VISUAL</v>
          </cell>
          <cell r="N3544" t="str">
            <v>VISUAL INSPECTION</v>
          </cell>
          <cell r="O3544" t="str">
            <v>A</v>
          </cell>
        </row>
        <row r="3545">
          <cell r="A3545">
            <v>10560</v>
          </cell>
          <cell r="B3545" t="str">
            <v>SITI CHOMSATUN</v>
          </cell>
          <cell r="C3545" t="str">
            <v>SAMI</v>
          </cell>
          <cell r="D3545" t="str">
            <v>OPT-275</v>
          </cell>
          <cell r="E3545">
            <v>40542</v>
          </cell>
          <cell r="F3545" t="str">
            <v>-</v>
          </cell>
          <cell r="G3545" t="str">
            <v>-</v>
          </cell>
          <cell r="H3545" t="str">
            <v>QA</v>
          </cell>
          <cell r="I3545" t="str">
            <v>INSP</v>
          </cell>
          <cell r="J3545" t="str">
            <v>HONDA SOLENOID</v>
          </cell>
          <cell r="K3545" t="str">
            <v>HONDA SOLENOID</v>
          </cell>
          <cell r="L3545" t="str">
            <v>CV 24B</v>
          </cell>
          <cell r="M3545" t="str">
            <v>SCANNER</v>
          </cell>
          <cell r="N3545" t="str">
            <v>QA APPROVE</v>
          </cell>
          <cell r="O3545" t="str">
            <v>B</v>
          </cell>
        </row>
        <row r="3546">
          <cell r="A3546">
            <v>15337</v>
          </cell>
          <cell r="B3546" t="str">
            <v>LINDA WULANDARI</v>
          </cell>
          <cell r="C3546" t="str">
            <v>SAMI</v>
          </cell>
          <cell r="D3546" t="str">
            <v>OPT-387</v>
          </cell>
          <cell r="E3546">
            <v>41442</v>
          </cell>
          <cell r="F3546" t="str">
            <v>-</v>
          </cell>
          <cell r="G3546" t="str">
            <v>-</v>
          </cell>
          <cell r="H3546" t="str">
            <v>QA</v>
          </cell>
          <cell r="I3546" t="str">
            <v>INSP</v>
          </cell>
          <cell r="J3546" t="str">
            <v>HONDA SOLENOID</v>
          </cell>
          <cell r="K3546" t="str">
            <v>HONDA SOLENOID</v>
          </cell>
          <cell r="L3546" t="str">
            <v>CV 24B</v>
          </cell>
          <cell r="M3546" t="str">
            <v>VISUAL</v>
          </cell>
          <cell r="N3546" t="str">
            <v>VISUAL INSPECTION</v>
          </cell>
          <cell r="O3546" t="str">
            <v>B</v>
          </cell>
        </row>
        <row r="3547">
          <cell r="A3547">
            <v>12581</v>
          </cell>
          <cell r="B3547" t="str">
            <v>AIDATUL FAIZAH</v>
          </cell>
          <cell r="C3547" t="str">
            <v>SAMI</v>
          </cell>
          <cell r="D3547" t="str">
            <v>OPT-319</v>
          </cell>
          <cell r="E3547">
            <v>40816</v>
          </cell>
          <cell r="F3547" t="str">
            <v>-</v>
          </cell>
          <cell r="G3547" t="str">
            <v>-</v>
          </cell>
          <cell r="H3547" t="str">
            <v>QA</v>
          </cell>
          <cell r="I3547" t="str">
            <v>INSP</v>
          </cell>
          <cell r="J3547" t="str">
            <v>HONDA SOLENOID</v>
          </cell>
          <cell r="K3547" t="str">
            <v>HONDA SOLENOID</v>
          </cell>
          <cell r="L3547" t="str">
            <v>CV 24C</v>
          </cell>
          <cell r="M3547" t="str">
            <v>VISUAL</v>
          </cell>
          <cell r="N3547" t="str">
            <v>VISUAL INSPECTION</v>
          </cell>
          <cell r="O3547" t="str">
            <v>A</v>
          </cell>
        </row>
        <row r="3548">
          <cell r="A3548">
            <v>11653</v>
          </cell>
          <cell r="B3548" t="str">
            <v>ANA ULUL AZMI</v>
          </cell>
          <cell r="C3548" t="str">
            <v>SAMI</v>
          </cell>
          <cell r="D3548" t="str">
            <v>OPT-308</v>
          </cell>
          <cell r="E3548">
            <v>40714</v>
          </cell>
          <cell r="F3548" t="str">
            <v>-</v>
          </cell>
          <cell r="G3548" t="str">
            <v>-</v>
          </cell>
          <cell r="H3548" t="str">
            <v>QA</v>
          </cell>
          <cell r="I3548" t="str">
            <v>INSP</v>
          </cell>
          <cell r="J3548" t="str">
            <v>HONDA SOLENOID</v>
          </cell>
          <cell r="K3548" t="str">
            <v>HONDA SOLENOID</v>
          </cell>
          <cell r="L3548" t="str">
            <v>CV 24C</v>
          </cell>
          <cell r="M3548" t="str">
            <v>VISUAL</v>
          </cell>
          <cell r="N3548" t="str">
            <v>VISUAL INSPECTION</v>
          </cell>
          <cell r="O3548" t="str">
            <v>B</v>
          </cell>
        </row>
        <row r="3549">
          <cell r="A3549">
            <v>934</v>
          </cell>
          <cell r="B3549" t="str">
            <v>UTAMI</v>
          </cell>
          <cell r="C3549" t="str">
            <v>SAMI</v>
          </cell>
          <cell r="D3549" t="str">
            <v>OPT-24</v>
          </cell>
          <cell r="E3549">
            <v>37865</v>
          </cell>
          <cell r="F3549" t="str">
            <v>-</v>
          </cell>
          <cell r="G3549" t="str">
            <v>-</v>
          </cell>
          <cell r="H3549" t="str">
            <v>QA</v>
          </cell>
          <cell r="I3549" t="str">
            <v>INSP</v>
          </cell>
          <cell r="J3549" t="str">
            <v>HONDA FIT</v>
          </cell>
          <cell r="K3549" t="str">
            <v>HONDA FIT W/H DOOR (RR L DOOR)</v>
          </cell>
          <cell r="L3549" t="str">
            <v>CV 29A</v>
          </cell>
          <cell r="M3549" t="str">
            <v>GL REWORK</v>
          </cell>
          <cell r="N3549" t="str">
            <v>REWORK</v>
          </cell>
          <cell r="O3549" t="str">
            <v>B</v>
          </cell>
        </row>
        <row r="3550">
          <cell r="A3550">
            <v>8815</v>
          </cell>
          <cell r="B3550" t="str">
            <v>BODORIYAH</v>
          </cell>
          <cell r="C3550" t="str">
            <v>SAMI</v>
          </cell>
          <cell r="D3550" t="str">
            <v>OPT-195</v>
          </cell>
          <cell r="E3550">
            <v>39937</v>
          </cell>
          <cell r="F3550" t="str">
            <v>-</v>
          </cell>
          <cell r="G3550" t="str">
            <v>-</v>
          </cell>
          <cell r="H3550" t="str">
            <v>QA</v>
          </cell>
          <cell r="I3550" t="str">
            <v>INSP</v>
          </cell>
          <cell r="J3550" t="str">
            <v>HONDA FIT</v>
          </cell>
          <cell r="K3550" t="str">
            <v>HONDA FIT W/H DOOR (RR L DOOR)</v>
          </cell>
          <cell r="L3550" t="str">
            <v>CV 29A</v>
          </cell>
          <cell r="M3550" t="str">
            <v>VISUAL</v>
          </cell>
          <cell r="N3550" t="str">
            <v>VISUAL INSPECTION</v>
          </cell>
          <cell r="O3550" t="str">
            <v>B</v>
          </cell>
        </row>
        <row r="3551">
          <cell r="A3551">
            <v>9864</v>
          </cell>
          <cell r="B3551" t="str">
            <v>SITI NUR CHOLIFAH</v>
          </cell>
          <cell r="C3551" t="str">
            <v>SAMI</v>
          </cell>
          <cell r="D3551" t="str">
            <v>OPT-240</v>
          </cell>
          <cell r="E3551">
            <v>40411</v>
          </cell>
          <cell r="F3551" t="str">
            <v>-</v>
          </cell>
          <cell r="G3551" t="str">
            <v>-</v>
          </cell>
          <cell r="H3551" t="str">
            <v>QA</v>
          </cell>
          <cell r="I3551" t="str">
            <v>INSP</v>
          </cell>
          <cell r="J3551" t="str">
            <v>HONDA FIT</v>
          </cell>
          <cell r="K3551" t="str">
            <v>HONDA FIT W/H DOOR (RR L DOOR)</v>
          </cell>
          <cell r="L3551" t="str">
            <v>CV 29A</v>
          </cell>
          <cell r="M3551" t="str">
            <v>VISUAL</v>
          </cell>
          <cell r="N3551" t="str">
            <v>VISUAL INSPECTION</v>
          </cell>
          <cell r="O3551" t="str">
            <v>B</v>
          </cell>
        </row>
        <row r="3552">
          <cell r="A3552">
            <v>22671</v>
          </cell>
          <cell r="B3552" t="str">
            <v>PANDU DWI SATRIO</v>
          </cell>
          <cell r="C3552" t="str">
            <v>SAMI</v>
          </cell>
          <cell r="D3552" t="str">
            <v>OPT-562</v>
          </cell>
          <cell r="E3552">
            <v>43241</v>
          </cell>
          <cell r="F3552">
            <v>43272</v>
          </cell>
          <cell r="G3552">
            <v>43646</v>
          </cell>
          <cell r="H3552" t="str">
            <v>QA</v>
          </cell>
          <cell r="I3552" t="str">
            <v>INSP</v>
          </cell>
          <cell r="J3552" t="str">
            <v>HONDA FIT</v>
          </cell>
          <cell r="K3552" t="str">
            <v>HONDA FIT W/H DOOR (RR L DOOR)</v>
          </cell>
          <cell r="L3552" t="str">
            <v>CV 29A</v>
          </cell>
          <cell r="M3552" t="str">
            <v>SCANNER</v>
          </cell>
          <cell r="N3552" t="str">
            <v>QA APPROVE</v>
          </cell>
          <cell r="O3552" t="str">
            <v>B</v>
          </cell>
        </row>
        <row r="3553">
          <cell r="A3553">
            <v>12619</v>
          </cell>
          <cell r="B3553" t="str">
            <v>INDAH LUKIYATI</v>
          </cell>
          <cell r="C3553" t="str">
            <v>SAMI</v>
          </cell>
          <cell r="D3553" t="str">
            <v>OPT-319</v>
          </cell>
          <cell r="E3553">
            <v>40816</v>
          </cell>
          <cell r="F3553" t="str">
            <v>-</v>
          </cell>
          <cell r="G3553" t="str">
            <v>-</v>
          </cell>
          <cell r="H3553" t="str">
            <v>QA</v>
          </cell>
          <cell r="I3553" t="str">
            <v>INSP</v>
          </cell>
          <cell r="J3553" t="str">
            <v>HONDA VEZEL</v>
          </cell>
          <cell r="K3553" t="str">
            <v>HONDA S-CUV W/H RR RL DOOR</v>
          </cell>
          <cell r="L3553" t="str">
            <v>CV 29B</v>
          </cell>
          <cell r="M3553" t="str">
            <v>VISUAL</v>
          </cell>
          <cell r="N3553" t="str">
            <v>VISUAL INSPECTION</v>
          </cell>
          <cell r="O3553" t="str">
            <v>A</v>
          </cell>
        </row>
        <row r="3554">
          <cell r="A3554">
            <v>22173</v>
          </cell>
          <cell r="B3554" t="str">
            <v xml:space="preserve">DEASY PUPUT HANDAYANI </v>
          </cell>
          <cell r="C3554" t="str">
            <v>SAMI</v>
          </cell>
          <cell r="D3554" t="str">
            <v>OPT-550</v>
          </cell>
          <cell r="E3554">
            <v>43158</v>
          </cell>
          <cell r="F3554">
            <v>43186</v>
          </cell>
          <cell r="G3554">
            <v>43555</v>
          </cell>
          <cell r="H3554" t="str">
            <v>QA</v>
          </cell>
          <cell r="I3554" t="str">
            <v>INSP</v>
          </cell>
          <cell r="J3554" t="str">
            <v>HONDA VEZEL</v>
          </cell>
          <cell r="K3554" t="str">
            <v>HONDA S-CUV W/H RR RL DOOR</v>
          </cell>
          <cell r="L3554" t="str">
            <v>CV 29B</v>
          </cell>
          <cell r="M3554" t="str">
            <v>SCANNER</v>
          </cell>
          <cell r="N3554" t="str">
            <v>QA APPROVE</v>
          </cell>
          <cell r="O3554" t="str">
            <v>A</v>
          </cell>
        </row>
        <row r="3555">
          <cell r="A3555">
            <v>11680</v>
          </cell>
          <cell r="B3555" t="str">
            <v>EKA SINTYA DEWI</v>
          </cell>
          <cell r="C3555" t="str">
            <v>SAMI</v>
          </cell>
          <cell r="D3555" t="str">
            <v>OPT-308</v>
          </cell>
          <cell r="E3555">
            <v>40714</v>
          </cell>
          <cell r="F3555" t="str">
            <v>-</v>
          </cell>
          <cell r="G3555" t="str">
            <v>-</v>
          </cell>
          <cell r="H3555" t="str">
            <v>QA</v>
          </cell>
          <cell r="I3555" t="str">
            <v>INSP</v>
          </cell>
          <cell r="J3555" t="str">
            <v>HONDA VEZEL</v>
          </cell>
          <cell r="K3555" t="str">
            <v>HONDA S-CUV W/H RR RL DOOR</v>
          </cell>
          <cell r="L3555" t="str">
            <v>CV 29B</v>
          </cell>
          <cell r="M3555" t="str">
            <v>VISUAL</v>
          </cell>
          <cell r="N3555" t="str">
            <v>VISUAL INSPECTION</v>
          </cell>
          <cell r="O3555" t="str">
            <v>B</v>
          </cell>
        </row>
        <row r="3556">
          <cell r="A3556">
            <v>22309</v>
          </cell>
          <cell r="B3556" t="str">
            <v>RISSA MAULANA</v>
          </cell>
          <cell r="C3556" t="str">
            <v>SAMI</v>
          </cell>
          <cell r="D3556" t="str">
            <v>OPT-555</v>
          </cell>
          <cell r="E3556">
            <v>43192</v>
          </cell>
          <cell r="F3556">
            <v>43222</v>
          </cell>
          <cell r="G3556">
            <v>43585</v>
          </cell>
          <cell r="H3556" t="str">
            <v>QA</v>
          </cell>
          <cell r="I3556" t="str">
            <v>INSP</v>
          </cell>
          <cell r="J3556" t="str">
            <v>HONDA VEZEL</v>
          </cell>
          <cell r="K3556" t="str">
            <v>HONDA S-CUV W/H RR RL DOOR</v>
          </cell>
          <cell r="L3556" t="str">
            <v>CV 29B</v>
          </cell>
          <cell r="M3556" t="str">
            <v>VISUAL</v>
          </cell>
          <cell r="N3556" t="str">
            <v>VISUAL INSPECTION</v>
          </cell>
          <cell r="O3556" t="str">
            <v>B</v>
          </cell>
        </row>
        <row r="3557">
          <cell r="A3557">
            <v>22665</v>
          </cell>
          <cell r="B3557" t="str">
            <v>MUHAMMAD MUGHNI LABIB</v>
          </cell>
          <cell r="C3557" t="str">
            <v>SAMI</v>
          </cell>
          <cell r="D3557" t="str">
            <v>OPT-562</v>
          </cell>
          <cell r="E3557">
            <v>43241</v>
          </cell>
          <cell r="F3557">
            <v>43272</v>
          </cell>
          <cell r="G3557">
            <v>43646</v>
          </cell>
          <cell r="H3557" t="str">
            <v>QA</v>
          </cell>
          <cell r="I3557" t="str">
            <v>INSP</v>
          </cell>
          <cell r="J3557" t="str">
            <v>HONDA VEZEL</v>
          </cell>
          <cell r="K3557" t="str">
            <v>HONDA S-CUV W/H RR RL DOOR</v>
          </cell>
          <cell r="L3557" t="str">
            <v>CV 29B</v>
          </cell>
          <cell r="M3557" t="str">
            <v>VISUAL</v>
          </cell>
          <cell r="N3557" t="str">
            <v>VISUAL INSPECTION</v>
          </cell>
          <cell r="O3557" t="str">
            <v>B</v>
          </cell>
        </row>
        <row r="3558">
          <cell r="A3558">
            <v>13269</v>
          </cell>
          <cell r="B3558" t="str">
            <v>SITI AISAH</v>
          </cell>
          <cell r="C3558" t="str">
            <v>SAMI</v>
          </cell>
          <cell r="D3558" t="str">
            <v>OPT-335</v>
          </cell>
          <cell r="E3558">
            <v>40917</v>
          </cell>
          <cell r="F3558" t="str">
            <v>-</v>
          </cell>
          <cell r="G3558" t="str">
            <v>-</v>
          </cell>
          <cell r="H3558" t="str">
            <v>QA</v>
          </cell>
          <cell r="I3558" t="str">
            <v>INSP</v>
          </cell>
          <cell r="J3558" t="str">
            <v>HONDA ACCURA</v>
          </cell>
          <cell r="K3558" t="str">
            <v>HONDA 5WBA HARN A.T/MISS</v>
          </cell>
          <cell r="L3558" t="str">
            <v>CV 30</v>
          </cell>
          <cell r="M3558" t="str">
            <v>FINAL INSPECTION</v>
          </cell>
          <cell r="N3558" t="str">
            <v>QA APPROVE</v>
          </cell>
          <cell r="O3558" t="str">
            <v>A (NS)</v>
          </cell>
        </row>
        <row r="3559">
          <cell r="A3559">
            <v>10619</v>
          </cell>
          <cell r="B3559" t="str">
            <v>CHRISIA GITA LINDANINGTYAS</v>
          </cell>
          <cell r="C3559" t="str">
            <v>SAMI</v>
          </cell>
          <cell r="D3559" t="str">
            <v>OPT-278</v>
          </cell>
          <cell r="E3559">
            <v>40549</v>
          </cell>
          <cell r="F3559" t="str">
            <v>-</v>
          </cell>
          <cell r="G3559" t="str">
            <v>-</v>
          </cell>
          <cell r="H3559" t="str">
            <v>QA</v>
          </cell>
          <cell r="I3559" t="str">
            <v>INSP</v>
          </cell>
          <cell r="J3559" t="str">
            <v>HONDA FREED</v>
          </cell>
          <cell r="K3559" t="str">
            <v>HONDA FREED W/H FLOOR</v>
          </cell>
          <cell r="L3559" t="str">
            <v>CV 4</v>
          </cell>
          <cell r="M3559" t="str">
            <v>DC</v>
          </cell>
          <cell r="N3559" t="str">
            <v>DC</v>
          </cell>
          <cell r="O3559" t="str">
            <v>A</v>
          </cell>
        </row>
        <row r="3560">
          <cell r="A3560">
            <v>11137</v>
          </cell>
          <cell r="B3560" t="str">
            <v>SUTINI</v>
          </cell>
          <cell r="C3560" t="str">
            <v>SAMI</v>
          </cell>
          <cell r="D3560" t="str">
            <v>OPT-290</v>
          </cell>
          <cell r="E3560">
            <v>40603</v>
          </cell>
          <cell r="F3560" t="str">
            <v>-</v>
          </cell>
          <cell r="G3560" t="str">
            <v>-</v>
          </cell>
          <cell r="H3560" t="str">
            <v>QA</v>
          </cell>
          <cell r="I3560" t="str">
            <v>INSP</v>
          </cell>
          <cell r="J3560" t="str">
            <v>HONDA FREED</v>
          </cell>
          <cell r="K3560" t="str">
            <v>HONDA FREED W/H FLOOR</v>
          </cell>
          <cell r="L3560" t="str">
            <v>CV 4</v>
          </cell>
          <cell r="M3560" t="str">
            <v>FINAL INSPECTION</v>
          </cell>
          <cell r="N3560" t="str">
            <v>QA APPROVE</v>
          </cell>
          <cell r="O3560" t="str">
            <v>A</v>
          </cell>
        </row>
        <row r="3561">
          <cell r="A3561">
            <v>12228</v>
          </cell>
          <cell r="B3561" t="str">
            <v>ZAKIYATUL FITRIA</v>
          </cell>
          <cell r="C3561" t="str">
            <v>SAMI</v>
          </cell>
          <cell r="D3561" t="str">
            <v>OPT-315</v>
          </cell>
          <cell r="E3561">
            <v>40802</v>
          </cell>
          <cell r="F3561" t="str">
            <v>-</v>
          </cell>
          <cell r="G3561" t="str">
            <v>-</v>
          </cell>
          <cell r="H3561" t="str">
            <v>QA</v>
          </cell>
          <cell r="I3561" t="str">
            <v>INSP</v>
          </cell>
          <cell r="J3561" t="str">
            <v>HONDA FREED</v>
          </cell>
          <cell r="K3561" t="str">
            <v>HONDA FREED W/H FLOOR</v>
          </cell>
          <cell r="L3561" t="str">
            <v>CV 4</v>
          </cell>
          <cell r="M3561" t="str">
            <v>DC</v>
          </cell>
          <cell r="N3561" t="str">
            <v>DC</v>
          </cell>
          <cell r="O3561" t="str">
            <v>A</v>
          </cell>
        </row>
        <row r="3562">
          <cell r="A3562">
            <v>20726</v>
          </cell>
          <cell r="B3562" t="str">
            <v>MEI DAYANTI</v>
          </cell>
          <cell r="C3562" t="str">
            <v>SAMI</v>
          </cell>
          <cell r="D3562" t="str">
            <v>OPT-506</v>
          </cell>
          <cell r="E3562">
            <v>42642</v>
          </cell>
          <cell r="F3562">
            <v>43132</v>
          </cell>
          <cell r="G3562">
            <v>43496</v>
          </cell>
          <cell r="H3562" t="str">
            <v>QA</v>
          </cell>
          <cell r="I3562" t="str">
            <v>INSP</v>
          </cell>
          <cell r="J3562" t="str">
            <v>HONDA FREED</v>
          </cell>
          <cell r="K3562" t="str">
            <v>HONDA FREED W/H FLOOR</v>
          </cell>
          <cell r="L3562" t="str">
            <v>CV 4</v>
          </cell>
          <cell r="M3562" t="str">
            <v>FINAL INSPECTION</v>
          </cell>
          <cell r="N3562" t="str">
            <v>QA APPROVE</v>
          </cell>
          <cell r="O3562" t="str">
            <v>A</v>
          </cell>
        </row>
        <row r="3563">
          <cell r="A3563">
            <v>21715</v>
          </cell>
          <cell r="B3563" t="str">
            <v>ERIKA PUTRI WULANSARI</v>
          </cell>
          <cell r="C3563" t="str">
            <v>SAMI</v>
          </cell>
          <cell r="D3563" t="str">
            <v>OPT-539</v>
          </cell>
          <cell r="E3563">
            <v>43087</v>
          </cell>
          <cell r="F3563">
            <v>43118</v>
          </cell>
          <cell r="G3563">
            <v>43496</v>
          </cell>
          <cell r="H3563" t="str">
            <v>QA</v>
          </cell>
          <cell r="I3563" t="str">
            <v>INSP</v>
          </cell>
          <cell r="J3563" t="str">
            <v>HONDA FREED</v>
          </cell>
          <cell r="K3563" t="str">
            <v>HONDA FREED W/H FLOOR</v>
          </cell>
          <cell r="L3563" t="str">
            <v>CV 4</v>
          </cell>
          <cell r="M3563" t="str">
            <v>FINAL INSPECTION</v>
          </cell>
          <cell r="N3563" t="str">
            <v>QA APPROVE</v>
          </cell>
          <cell r="O3563" t="str">
            <v>A</v>
          </cell>
        </row>
        <row r="3564">
          <cell r="A3564" t="str">
            <v>B00966</v>
          </cell>
          <cell r="B3564" t="str">
            <v>SANTI TRI HASTUTI</v>
          </cell>
          <cell r="C3564" t="str">
            <v>SAMI</v>
          </cell>
          <cell r="D3564" t="str">
            <v>BBF-023</v>
          </cell>
          <cell r="E3564">
            <v>41015</v>
          </cell>
          <cell r="F3564" t="str">
            <v>-</v>
          </cell>
          <cell r="G3564" t="str">
            <v>-</v>
          </cell>
          <cell r="H3564" t="str">
            <v>QA</v>
          </cell>
          <cell r="I3564" t="str">
            <v>INSP</v>
          </cell>
          <cell r="J3564" t="str">
            <v>HONDA FREED</v>
          </cell>
          <cell r="K3564" t="str">
            <v>HONDA FREED W/H FLOOR</v>
          </cell>
          <cell r="L3564" t="str">
            <v>CV 4</v>
          </cell>
          <cell r="M3564" t="str">
            <v>FINAL INSPECTION</v>
          </cell>
          <cell r="N3564" t="str">
            <v>QA APPROVE</v>
          </cell>
          <cell r="O3564" t="str">
            <v>A</v>
          </cell>
        </row>
        <row r="3565">
          <cell r="A3565">
            <v>10397</v>
          </cell>
          <cell r="B3565" t="str">
            <v>EKA SURYANI</v>
          </cell>
          <cell r="C3565" t="str">
            <v>SAMI</v>
          </cell>
          <cell r="D3565" t="str">
            <v>OPT-268</v>
          </cell>
          <cell r="E3565">
            <v>40518</v>
          </cell>
          <cell r="F3565" t="str">
            <v>-</v>
          </cell>
          <cell r="G3565" t="str">
            <v>-</v>
          </cell>
          <cell r="H3565" t="str">
            <v>QA</v>
          </cell>
          <cell r="I3565" t="str">
            <v>INSP</v>
          </cell>
          <cell r="J3565" t="str">
            <v>HONDA FREED</v>
          </cell>
          <cell r="K3565" t="str">
            <v>HONDA FREED W/H FLOOR</v>
          </cell>
          <cell r="L3565" t="str">
            <v>CV 4</v>
          </cell>
          <cell r="M3565" t="str">
            <v>FINAL INSPECTION</v>
          </cell>
          <cell r="N3565" t="str">
            <v>QA APPROVE</v>
          </cell>
          <cell r="O3565" t="str">
            <v>B</v>
          </cell>
        </row>
        <row r="3566">
          <cell r="A3566">
            <v>11677</v>
          </cell>
          <cell r="B3566" t="str">
            <v>DWI NUR AFNI RATNA SUSILOWATI</v>
          </cell>
          <cell r="C3566" t="str">
            <v>SAMI</v>
          </cell>
          <cell r="D3566" t="str">
            <v>OPT-308</v>
          </cell>
          <cell r="E3566">
            <v>40714</v>
          </cell>
          <cell r="F3566" t="str">
            <v>-</v>
          </cell>
          <cell r="G3566" t="str">
            <v>-</v>
          </cell>
          <cell r="H3566" t="str">
            <v>QA</v>
          </cell>
          <cell r="I3566" t="str">
            <v>INSP</v>
          </cell>
          <cell r="J3566" t="str">
            <v>HONDA FREED</v>
          </cell>
          <cell r="K3566" t="str">
            <v>HONDA FREED W/H FLOOR</v>
          </cell>
          <cell r="L3566" t="str">
            <v>CV 4</v>
          </cell>
          <cell r="M3566" t="str">
            <v>DC</v>
          </cell>
          <cell r="N3566" t="str">
            <v>DC</v>
          </cell>
          <cell r="O3566" t="str">
            <v>B</v>
          </cell>
        </row>
        <row r="3567">
          <cell r="A3567">
            <v>11984</v>
          </cell>
          <cell r="B3567" t="str">
            <v>DYAH SUSILOWATI</v>
          </cell>
          <cell r="C3567" t="str">
            <v>SAMI</v>
          </cell>
          <cell r="D3567" t="str">
            <v>OPT-312</v>
          </cell>
          <cell r="E3567">
            <v>40777</v>
          </cell>
          <cell r="F3567" t="str">
            <v>-</v>
          </cell>
          <cell r="G3567" t="str">
            <v>-</v>
          </cell>
          <cell r="H3567" t="str">
            <v>QA</v>
          </cell>
          <cell r="I3567" t="str">
            <v>INSP</v>
          </cell>
          <cell r="J3567" t="str">
            <v>HONDA FREED</v>
          </cell>
          <cell r="K3567" t="str">
            <v>HONDA FREED W/H FLOOR</v>
          </cell>
          <cell r="L3567" t="str">
            <v>CV 4</v>
          </cell>
          <cell r="M3567" t="str">
            <v>FINAL INSPECTION</v>
          </cell>
          <cell r="N3567" t="str">
            <v>QA APPROVE</v>
          </cell>
          <cell r="O3567" t="str">
            <v>B</v>
          </cell>
        </row>
        <row r="3568">
          <cell r="A3568">
            <v>12748</v>
          </cell>
          <cell r="B3568" t="str">
            <v>SITI NUR FAIZAH</v>
          </cell>
          <cell r="C3568" t="str">
            <v>SAMI</v>
          </cell>
          <cell r="D3568" t="str">
            <v>OPT-320</v>
          </cell>
          <cell r="E3568">
            <v>40819</v>
          </cell>
          <cell r="F3568" t="str">
            <v>-</v>
          </cell>
          <cell r="G3568" t="str">
            <v>-</v>
          </cell>
          <cell r="H3568" t="str">
            <v>QA</v>
          </cell>
          <cell r="I3568" t="str">
            <v>INSP</v>
          </cell>
          <cell r="J3568" t="str">
            <v>HONDA FREED</v>
          </cell>
          <cell r="K3568" t="str">
            <v>HONDA FREED W/H FLOOR</v>
          </cell>
          <cell r="L3568" t="str">
            <v>CV 4</v>
          </cell>
          <cell r="M3568" t="str">
            <v>FINAL INSPECTION</v>
          </cell>
          <cell r="N3568" t="str">
            <v>QA APPROVE</v>
          </cell>
          <cell r="O3568" t="str">
            <v>B</v>
          </cell>
        </row>
        <row r="3569">
          <cell r="A3569">
            <v>20084</v>
          </cell>
          <cell r="B3569" t="str">
            <v xml:space="preserve">SRI WULANDARI </v>
          </cell>
          <cell r="C3569" t="str">
            <v>SAMI</v>
          </cell>
          <cell r="D3569" t="str">
            <v>OPT-496</v>
          </cell>
          <cell r="E3569">
            <v>42523</v>
          </cell>
          <cell r="F3569" t="str">
            <v>-</v>
          </cell>
          <cell r="G3569" t="str">
            <v>-</v>
          </cell>
          <cell r="H3569" t="str">
            <v>QA</v>
          </cell>
          <cell r="I3569" t="str">
            <v>INSP</v>
          </cell>
          <cell r="J3569" t="str">
            <v>HONDA FREED</v>
          </cell>
          <cell r="K3569" t="str">
            <v>HONDA FREED W/H FLOOR</v>
          </cell>
          <cell r="L3569" t="str">
            <v>CV 4</v>
          </cell>
          <cell r="M3569" t="str">
            <v>DC</v>
          </cell>
          <cell r="N3569" t="str">
            <v>DC</v>
          </cell>
          <cell r="O3569" t="str">
            <v>B</v>
          </cell>
        </row>
        <row r="3570">
          <cell r="A3570">
            <v>21410</v>
          </cell>
          <cell r="B3570" t="str">
            <v>SEFIRA AULIA KHASHANA</v>
          </cell>
          <cell r="C3570" t="str">
            <v>SAMI</v>
          </cell>
          <cell r="D3570" t="str">
            <v>OPT-532</v>
          </cell>
          <cell r="E3570">
            <v>43018</v>
          </cell>
          <cell r="F3570">
            <v>43405</v>
          </cell>
          <cell r="G3570">
            <v>43769</v>
          </cell>
          <cell r="H3570" t="str">
            <v>QA</v>
          </cell>
          <cell r="I3570" t="str">
            <v>INSP</v>
          </cell>
          <cell r="J3570" t="str">
            <v>HONDA FREED</v>
          </cell>
          <cell r="K3570" t="str">
            <v>HONDA FREED W/H FLOOR</v>
          </cell>
          <cell r="L3570" t="str">
            <v>CV 4</v>
          </cell>
          <cell r="M3570" t="str">
            <v>FINAL INSPECTION</v>
          </cell>
          <cell r="N3570" t="str">
            <v>QA APPROVE</v>
          </cell>
          <cell r="O3570" t="str">
            <v>B</v>
          </cell>
        </row>
        <row r="3571">
          <cell r="A3571">
            <v>19784</v>
          </cell>
          <cell r="B3571" t="str">
            <v>LAILI PUJI ANAFI</v>
          </cell>
          <cell r="C3571" t="str">
            <v>SAMI</v>
          </cell>
          <cell r="D3571" t="str">
            <v>OPT-492</v>
          </cell>
          <cell r="E3571">
            <v>42499</v>
          </cell>
          <cell r="F3571" t="str">
            <v>-</v>
          </cell>
          <cell r="G3571" t="str">
            <v>-</v>
          </cell>
          <cell r="H3571" t="str">
            <v>QA</v>
          </cell>
          <cell r="I3571" t="str">
            <v>INSP</v>
          </cell>
          <cell r="J3571" t="str">
            <v>SUZUKI HUSTLER</v>
          </cell>
          <cell r="K3571" t="str">
            <v>SUZUKI Y0C</v>
          </cell>
          <cell r="L3571" t="str">
            <v>CV A03</v>
          </cell>
          <cell r="M3571" t="str">
            <v>FINAL INSPECTION</v>
          </cell>
          <cell r="N3571" t="str">
            <v>QA APPROVE</v>
          </cell>
          <cell r="O3571" t="str">
            <v>A</v>
          </cell>
        </row>
        <row r="3572">
          <cell r="A3572">
            <v>6131</v>
          </cell>
          <cell r="B3572" t="str">
            <v>DWI INDARYANI</v>
          </cell>
          <cell r="C3572" t="str">
            <v>SAMI</v>
          </cell>
          <cell r="D3572" t="str">
            <v>OPT-140</v>
          </cell>
          <cell r="E3572">
            <v>39157</v>
          </cell>
          <cell r="F3572" t="str">
            <v>-</v>
          </cell>
          <cell r="G3572" t="str">
            <v>-</v>
          </cell>
          <cell r="H3572" t="str">
            <v>QA</v>
          </cell>
          <cell r="I3572" t="str">
            <v>INSP</v>
          </cell>
          <cell r="J3572" t="str">
            <v>SUZUKI HUSTLER</v>
          </cell>
          <cell r="K3572" t="str">
            <v>SUZUKI Y0C</v>
          </cell>
          <cell r="L3572" t="str">
            <v>CV A03</v>
          </cell>
          <cell r="M3572" t="str">
            <v>GL REWORK</v>
          </cell>
          <cell r="N3572" t="str">
            <v>REWORK</v>
          </cell>
          <cell r="O3572" t="str">
            <v>B</v>
          </cell>
        </row>
        <row r="3573">
          <cell r="A3573">
            <v>5751</v>
          </cell>
          <cell r="B3573" t="str">
            <v>YULI SETIAWATI</v>
          </cell>
          <cell r="C3573" t="str">
            <v>SAMI</v>
          </cell>
          <cell r="D3573" t="str">
            <v>OPT-134</v>
          </cell>
          <cell r="E3573">
            <v>39098</v>
          </cell>
          <cell r="F3573" t="str">
            <v>-</v>
          </cell>
          <cell r="G3573" t="str">
            <v>-</v>
          </cell>
          <cell r="H3573" t="str">
            <v>QA</v>
          </cell>
          <cell r="I3573" t="str">
            <v>INSP</v>
          </cell>
          <cell r="J3573" t="str">
            <v>MAZDA ATENZA</v>
          </cell>
          <cell r="K3573" t="str">
            <v>MAZDA ATENZA</v>
          </cell>
          <cell r="L3573" t="str">
            <v>CV A04</v>
          </cell>
          <cell r="M3573" t="str">
            <v>DC</v>
          </cell>
          <cell r="N3573" t="str">
            <v>DC</v>
          </cell>
          <cell r="O3573" t="str">
            <v>A</v>
          </cell>
        </row>
        <row r="3574">
          <cell r="A3574">
            <v>10238</v>
          </cell>
          <cell r="B3574" t="str">
            <v>SUDARWATI</v>
          </cell>
          <cell r="C3574" t="str">
            <v>SAMI</v>
          </cell>
          <cell r="D3574" t="str">
            <v>OPT-259</v>
          </cell>
          <cell r="E3574">
            <v>40489</v>
          </cell>
          <cell r="F3574" t="str">
            <v>-</v>
          </cell>
          <cell r="G3574" t="str">
            <v>-</v>
          </cell>
          <cell r="H3574" t="str">
            <v>QA</v>
          </cell>
          <cell r="I3574" t="str">
            <v>INSP</v>
          </cell>
          <cell r="J3574" t="str">
            <v>MAZDA ATENZA</v>
          </cell>
          <cell r="K3574" t="str">
            <v>MAZDA J72</v>
          </cell>
          <cell r="L3574" t="str">
            <v>CV A04</v>
          </cell>
          <cell r="M3574" t="str">
            <v>DC</v>
          </cell>
          <cell r="N3574" t="str">
            <v>DC</v>
          </cell>
          <cell r="O3574" t="str">
            <v>A</v>
          </cell>
        </row>
        <row r="3575">
          <cell r="A3575">
            <v>10296</v>
          </cell>
          <cell r="B3575" t="str">
            <v>UMI RAHAYU</v>
          </cell>
          <cell r="C3575" t="str">
            <v>SAMI</v>
          </cell>
          <cell r="D3575" t="str">
            <v>OPT-263</v>
          </cell>
          <cell r="E3575">
            <v>40504</v>
          </cell>
          <cell r="F3575" t="str">
            <v>-</v>
          </cell>
          <cell r="G3575" t="str">
            <v>-</v>
          </cell>
          <cell r="H3575" t="str">
            <v>QA</v>
          </cell>
          <cell r="I3575" t="str">
            <v>INSP</v>
          </cell>
          <cell r="J3575" t="str">
            <v>MAZDA ATENZA</v>
          </cell>
          <cell r="K3575" t="str">
            <v>MAZDA ATENZA</v>
          </cell>
          <cell r="L3575" t="str">
            <v>CV A04</v>
          </cell>
          <cell r="M3575" t="str">
            <v>FINAL INSPECTION</v>
          </cell>
          <cell r="N3575" t="str">
            <v>QA APPROVE</v>
          </cell>
          <cell r="O3575" t="str">
            <v>A</v>
          </cell>
        </row>
        <row r="3576">
          <cell r="A3576">
            <v>13193</v>
          </cell>
          <cell r="B3576" t="str">
            <v>SRI ARNI ENTI</v>
          </cell>
          <cell r="C3576" t="str">
            <v>SAMI</v>
          </cell>
          <cell r="D3576" t="str">
            <v>OPT-333</v>
          </cell>
          <cell r="E3576">
            <v>40904</v>
          </cell>
          <cell r="F3576" t="str">
            <v>-</v>
          </cell>
          <cell r="G3576" t="str">
            <v>-</v>
          </cell>
          <cell r="H3576" t="str">
            <v>QA</v>
          </cell>
          <cell r="I3576" t="str">
            <v>INSP</v>
          </cell>
          <cell r="J3576" t="str">
            <v>MAZDA ATENZA</v>
          </cell>
          <cell r="K3576" t="str">
            <v>MAZDA ATENZA</v>
          </cell>
          <cell r="L3576" t="str">
            <v>CV A04</v>
          </cell>
          <cell r="M3576" t="str">
            <v>FINAL INSPECTION</v>
          </cell>
          <cell r="N3576" t="str">
            <v>QA APPROVE</v>
          </cell>
          <cell r="O3576" t="str">
            <v>A</v>
          </cell>
        </row>
        <row r="3577">
          <cell r="A3577">
            <v>21455</v>
          </cell>
          <cell r="B3577" t="str">
            <v>NIAS ALMA PUTRI UTARI</v>
          </cell>
          <cell r="C3577" t="str">
            <v>SAMI</v>
          </cell>
          <cell r="D3577" t="str">
            <v>OPT-533</v>
          </cell>
          <cell r="E3577">
            <v>43024</v>
          </cell>
          <cell r="F3577">
            <v>43435</v>
          </cell>
          <cell r="G3577">
            <v>43799</v>
          </cell>
          <cell r="H3577" t="str">
            <v>QA</v>
          </cell>
          <cell r="I3577" t="str">
            <v>INSP</v>
          </cell>
          <cell r="J3577" t="str">
            <v>MAZDA ATENZA</v>
          </cell>
          <cell r="K3577" t="str">
            <v>MAZDA J72</v>
          </cell>
          <cell r="L3577" t="str">
            <v>CV A04</v>
          </cell>
          <cell r="M3577" t="str">
            <v>FINAL INSPECTION</v>
          </cell>
          <cell r="N3577" t="str">
            <v>QA APPROVE</v>
          </cell>
          <cell r="O3577" t="str">
            <v>A</v>
          </cell>
        </row>
        <row r="3578">
          <cell r="A3578">
            <v>21595</v>
          </cell>
          <cell r="B3578" t="str">
            <v>KURNIA DEWI NOPIYANI HASIBUAN</v>
          </cell>
          <cell r="C3578" t="str">
            <v>SAMI</v>
          </cell>
          <cell r="D3578" t="str">
            <v>OPT-536</v>
          </cell>
          <cell r="E3578">
            <v>43048</v>
          </cell>
          <cell r="F3578">
            <v>43435</v>
          </cell>
          <cell r="G3578">
            <v>43799</v>
          </cell>
          <cell r="H3578" t="str">
            <v>QA</v>
          </cell>
          <cell r="I3578" t="str">
            <v>INSP</v>
          </cell>
          <cell r="J3578" t="str">
            <v>MAZDA ATENZA</v>
          </cell>
          <cell r="K3578" t="str">
            <v>MAZDA J72</v>
          </cell>
          <cell r="L3578" t="str">
            <v>CV A04</v>
          </cell>
          <cell r="M3578" t="str">
            <v>FINAL INSPECTION</v>
          </cell>
          <cell r="N3578" t="str">
            <v>QA APPROVE</v>
          </cell>
          <cell r="O3578" t="str">
            <v>A</v>
          </cell>
        </row>
        <row r="3579">
          <cell r="A3579">
            <v>986</v>
          </cell>
          <cell r="B3579" t="str">
            <v>HARTINI</v>
          </cell>
          <cell r="C3579" t="str">
            <v>SAMI</v>
          </cell>
          <cell r="D3579" t="str">
            <v>OPT-25</v>
          </cell>
          <cell r="E3579">
            <v>37872</v>
          </cell>
          <cell r="F3579" t="str">
            <v>-</v>
          </cell>
          <cell r="G3579" t="str">
            <v>-</v>
          </cell>
          <cell r="H3579" t="str">
            <v>QA</v>
          </cell>
          <cell r="I3579" t="str">
            <v>INSP</v>
          </cell>
          <cell r="J3579" t="str">
            <v>MAZDA ATENZA</v>
          </cell>
          <cell r="K3579" t="str">
            <v>MAZDA J72</v>
          </cell>
          <cell r="L3579" t="str">
            <v>CV A04</v>
          </cell>
          <cell r="M3579" t="str">
            <v>FINAL INSPECTION</v>
          </cell>
          <cell r="N3579" t="str">
            <v>QA APPROVE</v>
          </cell>
          <cell r="O3579" t="str">
            <v>B</v>
          </cell>
        </row>
        <row r="3580">
          <cell r="A3580">
            <v>1137</v>
          </cell>
          <cell r="B3580" t="str">
            <v>NURUL SYAMSIYAH HANDAYANI</v>
          </cell>
          <cell r="C3580" t="str">
            <v>SAMI</v>
          </cell>
          <cell r="D3580" t="str">
            <v>OPT-28</v>
          </cell>
          <cell r="E3580">
            <v>37900</v>
          </cell>
          <cell r="F3580" t="str">
            <v>-</v>
          </cell>
          <cell r="G3580" t="str">
            <v>-</v>
          </cell>
          <cell r="H3580" t="str">
            <v>QA</v>
          </cell>
          <cell r="I3580" t="str">
            <v>INSP</v>
          </cell>
          <cell r="J3580" t="str">
            <v>MAZDA ATENZA</v>
          </cell>
          <cell r="K3580" t="str">
            <v>MAZDA J72</v>
          </cell>
          <cell r="L3580" t="str">
            <v>CV A04</v>
          </cell>
          <cell r="M3580" t="str">
            <v>GL REWORK</v>
          </cell>
          <cell r="N3580" t="str">
            <v>REWORK</v>
          </cell>
          <cell r="O3580" t="str">
            <v>B</v>
          </cell>
        </row>
        <row r="3581">
          <cell r="A3581">
            <v>8697</v>
          </cell>
          <cell r="B3581" t="str">
            <v>SELVIANA DEWI</v>
          </cell>
          <cell r="C3581" t="str">
            <v>SAMI</v>
          </cell>
          <cell r="D3581" t="str">
            <v>OPT-190</v>
          </cell>
          <cell r="E3581">
            <v>39888</v>
          </cell>
          <cell r="F3581" t="str">
            <v>-</v>
          </cell>
          <cell r="G3581" t="str">
            <v>-</v>
          </cell>
          <cell r="H3581" t="str">
            <v>QA</v>
          </cell>
          <cell r="I3581" t="str">
            <v>INSP</v>
          </cell>
          <cell r="J3581" t="str">
            <v>MAZDA ATENZA</v>
          </cell>
          <cell r="K3581" t="str">
            <v>MAZDA J72</v>
          </cell>
          <cell r="L3581" t="str">
            <v>CV A04</v>
          </cell>
          <cell r="M3581" t="str">
            <v>FINAL INSPECTION</v>
          </cell>
          <cell r="N3581" t="str">
            <v>QA APPROVE</v>
          </cell>
          <cell r="O3581" t="str">
            <v>B</v>
          </cell>
        </row>
        <row r="3582">
          <cell r="A3582">
            <v>10536</v>
          </cell>
          <cell r="B3582" t="str">
            <v>VIKRIANA</v>
          </cell>
          <cell r="C3582" t="str">
            <v>SAMI</v>
          </cell>
          <cell r="D3582" t="str">
            <v>OPT-273</v>
          </cell>
          <cell r="E3582">
            <v>40535</v>
          </cell>
          <cell r="F3582" t="str">
            <v>-</v>
          </cell>
          <cell r="G3582" t="str">
            <v>-</v>
          </cell>
          <cell r="H3582" t="str">
            <v>QA</v>
          </cell>
          <cell r="I3582" t="str">
            <v>INSP</v>
          </cell>
          <cell r="J3582" t="str">
            <v>MAZDA ATENZA</v>
          </cell>
          <cell r="K3582" t="str">
            <v>MAZDA J72</v>
          </cell>
          <cell r="L3582" t="str">
            <v>CV A04</v>
          </cell>
          <cell r="M3582" t="str">
            <v>FINAL INSPECTION</v>
          </cell>
          <cell r="N3582" t="str">
            <v>QA APPROVE</v>
          </cell>
          <cell r="O3582" t="str">
            <v>B</v>
          </cell>
        </row>
        <row r="3583">
          <cell r="A3583">
            <v>11248</v>
          </cell>
          <cell r="B3583" t="str">
            <v>DWI ASTUTI</v>
          </cell>
          <cell r="C3583" t="str">
            <v>SAMI</v>
          </cell>
          <cell r="D3583" t="str">
            <v>OPT-294</v>
          </cell>
          <cell r="E3583">
            <v>40617</v>
          </cell>
          <cell r="F3583" t="str">
            <v>-</v>
          </cell>
          <cell r="G3583" t="str">
            <v>-</v>
          </cell>
          <cell r="H3583" t="str">
            <v>QA</v>
          </cell>
          <cell r="I3583" t="str">
            <v>INSP</v>
          </cell>
          <cell r="J3583" t="str">
            <v>MAZDA ATENZA</v>
          </cell>
          <cell r="K3583" t="str">
            <v>MAZDA J72</v>
          </cell>
          <cell r="L3583" t="str">
            <v>CV A04</v>
          </cell>
          <cell r="M3583" t="str">
            <v>DC</v>
          </cell>
          <cell r="N3583" t="str">
            <v>DC</v>
          </cell>
          <cell r="O3583" t="str">
            <v>B</v>
          </cell>
        </row>
        <row r="3584">
          <cell r="A3584">
            <v>12950</v>
          </cell>
          <cell r="B3584" t="str">
            <v>TRI RATIH SETIYAWATI</v>
          </cell>
          <cell r="C3584" t="str">
            <v>SAMI</v>
          </cell>
          <cell r="D3584" t="str">
            <v>OPT-322</v>
          </cell>
          <cell r="E3584">
            <v>40833</v>
          </cell>
          <cell r="F3584" t="str">
            <v>-</v>
          </cell>
          <cell r="G3584" t="str">
            <v>-</v>
          </cell>
          <cell r="H3584" t="str">
            <v>QA</v>
          </cell>
          <cell r="I3584" t="str">
            <v>INSP</v>
          </cell>
          <cell r="J3584" t="str">
            <v>MAZDA ATENZA</v>
          </cell>
          <cell r="K3584" t="str">
            <v>MAZDA J72</v>
          </cell>
          <cell r="L3584" t="str">
            <v>CV A04</v>
          </cell>
          <cell r="M3584" t="str">
            <v>DC</v>
          </cell>
          <cell r="N3584" t="str">
            <v>DC</v>
          </cell>
          <cell r="O3584" t="str">
            <v>B</v>
          </cell>
        </row>
        <row r="3585">
          <cell r="A3585">
            <v>13053</v>
          </cell>
          <cell r="B3585" t="str">
            <v>VIVA FITRIYAH</v>
          </cell>
          <cell r="C3585" t="str">
            <v>SAMI</v>
          </cell>
          <cell r="D3585" t="str">
            <v>OPT-324</v>
          </cell>
          <cell r="E3585">
            <v>40844</v>
          </cell>
          <cell r="F3585" t="str">
            <v>-</v>
          </cell>
          <cell r="G3585" t="str">
            <v>-</v>
          </cell>
          <cell r="H3585" t="str">
            <v>QA</v>
          </cell>
          <cell r="I3585" t="str">
            <v>INSP</v>
          </cell>
          <cell r="J3585" t="str">
            <v>MAZDA ATENZA</v>
          </cell>
          <cell r="K3585" t="str">
            <v>MAZDA J72</v>
          </cell>
          <cell r="L3585" t="str">
            <v>CV A04</v>
          </cell>
          <cell r="M3585" t="str">
            <v>FINAL INSPECTION</v>
          </cell>
          <cell r="N3585" t="str">
            <v>QA APPROVE</v>
          </cell>
          <cell r="O3585" t="str">
            <v>B</v>
          </cell>
        </row>
        <row r="3586">
          <cell r="A3586">
            <v>1054</v>
          </cell>
          <cell r="B3586" t="str">
            <v>SRI SUDARYANI</v>
          </cell>
          <cell r="C3586" t="str">
            <v>SAMI</v>
          </cell>
          <cell r="D3586" t="str">
            <v>OPT-26</v>
          </cell>
          <cell r="E3586">
            <v>37879</v>
          </cell>
          <cell r="F3586" t="str">
            <v>-</v>
          </cell>
          <cell r="G3586" t="str">
            <v>-</v>
          </cell>
          <cell r="H3586" t="str">
            <v>QA</v>
          </cell>
          <cell r="I3586" t="str">
            <v>INSP</v>
          </cell>
          <cell r="J3586" t="str">
            <v>MAZDA ATENZA</v>
          </cell>
          <cell r="K3586" t="str">
            <v>MAZDA ATENZA</v>
          </cell>
          <cell r="L3586" t="str">
            <v>CV A06</v>
          </cell>
          <cell r="M3586" t="str">
            <v>GL REWORK</v>
          </cell>
          <cell r="N3586" t="str">
            <v>REWORK</v>
          </cell>
          <cell r="O3586" t="str">
            <v>A</v>
          </cell>
        </row>
        <row r="3587">
          <cell r="A3587">
            <v>6095</v>
          </cell>
          <cell r="B3587" t="str">
            <v>SUNDARI</v>
          </cell>
          <cell r="C3587" t="str">
            <v>SAMI</v>
          </cell>
          <cell r="D3587" t="str">
            <v>OPT-139</v>
          </cell>
          <cell r="E3587">
            <v>39142</v>
          </cell>
          <cell r="F3587" t="str">
            <v>-</v>
          </cell>
          <cell r="G3587" t="str">
            <v>-</v>
          </cell>
          <cell r="H3587" t="str">
            <v>QA</v>
          </cell>
          <cell r="I3587" t="str">
            <v>INSP</v>
          </cell>
          <cell r="J3587" t="str">
            <v>MAZDA ATENZA</v>
          </cell>
          <cell r="K3587" t="str">
            <v>MAZDA ATENZA</v>
          </cell>
          <cell r="L3587" t="str">
            <v>CV A06</v>
          </cell>
          <cell r="M3587" t="str">
            <v>FINAL INSPECTION</v>
          </cell>
          <cell r="N3587" t="str">
            <v>QA APPROVE</v>
          </cell>
          <cell r="O3587" t="str">
            <v>A</v>
          </cell>
        </row>
        <row r="3588">
          <cell r="A3588">
            <v>11047</v>
          </cell>
          <cell r="B3588" t="str">
            <v>NUR KHASANAH</v>
          </cell>
          <cell r="C3588" t="str">
            <v>SAMI</v>
          </cell>
          <cell r="D3588" t="str">
            <v>OPT-288</v>
          </cell>
          <cell r="E3588">
            <v>40592</v>
          </cell>
          <cell r="F3588" t="str">
            <v>-</v>
          </cell>
          <cell r="G3588" t="str">
            <v>-</v>
          </cell>
          <cell r="H3588" t="str">
            <v>QA</v>
          </cell>
          <cell r="I3588" t="str">
            <v>INSP</v>
          </cell>
          <cell r="J3588" t="str">
            <v>MAZDA ATENZA</v>
          </cell>
          <cell r="K3588" t="str">
            <v>MAZDA ATENZA</v>
          </cell>
          <cell r="L3588" t="str">
            <v>CV A06</v>
          </cell>
          <cell r="M3588" t="str">
            <v>DC</v>
          </cell>
          <cell r="N3588" t="str">
            <v>DC</v>
          </cell>
          <cell r="O3588" t="str">
            <v>A</v>
          </cell>
        </row>
        <row r="3589">
          <cell r="A3589">
            <v>10517</v>
          </cell>
          <cell r="B3589" t="str">
            <v>NURUL FATONAH</v>
          </cell>
          <cell r="C3589" t="str">
            <v>SAMI</v>
          </cell>
          <cell r="D3589" t="str">
            <v>OPT-273</v>
          </cell>
          <cell r="E3589">
            <v>40535</v>
          </cell>
          <cell r="F3589" t="str">
            <v>-</v>
          </cell>
          <cell r="G3589" t="str">
            <v>-</v>
          </cell>
          <cell r="H3589" t="str">
            <v>QA</v>
          </cell>
          <cell r="I3589" t="str">
            <v>INSP</v>
          </cell>
          <cell r="J3589" t="str">
            <v>MAZDA ATENZA</v>
          </cell>
          <cell r="K3589" t="str">
            <v>MAZDA ATENZA</v>
          </cell>
          <cell r="L3589" t="str">
            <v>CV A06</v>
          </cell>
          <cell r="M3589" t="str">
            <v>DC</v>
          </cell>
          <cell r="N3589" t="str">
            <v>DC</v>
          </cell>
          <cell r="O3589" t="str">
            <v>B</v>
          </cell>
        </row>
        <row r="3590">
          <cell r="A3590">
            <v>10853</v>
          </cell>
          <cell r="B3590" t="str">
            <v>SEPTI MULYANI</v>
          </cell>
          <cell r="C3590" t="str">
            <v>SAMI</v>
          </cell>
          <cell r="D3590" t="str">
            <v>OPT-283</v>
          </cell>
          <cell r="E3590">
            <v>40572</v>
          </cell>
          <cell r="F3590" t="str">
            <v>-</v>
          </cell>
          <cell r="G3590" t="str">
            <v>-</v>
          </cell>
          <cell r="H3590" t="str">
            <v>QA</v>
          </cell>
          <cell r="I3590" t="str">
            <v>INSP</v>
          </cell>
          <cell r="J3590" t="str">
            <v>MAZDA ATENZA</v>
          </cell>
          <cell r="K3590" t="str">
            <v>MAZDA ATENZA</v>
          </cell>
          <cell r="L3590" t="str">
            <v>CV A06</v>
          </cell>
          <cell r="M3590" t="str">
            <v>FINAL INSPECTION</v>
          </cell>
          <cell r="N3590" t="str">
            <v>QA APPROVE</v>
          </cell>
          <cell r="O3590" t="str">
            <v>B</v>
          </cell>
        </row>
        <row r="3591">
          <cell r="A3591">
            <v>8667</v>
          </cell>
          <cell r="B3591" t="str">
            <v>SOFIATUN</v>
          </cell>
          <cell r="C3591" t="str">
            <v>SAMI</v>
          </cell>
          <cell r="D3591" t="str">
            <v>OPT-189</v>
          </cell>
          <cell r="E3591">
            <v>39878</v>
          </cell>
          <cell r="F3591" t="str">
            <v>-</v>
          </cell>
          <cell r="G3591" t="str">
            <v>-</v>
          </cell>
          <cell r="H3591" t="str">
            <v>QA</v>
          </cell>
          <cell r="I3591" t="str">
            <v>INSP</v>
          </cell>
          <cell r="J3591" t="str">
            <v>MAZDA ATENZA</v>
          </cell>
          <cell r="K3591" t="str">
            <v>MAZDA ATENZA</v>
          </cell>
          <cell r="L3591" t="str">
            <v>CV A07</v>
          </cell>
          <cell r="M3591" t="str">
            <v>FINAL INSPECTION</v>
          </cell>
          <cell r="N3591" t="str">
            <v>QA APPROVE</v>
          </cell>
          <cell r="O3591" t="str">
            <v>A (NS)</v>
          </cell>
        </row>
        <row r="3592">
          <cell r="A3592">
            <v>10527</v>
          </cell>
          <cell r="B3592" t="str">
            <v>SEKAR ASIH AMBARSARI</v>
          </cell>
          <cell r="C3592" t="str">
            <v>SAMI</v>
          </cell>
          <cell r="D3592" t="str">
            <v>OPT-273</v>
          </cell>
          <cell r="E3592">
            <v>40535</v>
          </cell>
          <cell r="F3592" t="str">
            <v>-</v>
          </cell>
          <cell r="G3592" t="str">
            <v>-</v>
          </cell>
          <cell r="H3592" t="str">
            <v>QA</v>
          </cell>
          <cell r="I3592" t="str">
            <v>INSP</v>
          </cell>
          <cell r="J3592" t="str">
            <v>MAZDA ATENZA</v>
          </cell>
          <cell r="K3592" t="str">
            <v>MAZDA ATENZA</v>
          </cell>
          <cell r="L3592" t="str">
            <v>CV A07</v>
          </cell>
          <cell r="M3592" t="str">
            <v>DC</v>
          </cell>
          <cell r="N3592" t="str">
            <v>DC</v>
          </cell>
          <cell r="O3592" t="str">
            <v>A (NS)</v>
          </cell>
        </row>
        <row r="3593">
          <cell r="A3593">
            <v>9159</v>
          </cell>
          <cell r="B3593" t="str">
            <v>RATIH APRILIA</v>
          </cell>
          <cell r="C3593" t="str">
            <v>SAMI</v>
          </cell>
          <cell r="D3593" t="str">
            <v>OPT-205</v>
          </cell>
          <cell r="E3593">
            <v>40000</v>
          </cell>
          <cell r="F3593" t="str">
            <v>-</v>
          </cell>
          <cell r="G3593" t="str">
            <v>-</v>
          </cell>
          <cell r="H3593" t="str">
            <v>QA</v>
          </cell>
          <cell r="I3593" t="str">
            <v>INSP</v>
          </cell>
          <cell r="J3593" t="str">
            <v>MAZDA ATENZA</v>
          </cell>
          <cell r="K3593" t="str">
            <v>MAZDA ATENZA</v>
          </cell>
          <cell r="L3593" t="str">
            <v>CV A07</v>
          </cell>
          <cell r="M3593" t="str">
            <v>GL REWORK</v>
          </cell>
          <cell r="N3593" t="str">
            <v>REWORK</v>
          </cell>
          <cell r="O3593" t="str">
            <v>B</v>
          </cell>
        </row>
        <row r="3594">
          <cell r="A3594">
            <v>1088</v>
          </cell>
          <cell r="B3594" t="str">
            <v>DWI ASIHANTI</v>
          </cell>
          <cell r="C3594" t="str">
            <v>SAMI</v>
          </cell>
          <cell r="D3594" t="str">
            <v>OPT-27</v>
          </cell>
          <cell r="E3594">
            <v>37887</v>
          </cell>
          <cell r="F3594" t="str">
            <v>-</v>
          </cell>
          <cell r="G3594" t="str">
            <v>-</v>
          </cell>
          <cell r="H3594" t="str">
            <v>QA</v>
          </cell>
          <cell r="I3594" t="str">
            <v>INSP</v>
          </cell>
          <cell r="J3594" t="str">
            <v>HONDA CRV</v>
          </cell>
          <cell r="K3594" t="str">
            <v>HONDA CRV</v>
          </cell>
          <cell r="L3594" t="str">
            <v>CV A08</v>
          </cell>
          <cell r="M3594" t="str">
            <v>GL REWORK</v>
          </cell>
          <cell r="N3594" t="str">
            <v>REWORK</v>
          </cell>
          <cell r="O3594" t="str">
            <v>A</v>
          </cell>
        </row>
        <row r="3595">
          <cell r="A3595">
            <v>9434</v>
          </cell>
          <cell r="B3595" t="str">
            <v>ESTHI SEPTIARINI</v>
          </cell>
          <cell r="C3595" t="str">
            <v>SAMI</v>
          </cell>
          <cell r="D3595" t="str">
            <v>OPT-216</v>
          </cell>
          <cell r="E3595">
            <v>40148</v>
          </cell>
          <cell r="F3595" t="str">
            <v>-</v>
          </cell>
          <cell r="G3595" t="str">
            <v>-</v>
          </cell>
          <cell r="H3595" t="str">
            <v>QA</v>
          </cell>
          <cell r="I3595" t="str">
            <v>INSP</v>
          </cell>
          <cell r="J3595" t="str">
            <v>HONDA CRV</v>
          </cell>
          <cell r="K3595" t="str">
            <v>HONDA CRV</v>
          </cell>
          <cell r="L3595" t="str">
            <v>CV A08</v>
          </cell>
          <cell r="M3595" t="str">
            <v>DC</v>
          </cell>
          <cell r="N3595" t="str">
            <v>DC</v>
          </cell>
          <cell r="O3595" t="str">
            <v>A</v>
          </cell>
        </row>
        <row r="3596">
          <cell r="A3596">
            <v>12203</v>
          </cell>
          <cell r="B3596" t="str">
            <v>PUJI TRISNIATI</v>
          </cell>
          <cell r="C3596" t="str">
            <v>SAMI</v>
          </cell>
          <cell r="D3596" t="str">
            <v>OPT-315</v>
          </cell>
          <cell r="E3596">
            <v>40802</v>
          </cell>
          <cell r="F3596" t="str">
            <v>-</v>
          </cell>
          <cell r="G3596" t="str">
            <v>-</v>
          </cell>
          <cell r="H3596" t="str">
            <v>QA</v>
          </cell>
          <cell r="I3596" t="str">
            <v>INSP</v>
          </cell>
          <cell r="J3596" t="str">
            <v>HONDA CRV</v>
          </cell>
          <cell r="K3596" t="str">
            <v>HONDA CRV</v>
          </cell>
          <cell r="L3596" t="str">
            <v>CV A08</v>
          </cell>
          <cell r="M3596" t="str">
            <v>DC</v>
          </cell>
          <cell r="N3596" t="str">
            <v>DC</v>
          </cell>
          <cell r="O3596" t="str">
            <v>A</v>
          </cell>
        </row>
        <row r="3597">
          <cell r="A3597">
            <v>21551</v>
          </cell>
          <cell r="B3597" t="str">
            <v>RAHANI</v>
          </cell>
          <cell r="C3597" t="str">
            <v>SAMI</v>
          </cell>
          <cell r="D3597" t="str">
            <v>OPT-535</v>
          </cell>
          <cell r="E3597">
            <v>43045</v>
          </cell>
          <cell r="F3597">
            <v>43435</v>
          </cell>
          <cell r="G3597">
            <v>43799</v>
          </cell>
          <cell r="H3597" t="str">
            <v>QA</v>
          </cell>
          <cell r="I3597" t="str">
            <v>INSP</v>
          </cell>
          <cell r="J3597" t="str">
            <v>HONDA CRV</v>
          </cell>
          <cell r="K3597" t="str">
            <v>HONDA CRV</v>
          </cell>
          <cell r="L3597" t="str">
            <v>CV A08</v>
          </cell>
          <cell r="M3597" t="str">
            <v>SCANNER</v>
          </cell>
          <cell r="N3597" t="str">
            <v>QA APPROVE</v>
          </cell>
          <cell r="O3597" t="str">
            <v>A</v>
          </cell>
        </row>
        <row r="3598">
          <cell r="A3598">
            <v>12870</v>
          </cell>
          <cell r="B3598" t="str">
            <v>FIFIANA ELFA N</v>
          </cell>
          <cell r="C3598" t="str">
            <v>SAMI</v>
          </cell>
          <cell r="D3598" t="str">
            <v>OPT-322</v>
          </cell>
          <cell r="E3598">
            <v>40833</v>
          </cell>
          <cell r="F3598" t="str">
            <v>-</v>
          </cell>
          <cell r="G3598" t="str">
            <v>-</v>
          </cell>
          <cell r="H3598" t="str">
            <v>QA</v>
          </cell>
          <cell r="I3598" t="str">
            <v>INSP</v>
          </cell>
          <cell r="J3598" t="str">
            <v>HONDA CRV</v>
          </cell>
          <cell r="K3598" t="str">
            <v>HONDA CRV</v>
          </cell>
          <cell r="L3598" t="str">
            <v>CV A08</v>
          </cell>
          <cell r="M3598" t="str">
            <v>DC</v>
          </cell>
          <cell r="N3598" t="str">
            <v>DC</v>
          </cell>
          <cell r="O3598" t="str">
            <v>B</v>
          </cell>
        </row>
        <row r="3599">
          <cell r="A3599">
            <v>20509</v>
          </cell>
          <cell r="B3599" t="str">
            <v>NOVI ANIKMATUL ADZIMAH</v>
          </cell>
          <cell r="C3599" t="str">
            <v>SAMI</v>
          </cell>
          <cell r="D3599" t="str">
            <v>OPT-504</v>
          </cell>
          <cell r="E3599">
            <v>42634</v>
          </cell>
          <cell r="F3599">
            <v>43132</v>
          </cell>
          <cell r="G3599">
            <v>43496</v>
          </cell>
          <cell r="H3599" t="str">
            <v>QA</v>
          </cell>
          <cell r="I3599" t="str">
            <v>INSP</v>
          </cell>
          <cell r="J3599" t="str">
            <v>HONDA CRV</v>
          </cell>
          <cell r="K3599" t="str">
            <v>HONDA CRV</v>
          </cell>
          <cell r="L3599" t="str">
            <v>CV A08</v>
          </cell>
          <cell r="M3599" t="str">
            <v>DC</v>
          </cell>
          <cell r="N3599" t="str">
            <v>DC</v>
          </cell>
          <cell r="O3599" t="str">
            <v>B</v>
          </cell>
        </row>
        <row r="3600">
          <cell r="A3600">
            <v>21516</v>
          </cell>
          <cell r="B3600" t="str">
            <v>ARYO BAGUS WIBOWO</v>
          </cell>
          <cell r="C3600" t="str">
            <v>SAMI</v>
          </cell>
          <cell r="D3600" t="str">
            <v>OPT-535</v>
          </cell>
          <cell r="E3600">
            <v>43045</v>
          </cell>
          <cell r="F3600">
            <v>43435</v>
          </cell>
          <cell r="G3600">
            <v>43799</v>
          </cell>
          <cell r="H3600" t="str">
            <v>QA</v>
          </cell>
          <cell r="I3600" t="str">
            <v>INSP</v>
          </cell>
          <cell r="J3600" t="str">
            <v>HONDA CRV</v>
          </cell>
          <cell r="K3600" t="str">
            <v>HONDA CRV</v>
          </cell>
          <cell r="L3600" t="str">
            <v>CV A08</v>
          </cell>
          <cell r="M3600" t="str">
            <v>SCANNER</v>
          </cell>
          <cell r="N3600" t="str">
            <v>QA APPROVE</v>
          </cell>
          <cell r="O3600" t="str">
            <v>B</v>
          </cell>
        </row>
        <row r="3601">
          <cell r="A3601">
            <v>8779</v>
          </cell>
          <cell r="B3601" t="str">
            <v>MUJI ASIH</v>
          </cell>
          <cell r="C3601" t="str">
            <v>SAMI</v>
          </cell>
          <cell r="D3601" t="str">
            <v>OPT-194</v>
          </cell>
          <cell r="E3601">
            <v>39931</v>
          </cell>
          <cell r="F3601" t="str">
            <v>-</v>
          </cell>
          <cell r="G3601" t="str">
            <v>-</v>
          </cell>
          <cell r="H3601" t="str">
            <v>QA</v>
          </cell>
          <cell r="I3601" t="str">
            <v>INSP</v>
          </cell>
          <cell r="J3601" t="str">
            <v>HONDA CRV</v>
          </cell>
          <cell r="K3601" t="str">
            <v>HONDA CRV</v>
          </cell>
          <cell r="L3601" t="str">
            <v>CV A09</v>
          </cell>
          <cell r="M3601" t="str">
            <v>VISUAL</v>
          </cell>
          <cell r="N3601" t="str">
            <v>VISUAL INSPECTION</v>
          </cell>
          <cell r="O3601" t="str">
            <v>A</v>
          </cell>
        </row>
        <row r="3602">
          <cell r="A3602">
            <v>9644</v>
          </cell>
          <cell r="B3602" t="str">
            <v>UMI LATIFAH</v>
          </cell>
          <cell r="C3602" t="str">
            <v>SAMI</v>
          </cell>
          <cell r="D3602" t="str">
            <v>OPT-218</v>
          </cell>
          <cell r="E3602">
            <v>40179</v>
          </cell>
          <cell r="F3602" t="str">
            <v>-</v>
          </cell>
          <cell r="G3602" t="str">
            <v>-</v>
          </cell>
          <cell r="H3602" t="str">
            <v>QA</v>
          </cell>
          <cell r="I3602" t="str">
            <v>INSP</v>
          </cell>
          <cell r="J3602" t="str">
            <v>HONDA CRV</v>
          </cell>
          <cell r="K3602" t="str">
            <v>HONDA CRV</v>
          </cell>
          <cell r="L3602" t="str">
            <v>CV A09</v>
          </cell>
          <cell r="M3602" t="str">
            <v>GL REWORK</v>
          </cell>
          <cell r="N3602" t="str">
            <v>REWORK</v>
          </cell>
          <cell r="O3602" t="str">
            <v>B</v>
          </cell>
        </row>
        <row r="3603">
          <cell r="A3603">
            <v>22046</v>
          </cell>
          <cell r="B3603" t="str">
            <v>NURUL KHAFIDAH</v>
          </cell>
          <cell r="C3603" t="str">
            <v>SAMI</v>
          </cell>
          <cell r="D3603" t="str">
            <v>OPT-547</v>
          </cell>
          <cell r="E3603">
            <v>43144</v>
          </cell>
          <cell r="F3603">
            <v>43172</v>
          </cell>
          <cell r="G3603">
            <v>43524</v>
          </cell>
          <cell r="H3603" t="str">
            <v>QA</v>
          </cell>
          <cell r="I3603" t="str">
            <v>INSP</v>
          </cell>
          <cell r="J3603" t="str">
            <v>HONDA CRV</v>
          </cell>
          <cell r="K3603" t="str">
            <v>HONDA CRV</v>
          </cell>
          <cell r="L3603" t="str">
            <v>CV A09</v>
          </cell>
          <cell r="M3603" t="str">
            <v>VISUAL</v>
          </cell>
          <cell r="N3603" t="str">
            <v>VISUAL INSPECTION</v>
          </cell>
          <cell r="O3603" t="str">
            <v>B</v>
          </cell>
        </row>
        <row r="3604">
          <cell r="A3604">
            <v>5882</v>
          </cell>
          <cell r="B3604" t="str">
            <v>ANIK MARYANI</v>
          </cell>
          <cell r="C3604" t="str">
            <v>SAMI</v>
          </cell>
          <cell r="D3604" t="str">
            <v>OPT-137</v>
          </cell>
          <cell r="E3604">
            <v>39129</v>
          </cell>
          <cell r="F3604" t="str">
            <v>-</v>
          </cell>
          <cell r="G3604" t="str">
            <v>-</v>
          </cell>
          <cell r="H3604" t="str">
            <v>QA</v>
          </cell>
          <cell r="I3604" t="str">
            <v>INSP</v>
          </cell>
          <cell r="J3604" t="str">
            <v>HONDA CRV</v>
          </cell>
          <cell r="K3604" t="str">
            <v>HONDA CRV</v>
          </cell>
          <cell r="L3604" t="str">
            <v>CV A10</v>
          </cell>
          <cell r="M3604" t="str">
            <v>DC</v>
          </cell>
          <cell r="N3604" t="str">
            <v>DC</v>
          </cell>
          <cell r="O3604" t="str">
            <v>A</v>
          </cell>
        </row>
        <row r="3605">
          <cell r="A3605">
            <v>11755</v>
          </cell>
          <cell r="B3605" t="str">
            <v>NUR FAIZAH</v>
          </cell>
          <cell r="C3605" t="str">
            <v>SAMI</v>
          </cell>
          <cell r="D3605" t="str">
            <v>OPT-308</v>
          </cell>
          <cell r="E3605">
            <v>40714</v>
          </cell>
          <cell r="F3605" t="str">
            <v>-</v>
          </cell>
          <cell r="G3605" t="str">
            <v>-</v>
          </cell>
          <cell r="H3605" t="str">
            <v>QA</v>
          </cell>
          <cell r="I3605" t="str">
            <v>INSP</v>
          </cell>
          <cell r="J3605" t="str">
            <v>HONDA CRV</v>
          </cell>
          <cell r="K3605" t="str">
            <v>HONDA CRV</v>
          </cell>
          <cell r="L3605" t="str">
            <v>CV A10</v>
          </cell>
          <cell r="M3605" t="str">
            <v>DC</v>
          </cell>
          <cell r="N3605" t="str">
            <v>DC</v>
          </cell>
          <cell r="O3605" t="str">
            <v>A</v>
          </cell>
        </row>
        <row r="3606">
          <cell r="A3606">
            <v>814</v>
          </cell>
          <cell r="B3606" t="str">
            <v>HELLIN DEWI RIZQIYAH</v>
          </cell>
          <cell r="C3606" t="str">
            <v>SAMI</v>
          </cell>
          <cell r="D3606" t="str">
            <v>OPT-21</v>
          </cell>
          <cell r="E3606">
            <v>37837</v>
          </cell>
          <cell r="F3606" t="str">
            <v>-</v>
          </cell>
          <cell r="G3606" t="str">
            <v>-</v>
          </cell>
          <cell r="H3606" t="str">
            <v>QA</v>
          </cell>
          <cell r="I3606" t="str">
            <v>INSP</v>
          </cell>
          <cell r="J3606" t="str">
            <v>HONDA CRV</v>
          </cell>
          <cell r="K3606" t="str">
            <v>HONDA CRV</v>
          </cell>
          <cell r="L3606" t="str">
            <v>CV A10</v>
          </cell>
          <cell r="M3606" t="str">
            <v>DC</v>
          </cell>
          <cell r="N3606" t="str">
            <v>DC</v>
          </cell>
          <cell r="O3606" t="str">
            <v>B</v>
          </cell>
        </row>
        <row r="3607">
          <cell r="A3607">
            <v>21346</v>
          </cell>
          <cell r="B3607" t="str">
            <v>LATIPAH</v>
          </cell>
          <cell r="C3607" t="str">
            <v>SAMI</v>
          </cell>
          <cell r="D3607" t="str">
            <v>OPT-531</v>
          </cell>
          <cell r="E3607">
            <v>43013</v>
          </cell>
          <cell r="F3607">
            <v>43405</v>
          </cell>
          <cell r="G3607">
            <v>43769</v>
          </cell>
          <cell r="H3607" t="str">
            <v>QA</v>
          </cell>
          <cell r="I3607" t="str">
            <v>INSP</v>
          </cell>
          <cell r="J3607" t="str">
            <v>HONDA CRV</v>
          </cell>
          <cell r="K3607" t="str">
            <v>HONDA CRV</v>
          </cell>
          <cell r="L3607" t="str">
            <v>CV A10</v>
          </cell>
          <cell r="M3607" t="str">
            <v>DC</v>
          </cell>
          <cell r="N3607" t="str">
            <v>DC</v>
          </cell>
          <cell r="O3607" t="str">
            <v>B</v>
          </cell>
        </row>
        <row r="3608">
          <cell r="A3608">
            <v>13142</v>
          </cell>
          <cell r="B3608" t="str">
            <v>DINA JUMIATUN</v>
          </cell>
          <cell r="C3608" t="str">
            <v>SAMI</v>
          </cell>
          <cell r="D3608" t="str">
            <v>OPT-331</v>
          </cell>
          <cell r="E3608">
            <v>40889</v>
          </cell>
          <cell r="F3608" t="str">
            <v>-</v>
          </cell>
          <cell r="G3608" t="str">
            <v>-</v>
          </cell>
          <cell r="H3608" t="str">
            <v>QA</v>
          </cell>
          <cell r="I3608" t="str">
            <v>INSP</v>
          </cell>
          <cell r="J3608" t="str">
            <v>HONDA CRV</v>
          </cell>
          <cell r="K3608" t="str">
            <v>HONDA CRV</v>
          </cell>
          <cell r="L3608" t="str">
            <v>CV A11</v>
          </cell>
          <cell r="M3608" t="str">
            <v>VISUAL</v>
          </cell>
          <cell r="N3608" t="str">
            <v>VISUAL INSPECTION</v>
          </cell>
          <cell r="O3608" t="str">
            <v>A</v>
          </cell>
        </row>
        <row r="3609">
          <cell r="A3609">
            <v>21519</v>
          </cell>
          <cell r="B3609" t="str">
            <v>DEA MASFILDA</v>
          </cell>
          <cell r="C3609" t="str">
            <v>SAMI</v>
          </cell>
          <cell r="D3609" t="str">
            <v>OPT-535</v>
          </cell>
          <cell r="E3609">
            <v>43045</v>
          </cell>
          <cell r="F3609">
            <v>43435</v>
          </cell>
          <cell r="G3609">
            <v>43799</v>
          </cell>
          <cell r="H3609" t="str">
            <v>QA</v>
          </cell>
          <cell r="I3609" t="str">
            <v>INSP</v>
          </cell>
          <cell r="J3609" t="str">
            <v>HONDA CRV</v>
          </cell>
          <cell r="K3609" t="str">
            <v>HONDA CRV</v>
          </cell>
          <cell r="L3609" t="str">
            <v>CV A11</v>
          </cell>
          <cell r="M3609" t="str">
            <v>VISUAL</v>
          </cell>
          <cell r="N3609" t="str">
            <v>VISUAL INSPECTION</v>
          </cell>
          <cell r="O3609" t="str">
            <v>A</v>
          </cell>
        </row>
        <row r="3610">
          <cell r="A3610">
            <v>8669</v>
          </cell>
          <cell r="B3610" t="str">
            <v>TRI APRILIANINGRUM</v>
          </cell>
          <cell r="C3610" t="str">
            <v>SAMI</v>
          </cell>
          <cell r="D3610" t="str">
            <v>OPT-189</v>
          </cell>
          <cell r="E3610">
            <v>39878</v>
          </cell>
          <cell r="F3610" t="str">
            <v>-</v>
          </cell>
          <cell r="G3610" t="str">
            <v>-</v>
          </cell>
          <cell r="H3610" t="str">
            <v>QA</v>
          </cell>
          <cell r="I3610" t="str">
            <v>INSP</v>
          </cell>
          <cell r="J3610" t="str">
            <v>HONDA CRV</v>
          </cell>
          <cell r="K3610" t="str">
            <v>HONDA CRV</v>
          </cell>
          <cell r="L3610" t="str">
            <v>CV A11</v>
          </cell>
          <cell r="M3610" t="str">
            <v>VISUAL</v>
          </cell>
          <cell r="N3610" t="str">
            <v>VISUAL INSPECTION</v>
          </cell>
          <cell r="O3610" t="str">
            <v>B</v>
          </cell>
        </row>
        <row r="3611">
          <cell r="A3611">
            <v>20539</v>
          </cell>
          <cell r="B3611" t="str">
            <v>SITI ITASARI</v>
          </cell>
          <cell r="C3611" t="str">
            <v>SAMI</v>
          </cell>
          <cell r="D3611" t="str">
            <v>OPT-504</v>
          </cell>
          <cell r="E3611">
            <v>42634</v>
          </cell>
          <cell r="F3611">
            <v>43132</v>
          </cell>
          <cell r="G3611">
            <v>43496</v>
          </cell>
          <cell r="H3611" t="str">
            <v>QA</v>
          </cell>
          <cell r="I3611" t="str">
            <v>INSP</v>
          </cell>
          <cell r="J3611" t="str">
            <v>HONDA CRV</v>
          </cell>
          <cell r="K3611" t="str">
            <v>HONDA CRV</v>
          </cell>
          <cell r="L3611" t="str">
            <v>CV A11</v>
          </cell>
          <cell r="M3611" t="str">
            <v>VISUAL</v>
          </cell>
          <cell r="N3611" t="str">
            <v>VISUAL INSPECTION</v>
          </cell>
          <cell r="O3611" t="str">
            <v>B</v>
          </cell>
        </row>
        <row r="3612">
          <cell r="A3612">
            <v>9925</v>
          </cell>
          <cell r="B3612" t="str">
            <v>DWI SETIYANI</v>
          </cell>
          <cell r="C3612" t="str">
            <v>SAMI</v>
          </cell>
          <cell r="D3612" t="str">
            <v>OPT-246</v>
          </cell>
          <cell r="E3612">
            <v>40431</v>
          </cell>
          <cell r="F3612" t="str">
            <v>-</v>
          </cell>
          <cell r="G3612" t="str">
            <v>-</v>
          </cell>
          <cell r="H3612" t="str">
            <v>QA</v>
          </cell>
          <cell r="I3612" t="str">
            <v>INSP</v>
          </cell>
          <cell r="J3612" t="str">
            <v>HONDA CRV</v>
          </cell>
          <cell r="K3612" t="str">
            <v>HONDA CRV</v>
          </cell>
          <cell r="L3612" t="str">
            <v>CV A12</v>
          </cell>
          <cell r="M3612" t="str">
            <v>VISUAL</v>
          </cell>
          <cell r="N3612" t="str">
            <v>VISUAL INSPECTION</v>
          </cell>
          <cell r="O3612" t="str">
            <v>A</v>
          </cell>
        </row>
        <row r="3613">
          <cell r="A3613">
            <v>21232</v>
          </cell>
          <cell r="B3613" t="str">
            <v>ARIFIANA IMROATUL HAQUE</v>
          </cell>
          <cell r="C3613" t="str">
            <v>SAMI</v>
          </cell>
          <cell r="D3613" t="str">
            <v>OPT-525</v>
          </cell>
          <cell r="E3613">
            <v>42893</v>
          </cell>
          <cell r="F3613">
            <v>43374</v>
          </cell>
          <cell r="G3613">
            <v>43738</v>
          </cell>
          <cell r="H3613" t="str">
            <v>QA</v>
          </cell>
          <cell r="I3613" t="str">
            <v>INSP</v>
          </cell>
          <cell r="J3613" t="str">
            <v>HONDA CRV</v>
          </cell>
          <cell r="K3613" t="str">
            <v>HONDA CRV</v>
          </cell>
          <cell r="L3613" t="str">
            <v>CV A12</v>
          </cell>
          <cell r="M3613" t="str">
            <v>VISUAL</v>
          </cell>
          <cell r="N3613" t="str">
            <v>VISUAL INSPECTION</v>
          </cell>
          <cell r="O3613" t="str">
            <v>A</v>
          </cell>
        </row>
        <row r="3614">
          <cell r="A3614">
            <v>1139</v>
          </cell>
          <cell r="B3614" t="str">
            <v>SOFIYANTI</v>
          </cell>
          <cell r="C3614" t="str">
            <v>SAMI</v>
          </cell>
          <cell r="D3614" t="str">
            <v>OPT-28</v>
          </cell>
          <cell r="E3614">
            <v>37900</v>
          </cell>
          <cell r="F3614" t="str">
            <v>-</v>
          </cell>
          <cell r="G3614" t="str">
            <v>-</v>
          </cell>
          <cell r="H3614" t="str">
            <v>QA</v>
          </cell>
          <cell r="I3614" t="str">
            <v>INSP</v>
          </cell>
          <cell r="J3614" t="str">
            <v>HONDA CRV</v>
          </cell>
          <cell r="K3614" t="str">
            <v>HONDA CRV</v>
          </cell>
          <cell r="L3614" t="str">
            <v>CV A12</v>
          </cell>
          <cell r="M3614" t="str">
            <v>VISUAL</v>
          </cell>
          <cell r="N3614" t="str">
            <v>VISUAL INSPECTION</v>
          </cell>
          <cell r="O3614" t="str">
            <v>B</v>
          </cell>
        </row>
        <row r="3615">
          <cell r="A3615">
            <v>23003</v>
          </cell>
          <cell r="B3615" t="str">
            <v>DEWI AYANI</v>
          </cell>
          <cell r="C3615" t="str">
            <v>SAMI</v>
          </cell>
          <cell r="D3615" t="str">
            <v>OPT-569</v>
          </cell>
          <cell r="E3615">
            <v>43361</v>
          </cell>
          <cell r="F3615">
            <v>43391</v>
          </cell>
          <cell r="G3615">
            <v>43769</v>
          </cell>
          <cell r="H3615" t="str">
            <v>QA</v>
          </cell>
          <cell r="I3615" t="str">
            <v>INSP</v>
          </cell>
          <cell r="J3615" t="str">
            <v>HONDA CRV</v>
          </cell>
          <cell r="K3615" t="str">
            <v>HONDA CRV</v>
          </cell>
          <cell r="L3615" t="str">
            <v>CV A12</v>
          </cell>
          <cell r="M3615" t="str">
            <v>VISUAL</v>
          </cell>
          <cell r="N3615" t="str">
            <v>VISUAL INSPECTION</v>
          </cell>
          <cell r="O3615" t="str">
            <v>B</v>
          </cell>
        </row>
        <row r="3616">
          <cell r="A3616">
            <v>6056</v>
          </cell>
          <cell r="B3616" t="str">
            <v>ISATUN</v>
          </cell>
          <cell r="C3616" t="str">
            <v>SAMI</v>
          </cell>
          <cell r="D3616" t="str">
            <v>OPT-139</v>
          </cell>
          <cell r="E3616">
            <v>39142</v>
          </cell>
          <cell r="F3616" t="str">
            <v>-</v>
          </cell>
          <cell r="G3616" t="str">
            <v>-</v>
          </cell>
          <cell r="H3616" t="str">
            <v>QA</v>
          </cell>
          <cell r="I3616" t="str">
            <v>INSP</v>
          </cell>
          <cell r="J3616" t="str">
            <v>HONDA N-VAN</v>
          </cell>
          <cell r="K3616" t="str">
            <v>HONDA N-VAN</v>
          </cell>
          <cell r="L3616" t="str">
            <v>CV B01</v>
          </cell>
          <cell r="M3616" t="str">
            <v>GL REWORK</v>
          </cell>
          <cell r="N3616" t="str">
            <v>REWORK</v>
          </cell>
          <cell r="O3616" t="str">
            <v>A</v>
          </cell>
        </row>
        <row r="3617">
          <cell r="A3617">
            <v>11079</v>
          </cell>
          <cell r="B3617" t="str">
            <v>PUTRI ESTIANA</v>
          </cell>
          <cell r="C3617" t="str">
            <v>SAMI</v>
          </cell>
          <cell r="D3617" t="str">
            <v>OPT-289</v>
          </cell>
          <cell r="E3617">
            <v>40595</v>
          </cell>
          <cell r="F3617" t="str">
            <v>-</v>
          </cell>
          <cell r="G3617" t="str">
            <v>-</v>
          </cell>
          <cell r="H3617" t="str">
            <v>QA</v>
          </cell>
          <cell r="I3617" t="str">
            <v>INSP</v>
          </cell>
          <cell r="J3617" t="str">
            <v>HONDA N-VAN</v>
          </cell>
          <cell r="K3617" t="str">
            <v>HONDA N-VAN</v>
          </cell>
          <cell r="L3617" t="str">
            <v>CV B01</v>
          </cell>
          <cell r="M3617" t="str">
            <v>DC</v>
          </cell>
          <cell r="N3617" t="str">
            <v>DC</v>
          </cell>
          <cell r="O3617" t="str">
            <v>A</v>
          </cell>
        </row>
        <row r="3618">
          <cell r="A3618">
            <v>11690</v>
          </cell>
          <cell r="B3618" t="str">
            <v>FARIDATUL RAHMAWATI</v>
          </cell>
          <cell r="C3618" t="str">
            <v>SAMI</v>
          </cell>
          <cell r="D3618" t="str">
            <v>OPT-308</v>
          </cell>
          <cell r="E3618">
            <v>40714</v>
          </cell>
          <cell r="F3618" t="str">
            <v>-</v>
          </cell>
          <cell r="G3618" t="str">
            <v>-</v>
          </cell>
          <cell r="H3618" t="str">
            <v>QA</v>
          </cell>
          <cell r="I3618" t="str">
            <v>INSP</v>
          </cell>
          <cell r="J3618" t="str">
            <v>HONDA N-VAN</v>
          </cell>
          <cell r="K3618" t="str">
            <v>HONDA N-VAN</v>
          </cell>
          <cell r="L3618" t="str">
            <v>CV B01</v>
          </cell>
          <cell r="M3618" t="str">
            <v>FINAL INSPECTION</v>
          </cell>
          <cell r="N3618" t="str">
            <v>QA APPROVE</v>
          </cell>
          <cell r="O3618" t="str">
            <v>A</v>
          </cell>
        </row>
        <row r="3619">
          <cell r="A3619">
            <v>12386</v>
          </cell>
          <cell r="B3619" t="str">
            <v>NOBELA ISA OSELA</v>
          </cell>
          <cell r="C3619" t="str">
            <v>SAMI</v>
          </cell>
          <cell r="D3619" t="str">
            <v>OPT-317</v>
          </cell>
          <cell r="E3619">
            <v>40809</v>
          </cell>
          <cell r="F3619" t="str">
            <v>-</v>
          </cell>
          <cell r="G3619" t="str">
            <v>-</v>
          </cell>
          <cell r="H3619" t="str">
            <v>QA</v>
          </cell>
          <cell r="I3619" t="str">
            <v>INSP</v>
          </cell>
          <cell r="J3619" t="str">
            <v>HONDA N-VAN</v>
          </cell>
          <cell r="K3619" t="str">
            <v>HONDA N-VAN</v>
          </cell>
          <cell r="L3619" t="str">
            <v>CV B01</v>
          </cell>
          <cell r="M3619" t="str">
            <v>FINAL INSPECTION</v>
          </cell>
          <cell r="N3619" t="str">
            <v>QA APPROVE</v>
          </cell>
          <cell r="O3619" t="str">
            <v>A</v>
          </cell>
        </row>
        <row r="3620">
          <cell r="A3620">
            <v>4401</v>
          </cell>
          <cell r="B3620" t="str">
            <v>ALVI HERIYANTI</v>
          </cell>
          <cell r="C3620" t="str">
            <v>SAMI</v>
          </cell>
          <cell r="D3620" t="str">
            <v>OPT-108</v>
          </cell>
          <cell r="E3620">
            <v>38754</v>
          </cell>
          <cell r="F3620" t="str">
            <v>-</v>
          </cell>
          <cell r="G3620" t="str">
            <v>-</v>
          </cell>
          <cell r="H3620" t="str">
            <v>QA</v>
          </cell>
          <cell r="I3620" t="str">
            <v>INSP</v>
          </cell>
          <cell r="J3620" t="str">
            <v>HONDA N-VAN</v>
          </cell>
          <cell r="K3620" t="str">
            <v>HONDA N-VAN</v>
          </cell>
          <cell r="L3620" t="str">
            <v>CV B01</v>
          </cell>
          <cell r="M3620" t="str">
            <v>FINAL INSPECTION</v>
          </cell>
          <cell r="N3620" t="str">
            <v>QA APPROVE</v>
          </cell>
          <cell r="O3620" t="str">
            <v>B</v>
          </cell>
        </row>
        <row r="3621">
          <cell r="A3621">
            <v>12343</v>
          </cell>
          <cell r="B3621" t="str">
            <v>WILIS MARISANING WULAN</v>
          </cell>
          <cell r="C3621" t="str">
            <v>SAMI</v>
          </cell>
          <cell r="D3621" t="str">
            <v>OPT-316</v>
          </cell>
          <cell r="E3621">
            <v>40805</v>
          </cell>
          <cell r="F3621" t="str">
            <v>-</v>
          </cell>
          <cell r="G3621" t="str">
            <v>-</v>
          </cell>
          <cell r="H3621" t="str">
            <v>QA</v>
          </cell>
          <cell r="I3621" t="str">
            <v>INSP</v>
          </cell>
          <cell r="J3621" t="str">
            <v>HONDA N-VAN</v>
          </cell>
          <cell r="K3621" t="str">
            <v>HONDA N-VAN</v>
          </cell>
          <cell r="L3621" t="str">
            <v>CV B01</v>
          </cell>
          <cell r="M3621" t="str">
            <v>FINAL INSPECTION</v>
          </cell>
          <cell r="N3621" t="str">
            <v>QA APPROVE</v>
          </cell>
          <cell r="O3621" t="str">
            <v>B</v>
          </cell>
        </row>
        <row r="3622">
          <cell r="A3622">
            <v>21540</v>
          </cell>
          <cell r="B3622" t="str">
            <v>MUSYAHADHATI ISTIGHOTSAH</v>
          </cell>
          <cell r="C3622" t="str">
            <v>SAMI</v>
          </cell>
          <cell r="D3622" t="str">
            <v>OPT-535</v>
          </cell>
          <cell r="E3622">
            <v>43045</v>
          </cell>
          <cell r="F3622">
            <v>43435</v>
          </cell>
          <cell r="G3622">
            <v>43799</v>
          </cell>
          <cell r="H3622" t="str">
            <v>QA</v>
          </cell>
          <cell r="I3622" t="str">
            <v>INSP</v>
          </cell>
          <cell r="J3622" t="str">
            <v>HONDA N-VAN</v>
          </cell>
          <cell r="K3622" t="str">
            <v>HONDA N-VAN</v>
          </cell>
          <cell r="L3622" t="str">
            <v>CV B01</v>
          </cell>
          <cell r="M3622" t="str">
            <v>DC</v>
          </cell>
          <cell r="N3622" t="str">
            <v>DC</v>
          </cell>
          <cell r="O3622" t="str">
            <v>B</v>
          </cell>
        </row>
        <row r="3623">
          <cell r="A3623">
            <v>10244</v>
          </cell>
          <cell r="B3623" t="str">
            <v>FINA PRATIWI</v>
          </cell>
          <cell r="C3623" t="str">
            <v>SAMI</v>
          </cell>
          <cell r="D3623" t="str">
            <v>OPT-261</v>
          </cell>
          <cell r="E3623">
            <v>40497</v>
          </cell>
          <cell r="F3623" t="str">
            <v>-</v>
          </cell>
          <cell r="G3623" t="str">
            <v>-</v>
          </cell>
          <cell r="H3623" t="str">
            <v>QA</v>
          </cell>
          <cell r="I3623" t="str">
            <v>INSP</v>
          </cell>
          <cell r="J3623" t="str">
            <v>HONDA FIT SHUTTLE</v>
          </cell>
          <cell r="K3623" t="str">
            <v>HONDA FIT SHUTTLE WH L CABIN</v>
          </cell>
          <cell r="L3623" t="str">
            <v>CV B09</v>
          </cell>
          <cell r="M3623" t="str">
            <v>FINAL INSPECTION</v>
          </cell>
          <cell r="N3623" t="str">
            <v>QA APPROVE</v>
          </cell>
          <cell r="O3623" t="str">
            <v>A</v>
          </cell>
        </row>
        <row r="3624">
          <cell r="A3624">
            <v>10784</v>
          </cell>
          <cell r="B3624" t="str">
            <v>LILIA SETYOASIH</v>
          </cell>
          <cell r="C3624" t="str">
            <v>SAMI</v>
          </cell>
          <cell r="D3624" t="str">
            <v>OPT-282</v>
          </cell>
          <cell r="E3624">
            <v>40567</v>
          </cell>
          <cell r="F3624" t="str">
            <v>-</v>
          </cell>
          <cell r="G3624" t="str">
            <v>-</v>
          </cell>
          <cell r="H3624" t="str">
            <v>QA</v>
          </cell>
          <cell r="I3624" t="str">
            <v>INSP</v>
          </cell>
          <cell r="J3624" t="str">
            <v>HONDA FIT SHUTTLE</v>
          </cell>
          <cell r="K3624" t="str">
            <v>HONDA FIT SHUTTLE WH L CABIN</v>
          </cell>
          <cell r="L3624" t="str">
            <v>CV B09</v>
          </cell>
          <cell r="M3624" t="str">
            <v>GL REWORK</v>
          </cell>
          <cell r="N3624" t="str">
            <v>REWORK</v>
          </cell>
          <cell r="O3624" t="str">
            <v>A</v>
          </cell>
        </row>
        <row r="3625">
          <cell r="A3625">
            <v>11608</v>
          </cell>
          <cell r="B3625" t="str">
            <v>SELLI WULAN LARASWATI</v>
          </cell>
          <cell r="C3625" t="str">
            <v>SAMI</v>
          </cell>
          <cell r="D3625" t="str">
            <v>OPT-307</v>
          </cell>
          <cell r="E3625">
            <v>40707</v>
          </cell>
          <cell r="F3625" t="str">
            <v>-</v>
          </cell>
          <cell r="G3625" t="str">
            <v>-</v>
          </cell>
          <cell r="H3625" t="str">
            <v>QA</v>
          </cell>
          <cell r="I3625" t="str">
            <v>INSP</v>
          </cell>
          <cell r="J3625" t="str">
            <v>HONDA FIT SHUTTLE</v>
          </cell>
          <cell r="K3625" t="str">
            <v>HONDA FIT SHUTTLE WH L CABIN</v>
          </cell>
          <cell r="L3625" t="str">
            <v>CV B09</v>
          </cell>
          <cell r="M3625" t="str">
            <v>FINAL INSPECTION</v>
          </cell>
          <cell r="N3625" t="str">
            <v>QA APPROVE</v>
          </cell>
          <cell r="O3625" t="str">
            <v>A</v>
          </cell>
        </row>
        <row r="3626">
          <cell r="A3626">
            <v>21200</v>
          </cell>
          <cell r="B3626" t="str">
            <v xml:space="preserve">ADRIYA NITAMI </v>
          </cell>
          <cell r="C3626" t="str">
            <v>SAMI</v>
          </cell>
          <cell r="D3626" t="str">
            <v>OPT-523</v>
          </cell>
          <cell r="E3626">
            <v>42877</v>
          </cell>
          <cell r="F3626">
            <v>43374</v>
          </cell>
          <cell r="G3626">
            <v>43738</v>
          </cell>
          <cell r="H3626" t="str">
            <v>QA</v>
          </cell>
          <cell r="I3626" t="str">
            <v>INSP</v>
          </cell>
          <cell r="J3626" t="str">
            <v>HONDA FIT SHUTTLE</v>
          </cell>
          <cell r="K3626" t="str">
            <v>HONDA FIT SHUTTLE WH L CABIN</v>
          </cell>
          <cell r="L3626" t="str">
            <v>CV B09</v>
          </cell>
          <cell r="M3626" t="str">
            <v>DC</v>
          </cell>
          <cell r="N3626" t="str">
            <v>DC</v>
          </cell>
          <cell r="O3626" t="str">
            <v>A</v>
          </cell>
        </row>
        <row r="3627">
          <cell r="A3627">
            <v>11619</v>
          </cell>
          <cell r="B3627" t="str">
            <v>SITI MAFTUKHAH ZULFAH</v>
          </cell>
          <cell r="C3627" t="str">
            <v>SAMI</v>
          </cell>
          <cell r="D3627" t="str">
            <v>OPT-307</v>
          </cell>
          <cell r="E3627">
            <v>40707</v>
          </cell>
          <cell r="F3627" t="str">
            <v>-</v>
          </cell>
          <cell r="G3627" t="str">
            <v>-</v>
          </cell>
          <cell r="H3627" t="str">
            <v>QA</v>
          </cell>
          <cell r="I3627" t="str">
            <v>INSP</v>
          </cell>
          <cell r="J3627" t="str">
            <v>HONDA FIT SHUTTLE</v>
          </cell>
          <cell r="K3627" t="str">
            <v>HONDA FIT SHUTTLE WH L CABIN</v>
          </cell>
          <cell r="L3627" t="str">
            <v>CV B09</v>
          </cell>
          <cell r="M3627" t="str">
            <v>FINAL INSPECTION</v>
          </cell>
          <cell r="N3627" t="str">
            <v>QA APPROVE</v>
          </cell>
          <cell r="O3627" t="str">
            <v>B</v>
          </cell>
        </row>
        <row r="3628">
          <cell r="A3628">
            <v>12692</v>
          </cell>
          <cell r="B3628" t="str">
            <v>NISAUL CHOIRIYAH</v>
          </cell>
          <cell r="C3628" t="str">
            <v>SAMI</v>
          </cell>
          <cell r="D3628" t="str">
            <v>OPT-320</v>
          </cell>
          <cell r="E3628">
            <v>40819</v>
          </cell>
          <cell r="F3628" t="str">
            <v>-</v>
          </cell>
          <cell r="G3628" t="str">
            <v>-</v>
          </cell>
          <cell r="H3628" t="str">
            <v>QA</v>
          </cell>
          <cell r="I3628" t="str">
            <v>INSP</v>
          </cell>
          <cell r="J3628" t="str">
            <v>HONDA FIT SHUTTLE</v>
          </cell>
          <cell r="K3628" t="str">
            <v>HONDA FIT SHUTTLE WH L CABIN</v>
          </cell>
          <cell r="L3628" t="str">
            <v>CV B09</v>
          </cell>
          <cell r="M3628" t="str">
            <v>FINAL INSPECTION</v>
          </cell>
          <cell r="N3628" t="str">
            <v>QA APPROVE</v>
          </cell>
          <cell r="O3628" t="str">
            <v>B</v>
          </cell>
        </row>
        <row r="3629">
          <cell r="A3629">
            <v>21485</v>
          </cell>
          <cell r="B3629" t="str">
            <v>KARINA FITRA CAHAYA</v>
          </cell>
          <cell r="C3629" t="str">
            <v>SAMI</v>
          </cell>
          <cell r="D3629" t="str">
            <v>OPT-534</v>
          </cell>
          <cell r="E3629">
            <v>43031</v>
          </cell>
          <cell r="F3629">
            <v>43435</v>
          </cell>
          <cell r="G3629">
            <v>43799</v>
          </cell>
          <cell r="H3629" t="str">
            <v>QA</v>
          </cell>
          <cell r="I3629" t="str">
            <v>INSP</v>
          </cell>
          <cell r="J3629" t="str">
            <v>HONDA FIT SHUTTLE</v>
          </cell>
          <cell r="K3629" t="str">
            <v>HONDA FIT SHUTTLE WH L CABIN</v>
          </cell>
          <cell r="L3629" t="str">
            <v>CV B09</v>
          </cell>
          <cell r="M3629" t="str">
            <v>DC</v>
          </cell>
          <cell r="N3629" t="str">
            <v>DC</v>
          </cell>
          <cell r="O3629" t="str">
            <v>B</v>
          </cell>
        </row>
        <row r="3630">
          <cell r="A3630">
            <v>5548</v>
          </cell>
          <cell r="B3630" t="str">
            <v>SRI LESTARI</v>
          </cell>
          <cell r="C3630" t="str">
            <v>SAMI</v>
          </cell>
          <cell r="D3630" t="str">
            <v>OPT-130</v>
          </cell>
          <cell r="E3630">
            <v>39052</v>
          </cell>
          <cell r="F3630" t="str">
            <v>-</v>
          </cell>
          <cell r="G3630" t="str">
            <v>-</v>
          </cell>
          <cell r="H3630" t="str">
            <v>QA</v>
          </cell>
          <cell r="I3630" t="str">
            <v>INSP</v>
          </cell>
          <cell r="J3630" t="str">
            <v>TOYOTA PRIUS</v>
          </cell>
          <cell r="K3630" t="str">
            <v>HV TOYOTA 680A BBM</v>
          </cell>
          <cell r="L3630" t="str">
            <v>CV HV 02</v>
          </cell>
          <cell r="M3630" t="str">
            <v>FINAL T2, V2, X2</v>
          </cell>
          <cell r="N3630" t="str">
            <v>QA APPROVE</v>
          </cell>
          <cell r="O3630" t="str">
            <v>A</v>
          </cell>
        </row>
        <row r="3631">
          <cell r="A3631">
            <v>9466</v>
          </cell>
          <cell r="B3631" t="str">
            <v>NUR KHAYATI</v>
          </cell>
          <cell r="C3631" t="str">
            <v>SAMI</v>
          </cell>
          <cell r="D3631" t="str">
            <v>OPT-216</v>
          </cell>
          <cell r="E3631">
            <v>40148</v>
          </cell>
          <cell r="F3631" t="str">
            <v>-</v>
          </cell>
          <cell r="G3631" t="str">
            <v>-</v>
          </cell>
          <cell r="H3631" t="str">
            <v>QA</v>
          </cell>
          <cell r="I3631" t="str">
            <v>INSP</v>
          </cell>
          <cell r="J3631" t="str">
            <v>TOYOTA PRIUS</v>
          </cell>
          <cell r="K3631" t="str">
            <v>HV TOYOTA 680A BBM</v>
          </cell>
          <cell r="L3631" t="str">
            <v>CV HV 02</v>
          </cell>
          <cell r="M3631" t="str">
            <v>FINAL W2, U2</v>
          </cell>
          <cell r="N3631" t="str">
            <v>QA APPROVE</v>
          </cell>
          <cell r="O3631" t="str">
            <v>A</v>
          </cell>
        </row>
        <row r="3632">
          <cell r="A3632">
            <v>9972</v>
          </cell>
          <cell r="B3632" t="str">
            <v>SITI ULIYAH</v>
          </cell>
          <cell r="C3632" t="str">
            <v>SAMI</v>
          </cell>
          <cell r="D3632" t="str">
            <v>OPT-246</v>
          </cell>
          <cell r="E3632">
            <v>40431</v>
          </cell>
          <cell r="F3632" t="str">
            <v>-</v>
          </cell>
          <cell r="G3632" t="str">
            <v>-</v>
          </cell>
          <cell r="H3632" t="str">
            <v>QA</v>
          </cell>
          <cell r="I3632" t="str">
            <v>INSP</v>
          </cell>
          <cell r="J3632" t="str">
            <v>TOYOTA PRIUS</v>
          </cell>
          <cell r="K3632" t="str">
            <v>HV TOYOTA 680A BBM</v>
          </cell>
          <cell r="L3632" t="str">
            <v>CV HV 02</v>
          </cell>
          <cell r="M3632" t="str">
            <v>FINAL X1, X3</v>
          </cell>
          <cell r="N3632" t="str">
            <v>QA APPROVE</v>
          </cell>
          <cell r="O3632" t="str">
            <v>A</v>
          </cell>
        </row>
        <row r="3633">
          <cell r="A3633">
            <v>21038</v>
          </cell>
          <cell r="B3633" t="str">
            <v>BAGUS KRISTANTO</v>
          </cell>
          <cell r="C3633" t="str">
            <v>SAMI</v>
          </cell>
          <cell r="D3633" t="str">
            <v>OPT-519</v>
          </cell>
          <cell r="E3633">
            <v>42863</v>
          </cell>
          <cell r="F3633">
            <v>43344</v>
          </cell>
          <cell r="G3633">
            <v>43708</v>
          </cell>
          <cell r="H3633" t="str">
            <v>QA</v>
          </cell>
          <cell r="I3633" t="str">
            <v>INSP</v>
          </cell>
          <cell r="J3633" t="str">
            <v>TOYOTA PRIUS</v>
          </cell>
          <cell r="K3633" t="str">
            <v>HV TOYOTA 680A BBM</v>
          </cell>
          <cell r="L3633" t="str">
            <v>CV HV 02</v>
          </cell>
          <cell r="M3633" t="str">
            <v>SCANNER</v>
          </cell>
          <cell r="N3633" t="str">
            <v>QA APPROVE</v>
          </cell>
          <cell r="O3633" t="str">
            <v>A</v>
          </cell>
        </row>
        <row r="3634">
          <cell r="A3634">
            <v>10202</v>
          </cell>
          <cell r="B3634" t="str">
            <v>SITI ISTIQOMAH</v>
          </cell>
          <cell r="C3634" t="str">
            <v>SAMI</v>
          </cell>
          <cell r="D3634" t="str">
            <v>OPT-253</v>
          </cell>
          <cell r="E3634">
            <v>40458</v>
          </cell>
          <cell r="F3634" t="str">
            <v>-</v>
          </cell>
          <cell r="G3634" t="str">
            <v>-</v>
          </cell>
          <cell r="H3634" t="str">
            <v>QA</v>
          </cell>
          <cell r="I3634" t="str">
            <v>INSP</v>
          </cell>
          <cell r="J3634" t="str">
            <v>TOYOTA PRIUS</v>
          </cell>
          <cell r="K3634" t="str">
            <v>HV TOYOTA 680A BBM</v>
          </cell>
          <cell r="L3634" t="str">
            <v>CV HV 02</v>
          </cell>
          <cell r="M3634" t="str">
            <v>FINAL X1, X3</v>
          </cell>
          <cell r="N3634" t="str">
            <v>QA APPROVE</v>
          </cell>
          <cell r="O3634" t="str">
            <v>B</v>
          </cell>
        </row>
        <row r="3635">
          <cell r="A3635">
            <v>19613</v>
          </cell>
          <cell r="B3635" t="str">
            <v>ANA ISNAINI R</v>
          </cell>
          <cell r="C3635" t="str">
            <v>SAMI</v>
          </cell>
          <cell r="D3635" t="str">
            <v>OPT-490</v>
          </cell>
          <cell r="E3635">
            <v>42475</v>
          </cell>
          <cell r="F3635" t="str">
            <v>-</v>
          </cell>
          <cell r="G3635" t="str">
            <v>-</v>
          </cell>
          <cell r="H3635" t="str">
            <v>QA</v>
          </cell>
          <cell r="I3635" t="str">
            <v>INSP</v>
          </cell>
          <cell r="J3635" t="str">
            <v>TOYOTA PRIUS</v>
          </cell>
          <cell r="K3635" t="str">
            <v>HV TOYOTA 680A BBM</v>
          </cell>
          <cell r="L3635" t="str">
            <v>CV HV 02</v>
          </cell>
          <cell r="M3635" t="str">
            <v>FINAL T2, V2, X2</v>
          </cell>
          <cell r="N3635" t="str">
            <v>QA APPROVE</v>
          </cell>
          <cell r="O3635" t="str">
            <v>B</v>
          </cell>
        </row>
        <row r="3636">
          <cell r="A3636">
            <v>20915</v>
          </cell>
          <cell r="B3636" t="str">
            <v>DIAN WIDIANTO</v>
          </cell>
          <cell r="C3636" t="str">
            <v>SAMI</v>
          </cell>
          <cell r="D3636" t="str">
            <v>OPT-510</v>
          </cell>
          <cell r="E3636">
            <v>42660</v>
          </cell>
          <cell r="F3636">
            <v>43160</v>
          </cell>
          <cell r="G3636">
            <v>43524</v>
          </cell>
          <cell r="H3636" t="str">
            <v>QA</v>
          </cell>
          <cell r="I3636" t="str">
            <v>INSP</v>
          </cell>
          <cell r="J3636" t="str">
            <v>TOYOTA PRIUS</v>
          </cell>
          <cell r="K3636" t="str">
            <v>HV TOYOTA 680A BBM</v>
          </cell>
          <cell r="L3636" t="str">
            <v>CV HV 02</v>
          </cell>
          <cell r="M3636" t="str">
            <v>SCANNER</v>
          </cell>
          <cell r="N3636" t="str">
            <v>QA APPROVE</v>
          </cell>
          <cell r="O3636" t="str">
            <v>B</v>
          </cell>
        </row>
        <row r="3637">
          <cell r="A3637" t="str">
            <v>B01913</v>
          </cell>
          <cell r="B3637" t="str">
            <v>SISKA RAHMAWATI</v>
          </cell>
          <cell r="C3637" t="str">
            <v>SAMI</v>
          </cell>
          <cell r="D3637" t="str">
            <v>BBF-071</v>
          </cell>
          <cell r="E3637">
            <v>41452</v>
          </cell>
          <cell r="F3637" t="str">
            <v>-</v>
          </cell>
          <cell r="G3637" t="str">
            <v>-</v>
          </cell>
          <cell r="H3637" t="str">
            <v>QA</v>
          </cell>
          <cell r="I3637" t="str">
            <v>INSP</v>
          </cell>
          <cell r="J3637" t="str">
            <v>TOYOTA PRIUS</v>
          </cell>
          <cell r="K3637" t="str">
            <v>HV TOYOTA 680A BBM</v>
          </cell>
          <cell r="L3637" t="str">
            <v>CV HV 02</v>
          </cell>
          <cell r="M3637" t="str">
            <v>FINAL W2, U2</v>
          </cell>
          <cell r="N3637" t="str">
            <v>QA APPROVE</v>
          </cell>
          <cell r="O3637" t="str">
            <v>B</v>
          </cell>
        </row>
        <row r="3638">
          <cell r="A3638" t="str">
            <v>B00314</v>
          </cell>
          <cell r="B3638" t="str">
            <v>MEIRATARI MARACHITA</v>
          </cell>
          <cell r="C3638" t="str">
            <v>SAMI</v>
          </cell>
          <cell r="D3638" t="str">
            <v>BBF-005</v>
          </cell>
          <cell r="E3638">
            <v>40854</v>
          </cell>
          <cell r="F3638" t="str">
            <v>-</v>
          </cell>
          <cell r="G3638" t="str">
            <v>-</v>
          </cell>
          <cell r="H3638" t="str">
            <v>QA</v>
          </cell>
          <cell r="I3638" t="str">
            <v>INSP</v>
          </cell>
          <cell r="J3638" t="str">
            <v>HV TOYOTA</v>
          </cell>
          <cell r="K3638" t="str">
            <v>HV TOYOTA 14PL</v>
          </cell>
          <cell r="L3638" t="str">
            <v>CV HV 03</v>
          </cell>
          <cell r="M3638" t="str">
            <v>FINAL T2</v>
          </cell>
          <cell r="N3638" t="str">
            <v>QA APPROVE</v>
          </cell>
          <cell r="O3638" t="str">
            <v>A</v>
          </cell>
        </row>
        <row r="3639">
          <cell r="A3639">
            <v>11007</v>
          </cell>
          <cell r="B3639" t="str">
            <v>ISMAWATI</v>
          </cell>
          <cell r="C3639" t="str">
            <v>SAMI</v>
          </cell>
          <cell r="D3639" t="str">
            <v>OPT-287</v>
          </cell>
          <cell r="E3639">
            <v>40585</v>
          </cell>
          <cell r="F3639" t="str">
            <v>-</v>
          </cell>
          <cell r="G3639" t="str">
            <v>-</v>
          </cell>
          <cell r="H3639" t="str">
            <v>QA</v>
          </cell>
          <cell r="I3639" t="str">
            <v>INSP</v>
          </cell>
          <cell r="J3639" t="str">
            <v>HV TOYOTA</v>
          </cell>
          <cell r="K3639" t="str">
            <v>HV TOYOTA 14PL</v>
          </cell>
          <cell r="L3639" t="str">
            <v>CV HV 03</v>
          </cell>
          <cell r="M3639" t="str">
            <v>FINAL X2</v>
          </cell>
          <cell r="N3639" t="str">
            <v>QA APPROVE</v>
          </cell>
          <cell r="O3639" t="str">
            <v>B</v>
          </cell>
        </row>
        <row r="3640">
          <cell r="A3640">
            <v>20622</v>
          </cell>
          <cell r="B3640" t="str">
            <v xml:space="preserve">NILA KURNIAWATI </v>
          </cell>
          <cell r="C3640" t="str">
            <v>SAMI</v>
          </cell>
          <cell r="D3640" t="str">
            <v>OPT-505</v>
          </cell>
          <cell r="E3640">
            <v>42639</v>
          </cell>
          <cell r="F3640">
            <v>43132</v>
          </cell>
          <cell r="G3640">
            <v>43496</v>
          </cell>
          <cell r="H3640" t="str">
            <v>QA</v>
          </cell>
          <cell r="I3640" t="str">
            <v>INSP</v>
          </cell>
          <cell r="J3640" t="str">
            <v>HV TOYOTA</v>
          </cell>
          <cell r="K3640" t="str">
            <v>HV TOYOTA 14PL</v>
          </cell>
          <cell r="L3640" t="str">
            <v>CV HV 03</v>
          </cell>
          <cell r="M3640" t="str">
            <v>FINAL X1</v>
          </cell>
          <cell r="N3640" t="str">
            <v>QA APPROVE</v>
          </cell>
          <cell r="O3640" t="str">
            <v>B</v>
          </cell>
        </row>
        <row r="3641">
          <cell r="A3641">
            <v>264</v>
          </cell>
          <cell r="B3641" t="str">
            <v>SARI MUNAWATI</v>
          </cell>
          <cell r="C3641" t="str">
            <v>SAMI</v>
          </cell>
          <cell r="D3641" t="str">
            <v>OPT-7</v>
          </cell>
          <cell r="E3641">
            <v>37704</v>
          </cell>
          <cell r="F3641" t="str">
            <v>-</v>
          </cell>
          <cell r="G3641" t="str">
            <v>-</v>
          </cell>
          <cell r="H3641" t="str">
            <v>QA</v>
          </cell>
          <cell r="I3641" t="str">
            <v>INSP</v>
          </cell>
          <cell r="J3641" t="str">
            <v>HONDA BBP</v>
          </cell>
          <cell r="K3641" t="str">
            <v>HV HONDA 5JLA BBP</v>
          </cell>
          <cell r="L3641" t="str">
            <v>CV HV 04</v>
          </cell>
          <cell r="M3641" t="str">
            <v>FINAL INSPECTION</v>
          </cell>
          <cell r="N3641" t="str">
            <v>QA APPROVE</v>
          </cell>
          <cell r="O3641" t="str">
            <v>A</v>
          </cell>
        </row>
        <row r="3642">
          <cell r="A3642">
            <v>9845</v>
          </cell>
          <cell r="B3642" t="str">
            <v>AGUSTYA IKA SARI</v>
          </cell>
          <cell r="C3642" t="str">
            <v>SAMI</v>
          </cell>
          <cell r="D3642" t="str">
            <v>OPT-240</v>
          </cell>
          <cell r="E3642">
            <v>40411</v>
          </cell>
          <cell r="F3642" t="str">
            <v>-</v>
          </cell>
          <cell r="G3642" t="str">
            <v>-</v>
          </cell>
          <cell r="H3642" t="str">
            <v>QA</v>
          </cell>
          <cell r="I3642" t="str">
            <v>INSP</v>
          </cell>
          <cell r="J3642" t="str">
            <v>HONDA BBP</v>
          </cell>
          <cell r="K3642" t="str">
            <v>HV HONDA 5JLA BBP</v>
          </cell>
          <cell r="L3642" t="str">
            <v>CV HV 04</v>
          </cell>
          <cell r="M3642" t="str">
            <v>FINAL INSPECTION</v>
          </cell>
          <cell r="N3642" t="str">
            <v>QA APPROVE</v>
          </cell>
          <cell r="O3642" t="str">
            <v>A</v>
          </cell>
        </row>
        <row r="3643">
          <cell r="A3643">
            <v>10936</v>
          </cell>
          <cell r="B3643" t="str">
            <v>NENSI WIDYAWATI</v>
          </cell>
          <cell r="C3643" t="str">
            <v>SAMI</v>
          </cell>
          <cell r="D3643" t="str">
            <v>OPT-285</v>
          </cell>
          <cell r="E3643">
            <v>40578</v>
          </cell>
          <cell r="F3643" t="str">
            <v>-</v>
          </cell>
          <cell r="G3643" t="str">
            <v>-</v>
          </cell>
          <cell r="H3643" t="str">
            <v>QA</v>
          </cell>
          <cell r="I3643" t="str">
            <v>INSP</v>
          </cell>
          <cell r="J3643" t="str">
            <v>HONDA BBP</v>
          </cell>
          <cell r="K3643" t="str">
            <v>HV HONDA 5JLA BBP</v>
          </cell>
          <cell r="L3643" t="str">
            <v>CV HV 04</v>
          </cell>
          <cell r="M3643" t="str">
            <v>FINAL INSPECTION</v>
          </cell>
          <cell r="N3643" t="str">
            <v>QA APPROVE</v>
          </cell>
          <cell r="O3643" t="str">
            <v>A</v>
          </cell>
        </row>
        <row r="3644">
          <cell r="A3644">
            <v>20807</v>
          </cell>
          <cell r="B3644" t="str">
            <v>MUKAROMAH</v>
          </cell>
          <cell r="C3644" t="str">
            <v>SAMI</v>
          </cell>
          <cell r="D3644" t="str">
            <v>OPT-508</v>
          </cell>
          <cell r="E3644">
            <v>42649</v>
          </cell>
          <cell r="F3644">
            <v>43132</v>
          </cell>
          <cell r="G3644">
            <v>43496</v>
          </cell>
          <cell r="H3644" t="str">
            <v>QA</v>
          </cell>
          <cell r="I3644" t="str">
            <v>INSP</v>
          </cell>
          <cell r="J3644" t="str">
            <v>HONDA BBP</v>
          </cell>
          <cell r="K3644" t="str">
            <v>HV HONDA 5JLA BBP</v>
          </cell>
          <cell r="L3644" t="str">
            <v>CV HV 04</v>
          </cell>
          <cell r="M3644" t="str">
            <v>FINAL INSPECTION</v>
          </cell>
          <cell r="N3644" t="str">
            <v>QA APPROVE</v>
          </cell>
          <cell r="O3644" t="str">
            <v>A</v>
          </cell>
        </row>
        <row r="3645">
          <cell r="A3645">
            <v>414</v>
          </cell>
          <cell r="B3645" t="str">
            <v>ARIYATUN</v>
          </cell>
          <cell r="C3645" t="str">
            <v>SAMI</v>
          </cell>
          <cell r="D3645" t="str">
            <v>OPT-11</v>
          </cell>
          <cell r="E3645">
            <v>37739</v>
          </cell>
          <cell r="F3645" t="str">
            <v>-</v>
          </cell>
          <cell r="G3645" t="str">
            <v>-</v>
          </cell>
          <cell r="H3645" t="str">
            <v>QA</v>
          </cell>
          <cell r="I3645" t="str">
            <v>INSP</v>
          </cell>
          <cell r="J3645" t="str">
            <v>HONDA BBP</v>
          </cell>
          <cell r="K3645" t="str">
            <v>HV HONDA 5JLA BBP</v>
          </cell>
          <cell r="L3645" t="str">
            <v>CV HV 04</v>
          </cell>
          <cell r="M3645" t="str">
            <v>FINAL INSPECTION</v>
          </cell>
          <cell r="N3645" t="str">
            <v>QA APPROVE</v>
          </cell>
          <cell r="O3645" t="str">
            <v>B</v>
          </cell>
        </row>
        <row r="3646">
          <cell r="A3646">
            <v>10176</v>
          </cell>
          <cell r="B3646" t="str">
            <v>FIFI HANDAYANTI</v>
          </cell>
          <cell r="C3646" t="str">
            <v>SAMI</v>
          </cell>
          <cell r="D3646" t="str">
            <v>OPT-253</v>
          </cell>
          <cell r="E3646">
            <v>40458</v>
          </cell>
          <cell r="F3646" t="str">
            <v>-</v>
          </cell>
          <cell r="G3646" t="str">
            <v>-</v>
          </cell>
          <cell r="H3646" t="str">
            <v>QA</v>
          </cell>
          <cell r="I3646" t="str">
            <v>INSP</v>
          </cell>
          <cell r="J3646" t="str">
            <v>HONDA BBP</v>
          </cell>
          <cell r="K3646" t="str">
            <v>HV HONDA 5JLA BBP</v>
          </cell>
          <cell r="L3646" t="str">
            <v>CV HV 04</v>
          </cell>
          <cell r="M3646" t="str">
            <v>FINAL INSPECTION</v>
          </cell>
          <cell r="N3646" t="str">
            <v>QA APPROVE</v>
          </cell>
          <cell r="O3646" t="str">
            <v>B</v>
          </cell>
        </row>
        <row r="3647">
          <cell r="A3647">
            <v>11550</v>
          </cell>
          <cell r="B3647" t="str">
            <v>EVI KURNIASARI</v>
          </cell>
          <cell r="C3647" t="str">
            <v>SAMI</v>
          </cell>
          <cell r="D3647" t="str">
            <v>OPT-307</v>
          </cell>
          <cell r="E3647">
            <v>40707</v>
          </cell>
          <cell r="F3647" t="str">
            <v>-</v>
          </cell>
          <cell r="G3647" t="str">
            <v>-</v>
          </cell>
          <cell r="H3647" t="str">
            <v>QA</v>
          </cell>
          <cell r="I3647" t="str">
            <v>INSP</v>
          </cell>
          <cell r="J3647" t="str">
            <v>HONDA BBP</v>
          </cell>
          <cell r="K3647" t="str">
            <v>HV HONDA 5JLA BBP</v>
          </cell>
          <cell r="L3647" t="str">
            <v>CV HV 04</v>
          </cell>
          <cell r="M3647" t="str">
            <v>FINAL INSPECTION</v>
          </cell>
          <cell r="N3647" t="str">
            <v>QA APPROVE</v>
          </cell>
          <cell r="O3647" t="str">
            <v>B</v>
          </cell>
        </row>
        <row r="3648">
          <cell r="A3648">
            <v>1266</v>
          </cell>
          <cell r="B3648" t="str">
            <v>WARSINI</v>
          </cell>
          <cell r="C3648" t="str">
            <v>SAMI</v>
          </cell>
          <cell r="D3648" t="str">
            <v>OPT-31</v>
          </cell>
          <cell r="E3648">
            <v>37921</v>
          </cell>
          <cell r="F3648" t="str">
            <v>-</v>
          </cell>
          <cell r="G3648" t="str">
            <v>-</v>
          </cell>
          <cell r="H3648" t="str">
            <v>QA</v>
          </cell>
          <cell r="I3648" t="str">
            <v>INSP</v>
          </cell>
          <cell r="J3648" t="str">
            <v>HV NISSAN</v>
          </cell>
          <cell r="K3648" t="str">
            <v>HV NISSAN</v>
          </cell>
          <cell r="L3648" t="str">
            <v>CV HV 05</v>
          </cell>
          <cell r="M3648" t="str">
            <v>FINAL INSPECTION</v>
          </cell>
          <cell r="N3648" t="str">
            <v>QA APPROVE</v>
          </cell>
          <cell r="O3648" t="str">
            <v>A</v>
          </cell>
        </row>
        <row r="3649">
          <cell r="A3649">
            <v>20806</v>
          </cell>
          <cell r="B3649" t="str">
            <v>MUHAMMAD FAUZI</v>
          </cell>
          <cell r="C3649" t="str">
            <v>SAMI</v>
          </cell>
          <cell r="D3649" t="str">
            <v>OPT-508</v>
          </cell>
          <cell r="E3649">
            <v>42649</v>
          </cell>
          <cell r="F3649">
            <v>43132</v>
          </cell>
          <cell r="G3649">
            <v>43496</v>
          </cell>
          <cell r="H3649" t="str">
            <v>QA</v>
          </cell>
          <cell r="I3649" t="str">
            <v>INSP</v>
          </cell>
          <cell r="J3649" t="str">
            <v>HV NISSAN</v>
          </cell>
          <cell r="K3649" t="str">
            <v>HV NISSAN</v>
          </cell>
          <cell r="L3649" t="str">
            <v>CV HV 05</v>
          </cell>
          <cell r="M3649" t="str">
            <v>SCANNER</v>
          </cell>
          <cell r="N3649" t="str">
            <v>QA APPROVE</v>
          </cell>
          <cell r="O3649" t="str">
            <v>A</v>
          </cell>
        </row>
        <row r="3650">
          <cell r="A3650">
            <v>11461</v>
          </cell>
          <cell r="B3650" t="str">
            <v>NURAINI FITRI</v>
          </cell>
          <cell r="C3650" t="str">
            <v>SAMI</v>
          </cell>
          <cell r="D3650" t="str">
            <v>OPT-306</v>
          </cell>
          <cell r="E3650">
            <v>40701</v>
          </cell>
          <cell r="F3650" t="str">
            <v>-</v>
          </cell>
          <cell r="G3650" t="str">
            <v>-</v>
          </cell>
          <cell r="H3650" t="str">
            <v>QA</v>
          </cell>
          <cell r="I3650" t="str">
            <v>INSP</v>
          </cell>
          <cell r="J3650" t="str">
            <v>HV NISSAN</v>
          </cell>
          <cell r="K3650" t="str">
            <v>HV NISSAN</v>
          </cell>
          <cell r="L3650" t="str">
            <v>CV HV 05</v>
          </cell>
          <cell r="M3650" t="str">
            <v>FINAL INSPECTION</v>
          </cell>
          <cell r="N3650" t="str">
            <v>QA APPROVE</v>
          </cell>
          <cell r="O3650" t="str">
            <v>B</v>
          </cell>
        </row>
        <row r="3651">
          <cell r="A3651">
            <v>22662</v>
          </cell>
          <cell r="B3651" t="str">
            <v>MOH.LIZA WIDIANTO</v>
          </cell>
          <cell r="C3651" t="str">
            <v>SAMI</v>
          </cell>
          <cell r="D3651" t="str">
            <v>OPT-562</v>
          </cell>
          <cell r="E3651">
            <v>43241</v>
          </cell>
          <cell r="F3651">
            <v>43272</v>
          </cell>
          <cell r="G3651">
            <v>43646</v>
          </cell>
          <cell r="H3651" t="str">
            <v>QA</v>
          </cell>
          <cell r="I3651" t="str">
            <v>INSP</v>
          </cell>
          <cell r="J3651" t="str">
            <v>HV NISSAN</v>
          </cell>
          <cell r="K3651" t="str">
            <v>HV NISSAN</v>
          </cell>
          <cell r="L3651" t="str">
            <v>CV HV 05</v>
          </cell>
          <cell r="M3651" t="str">
            <v>SCANNER</v>
          </cell>
          <cell r="N3651" t="str">
            <v>QA APPROVE</v>
          </cell>
          <cell r="O3651" t="str">
            <v>B</v>
          </cell>
        </row>
        <row r="3652">
          <cell r="A3652">
            <v>6165</v>
          </cell>
          <cell r="B3652" t="str">
            <v>SRI MULYANI</v>
          </cell>
          <cell r="C3652" t="str">
            <v>SAMI</v>
          </cell>
          <cell r="D3652" t="str">
            <v>OPT-140</v>
          </cell>
          <cell r="E3652">
            <v>39157</v>
          </cell>
          <cell r="F3652" t="str">
            <v>-</v>
          </cell>
          <cell r="G3652" t="str">
            <v>-</v>
          </cell>
          <cell r="H3652" t="str">
            <v>QA</v>
          </cell>
          <cell r="I3652" t="str">
            <v>INSP</v>
          </cell>
          <cell r="J3652" t="str">
            <v>HV TOYOTA</v>
          </cell>
          <cell r="K3652" t="str">
            <v>HV TOYOTA LITIUM</v>
          </cell>
          <cell r="L3652" t="str">
            <v>CV HV 06</v>
          </cell>
          <cell r="M3652" t="str">
            <v>FINAL INSPECTION</v>
          </cell>
          <cell r="N3652" t="str">
            <v>QA APPROVE</v>
          </cell>
          <cell r="O3652" t="str">
            <v>A</v>
          </cell>
        </row>
        <row r="3653">
          <cell r="A3653">
            <v>13135</v>
          </cell>
          <cell r="B3653" t="str">
            <v>ROBIATUN</v>
          </cell>
          <cell r="C3653" t="str">
            <v>SAMI</v>
          </cell>
          <cell r="D3653" t="str">
            <v>OPT-330</v>
          </cell>
          <cell r="E3653">
            <v>40882</v>
          </cell>
          <cell r="F3653" t="str">
            <v>-</v>
          </cell>
          <cell r="G3653" t="str">
            <v>-</v>
          </cell>
          <cell r="H3653" t="str">
            <v>QA</v>
          </cell>
          <cell r="I3653" t="str">
            <v>INSP</v>
          </cell>
          <cell r="J3653" t="str">
            <v>HV TOYOTA</v>
          </cell>
          <cell r="K3653" t="str">
            <v>HV TOYOTA LITIUM</v>
          </cell>
          <cell r="L3653" t="str">
            <v>CV HV 06</v>
          </cell>
          <cell r="M3653" t="str">
            <v>FINAL T2</v>
          </cell>
          <cell r="N3653" t="str">
            <v>QA APPROVE</v>
          </cell>
          <cell r="O3653" t="str">
            <v>A</v>
          </cell>
        </row>
        <row r="3654">
          <cell r="A3654">
            <v>13471</v>
          </cell>
          <cell r="B3654" t="str">
            <v>AGUSTINA DEWI WIJAYANTI</v>
          </cell>
          <cell r="C3654" t="str">
            <v>SAMI</v>
          </cell>
          <cell r="D3654" t="str">
            <v>OPT-339</v>
          </cell>
          <cell r="E3654">
            <v>40945</v>
          </cell>
          <cell r="F3654" t="str">
            <v>-</v>
          </cell>
          <cell r="G3654" t="str">
            <v>-</v>
          </cell>
          <cell r="H3654" t="str">
            <v>QA</v>
          </cell>
          <cell r="I3654" t="str">
            <v>INSP</v>
          </cell>
          <cell r="J3654" t="str">
            <v>HV TOYOTA</v>
          </cell>
          <cell r="K3654" t="str">
            <v>HV TOYOTA LITIUM</v>
          </cell>
          <cell r="L3654" t="str">
            <v>CV HV 06</v>
          </cell>
          <cell r="M3654" t="str">
            <v>FINAL T2</v>
          </cell>
          <cell r="N3654" t="str">
            <v>QA APPROVE</v>
          </cell>
          <cell r="O3654" t="str">
            <v>A (NS)</v>
          </cell>
        </row>
        <row r="3655">
          <cell r="A3655">
            <v>11643</v>
          </cell>
          <cell r="B3655" t="str">
            <v>WARLIN FITRIYANI</v>
          </cell>
          <cell r="C3655" t="str">
            <v>SAMI</v>
          </cell>
          <cell r="D3655" t="str">
            <v>OPT-307</v>
          </cell>
          <cell r="E3655">
            <v>40707</v>
          </cell>
          <cell r="F3655" t="str">
            <v>-</v>
          </cell>
          <cell r="G3655" t="str">
            <v>-</v>
          </cell>
          <cell r="H3655" t="str">
            <v>QA</v>
          </cell>
          <cell r="I3655" t="str">
            <v>INSP</v>
          </cell>
          <cell r="J3655" t="str">
            <v>HV TOYOTA</v>
          </cell>
          <cell r="K3655" t="str">
            <v>HV TOYOTA NIKEL</v>
          </cell>
          <cell r="L3655" t="str">
            <v>CV HV 07A</v>
          </cell>
          <cell r="M3655" t="str">
            <v>FINAL T0</v>
          </cell>
          <cell r="N3655" t="str">
            <v>QA APPROVE</v>
          </cell>
          <cell r="O3655" t="str">
            <v>A</v>
          </cell>
        </row>
        <row r="3656">
          <cell r="A3656">
            <v>12368</v>
          </cell>
          <cell r="B3656" t="str">
            <v>FRANCISCA SULISTYOWATI</v>
          </cell>
          <cell r="C3656" t="str">
            <v>SAMI</v>
          </cell>
          <cell r="D3656" t="str">
            <v>OPT-317</v>
          </cell>
          <cell r="E3656">
            <v>40809</v>
          </cell>
          <cell r="F3656" t="str">
            <v>-</v>
          </cell>
          <cell r="G3656" t="str">
            <v>-</v>
          </cell>
          <cell r="H3656" t="str">
            <v>QA</v>
          </cell>
          <cell r="I3656" t="str">
            <v>INSP</v>
          </cell>
          <cell r="J3656" t="str">
            <v>HV TOYOTA</v>
          </cell>
          <cell r="K3656" t="str">
            <v>HV TOYOTA NIKEL</v>
          </cell>
          <cell r="L3656" t="str">
            <v>CV HV 07A</v>
          </cell>
          <cell r="M3656" t="str">
            <v>FINAL T0</v>
          </cell>
          <cell r="N3656" t="str">
            <v>QA APPROVE</v>
          </cell>
          <cell r="O3656" t="str">
            <v>B</v>
          </cell>
        </row>
        <row r="3657">
          <cell r="A3657">
            <v>17230</v>
          </cell>
          <cell r="B3657" t="str">
            <v>NADYA KURNIA LARAS MITHA</v>
          </cell>
          <cell r="C3657" t="str">
            <v>SAMI</v>
          </cell>
          <cell r="D3657" t="str">
            <v>OPT-440</v>
          </cell>
          <cell r="E3657">
            <v>41764</v>
          </cell>
          <cell r="F3657" t="str">
            <v>-</v>
          </cell>
          <cell r="G3657" t="str">
            <v>-</v>
          </cell>
          <cell r="H3657" t="str">
            <v>QA</v>
          </cell>
          <cell r="I3657" t="str">
            <v>INSP</v>
          </cell>
          <cell r="J3657" t="str">
            <v>HV TOYOTA</v>
          </cell>
          <cell r="K3657" t="str">
            <v>HV TOYOTA NIKEL</v>
          </cell>
          <cell r="L3657" t="str">
            <v>CV HV 07B</v>
          </cell>
          <cell r="M3657" t="str">
            <v>FINAL T0</v>
          </cell>
          <cell r="N3657" t="str">
            <v>QA APPROVE</v>
          </cell>
          <cell r="O3657" t="str">
            <v>A</v>
          </cell>
        </row>
        <row r="3658">
          <cell r="A3658">
            <v>22070</v>
          </cell>
          <cell r="B3658" t="str">
            <v>EKA PRATIWI</v>
          </cell>
          <cell r="C3658" t="str">
            <v>SAMI</v>
          </cell>
          <cell r="D3658" t="str">
            <v>OPT-548</v>
          </cell>
          <cell r="E3658">
            <v>43150</v>
          </cell>
          <cell r="F3658">
            <v>43178</v>
          </cell>
          <cell r="G3658">
            <v>43555</v>
          </cell>
          <cell r="H3658" t="str">
            <v>QA</v>
          </cell>
          <cell r="I3658" t="str">
            <v>INSP</v>
          </cell>
          <cell r="J3658" t="str">
            <v>HV TOYOTA</v>
          </cell>
          <cell r="K3658" t="str">
            <v>HV TOYOTA NIKEL</v>
          </cell>
          <cell r="L3658" t="str">
            <v>CV HV 07B</v>
          </cell>
          <cell r="M3658" t="str">
            <v>FINAL T0</v>
          </cell>
          <cell r="N3658" t="str">
            <v>QA APPROVE</v>
          </cell>
          <cell r="O3658" t="str">
            <v>B</v>
          </cell>
        </row>
        <row r="3659">
          <cell r="A3659">
            <v>10526</v>
          </cell>
          <cell r="B3659" t="str">
            <v>SARI KARYANI</v>
          </cell>
          <cell r="C3659" t="str">
            <v>SAMI</v>
          </cell>
          <cell r="D3659" t="str">
            <v>OPT-273</v>
          </cell>
          <cell r="E3659">
            <v>40535</v>
          </cell>
          <cell r="F3659" t="str">
            <v>-</v>
          </cell>
          <cell r="G3659" t="str">
            <v>-</v>
          </cell>
          <cell r="H3659" t="str">
            <v>QA</v>
          </cell>
          <cell r="I3659" t="str">
            <v>INSP</v>
          </cell>
          <cell r="J3659" t="str">
            <v>HV HONDA</v>
          </cell>
          <cell r="K3659" t="str">
            <v>HV HONDA 5JL SP</v>
          </cell>
          <cell r="L3659" t="str">
            <v>CV HV 08</v>
          </cell>
          <cell r="M3659" t="str">
            <v>CHECKER + VISUAL + FINAL</v>
          </cell>
          <cell r="N3659" t="str">
            <v>ELECTRICAL INSPECTION</v>
          </cell>
          <cell r="O3659" t="str">
            <v>A (NS)</v>
          </cell>
        </row>
        <row r="3660">
          <cell r="A3660">
            <v>13530</v>
          </cell>
          <cell r="B3660" t="str">
            <v>MUNADHIROH</v>
          </cell>
          <cell r="C3660" t="str">
            <v>SAMI</v>
          </cell>
          <cell r="D3660" t="str">
            <v>OPT-340</v>
          </cell>
          <cell r="E3660">
            <v>40948</v>
          </cell>
          <cell r="F3660" t="str">
            <v>-</v>
          </cell>
          <cell r="G3660" t="str">
            <v>-</v>
          </cell>
          <cell r="H3660" t="str">
            <v>QA</v>
          </cell>
          <cell r="I3660" t="str">
            <v>INSP</v>
          </cell>
          <cell r="J3660" t="str">
            <v>HV HONDA</v>
          </cell>
          <cell r="K3660" t="str">
            <v>HV HONDA 5JL SP</v>
          </cell>
          <cell r="L3660" t="str">
            <v>CV HV 08</v>
          </cell>
          <cell r="M3660" t="str">
            <v>CHECKER + VISUAL + FINAL</v>
          </cell>
          <cell r="N3660" t="str">
            <v>ELECTRICAL INSPECTION</v>
          </cell>
          <cell r="O3660" t="str">
            <v>A (NS)</v>
          </cell>
        </row>
        <row r="3661">
          <cell r="A3661">
            <v>10299</v>
          </cell>
          <cell r="B3661" t="str">
            <v>ARINA FAOZIAH</v>
          </cell>
          <cell r="C3661" t="str">
            <v>SAMI</v>
          </cell>
          <cell r="D3661" t="str">
            <v>OPT-265</v>
          </cell>
          <cell r="E3661">
            <v>40511</v>
          </cell>
          <cell r="F3661" t="str">
            <v>-</v>
          </cell>
          <cell r="G3661" t="str">
            <v>-</v>
          </cell>
          <cell r="H3661" t="str">
            <v>QA</v>
          </cell>
          <cell r="I3661" t="str">
            <v>INSP</v>
          </cell>
          <cell r="J3661" t="str">
            <v>HV TOYOTA</v>
          </cell>
          <cell r="K3661" t="str">
            <v>HV TOYOTA UNDERFLOOR</v>
          </cell>
          <cell r="L3661" t="str">
            <v>CV HV 09</v>
          </cell>
          <cell r="M3661" t="str">
            <v>FINAL INSPECTION</v>
          </cell>
          <cell r="N3661" t="str">
            <v>QA APPROVE</v>
          </cell>
          <cell r="O3661" t="str">
            <v>A</v>
          </cell>
        </row>
        <row r="3662">
          <cell r="A3662">
            <v>12482</v>
          </cell>
          <cell r="B3662" t="str">
            <v>LAMIK NADHIFAH</v>
          </cell>
          <cell r="C3662" t="str">
            <v>SAMI</v>
          </cell>
          <cell r="D3662" t="str">
            <v>OPT-318</v>
          </cell>
          <cell r="E3662">
            <v>40812</v>
          </cell>
          <cell r="F3662" t="str">
            <v>-</v>
          </cell>
          <cell r="G3662" t="str">
            <v>-</v>
          </cell>
          <cell r="H3662" t="str">
            <v>QA</v>
          </cell>
          <cell r="I3662" t="str">
            <v>INSP</v>
          </cell>
          <cell r="J3662" t="str">
            <v>HV TOYOTA</v>
          </cell>
          <cell r="K3662" t="str">
            <v>HV TOYOTA UNDERFLOOR</v>
          </cell>
          <cell r="L3662" t="str">
            <v>CV HV 09</v>
          </cell>
          <cell r="M3662" t="str">
            <v>FINAL INSPECTION</v>
          </cell>
          <cell r="N3662" t="str">
            <v>QA APPROVE</v>
          </cell>
          <cell r="O3662" t="str">
            <v>A</v>
          </cell>
        </row>
        <row r="3663">
          <cell r="A3663">
            <v>5915</v>
          </cell>
          <cell r="B3663" t="str">
            <v>LISTIANA</v>
          </cell>
          <cell r="C3663" t="str">
            <v>SAMI</v>
          </cell>
          <cell r="D3663" t="str">
            <v>OPT-137</v>
          </cell>
          <cell r="E3663">
            <v>39129</v>
          </cell>
          <cell r="F3663" t="str">
            <v>-</v>
          </cell>
          <cell r="G3663" t="str">
            <v>-</v>
          </cell>
          <cell r="H3663" t="str">
            <v>QA</v>
          </cell>
          <cell r="I3663" t="str">
            <v>INSP</v>
          </cell>
          <cell r="J3663" t="str">
            <v>HV TOYOTA</v>
          </cell>
          <cell r="K3663" t="str">
            <v>HV TOYOTA UNDERFLOOR</v>
          </cell>
          <cell r="L3663" t="str">
            <v>CV HV 09</v>
          </cell>
          <cell r="M3663" t="str">
            <v>GL REWORK</v>
          </cell>
          <cell r="N3663" t="str">
            <v>REWORK</v>
          </cell>
          <cell r="O3663" t="str">
            <v>B</v>
          </cell>
        </row>
        <row r="3664">
          <cell r="A3664">
            <v>10097</v>
          </cell>
          <cell r="B3664" t="str">
            <v>LAILATUN NASRIYAH</v>
          </cell>
          <cell r="C3664" t="str">
            <v>SAMI</v>
          </cell>
          <cell r="D3664" t="str">
            <v>OPT-248</v>
          </cell>
          <cell r="E3664">
            <v>40444</v>
          </cell>
          <cell r="F3664" t="str">
            <v>-</v>
          </cell>
          <cell r="G3664" t="str">
            <v>-</v>
          </cell>
          <cell r="H3664" t="str">
            <v>QA</v>
          </cell>
          <cell r="I3664" t="str">
            <v>INSP</v>
          </cell>
          <cell r="J3664" t="str">
            <v>HV TOYOTA</v>
          </cell>
          <cell r="K3664" t="str">
            <v>HV TOYOTA UNDERFLOOR</v>
          </cell>
          <cell r="L3664" t="str">
            <v>CV HV 09</v>
          </cell>
          <cell r="M3664" t="str">
            <v>FINAL INSPECTION</v>
          </cell>
          <cell r="N3664" t="str">
            <v>QA APPROVE</v>
          </cell>
          <cell r="O3664" t="str">
            <v>B</v>
          </cell>
        </row>
        <row r="3665">
          <cell r="A3665">
            <v>20525</v>
          </cell>
          <cell r="B3665" t="str">
            <v>RISKA LAILIYAH</v>
          </cell>
          <cell r="C3665" t="str">
            <v>SAMI</v>
          </cell>
          <cell r="D3665" t="str">
            <v>OPT-504</v>
          </cell>
          <cell r="E3665">
            <v>42634</v>
          </cell>
          <cell r="F3665">
            <v>43132</v>
          </cell>
          <cell r="G3665">
            <v>43496</v>
          </cell>
          <cell r="H3665" t="str">
            <v>QA</v>
          </cell>
          <cell r="I3665" t="str">
            <v>INSP</v>
          </cell>
          <cell r="J3665" t="str">
            <v>HV TOYOTA</v>
          </cell>
          <cell r="K3665" t="str">
            <v>HV TOYOTA UNDERFLOOR</v>
          </cell>
          <cell r="L3665" t="str">
            <v>CV HV 09</v>
          </cell>
          <cell r="M3665" t="str">
            <v>FINAL INSPECTION</v>
          </cell>
          <cell r="N3665" t="str">
            <v>QA APPROVE</v>
          </cell>
          <cell r="O3665" t="str">
            <v>B</v>
          </cell>
        </row>
        <row r="3666">
          <cell r="A3666">
            <v>9160</v>
          </cell>
          <cell r="B3666" t="str">
            <v>RATNA ROSANTI</v>
          </cell>
          <cell r="C3666" t="str">
            <v>SAMI</v>
          </cell>
          <cell r="D3666" t="str">
            <v>OPT-205</v>
          </cell>
          <cell r="E3666">
            <v>40000</v>
          </cell>
          <cell r="F3666" t="str">
            <v>-</v>
          </cell>
          <cell r="G3666" t="str">
            <v>-</v>
          </cell>
          <cell r="H3666" t="str">
            <v>QA</v>
          </cell>
          <cell r="I3666" t="str">
            <v>INSP</v>
          </cell>
          <cell r="J3666" t="str">
            <v>HV TOYOTA</v>
          </cell>
          <cell r="K3666" t="str">
            <v>HV TOYOTA AC</v>
          </cell>
          <cell r="L3666" t="str">
            <v>CV HV 10A</v>
          </cell>
          <cell r="M3666" t="str">
            <v>GL REWORK</v>
          </cell>
          <cell r="N3666" t="str">
            <v>REWORK</v>
          </cell>
          <cell r="O3666" t="str">
            <v>A</v>
          </cell>
        </row>
        <row r="3667">
          <cell r="A3667">
            <v>10660</v>
          </cell>
          <cell r="B3667" t="str">
            <v>KHIKMAH</v>
          </cell>
          <cell r="C3667" t="str">
            <v>SAMI</v>
          </cell>
          <cell r="D3667" t="str">
            <v>OPT-279</v>
          </cell>
          <cell r="E3667">
            <v>40553</v>
          </cell>
          <cell r="F3667" t="str">
            <v>-</v>
          </cell>
          <cell r="G3667" t="str">
            <v>-</v>
          </cell>
          <cell r="H3667" t="str">
            <v>QA</v>
          </cell>
          <cell r="I3667" t="str">
            <v>INSP</v>
          </cell>
          <cell r="J3667" t="str">
            <v>HV TOYOTA</v>
          </cell>
          <cell r="K3667" t="str">
            <v>HV TOYOTA AC</v>
          </cell>
          <cell r="L3667" t="str">
            <v>CV HV 10A</v>
          </cell>
          <cell r="M3667" t="str">
            <v>VISUAL 02</v>
          </cell>
          <cell r="N3667" t="str">
            <v>VISUAL INSPECTION</v>
          </cell>
          <cell r="O3667" t="str">
            <v>A</v>
          </cell>
        </row>
        <row r="3668">
          <cell r="A3668">
            <v>5724</v>
          </cell>
          <cell r="B3668" t="str">
            <v>PENI LUSIANA</v>
          </cell>
          <cell r="C3668" t="str">
            <v>SAMI</v>
          </cell>
          <cell r="D3668" t="str">
            <v>OPT-134</v>
          </cell>
          <cell r="E3668">
            <v>39098</v>
          </cell>
          <cell r="F3668" t="str">
            <v>-</v>
          </cell>
          <cell r="G3668" t="str">
            <v>-</v>
          </cell>
          <cell r="H3668" t="str">
            <v>QA</v>
          </cell>
          <cell r="I3668" t="str">
            <v>INSP</v>
          </cell>
          <cell r="J3668" t="str">
            <v>HV TOYOTA</v>
          </cell>
          <cell r="K3668" t="str">
            <v>HV TOYOTA AC</v>
          </cell>
          <cell r="L3668" t="str">
            <v>CV HV 10A</v>
          </cell>
          <cell r="M3668" t="str">
            <v>VISUAL 02</v>
          </cell>
          <cell r="N3668" t="str">
            <v>VISUAL INSPECTION</v>
          </cell>
          <cell r="O3668" t="str">
            <v>B</v>
          </cell>
        </row>
        <row r="3669">
          <cell r="A3669">
            <v>22840</v>
          </cell>
          <cell r="B3669" t="str">
            <v>KHOTIBUL UMAM</v>
          </cell>
          <cell r="C3669" t="str">
            <v>SAMI</v>
          </cell>
          <cell r="D3669" t="str">
            <v>OPT-567</v>
          </cell>
          <cell r="E3669">
            <v>43333</v>
          </cell>
          <cell r="F3669">
            <v>43364</v>
          </cell>
          <cell r="G3669">
            <v>43738</v>
          </cell>
          <cell r="H3669" t="str">
            <v>QA</v>
          </cell>
          <cell r="I3669" t="str">
            <v>INSP</v>
          </cell>
          <cell r="J3669" t="str">
            <v>HV TOYOTA</v>
          </cell>
          <cell r="K3669" t="str">
            <v>HV TOYOTA AC</v>
          </cell>
          <cell r="L3669" t="str">
            <v>CV HV 10A</v>
          </cell>
          <cell r="M3669" t="str">
            <v>SCANNER</v>
          </cell>
          <cell r="N3669" t="str">
            <v>QA APPROVE</v>
          </cell>
          <cell r="O3669" t="str">
            <v>B</v>
          </cell>
        </row>
        <row r="3670">
          <cell r="A3670">
            <v>11723</v>
          </cell>
          <cell r="B3670" t="str">
            <v>KHOERUN NISA</v>
          </cell>
          <cell r="C3670" t="str">
            <v>SAMI</v>
          </cell>
          <cell r="D3670" t="str">
            <v>OPT-308</v>
          </cell>
          <cell r="E3670">
            <v>40714</v>
          </cell>
          <cell r="F3670" t="str">
            <v>-</v>
          </cell>
          <cell r="G3670" t="str">
            <v>-</v>
          </cell>
          <cell r="H3670" t="str">
            <v>QA</v>
          </cell>
          <cell r="I3670" t="str">
            <v>INSP</v>
          </cell>
          <cell r="J3670" t="str">
            <v>HV TOYOTA</v>
          </cell>
          <cell r="K3670" t="str">
            <v>HV TOYOTA AC</v>
          </cell>
          <cell r="L3670" t="str">
            <v>CV HV 10B</v>
          </cell>
          <cell r="M3670" t="str">
            <v>VISUAL 02</v>
          </cell>
          <cell r="N3670" t="str">
            <v>VISUAL INSPECTION</v>
          </cell>
          <cell r="O3670" t="str">
            <v>A</v>
          </cell>
        </row>
        <row r="3671">
          <cell r="A3671">
            <v>12795</v>
          </cell>
          <cell r="B3671" t="str">
            <v>YENI YUNIAWATI</v>
          </cell>
          <cell r="C3671" t="str">
            <v>SAMI</v>
          </cell>
          <cell r="D3671" t="str">
            <v>OPT-320</v>
          </cell>
          <cell r="E3671">
            <v>40819</v>
          </cell>
          <cell r="F3671" t="str">
            <v>-</v>
          </cell>
          <cell r="G3671" t="str">
            <v>-</v>
          </cell>
          <cell r="H3671" t="str">
            <v>QA</v>
          </cell>
          <cell r="I3671" t="str">
            <v>INSP</v>
          </cell>
          <cell r="J3671" t="str">
            <v>HV TOYOTA</v>
          </cell>
          <cell r="K3671" t="str">
            <v>HV TOYOTA AC</v>
          </cell>
          <cell r="L3671" t="str">
            <v>CV HV 10B</v>
          </cell>
          <cell r="M3671" t="str">
            <v>FINAL INSPECTION</v>
          </cell>
          <cell r="N3671" t="str">
            <v>QA APPROVE</v>
          </cell>
          <cell r="O3671" t="str">
            <v>A</v>
          </cell>
        </row>
        <row r="3672">
          <cell r="A3672">
            <v>1079</v>
          </cell>
          <cell r="B3672" t="str">
            <v>JUMIATI</v>
          </cell>
          <cell r="C3672" t="str">
            <v>SAMI</v>
          </cell>
          <cell r="D3672" t="str">
            <v>OPT-27</v>
          </cell>
          <cell r="E3672">
            <v>37887</v>
          </cell>
          <cell r="F3672" t="str">
            <v>-</v>
          </cell>
          <cell r="G3672" t="str">
            <v>-</v>
          </cell>
          <cell r="H3672" t="str">
            <v>QA</v>
          </cell>
          <cell r="I3672" t="str">
            <v>INSP</v>
          </cell>
          <cell r="J3672" t="str">
            <v>HV TOYOTA</v>
          </cell>
          <cell r="K3672" t="str">
            <v>HV TOYOTA AC</v>
          </cell>
          <cell r="L3672" t="str">
            <v>CV HV 10B</v>
          </cell>
          <cell r="M3672" t="str">
            <v>VISUAL 02</v>
          </cell>
          <cell r="N3672" t="str">
            <v>VISUAL INSPECTION</v>
          </cell>
          <cell r="O3672" t="str">
            <v>B</v>
          </cell>
        </row>
        <row r="3673">
          <cell r="A3673">
            <v>10746</v>
          </cell>
          <cell r="B3673" t="str">
            <v>NINA BUDIYATI</v>
          </cell>
          <cell r="C3673" t="str">
            <v>SAMI</v>
          </cell>
          <cell r="D3673" t="str">
            <v>OPT-281</v>
          </cell>
          <cell r="E3673">
            <v>40566</v>
          </cell>
          <cell r="F3673" t="str">
            <v>-</v>
          </cell>
          <cell r="G3673" t="str">
            <v>-</v>
          </cell>
          <cell r="H3673" t="str">
            <v>QA</v>
          </cell>
          <cell r="I3673" t="str">
            <v>INSP</v>
          </cell>
          <cell r="J3673" t="str">
            <v>HV TOYOTA</v>
          </cell>
          <cell r="K3673" t="str">
            <v>HV TOYOTA AC</v>
          </cell>
          <cell r="L3673" t="str">
            <v>CV HV 10B</v>
          </cell>
          <cell r="M3673" t="str">
            <v>FINAL INSPECTION</v>
          </cell>
          <cell r="N3673" t="str">
            <v>QA APPROVE</v>
          </cell>
          <cell r="O3673" t="str">
            <v>B</v>
          </cell>
        </row>
        <row r="3674">
          <cell r="A3674">
            <v>8824</v>
          </cell>
          <cell r="B3674" t="str">
            <v>FARIDAH</v>
          </cell>
          <cell r="C3674" t="str">
            <v>SAMI</v>
          </cell>
          <cell r="D3674" t="str">
            <v>OPT-195</v>
          </cell>
          <cell r="E3674">
            <v>39937</v>
          </cell>
          <cell r="F3674" t="str">
            <v>-</v>
          </cell>
          <cell r="G3674" t="str">
            <v>-</v>
          </cell>
          <cell r="H3674" t="str">
            <v>QA</v>
          </cell>
          <cell r="I3674" t="str">
            <v>INSP</v>
          </cell>
          <cell r="J3674" t="str">
            <v>HONDA BBP</v>
          </cell>
          <cell r="K3674" t="str">
            <v>HV HONDA 5JLA BBP</v>
          </cell>
          <cell r="L3674" t="str">
            <v>CV HV 11</v>
          </cell>
          <cell r="M3674" t="str">
            <v>FINAL INSPECTION</v>
          </cell>
          <cell r="N3674" t="str">
            <v>QA APPROVE</v>
          </cell>
          <cell r="O3674" t="str">
            <v>A (NS)</v>
          </cell>
        </row>
        <row r="3675">
          <cell r="A3675">
            <v>12253</v>
          </cell>
          <cell r="B3675" t="str">
            <v>DESI ARIYANI</v>
          </cell>
          <cell r="C3675" t="str">
            <v>SAMI</v>
          </cell>
          <cell r="D3675" t="str">
            <v>OPT-316</v>
          </cell>
          <cell r="E3675">
            <v>40805</v>
          </cell>
          <cell r="F3675" t="str">
            <v>-</v>
          </cell>
          <cell r="G3675" t="str">
            <v>-</v>
          </cell>
          <cell r="H3675" t="str">
            <v>QA</v>
          </cell>
          <cell r="I3675" t="str">
            <v>INSP</v>
          </cell>
          <cell r="J3675" t="str">
            <v>HONDA BBP</v>
          </cell>
          <cell r="K3675" t="str">
            <v>HV HONDA 5JLA BBP</v>
          </cell>
          <cell r="L3675" t="str">
            <v>CV HV 11</v>
          </cell>
          <cell r="M3675" t="str">
            <v>FINAL INSPECTION</v>
          </cell>
          <cell r="N3675" t="str">
            <v>QA APPROVE</v>
          </cell>
          <cell r="O3675" t="str">
            <v>A (NS)</v>
          </cell>
        </row>
        <row r="3676">
          <cell r="A3676">
            <v>320</v>
          </cell>
          <cell r="B3676" t="str">
            <v>SITI WAHYUNI</v>
          </cell>
          <cell r="C3676" t="str">
            <v>SAMI</v>
          </cell>
          <cell r="D3676" t="str">
            <v>OPT-9</v>
          </cell>
          <cell r="E3676">
            <v>37725</v>
          </cell>
          <cell r="F3676" t="str">
            <v>-</v>
          </cell>
          <cell r="G3676" t="str">
            <v>-</v>
          </cell>
          <cell r="H3676" t="str">
            <v>QA</v>
          </cell>
          <cell r="I3676" t="str">
            <v>INSP</v>
          </cell>
          <cell r="J3676" t="str">
            <v>HV TOYOTA</v>
          </cell>
          <cell r="K3676" t="str">
            <v>HV TOYOTA AC 14PL</v>
          </cell>
          <cell r="L3676" t="str">
            <v>CV HV 12</v>
          </cell>
          <cell r="M3676" t="str">
            <v>HV TESTER , VIS &amp; PACKING</v>
          </cell>
          <cell r="N3676" t="str">
            <v>ELECTRICAL INSPECTION</v>
          </cell>
          <cell r="O3676" t="str">
            <v>A (NS)</v>
          </cell>
        </row>
        <row r="3677">
          <cell r="A3677">
            <v>11433</v>
          </cell>
          <cell r="B3677" t="str">
            <v>FITRI DIAN PERTIWI</v>
          </cell>
          <cell r="C3677" t="str">
            <v>SAMI</v>
          </cell>
          <cell r="D3677" t="str">
            <v>OPT-306</v>
          </cell>
          <cell r="E3677">
            <v>40701</v>
          </cell>
          <cell r="F3677" t="str">
            <v>-</v>
          </cell>
          <cell r="G3677" t="str">
            <v>-</v>
          </cell>
          <cell r="H3677" t="str">
            <v>QA</v>
          </cell>
          <cell r="I3677" t="str">
            <v>INSP</v>
          </cell>
          <cell r="J3677" t="str">
            <v>TOYOTA PRIUS</v>
          </cell>
          <cell r="K3677" t="str">
            <v>HV TOYOTA 690A Li</v>
          </cell>
          <cell r="L3677" t="str">
            <v>CV HV 13A</v>
          </cell>
          <cell r="M3677" t="str">
            <v>FINAL T2</v>
          </cell>
          <cell r="N3677" t="str">
            <v>QA APPROVE</v>
          </cell>
          <cell r="O3677" t="str">
            <v>A</v>
          </cell>
        </row>
        <row r="3678">
          <cell r="A3678">
            <v>11852</v>
          </cell>
          <cell r="B3678" t="str">
            <v>SRI WINDARI</v>
          </cell>
          <cell r="C3678" t="str">
            <v>SAMI</v>
          </cell>
          <cell r="D3678" t="str">
            <v>OPT-309</v>
          </cell>
          <cell r="E3678">
            <v>40721</v>
          </cell>
          <cell r="F3678" t="str">
            <v>-</v>
          </cell>
          <cell r="G3678" t="str">
            <v>-</v>
          </cell>
          <cell r="H3678" t="str">
            <v>QA</v>
          </cell>
          <cell r="I3678" t="str">
            <v>INSP</v>
          </cell>
          <cell r="J3678" t="str">
            <v>TOYOTA PRIUS</v>
          </cell>
          <cell r="K3678" t="str">
            <v>HV TOYOTA 690A Li</v>
          </cell>
          <cell r="L3678" t="str">
            <v>CV HV 13A</v>
          </cell>
          <cell r="M3678" t="str">
            <v>FINAL U2</v>
          </cell>
          <cell r="N3678" t="str">
            <v>QA APPROVE</v>
          </cell>
          <cell r="O3678" t="str">
            <v>A</v>
          </cell>
        </row>
        <row r="3679">
          <cell r="A3679">
            <v>9896</v>
          </cell>
          <cell r="B3679" t="str">
            <v>MEI SETYANINGSIH</v>
          </cell>
          <cell r="C3679" t="str">
            <v>SAMI</v>
          </cell>
          <cell r="D3679" t="str">
            <v>OPT-244</v>
          </cell>
          <cell r="E3679">
            <v>40424</v>
          </cell>
          <cell r="F3679" t="str">
            <v>-</v>
          </cell>
          <cell r="G3679" t="str">
            <v>-</v>
          </cell>
          <cell r="H3679" t="str">
            <v>QA</v>
          </cell>
          <cell r="I3679" t="str">
            <v>INSP</v>
          </cell>
          <cell r="J3679" t="str">
            <v>TOYOTA PRIUS</v>
          </cell>
          <cell r="K3679" t="str">
            <v>HV TOYOTA 690A Li</v>
          </cell>
          <cell r="L3679" t="str">
            <v>CV HV 13A</v>
          </cell>
          <cell r="M3679" t="str">
            <v>FINAL U2</v>
          </cell>
          <cell r="N3679" t="str">
            <v>QA APPROVE</v>
          </cell>
          <cell r="O3679" t="str">
            <v>B</v>
          </cell>
        </row>
        <row r="3680">
          <cell r="A3680">
            <v>11551</v>
          </cell>
          <cell r="B3680" t="str">
            <v>FARIDATUL AULIYAH</v>
          </cell>
          <cell r="C3680" t="str">
            <v>SAMI</v>
          </cell>
          <cell r="D3680" t="str">
            <v>OPT-307</v>
          </cell>
          <cell r="E3680">
            <v>40707</v>
          </cell>
          <cell r="F3680" t="str">
            <v>-</v>
          </cell>
          <cell r="G3680" t="str">
            <v>-</v>
          </cell>
          <cell r="H3680" t="str">
            <v>QA</v>
          </cell>
          <cell r="I3680" t="str">
            <v>INSP</v>
          </cell>
          <cell r="J3680" t="str">
            <v>TOYOTA PRIUS</v>
          </cell>
          <cell r="K3680" t="str">
            <v>HV TOYOTA 690A Li</v>
          </cell>
          <cell r="L3680" t="str">
            <v>CV HV 13A</v>
          </cell>
          <cell r="M3680" t="str">
            <v>FINAL T2</v>
          </cell>
          <cell r="N3680" t="str">
            <v>QA APPROVE</v>
          </cell>
          <cell r="O3680" t="str">
            <v>B</v>
          </cell>
        </row>
        <row r="3681">
          <cell r="A3681">
            <v>13052</v>
          </cell>
          <cell r="B3681" t="str">
            <v>UMI AZIZAH</v>
          </cell>
          <cell r="C3681" t="str">
            <v>SAMI</v>
          </cell>
          <cell r="D3681" t="str">
            <v>OPT-324</v>
          </cell>
          <cell r="E3681">
            <v>40844</v>
          </cell>
          <cell r="F3681" t="str">
            <v>-</v>
          </cell>
          <cell r="G3681" t="str">
            <v>-</v>
          </cell>
          <cell r="H3681" t="str">
            <v>QA</v>
          </cell>
          <cell r="I3681" t="str">
            <v>INSP</v>
          </cell>
          <cell r="J3681" t="str">
            <v>TOYOTA PRIUS</v>
          </cell>
          <cell r="K3681" t="str">
            <v>HV TOYOTA 690A Li</v>
          </cell>
          <cell r="L3681" t="str">
            <v>CV HV 13B</v>
          </cell>
          <cell r="M3681" t="str">
            <v>FINAL T2</v>
          </cell>
          <cell r="N3681" t="str">
            <v>QA APPROVE</v>
          </cell>
          <cell r="O3681" t="str">
            <v>A</v>
          </cell>
        </row>
        <row r="3682">
          <cell r="A3682">
            <v>23183</v>
          </cell>
          <cell r="B3682" t="str">
            <v>MUHAMMAD SYAMSUL MU'ARIF</v>
          </cell>
          <cell r="C3682" t="str">
            <v>SAMI</v>
          </cell>
          <cell r="D3682" t="str">
            <v>OPT-571</v>
          </cell>
          <cell r="E3682">
            <v>43374</v>
          </cell>
          <cell r="F3682">
            <v>43405</v>
          </cell>
          <cell r="G3682">
            <v>43769</v>
          </cell>
          <cell r="H3682" t="str">
            <v>QA</v>
          </cell>
          <cell r="I3682" t="str">
            <v>INSP</v>
          </cell>
          <cell r="J3682" t="str">
            <v>TOYOTA PRIUS</v>
          </cell>
          <cell r="K3682" t="str">
            <v>HV TOYOTA 690A Li</v>
          </cell>
          <cell r="L3682" t="str">
            <v>CV HV 13B</v>
          </cell>
          <cell r="M3682" t="str">
            <v>SCANNER</v>
          </cell>
          <cell r="N3682" t="str">
            <v>QA APPROVE</v>
          </cell>
          <cell r="O3682" t="str">
            <v>A</v>
          </cell>
        </row>
        <row r="3683">
          <cell r="A3683" t="str">
            <v>B01016</v>
          </cell>
          <cell r="B3683" t="str">
            <v>ERNA RISTIOWATI</v>
          </cell>
          <cell r="C3683" t="str">
            <v>SAMI</v>
          </cell>
          <cell r="D3683" t="str">
            <v>OPT-345</v>
          </cell>
          <cell r="E3683">
            <v>41087</v>
          </cell>
          <cell r="F3683" t="str">
            <v>-</v>
          </cell>
          <cell r="G3683" t="str">
            <v>-</v>
          </cell>
          <cell r="H3683" t="str">
            <v>QA</v>
          </cell>
          <cell r="I3683" t="str">
            <v>INSP</v>
          </cell>
          <cell r="J3683" t="str">
            <v>TOYOTA PRIUS</v>
          </cell>
          <cell r="K3683" t="str">
            <v>HV TOYOTA 690A Li</v>
          </cell>
          <cell r="L3683" t="str">
            <v>CV HV 13B</v>
          </cell>
          <cell r="M3683" t="str">
            <v>FINAL U2</v>
          </cell>
          <cell r="N3683" t="str">
            <v>QA APPROVE</v>
          </cell>
          <cell r="O3683" t="str">
            <v>A</v>
          </cell>
        </row>
        <row r="3684">
          <cell r="A3684">
            <v>11106</v>
          </cell>
          <cell r="B3684" t="str">
            <v>DEVI RINJANI</v>
          </cell>
          <cell r="C3684" t="str">
            <v>SAMI</v>
          </cell>
          <cell r="D3684" t="str">
            <v>OPT-290</v>
          </cell>
          <cell r="E3684">
            <v>40603</v>
          </cell>
          <cell r="F3684" t="str">
            <v>-</v>
          </cell>
          <cell r="G3684" t="str">
            <v>-</v>
          </cell>
          <cell r="H3684" t="str">
            <v>QA</v>
          </cell>
          <cell r="I3684" t="str">
            <v>INSP</v>
          </cell>
          <cell r="J3684" t="str">
            <v>TOYOTA PRIUS</v>
          </cell>
          <cell r="K3684" t="str">
            <v>HV TOYOTA 690A Li</v>
          </cell>
          <cell r="L3684" t="str">
            <v>CV HV 13B</v>
          </cell>
          <cell r="M3684" t="str">
            <v>FINAL U2</v>
          </cell>
          <cell r="N3684" t="str">
            <v>QA APPROVE</v>
          </cell>
          <cell r="O3684" t="str">
            <v>B</v>
          </cell>
        </row>
        <row r="3685">
          <cell r="A3685">
            <v>12842</v>
          </cell>
          <cell r="B3685" t="str">
            <v>ANDRI SUPRAPTI</v>
          </cell>
          <cell r="C3685" t="str">
            <v>SAMI</v>
          </cell>
          <cell r="D3685" t="str">
            <v>OPT-322</v>
          </cell>
          <cell r="E3685">
            <v>40833</v>
          </cell>
          <cell r="F3685" t="str">
            <v>-</v>
          </cell>
          <cell r="G3685" t="str">
            <v>-</v>
          </cell>
          <cell r="H3685" t="str">
            <v>QA</v>
          </cell>
          <cell r="I3685" t="str">
            <v>INSP</v>
          </cell>
          <cell r="J3685" t="str">
            <v>TOYOTA PRIUS</v>
          </cell>
          <cell r="K3685" t="str">
            <v>HV TOYOTA 690A Li</v>
          </cell>
          <cell r="L3685" t="str">
            <v>CV HV 13B</v>
          </cell>
          <cell r="M3685" t="str">
            <v>FINAL T2</v>
          </cell>
          <cell r="N3685" t="str">
            <v>QA APPROVE</v>
          </cell>
          <cell r="O3685" t="str">
            <v>B</v>
          </cell>
        </row>
        <row r="3686">
          <cell r="A3686">
            <v>1123</v>
          </cell>
          <cell r="B3686" t="str">
            <v>RITA UTAMI</v>
          </cell>
          <cell r="C3686" t="str">
            <v>SAMI</v>
          </cell>
          <cell r="D3686" t="str">
            <v>OPT-28</v>
          </cell>
          <cell r="E3686">
            <v>37900</v>
          </cell>
          <cell r="F3686" t="str">
            <v>-</v>
          </cell>
          <cell r="G3686" t="str">
            <v>-</v>
          </cell>
          <cell r="H3686" t="str">
            <v>QA</v>
          </cell>
          <cell r="I3686" t="str">
            <v>INSP</v>
          </cell>
          <cell r="J3686" t="str">
            <v>HV TOYOTA</v>
          </cell>
          <cell r="K3686" t="str">
            <v>HV TOYOTA</v>
          </cell>
          <cell r="L3686" t="str">
            <v>CV HV02, HV03, HV06, HV07, HV13</v>
          </cell>
          <cell r="M3686" t="str">
            <v>GL INSPECTION</v>
          </cell>
          <cell r="N3686" t="str">
            <v>GL</v>
          </cell>
          <cell r="O3686" t="str">
            <v>A</v>
          </cell>
        </row>
        <row r="3687">
          <cell r="A3687">
            <v>1301</v>
          </cell>
          <cell r="B3687" t="str">
            <v>CATUR KUMALA DEWI</v>
          </cell>
          <cell r="C3687" t="str">
            <v>SAMI</v>
          </cell>
          <cell r="D3687" t="str">
            <v>OPT-32</v>
          </cell>
          <cell r="E3687">
            <v>37928</v>
          </cell>
          <cell r="F3687" t="str">
            <v>-</v>
          </cell>
          <cell r="G3687" t="str">
            <v>-</v>
          </cell>
          <cell r="H3687" t="str">
            <v>QA</v>
          </cell>
          <cell r="I3687" t="str">
            <v>INSP</v>
          </cell>
          <cell r="J3687" t="str">
            <v>HV TOYOTA</v>
          </cell>
          <cell r="K3687" t="str">
            <v>HV TOYOTA</v>
          </cell>
          <cell r="L3687" t="str">
            <v>CV HV02, HV03, HV06, HV07, HV13</v>
          </cell>
          <cell r="M3687" t="str">
            <v>GL INSPECTION</v>
          </cell>
          <cell r="N3687" t="str">
            <v>GL</v>
          </cell>
          <cell r="O3687" t="str">
            <v>B</v>
          </cell>
        </row>
        <row r="3688">
          <cell r="A3688">
            <v>206</v>
          </cell>
          <cell r="B3688" t="str">
            <v>IRMA TRI WAHYUNINGRUM</v>
          </cell>
          <cell r="C3688" t="str">
            <v>SAMI</v>
          </cell>
          <cell r="D3688" t="str">
            <v>OPT-6</v>
          </cell>
          <cell r="E3688">
            <v>37697</v>
          </cell>
          <cell r="F3688" t="str">
            <v>-</v>
          </cell>
          <cell r="G3688" t="str">
            <v>-</v>
          </cell>
          <cell r="H3688" t="str">
            <v>QA</v>
          </cell>
          <cell r="I3688" t="str">
            <v>INSP</v>
          </cell>
          <cell r="J3688" t="str">
            <v>HV HONDA, HV NISSAN</v>
          </cell>
          <cell r="K3688" t="str">
            <v>HV HONDA, HV NISSAN</v>
          </cell>
          <cell r="L3688" t="str">
            <v>CV HV04, HV05, HV08, HV09, HV10, HV11, HV12</v>
          </cell>
          <cell r="M3688" t="str">
            <v>GL INSPECTION</v>
          </cell>
          <cell r="N3688" t="str">
            <v>GL</v>
          </cell>
          <cell r="O3688" t="str">
            <v>A</v>
          </cell>
        </row>
        <row r="3689">
          <cell r="A3689">
            <v>724</v>
          </cell>
          <cell r="B3689" t="str">
            <v>UMI KHOLIFAH</v>
          </cell>
          <cell r="C3689" t="str">
            <v>SAMI</v>
          </cell>
          <cell r="D3689" t="str">
            <v>OPT-19</v>
          </cell>
          <cell r="E3689">
            <v>37816</v>
          </cell>
          <cell r="F3689" t="str">
            <v>-</v>
          </cell>
          <cell r="G3689" t="str">
            <v>-</v>
          </cell>
          <cell r="H3689" t="str">
            <v>QA</v>
          </cell>
          <cell r="I3689" t="str">
            <v>INSP</v>
          </cell>
          <cell r="J3689" t="str">
            <v>HV HONDA, HV NISSAN</v>
          </cell>
          <cell r="K3689" t="str">
            <v>HV HONDA, HV NISSAN</v>
          </cell>
          <cell r="L3689" t="str">
            <v>CV HV04, HV05, HV08, HV09, HV10, HV11, HV12</v>
          </cell>
          <cell r="M3689" t="str">
            <v>GL INSPECTION</v>
          </cell>
          <cell r="N3689" t="str">
            <v>GL</v>
          </cell>
          <cell r="O3689" t="str">
            <v>B</v>
          </cell>
        </row>
        <row r="3690">
          <cell r="A3690">
            <v>11120</v>
          </cell>
          <cell r="B3690" t="str">
            <v>MUTIAH</v>
          </cell>
          <cell r="C3690" t="str">
            <v>SAMI</v>
          </cell>
          <cell r="D3690" t="str">
            <v>OPT-290</v>
          </cell>
          <cell r="E3690">
            <v>40603</v>
          </cell>
          <cell r="F3690" t="str">
            <v>-</v>
          </cell>
          <cell r="G3690" t="str">
            <v>-</v>
          </cell>
          <cell r="H3690" t="str">
            <v>QA</v>
          </cell>
          <cell r="I3690" t="str">
            <v>INSP</v>
          </cell>
          <cell r="J3690" t="str">
            <v>HV TOYOTA</v>
          </cell>
          <cell r="K3690" t="str">
            <v>HV TOYOTA</v>
          </cell>
          <cell r="L3690" t="str">
            <v>OTHERS ( KM )</v>
          </cell>
          <cell r="M3690" t="str">
            <v>OTHERS ( KM 10PL )</v>
          </cell>
          <cell r="N3690" t="str">
            <v>OTHERS</v>
          </cell>
          <cell r="O3690" t="str">
            <v>A (NS)</v>
          </cell>
        </row>
        <row r="3691">
          <cell r="A3691">
            <v>11757</v>
          </cell>
          <cell r="B3691" t="str">
            <v>NUR HIDAYAH</v>
          </cell>
          <cell r="C3691" t="str">
            <v>SAMI</v>
          </cell>
          <cell r="D3691" t="str">
            <v>OPT-308</v>
          </cell>
          <cell r="E3691">
            <v>40714</v>
          </cell>
          <cell r="F3691" t="str">
            <v>-</v>
          </cell>
          <cell r="G3691" t="str">
            <v>-</v>
          </cell>
          <cell r="H3691" t="str">
            <v>QA</v>
          </cell>
          <cell r="I3691" t="str">
            <v>INSP</v>
          </cell>
          <cell r="J3691" t="str">
            <v>DYNA</v>
          </cell>
          <cell r="K3691" t="str">
            <v>DYNA</v>
          </cell>
          <cell r="L3691" t="str">
            <v>PRE ASSY HINO DYNA</v>
          </cell>
          <cell r="M3691" t="str">
            <v>CROSS SECTION</v>
          </cell>
          <cell r="N3691" t="str">
            <v>CROSS SECT.</v>
          </cell>
          <cell r="O3691" t="str">
            <v>A</v>
          </cell>
        </row>
        <row r="3692">
          <cell r="A3692">
            <v>10946</v>
          </cell>
          <cell r="B3692" t="str">
            <v>PUDJI NOVIYANTI</v>
          </cell>
          <cell r="C3692" t="str">
            <v>SAMI</v>
          </cell>
          <cell r="D3692" t="str">
            <v>OPT-285</v>
          </cell>
          <cell r="E3692">
            <v>40578</v>
          </cell>
          <cell r="F3692" t="str">
            <v>-</v>
          </cell>
          <cell r="G3692" t="str">
            <v>-</v>
          </cell>
          <cell r="H3692" t="str">
            <v>QA</v>
          </cell>
          <cell r="I3692" t="str">
            <v>INSP</v>
          </cell>
          <cell r="J3692" t="str">
            <v>DYNA</v>
          </cell>
          <cell r="K3692" t="str">
            <v>DYNA</v>
          </cell>
          <cell r="L3692" t="str">
            <v>PRE ASSY HINO DYNA</v>
          </cell>
          <cell r="M3692" t="str">
            <v>CROSS SECTION</v>
          </cell>
          <cell r="N3692" t="str">
            <v>CROSS SECT.</v>
          </cell>
          <cell r="O3692" t="str">
            <v>B</v>
          </cell>
        </row>
        <row r="3693">
          <cell r="A3693">
            <v>21800</v>
          </cell>
          <cell r="B3693" t="str">
            <v>SITI RUSLIANA DEWI</v>
          </cell>
          <cell r="C3693" t="str">
            <v>SAMI</v>
          </cell>
          <cell r="D3693" t="str">
            <v>OPT-540</v>
          </cell>
          <cell r="E3693">
            <v>43090</v>
          </cell>
          <cell r="F3693">
            <v>43121</v>
          </cell>
          <cell r="G3693">
            <v>43496</v>
          </cell>
          <cell r="H3693" t="str">
            <v>QA</v>
          </cell>
          <cell r="I3693" t="str">
            <v>INSP</v>
          </cell>
          <cell r="J3693" t="str">
            <v>HONDA EXPORT</v>
          </cell>
          <cell r="K3693" t="str">
            <v>HONDA EXPORT</v>
          </cell>
          <cell r="L3693" t="str">
            <v>PRE ASSY HONDA EXPORT 1</v>
          </cell>
          <cell r="M3693" t="str">
            <v>INSP TENSILE</v>
          </cell>
          <cell r="N3693" t="str">
            <v>TENSILE TEST</v>
          </cell>
          <cell r="O3693" t="str">
            <v>A</v>
          </cell>
        </row>
        <row r="3694">
          <cell r="A3694" t="str">
            <v>B00956</v>
          </cell>
          <cell r="B3694" t="str">
            <v>AYU SILFIANI</v>
          </cell>
          <cell r="C3694" t="str">
            <v>SAMI</v>
          </cell>
          <cell r="D3694" t="str">
            <v>BBF-023</v>
          </cell>
          <cell r="E3694">
            <v>41015</v>
          </cell>
          <cell r="F3694" t="str">
            <v>-</v>
          </cell>
          <cell r="G3694" t="str">
            <v>-</v>
          </cell>
          <cell r="H3694" t="str">
            <v>QA</v>
          </cell>
          <cell r="I3694" t="str">
            <v>INSP</v>
          </cell>
          <cell r="J3694" t="str">
            <v>HONDA EXPORT</v>
          </cell>
          <cell r="K3694" t="str">
            <v>HONDA EXPORT</v>
          </cell>
          <cell r="L3694" t="str">
            <v>PRE ASSY HONDA EXPORT 1</v>
          </cell>
          <cell r="M3694" t="str">
            <v>INSP TENSILE</v>
          </cell>
          <cell r="N3694" t="str">
            <v>TENSILE TEST</v>
          </cell>
          <cell r="O3694" t="str">
            <v>B</v>
          </cell>
        </row>
        <row r="3695">
          <cell r="A3695">
            <v>11084</v>
          </cell>
          <cell r="B3695" t="str">
            <v>SITI NUR FITRIYAH</v>
          </cell>
          <cell r="C3695" t="str">
            <v>SAMI</v>
          </cell>
          <cell r="D3695" t="str">
            <v>OPT-289</v>
          </cell>
          <cell r="E3695">
            <v>40595</v>
          </cell>
          <cell r="F3695" t="str">
            <v>-</v>
          </cell>
          <cell r="G3695" t="str">
            <v>-</v>
          </cell>
          <cell r="H3695" t="str">
            <v>QA</v>
          </cell>
          <cell r="I3695" t="str">
            <v>INSP</v>
          </cell>
          <cell r="J3695" t="str">
            <v>HONDA EXPORT</v>
          </cell>
          <cell r="K3695" t="str">
            <v>HONDA EXPORT</v>
          </cell>
          <cell r="L3695" t="str">
            <v>PRE ASSY HONDA EXPORT 4</v>
          </cell>
          <cell r="M3695" t="str">
            <v>INSP TENSILE</v>
          </cell>
          <cell r="N3695" t="str">
            <v>TENSILE TEST</v>
          </cell>
          <cell r="O3695" t="str">
            <v>A</v>
          </cell>
        </row>
        <row r="3696">
          <cell r="A3696">
            <v>21628</v>
          </cell>
          <cell r="B3696" t="str">
            <v>ULFA ARBA'ATUL HIDAYAH</v>
          </cell>
          <cell r="C3696" t="str">
            <v>SAMI</v>
          </cell>
          <cell r="D3696" t="str">
            <v>OPT-536</v>
          </cell>
          <cell r="E3696">
            <v>43048</v>
          </cell>
          <cell r="F3696">
            <v>43435</v>
          </cell>
          <cell r="G3696">
            <v>43799</v>
          </cell>
          <cell r="H3696" t="str">
            <v>QA</v>
          </cell>
          <cell r="I3696" t="str">
            <v>INSP</v>
          </cell>
          <cell r="J3696" t="str">
            <v>HONDA EXPORT</v>
          </cell>
          <cell r="K3696" t="str">
            <v>HONDA EXPORT</v>
          </cell>
          <cell r="L3696" t="str">
            <v>PRE ASSY HONDA EXPORT 4</v>
          </cell>
          <cell r="M3696" t="str">
            <v>CROSS SECTION</v>
          </cell>
          <cell r="N3696" t="str">
            <v>CROSS SECT.</v>
          </cell>
          <cell r="O3696" t="str">
            <v>A</v>
          </cell>
        </row>
        <row r="3697">
          <cell r="A3697">
            <v>4857</v>
          </cell>
          <cell r="B3697" t="str">
            <v>NUR ASIYAH</v>
          </cell>
          <cell r="C3697" t="str">
            <v>SAMI</v>
          </cell>
          <cell r="D3697" t="str">
            <v>OPT-120</v>
          </cell>
          <cell r="E3697">
            <v>38930</v>
          </cell>
          <cell r="F3697" t="str">
            <v>-</v>
          </cell>
          <cell r="G3697" t="str">
            <v>-</v>
          </cell>
          <cell r="H3697" t="str">
            <v>QA</v>
          </cell>
          <cell r="I3697" t="str">
            <v>INSP</v>
          </cell>
          <cell r="J3697" t="str">
            <v>HONDA EXPORT</v>
          </cell>
          <cell r="K3697" t="str">
            <v>HONDA EXPORT</v>
          </cell>
          <cell r="L3697" t="str">
            <v>PRE ASSY HONDA EXPORT 4</v>
          </cell>
          <cell r="M3697" t="str">
            <v>CROSS SECTION</v>
          </cell>
          <cell r="N3697" t="str">
            <v>CROSS SECT.</v>
          </cell>
          <cell r="O3697" t="str">
            <v>B</v>
          </cell>
        </row>
        <row r="3698">
          <cell r="A3698">
            <v>10094</v>
          </cell>
          <cell r="B3698" t="str">
            <v>JAZIROH</v>
          </cell>
          <cell r="C3698" t="str">
            <v>SAMI</v>
          </cell>
          <cell r="D3698" t="str">
            <v>OPT-248</v>
          </cell>
          <cell r="E3698">
            <v>40444</v>
          </cell>
          <cell r="F3698" t="str">
            <v>-</v>
          </cell>
          <cell r="G3698" t="str">
            <v>-</v>
          </cell>
          <cell r="H3698" t="str">
            <v>QA</v>
          </cell>
          <cell r="I3698" t="str">
            <v>INSP</v>
          </cell>
          <cell r="J3698" t="str">
            <v>HONDA EXPORT</v>
          </cell>
          <cell r="K3698" t="str">
            <v>HONDA EXPORT</v>
          </cell>
          <cell r="L3698" t="str">
            <v>PRE ASSY HONDA EXPORT 4</v>
          </cell>
          <cell r="M3698" t="str">
            <v>INSP TENSILE</v>
          </cell>
          <cell r="N3698" t="str">
            <v>TENSILE TEST</v>
          </cell>
          <cell r="O3698" t="str">
            <v>B</v>
          </cell>
        </row>
        <row r="3699">
          <cell r="A3699">
            <v>12859</v>
          </cell>
          <cell r="B3699" t="str">
            <v>DEWI MARYAM</v>
          </cell>
          <cell r="C3699" t="str">
            <v>SAMI</v>
          </cell>
          <cell r="D3699" t="str">
            <v>OPT-322</v>
          </cell>
          <cell r="E3699">
            <v>40833</v>
          </cell>
          <cell r="F3699" t="str">
            <v>-</v>
          </cell>
          <cell r="G3699" t="str">
            <v>-</v>
          </cell>
          <cell r="H3699" t="str">
            <v>QA</v>
          </cell>
          <cell r="I3699" t="str">
            <v>INSP</v>
          </cell>
          <cell r="J3699" t="str">
            <v>HV HONDA</v>
          </cell>
          <cell r="K3699" t="str">
            <v>HV HONDA 5JL SP</v>
          </cell>
          <cell r="L3699" t="str">
            <v>PRE ASSY HONDA HV</v>
          </cell>
          <cell r="M3699" t="str">
            <v>CROSS SECTION</v>
          </cell>
          <cell r="N3699" t="str">
            <v>CROSS SECT.</v>
          </cell>
          <cell r="O3699" t="str">
            <v>A</v>
          </cell>
        </row>
        <row r="3700">
          <cell r="A3700">
            <v>10194</v>
          </cell>
          <cell r="B3700" t="str">
            <v>NUR PADILAH</v>
          </cell>
          <cell r="C3700" t="str">
            <v>SAMI</v>
          </cell>
          <cell r="D3700" t="str">
            <v>OPT-253</v>
          </cell>
          <cell r="E3700">
            <v>40458</v>
          </cell>
          <cell r="F3700" t="str">
            <v>-</v>
          </cell>
          <cell r="G3700" t="str">
            <v>-</v>
          </cell>
          <cell r="H3700" t="str">
            <v>QA</v>
          </cell>
          <cell r="I3700" t="str">
            <v>INSP</v>
          </cell>
          <cell r="J3700" t="str">
            <v>HV HONDA</v>
          </cell>
          <cell r="K3700" t="str">
            <v>HV HONDA 5JL SP</v>
          </cell>
          <cell r="L3700" t="str">
            <v>PRE ASSY HONDA HV</v>
          </cell>
          <cell r="M3700" t="str">
            <v>CROSS SECTION</v>
          </cell>
          <cell r="N3700" t="str">
            <v>CROSS SECT.</v>
          </cell>
          <cell r="O3700" t="str">
            <v>B</v>
          </cell>
        </row>
        <row r="3701">
          <cell r="A3701">
            <v>958</v>
          </cell>
          <cell r="B3701" t="str">
            <v>RANTI ARISTIYANI</v>
          </cell>
          <cell r="C3701" t="str">
            <v>SAMI</v>
          </cell>
          <cell r="D3701" t="str">
            <v>OPT-24</v>
          </cell>
          <cell r="E3701">
            <v>37865</v>
          </cell>
          <cell r="F3701" t="str">
            <v>-</v>
          </cell>
          <cell r="G3701" t="str">
            <v>-</v>
          </cell>
          <cell r="H3701" t="str">
            <v>QA</v>
          </cell>
          <cell r="I3701" t="str">
            <v>INSP</v>
          </cell>
          <cell r="J3701" t="str">
            <v>MAZDA ATENZA</v>
          </cell>
          <cell r="K3701" t="str">
            <v>MAZDA ATENZA</v>
          </cell>
          <cell r="L3701" t="str">
            <v>PRE ASSY MAZDA ATENZA</v>
          </cell>
          <cell r="M3701" t="str">
            <v>CROSS SECTION</v>
          </cell>
          <cell r="N3701" t="str">
            <v>CROSS SECT.</v>
          </cell>
          <cell r="O3701" t="str">
            <v>A</v>
          </cell>
        </row>
        <row r="3702">
          <cell r="A3702" t="str">
            <v>B00720</v>
          </cell>
          <cell r="B3702" t="str">
            <v>EMA AYUNINGTIAS</v>
          </cell>
          <cell r="C3702" t="str">
            <v>SAMI</v>
          </cell>
          <cell r="D3702" t="str">
            <v>BBF-012</v>
          </cell>
          <cell r="E3702">
            <v>40904</v>
          </cell>
          <cell r="F3702" t="str">
            <v>-</v>
          </cell>
          <cell r="G3702" t="str">
            <v>-</v>
          </cell>
          <cell r="H3702" t="str">
            <v>QA</v>
          </cell>
          <cell r="I3702" t="str">
            <v>INSP</v>
          </cell>
          <cell r="J3702" t="str">
            <v>MAZDA ATENZA</v>
          </cell>
          <cell r="K3702" t="str">
            <v>MAZDA ATENZA</v>
          </cell>
          <cell r="L3702" t="str">
            <v>PRE ASSY MAZDA ATENZA</v>
          </cell>
          <cell r="M3702" t="str">
            <v>INSP TENSILE</v>
          </cell>
          <cell r="N3702" t="str">
            <v>TENSILE TEST</v>
          </cell>
          <cell r="O3702" t="str">
            <v>A</v>
          </cell>
        </row>
        <row r="3703">
          <cell r="A3703">
            <v>11627</v>
          </cell>
          <cell r="B3703" t="str">
            <v>SRI LESTARI</v>
          </cell>
          <cell r="C3703" t="str">
            <v>SAMI</v>
          </cell>
          <cell r="D3703" t="str">
            <v>OPT-307</v>
          </cell>
          <cell r="E3703">
            <v>40707</v>
          </cell>
          <cell r="F3703" t="str">
            <v>-</v>
          </cell>
          <cell r="G3703" t="str">
            <v>-</v>
          </cell>
          <cell r="H3703" t="str">
            <v>QA</v>
          </cell>
          <cell r="I3703" t="str">
            <v>INSP</v>
          </cell>
          <cell r="J3703" t="str">
            <v>MAZDA ATENZA</v>
          </cell>
          <cell r="K3703" t="str">
            <v>MAZDA ATENZA</v>
          </cell>
          <cell r="L3703" t="str">
            <v>PRE ASSY MAZDA ATENZA</v>
          </cell>
          <cell r="M3703" t="str">
            <v>CROSS SECTION</v>
          </cell>
          <cell r="N3703" t="str">
            <v>CROSS SECT.</v>
          </cell>
          <cell r="O3703" t="str">
            <v>B</v>
          </cell>
        </row>
        <row r="3704">
          <cell r="A3704" t="str">
            <v>B00999</v>
          </cell>
          <cell r="B3704" t="str">
            <v>EVA NOVIANTI</v>
          </cell>
          <cell r="C3704" t="str">
            <v>SAMI</v>
          </cell>
          <cell r="D3704" t="str">
            <v>BBF-026</v>
          </cell>
          <cell r="E3704">
            <v>41078</v>
          </cell>
          <cell r="F3704" t="str">
            <v>-</v>
          </cell>
          <cell r="G3704" t="str">
            <v>-</v>
          </cell>
          <cell r="H3704" t="str">
            <v>QA</v>
          </cell>
          <cell r="I3704" t="str">
            <v>INSP</v>
          </cell>
          <cell r="J3704" t="str">
            <v>MAZDA ATENZA</v>
          </cell>
          <cell r="K3704" t="str">
            <v>MAZDA ATENZA</v>
          </cell>
          <cell r="L3704" t="str">
            <v>PRE ASSY MAZDA ATENZA</v>
          </cell>
          <cell r="M3704" t="str">
            <v>INSP TENSILE</v>
          </cell>
          <cell r="N3704" t="str">
            <v>TENSILE TEST</v>
          </cell>
          <cell r="O3704" t="str">
            <v>B</v>
          </cell>
        </row>
        <row r="3705">
          <cell r="A3705" t="str">
            <v>B00164</v>
          </cell>
          <cell r="B3705" t="str">
            <v>SARASWATI RATNA NINGSIH</v>
          </cell>
          <cell r="C3705" t="str">
            <v>SAMI</v>
          </cell>
          <cell r="D3705" t="str">
            <v>BBF-003</v>
          </cell>
          <cell r="E3705">
            <v>40840</v>
          </cell>
          <cell r="F3705" t="str">
            <v>-</v>
          </cell>
          <cell r="G3705" t="str">
            <v>-</v>
          </cell>
          <cell r="H3705" t="str">
            <v>QA</v>
          </cell>
          <cell r="I3705" t="str">
            <v>INSP</v>
          </cell>
          <cell r="J3705" t="str">
            <v>SUZUKI WAGON R</v>
          </cell>
          <cell r="K3705" t="str">
            <v>SUZUKI YW0</v>
          </cell>
          <cell r="L3705" t="str">
            <v>PRE ASSY SUZUKI YW0</v>
          </cell>
          <cell r="M3705" t="str">
            <v>INSP TENSILE</v>
          </cell>
          <cell r="N3705" t="str">
            <v>TENSILE TEST</v>
          </cell>
          <cell r="O3705" t="str">
            <v>A</v>
          </cell>
        </row>
        <row r="3706">
          <cell r="A3706">
            <v>5906</v>
          </cell>
          <cell r="B3706" t="str">
            <v>IKA SARI</v>
          </cell>
          <cell r="C3706" t="str">
            <v>SAMI</v>
          </cell>
          <cell r="D3706" t="str">
            <v>OPT-137</v>
          </cell>
          <cell r="E3706">
            <v>39129</v>
          </cell>
          <cell r="F3706" t="str">
            <v>-</v>
          </cell>
          <cell r="G3706" t="str">
            <v>-</v>
          </cell>
          <cell r="H3706" t="str">
            <v>QA</v>
          </cell>
          <cell r="I3706" t="str">
            <v>INSP</v>
          </cell>
          <cell r="J3706" t="str">
            <v>SUZUKI WAGON R</v>
          </cell>
          <cell r="K3706" t="str">
            <v>SUZUKI YW0</v>
          </cell>
          <cell r="L3706" t="str">
            <v>PRE ASSY SUZUKI YW0</v>
          </cell>
          <cell r="M3706" t="str">
            <v>INSP TENSILE</v>
          </cell>
          <cell r="N3706" t="str">
            <v>TENSILE TEST</v>
          </cell>
          <cell r="O3706" t="str">
            <v>B</v>
          </cell>
        </row>
        <row r="3707">
          <cell r="A3707">
            <v>1099</v>
          </cell>
          <cell r="B3707" t="str">
            <v>AMBAR LIR TIMAS</v>
          </cell>
          <cell r="C3707" t="str">
            <v>SAMI</v>
          </cell>
          <cell r="D3707" t="str">
            <v>OPT-27</v>
          </cell>
          <cell r="E3707">
            <v>37887</v>
          </cell>
          <cell r="F3707" t="str">
            <v>-</v>
          </cell>
          <cell r="G3707" t="str">
            <v>-</v>
          </cell>
          <cell r="H3707" t="str">
            <v>QA</v>
          </cell>
          <cell r="I3707" t="str">
            <v>INSP</v>
          </cell>
          <cell r="J3707" t="str">
            <v>ALL</v>
          </cell>
          <cell r="K3707" t="str">
            <v>ALL</v>
          </cell>
          <cell r="L3707" t="str">
            <v>TENSILE</v>
          </cell>
          <cell r="M3707" t="str">
            <v>GL INSPECTION</v>
          </cell>
          <cell r="N3707" t="str">
            <v>GL</v>
          </cell>
          <cell r="O3707" t="str">
            <v>A</v>
          </cell>
        </row>
        <row r="3708">
          <cell r="A3708">
            <v>628</v>
          </cell>
          <cell r="B3708" t="str">
            <v>ROSA SOFIYARANI</v>
          </cell>
          <cell r="C3708" t="str">
            <v>SAMI</v>
          </cell>
          <cell r="D3708" t="str">
            <v>OPT-16</v>
          </cell>
          <cell r="E3708">
            <v>37781</v>
          </cell>
          <cell r="F3708" t="str">
            <v>-</v>
          </cell>
          <cell r="G3708" t="str">
            <v>-</v>
          </cell>
          <cell r="H3708" t="str">
            <v>QA</v>
          </cell>
          <cell r="I3708" t="str">
            <v>INSP</v>
          </cell>
          <cell r="J3708" t="str">
            <v>ALL</v>
          </cell>
          <cell r="K3708" t="str">
            <v>ALL</v>
          </cell>
          <cell r="L3708" t="str">
            <v>TENSILE</v>
          </cell>
          <cell r="M3708" t="str">
            <v>GL INSPECTION</v>
          </cell>
          <cell r="N3708" t="str">
            <v>GL</v>
          </cell>
          <cell r="O3708" t="str">
            <v>B</v>
          </cell>
        </row>
        <row r="3709">
          <cell r="A3709">
            <v>169</v>
          </cell>
          <cell r="B3709" t="str">
            <v>ELIS SUWARTINI</v>
          </cell>
          <cell r="C3709" t="str">
            <v>SAMI</v>
          </cell>
          <cell r="D3709" t="str">
            <v>OPT-5</v>
          </cell>
          <cell r="E3709">
            <v>37679</v>
          </cell>
          <cell r="F3709" t="str">
            <v>-</v>
          </cell>
          <cell r="G3709" t="str">
            <v>-</v>
          </cell>
          <cell r="H3709" t="str">
            <v>QA</v>
          </cell>
          <cell r="I3709" t="str">
            <v>PPAP</v>
          </cell>
          <cell r="J3709" t="str">
            <v>ALL</v>
          </cell>
          <cell r="K3709" t="str">
            <v>ALL</v>
          </cell>
          <cell r="L3709" t="str">
            <v>PPAP</v>
          </cell>
          <cell r="M3709" t="str">
            <v>HDR - ES TEST</v>
          </cell>
          <cell r="N3709" t="str">
            <v>PPAP</v>
          </cell>
          <cell r="O3709" t="str">
            <v>A</v>
          </cell>
        </row>
        <row r="3710">
          <cell r="A3710">
            <v>1284</v>
          </cell>
          <cell r="B3710" t="str">
            <v>RINI LISTIANINGSIH</v>
          </cell>
          <cell r="C3710" t="str">
            <v>SAMI</v>
          </cell>
          <cell r="D3710" t="str">
            <v>OPT-31</v>
          </cell>
          <cell r="E3710">
            <v>37921</v>
          </cell>
          <cell r="F3710" t="str">
            <v>-</v>
          </cell>
          <cell r="G3710" t="str">
            <v>-</v>
          </cell>
          <cell r="H3710" t="str">
            <v>QA</v>
          </cell>
          <cell r="I3710" t="str">
            <v>PPAP</v>
          </cell>
          <cell r="J3710" t="str">
            <v>ALL</v>
          </cell>
          <cell r="K3710" t="str">
            <v>ALL</v>
          </cell>
          <cell r="L3710" t="str">
            <v>PPAP</v>
          </cell>
          <cell r="M3710" t="str">
            <v>HDR - ES TEST</v>
          </cell>
          <cell r="N3710" t="str">
            <v>PPAP</v>
          </cell>
          <cell r="O3710" t="str">
            <v>A</v>
          </cell>
        </row>
        <row r="3711">
          <cell r="A3711">
            <v>8777</v>
          </cell>
          <cell r="B3711" t="str">
            <v>MITA RATNANINGSIH</v>
          </cell>
          <cell r="C3711" t="str">
            <v>SAMI</v>
          </cell>
          <cell r="D3711" t="str">
            <v>OPT-194</v>
          </cell>
          <cell r="E3711">
            <v>39931</v>
          </cell>
          <cell r="F3711" t="str">
            <v>-</v>
          </cell>
          <cell r="G3711" t="str">
            <v>-</v>
          </cell>
          <cell r="H3711" t="str">
            <v>QA</v>
          </cell>
          <cell r="I3711" t="str">
            <v>PPAP</v>
          </cell>
          <cell r="J3711" t="str">
            <v>ALL</v>
          </cell>
          <cell r="K3711" t="str">
            <v>ALL</v>
          </cell>
          <cell r="L3711" t="str">
            <v>PPAP</v>
          </cell>
          <cell r="M3711" t="str">
            <v>HDR - ES TEST</v>
          </cell>
          <cell r="N3711" t="str">
            <v>PPAP</v>
          </cell>
          <cell r="O3711" t="str">
            <v>A</v>
          </cell>
        </row>
        <row r="3712">
          <cell r="A3712">
            <v>10253</v>
          </cell>
          <cell r="B3712" t="str">
            <v>MUGI HAYUNINGATY</v>
          </cell>
          <cell r="C3712" t="str">
            <v>SAMI</v>
          </cell>
          <cell r="D3712" t="str">
            <v>OPT-261</v>
          </cell>
          <cell r="E3712">
            <v>40497</v>
          </cell>
          <cell r="F3712" t="str">
            <v>-</v>
          </cell>
          <cell r="G3712" t="str">
            <v>-</v>
          </cell>
          <cell r="H3712" t="str">
            <v>QA</v>
          </cell>
          <cell r="I3712" t="str">
            <v>PPAP</v>
          </cell>
          <cell r="J3712" t="str">
            <v>ALL</v>
          </cell>
          <cell r="K3712" t="str">
            <v>ALL</v>
          </cell>
          <cell r="L3712" t="str">
            <v>PPAP</v>
          </cell>
          <cell r="M3712" t="str">
            <v>HDR - ES TEST</v>
          </cell>
          <cell r="N3712" t="str">
            <v>PPAP</v>
          </cell>
          <cell r="O3712" t="str">
            <v>A</v>
          </cell>
        </row>
        <row r="3713">
          <cell r="A3713">
            <v>5269</v>
          </cell>
          <cell r="B3713" t="str">
            <v>SITI ASROFAH</v>
          </cell>
          <cell r="C3713" t="str">
            <v>SAMI</v>
          </cell>
          <cell r="D3713" t="str">
            <v>OPT-125</v>
          </cell>
          <cell r="E3713">
            <v>38961</v>
          </cell>
          <cell r="F3713" t="str">
            <v>-</v>
          </cell>
          <cell r="G3713" t="str">
            <v>-</v>
          </cell>
          <cell r="H3713" t="str">
            <v>QA</v>
          </cell>
          <cell r="I3713" t="str">
            <v>PPAP</v>
          </cell>
          <cell r="J3713" t="str">
            <v>ALL</v>
          </cell>
          <cell r="K3713" t="str">
            <v>ALL</v>
          </cell>
          <cell r="L3713" t="str">
            <v>PPAP</v>
          </cell>
          <cell r="M3713" t="str">
            <v>GL PPAP</v>
          </cell>
          <cell r="N3713" t="str">
            <v>PPAP</v>
          </cell>
          <cell r="O3713" t="str">
            <v>A (NS)</v>
          </cell>
        </row>
        <row r="3714">
          <cell r="A3714">
            <v>14797</v>
          </cell>
          <cell r="B3714" t="str">
            <v>NILA MUNANA</v>
          </cell>
          <cell r="C3714" t="str">
            <v>SAMI</v>
          </cell>
          <cell r="D3714" t="str">
            <v>OPT-378</v>
          </cell>
          <cell r="E3714">
            <v>41400</v>
          </cell>
          <cell r="F3714" t="str">
            <v>-</v>
          </cell>
          <cell r="G3714" t="str">
            <v>-</v>
          </cell>
          <cell r="H3714" t="str">
            <v>QA</v>
          </cell>
          <cell r="I3714" t="str">
            <v>PPAP</v>
          </cell>
          <cell r="J3714" t="str">
            <v>ALL</v>
          </cell>
          <cell r="K3714" t="str">
            <v>ALL</v>
          </cell>
          <cell r="L3714" t="str">
            <v>PPAP</v>
          </cell>
          <cell r="M3714" t="str">
            <v>ADMINISTRATION</v>
          </cell>
          <cell r="N3714" t="str">
            <v>PPAP</v>
          </cell>
          <cell r="O3714" t="str">
            <v>A (NS)</v>
          </cell>
        </row>
        <row r="3715">
          <cell r="A3715">
            <v>66</v>
          </cell>
          <cell r="B3715" t="str">
            <v>NURUL FITRIANI</v>
          </cell>
          <cell r="C3715" t="str">
            <v>SAMI</v>
          </cell>
          <cell r="D3715" t="str">
            <v>OPT-1</v>
          </cell>
          <cell r="E3715">
            <v>37578</v>
          </cell>
          <cell r="F3715" t="str">
            <v>-</v>
          </cell>
          <cell r="G3715" t="str">
            <v>-</v>
          </cell>
          <cell r="H3715" t="str">
            <v>QA</v>
          </cell>
          <cell r="I3715" t="str">
            <v>PPAP</v>
          </cell>
          <cell r="J3715" t="str">
            <v>ALL</v>
          </cell>
          <cell r="K3715" t="str">
            <v>ALL</v>
          </cell>
          <cell r="L3715" t="str">
            <v>PPAP</v>
          </cell>
          <cell r="M3715" t="str">
            <v>HDR - ES TEST</v>
          </cell>
          <cell r="N3715" t="str">
            <v>PPAP</v>
          </cell>
          <cell r="O3715" t="str">
            <v>B</v>
          </cell>
        </row>
        <row r="3716">
          <cell r="A3716">
            <v>424</v>
          </cell>
          <cell r="B3716" t="str">
            <v>MARIYANI</v>
          </cell>
          <cell r="C3716" t="str">
            <v>SAMI</v>
          </cell>
          <cell r="D3716" t="str">
            <v>OPT-11</v>
          </cell>
          <cell r="E3716">
            <v>37739</v>
          </cell>
          <cell r="F3716" t="str">
            <v>-</v>
          </cell>
          <cell r="G3716" t="str">
            <v>-</v>
          </cell>
          <cell r="H3716" t="str">
            <v>QA</v>
          </cell>
          <cell r="I3716" t="str">
            <v>PPAP</v>
          </cell>
          <cell r="J3716" t="str">
            <v>ALL</v>
          </cell>
          <cell r="K3716" t="str">
            <v>ALL</v>
          </cell>
          <cell r="L3716" t="str">
            <v>PPAP</v>
          </cell>
          <cell r="M3716" t="str">
            <v>HDR - ES TEST</v>
          </cell>
          <cell r="N3716" t="str">
            <v>PPAP</v>
          </cell>
          <cell r="O3716" t="str">
            <v>B</v>
          </cell>
        </row>
        <row r="3717">
          <cell r="A3717">
            <v>3725</v>
          </cell>
          <cell r="B3717" t="str">
            <v>SRI RETNO ISTIYANI</v>
          </cell>
          <cell r="C3717" t="str">
            <v>SAMI</v>
          </cell>
          <cell r="D3717" t="str">
            <v>OPT-98</v>
          </cell>
          <cell r="E3717">
            <v>38626</v>
          </cell>
          <cell r="F3717" t="str">
            <v>-</v>
          </cell>
          <cell r="G3717" t="str">
            <v>-</v>
          </cell>
          <cell r="H3717" t="str">
            <v>QA</v>
          </cell>
          <cell r="I3717" t="str">
            <v>PPAP</v>
          </cell>
          <cell r="J3717" t="str">
            <v>ALL</v>
          </cell>
          <cell r="K3717" t="str">
            <v>ALL</v>
          </cell>
          <cell r="L3717" t="str">
            <v>PPAP</v>
          </cell>
          <cell r="M3717" t="str">
            <v>HDR - ES TEST</v>
          </cell>
          <cell r="N3717" t="str">
            <v>PPAP</v>
          </cell>
          <cell r="O3717" t="str">
            <v>B</v>
          </cell>
        </row>
        <row r="3718">
          <cell r="A3718">
            <v>10624</v>
          </cell>
          <cell r="B3718" t="str">
            <v>ENDAH NURLITA SARI</v>
          </cell>
          <cell r="C3718" t="str">
            <v>SAMI</v>
          </cell>
          <cell r="D3718" t="str">
            <v>OPT-278</v>
          </cell>
          <cell r="E3718">
            <v>40549</v>
          </cell>
          <cell r="F3718" t="str">
            <v>-</v>
          </cell>
          <cell r="G3718" t="str">
            <v>-</v>
          </cell>
          <cell r="H3718" t="str">
            <v>QA</v>
          </cell>
          <cell r="I3718" t="str">
            <v>PPAP</v>
          </cell>
          <cell r="J3718" t="str">
            <v>ALL</v>
          </cell>
          <cell r="K3718" t="str">
            <v>ALL</v>
          </cell>
          <cell r="L3718" t="str">
            <v>PPAP</v>
          </cell>
          <cell r="M3718" t="str">
            <v>HDR - ES TEST</v>
          </cell>
          <cell r="N3718" t="str">
            <v>PPAP</v>
          </cell>
          <cell r="O3718" t="str">
            <v>B</v>
          </cell>
        </row>
        <row r="3719">
          <cell r="A3719">
            <v>12615</v>
          </cell>
          <cell r="B3719" t="str">
            <v>IKA FATMAWATI</v>
          </cell>
          <cell r="C3719" t="str">
            <v>SAMI</v>
          </cell>
          <cell r="D3719" t="str">
            <v>OPT-319</v>
          </cell>
          <cell r="E3719">
            <v>40816</v>
          </cell>
          <cell r="F3719" t="str">
            <v>-</v>
          </cell>
          <cell r="G3719" t="str">
            <v>-</v>
          </cell>
          <cell r="H3719" t="str">
            <v>QA</v>
          </cell>
          <cell r="I3719" t="str">
            <v>PPAP</v>
          </cell>
          <cell r="J3719" t="str">
            <v>ALL</v>
          </cell>
          <cell r="K3719" t="str">
            <v>ALL</v>
          </cell>
          <cell r="L3719" t="str">
            <v>PPAP</v>
          </cell>
          <cell r="M3719" t="str">
            <v>HDR - ES TEST</v>
          </cell>
          <cell r="N3719" t="str">
            <v>PPAP</v>
          </cell>
          <cell r="O3719" t="str">
            <v>B</v>
          </cell>
        </row>
        <row r="3720">
          <cell r="A3720">
            <v>13490</v>
          </cell>
          <cell r="B3720" t="str">
            <v>FATIHAH</v>
          </cell>
          <cell r="C3720" t="str">
            <v>SAMI</v>
          </cell>
          <cell r="D3720" t="str">
            <v>OPT-339</v>
          </cell>
          <cell r="E3720">
            <v>40945</v>
          </cell>
          <cell r="F3720" t="str">
            <v>-</v>
          </cell>
          <cell r="G3720" t="str">
            <v>-</v>
          </cell>
          <cell r="H3720" t="str">
            <v>QA</v>
          </cell>
          <cell r="I3720" t="str">
            <v>PPAP</v>
          </cell>
          <cell r="J3720" t="str">
            <v>ALL</v>
          </cell>
          <cell r="K3720" t="str">
            <v>ALL</v>
          </cell>
          <cell r="L3720" t="str">
            <v>PPAP</v>
          </cell>
          <cell r="M3720" t="str">
            <v>HDR - ES TEST</v>
          </cell>
          <cell r="N3720" t="str">
            <v>PPAP</v>
          </cell>
          <cell r="O3720" t="str">
            <v>B</v>
          </cell>
        </row>
        <row r="3721">
          <cell r="A3721">
            <v>394</v>
          </cell>
          <cell r="B3721" t="str">
            <v>SRI PURWANTI</v>
          </cell>
          <cell r="C3721" t="str">
            <v>SAMI</v>
          </cell>
          <cell r="D3721" t="str">
            <v>ADM-3</v>
          </cell>
          <cell r="E3721">
            <v>37732</v>
          </cell>
          <cell r="F3721" t="str">
            <v>-</v>
          </cell>
          <cell r="G3721" t="str">
            <v>-</v>
          </cell>
          <cell r="H3721" t="str">
            <v>QA</v>
          </cell>
          <cell r="I3721" t="str">
            <v>QA ADM</v>
          </cell>
          <cell r="J3721" t="str">
            <v>ALL</v>
          </cell>
          <cell r="K3721" t="str">
            <v>ALL</v>
          </cell>
          <cell r="L3721" t="str">
            <v>QA ADM</v>
          </cell>
          <cell r="M3721" t="str">
            <v>ADMINISTRATION</v>
          </cell>
          <cell r="N3721" t="str">
            <v>QA ADM</v>
          </cell>
          <cell r="O3721" t="str">
            <v>A (NS)</v>
          </cell>
        </row>
        <row r="3722">
          <cell r="A3722">
            <v>5475</v>
          </cell>
          <cell r="B3722" t="str">
            <v>ERMA LATIFAH</v>
          </cell>
          <cell r="C3722" t="str">
            <v>SAMI</v>
          </cell>
          <cell r="D3722" t="str">
            <v>ADM-28</v>
          </cell>
          <cell r="E3722">
            <v>38991</v>
          </cell>
          <cell r="F3722" t="str">
            <v>-</v>
          </cell>
          <cell r="G3722" t="str">
            <v>-</v>
          </cell>
          <cell r="H3722" t="str">
            <v>QA</v>
          </cell>
          <cell r="I3722" t="str">
            <v>QA ADM</v>
          </cell>
          <cell r="J3722" t="str">
            <v>ALL</v>
          </cell>
          <cell r="K3722" t="str">
            <v>ALL</v>
          </cell>
          <cell r="L3722" t="str">
            <v>QA ADM</v>
          </cell>
          <cell r="M3722" t="str">
            <v>ADMINISTRATION</v>
          </cell>
          <cell r="N3722" t="str">
            <v>QA ADM</v>
          </cell>
          <cell r="O3722" t="str">
            <v>A (NS)</v>
          </cell>
        </row>
        <row r="3723">
          <cell r="A3723">
            <v>723</v>
          </cell>
          <cell r="B3723" t="str">
            <v>ATIK KRISTIYANTI</v>
          </cell>
          <cell r="C3723" t="str">
            <v>SAMI</v>
          </cell>
          <cell r="D3723" t="str">
            <v>OPT-19</v>
          </cell>
          <cell r="E3723">
            <v>37816</v>
          </cell>
          <cell r="F3723" t="str">
            <v>-</v>
          </cell>
          <cell r="G3723" t="str">
            <v>-</v>
          </cell>
          <cell r="H3723" t="str">
            <v>QA</v>
          </cell>
          <cell r="I3723" t="str">
            <v>QA LL</v>
          </cell>
          <cell r="J3723" t="str">
            <v>HV TOYOTA</v>
          </cell>
          <cell r="K3723" t="str">
            <v>HV TOYOTA</v>
          </cell>
          <cell r="L3723" t="str">
            <v>QA LL</v>
          </cell>
          <cell r="M3723" t="str">
            <v>LEADER</v>
          </cell>
          <cell r="N3723" t="str">
            <v>FPI LL</v>
          </cell>
          <cell r="O3723" t="str">
            <v>A</v>
          </cell>
        </row>
        <row r="3724">
          <cell r="A3724">
            <v>5510</v>
          </cell>
          <cell r="B3724" t="str">
            <v>SRI MULYANI</v>
          </cell>
          <cell r="C3724" t="str">
            <v>SAMI</v>
          </cell>
          <cell r="D3724" t="str">
            <v>OPT-129</v>
          </cell>
          <cell r="E3724">
            <v>39022</v>
          </cell>
          <cell r="F3724" t="str">
            <v>-</v>
          </cell>
          <cell r="G3724" t="str">
            <v>-</v>
          </cell>
          <cell r="H3724" t="str">
            <v>QA</v>
          </cell>
          <cell r="I3724" t="str">
            <v>QA LL</v>
          </cell>
          <cell r="J3724" t="str">
            <v>SUZUKI WAGON R</v>
          </cell>
          <cell r="K3724" t="str">
            <v>SUZUKI YW0</v>
          </cell>
          <cell r="L3724" t="str">
            <v>QA LL</v>
          </cell>
          <cell r="M3724" t="str">
            <v>LEADER</v>
          </cell>
          <cell r="N3724" t="str">
            <v>FPI LL</v>
          </cell>
          <cell r="O3724" t="str">
            <v>A</v>
          </cell>
        </row>
        <row r="3725">
          <cell r="A3725">
            <v>17683</v>
          </cell>
          <cell r="B3725" t="str">
            <v>KHOLIS HARIADI</v>
          </cell>
          <cell r="C3725" t="str">
            <v>SAMI</v>
          </cell>
          <cell r="D3725" t="str">
            <v>ES-57</v>
          </cell>
          <cell r="E3725">
            <v>41792</v>
          </cell>
          <cell r="F3725" t="str">
            <v>-</v>
          </cell>
          <cell r="G3725" t="str">
            <v>-</v>
          </cell>
          <cell r="H3725" t="str">
            <v>QA</v>
          </cell>
          <cell r="I3725" t="str">
            <v>QA LL</v>
          </cell>
          <cell r="J3725" t="str">
            <v>HONDA EXPORT</v>
          </cell>
          <cell r="K3725" t="str">
            <v>HONDA EXPORT</v>
          </cell>
          <cell r="L3725" t="str">
            <v>QA LL</v>
          </cell>
          <cell r="M3725" t="str">
            <v>LEADER</v>
          </cell>
          <cell r="N3725" t="str">
            <v>FPI LL</v>
          </cell>
          <cell r="O3725" t="str">
            <v>A</v>
          </cell>
        </row>
        <row r="3726">
          <cell r="A3726">
            <v>5825</v>
          </cell>
          <cell r="B3726" t="str">
            <v>SUSANTO</v>
          </cell>
          <cell r="C3726" t="str">
            <v>SAMI</v>
          </cell>
          <cell r="D3726" t="str">
            <v>OPT-135</v>
          </cell>
          <cell r="E3726">
            <v>39114</v>
          </cell>
          <cell r="F3726" t="str">
            <v>-</v>
          </cell>
          <cell r="G3726" t="str">
            <v>-</v>
          </cell>
          <cell r="H3726" t="str">
            <v>QA</v>
          </cell>
          <cell r="I3726" t="str">
            <v>QA LL</v>
          </cell>
          <cell r="J3726" t="str">
            <v>DYNA</v>
          </cell>
          <cell r="K3726" t="str">
            <v>DYNA</v>
          </cell>
          <cell r="L3726" t="str">
            <v>QA LL</v>
          </cell>
          <cell r="M3726" t="str">
            <v>LEADER</v>
          </cell>
          <cell r="N3726" t="str">
            <v>FPI LL</v>
          </cell>
          <cell r="O3726" t="str">
            <v>A (NS)</v>
          </cell>
        </row>
        <row r="3727">
          <cell r="A3727">
            <v>7094</v>
          </cell>
          <cell r="B3727" t="str">
            <v>MUNHAMIR</v>
          </cell>
          <cell r="C3727" t="str">
            <v>SAMI</v>
          </cell>
          <cell r="D3727" t="str">
            <v>OPT-161</v>
          </cell>
          <cell r="E3727">
            <v>39479</v>
          </cell>
          <cell r="F3727" t="str">
            <v>-</v>
          </cell>
          <cell r="G3727" t="str">
            <v>-</v>
          </cell>
          <cell r="H3727" t="str">
            <v>QA</v>
          </cell>
          <cell r="I3727" t="str">
            <v>QA LL</v>
          </cell>
          <cell r="J3727" t="str">
            <v>HONDA EXPORT</v>
          </cell>
          <cell r="K3727" t="str">
            <v>HONDA EXPORT</v>
          </cell>
          <cell r="L3727" t="str">
            <v>QA LL</v>
          </cell>
          <cell r="M3727" t="str">
            <v>LEADER</v>
          </cell>
          <cell r="N3727" t="str">
            <v>FPI LL</v>
          </cell>
          <cell r="O3727" t="str">
            <v>A (NS)</v>
          </cell>
        </row>
        <row r="3728">
          <cell r="A3728">
            <v>228</v>
          </cell>
          <cell r="B3728" t="str">
            <v>YULI FAJAR WATI</v>
          </cell>
          <cell r="C3728" t="str">
            <v>SAMI</v>
          </cell>
          <cell r="D3728" t="str">
            <v>OPT-6</v>
          </cell>
          <cell r="E3728">
            <v>37697</v>
          </cell>
          <cell r="F3728" t="str">
            <v>-</v>
          </cell>
          <cell r="G3728" t="str">
            <v>-</v>
          </cell>
          <cell r="H3728" t="str">
            <v>QA</v>
          </cell>
          <cell r="I3728" t="str">
            <v>QA LL</v>
          </cell>
          <cell r="J3728" t="str">
            <v>HONDA EXPORT</v>
          </cell>
          <cell r="K3728" t="str">
            <v>HONDA EXPORT</v>
          </cell>
          <cell r="L3728" t="str">
            <v>QA LL</v>
          </cell>
          <cell r="M3728" t="str">
            <v>LEADER</v>
          </cell>
          <cell r="N3728" t="str">
            <v>FPI LL</v>
          </cell>
          <cell r="O3728" t="str">
            <v>B</v>
          </cell>
        </row>
        <row r="3729">
          <cell r="A3729">
            <v>243</v>
          </cell>
          <cell r="B3729" t="str">
            <v>TUTUS ANA SUSANTI</v>
          </cell>
          <cell r="C3729" t="str">
            <v>SAMI</v>
          </cell>
          <cell r="D3729" t="str">
            <v>OPT-7</v>
          </cell>
          <cell r="E3729">
            <v>37704</v>
          </cell>
          <cell r="F3729" t="str">
            <v>-</v>
          </cell>
          <cell r="G3729" t="str">
            <v>-</v>
          </cell>
          <cell r="H3729" t="str">
            <v>QA</v>
          </cell>
          <cell r="I3729" t="str">
            <v>QA LL</v>
          </cell>
          <cell r="J3729" t="str">
            <v>HV TOYOTA</v>
          </cell>
          <cell r="K3729" t="str">
            <v>HV TOYOTA</v>
          </cell>
          <cell r="L3729" t="str">
            <v>QA LL</v>
          </cell>
          <cell r="M3729" t="str">
            <v>MAGANG LL</v>
          </cell>
          <cell r="N3729" t="str">
            <v>FPI LL</v>
          </cell>
          <cell r="O3729" t="str">
            <v>B</v>
          </cell>
        </row>
        <row r="3730">
          <cell r="A3730">
            <v>13636</v>
          </cell>
          <cell r="B3730" t="str">
            <v>IRAWAN RAHARDIANTO</v>
          </cell>
          <cell r="C3730" t="str">
            <v>SAMI</v>
          </cell>
          <cell r="D3730" t="str">
            <v>ES-44</v>
          </cell>
          <cell r="E3730">
            <v>41015</v>
          </cell>
          <cell r="F3730" t="str">
            <v>-</v>
          </cell>
          <cell r="G3730" t="str">
            <v>-</v>
          </cell>
          <cell r="H3730" t="str">
            <v>QA</v>
          </cell>
          <cell r="I3730" t="str">
            <v>QA LL</v>
          </cell>
          <cell r="J3730" t="str">
            <v>SUZUKI WAGON R</v>
          </cell>
          <cell r="K3730" t="str">
            <v>SUZUKI YW0</v>
          </cell>
          <cell r="L3730" t="str">
            <v>QA LL</v>
          </cell>
          <cell r="M3730" t="str">
            <v>LEADER</v>
          </cell>
          <cell r="N3730" t="str">
            <v>FPI LL</v>
          </cell>
          <cell r="O3730" t="str">
            <v>B</v>
          </cell>
        </row>
        <row r="3731">
          <cell r="A3731">
            <v>8631</v>
          </cell>
          <cell r="B3731" t="str">
            <v>EKO SETYO PUTRO</v>
          </cell>
          <cell r="C3731" t="str">
            <v>SAMI</v>
          </cell>
          <cell r="D3731" t="str">
            <v>SPV UP</v>
          </cell>
          <cell r="E3731">
            <v>39776</v>
          </cell>
          <cell r="F3731" t="str">
            <v>-</v>
          </cell>
          <cell r="G3731" t="str">
            <v>-</v>
          </cell>
          <cell r="H3731" t="str">
            <v>QA</v>
          </cell>
          <cell r="I3731" t="str">
            <v>QA SPV</v>
          </cell>
          <cell r="J3731" t="str">
            <v>ALL</v>
          </cell>
          <cell r="K3731" t="str">
            <v>ALL</v>
          </cell>
          <cell r="L3731" t="str">
            <v>QA COORD SPV</v>
          </cell>
          <cell r="M3731" t="str">
            <v>COORD SPV QA</v>
          </cell>
          <cell r="N3731" t="str">
            <v>FPS SPV</v>
          </cell>
          <cell r="O3731" t="str">
            <v>A (NS)</v>
          </cell>
        </row>
        <row r="3732">
          <cell r="A3732">
            <v>703</v>
          </cell>
          <cell r="B3732" t="str">
            <v>ARY SUSANTO</v>
          </cell>
          <cell r="C3732" t="str">
            <v>SAMI</v>
          </cell>
          <cell r="D3732" t="str">
            <v>SPV UP</v>
          </cell>
          <cell r="E3732">
            <v>37802</v>
          </cell>
          <cell r="F3732" t="str">
            <v>-</v>
          </cell>
          <cell r="G3732" t="str">
            <v>-</v>
          </cell>
          <cell r="H3732" t="str">
            <v>QA</v>
          </cell>
          <cell r="I3732" t="str">
            <v>QA SPV</v>
          </cell>
          <cell r="J3732" t="str">
            <v>ALL</v>
          </cell>
          <cell r="K3732" t="str">
            <v>ALL</v>
          </cell>
          <cell r="L3732" t="str">
            <v>QA SPV</v>
          </cell>
          <cell r="M3732" t="str">
            <v>SPV SUZUKI WAGON R, SUZUKI HUTSLER, HONDA CR-V, HONDA FREED, HONDA N-WAGON</v>
          </cell>
          <cell r="N3732" t="str">
            <v>FPS SPV</v>
          </cell>
          <cell r="O3732" t="str">
            <v>A (NS)</v>
          </cell>
        </row>
        <row r="3733">
          <cell r="A3733">
            <v>1158</v>
          </cell>
          <cell r="B3733" t="str">
            <v>DARMUJI</v>
          </cell>
          <cell r="C3733" t="str">
            <v>SAMI</v>
          </cell>
          <cell r="D3733" t="str">
            <v>SPV UP</v>
          </cell>
          <cell r="E3733">
            <v>37900</v>
          </cell>
          <cell r="F3733" t="str">
            <v>-</v>
          </cell>
          <cell r="G3733" t="str">
            <v>-</v>
          </cell>
          <cell r="H3733" t="str">
            <v>QA</v>
          </cell>
          <cell r="I3733" t="str">
            <v>QA SPV</v>
          </cell>
          <cell r="J3733" t="str">
            <v>ALL</v>
          </cell>
          <cell r="K3733" t="str">
            <v>ALL</v>
          </cell>
          <cell r="L3733" t="str">
            <v>QA SPV</v>
          </cell>
          <cell r="M3733" t="str">
            <v>SPV QS, DYNA, MAZDA</v>
          </cell>
          <cell r="N3733" t="str">
            <v>FPS SPV</v>
          </cell>
          <cell r="O3733" t="str">
            <v>A (NS)</v>
          </cell>
        </row>
        <row r="3734">
          <cell r="A3734">
            <v>3644</v>
          </cell>
          <cell r="B3734" t="str">
            <v>HENDRIA AYUNITA SAPUTRA</v>
          </cell>
          <cell r="C3734" t="str">
            <v>SAMI</v>
          </cell>
          <cell r="D3734" t="str">
            <v>SPV UP</v>
          </cell>
          <cell r="E3734">
            <v>38285</v>
          </cell>
          <cell r="F3734" t="str">
            <v>-</v>
          </cell>
          <cell r="G3734" t="str">
            <v>-</v>
          </cell>
          <cell r="H3734" t="str">
            <v>QA</v>
          </cell>
          <cell r="I3734" t="str">
            <v>QA SPV</v>
          </cell>
          <cell r="J3734" t="str">
            <v>ALL</v>
          </cell>
          <cell r="K3734" t="str">
            <v>ALL</v>
          </cell>
          <cell r="L3734" t="str">
            <v>QA SPV</v>
          </cell>
          <cell r="M3734" t="str">
            <v>SPV HONDA FIT, VEZEL, GRACE, ACCURA, SOLENOID, BC</v>
          </cell>
          <cell r="N3734" t="str">
            <v>FPS SPV</v>
          </cell>
          <cell r="O3734" t="str">
            <v>A (NS)</v>
          </cell>
        </row>
        <row r="3735">
          <cell r="A3735">
            <v>12027</v>
          </cell>
          <cell r="B3735" t="str">
            <v>AGIL ZHEGA PRASETYA</v>
          </cell>
          <cell r="C3735" t="str">
            <v>SAMI</v>
          </cell>
          <cell r="D3735" t="str">
            <v>SPV UP</v>
          </cell>
          <cell r="E3735">
            <v>40791</v>
          </cell>
          <cell r="F3735" t="str">
            <v>-</v>
          </cell>
          <cell r="G3735" t="str">
            <v>-</v>
          </cell>
          <cell r="H3735" t="str">
            <v>QA</v>
          </cell>
          <cell r="I3735" t="str">
            <v>QA SPV</v>
          </cell>
          <cell r="J3735" t="str">
            <v>ALL</v>
          </cell>
          <cell r="K3735" t="str">
            <v>ALL</v>
          </cell>
          <cell r="L3735" t="str">
            <v>QA SPV</v>
          </cell>
          <cell r="M3735" t="str">
            <v>SPV RCV, ALL HV</v>
          </cell>
          <cell r="N3735" t="str">
            <v>FPS SPV</v>
          </cell>
          <cell r="O3735" t="str">
            <v>A (NS)</v>
          </cell>
        </row>
        <row r="3736">
          <cell r="A3736">
            <v>13027</v>
          </cell>
          <cell r="B3736" t="str">
            <v>KHOMSATUN</v>
          </cell>
          <cell r="C3736" t="str">
            <v>SAMI</v>
          </cell>
          <cell r="D3736" t="str">
            <v>OPT-324</v>
          </cell>
          <cell r="E3736">
            <v>40844</v>
          </cell>
          <cell r="F3736" t="str">
            <v>-</v>
          </cell>
          <cell r="G3736" t="str">
            <v>-</v>
          </cell>
          <cell r="H3736" t="str">
            <v>QA</v>
          </cell>
          <cell r="I3736" t="str">
            <v>QS</v>
          </cell>
          <cell r="J3736" t="str">
            <v>ALL</v>
          </cell>
          <cell r="K3736" t="str">
            <v>ALL</v>
          </cell>
          <cell r="L3736" t="str">
            <v>QS</v>
          </cell>
          <cell r="M3736" t="str">
            <v>ADMINISTRATION</v>
          </cell>
          <cell r="N3736" t="str">
            <v>QS</v>
          </cell>
          <cell r="O3736" t="str">
            <v>A (NS)</v>
          </cell>
        </row>
        <row r="3737">
          <cell r="A3737">
            <v>13604</v>
          </cell>
          <cell r="B3737" t="str">
            <v>ANDI EKO VIRGO S.</v>
          </cell>
          <cell r="C3737" t="str">
            <v>SAMI</v>
          </cell>
          <cell r="D3737" t="str">
            <v>TKN-67</v>
          </cell>
          <cell r="E3737">
            <v>40966</v>
          </cell>
          <cell r="F3737" t="str">
            <v>-</v>
          </cell>
          <cell r="G3737" t="str">
            <v>-</v>
          </cell>
          <cell r="H3737" t="str">
            <v>QA</v>
          </cell>
          <cell r="I3737" t="str">
            <v>QS</v>
          </cell>
          <cell r="J3737" t="str">
            <v>ALL</v>
          </cell>
          <cell r="K3737" t="str">
            <v>ALL</v>
          </cell>
          <cell r="L3737" t="str">
            <v>QS</v>
          </cell>
          <cell r="M3737" t="str">
            <v>ADMINISTRATION</v>
          </cell>
          <cell r="N3737" t="str">
            <v>QS</v>
          </cell>
          <cell r="O3737" t="str">
            <v>A (NS)</v>
          </cell>
        </row>
        <row r="3738">
          <cell r="A3738">
            <v>20693</v>
          </cell>
          <cell r="B3738" t="str">
            <v>VINA SETIYANINGSIH</v>
          </cell>
          <cell r="C3738" t="str">
            <v>SAMI</v>
          </cell>
          <cell r="D3738" t="str">
            <v>ES-73</v>
          </cell>
          <cell r="E3738">
            <v>42642</v>
          </cell>
          <cell r="F3738" t="str">
            <v>-</v>
          </cell>
          <cell r="G3738" t="str">
            <v>-</v>
          </cell>
          <cell r="H3738" t="str">
            <v>QA</v>
          </cell>
          <cell r="I3738" t="str">
            <v>QS</v>
          </cell>
          <cell r="J3738" t="str">
            <v>ALL</v>
          </cell>
          <cell r="K3738" t="str">
            <v>ALL</v>
          </cell>
          <cell r="L3738" t="str">
            <v>QS</v>
          </cell>
          <cell r="M3738" t="str">
            <v>LEADER</v>
          </cell>
          <cell r="N3738" t="str">
            <v>FPS LL</v>
          </cell>
          <cell r="O3738" t="str">
            <v>A (NS)</v>
          </cell>
        </row>
        <row r="3739">
          <cell r="A3739">
            <v>23095</v>
          </cell>
          <cell r="B3739" t="str">
            <v>ANGGIE DEWIE MURNIE</v>
          </cell>
          <cell r="C3739" t="str">
            <v>SAMI</v>
          </cell>
          <cell r="D3739" t="str">
            <v>OPT-570</v>
          </cell>
          <cell r="E3739">
            <v>43369</v>
          </cell>
          <cell r="F3739">
            <v>43399</v>
          </cell>
          <cell r="G3739">
            <v>43769</v>
          </cell>
          <cell r="H3739" t="str">
            <v>QA</v>
          </cell>
          <cell r="I3739" t="str">
            <v>QS</v>
          </cell>
          <cell r="J3739" t="str">
            <v>ALL</v>
          </cell>
          <cell r="K3739" t="str">
            <v>ALL</v>
          </cell>
          <cell r="L3739" t="str">
            <v>QS</v>
          </cell>
          <cell r="M3739" t="str">
            <v>ADMINISTRATION</v>
          </cell>
          <cell r="N3739" t="str">
            <v>QS</v>
          </cell>
          <cell r="O3739" t="str">
            <v>A (NS)</v>
          </cell>
        </row>
        <row r="3740">
          <cell r="A3740" t="str">
            <v>B00577</v>
          </cell>
          <cell r="B3740" t="str">
            <v>GHOFAR ABDUL GANI</v>
          </cell>
          <cell r="C3740" t="str">
            <v>SAMI</v>
          </cell>
          <cell r="D3740" t="str">
            <v>BBF-009</v>
          </cell>
          <cell r="E3740">
            <v>40882</v>
          </cell>
          <cell r="F3740" t="str">
            <v>-</v>
          </cell>
          <cell r="G3740" t="str">
            <v>-</v>
          </cell>
          <cell r="H3740" t="str">
            <v>QA</v>
          </cell>
          <cell r="I3740" t="str">
            <v>QS</v>
          </cell>
          <cell r="J3740" t="str">
            <v>ALL</v>
          </cell>
          <cell r="K3740" t="str">
            <v>ALL</v>
          </cell>
          <cell r="L3740" t="str">
            <v>QS</v>
          </cell>
          <cell r="M3740" t="str">
            <v>ADMINISTRATION</v>
          </cell>
          <cell r="N3740" t="str">
            <v>QS</v>
          </cell>
          <cell r="O3740" t="str">
            <v>A (NS)</v>
          </cell>
        </row>
        <row r="3741">
          <cell r="A3741">
            <v>182</v>
          </cell>
          <cell r="B3741" t="str">
            <v>RETNONINGSIH</v>
          </cell>
          <cell r="C3741" t="str">
            <v>SAMI</v>
          </cell>
          <cell r="D3741" t="str">
            <v>OPT-5</v>
          </cell>
          <cell r="E3741">
            <v>37679</v>
          </cell>
          <cell r="F3741" t="str">
            <v>-</v>
          </cell>
          <cell r="G3741" t="str">
            <v>-</v>
          </cell>
          <cell r="H3741" t="str">
            <v>QA</v>
          </cell>
          <cell r="I3741" t="str">
            <v>RCV</v>
          </cell>
          <cell r="J3741" t="str">
            <v>ALL</v>
          </cell>
          <cell r="K3741" t="str">
            <v>ALL</v>
          </cell>
          <cell r="L3741" t="str">
            <v>RCV - CANDI</v>
          </cell>
          <cell r="M3741" t="str">
            <v>SAMPLING &amp; CHECK 100%</v>
          </cell>
          <cell r="N3741" t="str">
            <v>RCV</v>
          </cell>
          <cell r="O3741" t="str">
            <v>A</v>
          </cell>
        </row>
        <row r="3742">
          <cell r="A3742">
            <v>5789</v>
          </cell>
          <cell r="B3742" t="str">
            <v>NOVITA</v>
          </cell>
          <cell r="C3742" t="str">
            <v>SAMI</v>
          </cell>
          <cell r="D3742" t="str">
            <v>OPT-135</v>
          </cell>
          <cell r="E3742">
            <v>39114</v>
          </cell>
          <cell r="F3742" t="str">
            <v>-</v>
          </cell>
          <cell r="G3742" t="str">
            <v>-</v>
          </cell>
          <cell r="H3742" t="str">
            <v>QA</v>
          </cell>
          <cell r="I3742" t="str">
            <v>RCV</v>
          </cell>
          <cell r="J3742" t="str">
            <v>ALL</v>
          </cell>
          <cell r="K3742" t="str">
            <v>ALL</v>
          </cell>
          <cell r="L3742" t="str">
            <v>RCV - CANDI</v>
          </cell>
          <cell r="M3742" t="str">
            <v>SAMPLING &amp; CHECK 100%</v>
          </cell>
          <cell r="N3742" t="str">
            <v>RCV</v>
          </cell>
          <cell r="O3742" t="str">
            <v>A</v>
          </cell>
        </row>
        <row r="3743">
          <cell r="A3743">
            <v>6140</v>
          </cell>
          <cell r="B3743" t="str">
            <v>HINDUN MEILANI</v>
          </cell>
          <cell r="C3743" t="str">
            <v>SAMI</v>
          </cell>
          <cell r="D3743" t="str">
            <v>OPT-140</v>
          </cell>
          <cell r="E3743">
            <v>39157</v>
          </cell>
          <cell r="F3743" t="str">
            <v>-</v>
          </cell>
          <cell r="G3743" t="str">
            <v>-</v>
          </cell>
          <cell r="H3743" t="str">
            <v>QA</v>
          </cell>
          <cell r="I3743" t="str">
            <v>RCV</v>
          </cell>
          <cell r="J3743" t="str">
            <v>ALL</v>
          </cell>
          <cell r="K3743" t="str">
            <v>ALL</v>
          </cell>
          <cell r="L3743" t="str">
            <v>RCV - CANDI</v>
          </cell>
          <cell r="M3743" t="str">
            <v>SAMPLING &amp; CHECK 100%</v>
          </cell>
          <cell r="N3743" t="str">
            <v>RCV</v>
          </cell>
          <cell r="O3743" t="str">
            <v>A</v>
          </cell>
        </row>
        <row r="3744">
          <cell r="A3744">
            <v>589</v>
          </cell>
          <cell r="B3744" t="str">
            <v>KURNIATI</v>
          </cell>
          <cell r="C3744" t="str">
            <v>SAMI</v>
          </cell>
          <cell r="D3744" t="str">
            <v>ADM-5</v>
          </cell>
          <cell r="E3744">
            <v>37774</v>
          </cell>
          <cell r="F3744" t="str">
            <v>-</v>
          </cell>
          <cell r="G3744" t="str">
            <v>-</v>
          </cell>
          <cell r="H3744" t="str">
            <v>QA</v>
          </cell>
          <cell r="I3744" t="str">
            <v>RCV</v>
          </cell>
          <cell r="J3744" t="str">
            <v>ALL</v>
          </cell>
          <cell r="K3744" t="str">
            <v>ALL</v>
          </cell>
          <cell r="L3744" t="str">
            <v>RCV - CANDI</v>
          </cell>
          <cell r="M3744" t="str">
            <v>ADMINISTRATION</v>
          </cell>
          <cell r="N3744" t="str">
            <v>RCV</v>
          </cell>
          <cell r="O3744" t="str">
            <v>A (NS)</v>
          </cell>
        </row>
        <row r="3745">
          <cell r="A3745">
            <v>1113</v>
          </cell>
          <cell r="B3745" t="str">
            <v>JOKO PAMUNGKAS S.N</v>
          </cell>
          <cell r="C3745" t="str">
            <v>SAMI</v>
          </cell>
          <cell r="D3745" t="str">
            <v>ADM-8</v>
          </cell>
          <cell r="E3745">
            <v>37887</v>
          </cell>
          <cell r="F3745" t="str">
            <v>-</v>
          </cell>
          <cell r="G3745" t="str">
            <v>-</v>
          </cell>
          <cell r="H3745" t="str">
            <v>QA</v>
          </cell>
          <cell r="I3745" t="str">
            <v>RCV</v>
          </cell>
          <cell r="J3745" t="str">
            <v>ALL</v>
          </cell>
          <cell r="K3745" t="str">
            <v>ALL</v>
          </cell>
          <cell r="L3745" t="str">
            <v>RCV - CANDI</v>
          </cell>
          <cell r="M3745" t="str">
            <v>LEADER</v>
          </cell>
          <cell r="N3745" t="str">
            <v>FPS LL</v>
          </cell>
          <cell r="O3745" t="str">
            <v>A (NS)</v>
          </cell>
        </row>
        <row r="3746">
          <cell r="A3746">
            <v>5828</v>
          </cell>
          <cell r="B3746" t="str">
            <v>SUWARNO</v>
          </cell>
          <cell r="C3746" t="str">
            <v>SAMI</v>
          </cell>
          <cell r="D3746" t="str">
            <v>OPT-135</v>
          </cell>
          <cell r="E3746">
            <v>39114</v>
          </cell>
          <cell r="F3746" t="str">
            <v>-</v>
          </cell>
          <cell r="G3746" t="str">
            <v>-</v>
          </cell>
          <cell r="H3746" t="str">
            <v>QA</v>
          </cell>
          <cell r="I3746" t="str">
            <v>RCV</v>
          </cell>
          <cell r="J3746" t="str">
            <v>ALL</v>
          </cell>
          <cell r="K3746" t="str">
            <v>ALL</v>
          </cell>
          <cell r="L3746" t="str">
            <v>RCV - CANDI</v>
          </cell>
          <cell r="M3746" t="str">
            <v>GL RECEIVING</v>
          </cell>
          <cell r="N3746" t="str">
            <v>RCV</v>
          </cell>
          <cell r="O3746" t="str">
            <v>A (NS)</v>
          </cell>
        </row>
        <row r="3747">
          <cell r="A3747">
            <v>9183</v>
          </cell>
          <cell r="B3747" t="str">
            <v>DESTIYA WERDI HASTARI</v>
          </cell>
          <cell r="C3747" t="str">
            <v>SAMI</v>
          </cell>
          <cell r="D3747" t="str">
            <v>OPT-216</v>
          </cell>
          <cell r="E3747">
            <v>40008</v>
          </cell>
          <cell r="F3747" t="str">
            <v>-</v>
          </cell>
          <cell r="G3747" t="str">
            <v>-</v>
          </cell>
          <cell r="H3747" t="str">
            <v>QA</v>
          </cell>
          <cell r="I3747" t="str">
            <v>RCV</v>
          </cell>
          <cell r="J3747" t="str">
            <v>ALL</v>
          </cell>
          <cell r="K3747" t="str">
            <v>ALL</v>
          </cell>
          <cell r="L3747" t="str">
            <v>RCV - CANDI</v>
          </cell>
          <cell r="M3747" t="str">
            <v>SAMPLING &amp; CHECK 100%</v>
          </cell>
          <cell r="N3747" t="str">
            <v>RCV</v>
          </cell>
          <cell r="O3747" t="str">
            <v>B</v>
          </cell>
        </row>
        <row r="3748">
          <cell r="A3748">
            <v>10816</v>
          </cell>
          <cell r="B3748" t="str">
            <v>ZHAWIN NIKMAH</v>
          </cell>
          <cell r="C3748" t="str">
            <v>SAMI</v>
          </cell>
          <cell r="D3748" t="str">
            <v>OPT-282</v>
          </cell>
          <cell r="E3748">
            <v>40567</v>
          </cell>
          <cell r="F3748" t="str">
            <v>-</v>
          </cell>
          <cell r="G3748" t="str">
            <v>-</v>
          </cell>
          <cell r="H3748" t="str">
            <v>QA</v>
          </cell>
          <cell r="I3748" t="str">
            <v>RCV</v>
          </cell>
          <cell r="J3748" t="str">
            <v>ALL</v>
          </cell>
          <cell r="K3748" t="str">
            <v>ALL</v>
          </cell>
          <cell r="L3748" t="str">
            <v>RCV - CANDI</v>
          </cell>
          <cell r="M3748" t="str">
            <v>SAMPLING &amp; CHECK 100%</v>
          </cell>
          <cell r="N3748" t="str">
            <v>RCV</v>
          </cell>
          <cell r="O3748" t="str">
            <v>B</v>
          </cell>
        </row>
        <row r="3749">
          <cell r="A3749">
            <v>12914</v>
          </cell>
          <cell r="B3749" t="str">
            <v>PUTRI TRAPSILO</v>
          </cell>
          <cell r="C3749" t="str">
            <v>SAMI</v>
          </cell>
          <cell r="D3749" t="str">
            <v>OPT-322</v>
          </cell>
          <cell r="E3749">
            <v>40833</v>
          </cell>
          <cell r="F3749" t="str">
            <v>-</v>
          </cell>
          <cell r="G3749" t="str">
            <v>-</v>
          </cell>
          <cell r="H3749" t="str">
            <v>QA</v>
          </cell>
          <cell r="I3749" t="str">
            <v>RCV</v>
          </cell>
          <cell r="J3749" t="str">
            <v>ALL</v>
          </cell>
          <cell r="K3749" t="str">
            <v>ALL</v>
          </cell>
          <cell r="L3749" t="str">
            <v>RCV - CANDI</v>
          </cell>
          <cell r="M3749" t="str">
            <v>SAMPLING &amp; CHECK 100%</v>
          </cell>
          <cell r="N3749" t="str">
            <v>RCV</v>
          </cell>
          <cell r="O3749" t="str">
            <v>B</v>
          </cell>
        </row>
        <row r="3751">
          <cell r="A3751">
            <v>10738</v>
          </cell>
          <cell r="B3751" t="str">
            <v>DWI PUJI LESTARI</v>
          </cell>
          <cell r="C3751" t="str">
            <v>SAMI</v>
          </cell>
          <cell r="D3751" t="str">
            <v>OPT-281</v>
          </cell>
          <cell r="E3751">
            <v>40566</v>
          </cell>
          <cell r="F3751" t="str">
            <v>-</v>
          </cell>
          <cell r="G3751" t="str">
            <v>-</v>
          </cell>
          <cell r="H3751" t="str">
            <v>PRD</v>
          </cell>
          <cell r="I3751" t="str">
            <v>PRD</v>
          </cell>
          <cell r="J3751" t="str">
            <v>ALL</v>
          </cell>
          <cell r="K3751" t="str">
            <v>ALL</v>
          </cell>
          <cell r="L3751" t="str">
            <v>PREGNANT LINE</v>
          </cell>
          <cell r="M3751" t="str">
            <v>INSERT PLUG</v>
          </cell>
          <cell r="N3751" t="str">
            <v>PREGNANT LINE</v>
          </cell>
          <cell r="O3751" t="str">
            <v>A (NS)</v>
          </cell>
        </row>
        <row r="3752">
          <cell r="A3752">
            <v>17879</v>
          </cell>
          <cell r="B3752" t="str">
            <v>PRIMA ARDITYA FITRIANA PUTRI</v>
          </cell>
          <cell r="C3752" t="str">
            <v>SAMI</v>
          </cell>
          <cell r="D3752" t="str">
            <v>SPV UP</v>
          </cell>
          <cell r="E3752">
            <v>41822</v>
          </cell>
          <cell r="F3752" t="str">
            <v>-</v>
          </cell>
          <cell r="G3752" t="str">
            <v>-</v>
          </cell>
          <cell r="H3752" t="str">
            <v>PRD</v>
          </cell>
          <cell r="I3752" t="str">
            <v>PRD SPV</v>
          </cell>
          <cell r="J3752" t="str">
            <v>ALL</v>
          </cell>
          <cell r="K3752" t="str">
            <v>ALL</v>
          </cell>
          <cell r="L3752" t="str">
            <v>SUPERVISOR</v>
          </cell>
          <cell r="M3752" t="str">
            <v>SUPERVISOR</v>
          </cell>
          <cell r="N3752" t="str">
            <v>FPI SPV</v>
          </cell>
          <cell r="O3752" t="str">
            <v>A (NS)</v>
          </cell>
        </row>
        <row r="3753">
          <cell r="A3753">
            <v>21298</v>
          </cell>
          <cell r="B3753" t="str">
            <v>KHUSNIYAH</v>
          </cell>
          <cell r="C3753" t="str">
            <v>SAMI</v>
          </cell>
          <cell r="D3753" t="str">
            <v>OPT-530</v>
          </cell>
          <cell r="E3753">
            <v>43010</v>
          </cell>
          <cell r="F3753">
            <v>43405</v>
          </cell>
          <cell r="G3753">
            <v>43769</v>
          </cell>
          <cell r="H3753" t="str">
            <v>PRD</v>
          </cell>
          <cell r="I3753" t="str">
            <v>PRD</v>
          </cell>
          <cell r="J3753" t="str">
            <v>HONDA FIT</v>
          </cell>
          <cell r="K3753" t="str">
            <v>HONDA FIT SHUTTLE WH L CABIN</v>
          </cell>
          <cell r="L3753" t="str">
            <v>CV 13B</v>
          </cell>
          <cell r="M3753" t="str">
            <v>T/P 2.2</v>
          </cell>
          <cell r="N3753" t="str">
            <v>ASSEMBLY</v>
          </cell>
          <cell r="O3753" t="str">
            <v>B</v>
          </cell>
        </row>
        <row r="3754">
          <cell r="A3754">
            <v>21985</v>
          </cell>
          <cell r="B3754" t="str">
            <v>AYU FATMALA</v>
          </cell>
          <cell r="C3754" t="str">
            <v>SAMI</v>
          </cell>
          <cell r="D3754" t="str">
            <v>OPT-546</v>
          </cell>
          <cell r="E3754">
            <v>43139</v>
          </cell>
          <cell r="F3754">
            <v>43167</v>
          </cell>
          <cell r="G3754">
            <v>43524</v>
          </cell>
          <cell r="H3754" t="str">
            <v>PRD</v>
          </cell>
          <cell r="I3754" t="str">
            <v>PRD</v>
          </cell>
          <cell r="J3754" t="str">
            <v>HV TOYOTA</v>
          </cell>
          <cell r="K3754" t="str">
            <v>HV TOYOTA NIKEL</v>
          </cell>
          <cell r="L3754" t="str">
            <v>CV HV 07A</v>
          </cell>
          <cell r="M3754" t="str">
            <v>VISUAL</v>
          </cell>
          <cell r="N3754" t="str">
            <v>VISUAL INSPECTION</v>
          </cell>
          <cell r="O3754" t="str">
            <v>A</v>
          </cell>
        </row>
        <row r="3755">
          <cell r="A3755">
            <v>22065</v>
          </cell>
          <cell r="B3755" t="str">
            <v>AYU ASRIYATUN</v>
          </cell>
          <cell r="C3755" t="str">
            <v>SAMI</v>
          </cell>
          <cell r="D3755" t="str">
            <v>OPT-548</v>
          </cell>
          <cell r="E3755">
            <v>43150</v>
          </cell>
          <cell r="F3755">
            <v>43178</v>
          </cell>
          <cell r="G3755">
            <v>43555</v>
          </cell>
          <cell r="H3755" t="str">
            <v>PRD</v>
          </cell>
          <cell r="I3755" t="str">
            <v>PRD</v>
          </cell>
          <cell r="J3755" t="str">
            <v>HONDA N-VAN</v>
          </cell>
          <cell r="K3755" t="str">
            <v>HONDA ENGINE ROOM L/R CABIN</v>
          </cell>
          <cell r="L3755" t="str">
            <v>CV B01</v>
          </cell>
          <cell r="M3755" t="str">
            <v>S/T 3</v>
          </cell>
          <cell r="N3755" t="str">
            <v>ASSEMBLY</v>
          </cell>
          <cell r="O3755" t="str">
            <v>B</v>
          </cell>
        </row>
        <row r="3756">
          <cell r="A3756">
            <v>22120</v>
          </cell>
          <cell r="B3756" t="str">
            <v>DESTIANA MIRTHASARI</v>
          </cell>
          <cell r="C3756" t="str">
            <v>SAMI</v>
          </cell>
          <cell r="D3756" t="str">
            <v>OPT-549</v>
          </cell>
          <cell r="E3756">
            <v>43153</v>
          </cell>
          <cell r="F3756">
            <v>43181</v>
          </cell>
          <cell r="G3756">
            <v>43555</v>
          </cell>
          <cell r="H3756" t="str">
            <v>PRD</v>
          </cell>
          <cell r="I3756" t="str">
            <v>PRD</v>
          </cell>
          <cell r="J3756" t="str">
            <v>HONDA N-VAN</v>
          </cell>
          <cell r="K3756" t="str">
            <v>HONDA ENGINE ROOM L/R CABIN</v>
          </cell>
          <cell r="L3756" t="str">
            <v>CV B01</v>
          </cell>
          <cell r="M3756" t="str">
            <v>MATERIAL SUPPLIER</v>
          </cell>
          <cell r="N3756" t="str">
            <v>MATERIAL SUPPLY</v>
          </cell>
          <cell r="O3756" t="str">
            <v>B</v>
          </cell>
        </row>
        <row r="3757">
          <cell r="A3757">
            <v>22803</v>
          </cell>
          <cell r="B3757" t="str">
            <v>AGUS SHIDIQ PRAWOTO</v>
          </cell>
          <cell r="C3757" t="str">
            <v>SAMI</v>
          </cell>
          <cell r="D3757" t="str">
            <v>OPT-567</v>
          </cell>
          <cell r="E3757">
            <v>43333</v>
          </cell>
          <cell r="F3757">
            <v>43364</v>
          </cell>
          <cell r="G3757">
            <v>43738</v>
          </cell>
          <cell r="H3757" t="str">
            <v>PRD</v>
          </cell>
          <cell r="I3757" t="str">
            <v>PRD</v>
          </cell>
          <cell r="J3757" t="str">
            <v>CUTTING TUBE</v>
          </cell>
          <cell r="K3757" t="str">
            <v>CUTTING TUBE</v>
          </cell>
          <cell r="L3757" t="str">
            <v>CUTTING TUBE</v>
          </cell>
          <cell r="M3757" t="str">
            <v>HANDLING TUBE</v>
          </cell>
          <cell r="N3757" t="str">
            <v>P/A CONTROLLER</v>
          </cell>
          <cell r="O3757" t="str">
            <v>B</v>
          </cell>
        </row>
        <row r="3758">
          <cell r="A3758">
            <v>22817</v>
          </cell>
          <cell r="B3758" t="str">
            <v>DARYANTI</v>
          </cell>
          <cell r="C3758" t="str">
            <v>SAMI</v>
          </cell>
          <cell r="D3758" t="str">
            <v>OPT-567</v>
          </cell>
          <cell r="E3758">
            <v>43333</v>
          </cell>
          <cell r="F3758">
            <v>43364</v>
          </cell>
          <cell r="G3758">
            <v>43738</v>
          </cell>
          <cell r="H3758" t="str">
            <v>PRD</v>
          </cell>
          <cell r="I3758" t="str">
            <v>PRD</v>
          </cell>
          <cell r="J3758" t="str">
            <v>MAZDA ATENZA</v>
          </cell>
          <cell r="K3758" t="str">
            <v>MAZDA J71E IPM3</v>
          </cell>
          <cell r="L3758" t="str">
            <v>CV A06</v>
          </cell>
          <cell r="M3758" t="str">
            <v>T/P 5</v>
          </cell>
          <cell r="N3758" t="str">
            <v>ASSEMBLY</v>
          </cell>
          <cell r="O3758" t="str">
            <v>B</v>
          </cell>
        </row>
        <row r="3759">
          <cell r="A3759">
            <v>23079</v>
          </cell>
          <cell r="B3759" t="str">
            <v>SUSI SOFIYANTI</v>
          </cell>
          <cell r="C3759" t="str">
            <v>SAMI</v>
          </cell>
          <cell r="D3759" t="str">
            <v>OPT-569</v>
          </cell>
          <cell r="E3759">
            <v>43361</v>
          </cell>
          <cell r="F3759">
            <v>43391</v>
          </cell>
          <cell r="G3759">
            <v>43769</v>
          </cell>
          <cell r="H3759" t="str">
            <v>PRD</v>
          </cell>
          <cell r="I3759" t="str">
            <v>PRD</v>
          </cell>
          <cell r="J3759" t="str">
            <v>HONDA SOLENOID</v>
          </cell>
          <cell r="K3759" t="str">
            <v>HONDA SOLENOID</v>
          </cell>
          <cell r="L3759" t="str">
            <v>CUTTING HONDA SOLENOID</v>
          </cell>
          <cell r="M3759" t="str">
            <v>AC90-HDS-01</v>
          </cell>
          <cell r="N3759" t="str">
            <v>CUTTING WIRE</v>
          </cell>
          <cell r="O3759" t="str">
            <v>B</v>
          </cell>
        </row>
        <row r="3760">
          <cell r="A3760">
            <v>23317</v>
          </cell>
          <cell r="B3760" t="str">
            <v>INDAH LISTARI</v>
          </cell>
          <cell r="C3760" t="str">
            <v>SAMI</v>
          </cell>
          <cell r="D3760" t="str">
            <v>OPT-574</v>
          </cell>
          <cell r="E3760">
            <v>43427</v>
          </cell>
          <cell r="F3760">
            <v>43457</v>
          </cell>
          <cell r="G3760">
            <v>43830</v>
          </cell>
          <cell r="H3760" t="str">
            <v>PRD</v>
          </cell>
          <cell r="I3760" t="str">
            <v>PRD</v>
          </cell>
          <cell r="J3760" t="str">
            <v>SUZUKI WAGON R</v>
          </cell>
          <cell r="K3760" t="str">
            <v>SUZUKI YW0</v>
          </cell>
          <cell r="L3760" t="str">
            <v>PRE ASSY SUZUKI YW0</v>
          </cell>
          <cell r="M3760" t="str">
            <v>OJT TWS</v>
          </cell>
          <cell r="N3760" t="str">
            <v>INTERNAL TRIAL</v>
          </cell>
          <cell r="O3760" t="str">
            <v>A</v>
          </cell>
        </row>
        <row r="3761">
          <cell r="A3761">
            <v>23451</v>
          </cell>
          <cell r="B3761" t="str">
            <v>PUPUT NOVITASARI</v>
          </cell>
          <cell r="C3761" t="str">
            <v>SAMI</v>
          </cell>
          <cell r="D3761" t="str">
            <v>OPT-575</v>
          </cell>
          <cell r="E3761">
            <v>43434</v>
          </cell>
          <cell r="F3761">
            <v>43464</v>
          </cell>
          <cell r="G3761">
            <v>43830</v>
          </cell>
          <cell r="H3761" t="str">
            <v>PRD</v>
          </cell>
          <cell r="I3761" t="str">
            <v>PRD</v>
          </cell>
          <cell r="J3761" t="str">
            <v>HONDA FIT</v>
          </cell>
          <cell r="K3761" t="str">
            <v>HONDA FIT W/H DOOR (RR L DOOR)</v>
          </cell>
          <cell r="L3761" t="str">
            <v>CV 29A</v>
          </cell>
          <cell r="M3761" t="str">
            <v>OJT</v>
          </cell>
          <cell r="N3761" t="str">
            <v>INTERNAL TRIAL</v>
          </cell>
          <cell r="O3761" t="str">
            <v>B</v>
          </cell>
        </row>
        <row r="3762">
          <cell r="A3762">
            <v>23458</v>
          </cell>
          <cell r="B3762" t="str">
            <v>RISKA AYU MARSELA</v>
          </cell>
          <cell r="C3762" t="str">
            <v>SAMI</v>
          </cell>
          <cell r="D3762" t="str">
            <v>OPT-575</v>
          </cell>
          <cell r="E3762">
            <v>43434</v>
          </cell>
          <cell r="F3762">
            <v>43464</v>
          </cell>
          <cell r="G3762">
            <v>43830</v>
          </cell>
          <cell r="H3762" t="str">
            <v>PRD</v>
          </cell>
          <cell r="I3762" t="str">
            <v>PRD</v>
          </cell>
          <cell r="J3762" t="str">
            <v>HONDA N-VAN</v>
          </cell>
          <cell r="K3762" t="str">
            <v>HONDA ENGINE ROOM L/R CABIN</v>
          </cell>
          <cell r="L3762" t="str">
            <v>CV B01</v>
          </cell>
          <cell r="M3762" t="str">
            <v>OJT ST</v>
          </cell>
          <cell r="N3762" t="str">
            <v>INTERNAL TRIAL</v>
          </cell>
          <cell r="O3762" t="str">
            <v>B</v>
          </cell>
        </row>
        <row r="3763">
          <cell r="A3763">
            <v>23469</v>
          </cell>
          <cell r="B3763" t="str">
            <v>SITI SOLEKHAH</v>
          </cell>
          <cell r="C3763" t="str">
            <v>SAMI</v>
          </cell>
          <cell r="D3763" t="str">
            <v>OPT-575</v>
          </cell>
          <cell r="E3763">
            <v>43434</v>
          </cell>
          <cell r="F3763">
            <v>43464</v>
          </cell>
          <cell r="G3763">
            <v>43830</v>
          </cell>
          <cell r="H3763" t="str">
            <v>PRD</v>
          </cell>
          <cell r="I3763" t="str">
            <v>PRD</v>
          </cell>
          <cell r="J3763" t="str">
            <v>MAZDA ATENZA</v>
          </cell>
          <cell r="K3763" t="str">
            <v>MAZDA J71E IPM3</v>
          </cell>
          <cell r="L3763" t="str">
            <v>CV A06</v>
          </cell>
          <cell r="M3763" t="str">
            <v>OJT</v>
          </cell>
          <cell r="N3763" t="str">
            <v>INTERNAL TRIAL</v>
          </cell>
          <cell r="O3763" t="str">
            <v>B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5"/>
  <sheetViews>
    <sheetView zoomScaleNormal="100" workbookViewId="0">
      <selection activeCell="D23" sqref="D23"/>
    </sheetView>
  </sheetViews>
  <sheetFormatPr defaultRowHeight="15"/>
  <cols>
    <col min="1" max="1" width="9.140625" style="121"/>
    <col min="3" max="3" width="9.140625" style="121"/>
    <col min="4" max="4" width="9.5703125" style="122" bestFit="1" customWidth="1"/>
    <col min="5" max="5" width="9.140625" style="123"/>
    <col min="6" max="6" width="15" style="123" bestFit="1" customWidth="1"/>
    <col min="7" max="7" width="10.42578125" style="123" customWidth="1"/>
    <col min="8" max="8" width="9.7109375" style="124" customWidth="1"/>
    <col min="9" max="9" width="10.5703125" style="125" bestFit="1" customWidth="1"/>
    <col min="10" max="10" width="10.5703125" style="125" customWidth="1"/>
    <col min="11" max="11" width="15" style="126" bestFit="1" customWidth="1"/>
    <col min="12" max="12" width="10.28515625" style="121" customWidth="1"/>
  </cols>
  <sheetData>
    <row r="2" spans="1:12" ht="23.25">
      <c r="A2" s="232" t="s">
        <v>5777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</row>
    <row r="3" spans="1:12" ht="15.75" thickBot="1"/>
    <row r="4" spans="1:12" ht="15.75" thickBot="1">
      <c r="A4" s="233" t="s">
        <v>23</v>
      </c>
      <c r="B4" s="233" t="s">
        <v>5778</v>
      </c>
      <c r="C4" s="233" t="s">
        <v>5779</v>
      </c>
      <c r="D4" s="234" t="s">
        <v>21</v>
      </c>
      <c r="E4" s="234"/>
      <c r="F4" s="234"/>
      <c r="G4" s="235" t="s">
        <v>5780</v>
      </c>
      <c r="H4" s="127"/>
      <c r="I4" s="234" t="s">
        <v>19</v>
      </c>
      <c r="J4" s="234"/>
      <c r="K4" s="237"/>
      <c r="L4" s="227" t="s">
        <v>5780</v>
      </c>
    </row>
    <row r="5" spans="1:12" ht="15.75" thickBot="1">
      <c r="A5" s="233"/>
      <c r="B5" s="233"/>
      <c r="C5" s="233"/>
      <c r="D5" s="128" t="s">
        <v>5769</v>
      </c>
      <c r="E5" s="129" t="s">
        <v>5781</v>
      </c>
      <c r="F5" s="129" t="s">
        <v>5782</v>
      </c>
      <c r="G5" s="236"/>
      <c r="H5" s="130" t="s">
        <v>5779</v>
      </c>
      <c r="I5" s="128" t="s">
        <v>5769</v>
      </c>
      <c r="J5" s="128"/>
      <c r="K5" s="131" t="s">
        <v>5782</v>
      </c>
      <c r="L5" s="228"/>
    </row>
    <row r="6" spans="1:12">
      <c r="A6" s="132">
        <v>1</v>
      </c>
      <c r="B6" s="133" t="s">
        <v>5783</v>
      </c>
      <c r="C6" s="117">
        <v>33</v>
      </c>
      <c r="D6" s="134">
        <v>6810</v>
      </c>
      <c r="E6" s="135">
        <v>3295</v>
      </c>
      <c r="F6" s="136">
        <v>22438950</v>
      </c>
      <c r="G6" s="137">
        <f>D6/C6</f>
        <v>206.36363636363637</v>
      </c>
      <c r="H6" s="137">
        <v>29</v>
      </c>
      <c r="I6" s="138">
        <v>30746</v>
      </c>
      <c r="J6" s="139">
        <v>1575</v>
      </c>
      <c r="K6" s="140">
        <v>48424950</v>
      </c>
      <c r="L6" s="141">
        <f>+I6/H6</f>
        <v>1060.2068965517242</v>
      </c>
    </row>
    <row r="7" spans="1:12">
      <c r="A7" s="142">
        <v>2</v>
      </c>
      <c r="B7" s="115" t="s">
        <v>5784</v>
      </c>
      <c r="C7" s="143">
        <v>24</v>
      </c>
      <c r="D7" s="144">
        <v>4453</v>
      </c>
      <c r="E7" s="145">
        <v>3295</v>
      </c>
      <c r="F7" s="145">
        <v>14672635</v>
      </c>
      <c r="G7" s="137">
        <f t="shared" ref="G7:G17" si="0">D7/C7</f>
        <v>185.54166666666666</v>
      </c>
      <c r="H7" s="146">
        <v>19</v>
      </c>
      <c r="I7" s="147">
        <v>22403</v>
      </c>
      <c r="J7" s="148">
        <v>1575</v>
      </c>
      <c r="K7" s="149">
        <v>35284725</v>
      </c>
      <c r="L7" s="146">
        <f t="shared" ref="L7:L17" si="1">+I7/H7</f>
        <v>1179.1052631578948</v>
      </c>
    </row>
    <row r="8" spans="1:12">
      <c r="A8" s="142">
        <v>3</v>
      </c>
      <c r="B8" s="115" t="s">
        <v>5785</v>
      </c>
      <c r="C8" s="143">
        <v>26</v>
      </c>
      <c r="D8" s="144">
        <v>7012</v>
      </c>
      <c r="E8" s="145">
        <v>3295</v>
      </c>
      <c r="F8" s="145">
        <v>23104540</v>
      </c>
      <c r="G8" s="137">
        <f t="shared" si="0"/>
        <v>269.69230769230768</v>
      </c>
      <c r="H8" s="146">
        <v>24</v>
      </c>
      <c r="I8" s="147">
        <v>27057</v>
      </c>
      <c r="J8" s="148">
        <v>1575</v>
      </c>
      <c r="K8" s="149">
        <v>42614775</v>
      </c>
      <c r="L8" s="146">
        <f t="shared" si="1"/>
        <v>1127.375</v>
      </c>
    </row>
    <row r="9" spans="1:12">
      <c r="A9" s="142">
        <v>4</v>
      </c>
      <c r="B9" s="115" t="s">
        <v>5786</v>
      </c>
      <c r="C9" s="143">
        <v>30</v>
      </c>
      <c r="D9" s="144">
        <v>6427</v>
      </c>
      <c r="E9" s="145">
        <v>3295</v>
      </c>
      <c r="F9" s="145">
        <v>21176965</v>
      </c>
      <c r="G9" s="137">
        <f t="shared" si="0"/>
        <v>214.23333333333332</v>
      </c>
      <c r="H9" s="146">
        <v>29</v>
      </c>
      <c r="I9" s="147">
        <v>32467</v>
      </c>
      <c r="J9" s="148">
        <v>1575</v>
      </c>
      <c r="K9" s="149">
        <v>51135525</v>
      </c>
      <c r="L9" s="146">
        <f t="shared" si="1"/>
        <v>1119.5517241379309</v>
      </c>
    </row>
    <row r="10" spans="1:12">
      <c r="A10" s="142">
        <v>5</v>
      </c>
      <c r="B10" s="115" t="s">
        <v>5787</v>
      </c>
      <c r="C10" s="143">
        <v>24</v>
      </c>
      <c r="D10" s="144">
        <v>5340</v>
      </c>
      <c r="E10" s="145">
        <v>3295</v>
      </c>
      <c r="F10" s="145">
        <v>17595300</v>
      </c>
      <c r="G10" s="137">
        <f t="shared" si="0"/>
        <v>222.5</v>
      </c>
      <c r="H10" s="146">
        <v>22</v>
      </c>
      <c r="I10" s="147">
        <v>25815</v>
      </c>
      <c r="J10" s="148">
        <v>1575</v>
      </c>
      <c r="K10" s="149">
        <v>40658628</v>
      </c>
      <c r="L10" s="146">
        <f t="shared" si="1"/>
        <v>1173.409090909091</v>
      </c>
    </row>
    <row r="11" spans="1:12">
      <c r="A11" s="142">
        <v>6</v>
      </c>
      <c r="B11" s="115" t="s">
        <v>5788</v>
      </c>
      <c r="C11" s="143">
        <v>25</v>
      </c>
      <c r="D11" s="144">
        <v>5666</v>
      </c>
      <c r="E11" s="145">
        <v>3295</v>
      </c>
      <c r="F11" s="145">
        <v>18669470</v>
      </c>
      <c r="G11" s="137">
        <f t="shared" si="0"/>
        <v>226.64</v>
      </c>
      <c r="H11" s="146">
        <v>24</v>
      </c>
      <c r="I11" s="147">
        <v>26073</v>
      </c>
      <c r="J11" s="148">
        <v>1575</v>
      </c>
      <c r="K11" s="149">
        <v>41064975</v>
      </c>
      <c r="L11" s="146">
        <f t="shared" si="1"/>
        <v>1086.375</v>
      </c>
    </row>
    <row r="12" spans="1:12">
      <c r="A12" s="150">
        <v>7</v>
      </c>
      <c r="B12" s="151" t="s">
        <v>5789</v>
      </c>
      <c r="C12" s="116">
        <v>24</v>
      </c>
      <c r="D12" s="152">
        <v>6091</v>
      </c>
      <c r="E12" s="153">
        <v>3295</v>
      </c>
      <c r="F12" s="153">
        <v>20069845</v>
      </c>
      <c r="G12" s="137">
        <f t="shared" si="0"/>
        <v>253.79166666666666</v>
      </c>
      <c r="H12" s="154">
        <v>21</v>
      </c>
      <c r="I12" s="155">
        <v>23681</v>
      </c>
      <c r="J12" s="156">
        <v>1575</v>
      </c>
      <c r="K12" s="157">
        <v>37297575</v>
      </c>
      <c r="L12" s="146">
        <f t="shared" si="1"/>
        <v>1127.6666666666667</v>
      </c>
    </row>
    <row r="13" spans="1:12">
      <c r="A13" s="132">
        <v>8</v>
      </c>
      <c r="B13" s="151" t="s">
        <v>5790</v>
      </c>
      <c r="C13" s="116">
        <v>24</v>
      </c>
      <c r="D13" s="152">
        <v>5556</v>
      </c>
      <c r="E13" s="153">
        <v>3295</v>
      </c>
      <c r="F13" s="153">
        <f>D13*E13</f>
        <v>18307020</v>
      </c>
      <c r="G13" s="137">
        <f t="shared" si="0"/>
        <v>231.5</v>
      </c>
      <c r="H13" s="154">
        <v>22</v>
      </c>
      <c r="I13" s="155">
        <v>24601</v>
      </c>
      <c r="J13" s="156">
        <v>1575</v>
      </c>
      <c r="K13" s="157">
        <f>I13*J13</f>
        <v>38746575</v>
      </c>
      <c r="L13" s="146">
        <f t="shared" si="1"/>
        <v>1118.2272727272727</v>
      </c>
    </row>
    <row r="14" spans="1:12">
      <c r="A14" s="142">
        <v>9</v>
      </c>
      <c r="B14" s="151" t="s">
        <v>5791</v>
      </c>
      <c r="C14" s="116">
        <v>30</v>
      </c>
      <c r="D14" s="152">
        <v>6765</v>
      </c>
      <c r="E14" s="153">
        <v>3295</v>
      </c>
      <c r="F14" s="153">
        <f>D14*E14</f>
        <v>22290675</v>
      </c>
      <c r="G14" s="137">
        <f t="shared" si="0"/>
        <v>225.5</v>
      </c>
      <c r="H14" s="154">
        <v>25</v>
      </c>
      <c r="I14" s="155">
        <v>31031</v>
      </c>
      <c r="J14" s="156">
        <v>1575</v>
      </c>
      <c r="K14" s="157">
        <f>J14*I14</f>
        <v>48873825</v>
      </c>
      <c r="L14" s="146">
        <f t="shared" si="1"/>
        <v>1241.24</v>
      </c>
    </row>
    <row r="15" spans="1:12">
      <c r="A15" s="142">
        <v>10</v>
      </c>
      <c r="B15" s="151" t="s">
        <v>5792</v>
      </c>
      <c r="C15" s="116">
        <v>23</v>
      </c>
      <c r="D15" s="152">
        <v>10577</v>
      </c>
      <c r="E15" s="153">
        <v>3295</v>
      </c>
      <c r="F15" s="153">
        <f>D15*E15</f>
        <v>34851215</v>
      </c>
      <c r="G15" s="137">
        <f t="shared" si="0"/>
        <v>459.86956521739131</v>
      </c>
      <c r="H15" s="154">
        <v>20</v>
      </c>
      <c r="I15" s="155">
        <v>20656</v>
      </c>
      <c r="J15" s="156">
        <v>1575</v>
      </c>
      <c r="K15" s="157">
        <f>J15*I15</f>
        <v>32533200</v>
      </c>
      <c r="L15" s="146">
        <f t="shared" si="1"/>
        <v>1032.8</v>
      </c>
    </row>
    <row r="16" spans="1:12">
      <c r="A16" s="142">
        <v>11</v>
      </c>
      <c r="B16" s="151" t="s">
        <v>5793</v>
      </c>
      <c r="C16" s="116">
        <v>19</v>
      </c>
      <c r="D16" s="152">
        <v>13320</v>
      </c>
      <c r="E16" s="153">
        <v>3295</v>
      </c>
      <c r="F16" s="153">
        <f t="shared" ref="F16:F17" si="2">D16*E16</f>
        <v>43889400</v>
      </c>
      <c r="G16" s="137">
        <f t="shared" si="0"/>
        <v>701.0526315789474</v>
      </c>
      <c r="H16" s="154">
        <v>14</v>
      </c>
      <c r="I16" s="155">
        <v>11625</v>
      </c>
      <c r="J16" s="156">
        <v>1575</v>
      </c>
      <c r="K16" s="157">
        <f t="shared" ref="K16:K17" si="3">J16*I16</f>
        <v>18309375</v>
      </c>
      <c r="L16" s="146">
        <f t="shared" si="1"/>
        <v>830.35714285714289</v>
      </c>
    </row>
    <row r="17" spans="1:12">
      <c r="A17" s="142">
        <v>12</v>
      </c>
      <c r="B17" s="151" t="s">
        <v>5794</v>
      </c>
      <c r="C17" s="116">
        <v>19</v>
      </c>
      <c r="D17" s="152">
        <v>3834</v>
      </c>
      <c r="E17" s="153">
        <v>3295</v>
      </c>
      <c r="F17" s="153">
        <f t="shared" si="2"/>
        <v>12633030</v>
      </c>
      <c r="G17" s="137">
        <f t="shared" si="0"/>
        <v>201.78947368421052</v>
      </c>
      <c r="H17" s="154">
        <v>19</v>
      </c>
      <c r="I17" s="155">
        <v>16161</v>
      </c>
      <c r="J17" s="156">
        <v>1575</v>
      </c>
      <c r="K17" s="157">
        <f t="shared" si="3"/>
        <v>25453575</v>
      </c>
      <c r="L17" s="146">
        <f t="shared" si="1"/>
        <v>850.57894736842104</v>
      </c>
    </row>
    <row r="18" spans="1:12" ht="15.75" thickBot="1">
      <c r="A18" s="229" t="s">
        <v>5775</v>
      </c>
      <c r="B18" s="230"/>
      <c r="C18" s="158">
        <f>SUM(C6:C17)</f>
        <v>301</v>
      </c>
      <c r="D18" s="159">
        <f>SUM(D6:D17)</f>
        <v>81851</v>
      </c>
      <c r="E18" s="160"/>
      <c r="F18" s="160">
        <f>SUM(F6:F17)</f>
        <v>269699045</v>
      </c>
      <c r="G18" s="160"/>
      <c r="H18" s="161">
        <f>SUM(H6:H17)</f>
        <v>268</v>
      </c>
      <c r="I18" s="159">
        <f>SUM(I6:I17)</f>
        <v>292316</v>
      </c>
      <c r="J18" s="159"/>
      <c r="K18" s="162">
        <f>SUM(K6:K17)</f>
        <v>460397703</v>
      </c>
      <c r="L18" s="143"/>
    </row>
    <row r="19" spans="1:12" ht="15.75" thickBot="1"/>
    <row r="20" spans="1:12" ht="15.75" thickBot="1">
      <c r="B20" s="231" t="s">
        <v>5795</v>
      </c>
      <c r="C20" s="231"/>
      <c r="D20" s="231"/>
      <c r="G20" s="127">
        <f>AVERAGE(G6:G17)</f>
        <v>283.20619010026331</v>
      </c>
      <c r="I20" s="163"/>
      <c r="L20" s="127">
        <f>AVERAGE(L6:L17)</f>
        <v>1078.9077503646788</v>
      </c>
    </row>
    <row r="22" spans="1:12">
      <c r="D22" s="122">
        <f>81851/12</f>
        <v>6820.916666666667</v>
      </c>
    </row>
    <row r="25" spans="1:12">
      <c r="L25" s="164"/>
    </row>
  </sheetData>
  <mergeCells count="10">
    <mergeCell ref="L4:L5"/>
    <mergeCell ref="A18:B18"/>
    <mergeCell ref="B20:D20"/>
    <mergeCell ref="A2:K2"/>
    <mergeCell ref="A4:A5"/>
    <mergeCell ref="B4:B5"/>
    <mergeCell ref="C4:C5"/>
    <mergeCell ref="D4:F4"/>
    <mergeCell ref="G4:G5"/>
    <mergeCell ref="I4:K4"/>
  </mergeCells>
  <printOptions horizontalCentered="1"/>
  <pageMargins left="0.7" right="0.7" top="0.75" bottom="0.75" header="0.3" footer="0.3"/>
  <pageSetup scale="9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5"/>
  <sheetViews>
    <sheetView topLeftCell="A22" zoomScaleNormal="100" workbookViewId="0">
      <selection activeCell="G36" sqref="G36:G42"/>
    </sheetView>
  </sheetViews>
  <sheetFormatPr defaultRowHeight="12.75"/>
  <cols>
    <col min="1" max="1" width="1.7109375" style="90" customWidth="1"/>
    <col min="2" max="2" width="22.7109375" style="95" customWidth="1"/>
    <col min="3" max="3" width="15.7109375" style="95" customWidth="1"/>
    <col min="4" max="4" width="8.7109375" style="96" customWidth="1"/>
    <col min="5" max="5" width="12.7109375" style="97" customWidth="1"/>
    <col min="6" max="6" width="10.7109375" style="100" customWidth="1"/>
    <col min="7" max="7" width="10.7109375" style="101" customWidth="1"/>
    <col min="8" max="8" width="12.7109375" style="98" customWidth="1"/>
    <col min="9" max="9" width="17.7109375" style="98" customWidth="1"/>
    <col min="10" max="10" width="20.7109375" style="102" customWidth="1"/>
    <col min="11" max="11" width="5.7109375" style="90" customWidth="1"/>
    <col min="12" max="16384" width="9.140625" style="90"/>
  </cols>
  <sheetData>
    <row r="1" spans="2:10" ht="20.100000000000001" customHeight="1">
      <c r="B1" s="99" t="s">
        <v>18</v>
      </c>
    </row>
    <row r="2" spans="2:10" ht="20.100000000000001" customHeight="1">
      <c r="B2" s="103" t="s">
        <v>20</v>
      </c>
    </row>
    <row r="3" spans="2:10" ht="30" customHeight="1">
      <c r="B3" s="255" t="s">
        <v>5770</v>
      </c>
      <c r="C3" s="255"/>
      <c r="D3" s="255"/>
      <c r="E3" s="255"/>
      <c r="F3" s="255"/>
      <c r="G3" s="255"/>
      <c r="H3" s="255"/>
      <c r="I3" s="255"/>
      <c r="J3" s="255"/>
    </row>
    <row r="4" spans="2:10" ht="20.100000000000001" customHeight="1">
      <c r="B4" s="111"/>
      <c r="C4" s="111"/>
      <c r="D4" s="111"/>
      <c r="E4" s="111"/>
      <c r="F4" s="111"/>
      <c r="G4" s="111"/>
      <c r="H4" s="111"/>
      <c r="I4" s="111"/>
      <c r="J4" s="111"/>
    </row>
    <row r="5" spans="2:10" ht="20.100000000000001" customHeight="1">
      <c r="B5" s="256" t="s">
        <v>5758</v>
      </c>
      <c r="C5" s="256"/>
      <c r="D5" s="256"/>
      <c r="E5" s="256"/>
      <c r="F5" s="256"/>
      <c r="G5" s="256"/>
      <c r="H5" s="256"/>
      <c r="I5" s="256"/>
      <c r="J5" s="256"/>
    </row>
    <row r="6" spans="2:10" ht="20.100000000000001" customHeight="1">
      <c r="B6" s="256" t="s">
        <v>22</v>
      </c>
      <c r="C6" s="256"/>
      <c r="D6" s="256"/>
      <c r="E6" s="256"/>
      <c r="F6" s="256"/>
      <c r="G6" s="256"/>
      <c r="H6" s="256"/>
      <c r="I6" s="256"/>
      <c r="J6" s="256"/>
    </row>
    <row r="7" spans="2:10" s="104" customFormat="1" ht="24.95" customHeight="1">
      <c r="B7" s="257" t="s">
        <v>13</v>
      </c>
      <c r="C7" s="257" t="s">
        <v>14</v>
      </c>
      <c r="D7" s="258" t="s">
        <v>1</v>
      </c>
      <c r="E7" s="258" t="s">
        <v>0</v>
      </c>
      <c r="F7" s="259" t="s">
        <v>11</v>
      </c>
      <c r="G7" s="259"/>
      <c r="H7" s="259"/>
      <c r="I7" s="259"/>
      <c r="J7" s="257" t="s">
        <v>15</v>
      </c>
    </row>
    <row r="8" spans="2:10" s="104" customFormat="1" ht="24.95" customHeight="1">
      <c r="B8" s="257"/>
      <c r="C8" s="257"/>
      <c r="D8" s="258"/>
      <c r="E8" s="258"/>
      <c r="F8" s="112" t="s">
        <v>12</v>
      </c>
      <c r="G8" s="112" t="s">
        <v>16</v>
      </c>
      <c r="H8" s="106" t="s">
        <v>9</v>
      </c>
      <c r="I8" s="106" t="s">
        <v>10</v>
      </c>
      <c r="J8" s="257"/>
    </row>
    <row r="9" spans="2:10" ht="20.100000000000001" customHeight="1">
      <c r="B9" s="242" t="s">
        <v>5801</v>
      </c>
      <c r="C9" s="243" t="s">
        <v>5771</v>
      </c>
      <c r="D9" s="91" t="s">
        <v>2</v>
      </c>
      <c r="E9" s="89">
        <v>43645</v>
      </c>
      <c r="F9" s="93">
        <v>181</v>
      </c>
      <c r="G9" s="244">
        <f>SUM(F9:F15)</f>
        <v>918</v>
      </c>
      <c r="H9" s="5">
        <v>3295</v>
      </c>
      <c r="I9" s="5">
        <f t="shared" ref="I9:I42" si="0">+H9*F9</f>
        <v>596395</v>
      </c>
      <c r="J9" s="245">
        <f>SUM(I9:I15)</f>
        <v>3024810</v>
      </c>
    </row>
    <row r="10" spans="2:10" ht="20.100000000000001" customHeight="1">
      <c r="B10" s="242"/>
      <c r="C10" s="243"/>
      <c r="D10" s="91" t="s">
        <v>3</v>
      </c>
      <c r="E10" s="89">
        <v>43646</v>
      </c>
      <c r="F10" s="93">
        <v>183</v>
      </c>
      <c r="G10" s="244"/>
      <c r="H10" s="5">
        <v>3295</v>
      </c>
      <c r="I10" s="5">
        <f t="shared" si="0"/>
        <v>602985</v>
      </c>
      <c r="J10" s="245"/>
    </row>
    <row r="11" spans="2:10" ht="20.100000000000001" customHeight="1">
      <c r="B11" s="242"/>
      <c r="C11" s="243"/>
      <c r="D11" s="91" t="s">
        <v>4</v>
      </c>
      <c r="E11" s="89">
        <v>44013</v>
      </c>
      <c r="F11" s="93">
        <v>173</v>
      </c>
      <c r="G11" s="244"/>
      <c r="H11" s="5">
        <v>3295</v>
      </c>
      <c r="I11" s="5">
        <f t="shared" si="0"/>
        <v>570035</v>
      </c>
      <c r="J11" s="245"/>
    </row>
    <row r="12" spans="2:10" ht="20.100000000000001" customHeight="1">
      <c r="B12" s="242"/>
      <c r="C12" s="243"/>
      <c r="D12" s="91" t="s">
        <v>5</v>
      </c>
      <c r="E12" s="89">
        <v>44014</v>
      </c>
      <c r="F12" s="93">
        <v>193</v>
      </c>
      <c r="G12" s="244"/>
      <c r="H12" s="5">
        <v>3295</v>
      </c>
      <c r="I12" s="5">
        <f t="shared" si="0"/>
        <v>635935</v>
      </c>
      <c r="J12" s="245"/>
    </row>
    <row r="13" spans="2:10" ht="20.100000000000001" customHeight="1">
      <c r="B13" s="242"/>
      <c r="C13" s="243"/>
      <c r="D13" s="91" t="s">
        <v>6</v>
      </c>
      <c r="E13" s="89">
        <v>44015</v>
      </c>
      <c r="F13" s="93">
        <v>188</v>
      </c>
      <c r="G13" s="244"/>
      <c r="H13" s="5">
        <v>3295</v>
      </c>
      <c r="I13" s="5">
        <f t="shared" si="0"/>
        <v>619460</v>
      </c>
      <c r="J13" s="245"/>
    </row>
    <row r="14" spans="2:10" s="87" customFormat="1" ht="20.100000000000001" customHeight="1">
      <c r="B14" s="242"/>
      <c r="C14" s="243"/>
      <c r="D14" s="1" t="s">
        <v>7</v>
      </c>
      <c r="E14" s="2">
        <v>44016</v>
      </c>
      <c r="F14" s="3">
        <v>0</v>
      </c>
      <c r="G14" s="244"/>
      <c r="H14" s="4">
        <v>3295</v>
      </c>
      <c r="I14" s="4">
        <f t="shared" si="0"/>
        <v>0</v>
      </c>
      <c r="J14" s="245"/>
    </row>
    <row r="15" spans="2:10" s="87" customFormat="1" ht="20.100000000000001" customHeight="1">
      <c r="B15" s="242"/>
      <c r="C15" s="243"/>
      <c r="D15" s="1" t="s">
        <v>8</v>
      </c>
      <c r="E15" s="2">
        <v>44017</v>
      </c>
      <c r="F15" s="3">
        <v>0</v>
      </c>
      <c r="G15" s="244"/>
      <c r="H15" s="4">
        <v>3295</v>
      </c>
      <c r="I15" s="4">
        <f t="shared" si="0"/>
        <v>0</v>
      </c>
      <c r="J15" s="245"/>
    </row>
    <row r="16" spans="2:10" s="87" customFormat="1" ht="20.100000000000001" customHeight="1">
      <c r="B16" s="172"/>
      <c r="C16" s="173"/>
      <c r="D16" s="1"/>
      <c r="E16" s="2"/>
      <c r="F16" s="3"/>
      <c r="G16" s="171"/>
      <c r="H16" s="4"/>
      <c r="I16" s="4"/>
      <c r="J16" s="165"/>
    </row>
    <row r="17" spans="2:10" ht="20.100000000000001" customHeight="1">
      <c r="B17" s="242"/>
      <c r="C17" s="243" t="s">
        <v>5772</v>
      </c>
      <c r="D17" s="91" t="s">
        <v>2</v>
      </c>
      <c r="E17" s="89">
        <v>44018</v>
      </c>
      <c r="F17" s="93">
        <v>214</v>
      </c>
      <c r="G17" s="244">
        <f>SUM(F17:F28)</f>
        <v>981</v>
      </c>
      <c r="H17" s="5">
        <v>3295</v>
      </c>
      <c r="I17" s="5">
        <f t="shared" si="0"/>
        <v>705130</v>
      </c>
      <c r="J17" s="245">
        <f>SUM(I17:I28)</f>
        <v>3232395</v>
      </c>
    </row>
    <row r="18" spans="2:10" ht="20.100000000000001" customHeight="1">
      <c r="B18" s="242"/>
      <c r="C18" s="243"/>
      <c r="D18" s="91" t="s">
        <v>3</v>
      </c>
      <c r="E18" s="89">
        <v>44019</v>
      </c>
      <c r="F18" s="93">
        <v>176</v>
      </c>
      <c r="G18" s="244"/>
      <c r="H18" s="5">
        <v>3295</v>
      </c>
      <c r="I18" s="5">
        <f t="shared" si="0"/>
        <v>579920</v>
      </c>
      <c r="J18" s="245"/>
    </row>
    <row r="19" spans="2:10" ht="20.100000000000001" customHeight="1">
      <c r="B19" s="242"/>
      <c r="C19" s="243"/>
      <c r="D19" s="91" t="s">
        <v>4</v>
      </c>
      <c r="E19" s="89">
        <v>44020</v>
      </c>
      <c r="F19" s="93">
        <v>216</v>
      </c>
      <c r="G19" s="244"/>
      <c r="H19" s="5">
        <v>3295</v>
      </c>
      <c r="I19" s="5">
        <f t="shared" si="0"/>
        <v>711720</v>
      </c>
      <c r="J19" s="245"/>
    </row>
    <row r="20" spans="2:10" ht="20.100000000000001" customHeight="1">
      <c r="B20" s="242"/>
      <c r="C20" s="243"/>
      <c r="D20" s="91" t="s">
        <v>5</v>
      </c>
      <c r="E20" s="89">
        <v>44021</v>
      </c>
      <c r="F20" s="93">
        <v>194</v>
      </c>
      <c r="G20" s="244"/>
      <c r="H20" s="5">
        <v>3295</v>
      </c>
      <c r="I20" s="5">
        <f t="shared" si="0"/>
        <v>639230</v>
      </c>
      <c r="J20" s="245"/>
    </row>
    <row r="21" spans="2:10" ht="20.100000000000001" customHeight="1">
      <c r="B21" s="242"/>
      <c r="C21" s="243"/>
      <c r="D21" s="91"/>
      <c r="E21" s="89"/>
      <c r="F21" s="93"/>
      <c r="G21" s="244"/>
      <c r="H21" s="5"/>
      <c r="I21" s="5"/>
      <c r="J21" s="245"/>
    </row>
    <row r="22" spans="2:10" ht="20.100000000000001" customHeight="1">
      <c r="B22" s="242"/>
      <c r="C22" s="243"/>
      <c r="D22" s="91" t="s">
        <v>6</v>
      </c>
      <c r="E22" s="89">
        <v>44022</v>
      </c>
      <c r="F22" s="93">
        <v>181</v>
      </c>
      <c r="G22" s="244"/>
      <c r="H22" s="5">
        <v>3295</v>
      </c>
      <c r="I22" s="5">
        <f t="shared" si="0"/>
        <v>596395</v>
      </c>
      <c r="J22" s="245"/>
    </row>
    <row r="23" spans="2:10" ht="20.100000000000001" customHeight="1">
      <c r="B23" s="242"/>
      <c r="C23" s="243"/>
      <c r="D23" s="91"/>
      <c r="E23" s="89"/>
      <c r="F23" s="93"/>
      <c r="G23" s="244"/>
      <c r="H23" s="5"/>
      <c r="I23" s="5"/>
      <c r="J23" s="245"/>
    </row>
    <row r="24" spans="2:10" ht="20.100000000000001" customHeight="1">
      <c r="B24" s="242"/>
      <c r="C24" s="243"/>
      <c r="D24" s="91"/>
      <c r="E24" s="89"/>
      <c r="F24" s="93"/>
      <c r="G24" s="244"/>
      <c r="H24" s="5"/>
      <c r="I24" s="5"/>
      <c r="J24" s="245"/>
    </row>
    <row r="25" spans="2:10" ht="20.100000000000001" customHeight="1">
      <c r="B25" s="242"/>
      <c r="C25" s="243"/>
      <c r="D25" s="91"/>
      <c r="E25" s="89"/>
      <c r="F25" s="93"/>
      <c r="G25" s="244"/>
      <c r="H25" s="5"/>
      <c r="I25" s="5"/>
      <c r="J25" s="245"/>
    </row>
    <row r="26" spans="2:10" ht="20.100000000000001" customHeight="1">
      <c r="B26" s="242"/>
      <c r="C26" s="243"/>
      <c r="D26" s="91"/>
      <c r="E26" s="89"/>
      <c r="F26" s="93"/>
      <c r="G26" s="244"/>
      <c r="H26" s="5"/>
      <c r="I26" s="5"/>
      <c r="J26" s="245"/>
    </row>
    <row r="27" spans="2:10" s="87" customFormat="1" ht="20.100000000000001" customHeight="1">
      <c r="B27" s="242"/>
      <c r="C27" s="243"/>
      <c r="D27" s="1" t="s">
        <v>7</v>
      </c>
      <c r="E27" s="2">
        <v>44023</v>
      </c>
      <c r="F27" s="3"/>
      <c r="G27" s="244"/>
      <c r="H27" s="4">
        <v>3295</v>
      </c>
      <c r="I27" s="4">
        <f t="shared" si="0"/>
        <v>0</v>
      </c>
      <c r="J27" s="245"/>
    </row>
    <row r="28" spans="2:10" s="87" customFormat="1" ht="20.100000000000001" customHeight="1">
      <c r="B28" s="242"/>
      <c r="C28" s="243"/>
      <c r="D28" s="1" t="s">
        <v>8</v>
      </c>
      <c r="E28" s="2">
        <v>44024</v>
      </c>
      <c r="F28" s="3"/>
      <c r="G28" s="244"/>
      <c r="H28" s="4">
        <v>3295</v>
      </c>
      <c r="I28" s="4">
        <f t="shared" si="0"/>
        <v>0</v>
      </c>
      <c r="J28" s="245"/>
    </row>
    <row r="29" spans="2:10" s="87" customFormat="1" ht="20.100000000000001" customHeight="1">
      <c r="B29" s="249"/>
      <c r="C29" s="246" t="s">
        <v>5773</v>
      </c>
      <c r="D29" s="91" t="s">
        <v>2</v>
      </c>
      <c r="E29" s="89">
        <v>44025</v>
      </c>
      <c r="F29" s="3"/>
      <c r="G29" s="260">
        <f>SUM(F29:F35)</f>
        <v>0</v>
      </c>
      <c r="H29" s="5">
        <v>3295</v>
      </c>
      <c r="I29" s="5">
        <f t="shared" si="0"/>
        <v>0</v>
      </c>
      <c r="J29" s="252">
        <f>SUM(I29:I35)</f>
        <v>0</v>
      </c>
    </row>
    <row r="30" spans="2:10" s="87" customFormat="1" ht="20.100000000000001" customHeight="1">
      <c r="B30" s="250"/>
      <c r="C30" s="247"/>
      <c r="D30" s="91" t="s">
        <v>3</v>
      </c>
      <c r="E30" s="89">
        <v>44026</v>
      </c>
      <c r="F30" s="3"/>
      <c r="G30" s="261"/>
      <c r="H30" s="5">
        <v>3295</v>
      </c>
      <c r="I30" s="5">
        <f t="shared" si="0"/>
        <v>0</v>
      </c>
      <c r="J30" s="253"/>
    </row>
    <row r="31" spans="2:10" s="87" customFormat="1" ht="20.100000000000001" customHeight="1">
      <c r="B31" s="250"/>
      <c r="C31" s="247"/>
      <c r="D31" s="91" t="s">
        <v>4</v>
      </c>
      <c r="E31" s="89">
        <v>44027</v>
      </c>
      <c r="F31" s="3"/>
      <c r="G31" s="261"/>
      <c r="H31" s="5">
        <v>3295</v>
      </c>
      <c r="I31" s="5">
        <f t="shared" si="0"/>
        <v>0</v>
      </c>
      <c r="J31" s="253"/>
    </row>
    <row r="32" spans="2:10" s="87" customFormat="1" ht="20.100000000000001" customHeight="1">
      <c r="B32" s="250"/>
      <c r="C32" s="247"/>
      <c r="D32" s="91" t="s">
        <v>5</v>
      </c>
      <c r="E32" s="89">
        <v>44028</v>
      </c>
      <c r="F32" s="3"/>
      <c r="G32" s="261"/>
      <c r="H32" s="5">
        <v>3295</v>
      </c>
      <c r="I32" s="5">
        <f t="shared" si="0"/>
        <v>0</v>
      </c>
      <c r="J32" s="253"/>
    </row>
    <row r="33" spans="2:10" s="87" customFormat="1" ht="20.100000000000001" customHeight="1">
      <c r="B33" s="250"/>
      <c r="C33" s="247"/>
      <c r="D33" s="91" t="s">
        <v>6</v>
      </c>
      <c r="E33" s="89">
        <v>44029</v>
      </c>
      <c r="F33" s="3"/>
      <c r="G33" s="261"/>
      <c r="H33" s="5">
        <v>3295</v>
      </c>
      <c r="I33" s="5">
        <f t="shared" si="0"/>
        <v>0</v>
      </c>
      <c r="J33" s="253"/>
    </row>
    <row r="34" spans="2:10" s="87" customFormat="1" ht="20.100000000000001" customHeight="1">
      <c r="B34" s="250"/>
      <c r="C34" s="247"/>
      <c r="D34" s="1" t="s">
        <v>7</v>
      </c>
      <c r="E34" s="2">
        <v>44030</v>
      </c>
      <c r="F34" s="3"/>
      <c r="G34" s="261"/>
      <c r="H34" s="4">
        <v>3295</v>
      </c>
      <c r="I34" s="4">
        <f t="shared" si="0"/>
        <v>0</v>
      </c>
      <c r="J34" s="253"/>
    </row>
    <row r="35" spans="2:10" s="87" customFormat="1" ht="20.100000000000001" customHeight="1">
      <c r="B35" s="251"/>
      <c r="C35" s="248"/>
      <c r="D35" s="1" t="s">
        <v>8</v>
      </c>
      <c r="E35" s="2">
        <v>44031</v>
      </c>
      <c r="F35" s="3"/>
      <c r="G35" s="262"/>
      <c r="H35" s="4">
        <v>3295</v>
      </c>
      <c r="I35" s="4">
        <f t="shared" si="0"/>
        <v>0</v>
      </c>
      <c r="J35" s="254"/>
    </row>
    <row r="36" spans="2:10" s="87" customFormat="1" ht="20.100000000000001" customHeight="1">
      <c r="B36" s="249"/>
      <c r="C36" s="246" t="s">
        <v>5774</v>
      </c>
      <c r="D36" s="91" t="s">
        <v>2</v>
      </c>
      <c r="E36" s="89">
        <v>44032</v>
      </c>
      <c r="F36" s="3"/>
      <c r="G36" s="260">
        <f>SUM(F36:F42)</f>
        <v>0</v>
      </c>
      <c r="H36" s="5">
        <v>3295</v>
      </c>
      <c r="I36" s="5">
        <f t="shared" si="0"/>
        <v>0</v>
      </c>
      <c r="J36" s="252">
        <f>SUM(I36:I42)</f>
        <v>0</v>
      </c>
    </row>
    <row r="37" spans="2:10" s="87" customFormat="1" ht="20.100000000000001" customHeight="1">
      <c r="B37" s="250"/>
      <c r="C37" s="247"/>
      <c r="D37" s="91" t="s">
        <v>3</v>
      </c>
      <c r="E37" s="89">
        <v>44033</v>
      </c>
      <c r="F37" s="3"/>
      <c r="G37" s="261"/>
      <c r="H37" s="5">
        <v>3295</v>
      </c>
      <c r="I37" s="5">
        <f t="shared" si="0"/>
        <v>0</v>
      </c>
      <c r="J37" s="253"/>
    </row>
    <row r="38" spans="2:10" s="87" customFormat="1" ht="20.100000000000001" customHeight="1">
      <c r="B38" s="250"/>
      <c r="C38" s="247"/>
      <c r="D38" s="91" t="s">
        <v>4</v>
      </c>
      <c r="E38" s="89">
        <v>44034</v>
      </c>
      <c r="F38" s="3"/>
      <c r="G38" s="261"/>
      <c r="H38" s="5">
        <v>3295</v>
      </c>
      <c r="I38" s="5">
        <f t="shared" si="0"/>
        <v>0</v>
      </c>
      <c r="J38" s="253"/>
    </row>
    <row r="39" spans="2:10" s="87" customFormat="1" ht="20.100000000000001" customHeight="1">
      <c r="B39" s="250"/>
      <c r="C39" s="247"/>
      <c r="D39" s="91" t="s">
        <v>5</v>
      </c>
      <c r="E39" s="89">
        <v>44035</v>
      </c>
      <c r="F39" s="3"/>
      <c r="G39" s="261"/>
      <c r="H39" s="5">
        <v>3295</v>
      </c>
      <c r="I39" s="5">
        <f t="shared" si="0"/>
        <v>0</v>
      </c>
      <c r="J39" s="253"/>
    </row>
    <row r="40" spans="2:10" s="87" customFormat="1" ht="21" customHeight="1">
      <c r="B40" s="250"/>
      <c r="C40" s="247"/>
      <c r="D40" s="91" t="s">
        <v>6</v>
      </c>
      <c r="E40" s="89">
        <v>44036</v>
      </c>
      <c r="F40" s="3"/>
      <c r="G40" s="261"/>
      <c r="H40" s="5">
        <v>3295</v>
      </c>
      <c r="I40" s="5">
        <f t="shared" si="0"/>
        <v>0</v>
      </c>
      <c r="J40" s="253"/>
    </row>
    <row r="41" spans="2:10" s="87" customFormat="1" ht="21" customHeight="1">
      <c r="B41" s="250"/>
      <c r="C41" s="247"/>
      <c r="D41" s="1" t="s">
        <v>7</v>
      </c>
      <c r="E41" s="2">
        <v>44037</v>
      </c>
      <c r="F41" s="3"/>
      <c r="G41" s="261"/>
      <c r="H41" s="4">
        <v>3295</v>
      </c>
      <c r="I41" s="4">
        <f t="shared" si="0"/>
        <v>0</v>
      </c>
      <c r="J41" s="253"/>
    </row>
    <row r="42" spans="2:10" s="87" customFormat="1" ht="21" customHeight="1">
      <c r="B42" s="251"/>
      <c r="C42" s="248"/>
      <c r="D42" s="1" t="s">
        <v>8</v>
      </c>
      <c r="E42" s="2">
        <v>44038</v>
      </c>
      <c r="F42" s="3"/>
      <c r="G42" s="262"/>
      <c r="H42" s="4">
        <v>3295</v>
      </c>
      <c r="I42" s="4">
        <f t="shared" si="0"/>
        <v>0</v>
      </c>
      <c r="J42" s="254"/>
    </row>
    <row r="43" spans="2:10" s="108" customFormat="1" ht="39.950000000000003" customHeight="1">
      <c r="B43" s="238" t="s">
        <v>17</v>
      </c>
      <c r="C43" s="238"/>
      <c r="D43" s="238"/>
      <c r="E43" s="238"/>
      <c r="F43" s="239">
        <f>SUM(G9:G28)</f>
        <v>1899</v>
      </c>
      <c r="G43" s="240"/>
      <c r="H43" s="241">
        <f>SUM(J9:J28)</f>
        <v>6257205</v>
      </c>
      <c r="I43" s="241"/>
      <c r="J43" s="241"/>
    </row>
    <row r="44" spans="2:10" ht="20.100000000000001" customHeight="1">
      <c r="B44" s="95" t="s">
        <v>21</v>
      </c>
      <c r="C44" s="98"/>
    </row>
    <row r="45" spans="2:10" ht="20.100000000000001" customHeight="1">
      <c r="B45" s="98"/>
    </row>
    <row r="46" spans="2:10" ht="20.100000000000001" customHeight="1"/>
    <row r="47" spans="2:10" ht="20.100000000000001" customHeight="1"/>
    <row r="48" spans="2:10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15" customHeight="1"/>
    <row r="453" ht="15" customHeight="1"/>
    <row r="454" ht="15" customHeight="1"/>
    <row r="455" ht="15" customHeight="1"/>
  </sheetData>
  <mergeCells count="28">
    <mergeCell ref="B3:J3"/>
    <mergeCell ref="B9:B15"/>
    <mergeCell ref="C9:C15"/>
    <mergeCell ref="G9:G15"/>
    <mergeCell ref="J9:J15"/>
    <mergeCell ref="B5:J5"/>
    <mergeCell ref="B6:J6"/>
    <mergeCell ref="B7:B8"/>
    <mergeCell ref="C7:C8"/>
    <mergeCell ref="D7:D8"/>
    <mergeCell ref="E7:E8"/>
    <mergeCell ref="F7:I7"/>
    <mergeCell ref="J7:J8"/>
    <mergeCell ref="B43:E43"/>
    <mergeCell ref="F43:G43"/>
    <mergeCell ref="H43:J43"/>
    <mergeCell ref="B17:B28"/>
    <mergeCell ref="C17:C28"/>
    <mergeCell ref="G17:G28"/>
    <mergeCell ref="J17:J28"/>
    <mergeCell ref="C29:C35"/>
    <mergeCell ref="B29:B35"/>
    <mergeCell ref="J29:J35"/>
    <mergeCell ref="J36:J42"/>
    <mergeCell ref="G29:G35"/>
    <mergeCell ref="C36:C42"/>
    <mergeCell ref="B36:B42"/>
    <mergeCell ref="G36:G42"/>
  </mergeCells>
  <printOptions horizontalCentered="1"/>
  <pageMargins left="0.196850393700787" right="0.196850393700787" top="1.5748031496063" bottom="0.196850393700787" header="1.5748031496063" footer="0.196850393700787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449"/>
  <sheetViews>
    <sheetView topLeftCell="A19" zoomScaleNormal="100" workbookViewId="0">
      <selection activeCell="F28" sqref="F28"/>
    </sheetView>
  </sheetViews>
  <sheetFormatPr defaultRowHeight="12.75"/>
  <cols>
    <col min="1" max="1" width="1.7109375" style="90" customWidth="1"/>
    <col min="2" max="2" width="22.7109375" style="95" customWidth="1"/>
    <col min="3" max="3" width="15.7109375" style="95" customWidth="1"/>
    <col min="4" max="4" width="8.7109375" style="96" customWidth="1"/>
    <col min="5" max="5" width="12.7109375" style="97" customWidth="1"/>
    <col min="6" max="6" width="10.7109375" style="100" customWidth="1"/>
    <col min="7" max="7" width="10.7109375" style="101" customWidth="1"/>
    <col min="8" max="8" width="12.7109375" style="98" customWidth="1"/>
    <col min="9" max="9" width="17.7109375" style="98" customWidth="1"/>
    <col min="10" max="10" width="20.7109375" style="102" customWidth="1"/>
    <col min="11" max="11" width="5.7109375" style="90" customWidth="1"/>
    <col min="12" max="16384" width="9.140625" style="90"/>
  </cols>
  <sheetData>
    <row r="1" spans="2:10" ht="20.100000000000001" customHeight="1">
      <c r="B1" s="99" t="s">
        <v>18</v>
      </c>
    </row>
    <row r="2" spans="2:10" ht="20.100000000000001" customHeight="1">
      <c r="B2" s="103" t="s">
        <v>20</v>
      </c>
    </row>
    <row r="3" spans="2:10" ht="30" customHeight="1">
      <c r="B3" s="255" t="s">
        <v>5815</v>
      </c>
      <c r="C3" s="255"/>
      <c r="D3" s="255"/>
      <c r="E3" s="255"/>
      <c r="F3" s="255"/>
      <c r="G3" s="255"/>
      <c r="H3" s="255"/>
      <c r="I3" s="255"/>
      <c r="J3" s="255"/>
    </row>
    <row r="4" spans="2:10" ht="20.100000000000001" customHeight="1">
      <c r="B4" s="206"/>
      <c r="C4" s="206"/>
      <c r="D4" s="206"/>
      <c r="E4" s="206"/>
      <c r="F4" s="206"/>
      <c r="G4" s="206"/>
      <c r="H4" s="206"/>
      <c r="I4" s="206"/>
      <c r="J4" s="206"/>
    </row>
    <row r="5" spans="2:10" ht="20.100000000000001" customHeight="1">
      <c r="B5" s="256" t="s">
        <v>5814</v>
      </c>
      <c r="C5" s="256"/>
      <c r="D5" s="256"/>
      <c r="E5" s="256"/>
      <c r="F5" s="256"/>
      <c r="G5" s="256"/>
      <c r="H5" s="256"/>
      <c r="I5" s="256"/>
      <c r="J5" s="256"/>
    </row>
    <row r="6" spans="2:10" ht="20.100000000000001" customHeight="1">
      <c r="B6" s="256" t="s">
        <v>22</v>
      </c>
      <c r="C6" s="256"/>
      <c r="D6" s="256"/>
      <c r="E6" s="256"/>
      <c r="F6" s="256"/>
      <c r="G6" s="256"/>
      <c r="H6" s="256"/>
      <c r="I6" s="256"/>
      <c r="J6" s="256"/>
    </row>
    <row r="7" spans="2:10" s="104" customFormat="1" ht="24.95" customHeight="1">
      <c r="B7" s="257" t="s">
        <v>13</v>
      </c>
      <c r="C7" s="257" t="s">
        <v>14</v>
      </c>
      <c r="D7" s="258" t="s">
        <v>1</v>
      </c>
      <c r="E7" s="258" t="s">
        <v>0</v>
      </c>
      <c r="F7" s="259" t="s">
        <v>11</v>
      </c>
      <c r="G7" s="259"/>
      <c r="H7" s="259"/>
      <c r="I7" s="259"/>
      <c r="J7" s="257" t="s">
        <v>15</v>
      </c>
    </row>
    <row r="8" spans="2:10" s="104" customFormat="1" ht="24.95" customHeight="1">
      <c r="B8" s="257"/>
      <c r="C8" s="257"/>
      <c r="D8" s="258"/>
      <c r="E8" s="258"/>
      <c r="F8" s="207" t="s">
        <v>12</v>
      </c>
      <c r="G8" s="207" t="s">
        <v>16</v>
      </c>
      <c r="H8" s="106" t="s">
        <v>9</v>
      </c>
      <c r="I8" s="106" t="s">
        <v>10</v>
      </c>
      <c r="J8" s="257"/>
    </row>
    <row r="9" spans="2:10" s="221" customFormat="1" ht="24.95" customHeight="1">
      <c r="B9" s="266"/>
      <c r="C9" s="263" t="s">
        <v>5818</v>
      </c>
      <c r="D9" s="91" t="s">
        <v>2</v>
      </c>
      <c r="E9" s="200">
        <v>44039</v>
      </c>
      <c r="F9" s="225">
        <f>154+72</f>
        <v>226</v>
      </c>
      <c r="G9" s="269">
        <f>SUM(F9:F15)</f>
        <v>425</v>
      </c>
      <c r="H9" s="5">
        <v>3295</v>
      </c>
      <c r="I9" s="223">
        <f>H9*F9</f>
        <v>744670</v>
      </c>
      <c r="J9" s="272">
        <f>SUM(I9:I15)</f>
        <v>1400375</v>
      </c>
    </row>
    <row r="10" spans="2:10" s="221" customFormat="1" ht="24.95" customHeight="1">
      <c r="B10" s="267"/>
      <c r="C10" s="264"/>
      <c r="D10" s="91" t="s">
        <v>3</v>
      </c>
      <c r="E10" s="200">
        <v>44040</v>
      </c>
      <c r="F10" s="225">
        <f>143+56</f>
        <v>199</v>
      </c>
      <c r="G10" s="270"/>
      <c r="H10" s="5">
        <v>3295</v>
      </c>
      <c r="I10" s="223">
        <f t="shared" ref="I10:I15" si="0">H10*F10</f>
        <v>655705</v>
      </c>
      <c r="J10" s="267"/>
    </row>
    <row r="11" spans="2:10" s="221" customFormat="1" ht="24.95" customHeight="1">
      <c r="B11" s="267"/>
      <c r="C11" s="264"/>
      <c r="D11" s="91" t="s">
        <v>4</v>
      </c>
      <c r="E11" s="200">
        <v>44041</v>
      </c>
      <c r="F11" s="222"/>
      <c r="G11" s="270"/>
      <c r="H11" s="5">
        <v>3295</v>
      </c>
      <c r="I11" s="223">
        <f t="shared" si="0"/>
        <v>0</v>
      </c>
      <c r="J11" s="267"/>
    </row>
    <row r="12" spans="2:10" s="221" customFormat="1" ht="24.95" customHeight="1">
      <c r="B12" s="267"/>
      <c r="C12" s="264"/>
      <c r="D12" s="91" t="s">
        <v>5</v>
      </c>
      <c r="E12" s="2">
        <v>44042</v>
      </c>
      <c r="F12" s="222"/>
      <c r="G12" s="270"/>
      <c r="H12" s="5">
        <v>3295</v>
      </c>
      <c r="I12" s="223">
        <f t="shared" si="0"/>
        <v>0</v>
      </c>
      <c r="J12" s="267"/>
    </row>
    <row r="13" spans="2:10" s="221" customFormat="1" ht="24.95" customHeight="1">
      <c r="B13" s="267"/>
      <c r="C13" s="264"/>
      <c r="D13" s="91" t="s">
        <v>6</v>
      </c>
      <c r="E13" s="2">
        <v>44043</v>
      </c>
      <c r="F13" s="222"/>
      <c r="G13" s="270"/>
      <c r="H13" s="5">
        <v>3295</v>
      </c>
      <c r="I13" s="223">
        <f t="shared" si="0"/>
        <v>0</v>
      </c>
      <c r="J13" s="267"/>
    </row>
    <row r="14" spans="2:10" s="221" customFormat="1" ht="24.95" customHeight="1">
      <c r="B14" s="267"/>
      <c r="C14" s="264"/>
      <c r="D14" s="220" t="s">
        <v>7</v>
      </c>
      <c r="E14" s="2">
        <v>44044</v>
      </c>
      <c r="F14" s="222"/>
      <c r="G14" s="270"/>
      <c r="H14" s="5">
        <v>3295</v>
      </c>
      <c r="I14" s="223">
        <f t="shared" si="0"/>
        <v>0</v>
      </c>
      <c r="J14" s="267"/>
    </row>
    <row r="15" spans="2:10" s="221" customFormat="1" ht="24.95" customHeight="1">
      <c r="B15" s="268"/>
      <c r="C15" s="265"/>
      <c r="D15" s="220" t="s">
        <v>8</v>
      </c>
      <c r="E15" s="2">
        <v>44045</v>
      </c>
      <c r="F15" s="222"/>
      <c r="G15" s="271"/>
      <c r="H15" s="5">
        <v>3295</v>
      </c>
      <c r="I15" s="223">
        <f t="shared" si="0"/>
        <v>0</v>
      </c>
      <c r="J15" s="268"/>
    </row>
    <row r="16" spans="2:10" ht="20.100000000000001" customHeight="1">
      <c r="B16" s="249"/>
      <c r="C16" s="246" t="s">
        <v>5816</v>
      </c>
      <c r="D16" s="91" t="s">
        <v>2</v>
      </c>
      <c r="E16" s="89">
        <v>44046</v>
      </c>
      <c r="F16" s="93">
        <f>168+75</f>
        <v>243</v>
      </c>
      <c r="G16" s="260">
        <f>SUM(F16:F22)</f>
        <v>1351</v>
      </c>
      <c r="H16" s="5">
        <v>3295</v>
      </c>
      <c r="I16" s="5">
        <f t="shared" ref="I16:I22" si="1">+H16*F16</f>
        <v>800685</v>
      </c>
      <c r="J16" s="252">
        <f>SUM(I16:I22)</f>
        <v>4451545</v>
      </c>
    </row>
    <row r="17" spans="2:12" ht="20.100000000000001" customHeight="1">
      <c r="B17" s="250"/>
      <c r="C17" s="247"/>
      <c r="D17" s="91" t="s">
        <v>3</v>
      </c>
      <c r="E17" s="89">
        <v>44047</v>
      </c>
      <c r="F17" s="93">
        <f>146+79</f>
        <v>225</v>
      </c>
      <c r="G17" s="261"/>
      <c r="H17" s="5">
        <v>3295</v>
      </c>
      <c r="I17" s="5">
        <f t="shared" si="1"/>
        <v>741375</v>
      </c>
      <c r="J17" s="253"/>
    </row>
    <row r="18" spans="2:12" ht="20.100000000000001" customHeight="1">
      <c r="B18" s="250"/>
      <c r="C18" s="247"/>
      <c r="D18" s="91" t="s">
        <v>4</v>
      </c>
      <c r="E18" s="89">
        <v>44048</v>
      </c>
      <c r="F18" s="93">
        <f>129+82</f>
        <v>211</v>
      </c>
      <c r="G18" s="261"/>
      <c r="H18" s="5">
        <v>3295</v>
      </c>
      <c r="I18" s="5">
        <f t="shared" si="1"/>
        <v>695245</v>
      </c>
      <c r="J18" s="253"/>
    </row>
    <row r="19" spans="2:12" ht="20.100000000000001" customHeight="1">
      <c r="B19" s="250"/>
      <c r="C19" s="247"/>
      <c r="D19" s="91" t="s">
        <v>5</v>
      </c>
      <c r="E19" s="89">
        <v>44049</v>
      </c>
      <c r="F19" s="93">
        <f>128+77</f>
        <v>205</v>
      </c>
      <c r="G19" s="261"/>
      <c r="H19" s="5">
        <v>3295</v>
      </c>
      <c r="I19" s="5">
        <f t="shared" si="1"/>
        <v>675475</v>
      </c>
      <c r="J19" s="253"/>
    </row>
    <row r="20" spans="2:12" ht="20.100000000000001" customHeight="1">
      <c r="B20" s="250"/>
      <c r="C20" s="247"/>
      <c r="D20" s="91" t="s">
        <v>6</v>
      </c>
      <c r="E20" s="89">
        <v>44050</v>
      </c>
      <c r="F20" s="93">
        <f>125+72</f>
        <v>197</v>
      </c>
      <c r="G20" s="261"/>
      <c r="H20" s="5">
        <v>3295</v>
      </c>
      <c r="I20" s="5">
        <f t="shared" si="1"/>
        <v>649115</v>
      </c>
      <c r="J20" s="253"/>
    </row>
    <row r="21" spans="2:12" ht="20.100000000000001" customHeight="1">
      <c r="B21" s="250"/>
      <c r="C21" s="247"/>
      <c r="D21" s="220" t="s">
        <v>7</v>
      </c>
      <c r="E21" s="201">
        <v>44051</v>
      </c>
      <c r="F21" s="93">
        <f>210+60</f>
        <v>270</v>
      </c>
      <c r="G21" s="261"/>
      <c r="H21" s="5">
        <v>3295</v>
      </c>
      <c r="I21" s="5">
        <f t="shared" si="1"/>
        <v>889650</v>
      </c>
      <c r="J21" s="253"/>
    </row>
    <row r="22" spans="2:12" ht="20.100000000000001" customHeight="1">
      <c r="B22" s="251"/>
      <c r="C22" s="248"/>
      <c r="D22" s="220" t="s">
        <v>8</v>
      </c>
      <c r="E22" s="201">
        <v>44052</v>
      </c>
      <c r="F22" s="93">
        <v>0</v>
      </c>
      <c r="G22" s="262"/>
      <c r="H22" s="5">
        <v>3295</v>
      </c>
      <c r="I22" s="5">
        <f t="shared" si="1"/>
        <v>0</v>
      </c>
      <c r="J22" s="254"/>
    </row>
    <row r="23" spans="2:12" ht="20.100000000000001" customHeight="1">
      <c r="B23" s="249"/>
      <c r="C23" s="246" t="s">
        <v>5817</v>
      </c>
      <c r="D23" s="91" t="s">
        <v>2</v>
      </c>
      <c r="E23" s="89">
        <v>44053</v>
      </c>
      <c r="F23" s="93">
        <f>120+73</f>
        <v>193</v>
      </c>
      <c r="G23" s="260">
        <f>SUM(F23:F29)</f>
        <v>868</v>
      </c>
      <c r="H23" s="5">
        <v>3295</v>
      </c>
      <c r="I23" s="5">
        <f>H23*F23</f>
        <v>635935</v>
      </c>
      <c r="J23" s="252">
        <f>SUM(I23:I29)</f>
        <v>2860060</v>
      </c>
    </row>
    <row r="24" spans="2:12" ht="20.100000000000001" customHeight="1">
      <c r="B24" s="250"/>
      <c r="C24" s="247"/>
      <c r="D24" s="91" t="s">
        <v>3</v>
      </c>
      <c r="E24" s="89">
        <v>44054</v>
      </c>
      <c r="F24" s="93">
        <f>120+72</f>
        <v>192</v>
      </c>
      <c r="G24" s="261"/>
      <c r="H24" s="5">
        <v>3295</v>
      </c>
      <c r="I24" s="5">
        <f t="shared" ref="I24:I36" si="2">H24*F24</f>
        <v>632640</v>
      </c>
      <c r="J24" s="253"/>
    </row>
    <row r="25" spans="2:12" ht="20.100000000000001" customHeight="1">
      <c r="B25" s="250"/>
      <c r="C25" s="247"/>
      <c r="D25" s="91" t="s">
        <v>4</v>
      </c>
      <c r="E25" s="89">
        <v>44055</v>
      </c>
      <c r="F25" s="93">
        <f>110+72</f>
        <v>182</v>
      </c>
      <c r="G25" s="261"/>
      <c r="H25" s="5">
        <v>3295</v>
      </c>
      <c r="I25" s="5">
        <f t="shared" si="2"/>
        <v>599690</v>
      </c>
      <c r="J25" s="253"/>
    </row>
    <row r="26" spans="2:12" ht="20.100000000000001" customHeight="1">
      <c r="B26" s="250"/>
      <c r="C26" s="247"/>
      <c r="D26" s="91" t="s">
        <v>5</v>
      </c>
      <c r="E26" s="89">
        <v>44056</v>
      </c>
      <c r="F26" s="93">
        <f>111+68</f>
        <v>179</v>
      </c>
      <c r="G26" s="261"/>
      <c r="H26" s="5">
        <v>3295</v>
      </c>
      <c r="I26" s="5">
        <f t="shared" si="2"/>
        <v>589805</v>
      </c>
      <c r="J26" s="253"/>
      <c r="L26" s="90" t="s">
        <v>5819</v>
      </c>
    </row>
    <row r="27" spans="2:12" ht="20.100000000000001" customHeight="1">
      <c r="B27" s="250"/>
      <c r="C27" s="247"/>
      <c r="D27" s="91" t="s">
        <v>6</v>
      </c>
      <c r="E27" s="89">
        <v>44057</v>
      </c>
      <c r="F27" s="93">
        <v>122</v>
      </c>
      <c r="G27" s="261"/>
      <c r="H27" s="5">
        <v>3295</v>
      </c>
      <c r="I27" s="5">
        <f t="shared" si="2"/>
        <v>401990</v>
      </c>
      <c r="J27" s="253"/>
      <c r="L27" s="90">
        <f>105*24</f>
        <v>2520</v>
      </c>
    </row>
    <row r="28" spans="2:12" ht="20.100000000000001" customHeight="1">
      <c r="B28" s="250"/>
      <c r="C28" s="247"/>
      <c r="D28" s="202" t="s">
        <v>7</v>
      </c>
      <c r="E28" s="89">
        <v>44058</v>
      </c>
      <c r="F28" s="93"/>
      <c r="G28" s="261"/>
      <c r="H28" s="5">
        <v>3295</v>
      </c>
      <c r="I28" s="5">
        <f t="shared" si="2"/>
        <v>0</v>
      </c>
      <c r="J28" s="253"/>
      <c r="L28" s="226">
        <f>+L27-72-F25-F26-F27-F28</f>
        <v>1965</v>
      </c>
    </row>
    <row r="29" spans="2:12" s="87" customFormat="1" ht="20.100000000000001" customHeight="1">
      <c r="B29" s="251"/>
      <c r="C29" s="248"/>
      <c r="D29" s="220" t="s">
        <v>8</v>
      </c>
      <c r="E29" s="201">
        <v>44059</v>
      </c>
      <c r="F29" s="3">
        <v>0</v>
      </c>
      <c r="G29" s="262"/>
      <c r="H29" s="4">
        <v>3295</v>
      </c>
      <c r="I29" s="5">
        <f t="shared" si="2"/>
        <v>0</v>
      </c>
      <c r="J29" s="254"/>
    </row>
    <row r="30" spans="2:12" s="87" customFormat="1" ht="20.100000000000001" customHeight="1">
      <c r="B30" s="249"/>
      <c r="C30" s="246" t="s">
        <v>5820</v>
      </c>
      <c r="D30" s="218" t="s">
        <v>2</v>
      </c>
      <c r="E30" s="219">
        <v>44060</v>
      </c>
      <c r="F30" s="3">
        <v>0</v>
      </c>
      <c r="G30" s="260">
        <f>SUM(F30:F36)</f>
        <v>0</v>
      </c>
      <c r="H30" s="5">
        <v>3295</v>
      </c>
      <c r="I30" s="5">
        <f t="shared" si="2"/>
        <v>0</v>
      </c>
      <c r="J30" s="252">
        <f>SUM(I30:I36)</f>
        <v>0</v>
      </c>
    </row>
    <row r="31" spans="2:12" s="87" customFormat="1" ht="20.100000000000001" customHeight="1">
      <c r="B31" s="250"/>
      <c r="C31" s="247"/>
      <c r="D31" s="218" t="s">
        <v>3</v>
      </c>
      <c r="E31" s="219">
        <v>44061</v>
      </c>
      <c r="F31" s="3">
        <v>0</v>
      </c>
      <c r="G31" s="261"/>
      <c r="H31" s="5">
        <v>3295</v>
      </c>
      <c r="I31" s="5">
        <f t="shared" si="2"/>
        <v>0</v>
      </c>
      <c r="J31" s="253"/>
    </row>
    <row r="32" spans="2:12" s="87" customFormat="1" ht="20.100000000000001" customHeight="1">
      <c r="B32" s="250"/>
      <c r="C32" s="247"/>
      <c r="D32" s="218" t="s">
        <v>4</v>
      </c>
      <c r="E32" s="219">
        <v>44062</v>
      </c>
      <c r="F32" s="3">
        <v>0</v>
      </c>
      <c r="G32" s="261"/>
      <c r="H32" s="5">
        <v>3295</v>
      </c>
      <c r="I32" s="5">
        <f t="shared" si="2"/>
        <v>0</v>
      </c>
      <c r="J32" s="253"/>
    </row>
    <row r="33" spans="2:10" s="87" customFormat="1" ht="20.100000000000001" customHeight="1">
      <c r="B33" s="250"/>
      <c r="C33" s="247"/>
      <c r="D33" s="218" t="s">
        <v>5</v>
      </c>
      <c r="E33" s="219">
        <v>44063</v>
      </c>
      <c r="F33" s="3">
        <v>0</v>
      </c>
      <c r="G33" s="261"/>
      <c r="H33" s="5">
        <v>3295</v>
      </c>
      <c r="I33" s="5">
        <f t="shared" si="2"/>
        <v>0</v>
      </c>
      <c r="J33" s="253"/>
    </row>
    <row r="34" spans="2:10" s="87" customFormat="1" ht="20.100000000000001" customHeight="1">
      <c r="B34" s="250"/>
      <c r="C34" s="247"/>
      <c r="D34" s="218" t="s">
        <v>6</v>
      </c>
      <c r="E34" s="219">
        <v>44064</v>
      </c>
      <c r="F34" s="3">
        <v>0</v>
      </c>
      <c r="G34" s="261"/>
      <c r="H34" s="5">
        <v>3295</v>
      </c>
      <c r="I34" s="5">
        <f t="shared" si="2"/>
        <v>0</v>
      </c>
      <c r="J34" s="253"/>
    </row>
    <row r="35" spans="2:10" s="87" customFormat="1" ht="20.100000000000001" customHeight="1">
      <c r="B35" s="250"/>
      <c r="C35" s="247"/>
      <c r="D35" s="218" t="s">
        <v>7</v>
      </c>
      <c r="E35" s="219">
        <v>44065</v>
      </c>
      <c r="F35" s="3">
        <v>0</v>
      </c>
      <c r="G35" s="261"/>
      <c r="H35" s="4">
        <v>3295</v>
      </c>
      <c r="I35" s="5">
        <f t="shared" si="2"/>
        <v>0</v>
      </c>
      <c r="J35" s="253"/>
    </row>
    <row r="36" spans="2:10" s="87" customFormat="1" ht="20.100000000000001" customHeight="1">
      <c r="B36" s="251"/>
      <c r="C36" s="248"/>
      <c r="D36" s="218" t="s">
        <v>8</v>
      </c>
      <c r="E36" s="219">
        <v>44066</v>
      </c>
      <c r="F36" s="3">
        <v>0</v>
      </c>
      <c r="G36" s="262"/>
      <c r="H36" s="4">
        <v>3295</v>
      </c>
      <c r="I36" s="5">
        <f t="shared" si="2"/>
        <v>0</v>
      </c>
      <c r="J36" s="254"/>
    </row>
    <row r="37" spans="2:10" s="108" customFormat="1" ht="39.950000000000003" customHeight="1">
      <c r="B37" s="238" t="s">
        <v>17</v>
      </c>
      <c r="C37" s="238"/>
      <c r="D37" s="238"/>
      <c r="E37" s="238"/>
      <c r="F37" s="239">
        <f>SUM(G16:G29)</f>
        <v>2219</v>
      </c>
      <c r="G37" s="240"/>
      <c r="H37" s="241">
        <f>SUM(J16:J29)</f>
        <v>7311605</v>
      </c>
      <c r="I37" s="241"/>
      <c r="J37" s="241"/>
    </row>
    <row r="38" spans="2:10" ht="20.100000000000001" customHeight="1">
      <c r="B38" s="95" t="s">
        <v>21</v>
      </c>
      <c r="C38" s="98"/>
    </row>
    <row r="39" spans="2:10" ht="20.100000000000001" customHeight="1">
      <c r="B39" s="98"/>
    </row>
    <row r="40" spans="2:10" ht="20.100000000000001" customHeight="1"/>
    <row r="41" spans="2:10" ht="20.100000000000001" customHeight="1"/>
    <row r="42" spans="2:10" ht="20.100000000000001" customHeight="1"/>
    <row r="43" spans="2:10" ht="20.100000000000001" customHeight="1"/>
    <row r="44" spans="2:10" ht="20.100000000000001" customHeight="1"/>
    <row r="45" spans="2:10" ht="20.100000000000001" customHeight="1"/>
    <row r="46" spans="2:10" ht="20.100000000000001" customHeight="1"/>
    <row r="47" spans="2:10" ht="20.100000000000001" customHeight="1"/>
    <row r="48" spans="2:10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15" customHeight="1"/>
    <row r="447" ht="15" customHeight="1"/>
    <row r="448" ht="15" customHeight="1"/>
    <row r="449" ht="15" customHeight="1"/>
  </sheetData>
  <mergeCells count="28">
    <mergeCell ref="B16:B22"/>
    <mergeCell ref="B37:E37"/>
    <mergeCell ref="F37:G37"/>
    <mergeCell ref="H37:J37"/>
    <mergeCell ref="C23:C29"/>
    <mergeCell ref="B23:B29"/>
    <mergeCell ref="G23:G29"/>
    <mergeCell ref="J23:J29"/>
    <mergeCell ref="B30:B36"/>
    <mergeCell ref="C30:C36"/>
    <mergeCell ref="G30:G36"/>
    <mergeCell ref="J30:J36"/>
    <mergeCell ref="C16:C22"/>
    <mergeCell ref="G16:G22"/>
    <mergeCell ref="J16:J22"/>
    <mergeCell ref="B3:J3"/>
    <mergeCell ref="B5:J5"/>
    <mergeCell ref="B6:J6"/>
    <mergeCell ref="B7:B8"/>
    <mergeCell ref="C7:C8"/>
    <mergeCell ref="D7:D8"/>
    <mergeCell ref="E7:E8"/>
    <mergeCell ref="F7:I7"/>
    <mergeCell ref="J7:J8"/>
    <mergeCell ref="C9:C15"/>
    <mergeCell ref="B9:B15"/>
    <mergeCell ref="G9:G15"/>
    <mergeCell ref="J9:J15"/>
  </mergeCells>
  <printOptions horizontalCentered="1"/>
  <pageMargins left="0.196850393700787" right="0.196850393700787" top="1.5748031496063" bottom="0.196850393700787" header="1.5748031496063" footer="0.196850393700787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459"/>
  <sheetViews>
    <sheetView tabSelected="1" view="pageBreakPreview" zoomScale="60" zoomScaleNormal="100" workbookViewId="0">
      <selection activeCell="R19" sqref="R19"/>
    </sheetView>
  </sheetViews>
  <sheetFormatPr defaultRowHeight="12.75"/>
  <cols>
    <col min="1" max="1" width="1.7109375" style="90" customWidth="1"/>
    <col min="2" max="2" width="22.7109375" style="95" customWidth="1"/>
    <col min="3" max="3" width="15.7109375" style="95" customWidth="1"/>
    <col min="4" max="4" width="8.7109375" style="96" customWidth="1"/>
    <col min="5" max="5" width="12.7109375" style="97" customWidth="1"/>
    <col min="6" max="6" width="16.28515625" style="97" customWidth="1"/>
    <col min="7" max="7" width="15.42578125" style="100" customWidth="1"/>
    <col min="8" max="8" width="10.7109375" style="101" customWidth="1"/>
    <col min="9" max="9" width="16.28515625" style="98" customWidth="1"/>
    <col min="10" max="10" width="17.7109375" style="98" customWidth="1"/>
    <col min="11" max="11" width="20.7109375" style="102" customWidth="1"/>
    <col min="12" max="12" width="5.7109375" style="90" customWidth="1"/>
    <col min="13" max="16384" width="9.140625" style="90"/>
  </cols>
  <sheetData>
    <row r="1" spans="2:11" ht="20.100000000000001" customHeight="1">
      <c r="B1" s="99" t="s">
        <v>18</v>
      </c>
    </row>
    <row r="2" spans="2:11" ht="20.100000000000001" customHeight="1">
      <c r="B2" s="103" t="s">
        <v>20</v>
      </c>
    </row>
    <row r="3" spans="2:11" ht="30" customHeight="1">
      <c r="B3" s="255" t="s">
        <v>5829</v>
      </c>
      <c r="C3" s="255"/>
      <c r="D3" s="255"/>
      <c r="E3" s="255"/>
      <c r="F3" s="255"/>
      <c r="G3" s="255"/>
      <c r="H3" s="255"/>
      <c r="I3" s="255"/>
      <c r="J3" s="255"/>
      <c r="K3" s="255"/>
    </row>
    <row r="4" spans="2:11" ht="20.100000000000001" customHeight="1">
      <c r="B4" s="206"/>
      <c r="C4" s="206"/>
      <c r="D4" s="206"/>
      <c r="E4" s="206"/>
      <c r="F4" s="206"/>
      <c r="G4" s="206"/>
      <c r="H4" s="206"/>
      <c r="I4" s="206"/>
      <c r="J4" s="206"/>
      <c r="K4" s="206"/>
    </row>
    <row r="5" spans="2:11" ht="20.100000000000001" customHeight="1">
      <c r="B5" s="256" t="s">
        <v>5828</v>
      </c>
      <c r="C5" s="256"/>
      <c r="D5" s="256"/>
      <c r="E5" s="256"/>
      <c r="F5" s="256"/>
      <c r="G5" s="256"/>
      <c r="H5" s="256"/>
      <c r="I5" s="256"/>
      <c r="J5" s="256"/>
      <c r="K5" s="256"/>
    </row>
    <row r="6" spans="2:11" ht="20.100000000000001" customHeight="1">
      <c r="B6" s="256" t="s">
        <v>22</v>
      </c>
      <c r="C6" s="256"/>
      <c r="D6" s="256"/>
      <c r="E6" s="256"/>
      <c r="F6" s="256"/>
      <c r="G6" s="256"/>
      <c r="H6" s="256"/>
      <c r="I6" s="256"/>
      <c r="J6" s="256"/>
      <c r="K6" s="256"/>
    </row>
    <row r="7" spans="2:11" s="104" customFormat="1" ht="24.95" customHeight="1">
      <c r="B7" s="257" t="s">
        <v>5803</v>
      </c>
      <c r="C7" s="257" t="s">
        <v>14</v>
      </c>
      <c r="D7" s="258" t="s">
        <v>1</v>
      </c>
      <c r="E7" s="258" t="s">
        <v>0</v>
      </c>
      <c r="F7" s="273" t="s">
        <v>5806</v>
      </c>
      <c r="G7" s="259" t="s">
        <v>11</v>
      </c>
      <c r="H7" s="259"/>
      <c r="I7" s="259"/>
      <c r="J7" s="259"/>
      <c r="K7" s="257" t="s">
        <v>15</v>
      </c>
    </row>
    <row r="8" spans="2:11" s="104" customFormat="1" ht="51" customHeight="1">
      <c r="B8" s="257"/>
      <c r="C8" s="257"/>
      <c r="D8" s="258"/>
      <c r="E8" s="258"/>
      <c r="F8" s="274"/>
      <c r="G8" s="293" t="s">
        <v>5830</v>
      </c>
      <c r="H8" s="207" t="s">
        <v>16</v>
      </c>
      <c r="I8" s="106" t="s">
        <v>9</v>
      </c>
      <c r="J8" s="106" t="s">
        <v>10</v>
      </c>
      <c r="K8" s="257"/>
    </row>
    <row r="9" spans="2:11" s="221" customFormat="1" ht="24.95" customHeight="1">
      <c r="B9" s="266"/>
      <c r="C9" s="263" t="s">
        <v>5821</v>
      </c>
      <c r="D9" s="91" t="s">
        <v>2</v>
      </c>
      <c r="E9" s="200">
        <v>44067</v>
      </c>
      <c r="F9" s="222">
        <v>0</v>
      </c>
      <c r="G9" s="222"/>
      <c r="H9" s="269">
        <f>SUM(G9:G15)</f>
        <v>0</v>
      </c>
      <c r="I9" s="5">
        <v>3295</v>
      </c>
      <c r="J9" s="223">
        <f>I9*G9</f>
        <v>0</v>
      </c>
      <c r="K9" s="272">
        <f>SUM(J9:J15)</f>
        <v>0</v>
      </c>
    </row>
    <row r="10" spans="2:11" s="221" customFormat="1" ht="24.95" customHeight="1">
      <c r="B10" s="267"/>
      <c r="C10" s="264"/>
      <c r="D10" s="91" t="s">
        <v>3</v>
      </c>
      <c r="E10" s="200">
        <v>44068</v>
      </c>
      <c r="F10" s="222">
        <v>0</v>
      </c>
      <c r="G10" s="222"/>
      <c r="H10" s="270"/>
      <c r="I10" s="5">
        <v>3295</v>
      </c>
      <c r="J10" s="223">
        <f t="shared" ref="J10:J15" si="0">I10*G10</f>
        <v>0</v>
      </c>
      <c r="K10" s="267"/>
    </row>
    <row r="11" spans="2:11" s="221" customFormat="1" ht="24.95" customHeight="1">
      <c r="B11" s="267"/>
      <c r="C11" s="264"/>
      <c r="D11" s="91" t="s">
        <v>4</v>
      </c>
      <c r="E11" s="200">
        <v>44069</v>
      </c>
      <c r="F11" s="222">
        <v>0</v>
      </c>
      <c r="G11" s="222"/>
      <c r="H11" s="270"/>
      <c r="I11" s="5">
        <v>3295</v>
      </c>
      <c r="J11" s="223">
        <f t="shared" si="0"/>
        <v>0</v>
      </c>
      <c r="K11" s="267"/>
    </row>
    <row r="12" spans="2:11" s="221" customFormat="1" ht="24.95" customHeight="1">
      <c r="B12" s="267"/>
      <c r="C12" s="264"/>
      <c r="D12" s="91" t="s">
        <v>5</v>
      </c>
      <c r="E12" s="200">
        <v>44070</v>
      </c>
      <c r="F12" s="222">
        <v>0</v>
      </c>
      <c r="G12" s="222"/>
      <c r="H12" s="270"/>
      <c r="I12" s="5">
        <v>3295</v>
      </c>
      <c r="J12" s="223">
        <f t="shared" si="0"/>
        <v>0</v>
      </c>
      <c r="K12" s="267"/>
    </row>
    <row r="13" spans="2:11" s="221" customFormat="1" ht="24.95" customHeight="1">
      <c r="B13" s="267"/>
      <c r="C13" s="264"/>
      <c r="D13" s="91" t="s">
        <v>6</v>
      </c>
      <c r="E13" s="200">
        <v>44071</v>
      </c>
      <c r="F13" s="222">
        <v>0</v>
      </c>
      <c r="G13" s="222"/>
      <c r="H13" s="270"/>
      <c r="I13" s="5">
        <v>3295</v>
      </c>
      <c r="J13" s="223">
        <f t="shared" si="0"/>
        <v>0</v>
      </c>
      <c r="K13" s="267"/>
    </row>
    <row r="14" spans="2:11" s="221" customFormat="1" ht="24.95" customHeight="1">
      <c r="B14" s="267"/>
      <c r="C14" s="264"/>
      <c r="D14" s="202" t="s">
        <v>7</v>
      </c>
      <c r="E14" s="200">
        <v>44072</v>
      </c>
      <c r="F14" s="222">
        <v>0</v>
      </c>
      <c r="G14" s="222"/>
      <c r="H14" s="270"/>
      <c r="I14" s="5">
        <v>3295</v>
      </c>
      <c r="J14" s="223">
        <f t="shared" si="0"/>
        <v>0</v>
      </c>
      <c r="K14" s="267"/>
    </row>
    <row r="15" spans="2:11" s="221" customFormat="1" ht="24.95" customHeight="1">
      <c r="B15" s="267"/>
      <c r="C15" s="265"/>
      <c r="D15" s="218" t="s">
        <v>8</v>
      </c>
      <c r="E15" s="219">
        <v>44073</v>
      </c>
      <c r="F15" s="222">
        <v>0</v>
      </c>
      <c r="G15" s="222"/>
      <c r="H15" s="271"/>
      <c r="I15" s="5">
        <v>3295</v>
      </c>
      <c r="J15" s="223">
        <f t="shared" si="0"/>
        <v>0</v>
      </c>
      <c r="K15" s="268"/>
    </row>
    <row r="16" spans="2:11" ht="20.100000000000001" customHeight="1">
      <c r="B16" s="267"/>
      <c r="C16" s="246" t="s">
        <v>5822</v>
      </c>
      <c r="D16" s="91" t="s">
        <v>2</v>
      </c>
      <c r="E16" s="200">
        <v>44074</v>
      </c>
      <c r="F16" s="205">
        <v>240</v>
      </c>
      <c r="G16" s="93"/>
      <c r="H16" s="260"/>
      <c r="I16" s="5">
        <v>2000</v>
      </c>
      <c r="J16" s="5">
        <f>I16*F16</f>
        <v>480000</v>
      </c>
      <c r="K16" s="252">
        <f>SUM(J16:J22)</f>
        <v>2400000</v>
      </c>
    </row>
    <row r="17" spans="2:13" ht="20.100000000000001" customHeight="1">
      <c r="B17" s="267"/>
      <c r="C17" s="247"/>
      <c r="D17" s="91" t="s">
        <v>3</v>
      </c>
      <c r="E17" s="200">
        <v>44075</v>
      </c>
      <c r="F17" s="205">
        <v>240</v>
      </c>
      <c r="G17" s="93"/>
      <c r="H17" s="261"/>
      <c r="I17" s="5">
        <v>2000</v>
      </c>
      <c r="J17" s="5">
        <f t="shared" ref="J17:J46" si="1">I17*F17</f>
        <v>480000</v>
      </c>
      <c r="K17" s="253"/>
    </row>
    <row r="18" spans="2:13" ht="20.100000000000001" customHeight="1">
      <c r="B18" s="267"/>
      <c r="C18" s="247"/>
      <c r="D18" s="91" t="s">
        <v>4</v>
      </c>
      <c r="E18" s="200">
        <v>44076</v>
      </c>
      <c r="F18" s="205">
        <v>240</v>
      </c>
      <c r="G18" s="93"/>
      <c r="H18" s="261"/>
      <c r="I18" s="5">
        <v>2000</v>
      </c>
      <c r="J18" s="5">
        <f t="shared" si="1"/>
        <v>480000</v>
      </c>
      <c r="K18" s="253"/>
    </row>
    <row r="19" spans="2:13" ht="20.100000000000001" customHeight="1">
      <c r="B19" s="267"/>
      <c r="C19" s="247"/>
      <c r="D19" s="91" t="s">
        <v>5</v>
      </c>
      <c r="E19" s="200">
        <v>44077</v>
      </c>
      <c r="F19" s="205">
        <v>240</v>
      </c>
      <c r="G19" s="93"/>
      <c r="H19" s="261"/>
      <c r="I19" s="5">
        <v>2000</v>
      </c>
      <c r="J19" s="5">
        <f t="shared" si="1"/>
        <v>480000</v>
      </c>
      <c r="K19" s="253"/>
    </row>
    <row r="20" spans="2:13" ht="20.100000000000001" customHeight="1">
      <c r="B20" s="267"/>
      <c r="C20" s="247"/>
      <c r="D20" s="91" t="s">
        <v>6</v>
      </c>
      <c r="E20" s="200">
        <v>44078</v>
      </c>
      <c r="F20" s="205">
        <v>240</v>
      </c>
      <c r="G20" s="93"/>
      <c r="H20" s="261"/>
      <c r="I20" s="5">
        <v>2000</v>
      </c>
      <c r="J20" s="5">
        <f t="shared" si="1"/>
        <v>480000</v>
      </c>
      <c r="K20" s="253"/>
    </row>
    <row r="21" spans="2:13" ht="20.100000000000001" customHeight="1">
      <c r="B21" s="267"/>
      <c r="C21" s="247"/>
      <c r="D21" s="218" t="s">
        <v>7</v>
      </c>
      <c r="E21" s="219">
        <v>44079</v>
      </c>
      <c r="F21" s="205">
        <v>0</v>
      </c>
      <c r="G21" s="93"/>
      <c r="H21" s="261"/>
      <c r="I21" s="5">
        <v>2000</v>
      </c>
      <c r="J21" s="5">
        <f t="shared" si="1"/>
        <v>0</v>
      </c>
      <c r="K21" s="253"/>
    </row>
    <row r="22" spans="2:13" ht="20.100000000000001" customHeight="1">
      <c r="B22" s="267"/>
      <c r="C22" s="248"/>
      <c r="D22" s="218" t="s">
        <v>8</v>
      </c>
      <c r="E22" s="219">
        <v>44080</v>
      </c>
      <c r="F22" s="205">
        <v>0</v>
      </c>
      <c r="G22" s="93"/>
      <c r="H22" s="262"/>
      <c r="I22" s="5">
        <v>2000</v>
      </c>
      <c r="J22" s="5">
        <f t="shared" si="1"/>
        <v>0</v>
      </c>
      <c r="K22" s="254"/>
    </row>
    <row r="23" spans="2:13" ht="20.100000000000001" customHeight="1">
      <c r="B23" s="267"/>
      <c r="C23" s="246" t="s">
        <v>5823</v>
      </c>
      <c r="D23" s="91" t="s">
        <v>2</v>
      </c>
      <c r="E23" s="200">
        <v>44081</v>
      </c>
      <c r="F23" s="205">
        <v>240</v>
      </c>
      <c r="G23" s="93"/>
      <c r="H23" s="260"/>
      <c r="I23" s="5">
        <v>2000</v>
      </c>
      <c r="J23" s="5">
        <f t="shared" si="1"/>
        <v>480000</v>
      </c>
      <c r="K23" s="252">
        <f>SUM(J23:J29)</f>
        <v>2400000</v>
      </c>
    </row>
    <row r="24" spans="2:13" ht="20.100000000000001" customHeight="1">
      <c r="B24" s="267"/>
      <c r="C24" s="247"/>
      <c r="D24" s="91" t="s">
        <v>3</v>
      </c>
      <c r="E24" s="200">
        <v>44082</v>
      </c>
      <c r="F24" s="205">
        <v>240</v>
      </c>
      <c r="G24" s="93"/>
      <c r="H24" s="261"/>
      <c r="I24" s="5">
        <v>2000</v>
      </c>
      <c r="J24" s="5">
        <f t="shared" si="1"/>
        <v>480000</v>
      </c>
      <c r="K24" s="253"/>
    </row>
    <row r="25" spans="2:13" ht="20.100000000000001" customHeight="1">
      <c r="B25" s="267"/>
      <c r="C25" s="247"/>
      <c r="D25" s="91" t="s">
        <v>4</v>
      </c>
      <c r="E25" s="200">
        <v>44083</v>
      </c>
      <c r="F25" s="205">
        <v>240</v>
      </c>
      <c r="G25" s="93"/>
      <c r="H25" s="261"/>
      <c r="I25" s="5">
        <v>2000</v>
      </c>
      <c r="J25" s="5">
        <f t="shared" si="1"/>
        <v>480000</v>
      </c>
      <c r="K25" s="253"/>
    </row>
    <row r="26" spans="2:13" ht="20.100000000000001" customHeight="1">
      <c r="B26" s="267"/>
      <c r="C26" s="247"/>
      <c r="D26" s="91" t="s">
        <v>5</v>
      </c>
      <c r="E26" s="200">
        <v>44084</v>
      </c>
      <c r="F26" s="205">
        <v>240</v>
      </c>
      <c r="G26" s="93"/>
      <c r="H26" s="261"/>
      <c r="I26" s="5">
        <v>2000</v>
      </c>
      <c r="J26" s="5">
        <f t="shared" si="1"/>
        <v>480000</v>
      </c>
      <c r="K26" s="253"/>
      <c r="M26" s="90" t="s">
        <v>5819</v>
      </c>
    </row>
    <row r="27" spans="2:13" ht="20.100000000000001" customHeight="1">
      <c r="B27" s="267"/>
      <c r="C27" s="247"/>
      <c r="D27" s="91" t="s">
        <v>6</v>
      </c>
      <c r="E27" s="200">
        <v>44085</v>
      </c>
      <c r="F27" s="205">
        <v>240</v>
      </c>
      <c r="G27" s="93"/>
      <c r="H27" s="261"/>
      <c r="I27" s="5">
        <v>2000</v>
      </c>
      <c r="J27" s="5">
        <f t="shared" si="1"/>
        <v>480000</v>
      </c>
      <c r="K27" s="253"/>
      <c r="M27" s="90">
        <f>105*24</f>
        <v>2520</v>
      </c>
    </row>
    <row r="28" spans="2:13" ht="20.100000000000001" customHeight="1">
      <c r="B28" s="267"/>
      <c r="C28" s="247"/>
      <c r="D28" s="218" t="s">
        <v>7</v>
      </c>
      <c r="E28" s="219">
        <v>44086</v>
      </c>
      <c r="F28" s="205">
        <v>0</v>
      </c>
      <c r="G28" s="93"/>
      <c r="H28" s="261"/>
      <c r="I28" s="5">
        <v>2000</v>
      </c>
      <c r="J28" s="5">
        <f t="shared" si="1"/>
        <v>0</v>
      </c>
      <c r="K28" s="253"/>
    </row>
    <row r="29" spans="2:13" s="87" customFormat="1" ht="20.100000000000001" customHeight="1">
      <c r="B29" s="267"/>
      <c r="C29" s="248"/>
      <c r="D29" s="218" t="s">
        <v>8</v>
      </c>
      <c r="E29" s="219">
        <v>44087</v>
      </c>
      <c r="F29" s="205">
        <v>0</v>
      </c>
      <c r="G29" s="3"/>
      <c r="H29" s="262"/>
      <c r="I29" s="5">
        <v>2000</v>
      </c>
      <c r="J29" s="5">
        <f t="shared" si="1"/>
        <v>0</v>
      </c>
      <c r="K29" s="254"/>
    </row>
    <row r="30" spans="2:13" s="87" customFormat="1" ht="20.100000000000001" customHeight="1">
      <c r="B30" s="267"/>
      <c r="C30" s="246" t="s">
        <v>5824</v>
      </c>
      <c r="D30" s="91" t="s">
        <v>2</v>
      </c>
      <c r="E30" s="200">
        <v>44088</v>
      </c>
      <c r="F30" s="205">
        <v>240</v>
      </c>
      <c r="G30" s="3"/>
      <c r="H30" s="260"/>
      <c r="I30" s="5">
        <v>2000</v>
      </c>
      <c r="J30" s="5">
        <f t="shared" si="1"/>
        <v>480000</v>
      </c>
      <c r="K30" s="252">
        <f>SUM(J30:J36)</f>
        <v>2400000</v>
      </c>
      <c r="M30" s="87">
        <f>2520/216</f>
        <v>11.666666666666666</v>
      </c>
    </row>
    <row r="31" spans="2:13" s="87" customFormat="1" ht="20.100000000000001" customHeight="1">
      <c r="B31" s="267"/>
      <c r="C31" s="247"/>
      <c r="D31" s="91" t="s">
        <v>3</v>
      </c>
      <c r="E31" s="200">
        <v>44089</v>
      </c>
      <c r="F31" s="205">
        <v>240</v>
      </c>
      <c r="G31" s="3"/>
      <c r="H31" s="261"/>
      <c r="I31" s="5">
        <v>2000</v>
      </c>
      <c r="J31" s="5">
        <f t="shared" si="1"/>
        <v>480000</v>
      </c>
      <c r="K31" s="253"/>
    </row>
    <row r="32" spans="2:13" s="87" customFormat="1" ht="20.100000000000001" customHeight="1">
      <c r="B32" s="267"/>
      <c r="C32" s="247"/>
      <c r="D32" s="91" t="s">
        <v>4</v>
      </c>
      <c r="E32" s="200">
        <v>44090</v>
      </c>
      <c r="F32" s="205">
        <v>240</v>
      </c>
      <c r="G32" s="3"/>
      <c r="H32" s="261"/>
      <c r="I32" s="5">
        <v>2000</v>
      </c>
      <c r="J32" s="5">
        <f t="shared" si="1"/>
        <v>480000</v>
      </c>
      <c r="K32" s="253"/>
    </row>
    <row r="33" spans="2:11" s="87" customFormat="1" ht="20.100000000000001" customHeight="1">
      <c r="B33" s="267"/>
      <c r="C33" s="247"/>
      <c r="D33" s="91" t="s">
        <v>5</v>
      </c>
      <c r="E33" s="200">
        <v>44091</v>
      </c>
      <c r="F33" s="205">
        <v>240</v>
      </c>
      <c r="G33" s="3"/>
      <c r="H33" s="261"/>
      <c r="I33" s="5">
        <v>2000</v>
      </c>
      <c r="J33" s="5">
        <f t="shared" si="1"/>
        <v>480000</v>
      </c>
      <c r="K33" s="253"/>
    </row>
    <row r="34" spans="2:11" s="87" customFormat="1" ht="20.100000000000001" customHeight="1">
      <c r="B34" s="267"/>
      <c r="C34" s="247"/>
      <c r="D34" s="91" t="s">
        <v>6</v>
      </c>
      <c r="E34" s="200">
        <v>44092</v>
      </c>
      <c r="F34" s="205">
        <v>240</v>
      </c>
      <c r="G34" s="3"/>
      <c r="H34" s="261"/>
      <c r="I34" s="5">
        <v>2000</v>
      </c>
      <c r="J34" s="5">
        <f t="shared" si="1"/>
        <v>480000</v>
      </c>
      <c r="K34" s="253"/>
    </row>
    <row r="35" spans="2:11" s="87" customFormat="1" ht="20.100000000000001" customHeight="1">
      <c r="B35" s="267"/>
      <c r="C35" s="247"/>
      <c r="D35" s="218" t="s">
        <v>7</v>
      </c>
      <c r="E35" s="219">
        <v>44093</v>
      </c>
      <c r="F35" s="205">
        <v>0</v>
      </c>
      <c r="G35" s="3"/>
      <c r="H35" s="261"/>
      <c r="I35" s="5">
        <v>2000</v>
      </c>
      <c r="J35" s="5">
        <f t="shared" si="1"/>
        <v>0</v>
      </c>
      <c r="K35" s="253"/>
    </row>
    <row r="36" spans="2:11" s="87" customFormat="1" ht="20.100000000000001" customHeight="1">
      <c r="B36" s="267"/>
      <c r="C36" s="248"/>
      <c r="D36" s="218" t="s">
        <v>8</v>
      </c>
      <c r="E36" s="219">
        <v>44094</v>
      </c>
      <c r="F36" s="205">
        <v>0</v>
      </c>
      <c r="G36" s="3"/>
      <c r="H36" s="262"/>
      <c r="I36" s="5">
        <v>2000</v>
      </c>
      <c r="J36" s="5">
        <f t="shared" si="1"/>
        <v>0</v>
      </c>
      <c r="K36" s="254"/>
    </row>
    <row r="37" spans="2:11" s="87" customFormat="1" ht="20.100000000000001" customHeight="1">
      <c r="B37" s="267"/>
      <c r="C37" s="246" t="s">
        <v>5825</v>
      </c>
      <c r="D37" s="91" t="s">
        <v>2</v>
      </c>
      <c r="E37" s="200">
        <v>44095</v>
      </c>
      <c r="F37" s="205">
        <v>240</v>
      </c>
      <c r="G37" s="3"/>
      <c r="H37" s="260"/>
      <c r="I37" s="5">
        <v>2000</v>
      </c>
      <c r="J37" s="5">
        <f t="shared" si="1"/>
        <v>480000</v>
      </c>
      <c r="K37" s="252">
        <f>SUM(J37:J43)</f>
        <v>2400000</v>
      </c>
    </row>
    <row r="38" spans="2:11" s="87" customFormat="1" ht="20.100000000000001" customHeight="1">
      <c r="B38" s="267"/>
      <c r="C38" s="247"/>
      <c r="D38" s="91" t="s">
        <v>3</v>
      </c>
      <c r="E38" s="200">
        <v>44096</v>
      </c>
      <c r="F38" s="205">
        <v>240</v>
      </c>
      <c r="G38" s="3"/>
      <c r="H38" s="261"/>
      <c r="I38" s="5">
        <v>2000</v>
      </c>
      <c r="J38" s="5">
        <f t="shared" si="1"/>
        <v>480000</v>
      </c>
      <c r="K38" s="253"/>
    </row>
    <row r="39" spans="2:11" s="87" customFormat="1" ht="20.100000000000001" customHeight="1">
      <c r="B39" s="267"/>
      <c r="C39" s="247"/>
      <c r="D39" s="91" t="s">
        <v>4</v>
      </c>
      <c r="E39" s="200">
        <v>44097</v>
      </c>
      <c r="F39" s="205">
        <v>240</v>
      </c>
      <c r="G39" s="3"/>
      <c r="H39" s="261"/>
      <c r="I39" s="5">
        <v>2000</v>
      </c>
      <c r="J39" s="5">
        <f t="shared" si="1"/>
        <v>480000</v>
      </c>
      <c r="K39" s="253"/>
    </row>
    <row r="40" spans="2:11" s="87" customFormat="1" ht="20.100000000000001" customHeight="1">
      <c r="B40" s="267"/>
      <c r="C40" s="247"/>
      <c r="D40" s="91" t="s">
        <v>5</v>
      </c>
      <c r="E40" s="200">
        <v>44098</v>
      </c>
      <c r="F40" s="205">
        <v>240</v>
      </c>
      <c r="G40" s="3"/>
      <c r="H40" s="261"/>
      <c r="I40" s="5">
        <v>2000</v>
      </c>
      <c r="J40" s="5">
        <f t="shared" si="1"/>
        <v>480000</v>
      </c>
      <c r="K40" s="253"/>
    </row>
    <row r="41" spans="2:11" s="87" customFormat="1" ht="21" customHeight="1">
      <c r="B41" s="267"/>
      <c r="C41" s="247"/>
      <c r="D41" s="91" t="s">
        <v>6</v>
      </c>
      <c r="E41" s="200">
        <v>44099</v>
      </c>
      <c r="F41" s="205">
        <v>240</v>
      </c>
      <c r="G41" s="3"/>
      <c r="H41" s="261"/>
      <c r="I41" s="5">
        <v>2000</v>
      </c>
      <c r="J41" s="5">
        <f t="shared" si="1"/>
        <v>480000</v>
      </c>
      <c r="K41" s="253"/>
    </row>
    <row r="42" spans="2:11" s="87" customFormat="1" ht="21" customHeight="1">
      <c r="B42" s="267"/>
      <c r="C42" s="247"/>
      <c r="D42" s="218" t="s">
        <v>7</v>
      </c>
      <c r="E42" s="219">
        <v>44100</v>
      </c>
      <c r="F42" s="205">
        <v>0</v>
      </c>
      <c r="G42" s="3"/>
      <c r="H42" s="261"/>
      <c r="I42" s="5">
        <v>2000</v>
      </c>
      <c r="J42" s="5">
        <f t="shared" si="1"/>
        <v>0</v>
      </c>
      <c r="K42" s="253"/>
    </row>
    <row r="43" spans="2:11" s="87" customFormat="1" ht="21" customHeight="1">
      <c r="B43" s="267"/>
      <c r="C43" s="248"/>
      <c r="D43" s="218" t="s">
        <v>8</v>
      </c>
      <c r="E43" s="219">
        <v>44101</v>
      </c>
      <c r="F43" s="200"/>
      <c r="G43" s="3"/>
      <c r="H43" s="262"/>
      <c r="I43" s="5">
        <v>2000</v>
      </c>
      <c r="J43" s="5">
        <f t="shared" si="1"/>
        <v>0</v>
      </c>
      <c r="K43" s="254"/>
    </row>
    <row r="44" spans="2:11" s="87" customFormat="1" ht="21" customHeight="1">
      <c r="B44" s="267"/>
      <c r="C44" s="246" t="s">
        <v>5827</v>
      </c>
      <c r="D44" s="91" t="s">
        <v>2</v>
      </c>
      <c r="E44" s="200">
        <v>44102</v>
      </c>
      <c r="F44" s="205">
        <v>240</v>
      </c>
      <c r="G44" s="3"/>
      <c r="H44" s="211"/>
      <c r="I44" s="5">
        <v>2000</v>
      </c>
      <c r="J44" s="5">
        <f t="shared" si="1"/>
        <v>480000</v>
      </c>
      <c r="K44" s="252">
        <f>SUM(J44:J46)</f>
        <v>1440000</v>
      </c>
    </row>
    <row r="45" spans="2:11" s="87" customFormat="1" ht="21" customHeight="1">
      <c r="B45" s="267"/>
      <c r="C45" s="247"/>
      <c r="D45" s="91" t="s">
        <v>3</v>
      </c>
      <c r="E45" s="200">
        <v>44103</v>
      </c>
      <c r="F45" s="205">
        <v>240</v>
      </c>
      <c r="G45" s="3"/>
      <c r="H45" s="211"/>
      <c r="I45" s="5">
        <v>2000</v>
      </c>
      <c r="J45" s="5">
        <f t="shared" si="1"/>
        <v>480000</v>
      </c>
      <c r="K45" s="253"/>
    </row>
    <row r="46" spans="2:11" s="87" customFormat="1" ht="21" customHeight="1">
      <c r="B46" s="268"/>
      <c r="C46" s="248"/>
      <c r="D46" s="91" t="s">
        <v>4</v>
      </c>
      <c r="E46" s="200">
        <v>44104</v>
      </c>
      <c r="F46" s="205">
        <v>240</v>
      </c>
      <c r="G46" s="3"/>
      <c r="H46" s="211"/>
      <c r="I46" s="5">
        <v>2000</v>
      </c>
      <c r="J46" s="5">
        <f t="shared" si="1"/>
        <v>480000</v>
      </c>
      <c r="K46" s="254"/>
    </row>
    <row r="47" spans="2:11" s="108" customFormat="1" ht="39.950000000000003" customHeight="1">
      <c r="B47" s="238" t="s">
        <v>17</v>
      </c>
      <c r="C47" s="238"/>
      <c r="D47" s="238"/>
      <c r="E47" s="238"/>
      <c r="F47" s="208">
        <f>SUM(F9:F46)</f>
        <v>5520</v>
      </c>
      <c r="G47" s="239">
        <f>SUM(H16:H29)</f>
        <v>0</v>
      </c>
      <c r="H47" s="240"/>
      <c r="I47" s="241">
        <f>SUM(K9:K46)</f>
        <v>11040000</v>
      </c>
      <c r="J47" s="241"/>
      <c r="K47" s="241"/>
    </row>
    <row r="48" spans="2:11" ht="20.100000000000001" customHeight="1">
      <c r="C48" s="98"/>
    </row>
    <row r="49" spans="2:6" ht="20.100000000000001" customHeight="1">
      <c r="B49" s="98"/>
    </row>
    <row r="50" spans="2:6" ht="20.100000000000001" customHeight="1">
      <c r="F50" s="224"/>
    </row>
    <row r="51" spans="2:6" ht="20.100000000000001" customHeight="1"/>
    <row r="52" spans="2:6" ht="20.100000000000001" customHeight="1"/>
    <row r="53" spans="2:6" ht="20.100000000000001" customHeight="1"/>
    <row r="54" spans="2:6" ht="20.100000000000001" customHeight="1"/>
    <row r="55" spans="2:6" ht="20.100000000000001" customHeight="1"/>
    <row r="56" spans="2:6" ht="20.100000000000001" customHeight="1"/>
    <row r="57" spans="2:6" ht="20.100000000000001" customHeight="1"/>
    <row r="58" spans="2:6" ht="20.100000000000001" customHeight="1"/>
    <row r="59" spans="2:6" ht="20.100000000000001" customHeight="1"/>
    <row r="60" spans="2:6" ht="20.100000000000001" customHeight="1"/>
    <row r="61" spans="2:6" ht="20.100000000000001" customHeight="1"/>
    <row r="62" spans="2:6" ht="20.100000000000001" customHeight="1"/>
    <row r="63" spans="2:6" ht="20.100000000000001" customHeight="1"/>
    <row r="64" spans="2:6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15" customHeight="1"/>
    <row r="457" ht="15" customHeight="1"/>
    <row r="458" ht="15" customHeight="1"/>
    <row r="459" ht="15" customHeight="1"/>
  </sheetData>
  <mergeCells count="31">
    <mergeCell ref="B47:E47"/>
    <mergeCell ref="G47:H47"/>
    <mergeCell ref="I47:K47"/>
    <mergeCell ref="C44:C46"/>
    <mergeCell ref="B9:B46"/>
    <mergeCell ref="K44:K46"/>
    <mergeCell ref="C23:C29"/>
    <mergeCell ref="H23:H29"/>
    <mergeCell ref="K23:K29"/>
    <mergeCell ref="C30:C36"/>
    <mergeCell ref="H30:H36"/>
    <mergeCell ref="K30:K36"/>
    <mergeCell ref="C37:C43"/>
    <mergeCell ref="H37:H43"/>
    <mergeCell ref="K37:K43"/>
    <mergeCell ref="C9:C15"/>
    <mergeCell ref="H9:H15"/>
    <mergeCell ref="K9:K15"/>
    <mergeCell ref="C16:C22"/>
    <mergeCell ref="H16:H22"/>
    <mergeCell ref="K16:K22"/>
    <mergeCell ref="B3:K3"/>
    <mergeCell ref="B5:K5"/>
    <mergeCell ref="B6:K6"/>
    <mergeCell ref="B7:B8"/>
    <mergeCell ref="C7:C8"/>
    <mergeCell ref="D7:D8"/>
    <mergeCell ref="E7:E8"/>
    <mergeCell ref="G7:J7"/>
    <mergeCell ref="K7:K8"/>
    <mergeCell ref="F7:F8"/>
  </mergeCells>
  <printOptions horizontalCentered="1"/>
  <pageMargins left="0.196850393700787" right="0.196850393700787" top="1.5748031496063" bottom="0.196850393700787" header="1.5748031496063" footer="0.196850393700787"/>
  <pageSetup paperSize="9"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481"/>
  <sheetViews>
    <sheetView topLeftCell="B52" zoomScaleNormal="100" workbookViewId="0">
      <selection activeCell="G48" sqref="G48"/>
    </sheetView>
  </sheetViews>
  <sheetFormatPr defaultRowHeight="12.75"/>
  <cols>
    <col min="1" max="1" width="1.7109375" style="90" customWidth="1"/>
    <col min="2" max="2" width="3.7109375" style="90" customWidth="1"/>
    <col min="3" max="3" width="22.7109375" style="95" customWidth="1"/>
    <col min="4" max="4" width="15.7109375" style="95" customWidth="1"/>
    <col min="5" max="5" width="8.7109375" style="96" customWidth="1"/>
    <col min="6" max="6" width="12.7109375" style="97" customWidth="1"/>
    <col min="7" max="7" width="14.42578125" style="97" bestFit="1" customWidth="1"/>
    <col min="8" max="8" width="15.28515625" style="100" bestFit="1" customWidth="1"/>
    <col min="9" max="9" width="10.7109375" style="101" customWidth="1"/>
    <col min="10" max="10" width="12.7109375" style="98" customWidth="1"/>
    <col min="11" max="11" width="17.7109375" style="98" customWidth="1"/>
    <col min="12" max="12" width="20.7109375" style="102" customWidth="1"/>
    <col min="13" max="13" width="4.140625" style="90" customWidth="1"/>
    <col min="14" max="14" width="9.140625" style="90"/>
    <col min="15" max="15" width="12.42578125" style="90" bestFit="1" customWidth="1"/>
    <col min="16" max="16384" width="9.140625" style="90"/>
  </cols>
  <sheetData>
    <row r="1" spans="2:12" ht="20.100000000000001" customHeight="1">
      <c r="B1" s="92"/>
      <c r="C1" s="99" t="s">
        <v>18</v>
      </c>
    </row>
    <row r="2" spans="2:12" ht="20.100000000000001" customHeight="1">
      <c r="B2" s="92"/>
      <c r="C2" s="103" t="s">
        <v>20</v>
      </c>
    </row>
    <row r="3" spans="2:12" ht="30" customHeight="1">
      <c r="B3" s="92"/>
      <c r="C3" s="255" t="s">
        <v>5759</v>
      </c>
      <c r="D3" s="255"/>
      <c r="E3" s="255"/>
      <c r="F3" s="255"/>
      <c r="G3" s="255"/>
      <c r="H3" s="255"/>
      <c r="I3" s="255"/>
      <c r="J3" s="255"/>
      <c r="K3" s="255"/>
      <c r="L3" s="255"/>
    </row>
    <row r="4" spans="2:12" ht="20.100000000000001" customHeight="1">
      <c r="B4" s="92"/>
      <c r="C4" s="168"/>
      <c r="D4" s="168"/>
      <c r="E4" s="168"/>
      <c r="F4" s="168"/>
      <c r="G4" s="168"/>
      <c r="H4" s="168"/>
      <c r="I4" s="168"/>
      <c r="J4" s="168"/>
      <c r="K4" s="168"/>
      <c r="L4" s="168"/>
    </row>
    <row r="5" spans="2:12" ht="20.100000000000001" customHeight="1">
      <c r="B5" s="92"/>
      <c r="C5" s="256" t="s">
        <v>5758</v>
      </c>
      <c r="D5" s="256"/>
      <c r="E5" s="256"/>
      <c r="F5" s="256"/>
      <c r="G5" s="256"/>
      <c r="H5" s="256"/>
      <c r="I5" s="256"/>
      <c r="J5" s="256"/>
      <c r="K5" s="256"/>
      <c r="L5" s="256"/>
    </row>
    <row r="6" spans="2:12" ht="20.100000000000001" customHeight="1">
      <c r="B6" s="92"/>
      <c r="C6" s="256"/>
      <c r="D6" s="256"/>
      <c r="E6" s="256"/>
      <c r="F6" s="256"/>
      <c r="G6" s="256"/>
      <c r="H6" s="256"/>
      <c r="I6" s="256"/>
      <c r="J6" s="256"/>
      <c r="K6" s="256"/>
      <c r="L6" s="256"/>
    </row>
    <row r="7" spans="2:12" ht="20.100000000000001" customHeight="1">
      <c r="B7" s="92"/>
      <c r="C7" s="281" t="s">
        <v>5803</v>
      </c>
      <c r="D7" s="281" t="s">
        <v>14</v>
      </c>
      <c r="E7" s="282" t="s">
        <v>1</v>
      </c>
      <c r="F7" s="282" t="s">
        <v>0</v>
      </c>
      <c r="G7" s="169"/>
      <c r="H7" s="283" t="s">
        <v>11</v>
      </c>
      <c r="I7" s="283"/>
      <c r="J7" s="283"/>
      <c r="K7" s="283"/>
      <c r="L7" s="281" t="s">
        <v>15</v>
      </c>
    </row>
    <row r="8" spans="2:12" ht="20.100000000000001" customHeight="1">
      <c r="B8" s="92"/>
      <c r="C8" s="281"/>
      <c r="D8" s="281"/>
      <c r="E8" s="282"/>
      <c r="F8" s="282"/>
      <c r="G8" s="169" t="s">
        <v>5806</v>
      </c>
      <c r="H8" s="170" t="s">
        <v>5805</v>
      </c>
      <c r="I8" s="170" t="s">
        <v>5804</v>
      </c>
      <c r="J8" s="107" t="s">
        <v>9</v>
      </c>
      <c r="K8" s="107" t="s">
        <v>10</v>
      </c>
      <c r="L8" s="281"/>
    </row>
    <row r="9" spans="2:12" ht="20.100000000000001" customHeight="1">
      <c r="B9" s="92"/>
      <c r="C9" s="177"/>
      <c r="D9" s="89">
        <v>44018</v>
      </c>
      <c r="E9" s="288" t="s">
        <v>5802</v>
      </c>
      <c r="F9" s="289"/>
      <c r="G9" s="93">
        <v>2000</v>
      </c>
      <c r="H9" s="90"/>
      <c r="I9" s="184"/>
      <c r="J9" s="5"/>
      <c r="K9" s="5"/>
      <c r="L9" s="175"/>
    </row>
    <row r="10" spans="2:12" ht="20.100000000000001" customHeight="1">
      <c r="B10" s="92"/>
      <c r="C10" s="177"/>
      <c r="D10" s="176"/>
      <c r="E10" s="91" t="s">
        <v>6</v>
      </c>
      <c r="F10" s="89">
        <v>44022</v>
      </c>
      <c r="G10" s="89"/>
      <c r="H10" s="182">
        <v>404</v>
      </c>
      <c r="I10" s="171">
        <f>G9-H10</f>
        <v>1596</v>
      </c>
      <c r="J10" s="178">
        <v>1391.91</v>
      </c>
      <c r="K10" s="5">
        <f>ROUND(J10*H10,0)</f>
        <v>562332</v>
      </c>
      <c r="L10" s="175">
        <f>H10*J10</f>
        <v>562331.64</v>
      </c>
    </row>
    <row r="11" spans="2:12" s="87" customFormat="1" ht="20.100000000000001" customHeight="1">
      <c r="B11" s="88"/>
      <c r="C11" s="177"/>
      <c r="D11" s="176"/>
      <c r="E11" s="1" t="s">
        <v>7</v>
      </c>
      <c r="F11" s="2">
        <v>44023</v>
      </c>
      <c r="G11" s="2"/>
      <c r="H11" s="183"/>
      <c r="I11" s="171"/>
      <c r="J11" s="178">
        <v>1391.91</v>
      </c>
      <c r="K11" s="4">
        <f t="shared" ref="K11:K26" si="0">+J11*H11</f>
        <v>0</v>
      </c>
      <c r="L11" s="175"/>
    </row>
    <row r="12" spans="2:12" s="87" customFormat="1" ht="20.100000000000001" customHeight="1">
      <c r="B12" s="88"/>
      <c r="C12" s="177"/>
      <c r="D12" s="176"/>
      <c r="E12" s="1" t="s">
        <v>8</v>
      </c>
      <c r="F12" s="2">
        <v>44024</v>
      </c>
      <c r="G12" s="2"/>
      <c r="H12" s="183"/>
      <c r="I12" s="171"/>
      <c r="J12" s="178">
        <v>1391.91</v>
      </c>
      <c r="K12" s="4">
        <f t="shared" si="0"/>
        <v>0</v>
      </c>
      <c r="L12" s="175"/>
    </row>
    <row r="13" spans="2:12" s="87" customFormat="1" ht="20.100000000000001" customHeight="1">
      <c r="B13" s="88"/>
      <c r="C13" s="179"/>
      <c r="D13" s="185"/>
      <c r="E13" s="91" t="s">
        <v>2</v>
      </c>
      <c r="F13" s="89">
        <v>44025</v>
      </c>
      <c r="G13" s="93">
        <v>2700</v>
      </c>
      <c r="H13" s="183">
        <v>575</v>
      </c>
      <c r="I13" s="171">
        <f>I10+G13-H13</f>
        <v>3721</v>
      </c>
      <c r="J13" s="178">
        <v>1391.91</v>
      </c>
      <c r="K13" s="5">
        <f t="shared" si="0"/>
        <v>800348.25</v>
      </c>
      <c r="L13" s="175">
        <f>SUM(K13:K19)</f>
        <v>5804264.7000000002</v>
      </c>
    </row>
    <row r="14" spans="2:12" s="87" customFormat="1" ht="20.100000000000001" customHeight="1">
      <c r="B14" s="88"/>
      <c r="C14" s="180"/>
      <c r="D14" s="186"/>
      <c r="E14" s="91" t="s">
        <v>3</v>
      </c>
      <c r="F14" s="89">
        <v>44026</v>
      </c>
      <c r="G14" s="89"/>
      <c r="H14" s="183">
        <v>850</v>
      </c>
      <c r="I14" s="171">
        <f>I13-H14</f>
        <v>2871</v>
      </c>
      <c r="J14" s="178">
        <v>1391.91</v>
      </c>
      <c r="K14" s="5">
        <f t="shared" si="0"/>
        <v>1183123.5</v>
      </c>
      <c r="L14" s="175">
        <f t="shared" ref="L14:L18" si="1">SUM(K14:K20)</f>
        <v>6310919.9400000004</v>
      </c>
    </row>
    <row r="15" spans="2:12" s="87" customFormat="1" ht="20.100000000000001" customHeight="1">
      <c r="B15" s="88"/>
      <c r="C15" s="180"/>
      <c r="D15" s="186"/>
      <c r="E15" s="91" t="s">
        <v>4</v>
      </c>
      <c r="F15" s="89">
        <v>44027</v>
      </c>
      <c r="G15" s="89"/>
      <c r="H15" s="183">
        <v>940</v>
      </c>
      <c r="I15" s="171">
        <f>I14-H15</f>
        <v>1931</v>
      </c>
      <c r="J15" s="178">
        <v>1391.91</v>
      </c>
      <c r="K15" s="5">
        <f t="shared" si="0"/>
        <v>1308395.4000000001</v>
      </c>
      <c r="L15" s="175">
        <f t="shared" si="1"/>
        <v>6441759.4800000004</v>
      </c>
    </row>
    <row r="16" spans="2:12" s="87" customFormat="1" ht="20.100000000000001" customHeight="1">
      <c r="B16" s="88"/>
      <c r="C16" s="180"/>
      <c r="D16" s="186"/>
      <c r="E16" s="91" t="s">
        <v>5</v>
      </c>
      <c r="F16" s="89">
        <v>44028</v>
      </c>
      <c r="G16" s="89"/>
      <c r="H16" s="183">
        <v>870</v>
      </c>
      <c r="I16" s="171">
        <f>+I15-H16</f>
        <v>1061</v>
      </c>
      <c r="J16" s="178">
        <v>1391.91</v>
      </c>
      <c r="K16" s="5">
        <f t="shared" si="0"/>
        <v>1210961.7000000002</v>
      </c>
      <c r="L16" s="175">
        <f t="shared" si="1"/>
        <v>6448719.0300000003</v>
      </c>
    </row>
    <row r="17" spans="2:15" s="87" customFormat="1" ht="20.100000000000001" customHeight="1">
      <c r="B17" s="88"/>
      <c r="C17" s="180"/>
      <c r="D17" s="186"/>
      <c r="E17" s="91" t="s">
        <v>6</v>
      </c>
      <c r="F17" s="89">
        <v>44029</v>
      </c>
      <c r="G17" s="93">
        <v>2500</v>
      </c>
      <c r="H17" s="183">
        <v>880</v>
      </c>
      <c r="I17" s="171">
        <f t="shared" ref="I17:I23" si="2">+I16+G17-H17</f>
        <v>2681</v>
      </c>
      <c r="J17" s="178">
        <v>1391.91</v>
      </c>
      <c r="K17" s="5">
        <f t="shared" si="0"/>
        <v>1224880.8</v>
      </c>
      <c r="L17" s="175">
        <f t="shared" si="1"/>
        <v>6594869.5800000001</v>
      </c>
    </row>
    <row r="18" spans="2:15" s="87" customFormat="1" ht="20.100000000000001" customHeight="1">
      <c r="B18" s="88"/>
      <c r="C18" s="180"/>
      <c r="D18" s="186"/>
      <c r="E18" s="1" t="s">
        <v>7</v>
      </c>
      <c r="F18" s="2">
        <v>44030</v>
      </c>
      <c r="G18" s="2"/>
      <c r="H18" s="183">
        <v>55</v>
      </c>
      <c r="I18" s="171">
        <f t="shared" si="2"/>
        <v>2626</v>
      </c>
      <c r="J18" s="178">
        <v>1391.91</v>
      </c>
      <c r="K18" s="4">
        <f t="shared" si="0"/>
        <v>76555.05</v>
      </c>
      <c r="L18" s="175">
        <f t="shared" si="1"/>
        <v>6729884.8500000006</v>
      </c>
    </row>
    <row r="19" spans="2:15" s="87" customFormat="1" ht="20.100000000000001" customHeight="1">
      <c r="B19" s="88"/>
      <c r="C19" s="181"/>
      <c r="D19" s="187"/>
      <c r="E19" s="1" t="s">
        <v>8</v>
      </c>
      <c r="F19" s="2">
        <v>44031</v>
      </c>
      <c r="G19" s="2"/>
      <c r="H19" s="183"/>
      <c r="I19" s="171">
        <f t="shared" si="2"/>
        <v>2626</v>
      </c>
      <c r="J19" s="178">
        <v>1391.91</v>
      </c>
      <c r="K19" s="4">
        <f t="shared" si="0"/>
        <v>0</v>
      </c>
      <c r="L19" s="175"/>
    </row>
    <row r="20" spans="2:15" s="87" customFormat="1" ht="20.100000000000001" customHeight="1">
      <c r="B20" s="88"/>
      <c r="C20" s="179"/>
      <c r="D20" s="185" t="s">
        <v>5774</v>
      </c>
      <c r="E20" s="91" t="s">
        <v>2</v>
      </c>
      <c r="F20" s="89">
        <v>44032</v>
      </c>
      <c r="G20" s="89">
        <v>20</v>
      </c>
      <c r="H20" s="183">
        <v>939</v>
      </c>
      <c r="I20" s="171">
        <f t="shared" si="2"/>
        <v>1707</v>
      </c>
      <c r="J20" s="178">
        <v>1391.91</v>
      </c>
      <c r="K20" s="5">
        <f t="shared" si="0"/>
        <v>1307003.49</v>
      </c>
      <c r="L20" s="175">
        <f>SUM(K20:K26)</f>
        <v>7954765.6500000004</v>
      </c>
    </row>
    <row r="21" spans="2:15" s="87" customFormat="1" ht="20.100000000000001" customHeight="1">
      <c r="B21" s="88"/>
      <c r="C21" s="180"/>
      <c r="D21" s="186"/>
      <c r="E21" s="91" t="s">
        <v>3</v>
      </c>
      <c r="F21" s="89">
        <v>44033</v>
      </c>
      <c r="G21" s="93">
        <v>2500</v>
      </c>
      <c r="H21" s="183">
        <v>944</v>
      </c>
      <c r="I21" s="171">
        <f t="shared" si="2"/>
        <v>3263</v>
      </c>
      <c r="J21" s="178">
        <v>1391.91</v>
      </c>
      <c r="K21" s="5">
        <f t="shared" si="0"/>
        <v>1313963.04</v>
      </c>
      <c r="L21" s="175">
        <f>SUM(K21:K69)</f>
        <v>21947762.260000002</v>
      </c>
    </row>
    <row r="22" spans="2:15" s="87" customFormat="1" ht="20.100000000000001" customHeight="1">
      <c r="B22" s="88"/>
      <c r="C22" s="180"/>
      <c r="D22" s="186"/>
      <c r="E22" s="91" t="s">
        <v>4</v>
      </c>
      <c r="F22" s="89">
        <v>44034</v>
      </c>
      <c r="G22" s="89"/>
      <c r="H22" s="183">
        <f>825+120</f>
        <v>945</v>
      </c>
      <c r="I22" s="171">
        <f t="shared" si="2"/>
        <v>2318</v>
      </c>
      <c r="J22" s="178">
        <v>1391.91</v>
      </c>
      <c r="K22" s="5">
        <f t="shared" si="0"/>
        <v>1315354.9500000002</v>
      </c>
      <c r="L22" s="175">
        <f>SUM(K22:K70)</f>
        <v>20633799.220000003</v>
      </c>
      <c r="O22" s="87">
        <f>4187-944</f>
        <v>3243</v>
      </c>
    </row>
    <row r="23" spans="2:15" s="87" customFormat="1" ht="20.100000000000001" customHeight="1">
      <c r="B23" s="88"/>
      <c r="C23" s="180"/>
      <c r="D23" s="186"/>
      <c r="E23" s="91" t="s">
        <v>5</v>
      </c>
      <c r="F23" s="89">
        <v>44035</v>
      </c>
      <c r="G23" s="89"/>
      <c r="H23" s="183">
        <v>975</v>
      </c>
      <c r="I23" s="174">
        <f t="shared" si="2"/>
        <v>1343</v>
      </c>
      <c r="J23" s="178">
        <v>1391.91</v>
      </c>
      <c r="K23" s="5">
        <f t="shared" si="0"/>
        <v>1357112.25</v>
      </c>
      <c r="L23" s="175">
        <f>SUM(K23:K71)</f>
        <v>19318444.27</v>
      </c>
      <c r="O23" s="87">
        <f>1904-42</f>
        <v>1862</v>
      </c>
    </row>
    <row r="24" spans="2:15" s="87" customFormat="1" ht="21" customHeight="1">
      <c r="B24" s="88"/>
      <c r="C24" s="180"/>
      <c r="D24" s="186"/>
      <c r="E24" s="91" t="s">
        <v>6</v>
      </c>
      <c r="F24" s="89">
        <v>44036</v>
      </c>
      <c r="G24" s="93">
        <v>2250</v>
      </c>
      <c r="H24" s="183">
        <v>977</v>
      </c>
      <c r="I24" s="171">
        <f t="shared" ref="I24:I34" si="3">I23+G24-H24</f>
        <v>2616</v>
      </c>
      <c r="J24" s="178">
        <v>1391.91</v>
      </c>
      <c r="K24" s="5">
        <f t="shared" si="0"/>
        <v>1359896.07</v>
      </c>
      <c r="L24" s="175"/>
      <c r="O24" s="87">
        <v>1948</v>
      </c>
    </row>
    <row r="25" spans="2:15" s="87" customFormat="1" ht="21" customHeight="1">
      <c r="B25" s="88"/>
      <c r="C25" s="180"/>
      <c r="D25" s="186"/>
      <c r="E25" s="1" t="s">
        <v>7</v>
      </c>
      <c r="F25" s="2">
        <v>44037</v>
      </c>
      <c r="G25" s="2"/>
      <c r="H25" s="183">
        <v>935</v>
      </c>
      <c r="I25" s="193">
        <f t="shared" si="3"/>
        <v>1681</v>
      </c>
      <c r="J25" s="178">
        <v>1391.91</v>
      </c>
      <c r="K25" s="4">
        <f t="shared" si="0"/>
        <v>1301435.8500000001</v>
      </c>
      <c r="L25" s="175"/>
    </row>
    <row r="26" spans="2:15" s="87" customFormat="1" ht="21" customHeight="1">
      <c r="B26" s="88"/>
      <c r="C26" s="181"/>
      <c r="D26" s="187"/>
      <c r="E26" s="1" t="s">
        <v>8</v>
      </c>
      <c r="F26" s="2">
        <v>44038</v>
      </c>
      <c r="G26" s="2"/>
      <c r="H26" s="3"/>
      <c r="I26" s="193">
        <f t="shared" si="3"/>
        <v>1681</v>
      </c>
      <c r="J26" s="178">
        <v>1391.91</v>
      </c>
      <c r="K26" s="4">
        <f t="shared" si="0"/>
        <v>0</v>
      </c>
      <c r="L26" s="175"/>
    </row>
    <row r="27" spans="2:15" s="87" customFormat="1" ht="21" customHeight="1">
      <c r="B27" s="88"/>
      <c r="C27" s="167"/>
      <c r="D27" s="166"/>
      <c r="E27" s="91" t="s">
        <v>2</v>
      </c>
      <c r="F27" s="200">
        <v>44039</v>
      </c>
      <c r="G27" s="2"/>
      <c r="H27" s="3">
        <v>885</v>
      </c>
      <c r="I27" s="193">
        <f t="shared" si="3"/>
        <v>796</v>
      </c>
      <c r="J27" s="178"/>
      <c r="K27" s="4"/>
      <c r="L27" s="175"/>
    </row>
    <row r="28" spans="2:15" s="87" customFormat="1" ht="21" customHeight="1">
      <c r="B28" s="88"/>
      <c r="C28" s="167"/>
      <c r="D28" s="166"/>
      <c r="E28" s="91" t="s">
        <v>3</v>
      </c>
      <c r="F28" s="200">
        <v>44040</v>
      </c>
      <c r="G28" s="93">
        <v>3000</v>
      </c>
      <c r="H28" s="3">
        <v>920</v>
      </c>
      <c r="I28" s="193">
        <f t="shared" si="3"/>
        <v>2876</v>
      </c>
      <c r="J28" s="178"/>
      <c r="K28" s="4"/>
      <c r="L28" s="175"/>
    </row>
    <row r="29" spans="2:15" s="87" customFormat="1" ht="21" customHeight="1">
      <c r="B29" s="88"/>
      <c r="C29" s="167"/>
      <c r="D29" s="166"/>
      <c r="E29" s="91" t="s">
        <v>4</v>
      </c>
      <c r="F29" s="200">
        <v>44041</v>
      </c>
      <c r="G29" s="2"/>
      <c r="H29" s="3">
        <v>920</v>
      </c>
      <c r="I29" s="193">
        <f t="shared" si="3"/>
        <v>1956</v>
      </c>
      <c r="J29" s="178"/>
      <c r="K29" s="4"/>
      <c r="L29" s="175"/>
    </row>
    <row r="30" spans="2:15" s="87" customFormat="1" ht="21" customHeight="1">
      <c r="B30" s="88"/>
      <c r="C30" s="167"/>
      <c r="D30" s="166"/>
      <c r="E30" s="220" t="s">
        <v>5</v>
      </c>
      <c r="F30" s="201">
        <v>44042</v>
      </c>
      <c r="G30" s="2"/>
      <c r="H30" s="3"/>
      <c r="I30" s="193">
        <f t="shared" si="3"/>
        <v>1956</v>
      </c>
      <c r="J30" s="178"/>
      <c r="K30" s="4"/>
      <c r="L30" s="175"/>
    </row>
    <row r="31" spans="2:15" s="87" customFormat="1" ht="21" customHeight="1">
      <c r="B31" s="88"/>
      <c r="C31" s="192"/>
      <c r="D31" s="191"/>
      <c r="E31" s="220" t="s">
        <v>6</v>
      </c>
      <c r="F31" s="201">
        <v>44043</v>
      </c>
      <c r="G31" s="2"/>
      <c r="H31" s="3"/>
      <c r="I31" s="193">
        <f t="shared" si="3"/>
        <v>1956</v>
      </c>
      <c r="J31" s="178"/>
      <c r="K31" s="4"/>
      <c r="L31" s="175"/>
    </row>
    <row r="32" spans="2:15" s="87" customFormat="1" ht="21" customHeight="1">
      <c r="B32" s="88"/>
      <c r="C32" s="192"/>
      <c r="D32" s="191"/>
      <c r="E32" s="220" t="s">
        <v>7</v>
      </c>
      <c r="F32" s="201">
        <v>44044</v>
      </c>
      <c r="G32" s="2"/>
      <c r="H32" s="3"/>
      <c r="I32" s="193">
        <f t="shared" si="3"/>
        <v>1956</v>
      </c>
      <c r="J32" s="178"/>
      <c r="K32" s="4"/>
      <c r="L32" s="175"/>
    </row>
    <row r="33" spans="2:12" s="87" customFormat="1" ht="21" customHeight="1">
      <c r="B33" s="88"/>
      <c r="C33" s="192"/>
      <c r="D33" s="191"/>
      <c r="E33" s="220" t="s">
        <v>8</v>
      </c>
      <c r="F33" s="201">
        <v>44045</v>
      </c>
      <c r="G33" s="2"/>
      <c r="H33" s="3"/>
      <c r="I33" s="193">
        <f t="shared" si="3"/>
        <v>1956</v>
      </c>
      <c r="J33" s="178"/>
      <c r="K33" s="4"/>
      <c r="L33" s="175"/>
    </row>
    <row r="34" spans="2:12" s="87" customFormat="1" ht="21" customHeight="1">
      <c r="B34" s="88"/>
      <c r="C34" s="192"/>
      <c r="D34" s="191"/>
      <c r="E34" s="1"/>
      <c r="F34" s="89">
        <v>44046</v>
      </c>
      <c r="G34" s="2"/>
      <c r="H34" s="3">
        <v>831</v>
      </c>
      <c r="I34" s="193">
        <f t="shared" si="3"/>
        <v>1125</v>
      </c>
      <c r="J34" s="178"/>
      <c r="K34" s="4"/>
      <c r="L34" s="175"/>
    </row>
    <row r="35" spans="2:12" s="87" customFormat="1" ht="21" customHeight="1">
      <c r="B35" s="88"/>
      <c r="C35" s="199"/>
      <c r="D35" s="198"/>
      <c r="E35" s="1"/>
      <c r="F35" s="89"/>
      <c r="G35" s="2"/>
      <c r="H35" s="3"/>
      <c r="I35" s="195"/>
      <c r="J35" s="178"/>
      <c r="K35" s="4"/>
      <c r="L35" s="175"/>
    </row>
    <row r="36" spans="2:12" s="87" customFormat="1" ht="21" customHeight="1">
      <c r="B36" s="88"/>
      <c r="C36" s="199"/>
      <c r="D36" s="198"/>
      <c r="E36" s="1"/>
      <c r="F36" s="89"/>
      <c r="G36" s="2"/>
      <c r="H36" s="3"/>
      <c r="I36" s="195"/>
      <c r="J36" s="178"/>
      <c r="K36" s="4"/>
      <c r="L36" s="175"/>
    </row>
    <row r="37" spans="2:12" s="87" customFormat="1" ht="30" customHeight="1">
      <c r="B37" s="88"/>
      <c r="C37" s="255" t="s">
        <v>5810</v>
      </c>
      <c r="D37" s="255"/>
      <c r="E37" s="255"/>
      <c r="F37" s="255"/>
      <c r="G37" s="255"/>
      <c r="H37" s="255"/>
      <c r="I37" s="255"/>
      <c r="J37" s="255"/>
      <c r="K37" s="255"/>
      <c r="L37" s="255"/>
    </row>
    <row r="38" spans="2:12" s="87" customFormat="1" ht="21" customHeight="1">
      <c r="B38" s="88"/>
      <c r="C38" s="281" t="s">
        <v>5803</v>
      </c>
      <c r="D38" s="281" t="s">
        <v>14</v>
      </c>
      <c r="E38" s="282" t="s">
        <v>1</v>
      </c>
      <c r="F38" s="282" t="s">
        <v>0</v>
      </c>
      <c r="G38" s="188"/>
      <c r="H38" s="283" t="s">
        <v>11</v>
      </c>
      <c r="I38" s="283"/>
      <c r="J38" s="283"/>
      <c r="K38" s="283"/>
      <c r="L38" s="281" t="s">
        <v>15</v>
      </c>
    </row>
    <row r="39" spans="2:12" s="87" customFormat="1" ht="21" customHeight="1">
      <c r="B39" s="88"/>
      <c r="C39" s="281"/>
      <c r="D39" s="281"/>
      <c r="E39" s="282"/>
      <c r="F39" s="282"/>
      <c r="G39" s="188" t="s">
        <v>5809</v>
      </c>
      <c r="H39" s="189" t="s">
        <v>5807</v>
      </c>
      <c r="I39" s="189" t="s">
        <v>5804</v>
      </c>
      <c r="J39" s="107" t="s">
        <v>9</v>
      </c>
      <c r="K39" s="107" t="s">
        <v>10</v>
      </c>
      <c r="L39" s="281"/>
    </row>
    <row r="40" spans="2:12" s="87" customFormat="1" ht="21" customHeight="1">
      <c r="B40" s="88"/>
      <c r="C40" s="249"/>
      <c r="D40" s="246" t="s">
        <v>5808</v>
      </c>
      <c r="E40" s="91" t="s">
        <v>3</v>
      </c>
      <c r="F40" s="89">
        <v>44047</v>
      </c>
      <c r="G40" s="278">
        <f>3050+1185</f>
        <v>4235</v>
      </c>
      <c r="H40" s="3">
        <v>975</v>
      </c>
      <c r="I40" s="193">
        <f>I34+G40-H40</f>
        <v>4385</v>
      </c>
      <c r="J40" s="178"/>
      <c r="K40" s="4"/>
      <c r="L40" s="175"/>
    </row>
    <row r="41" spans="2:12" s="87" customFormat="1" ht="21" customHeight="1">
      <c r="B41" s="88"/>
      <c r="C41" s="250"/>
      <c r="D41" s="247"/>
      <c r="E41" s="91" t="s">
        <v>4</v>
      </c>
      <c r="F41" s="89">
        <v>44048</v>
      </c>
      <c r="G41" s="279"/>
      <c r="H41" s="3">
        <v>975</v>
      </c>
      <c r="I41" s="193">
        <f>I40+G41-H41</f>
        <v>3410</v>
      </c>
      <c r="J41" s="178"/>
      <c r="K41" s="4"/>
      <c r="L41" s="175"/>
    </row>
    <row r="42" spans="2:12" s="87" customFormat="1" ht="21" customHeight="1">
      <c r="B42" s="88"/>
      <c r="C42" s="250"/>
      <c r="D42" s="247"/>
      <c r="E42" s="91" t="s">
        <v>5</v>
      </c>
      <c r="F42" s="89">
        <v>44049</v>
      </c>
      <c r="G42" s="279"/>
      <c r="H42" s="3">
        <v>975</v>
      </c>
      <c r="I42" s="193">
        <f>I41+G42-H42</f>
        <v>2435</v>
      </c>
      <c r="J42" s="178"/>
      <c r="K42" s="4"/>
      <c r="L42" s="175"/>
    </row>
    <row r="43" spans="2:12" s="87" customFormat="1" ht="21" customHeight="1">
      <c r="B43" s="88"/>
      <c r="C43" s="250"/>
      <c r="D43" s="247"/>
      <c r="E43" s="91" t="s">
        <v>6</v>
      </c>
      <c r="F43" s="89">
        <v>44050</v>
      </c>
      <c r="G43" s="280"/>
      <c r="H43" s="3">
        <v>975</v>
      </c>
      <c r="I43" s="193">
        <f>I42+G43-H43</f>
        <v>1460</v>
      </c>
      <c r="J43" s="178"/>
      <c r="K43" s="4"/>
      <c r="L43" s="175"/>
    </row>
    <row r="44" spans="2:12" s="87" customFormat="1" ht="21" customHeight="1">
      <c r="B44" s="88"/>
      <c r="C44" s="250"/>
      <c r="D44" s="247"/>
      <c r="E44" s="1" t="s">
        <v>7</v>
      </c>
      <c r="F44" s="201">
        <v>44051</v>
      </c>
      <c r="G44" s="93"/>
      <c r="H44" s="3"/>
      <c r="I44" s="190"/>
      <c r="J44" s="178"/>
      <c r="K44" s="4"/>
      <c r="L44" s="175"/>
    </row>
    <row r="45" spans="2:12" s="87" customFormat="1" ht="21" customHeight="1">
      <c r="B45" s="88"/>
      <c r="C45" s="251"/>
      <c r="D45" s="248"/>
      <c r="E45" s="1" t="s">
        <v>8</v>
      </c>
      <c r="F45" s="201">
        <v>44052</v>
      </c>
      <c r="G45" s="93"/>
      <c r="H45" s="3"/>
      <c r="I45" s="190"/>
      <c r="J45" s="178"/>
      <c r="K45" s="4"/>
      <c r="L45" s="175"/>
    </row>
    <row r="46" spans="2:12" s="87" customFormat="1" ht="21" customHeight="1">
      <c r="B46" s="88"/>
      <c r="C46" s="281" t="s">
        <v>5803</v>
      </c>
      <c r="D46" s="281" t="s">
        <v>14</v>
      </c>
      <c r="E46" s="282" t="s">
        <v>1</v>
      </c>
      <c r="F46" s="282" t="s">
        <v>0</v>
      </c>
      <c r="G46" s="275" t="s">
        <v>11</v>
      </c>
      <c r="H46" s="276"/>
      <c r="I46" s="276"/>
      <c r="J46" s="276"/>
      <c r="K46" s="277"/>
      <c r="L46" s="281" t="s">
        <v>15</v>
      </c>
    </row>
    <row r="47" spans="2:12" s="87" customFormat="1" ht="21" customHeight="1">
      <c r="B47" s="88"/>
      <c r="C47" s="281"/>
      <c r="D47" s="281"/>
      <c r="E47" s="282"/>
      <c r="F47" s="282"/>
      <c r="G47" s="196" t="s">
        <v>5806</v>
      </c>
      <c r="H47" s="197" t="s">
        <v>5807</v>
      </c>
      <c r="I47" s="197" t="s">
        <v>5804</v>
      </c>
      <c r="J47" s="107" t="s">
        <v>9</v>
      </c>
      <c r="K47" s="107" t="s">
        <v>10</v>
      </c>
      <c r="L47" s="281"/>
    </row>
    <row r="48" spans="2:12" s="87" customFormat="1" ht="21" customHeight="1">
      <c r="B48" s="88"/>
      <c r="C48" s="249"/>
      <c r="D48" s="246" t="s">
        <v>5811</v>
      </c>
      <c r="E48" s="91" t="s">
        <v>2</v>
      </c>
      <c r="F48" s="89">
        <v>44053</v>
      </c>
      <c r="G48" s="205">
        <v>1000</v>
      </c>
      <c r="H48" s="205">
        <v>1000</v>
      </c>
      <c r="I48" s="190"/>
      <c r="J48" s="178">
        <v>1390.9091000000001</v>
      </c>
      <c r="K48" s="4">
        <f>J48*G48</f>
        <v>1390909.1</v>
      </c>
      <c r="L48" s="175"/>
    </row>
    <row r="49" spans="2:12" s="87" customFormat="1" ht="21" customHeight="1">
      <c r="B49" s="88"/>
      <c r="C49" s="250"/>
      <c r="D49" s="247"/>
      <c r="E49" s="91" t="s">
        <v>3</v>
      </c>
      <c r="F49" s="89">
        <v>44054</v>
      </c>
      <c r="G49" s="205">
        <v>1000</v>
      </c>
      <c r="H49" s="205">
        <v>1000</v>
      </c>
      <c r="I49" s="190"/>
      <c r="J49" s="178">
        <v>1390.9091000000001</v>
      </c>
      <c r="K49" s="4">
        <f t="shared" ref="K49:K61" si="4">J49*G49</f>
        <v>1390909.1</v>
      </c>
      <c r="L49" s="175"/>
    </row>
    <row r="50" spans="2:12" s="87" customFormat="1" ht="21" customHeight="1">
      <c r="B50" s="88"/>
      <c r="C50" s="250"/>
      <c r="D50" s="247"/>
      <c r="E50" s="91" t="s">
        <v>4</v>
      </c>
      <c r="F50" s="89">
        <v>44055</v>
      </c>
      <c r="G50" s="205">
        <v>1000</v>
      </c>
      <c r="H50" s="205">
        <v>1000</v>
      </c>
      <c r="I50" s="190"/>
      <c r="J50" s="178">
        <v>1390.9091000000001</v>
      </c>
      <c r="K50" s="4">
        <f t="shared" si="4"/>
        <v>1390909.1</v>
      </c>
      <c r="L50" s="175"/>
    </row>
    <row r="51" spans="2:12" s="87" customFormat="1" ht="21" customHeight="1">
      <c r="B51" s="88"/>
      <c r="C51" s="250"/>
      <c r="D51" s="247"/>
      <c r="E51" s="91" t="s">
        <v>5</v>
      </c>
      <c r="F51" s="89">
        <v>44056</v>
      </c>
      <c r="G51" s="205">
        <v>1000</v>
      </c>
      <c r="H51" s="205">
        <v>1000</v>
      </c>
      <c r="I51" s="190"/>
      <c r="J51" s="178">
        <v>1390.9091000000001</v>
      </c>
      <c r="K51" s="4">
        <f t="shared" si="4"/>
        <v>1390909.1</v>
      </c>
      <c r="L51" s="175"/>
    </row>
    <row r="52" spans="2:12" s="87" customFormat="1" ht="21" customHeight="1">
      <c r="B52" s="88"/>
      <c r="C52" s="250"/>
      <c r="D52" s="247"/>
      <c r="E52" s="91" t="s">
        <v>6</v>
      </c>
      <c r="F52" s="89">
        <v>44057</v>
      </c>
      <c r="G52" s="205">
        <v>1000</v>
      </c>
      <c r="H52" s="205">
        <v>1000</v>
      </c>
      <c r="I52" s="190"/>
      <c r="J52" s="178">
        <v>1390.9091000000001</v>
      </c>
      <c r="K52" s="4">
        <f t="shared" si="4"/>
        <v>1390909.1</v>
      </c>
      <c r="L52" s="175"/>
    </row>
    <row r="53" spans="2:12" s="87" customFormat="1" ht="21" customHeight="1">
      <c r="B53" s="88"/>
      <c r="C53" s="250"/>
      <c r="D53" s="248"/>
      <c r="E53" s="202" t="s">
        <v>7</v>
      </c>
      <c r="F53" s="89">
        <v>44058</v>
      </c>
      <c r="G53" s="205">
        <v>1000</v>
      </c>
      <c r="H53" s="205">
        <v>1000</v>
      </c>
      <c r="I53" s="190"/>
      <c r="J53" s="178">
        <v>1390.9091000000001</v>
      </c>
      <c r="K53" s="4">
        <f t="shared" si="4"/>
        <v>1390909.1</v>
      </c>
      <c r="L53" s="175"/>
    </row>
    <row r="54" spans="2:12" s="87" customFormat="1" ht="21" customHeight="1">
      <c r="B54" s="88"/>
      <c r="C54" s="250"/>
      <c r="D54" s="191"/>
      <c r="E54" s="203" t="s">
        <v>8</v>
      </c>
      <c r="F54" s="204">
        <v>44059</v>
      </c>
      <c r="G54" s="93"/>
      <c r="H54" s="3"/>
      <c r="I54" s="190"/>
      <c r="J54" s="178"/>
      <c r="K54" s="4">
        <f t="shared" si="4"/>
        <v>0</v>
      </c>
      <c r="L54" s="175"/>
    </row>
    <row r="55" spans="2:12" s="87" customFormat="1" ht="21" customHeight="1">
      <c r="B55" s="88"/>
      <c r="C55" s="250"/>
      <c r="D55" s="191"/>
      <c r="E55" s="203" t="s">
        <v>2</v>
      </c>
      <c r="F55" s="204">
        <v>44060</v>
      </c>
      <c r="G55" s="93"/>
      <c r="H55" s="3"/>
      <c r="I55" s="190"/>
      <c r="J55" s="178"/>
      <c r="K55" s="4">
        <f t="shared" si="4"/>
        <v>0</v>
      </c>
      <c r="L55" s="175"/>
    </row>
    <row r="56" spans="2:12" s="87" customFormat="1" ht="21" customHeight="1">
      <c r="B56" s="88"/>
      <c r="C56" s="250"/>
      <c r="D56" s="191"/>
      <c r="E56" s="203" t="s">
        <v>3</v>
      </c>
      <c r="F56" s="204">
        <v>44061</v>
      </c>
      <c r="G56" s="93"/>
      <c r="H56" s="3"/>
      <c r="I56" s="190"/>
      <c r="J56" s="178"/>
      <c r="K56" s="4">
        <f t="shared" si="4"/>
        <v>0</v>
      </c>
      <c r="L56" s="175"/>
    </row>
    <row r="57" spans="2:12" s="87" customFormat="1" ht="21" customHeight="1">
      <c r="B57" s="88"/>
      <c r="C57" s="250"/>
      <c r="D57" s="191"/>
      <c r="E57" s="203" t="s">
        <v>4</v>
      </c>
      <c r="F57" s="204">
        <v>44062</v>
      </c>
      <c r="G57" s="93"/>
      <c r="H57" s="3"/>
      <c r="I57" s="190"/>
      <c r="J57" s="178"/>
      <c r="K57" s="4">
        <f t="shared" si="4"/>
        <v>0</v>
      </c>
      <c r="L57" s="175"/>
    </row>
    <row r="58" spans="2:12" s="87" customFormat="1" ht="21" customHeight="1">
      <c r="B58" s="88"/>
      <c r="C58" s="250"/>
      <c r="D58" s="191"/>
      <c r="E58" s="203" t="s">
        <v>5</v>
      </c>
      <c r="F58" s="204">
        <v>44063</v>
      </c>
      <c r="G58" s="93"/>
      <c r="H58" s="3"/>
      <c r="I58" s="190"/>
      <c r="J58" s="178"/>
      <c r="K58" s="4">
        <f t="shared" si="4"/>
        <v>0</v>
      </c>
      <c r="L58" s="175"/>
    </row>
    <row r="59" spans="2:12" s="87" customFormat="1" ht="21" customHeight="1">
      <c r="B59" s="88"/>
      <c r="C59" s="250"/>
      <c r="D59" s="191"/>
      <c r="E59" s="203" t="s">
        <v>6</v>
      </c>
      <c r="F59" s="204">
        <v>44064</v>
      </c>
      <c r="G59" s="93"/>
      <c r="H59" s="3"/>
      <c r="I59" s="190"/>
      <c r="J59" s="178"/>
      <c r="K59" s="4">
        <f t="shared" si="4"/>
        <v>0</v>
      </c>
      <c r="L59" s="175"/>
    </row>
    <row r="60" spans="2:12" s="87" customFormat="1" ht="21" customHeight="1">
      <c r="B60" s="88"/>
      <c r="C60" s="250"/>
      <c r="D60" s="191"/>
      <c r="E60" s="203" t="s">
        <v>7</v>
      </c>
      <c r="F60" s="204">
        <v>44065</v>
      </c>
      <c r="G60" s="93"/>
      <c r="H60" s="3"/>
      <c r="I60" s="190"/>
      <c r="J60" s="178"/>
      <c r="K60" s="4">
        <f t="shared" si="4"/>
        <v>0</v>
      </c>
      <c r="L60" s="175"/>
    </row>
    <row r="61" spans="2:12" s="87" customFormat="1" ht="21" customHeight="1">
      <c r="B61" s="88"/>
      <c r="C61" s="250"/>
      <c r="D61" s="191"/>
      <c r="E61" s="203" t="s">
        <v>8</v>
      </c>
      <c r="F61" s="204">
        <v>44066</v>
      </c>
      <c r="G61" s="93"/>
      <c r="H61" s="3"/>
      <c r="I61" s="190"/>
      <c r="J61" s="178"/>
      <c r="K61" s="4">
        <f t="shared" si="4"/>
        <v>0</v>
      </c>
      <c r="L61" s="175"/>
    </row>
    <row r="62" spans="2:12" s="87" customFormat="1" ht="21" customHeight="1">
      <c r="B62" s="88"/>
      <c r="C62" s="250"/>
      <c r="D62" s="246" t="s">
        <v>5812</v>
      </c>
      <c r="E62" s="91" t="s">
        <v>2</v>
      </c>
      <c r="F62" s="89">
        <v>44067</v>
      </c>
      <c r="G62" s="205">
        <v>1000</v>
      </c>
      <c r="H62" s="205">
        <v>1000</v>
      </c>
      <c r="I62" s="190"/>
      <c r="J62" s="178">
        <v>1390.9091000000001</v>
      </c>
      <c r="K62" s="4">
        <f>J62*G62</f>
        <v>1390909.1</v>
      </c>
      <c r="L62" s="175"/>
    </row>
    <row r="63" spans="2:12" s="87" customFormat="1" ht="21" customHeight="1">
      <c r="B63" s="88"/>
      <c r="C63" s="250"/>
      <c r="D63" s="247"/>
      <c r="E63" s="91" t="s">
        <v>3</v>
      </c>
      <c r="F63" s="89">
        <v>44068</v>
      </c>
      <c r="G63" s="205">
        <v>1000</v>
      </c>
      <c r="H63" s="205">
        <v>1000</v>
      </c>
      <c r="I63" s="190"/>
      <c r="J63" s="178">
        <v>1390.9091000000001</v>
      </c>
      <c r="K63" s="4">
        <f t="shared" ref="K63:K66" si="5">J63*G63</f>
        <v>1390909.1</v>
      </c>
      <c r="L63" s="175"/>
    </row>
    <row r="64" spans="2:12" s="87" customFormat="1" ht="21" customHeight="1">
      <c r="B64" s="88"/>
      <c r="C64" s="250"/>
      <c r="D64" s="247"/>
      <c r="E64" s="91" t="s">
        <v>4</v>
      </c>
      <c r="F64" s="89">
        <v>44069</v>
      </c>
      <c r="G64" s="205">
        <v>1000</v>
      </c>
      <c r="H64" s="205">
        <v>1000</v>
      </c>
      <c r="I64" s="190"/>
      <c r="J64" s="178">
        <v>1390.9091000000001</v>
      </c>
      <c r="K64" s="4">
        <f t="shared" si="5"/>
        <v>1390909.1</v>
      </c>
      <c r="L64" s="175"/>
    </row>
    <row r="65" spans="2:12" s="87" customFormat="1" ht="21" customHeight="1">
      <c r="B65" s="88"/>
      <c r="C65" s="250"/>
      <c r="D65" s="247"/>
      <c r="E65" s="91" t="s">
        <v>5</v>
      </c>
      <c r="F65" s="89">
        <v>44070</v>
      </c>
      <c r="G65" s="205">
        <v>1000</v>
      </c>
      <c r="H65" s="205">
        <v>1000</v>
      </c>
      <c r="I65" s="190"/>
      <c r="J65" s="178">
        <v>1390.9091000000001</v>
      </c>
      <c r="K65" s="4">
        <f t="shared" si="5"/>
        <v>1390909.1</v>
      </c>
      <c r="L65" s="175"/>
    </row>
    <row r="66" spans="2:12" s="87" customFormat="1" ht="21" customHeight="1">
      <c r="B66" s="88"/>
      <c r="C66" s="250"/>
      <c r="D66" s="248"/>
      <c r="E66" s="91" t="s">
        <v>6</v>
      </c>
      <c r="F66" s="89">
        <v>44071</v>
      </c>
      <c r="G66" s="205">
        <v>1000</v>
      </c>
      <c r="H66" s="205">
        <v>1000</v>
      </c>
      <c r="I66" s="190"/>
      <c r="J66" s="178">
        <v>1390.9091000000001</v>
      </c>
      <c r="K66" s="4">
        <f t="shared" si="5"/>
        <v>1390909.1</v>
      </c>
      <c r="L66" s="175"/>
    </row>
    <row r="67" spans="2:12" s="87" customFormat="1" ht="21" customHeight="1">
      <c r="B67" s="88"/>
      <c r="C67" s="250"/>
      <c r="D67" s="191"/>
      <c r="E67" s="1" t="s">
        <v>7</v>
      </c>
      <c r="F67" s="201">
        <v>44072</v>
      </c>
      <c r="G67" s="93"/>
      <c r="H67" s="205"/>
      <c r="I67" s="190"/>
      <c r="J67" s="178"/>
      <c r="K67" s="4"/>
      <c r="L67" s="175"/>
    </row>
    <row r="68" spans="2:12" s="87" customFormat="1" ht="21" customHeight="1">
      <c r="B68" s="88"/>
      <c r="C68" s="251"/>
      <c r="D68" s="191"/>
      <c r="E68" s="1" t="s">
        <v>8</v>
      </c>
      <c r="F68" s="201">
        <v>44073</v>
      </c>
      <c r="G68" s="93"/>
      <c r="H68" s="3"/>
      <c r="I68" s="190"/>
      <c r="J68" s="178"/>
      <c r="K68" s="4"/>
      <c r="L68" s="175"/>
    </row>
    <row r="69" spans="2:12" s="108" customFormat="1" ht="39.950000000000003" customHeight="1">
      <c r="B69" s="109"/>
      <c r="C69" s="284" t="s">
        <v>17</v>
      </c>
      <c r="D69" s="284"/>
      <c r="E69" s="284"/>
      <c r="F69" s="284"/>
      <c r="G69" s="194">
        <f>SUM(G48:G68)</f>
        <v>11000</v>
      </c>
      <c r="H69" s="285">
        <f>SUM(H48:H66)</f>
        <v>11000</v>
      </c>
      <c r="I69" s="286"/>
      <c r="J69" s="287">
        <f>SUM(K48:K66)</f>
        <v>15300000.099999998</v>
      </c>
      <c r="K69" s="287"/>
      <c r="L69" s="287"/>
    </row>
    <row r="70" spans="2:12" ht="20.100000000000001" customHeight="1">
      <c r="B70" s="92"/>
      <c r="C70" s="95" t="s">
        <v>19</v>
      </c>
      <c r="D70" s="98"/>
    </row>
    <row r="71" spans="2:12" ht="20.100000000000001" customHeight="1">
      <c r="B71" s="92"/>
      <c r="C71" s="98">
        <f>H69</f>
        <v>11000</v>
      </c>
    </row>
    <row r="72" spans="2:12" ht="20.100000000000001" customHeight="1">
      <c r="L72" s="110"/>
    </row>
    <row r="73" spans="2:12" ht="20.100000000000001" customHeight="1"/>
    <row r="74" spans="2:12" ht="20.100000000000001" customHeight="1"/>
    <row r="75" spans="2:12" ht="20.100000000000001" customHeight="1"/>
    <row r="76" spans="2:12" ht="20.100000000000001" customHeight="1"/>
    <row r="77" spans="2:12" ht="20.100000000000001" customHeight="1"/>
    <row r="78" spans="2:12" ht="20.100000000000001" customHeight="1"/>
    <row r="79" spans="2:12" ht="20.100000000000001" customHeight="1"/>
    <row r="80" spans="2:12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15" customHeight="1"/>
    <row r="479" ht="15" customHeight="1"/>
    <row r="480" ht="15" customHeight="1"/>
    <row r="481" ht="15" customHeight="1"/>
  </sheetData>
  <mergeCells count="32">
    <mergeCell ref="C69:F69"/>
    <mergeCell ref="H69:I69"/>
    <mergeCell ref="J69:L69"/>
    <mergeCell ref="E9:F9"/>
    <mergeCell ref="C38:C39"/>
    <mergeCell ref="D38:D39"/>
    <mergeCell ref="E38:E39"/>
    <mergeCell ref="F38:F39"/>
    <mergeCell ref="H38:K38"/>
    <mergeCell ref="L38:L39"/>
    <mergeCell ref="C46:C47"/>
    <mergeCell ref="D46:D47"/>
    <mergeCell ref="E46:E47"/>
    <mergeCell ref="F46:F47"/>
    <mergeCell ref="L46:L47"/>
    <mergeCell ref="C37:L37"/>
    <mergeCell ref="L7:L8"/>
    <mergeCell ref="C3:L3"/>
    <mergeCell ref="C5:L5"/>
    <mergeCell ref="C6:L6"/>
    <mergeCell ref="C7:C8"/>
    <mergeCell ref="D7:D8"/>
    <mergeCell ref="E7:E8"/>
    <mergeCell ref="F7:F8"/>
    <mergeCell ref="H7:K7"/>
    <mergeCell ref="D48:D53"/>
    <mergeCell ref="D62:D66"/>
    <mergeCell ref="C48:C68"/>
    <mergeCell ref="G46:K46"/>
    <mergeCell ref="D40:D45"/>
    <mergeCell ref="C40:C45"/>
    <mergeCell ref="G40:G43"/>
  </mergeCells>
  <printOptions horizontalCentered="1"/>
  <pageMargins left="0.196850393700787" right="0.196850393700787" top="1.5748031496063" bottom="0.196850393700787" header="1.5748031496063" footer="0.196850393700787"/>
  <pageSetup paperSize="9" scale="6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481"/>
  <sheetViews>
    <sheetView topLeftCell="B46" zoomScaleNormal="100" workbookViewId="0">
      <selection activeCell="P58" sqref="P58"/>
    </sheetView>
  </sheetViews>
  <sheetFormatPr defaultRowHeight="12.75"/>
  <cols>
    <col min="1" max="1" width="1.7109375" style="90" customWidth="1"/>
    <col min="2" max="2" width="3.7109375" style="90" customWidth="1"/>
    <col min="3" max="3" width="22.7109375" style="95" customWidth="1"/>
    <col min="4" max="4" width="15.7109375" style="95" customWidth="1"/>
    <col min="5" max="5" width="8.7109375" style="96" customWidth="1"/>
    <col min="6" max="6" width="12.7109375" style="97" customWidth="1"/>
    <col min="7" max="7" width="14.42578125" style="97" bestFit="1" customWidth="1"/>
    <col min="8" max="8" width="15.28515625" style="100" bestFit="1" customWidth="1"/>
    <col min="9" max="9" width="10.7109375" style="101" customWidth="1"/>
    <col min="10" max="10" width="12.7109375" style="98" customWidth="1"/>
    <col min="11" max="11" width="17.7109375" style="98" customWidth="1"/>
    <col min="12" max="12" width="20.7109375" style="102" customWidth="1"/>
    <col min="13" max="13" width="4.140625" style="90" customWidth="1"/>
    <col min="14" max="14" width="9.140625" style="90"/>
    <col min="15" max="15" width="12.42578125" style="90" bestFit="1" customWidth="1"/>
    <col min="16" max="16384" width="9.140625" style="90"/>
  </cols>
  <sheetData>
    <row r="1" spans="2:12" ht="20.100000000000001" customHeight="1">
      <c r="B1" s="92"/>
      <c r="C1" s="99" t="s">
        <v>18</v>
      </c>
    </row>
    <row r="2" spans="2:12" ht="20.100000000000001" customHeight="1">
      <c r="B2" s="92"/>
      <c r="C2" s="103" t="s">
        <v>20</v>
      </c>
    </row>
    <row r="3" spans="2:12" ht="30" customHeight="1">
      <c r="B3" s="92"/>
      <c r="C3" s="255" t="s">
        <v>5759</v>
      </c>
      <c r="D3" s="255"/>
      <c r="E3" s="255"/>
      <c r="F3" s="255"/>
      <c r="G3" s="255"/>
      <c r="H3" s="255"/>
      <c r="I3" s="255"/>
      <c r="J3" s="255"/>
      <c r="K3" s="255"/>
      <c r="L3" s="255"/>
    </row>
    <row r="4" spans="2:12" ht="20.100000000000001" customHeight="1">
      <c r="B4" s="92"/>
      <c r="C4" s="214"/>
      <c r="D4" s="214"/>
      <c r="E4" s="214"/>
      <c r="F4" s="214"/>
      <c r="G4" s="214"/>
      <c r="H4" s="214"/>
      <c r="I4" s="214"/>
      <c r="J4" s="214"/>
      <c r="K4" s="214"/>
      <c r="L4" s="214"/>
    </row>
    <row r="5" spans="2:12" ht="20.100000000000001" customHeight="1">
      <c r="B5" s="92"/>
      <c r="C5" s="256" t="s">
        <v>5758</v>
      </c>
      <c r="D5" s="256"/>
      <c r="E5" s="256"/>
      <c r="F5" s="256"/>
      <c r="G5" s="256"/>
      <c r="H5" s="256"/>
      <c r="I5" s="256"/>
      <c r="J5" s="256"/>
      <c r="K5" s="256"/>
      <c r="L5" s="256"/>
    </row>
    <row r="6" spans="2:12" ht="20.100000000000001" customHeight="1">
      <c r="B6" s="92"/>
      <c r="C6" s="256"/>
      <c r="D6" s="256"/>
      <c r="E6" s="256"/>
      <c r="F6" s="256"/>
      <c r="G6" s="256"/>
      <c r="H6" s="256"/>
      <c r="I6" s="256"/>
      <c r="J6" s="256"/>
      <c r="K6" s="256"/>
      <c r="L6" s="256"/>
    </row>
    <row r="7" spans="2:12" ht="20.100000000000001" customHeight="1">
      <c r="B7" s="92"/>
      <c r="C7" s="281" t="s">
        <v>5803</v>
      </c>
      <c r="D7" s="281" t="s">
        <v>14</v>
      </c>
      <c r="E7" s="282" t="s">
        <v>1</v>
      </c>
      <c r="F7" s="282" t="s">
        <v>0</v>
      </c>
      <c r="G7" s="212"/>
      <c r="H7" s="283" t="s">
        <v>11</v>
      </c>
      <c r="I7" s="283"/>
      <c r="J7" s="283"/>
      <c r="K7" s="283"/>
      <c r="L7" s="281" t="s">
        <v>15</v>
      </c>
    </row>
    <row r="8" spans="2:12" ht="20.100000000000001" customHeight="1">
      <c r="B8" s="92"/>
      <c r="C8" s="281"/>
      <c r="D8" s="281"/>
      <c r="E8" s="282"/>
      <c r="F8" s="282"/>
      <c r="G8" s="212" t="s">
        <v>5806</v>
      </c>
      <c r="H8" s="213" t="s">
        <v>5805</v>
      </c>
      <c r="I8" s="213" t="s">
        <v>5804</v>
      </c>
      <c r="J8" s="107" t="s">
        <v>9</v>
      </c>
      <c r="K8" s="107" t="s">
        <v>10</v>
      </c>
      <c r="L8" s="281"/>
    </row>
    <row r="9" spans="2:12" ht="20.100000000000001" customHeight="1">
      <c r="B9" s="92"/>
      <c r="C9" s="177"/>
      <c r="D9" s="89">
        <v>44018</v>
      </c>
      <c r="E9" s="288" t="s">
        <v>5802</v>
      </c>
      <c r="F9" s="289"/>
      <c r="G9" s="93">
        <v>2000</v>
      </c>
      <c r="H9" s="90"/>
      <c r="I9" s="184"/>
      <c r="J9" s="5"/>
      <c r="K9" s="5"/>
      <c r="L9" s="175"/>
    </row>
    <row r="10" spans="2:12" ht="20.100000000000001" customHeight="1">
      <c r="B10" s="92"/>
      <c r="C10" s="177"/>
      <c r="D10" s="176"/>
      <c r="E10" s="91" t="s">
        <v>6</v>
      </c>
      <c r="F10" s="89">
        <v>44022</v>
      </c>
      <c r="G10" s="89"/>
      <c r="H10" s="182">
        <v>404</v>
      </c>
      <c r="I10" s="210">
        <f>G9-H10</f>
        <v>1596</v>
      </c>
      <c r="J10" s="178">
        <v>1391.91</v>
      </c>
      <c r="K10" s="5">
        <f>ROUND(J10*H10,0)</f>
        <v>562332</v>
      </c>
      <c r="L10" s="175">
        <f>H10*J10</f>
        <v>562331.64</v>
      </c>
    </row>
    <row r="11" spans="2:12" s="87" customFormat="1" ht="20.100000000000001" customHeight="1">
      <c r="B11" s="88"/>
      <c r="C11" s="177"/>
      <c r="D11" s="176"/>
      <c r="E11" s="1" t="s">
        <v>7</v>
      </c>
      <c r="F11" s="2">
        <v>44023</v>
      </c>
      <c r="G11" s="2"/>
      <c r="H11" s="183"/>
      <c r="I11" s="210"/>
      <c r="J11" s="178">
        <v>1391.91</v>
      </c>
      <c r="K11" s="4">
        <f t="shared" ref="K11:K26" si="0">+J11*H11</f>
        <v>0</v>
      </c>
      <c r="L11" s="175"/>
    </row>
    <row r="12" spans="2:12" s="87" customFormat="1" ht="20.100000000000001" customHeight="1">
      <c r="B12" s="88"/>
      <c r="C12" s="177"/>
      <c r="D12" s="176"/>
      <c r="E12" s="1" t="s">
        <v>8</v>
      </c>
      <c r="F12" s="2">
        <v>44024</v>
      </c>
      <c r="G12" s="2"/>
      <c r="H12" s="183"/>
      <c r="I12" s="210"/>
      <c r="J12" s="178">
        <v>1391.91</v>
      </c>
      <c r="K12" s="4">
        <f t="shared" si="0"/>
        <v>0</v>
      </c>
      <c r="L12" s="175"/>
    </row>
    <row r="13" spans="2:12" s="87" customFormat="1" ht="20.100000000000001" customHeight="1">
      <c r="B13" s="88"/>
      <c r="C13" s="179"/>
      <c r="D13" s="185"/>
      <c r="E13" s="91" t="s">
        <v>2</v>
      </c>
      <c r="F13" s="89">
        <v>44025</v>
      </c>
      <c r="G13" s="93">
        <v>2700</v>
      </c>
      <c r="H13" s="183">
        <v>575</v>
      </c>
      <c r="I13" s="210">
        <f>I10+G13-H13</f>
        <v>3721</v>
      </c>
      <c r="J13" s="178">
        <v>1391.91</v>
      </c>
      <c r="K13" s="5">
        <f t="shared" si="0"/>
        <v>800348.25</v>
      </c>
      <c r="L13" s="175">
        <f>SUM(K13:K19)</f>
        <v>5804264.7000000002</v>
      </c>
    </row>
    <row r="14" spans="2:12" s="87" customFormat="1" ht="20.100000000000001" customHeight="1">
      <c r="B14" s="88"/>
      <c r="C14" s="180"/>
      <c r="D14" s="186"/>
      <c r="E14" s="91" t="s">
        <v>3</v>
      </c>
      <c r="F14" s="89">
        <v>44026</v>
      </c>
      <c r="G14" s="89"/>
      <c r="H14" s="183">
        <v>850</v>
      </c>
      <c r="I14" s="210">
        <f>I13-H14</f>
        <v>2871</v>
      </c>
      <c r="J14" s="178">
        <v>1391.91</v>
      </c>
      <c r="K14" s="5">
        <f t="shared" si="0"/>
        <v>1183123.5</v>
      </c>
      <c r="L14" s="175">
        <f t="shared" ref="L14:L18" si="1">SUM(K14:K20)</f>
        <v>6310919.9400000004</v>
      </c>
    </row>
    <row r="15" spans="2:12" s="87" customFormat="1" ht="20.100000000000001" customHeight="1">
      <c r="B15" s="88"/>
      <c r="C15" s="180"/>
      <c r="D15" s="186"/>
      <c r="E15" s="91" t="s">
        <v>4</v>
      </c>
      <c r="F15" s="89">
        <v>44027</v>
      </c>
      <c r="G15" s="89"/>
      <c r="H15" s="183">
        <v>940</v>
      </c>
      <c r="I15" s="210">
        <f>I14-H15</f>
        <v>1931</v>
      </c>
      <c r="J15" s="178">
        <v>1391.91</v>
      </c>
      <c r="K15" s="5">
        <f t="shared" si="0"/>
        <v>1308395.4000000001</v>
      </c>
      <c r="L15" s="175">
        <f t="shared" si="1"/>
        <v>6441759.4800000004</v>
      </c>
    </row>
    <row r="16" spans="2:12" s="87" customFormat="1" ht="20.100000000000001" customHeight="1">
      <c r="B16" s="88"/>
      <c r="C16" s="180"/>
      <c r="D16" s="186"/>
      <c r="E16" s="91" t="s">
        <v>5</v>
      </c>
      <c r="F16" s="89">
        <v>44028</v>
      </c>
      <c r="G16" s="89"/>
      <c r="H16" s="183">
        <v>870</v>
      </c>
      <c r="I16" s="210">
        <f>+I15-H16</f>
        <v>1061</v>
      </c>
      <c r="J16" s="178">
        <v>1391.91</v>
      </c>
      <c r="K16" s="5">
        <f t="shared" si="0"/>
        <v>1210961.7000000002</v>
      </c>
      <c r="L16" s="175">
        <f t="shared" si="1"/>
        <v>6448719.0300000003</v>
      </c>
    </row>
    <row r="17" spans="2:15" s="87" customFormat="1" ht="20.100000000000001" customHeight="1">
      <c r="B17" s="88"/>
      <c r="C17" s="180"/>
      <c r="D17" s="186"/>
      <c r="E17" s="91" t="s">
        <v>6</v>
      </c>
      <c r="F17" s="89">
        <v>44029</v>
      </c>
      <c r="G17" s="93">
        <v>2500</v>
      </c>
      <c r="H17" s="183">
        <v>880</v>
      </c>
      <c r="I17" s="210">
        <f t="shared" ref="I17:I23" si="2">+I16+G17-H17</f>
        <v>2681</v>
      </c>
      <c r="J17" s="178">
        <v>1391.91</v>
      </c>
      <c r="K17" s="5">
        <f t="shared" si="0"/>
        <v>1224880.8</v>
      </c>
      <c r="L17" s="175">
        <f t="shared" si="1"/>
        <v>6594869.5800000001</v>
      </c>
    </row>
    <row r="18" spans="2:15" s="87" customFormat="1" ht="20.100000000000001" customHeight="1">
      <c r="B18" s="88"/>
      <c r="C18" s="180"/>
      <c r="D18" s="186"/>
      <c r="E18" s="1" t="s">
        <v>7</v>
      </c>
      <c r="F18" s="2">
        <v>44030</v>
      </c>
      <c r="G18" s="2"/>
      <c r="H18" s="183">
        <v>55</v>
      </c>
      <c r="I18" s="210">
        <f t="shared" si="2"/>
        <v>2626</v>
      </c>
      <c r="J18" s="178">
        <v>1391.91</v>
      </c>
      <c r="K18" s="4">
        <f t="shared" si="0"/>
        <v>76555.05</v>
      </c>
      <c r="L18" s="175">
        <f t="shared" si="1"/>
        <v>6729884.8500000006</v>
      </c>
    </row>
    <row r="19" spans="2:15" s="87" customFormat="1" ht="20.100000000000001" customHeight="1">
      <c r="B19" s="88"/>
      <c r="C19" s="181"/>
      <c r="D19" s="187"/>
      <c r="E19" s="1" t="s">
        <v>8</v>
      </c>
      <c r="F19" s="2">
        <v>44031</v>
      </c>
      <c r="G19" s="2"/>
      <c r="H19" s="183"/>
      <c r="I19" s="210">
        <f t="shared" si="2"/>
        <v>2626</v>
      </c>
      <c r="J19" s="178">
        <v>1391.91</v>
      </c>
      <c r="K19" s="4">
        <f t="shared" si="0"/>
        <v>0</v>
      </c>
      <c r="L19" s="175"/>
    </row>
    <row r="20" spans="2:15" s="87" customFormat="1" ht="20.100000000000001" customHeight="1">
      <c r="B20" s="88"/>
      <c r="C20" s="179"/>
      <c r="D20" s="185" t="s">
        <v>5774</v>
      </c>
      <c r="E20" s="91" t="s">
        <v>2</v>
      </c>
      <c r="F20" s="89">
        <v>44032</v>
      </c>
      <c r="G20" s="89">
        <v>20</v>
      </c>
      <c r="H20" s="183">
        <v>939</v>
      </c>
      <c r="I20" s="210">
        <f t="shared" si="2"/>
        <v>1707</v>
      </c>
      <c r="J20" s="178">
        <v>1391.91</v>
      </c>
      <c r="K20" s="5">
        <f t="shared" si="0"/>
        <v>1307003.49</v>
      </c>
      <c r="L20" s="175">
        <f>SUM(K20:K26)</f>
        <v>7954765.6500000004</v>
      </c>
    </row>
    <row r="21" spans="2:15" s="87" customFormat="1" ht="20.100000000000001" customHeight="1">
      <c r="B21" s="88"/>
      <c r="C21" s="180"/>
      <c r="D21" s="186"/>
      <c r="E21" s="91" t="s">
        <v>3</v>
      </c>
      <c r="F21" s="89">
        <v>44033</v>
      </c>
      <c r="G21" s="93">
        <v>2500</v>
      </c>
      <c r="H21" s="183">
        <v>944</v>
      </c>
      <c r="I21" s="210">
        <f t="shared" si="2"/>
        <v>3263</v>
      </c>
      <c r="J21" s="178">
        <v>1391.91</v>
      </c>
      <c r="K21" s="5">
        <f t="shared" si="0"/>
        <v>1313963.04</v>
      </c>
      <c r="L21" s="175">
        <f>SUM(K21:K69)</f>
        <v>17858489.506000001</v>
      </c>
    </row>
    <row r="22" spans="2:15" s="87" customFormat="1" ht="20.100000000000001" customHeight="1">
      <c r="B22" s="88"/>
      <c r="C22" s="180"/>
      <c r="D22" s="186"/>
      <c r="E22" s="91" t="s">
        <v>4</v>
      </c>
      <c r="F22" s="89">
        <v>44034</v>
      </c>
      <c r="G22" s="89"/>
      <c r="H22" s="183">
        <f>825+120</f>
        <v>945</v>
      </c>
      <c r="I22" s="210">
        <f t="shared" si="2"/>
        <v>2318</v>
      </c>
      <c r="J22" s="178">
        <v>1391.91</v>
      </c>
      <c r="K22" s="5">
        <f t="shared" si="0"/>
        <v>1315354.9500000002</v>
      </c>
      <c r="L22" s="175">
        <f>SUM(K22:K70)</f>
        <v>16544526.466</v>
      </c>
      <c r="O22" s="87">
        <f>4187-944</f>
        <v>3243</v>
      </c>
    </row>
    <row r="23" spans="2:15" s="87" customFormat="1" ht="20.100000000000001" customHeight="1">
      <c r="B23" s="88"/>
      <c r="C23" s="180"/>
      <c r="D23" s="186"/>
      <c r="E23" s="91" t="s">
        <v>5</v>
      </c>
      <c r="F23" s="89">
        <v>44035</v>
      </c>
      <c r="G23" s="89"/>
      <c r="H23" s="183">
        <v>975</v>
      </c>
      <c r="I23" s="210">
        <f t="shared" si="2"/>
        <v>1343</v>
      </c>
      <c r="J23" s="178">
        <v>1391.91</v>
      </c>
      <c r="K23" s="5">
        <f t="shared" si="0"/>
        <v>1357112.25</v>
      </c>
      <c r="L23" s="175">
        <f>SUM(K23:K71)</f>
        <v>15229171.515999999</v>
      </c>
      <c r="O23" s="87">
        <f>1904-42</f>
        <v>1862</v>
      </c>
    </row>
    <row r="24" spans="2:15" s="87" customFormat="1" ht="21" customHeight="1">
      <c r="B24" s="88"/>
      <c r="C24" s="180"/>
      <c r="D24" s="186"/>
      <c r="E24" s="91" t="s">
        <v>6</v>
      </c>
      <c r="F24" s="89">
        <v>44036</v>
      </c>
      <c r="G24" s="93">
        <v>2250</v>
      </c>
      <c r="H24" s="183">
        <v>977</v>
      </c>
      <c r="I24" s="210">
        <f t="shared" ref="I24:I34" si="3">I23+G24-H24</f>
        <v>2616</v>
      </c>
      <c r="J24" s="178">
        <v>1391.91</v>
      </c>
      <c r="K24" s="5">
        <f t="shared" si="0"/>
        <v>1359896.07</v>
      </c>
      <c r="L24" s="175"/>
      <c r="O24" s="87">
        <v>1948</v>
      </c>
    </row>
    <row r="25" spans="2:15" s="87" customFormat="1" ht="21" customHeight="1">
      <c r="B25" s="88"/>
      <c r="C25" s="180"/>
      <c r="D25" s="186"/>
      <c r="E25" s="1" t="s">
        <v>7</v>
      </c>
      <c r="F25" s="2">
        <v>44037</v>
      </c>
      <c r="G25" s="2"/>
      <c r="H25" s="183">
        <v>935</v>
      </c>
      <c r="I25" s="210">
        <f t="shared" si="3"/>
        <v>1681</v>
      </c>
      <c r="J25" s="178">
        <v>1391.91</v>
      </c>
      <c r="K25" s="4">
        <f t="shared" si="0"/>
        <v>1301435.8500000001</v>
      </c>
      <c r="L25" s="175"/>
    </row>
    <row r="26" spans="2:15" s="87" customFormat="1" ht="21" customHeight="1">
      <c r="B26" s="88"/>
      <c r="C26" s="181"/>
      <c r="D26" s="187"/>
      <c r="E26" s="1" t="s">
        <v>8</v>
      </c>
      <c r="F26" s="2">
        <v>44038</v>
      </c>
      <c r="G26" s="2"/>
      <c r="H26" s="3"/>
      <c r="I26" s="210">
        <f t="shared" si="3"/>
        <v>1681</v>
      </c>
      <c r="J26" s="178">
        <v>1391.91</v>
      </c>
      <c r="K26" s="4">
        <f t="shared" si="0"/>
        <v>0</v>
      </c>
      <c r="L26" s="175"/>
    </row>
    <row r="27" spans="2:15" s="87" customFormat="1" ht="21" customHeight="1">
      <c r="B27" s="88"/>
      <c r="C27" s="216"/>
      <c r="D27" s="215"/>
      <c r="E27" s="91" t="s">
        <v>2</v>
      </c>
      <c r="F27" s="200">
        <v>44039</v>
      </c>
      <c r="G27" s="2"/>
      <c r="H27" s="3">
        <v>885</v>
      </c>
      <c r="I27" s="210">
        <f t="shared" si="3"/>
        <v>796</v>
      </c>
      <c r="J27" s="178"/>
      <c r="K27" s="4"/>
      <c r="L27" s="175"/>
    </row>
    <row r="28" spans="2:15" s="87" customFormat="1" ht="21" customHeight="1">
      <c r="B28" s="88"/>
      <c r="C28" s="216"/>
      <c r="D28" s="215"/>
      <c r="E28" s="91" t="s">
        <v>3</v>
      </c>
      <c r="F28" s="200">
        <v>44040</v>
      </c>
      <c r="G28" s="93">
        <v>3000</v>
      </c>
      <c r="H28" s="3">
        <v>920</v>
      </c>
      <c r="I28" s="210">
        <f t="shared" si="3"/>
        <v>2876</v>
      </c>
      <c r="J28" s="178"/>
      <c r="K28" s="4"/>
      <c r="L28" s="175"/>
    </row>
    <row r="29" spans="2:15" s="87" customFormat="1" ht="21" customHeight="1">
      <c r="B29" s="88"/>
      <c r="C29" s="216"/>
      <c r="D29" s="215"/>
      <c r="E29" s="91" t="s">
        <v>4</v>
      </c>
      <c r="F29" s="200">
        <v>44041</v>
      </c>
      <c r="G29" s="2"/>
      <c r="H29" s="3">
        <v>920</v>
      </c>
      <c r="I29" s="210">
        <f t="shared" si="3"/>
        <v>1956</v>
      </c>
      <c r="J29" s="178"/>
      <c r="K29" s="4"/>
      <c r="L29" s="175"/>
    </row>
    <row r="30" spans="2:15" s="87" customFormat="1" ht="21" customHeight="1">
      <c r="B30" s="88"/>
      <c r="C30" s="216"/>
      <c r="D30" s="215"/>
      <c r="E30" s="220" t="s">
        <v>5</v>
      </c>
      <c r="F30" s="201">
        <v>44042</v>
      </c>
      <c r="G30" s="2"/>
      <c r="H30" s="3"/>
      <c r="I30" s="210">
        <f t="shared" si="3"/>
        <v>1956</v>
      </c>
      <c r="J30" s="178"/>
      <c r="K30" s="4"/>
      <c r="L30" s="175"/>
    </row>
    <row r="31" spans="2:15" s="87" customFormat="1" ht="21" customHeight="1">
      <c r="B31" s="88"/>
      <c r="C31" s="216"/>
      <c r="D31" s="215"/>
      <c r="E31" s="220" t="s">
        <v>6</v>
      </c>
      <c r="F31" s="201">
        <v>44043</v>
      </c>
      <c r="G31" s="2"/>
      <c r="H31" s="3"/>
      <c r="I31" s="210">
        <f t="shared" si="3"/>
        <v>1956</v>
      </c>
      <c r="J31" s="178"/>
      <c r="K31" s="4"/>
      <c r="L31" s="175"/>
    </row>
    <row r="32" spans="2:15" s="87" customFormat="1" ht="21" customHeight="1">
      <c r="B32" s="88"/>
      <c r="C32" s="216"/>
      <c r="D32" s="215"/>
      <c r="E32" s="220" t="s">
        <v>7</v>
      </c>
      <c r="F32" s="201">
        <v>44044</v>
      </c>
      <c r="G32" s="2"/>
      <c r="H32" s="3"/>
      <c r="I32" s="210">
        <f t="shared" si="3"/>
        <v>1956</v>
      </c>
      <c r="J32" s="178"/>
      <c r="K32" s="4"/>
      <c r="L32" s="175"/>
    </row>
    <row r="33" spans="2:12" s="87" customFormat="1" ht="21" customHeight="1">
      <c r="B33" s="88"/>
      <c r="C33" s="216"/>
      <c r="D33" s="215"/>
      <c r="E33" s="220" t="s">
        <v>8</v>
      </c>
      <c r="F33" s="201">
        <v>44045</v>
      </c>
      <c r="G33" s="2"/>
      <c r="H33" s="3"/>
      <c r="I33" s="210">
        <f t="shared" si="3"/>
        <v>1956</v>
      </c>
      <c r="J33" s="178"/>
      <c r="K33" s="4"/>
      <c r="L33" s="175"/>
    </row>
    <row r="34" spans="2:12" s="87" customFormat="1" ht="21" customHeight="1">
      <c r="B34" s="88"/>
      <c r="C34" s="216"/>
      <c r="D34" s="215"/>
      <c r="E34" s="1"/>
      <c r="F34" s="89">
        <v>44046</v>
      </c>
      <c r="G34" s="2"/>
      <c r="H34" s="3">
        <v>831</v>
      </c>
      <c r="I34" s="210">
        <f t="shared" si="3"/>
        <v>1125</v>
      </c>
      <c r="J34" s="178"/>
      <c r="K34" s="4"/>
      <c r="L34" s="175"/>
    </row>
    <row r="35" spans="2:12" s="87" customFormat="1" ht="21" customHeight="1">
      <c r="B35" s="88"/>
      <c r="C35" s="216"/>
      <c r="D35" s="215"/>
      <c r="E35" s="1"/>
      <c r="F35" s="89"/>
      <c r="G35" s="2"/>
      <c r="H35" s="3"/>
      <c r="I35" s="210"/>
      <c r="J35" s="178"/>
      <c r="K35" s="4"/>
      <c r="L35" s="175"/>
    </row>
    <row r="36" spans="2:12" s="87" customFormat="1" ht="21" customHeight="1">
      <c r="B36" s="88"/>
      <c r="C36" s="216"/>
      <c r="D36" s="215"/>
      <c r="E36" s="1"/>
      <c r="F36" s="89"/>
      <c r="G36" s="2"/>
      <c r="H36" s="3"/>
      <c r="I36" s="210"/>
      <c r="J36" s="178"/>
      <c r="K36" s="4"/>
      <c r="L36" s="175"/>
    </row>
    <row r="37" spans="2:12" s="87" customFormat="1" ht="30" customHeight="1">
      <c r="B37" s="88"/>
      <c r="C37" s="255" t="s">
        <v>5810</v>
      </c>
      <c r="D37" s="255"/>
      <c r="E37" s="255"/>
      <c r="F37" s="255"/>
      <c r="G37" s="255"/>
      <c r="H37" s="255"/>
      <c r="I37" s="255"/>
      <c r="J37" s="255"/>
      <c r="K37" s="255"/>
      <c r="L37" s="255"/>
    </row>
    <row r="38" spans="2:12" s="87" customFormat="1" ht="21" customHeight="1">
      <c r="B38" s="88"/>
      <c r="C38" s="281" t="s">
        <v>5803</v>
      </c>
      <c r="D38" s="281" t="s">
        <v>14</v>
      </c>
      <c r="E38" s="282" t="s">
        <v>1</v>
      </c>
      <c r="F38" s="282" t="s">
        <v>0</v>
      </c>
      <c r="G38" s="212"/>
      <c r="H38" s="283" t="s">
        <v>11</v>
      </c>
      <c r="I38" s="283"/>
      <c r="J38" s="283"/>
      <c r="K38" s="283"/>
      <c r="L38" s="281" t="s">
        <v>15</v>
      </c>
    </row>
    <row r="39" spans="2:12" s="87" customFormat="1" ht="21" customHeight="1">
      <c r="B39" s="88"/>
      <c r="C39" s="281"/>
      <c r="D39" s="281"/>
      <c r="E39" s="282"/>
      <c r="F39" s="282"/>
      <c r="G39" s="212" t="s">
        <v>5809</v>
      </c>
      <c r="H39" s="213" t="s">
        <v>5807</v>
      </c>
      <c r="I39" s="213" t="s">
        <v>5804</v>
      </c>
      <c r="J39" s="107" t="s">
        <v>9</v>
      </c>
      <c r="K39" s="107" t="s">
        <v>10</v>
      </c>
      <c r="L39" s="281"/>
    </row>
    <row r="40" spans="2:12" s="87" customFormat="1" ht="21" customHeight="1">
      <c r="B40" s="88"/>
      <c r="C40" s="249"/>
      <c r="D40" s="246" t="s">
        <v>5808</v>
      </c>
      <c r="E40" s="91" t="s">
        <v>3</v>
      </c>
      <c r="F40" s="89">
        <v>44047</v>
      </c>
      <c r="G40" s="278">
        <f>3050+1185</f>
        <v>4235</v>
      </c>
      <c r="H40" s="3">
        <v>831</v>
      </c>
      <c r="I40" s="210">
        <f>I34+G40-H40</f>
        <v>4529</v>
      </c>
      <c r="J40" s="178"/>
      <c r="K40" s="4"/>
      <c r="L40" s="175"/>
    </row>
    <row r="41" spans="2:12" s="87" customFormat="1" ht="21" customHeight="1">
      <c r="B41" s="88"/>
      <c r="C41" s="250"/>
      <c r="D41" s="247"/>
      <c r="E41" s="91" t="s">
        <v>4</v>
      </c>
      <c r="F41" s="89">
        <v>44048</v>
      </c>
      <c r="G41" s="279"/>
      <c r="H41" s="3">
        <v>895</v>
      </c>
      <c r="I41" s="210">
        <f>I40+G41-H41</f>
        <v>3634</v>
      </c>
      <c r="J41" s="178"/>
      <c r="K41" s="4"/>
      <c r="L41" s="175"/>
    </row>
    <row r="42" spans="2:12" s="87" customFormat="1" ht="21" customHeight="1">
      <c r="B42" s="88"/>
      <c r="C42" s="250"/>
      <c r="D42" s="247"/>
      <c r="E42" s="91" t="s">
        <v>5</v>
      </c>
      <c r="F42" s="89">
        <v>44049</v>
      </c>
      <c r="G42" s="279"/>
      <c r="H42" s="3">
        <v>905</v>
      </c>
      <c r="I42" s="210">
        <f>I41+G42-H42</f>
        <v>2729</v>
      </c>
      <c r="J42" s="178"/>
      <c r="K42" s="4"/>
      <c r="L42" s="175"/>
    </row>
    <row r="43" spans="2:12" s="87" customFormat="1" ht="21" customHeight="1">
      <c r="B43" s="88"/>
      <c r="C43" s="250"/>
      <c r="D43" s="247"/>
      <c r="E43" s="91" t="s">
        <v>6</v>
      </c>
      <c r="F43" s="89">
        <v>44050</v>
      </c>
      <c r="G43" s="217">
        <v>3000</v>
      </c>
      <c r="H43" s="3">
        <v>890</v>
      </c>
      <c r="I43" s="210">
        <f>I42+G43-H43</f>
        <v>4839</v>
      </c>
      <c r="J43" s="178"/>
      <c r="K43" s="4"/>
      <c r="L43" s="175"/>
    </row>
    <row r="44" spans="2:12" s="87" customFormat="1" ht="21" customHeight="1">
      <c r="B44" s="88"/>
      <c r="C44" s="250"/>
      <c r="D44" s="247"/>
      <c r="E44" s="1" t="s">
        <v>7</v>
      </c>
      <c r="F44" s="201">
        <v>44051</v>
      </c>
      <c r="G44" s="93"/>
      <c r="H44" s="3">
        <v>874</v>
      </c>
      <c r="I44" s="211">
        <f>I43-H44</f>
        <v>3965</v>
      </c>
      <c r="J44" s="178"/>
      <c r="K44" s="4"/>
      <c r="L44" s="175"/>
    </row>
    <row r="45" spans="2:12" s="87" customFormat="1" ht="21" customHeight="1">
      <c r="B45" s="88"/>
      <c r="C45" s="251"/>
      <c r="D45" s="248"/>
      <c r="E45" s="1" t="s">
        <v>8</v>
      </c>
      <c r="F45" s="201">
        <v>44052</v>
      </c>
      <c r="G45" s="93"/>
      <c r="H45" s="3">
        <v>60</v>
      </c>
      <c r="I45" s="211">
        <f>+I44-H45</f>
        <v>3905</v>
      </c>
      <c r="J45" s="178"/>
      <c r="K45" s="4"/>
      <c r="L45" s="175"/>
    </row>
    <row r="46" spans="2:12" s="87" customFormat="1" ht="21" customHeight="1">
      <c r="B46" s="88"/>
      <c r="C46" s="281" t="s">
        <v>5803</v>
      </c>
      <c r="D46" s="281" t="s">
        <v>14</v>
      </c>
      <c r="E46" s="282" t="s">
        <v>1</v>
      </c>
      <c r="F46" s="282" t="s">
        <v>0</v>
      </c>
      <c r="G46" s="275" t="s">
        <v>11</v>
      </c>
      <c r="H46" s="276"/>
      <c r="I46" s="276"/>
      <c r="J46" s="276"/>
      <c r="K46" s="277"/>
      <c r="L46" s="281" t="s">
        <v>15</v>
      </c>
    </row>
    <row r="47" spans="2:12" s="87" customFormat="1" ht="21" customHeight="1">
      <c r="B47" s="88"/>
      <c r="C47" s="281"/>
      <c r="D47" s="281"/>
      <c r="E47" s="282"/>
      <c r="F47" s="282"/>
      <c r="G47" s="212" t="s">
        <v>5806</v>
      </c>
      <c r="H47" s="213" t="s">
        <v>5807</v>
      </c>
      <c r="I47" s="213" t="s">
        <v>5804</v>
      </c>
      <c r="J47" s="107" t="s">
        <v>9</v>
      </c>
      <c r="K47" s="107" t="s">
        <v>10</v>
      </c>
      <c r="L47" s="281"/>
    </row>
    <row r="48" spans="2:12" s="87" customFormat="1" ht="21" customHeight="1">
      <c r="B48" s="88"/>
      <c r="C48" s="249" t="s">
        <v>5826</v>
      </c>
      <c r="D48" s="246" t="s">
        <v>5811</v>
      </c>
      <c r="E48" s="91" t="s">
        <v>2</v>
      </c>
      <c r="F48" s="89">
        <v>44053</v>
      </c>
      <c r="G48" s="205"/>
      <c r="H48" s="205">
        <v>1160</v>
      </c>
      <c r="I48" s="211">
        <f>I45-H48</f>
        <v>2745</v>
      </c>
      <c r="J48" s="178">
        <v>1390.9091000000001</v>
      </c>
      <c r="K48" s="4">
        <f>J48*H48</f>
        <v>1613454.5560000001</v>
      </c>
      <c r="L48" s="175"/>
    </row>
    <row r="49" spans="2:16" s="87" customFormat="1" ht="21" customHeight="1">
      <c r="B49" s="88"/>
      <c r="C49" s="250"/>
      <c r="D49" s="247"/>
      <c r="E49" s="91" t="s">
        <v>3</v>
      </c>
      <c r="F49" s="89">
        <v>44054</v>
      </c>
      <c r="G49" s="205">
        <v>1900</v>
      </c>
      <c r="H49" s="205">
        <v>1270</v>
      </c>
      <c r="I49" s="211">
        <f>I48+G49-H49</f>
        <v>3375</v>
      </c>
      <c r="J49" s="178">
        <v>1390.9091000000001</v>
      </c>
      <c r="K49" s="4">
        <f t="shared" ref="K49:K61" si="4">J49*G49</f>
        <v>2642727.29</v>
      </c>
      <c r="L49" s="175"/>
    </row>
    <row r="50" spans="2:16" s="87" customFormat="1" ht="21" customHeight="1">
      <c r="B50" s="88"/>
      <c r="C50" s="250"/>
      <c r="D50" s="247"/>
      <c r="E50" s="91" t="s">
        <v>4</v>
      </c>
      <c r="F50" s="89">
        <v>44055</v>
      </c>
      <c r="G50" s="205"/>
      <c r="H50" s="205">
        <v>1260</v>
      </c>
      <c r="I50" s="211"/>
      <c r="J50" s="178">
        <v>1390.9091000000001</v>
      </c>
      <c r="K50" s="4">
        <f t="shared" si="4"/>
        <v>0</v>
      </c>
      <c r="L50" s="175"/>
    </row>
    <row r="51" spans="2:16" s="87" customFormat="1" ht="21" customHeight="1">
      <c r="B51" s="88"/>
      <c r="C51" s="250"/>
      <c r="D51" s="247"/>
      <c r="E51" s="91" t="s">
        <v>5</v>
      </c>
      <c r="F51" s="89">
        <v>44056</v>
      </c>
      <c r="G51" s="205"/>
      <c r="H51" s="205"/>
      <c r="I51" s="211"/>
      <c r="J51" s="178">
        <v>1390.9091000000001</v>
      </c>
      <c r="K51" s="4">
        <f t="shared" si="4"/>
        <v>0</v>
      </c>
      <c r="L51" s="175"/>
    </row>
    <row r="52" spans="2:16" s="87" customFormat="1" ht="21" customHeight="1">
      <c r="B52" s="88"/>
      <c r="C52" s="250"/>
      <c r="D52" s="247"/>
      <c r="E52" s="91" t="s">
        <v>6</v>
      </c>
      <c r="F52" s="89">
        <v>44057</v>
      </c>
      <c r="G52" s="205"/>
      <c r="H52" s="205"/>
      <c r="I52" s="211"/>
      <c r="J52" s="178">
        <v>1390.9091000000001</v>
      </c>
      <c r="K52" s="4">
        <f t="shared" si="4"/>
        <v>0</v>
      </c>
      <c r="L52" s="175"/>
    </row>
    <row r="53" spans="2:16" s="87" customFormat="1" ht="21" customHeight="1">
      <c r="B53" s="88"/>
      <c r="C53" s="250"/>
      <c r="D53" s="248"/>
      <c r="E53" s="202" t="s">
        <v>7</v>
      </c>
      <c r="F53" s="89">
        <v>44058</v>
      </c>
      <c r="G53" s="205"/>
      <c r="H53" s="205"/>
      <c r="I53" s="211"/>
      <c r="J53" s="178">
        <v>1390.9091000000001</v>
      </c>
      <c r="K53" s="4">
        <f t="shared" si="4"/>
        <v>0</v>
      </c>
      <c r="L53" s="175"/>
    </row>
    <row r="54" spans="2:16" s="87" customFormat="1" ht="21" customHeight="1">
      <c r="B54" s="88"/>
      <c r="C54" s="250"/>
      <c r="D54" s="215"/>
      <c r="E54" s="203" t="s">
        <v>8</v>
      </c>
      <c r="F54" s="204">
        <v>44059</v>
      </c>
      <c r="G54" s="93"/>
      <c r="H54" s="3"/>
      <c r="I54" s="211"/>
      <c r="J54" s="178"/>
      <c r="K54" s="4">
        <f t="shared" si="4"/>
        <v>0</v>
      </c>
      <c r="L54" s="175"/>
    </row>
    <row r="55" spans="2:16" s="87" customFormat="1" ht="21" customHeight="1">
      <c r="B55" s="88"/>
      <c r="C55" s="250"/>
      <c r="D55" s="215"/>
      <c r="E55" s="203" t="s">
        <v>2</v>
      </c>
      <c r="F55" s="204">
        <v>44060</v>
      </c>
      <c r="G55" s="93"/>
      <c r="H55" s="3"/>
      <c r="I55" s="211"/>
      <c r="J55" s="178"/>
      <c r="K55" s="4">
        <f t="shared" si="4"/>
        <v>0</v>
      </c>
      <c r="L55" s="175"/>
    </row>
    <row r="56" spans="2:16" s="87" customFormat="1" ht="21" customHeight="1">
      <c r="B56" s="88"/>
      <c r="C56" s="250"/>
      <c r="D56" s="215"/>
      <c r="E56" s="203" t="s">
        <v>3</v>
      </c>
      <c r="F56" s="204">
        <v>44061</v>
      </c>
      <c r="G56" s="93"/>
      <c r="H56" s="3"/>
      <c r="I56" s="211"/>
      <c r="J56" s="178"/>
      <c r="K56" s="4">
        <f t="shared" si="4"/>
        <v>0</v>
      </c>
      <c r="L56" s="175"/>
    </row>
    <row r="57" spans="2:16" s="87" customFormat="1" ht="21" customHeight="1">
      <c r="B57" s="88"/>
      <c r="C57" s="250"/>
      <c r="D57" s="215"/>
      <c r="E57" s="203" t="s">
        <v>4</v>
      </c>
      <c r="F57" s="204">
        <v>44062</v>
      </c>
      <c r="G57" s="93"/>
      <c r="H57" s="3"/>
      <c r="I57" s="211"/>
      <c r="J57" s="178"/>
      <c r="K57" s="4">
        <f t="shared" si="4"/>
        <v>0</v>
      </c>
      <c r="L57" s="175"/>
    </row>
    <row r="58" spans="2:16" s="87" customFormat="1" ht="21" customHeight="1">
      <c r="B58" s="88"/>
      <c r="C58" s="250"/>
      <c r="D58" s="215"/>
      <c r="E58" s="203" t="s">
        <v>5</v>
      </c>
      <c r="F58" s="204">
        <v>44063</v>
      </c>
      <c r="G58" s="93"/>
      <c r="H58" s="3"/>
      <c r="I58" s="211"/>
      <c r="J58" s="178"/>
      <c r="K58" s="4">
        <f t="shared" si="4"/>
        <v>0</v>
      </c>
      <c r="L58" s="175"/>
      <c r="P58" s="87">
        <f>1426-1260</f>
        <v>166</v>
      </c>
    </row>
    <row r="59" spans="2:16" s="87" customFormat="1" ht="21" customHeight="1">
      <c r="B59" s="88"/>
      <c r="C59" s="250"/>
      <c r="D59" s="215"/>
      <c r="E59" s="203" t="s">
        <v>6</v>
      </c>
      <c r="F59" s="204">
        <v>44064</v>
      </c>
      <c r="G59" s="93"/>
      <c r="H59" s="3"/>
      <c r="I59" s="211"/>
      <c r="J59" s="178"/>
      <c r="K59" s="4">
        <f t="shared" si="4"/>
        <v>0</v>
      </c>
      <c r="L59" s="175"/>
    </row>
    <row r="60" spans="2:16" s="87" customFormat="1" ht="21" customHeight="1">
      <c r="B60" s="88"/>
      <c r="C60" s="250"/>
      <c r="D60" s="215"/>
      <c r="E60" s="203" t="s">
        <v>7</v>
      </c>
      <c r="F60" s="204">
        <v>44065</v>
      </c>
      <c r="G60" s="93"/>
      <c r="H60" s="3"/>
      <c r="I60" s="211"/>
      <c r="J60" s="178"/>
      <c r="K60" s="4">
        <f t="shared" si="4"/>
        <v>0</v>
      </c>
      <c r="L60" s="175"/>
    </row>
    <row r="61" spans="2:16" s="87" customFormat="1" ht="21" customHeight="1">
      <c r="B61" s="88"/>
      <c r="C61" s="250"/>
      <c r="D61" s="215"/>
      <c r="E61" s="203" t="s">
        <v>8</v>
      </c>
      <c r="F61" s="204">
        <v>44066</v>
      </c>
      <c r="G61" s="93"/>
      <c r="H61" s="3"/>
      <c r="I61" s="211"/>
      <c r="J61" s="178"/>
      <c r="K61" s="4">
        <f t="shared" si="4"/>
        <v>0</v>
      </c>
      <c r="L61" s="175"/>
    </row>
    <row r="62" spans="2:16" s="87" customFormat="1" ht="21" customHeight="1">
      <c r="B62" s="88"/>
      <c r="C62" s="250"/>
      <c r="D62" s="246" t="s">
        <v>5812</v>
      </c>
      <c r="E62" s="91" t="s">
        <v>2</v>
      </c>
      <c r="F62" s="89">
        <v>44067</v>
      </c>
      <c r="G62" s="205">
        <v>1000</v>
      </c>
      <c r="H62" s="205">
        <v>1000</v>
      </c>
      <c r="I62" s="211"/>
      <c r="J62" s="178">
        <v>1390.9091000000001</v>
      </c>
      <c r="K62" s="4">
        <f>J62*G62</f>
        <v>1390909.1</v>
      </c>
      <c r="L62" s="175"/>
    </row>
    <row r="63" spans="2:16" s="87" customFormat="1" ht="21" customHeight="1">
      <c r="B63" s="88"/>
      <c r="C63" s="250"/>
      <c r="D63" s="247"/>
      <c r="E63" s="91" t="s">
        <v>3</v>
      </c>
      <c r="F63" s="89">
        <v>44068</v>
      </c>
      <c r="G63" s="205">
        <v>1000</v>
      </c>
      <c r="H63" s="205">
        <v>1000</v>
      </c>
      <c r="I63" s="211"/>
      <c r="J63" s="178">
        <v>1390.9091000000001</v>
      </c>
      <c r="K63" s="4">
        <f t="shared" ref="K63:K66" si="5">J63*G63</f>
        <v>1390909.1</v>
      </c>
      <c r="L63" s="175"/>
    </row>
    <row r="64" spans="2:16" s="87" customFormat="1" ht="21" customHeight="1">
      <c r="B64" s="88"/>
      <c r="C64" s="250"/>
      <c r="D64" s="247"/>
      <c r="E64" s="91" t="s">
        <v>4</v>
      </c>
      <c r="F64" s="89">
        <v>44069</v>
      </c>
      <c r="G64" s="205">
        <v>1000</v>
      </c>
      <c r="H64" s="205">
        <v>1000</v>
      </c>
      <c r="I64" s="211"/>
      <c r="J64" s="178">
        <v>1390.9091000000001</v>
      </c>
      <c r="K64" s="4">
        <f t="shared" si="5"/>
        <v>1390909.1</v>
      </c>
      <c r="L64" s="175"/>
    </row>
    <row r="65" spans="2:12" s="87" customFormat="1" ht="21" customHeight="1">
      <c r="B65" s="88"/>
      <c r="C65" s="250"/>
      <c r="D65" s="247"/>
      <c r="E65" s="91" t="s">
        <v>5</v>
      </c>
      <c r="F65" s="89">
        <v>44070</v>
      </c>
      <c r="G65" s="205">
        <v>1000</v>
      </c>
      <c r="H65" s="205">
        <v>1000</v>
      </c>
      <c r="I65" s="211"/>
      <c r="J65" s="178">
        <v>1390.9091000000001</v>
      </c>
      <c r="K65" s="4">
        <f t="shared" si="5"/>
        <v>1390909.1</v>
      </c>
      <c r="L65" s="175"/>
    </row>
    <row r="66" spans="2:12" s="87" customFormat="1" ht="21" customHeight="1">
      <c r="B66" s="88"/>
      <c r="C66" s="250"/>
      <c r="D66" s="248"/>
      <c r="E66" s="91" t="s">
        <v>6</v>
      </c>
      <c r="F66" s="89">
        <v>44071</v>
      </c>
      <c r="G66" s="205">
        <v>1000</v>
      </c>
      <c r="H66" s="205">
        <v>1000</v>
      </c>
      <c r="I66" s="211"/>
      <c r="J66" s="178">
        <v>1390.9091000000001</v>
      </c>
      <c r="K66" s="4">
        <f t="shared" si="5"/>
        <v>1390909.1</v>
      </c>
      <c r="L66" s="175"/>
    </row>
    <row r="67" spans="2:12" s="87" customFormat="1" ht="21" customHeight="1">
      <c r="B67" s="88"/>
      <c r="C67" s="250"/>
      <c r="D67" s="215"/>
      <c r="E67" s="1" t="s">
        <v>7</v>
      </c>
      <c r="F67" s="201">
        <v>44072</v>
      </c>
      <c r="G67" s="93"/>
      <c r="H67" s="205"/>
      <c r="I67" s="211"/>
      <c r="J67" s="178"/>
      <c r="K67" s="4"/>
      <c r="L67" s="175"/>
    </row>
    <row r="68" spans="2:12" s="87" customFormat="1" ht="21" customHeight="1">
      <c r="B68" s="88"/>
      <c r="C68" s="251"/>
      <c r="D68" s="215"/>
      <c r="E68" s="1" t="s">
        <v>8</v>
      </c>
      <c r="F68" s="201">
        <v>44073</v>
      </c>
      <c r="G68" s="93"/>
      <c r="H68" s="3"/>
      <c r="I68" s="211"/>
      <c r="J68" s="178"/>
      <c r="K68" s="4"/>
      <c r="L68" s="175"/>
    </row>
    <row r="69" spans="2:12" s="108" customFormat="1" ht="39.950000000000003" customHeight="1">
      <c r="B69" s="109"/>
      <c r="C69" s="284" t="s">
        <v>17</v>
      </c>
      <c r="D69" s="284"/>
      <c r="E69" s="284"/>
      <c r="F69" s="284"/>
      <c r="G69" s="209">
        <f>SUM(G48:G68)</f>
        <v>6900</v>
      </c>
      <c r="H69" s="285">
        <f>SUM(H48:H66)</f>
        <v>8690</v>
      </c>
      <c r="I69" s="286"/>
      <c r="J69" s="287">
        <f>SUM(K48:K66)</f>
        <v>11210727.345999999</v>
      </c>
      <c r="K69" s="287"/>
      <c r="L69" s="287"/>
    </row>
    <row r="70" spans="2:12" ht="20.100000000000001" customHeight="1">
      <c r="B70" s="92"/>
      <c r="C70" s="95" t="s">
        <v>19</v>
      </c>
      <c r="D70" s="98"/>
    </row>
    <row r="71" spans="2:12" ht="20.100000000000001" customHeight="1">
      <c r="B71" s="92"/>
      <c r="C71" s="98">
        <f>H69</f>
        <v>8690</v>
      </c>
    </row>
    <row r="72" spans="2:12" ht="20.100000000000001" customHeight="1">
      <c r="L72" s="110"/>
    </row>
    <row r="73" spans="2:12" ht="20.100000000000001" customHeight="1"/>
    <row r="74" spans="2:12" ht="20.100000000000001" customHeight="1"/>
    <row r="75" spans="2:12" ht="20.100000000000001" customHeight="1"/>
    <row r="76" spans="2:12" ht="20.100000000000001" customHeight="1"/>
    <row r="77" spans="2:12" ht="20.100000000000001" customHeight="1"/>
    <row r="78" spans="2:12" ht="20.100000000000001" customHeight="1"/>
    <row r="79" spans="2:12" ht="20.100000000000001" customHeight="1"/>
    <row r="80" spans="2:12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15" customHeight="1"/>
    <row r="479" ht="15" customHeight="1"/>
    <row r="480" ht="15" customHeight="1"/>
    <row r="481" ht="15" customHeight="1"/>
  </sheetData>
  <mergeCells count="32">
    <mergeCell ref="C3:L3"/>
    <mergeCell ref="C5:L5"/>
    <mergeCell ref="C6:L6"/>
    <mergeCell ref="C7:C8"/>
    <mergeCell ref="D7:D8"/>
    <mergeCell ref="E7:E8"/>
    <mergeCell ref="F7:F8"/>
    <mergeCell ref="H7:K7"/>
    <mergeCell ref="L7:L8"/>
    <mergeCell ref="G40:G42"/>
    <mergeCell ref="E9:F9"/>
    <mergeCell ref="C37:L37"/>
    <mergeCell ref="C38:C39"/>
    <mergeCell ref="D38:D39"/>
    <mergeCell ref="E38:E39"/>
    <mergeCell ref="F38:F39"/>
    <mergeCell ref="H38:K38"/>
    <mergeCell ref="L38:L39"/>
    <mergeCell ref="C40:C45"/>
    <mergeCell ref="D40:D45"/>
    <mergeCell ref="C46:C47"/>
    <mergeCell ref="D46:D47"/>
    <mergeCell ref="E46:E47"/>
    <mergeCell ref="L46:L47"/>
    <mergeCell ref="C48:C68"/>
    <mergeCell ref="D48:D53"/>
    <mergeCell ref="D62:D66"/>
    <mergeCell ref="C69:F69"/>
    <mergeCell ref="H69:I69"/>
    <mergeCell ref="J69:L69"/>
    <mergeCell ref="F46:F47"/>
    <mergeCell ref="G46:K46"/>
  </mergeCells>
  <printOptions horizontalCentered="1"/>
  <pageMargins left="0.196850393700787" right="0.196850393700787" top="1.5748031496063" bottom="0.196850393700787" header="1.5748031496063" footer="0.196850393700787"/>
  <pageSetup paperSize="9" scale="6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42"/>
  <sheetViews>
    <sheetView view="pageBreakPreview" zoomScale="60" zoomScaleNormal="100" workbookViewId="0">
      <selection activeCell="P28" sqref="P28:P29"/>
    </sheetView>
  </sheetViews>
  <sheetFormatPr defaultRowHeight="12.75"/>
  <cols>
    <col min="1" max="1" width="1.7109375" style="90" customWidth="1"/>
    <col min="2" max="2" width="22.7109375" style="95" customWidth="1"/>
    <col min="3" max="3" width="15.7109375" style="95" customWidth="1"/>
    <col min="4" max="4" width="8.7109375" style="96" customWidth="1"/>
    <col min="5" max="5" width="12.7109375" style="97" customWidth="1"/>
    <col min="6" max="6" width="10.7109375" style="100" customWidth="1"/>
    <col min="7" max="7" width="10.7109375" style="101" customWidth="1"/>
    <col min="8" max="8" width="12.7109375" style="98" customWidth="1"/>
    <col min="9" max="9" width="17.7109375" style="98" customWidth="1"/>
    <col min="10" max="10" width="20.7109375" style="102" customWidth="1"/>
    <col min="11" max="12" width="5.7109375" style="90" customWidth="1"/>
    <col min="13" max="13" width="22.7109375" style="95" customWidth="1"/>
    <col min="14" max="14" width="15.7109375" style="95" customWidth="1"/>
    <col min="15" max="15" width="8.7109375" style="96" customWidth="1"/>
    <col min="16" max="16" width="12.7109375" style="97" customWidth="1"/>
    <col min="17" max="18" width="10.7109375" style="100" customWidth="1"/>
    <col min="19" max="19" width="10.7109375" style="101" customWidth="1"/>
    <col min="20" max="20" width="12.7109375" style="98" customWidth="1"/>
    <col min="21" max="21" width="17.7109375" style="98" customWidth="1"/>
    <col min="22" max="22" width="20.7109375" style="102" customWidth="1"/>
    <col min="23" max="16384" width="9.140625" style="90"/>
  </cols>
  <sheetData>
    <row r="1" spans="2:22" ht="20.100000000000001" customHeight="1">
      <c r="B1" s="99" t="s">
        <v>18</v>
      </c>
      <c r="L1" s="92"/>
      <c r="M1" s="99" t="s">
        <v>18</v>
      </c>
    </row>
    <row r="2" spans="2:22" ht="20.100000000000001" customHeight="1">
      <c r="B2" s="103" t="s">
        <v>20</v>
      </c>
      <c r="L2" s="92"/>
      <c r="M2" s="103" t="s">
        <v>20</v>
      </c>
    </row>
    <row r="3" spans="2:22" ht="30" customHeight="1">
      <c r="B3" s="255" t="s">
        <v>5770</v>
      </c>
      <c r="C3" s="255"/>
      <c r="D3" s="255"/>
      <c r="E3" s="255"/>
      <c r="F3" s="255"/>
      <c r="G3" s="255"/>
      <c r="H3" s="255"/>
      <c r="I3" s="255"/>
      <c r="J3" s="255"/>
      <c r="L3" s="92"/>
      <c r="M3" s="255" t="s">
        <v>5800</v>
      </c>
      <c r="N3" s="255"/>
      <c r="O3" s="255"/>
      <c r="P3" s="255"/>
      <c r="Q3" s="255"/>
      <c r="R3" s="255"/>
      <c r="S3" s="255"/>
      <c r="T3" s="255"/>
      <c r="U3" s="255"/>
      <c r="V3" s="255"/>
    </row>
    <row r="4" spans="2:22" ht="20.100000000000001" customHeight="1">
      <c r="B4" s="118"/>
      <c r="C4" s="118"/>
      <c r="D4" s="118"/>
      <c r="E4" s="118"/>
      <c r="F4" s="118"/>
      <c r="G4" s="118"/>
      <c r="H4" s="118"/>
      <c r="I4" s="118"/>
      <c r="J4" s="118"/>
      <c r="L4" s="92"/>
      <c r="M4" s="118"/>
      <c r="N4" s="118"/>
      <c r="O4" s="118"/>
      <c r="P4" s="118"/>
      <c r="Q4" s="118"/>
      <c r="R4" s="118"/>
      <c r="S4" s="118"/>
      <c r="T4" s="118"/>
      <c r="U4" s="118"/>
      <c r="V4" s="118"/>
    </row>
    <row r="5" spans="2:22" ht="20.100000000000001" customHeight="1">
      <c r="B5" s="256" t="s">
        <v>5758</v>
      </c>
      <c r="C5" s="256"/>
      <c r="D5" s="256"/>
      <c r="E5" s="256"/>
      <c r="F5" s="256"/>
      <c r="G5" s="256"/>
      <c r="H5" s="256"/>
      <c r="I5" s="256"/>
      <c r="J5" s="256"/>
      <c r="L5" s="92"/>
      <c r="M5" s="256" t="s">
        <v>5799</v>
      </c>
      <c r="N5" s="256"/>
      <c r="O5" s="256"/>
      <c r="P5" s="256"/>
      <c r="Q5" s="256"/>
      <c r="R5" s="256"/>
      <c r="S5" s="256"/>
      <c r="T5" s="256"/>
      <c r="U5" s="256"/>
      <c r="V5" s="256"/>
    </row>
    <row r="6" spans="2:22" ht="20.100000000000001" customHeight="1">
      <c r="B6" s="256" t="s">
        <v>22</v>
      </c>
      <c r="C6" s="256"/>
      <c r="D6" s="256"/>
      <c r="E6" s="256"/>
      <c r="F6" s="256"/>
      <c r="G6" s="256"/>
      <c r="H6" s="256"/>
      <c r="I6" s="256"/>
      <c r="J6" s="256"/>
      <c r="L6" s="92"/>
      <c r="M6" s="256" t="s">
        <v>5798</v>
      </c>
      <c r="N6" s="256"/>
      <c r="O6" s="256"/>
      <c r="P6" s="256"/>
      <c r="Q6" s="256"/>
      <c r="R6" s="256"/>
      <c r="S6" s="256"/>
      <c r="T6" s="256"/>
      <c r="U6" s="256"/>
      <c r="V6" s="256"/>
    </row>
    <row r="7" spans="2:22" s="104" customFormat="1" ht="24.95" customHeight="1">
      <c r="B7" s="257" t="s">
        <v>13</v>
      </c>
      <c r="C7" s="257" t="s">
        <v>14</v>
      </c>
      <c r="D7" s="258" t="s">
        <v>1</v>
      </c>
      <c r="E7" s="258" t="s">
        <v>0</v>
      </c>
      <c r="F7" s="259" t="s">
        <v>11</v>
      </c>
      <c r="G7" s="259"/>
      <c r="H7" s="259"/>
      <c r="I7" s="259"/>
      <c r="J7" s="257" t="s">
        <v>15</v>
      </c>
      <c r="L7" s="105"/>
      <c r="M7" s="281" t="s">
        <v>13</v>
      </c>
      <c r="N7" s="281" t="s">
        <v>14</v>
      </c>
      <c r="O7" s="282" t="s">
        <v>1</v>
      </c>
      <c r="P7" s="282" t="s">
        <v>0</v>
      </c>
      <c r="Q7" s="283" t="s">
        <v>11</v>
      </c>
      <c r="R7" s="283"/>
      <c r="S7" s="283"/>
      <c r="T7" s="283"/>
      <c r="U7" s="283"/>
      <c r="V7" s="281" t="s">
        <v>15</v>
      </c>
    </row>
    <row r="8" spans="2:22" s="104" customFormat="1" ht="24.95" customHeight="1">
      <c r="B8" s="257"/>
      <c r="C8" s="257"/>
      <c r="D8" s="258"/>
      <c r="E8" s="258"/>
      <c r="F8" s="119" t="s">
        <v>12</v>
      </c>
      <c r="G8" s="119" t="s">
        <v>16</v>
      </c>
      <c r="H8" s="106" t="s">
        <v>9</v>
      </c>
      <c r="I8" s="106" t="s">
        <v>10</v>
      </c>
      <c r="J8" s="257"/>
      <c r="L8" s="105"/>
      <c r="M8" s="281"/>
      <c r="N8" s="281"/>
      <c r="O8" s="282"/>
      <c r="P8" s="282"/>
      <c r="Q8" s="120" t="s">
        <v>5796</v>
      </c>
      <c r="R8" s="120" t="s">
        <v>5797</v>
      </c>
      <c r="S8" s="120" t="s">
        <v>16</v>
      </c>
      <c r="T8" s="107" t="s">
        <v>9</v>
      </c>
      <c r="U8" s="107" t="s">
        <v>10</v>
      </c>
      <c r="V8" s="281"/>
    </row>
    <row r="9" spans="2:22" ht="20.100000000000001" customHeight="1">
      <c r="B9" s="242"/>
      <c r="C9" s="243" t="s">
        <v>5772</v>
      </c>
      <c r="D9" s="91" t="s">
        <v>2</v>
      </c>
      <c r="E9" s="89">
        <v>44018</v>
      </c>
      <c r="F9" s="93"/>
      <c r="G9" s="244">
        <f>SUM(F9:F15)</f>
        <v>0</v>
      </c>
      <c r="H9" s="5">
        <v>3295</v>
      </c>
      <c r="I9" s="5">
        <f t="shared" ref="I9:I29" si="0">+H9*F9</f>
        <v>0</v>
      </c>
      <c r="J9" s="245">
        <f>SUM(I9:I15)</f>
        <v>0</v>
      </c>
      <c r="L9" s="92"/>
      <c r="M9" s="242"/>
      <c r="N9" s="243" t="s">
        <v>5772</v>
      </c>
      <c r="O9" s="91" t="s">
        <v>2</v>
      </c>
      <c r="P9" s="89">
        <v>44018</v>
      </c>
      <c r="Q9" s="93">
        <v>1200</v>
      </c>
      <c r="R9" s="93"/>
      <c r="S9" s="244">
        <f>SUM(Q9:Q13)</f>
        <v>6000</v>
      </c>
      <c r="T9" s="5">
        <v>1391</v>
      </c>
      <c r="U9" s="5">
        <f t="shared" ref="U9:U29" si="1">+T9*Q9</f>
        <v>1669200</v>
      </c>
      <c r="V9" s="245">
        <f>SUM(U9:U15)</f>
        <v>8346000</v>
      </c>
    </row>
    <row r="10" spans="2:22" ht="20.100000000000001" customHeight="1">
      <c r="B10" s="242"/>
      <c r="C10" s="243"/>
      <c r="D10" s="91" t="s">
        <v>3</v>
      </c>
      <c r="E10" s="89">
        <v>44019</v>
      </c>
      <c r="F10" s="93"/>
      <c r="G10" s="244"/>
      <c r="H10" s="5">
        <v>3295</v>
      </c>
      <c r="I10" s="5">
        <f t="shared" si="0"/>
        <v>0</v>
      </c>
      <c r="J10" s="245"/>
      <c r="L10" s="92"/>
      <c r="M10" s="242"/>
      <c r="N10" s="243"/>
      <c r="O10" s="91" t="s">
        <v>3</v>
      </c>
      <c r="P10" s="89">
        <v>44019</v>
      </c>
      <c r="Q10" s="93">
        <v>1200</v>
      </c>
      <c r="R10" s="93"/>
      <c r="S10" s="244"/>
      <c r="T10" s="5">
        <v>1391</v>
      </c>
      <c r="U10" s="5">
        <f t="shared" si="1"/>
        <v>1669200</v>
      </c>
      <c r="V10" s="245"/>
    </row>
    <row r="11" spans="2:22" ht="20.100000000000001" customHeight="1">
      <c r="B11" s="242"/>
      <c r="C11" s="243"/>
      <c r="D11" s="91" t="s">
        <v>4</v>
      </c>
      <c r="E11" s="89">
        <v>44020</v>
      </c>
      <c r="F11" s="93"/>
      <c r="G11" s="244"/>
      <c r="H11" s="5">
        <v>3295</v>
      </c>
      <c r="I11" s="5">
        <f t="shared" si="0"/>
        <v>0</v>
      </c>
      <c r="J11" s="245"/>
      <c r="L11" s="92"/>
      <c r="M11" s="242"/>
      <c r="N11" s="243"/>
      <c r="O11" s="91" t="s">
        <v>4</v>
      </c>
      <c r="P11" s="89">
        <v>44020</v>
      </c>
      <c r="Q11" s="93">
        <v>1200</v>
      </c>
      <c r="R11" s="93"/>
      <c r="S11" s="244"/>
      <c r="T11" s="5">
        <v>1391</v>
      </c>
      <c r="U11" s="5">
        <f t="shared" si="1"/>
        <v>1669200</v>
      </c>
      <c r="V11" s="245"/>
    </row>
    <row r="12" spans="2:22" ht="20.100000000000001" customHeight="1">
      <c r="B12" s="242"/>
      <c r="C12" s="243"/>
      <c r="D12" s="91" t="s">
        <v>5</v>
      </c>
      <c r="E12" s="89">
        <v>44021</v>
      </c>
      <c r="F12" s="93"/>
      <c r="G12" s="244"/>
      <c r="H12" s="5">
        <v>3295</v>
      </c>
      <c r="I12" s="5">
        <f t="shared" si="0"/>
        <v>0</v>
      </c>
      <c r="J12" s="245"/>
      <c r="L12" s="92"/>
      <c r="M12" s="242"/>
      <c r="N12" s="243"/>
      <c r="O12" s="91" t="s">
        <v>5</v>
      </c>
      <c r="P12" s="89">
        <v>44021</v>
      </c>
      <c r="Q12" s="93">
        <v>1200</v>
      </c>
      <c r="R12" s="93"/>
      <c r="S12" s="244"/>
      <c r="T12" s="5">
        <v>1391</v>
      </c>
      <c r="U12" s="5">
        <f t="shared" si="1"/>
        <v>1669200</v>
      </c>
      <c r="V12" s="245"/>
    </row>
    <row r="13" spans="2:22" ht="20.100000000000001" customHeight="1">
      <c r="B13" s="242"/>
      <c r="C13" s="243"/>
      <c r="D13" s="91" t="s">
        <v>6</v>
      </c>
      <c r="E13" s="89">
        <v>44022</v>
      </c>
      <c r="F13" s="93"/>
      <c r="G13" s="244"/>
      <c r="H13" s="5">
        <v>3295</v>
      </c>
      <c r="I13" s="5">
        <f t="shared" si="0"/>
        <v>0</v>
      </c>
      <c r="J13" s="245"/>
      <c r="L13" s="92"/>
      <c r="M13" s="242"/>
      <c r="N13" s="243"/>
      <c r="O13" s="91" t="s">
        <v>6</v>
      </c>
      <c r="P13" s="89">
        <v>44022</v>
      </c>
      <c r="Q13" s="93">
        <v>1200</v>
      </c>
      <c r="R13" s="93"/>
      <c r="S13" s="244"/>
      <c r="T13" s="5">
        <v>1391</v>
      </c>
      <c r="U13" s="5">
        <f t="shared" si="1"/>
        <v>1669200</v>
      </c>
      <c r="V13" s="245"/>
    </row>
    <row r="14" spans="2:22" s="87" customFormat="1" ht="20.100000000000001" customHeight="1">
      <c r="B14" s="242"/>
      <c r="C14" s="243"/>
      <c r="D14" s="1" t="s">
        <v>7</v>
      </c>
      <c r="E14" s="2">
        <v>44023</v>
      </c>
      <c r="F14" s="3"/>
      <c r="G14" s="244"/>
      <c r="H14" s="4">
        <v>3295</v>
      </c>
      <c r="I14" s="4">
        <f t="shared" si="0"/>
        <v>0</v>
      </c>
      <c r="J14" s="245"/>
      <c r="L14" s="88"/>
      <c r="M14" s="242"/>
      <c r="N14" s="243"/>
      <c r="O14" s="1" t="s">
        <v>7</v>
      </c>
      <c r="P14" s="2">
        <v>44023</v>
      </c>
      <c r="Q14" s="3"/>
      <c r="R14" s="3"/>
      <c r="S14" s="244"/>
      <c r="T14" s="5">
        <v>1391</v>
      </c>
      <c r="U14" s="4">
        <f t="shared" si="1"/>
        <v>0</v>
      </c>
      <c r="V14" s="245"/>
    </row>
    <row r="15" spans="2:22" s="87" customFormat="1" ht="20.100000000000001" customHeight="1">
      <c r="B15" s="242"/>
      <c r="C15" s="243"/>
      <c r="D15" s="1" t="s">
        <v>8</v>
      </c>
      <c r="E15" s="2">
        <v>44024</v>
      </c>
      <c r="F15" s="3"/>
      <c r="G15" s="244"/>
      <c r="H15" s="4">
        <v>3295</v>
      </c>
      <c r="I15" s="4">
        <f t="shared" si="0"/>
        <v>0</v>
      </c>
      <c r="J15" s="245"/>
      <c r="L15" s="88"/>
      <c r="M15" s="242"/>
      <c r="N15" s="243"/>
      <c r="O15" s="1" t="s">
        <v>8</v>
      </c>
      <c r="P15" s="2">
        <v>44024</v>
      </c>
      <c r="Q15" s="3"/>
      <c r="R15" s="3"/>
      <c r="S15" s="244"/>
      <c r="T15" s="5">
        <v>1391</v>
      </c>
      <c r="U15" s="4">
        <f t="shared" si="1"/>
        <v>0</v>
      </c>
      <c r="V15" s="245"/>
    </row>
    <row r="16" spans="2:22" s="87" customFormat="1" ht="20.100000000000001" customHeight="1">
      <c r="B16" s="249"/>
      <c r="C16" s="246" t="s">
        <v>5773</v>
      </c>
      <c r="D16" s="91" t="s">
        <v>2</v>
      </c>
      <c r="E16" s="89">
        <v>44025</v>
      </c>
      <c r="F16" s="3"/>
      <c r="G16" s="260">
        <f>SUM(F16:F22)</f>
        <v>0</v>
      </c>
      <c r="H16" s="5">
        <v>3295</v>
      </c>
      <c r="I16" s="5">
        <f t="shared" si="0"/>
        <v>0</v>
      </c>
      <c r="J16" s="252">
        <f>SUM(I16:I22)</f>
        <v>0</v>
      </c>
      <c r="L16" s="88"/>
      <c r="M16" s="249"/>
      <c r="N16" s="246" t="s">
        <v>5773</v>
      </c>
      <c r="O16" s="91" t="s">
        <v>2</v>
      </c>
      <c r="P16" s="89">
        <v>44025</v>
      </c>
      <c r="Q16" s="3">
        <v>1200</v>
      </c>
      <c r="R16" s="3"/>
      <c r="S16" s="260">
        <f>SUM(Q16:Q20)</f>
        <v>6000</v>
      </c>
      <c r="T16" s="5">
        <v>1391</v>
      </c>
      <c r="U16" s="5">
        <f t="shared" si="1"/>
        <v>1669200</v>
      </c>
      <c r="V16" s="245">
        <f>SUM(U16:U22)</f>
        <v>8346000</v>
      </c>
    </row>
    <row r="17" spans="2:22" s="87" customFormat="1" ht="20.100000000000001" customHeight="1">
      <c r="B17" s="250"/>
      <c r="C17" s="247"/>
      <c r="D17" s="91" t="s">
        <v>3</v>
      </c>
      <c r="E17" s="89">
        <v>44026</v>
      </c>
      <c r="F17" s="3"/>
      <c r="G17" s="261"/>
      <c r="H17" s="5">
        <v>3295</v>
      </c>
      <c r="I17" s="5">
        <f t="shared" si="0"/>
        <v>0</v>
      </c>
      <c r="J17" s="253"/>
      <c r="L17" s="88"/>
      <c r="M17" s="250"/>
      <c r="N17" s="247"/>
      <c r="O17" s="91" t="s">
        <v>3</v>
      </c>
      <c r="P17" s="89">
        <v>44026</v>
      </c>
      <c r="Q17" s="3">
        <v>1200</v>
      </c>
      <c r="R17" s="3"/>
      <c r="S17" s="261"/>
      <c r="T17" s="5">
        <v>1391</v>
      </c>
      <c r="U17" s="5">
        <f t="shared" si="1"/>
        <v>1669200</v>
      </c>
      <c r="V17" s="245"/>
    </row>
    <row r="18" spans="2:22" s="87" customFormat="1" ht="20.100000000000001" customHeight="1">
      <c r="B18" s="250"/>
      <c r="C18" s="247"/>
      <c r="D18" s="91" t="s">
        <v>4</v>
      </c>
      <c r="E18" s="89">
        <v>44027</v>
      </c>
      <c r="F18" s="3"/>
      <c r="G18" s="261"/>
      <c r="H18" s="5">
        <v>3295</v>
      </c>
      <c r="I18" s="5">
        <f t="shared" si="0"/>
        <v>0</v>
      </c>
      <c r="J18" s="253"/>
      <c r="L18" s="88"/>
      <c r="M18" s="250"/>
      <c r="N18" s="247"/>
      <c r="O18" s="91" t="s">
        <v>4</v>
      </c>
      <c r="P18" s="89">
        <v>44027</v>
      </c>
      <c r="Q18" s="3">
        <v>1200</v>
      </c>
      <c r="R18" s="3"/>
      <c r="S18" s="261"/>
      <c r="T18" s="5">
        <v>1391</v>
      </c>
      <c r="U18" s="5">
        <f t="shared" si="1"/>
        <v>1669200</v>
      </c>
      <c r="V18" s="245"/>
    </row>
    <row r="19" spans="2:22" s="87" customFormat="1" ht="20.100000000000001" customHeight="1">
      <c r="B19" s="250"/>
      <c r="C19" s="247"/>
      <c r="D19" s="91" t="s">
        <v>5</v>
      </c>
      <c r="E19" s="89">
        <v>44028</v>
      </c>
      <c r="F19" s="3"/>
      <c r="G19" s="261"/>
      <c r="H19" s="5">
        <v>3295</v>
      </c>
      <c r="I19" s="5">
        <f t="shared" si="0"/>
        <v>0</v>
      </c>
      <c r="J19" s="253"/>
      <c r="L19" s="88"/>
      <c r="M19" s="250"/>
      <c r="N19" s="247"/>
      <c r="O19" s="91" t="s">
        <v>5</v>
      </c>
      <c r="P19" s="89">
        <v>44028</v>
      </c>
      <c r="Q19" s="3">
        <v>1200</v>
      </c>
      <c r="R19" s="3"/>
      <c r="S19" s="261"/>
      <c r="T19" s="5">
        <v>1391</v>
      </c>
      <c r="U19" s="5">
        <f t="shared" si="1"/>
        <v>1669200</v>
      </c>
      <c r="V19" s="245"/>
    </row>
    <row r="20" spans="2:22" s="87" customFormat="1" ht="20.100000000000001" customHeight="1">
      <c r="B20" s="250"/>
      <c r="C20" s="247"/>
      <c r="D20" s="91" t="s">
        <v>6</v>
      </c>
      <c r="E20" s="89">
        <v>44029</v>
      </c>
      <c r="F20" s="3"/>
      <c r="G20" s="261"/>
      <c r="H20" s="5">
        <v>3295</v>
      </c>
      <c r="I20" s="5">
        <f t="shared" si="0"/>
        <v>0</v>
      </c>
      <c r="J20" s="253"/>
      <c r="L20" s="88"/>
      <c r="M20" s="250"/>
      <c r="N20" s="247"/>
      <c r="O20" s="91" t="s">
        <v>6</v>
      </c>
      <c r="P20" s="89">
        <v>44029</v>
      </c>
      <c r="Q20" s="3">
        <v>1200</v>
      </c>
      <c r="R20" s="3"/>
      <c r="S20" s="261"/>
      <c r="T20" s="5">
        <v>1391</v>
      </c>
      <c r="U20" s="5">
        <f t="shared" si="1"/>
        <v>1669200</v>
      </c>
      <c r="V20" s="245"/>
    </row>
    <row r="21" spans="2:22" s="87" customFormat="1" ht="20.100000000000001" customHeight="1">
      <c r="B21" s="250"/>
      <c r="C21" s="247"/>
      <c r="D21" s="1" t="s">
        <v>7</v>
      </c>
      <c r="E21" s="2">
        <v>44030</v>
      </c>
      <c r="F21" s="3"/>
      <c r="G21" s="261"/>
      <c r="H21" s="4">
        <v>3295</v>
      </c>
      <c r="I21" s="4">
        <f t="shared" si="0"/>
        <v>0</v>
      </c>
      <c r="J21" s="253"/>
      <c r="L21" s="88"/>
      <c r="M21" s="250"/>
      <c r="N21" s="247"/>
      <c r="O21" s="1" t="s">
        <v>7</v>
      </c>
      <c r="P21" s="2">
        <v>44030</v>
      </c>
      <c r="Q21" s="3"/>
      <c r="R21" s="3"/>
      <c r="S21" s="261"/>
      <c r="T21" s="5">
        <v>1391</v>
      </c>
      <c r="U21" s="4">
        <f t="shared" si="1"/>
        <v>0</v>
      </c>
      <c r="V21" s="245"/>
    </row>
    <row r="22" spans="2:22" s="87" customFormat="1" ht="20.100000000000001" customHeight="1">
      <c r="B22" s="251"/>
      <c r="C22" s="248"/>
      <c r="D22" s="1" t="s">
        <v>8</v>
      </c>
      <c r="E22" s="2">
        <v>44031</v>
      </c>
      <c r="F22" s="3"/>
      <c r="G22" s="262"/>
      <c r="H22" s="4">
        <v>3295</v>
      </c>
      <c r="I22" s="4">
        <f t="shared" si="0"/>
        <v>0</v>
      </c>
      <c r="J22" s="254"/>
      <c r="L22" s="88"/>
      <c r="M22" s="251"/>
      <c r="N22" s="248"/>
      <c r="O22" s="1" t="s">
        <v>8</v>
      </c>
      <c r="P22" s="2">
        <v>44031</v>
      </c>
      <c r="Q22" s="3"/>
      <c r="R22" s="3"/>
      <c r="S22" s="262"/>
      <c r="T22" s="5">
        <v>1391</v>
      </c>
      <c r="U22" s="4">
        <f t="shared" si="1"/>
        <v>0</v>
      </c>
      <c r="V22" s="245"/>
    </row>
    <row r="23" spans="2:22" s="87" customFormat="1" ht="20.100000000000001" customHeight="1">
      <c r="B23" s="249"/>
      <c r="C23" s="246" t="s">
        <v>5774</v>
      </c>
      <c r="D23" s="91" t="s">
        <v>2</v>
      </c>
      <c r="E23" s="89">
        <v>44032</v>
      </c>
      <c r="F23" s="3"/>
      <c r="G23" s="260">
        <f>SUM(F23:F29)</f>
        <v>0</v>
      </c>
      <c r="H23" s="5">
        <v>3295</v>
      </c>
      <c r="I23" s="5">
        <f t="shared" si="0"/>
        <v>0</v>
      </c>
      <c r="J23" s="252">
        <f>SUM(I23:I29)</f>
        <v>0</v>
      </c>
      <c r="L23" s="88"/>
      <c r="M23" s="249"/>
      <c r="N23" s="246" t="s">
        <v>5774</v>
      </c>
      <c r="O23" s="91" t="s">
        <v>2</v>
      </c>
      <c r="P23" s="89">
        <v>44032</v>
      </c>
      <c r="Q23" s="3">
        <v>1200</v>
      </c>
      <c r="R23" s="3"/>
      <c r="S23" s="260">
        <f>SUM(Q23:Q27)</f>
        <v>6000</v>
      </c>
      <c r="T23" s="5">
        <v>1391</v>
      </c>
      <c r="U23" s="5">
        <f t="shared" si="1"/>
        <v>1669200</v>
      </c>
      <c r="V23" s="245">
        <f>SUM(U23:U29)</f>
        <v>8346000</v>
      </c>
    </row>
    <row r="24" spans="2:22" s="87" customFormat="1" ht="20.100000000000001" customHeight="1">
      <c r="B24" s="250"/>
      <c r="C24" s="247"/>
      <c r="D24" s="91" t="s">
        <v>3</v>
      </c>
      <c r="E24" s="89">
        <v>44033</v>
      </c>
      <c r="F24" s="3"/>
      <c r="G24" s="261"/>
      <c r="H24" s="5">
        <v>3295</v>
      </c>
      <c r="I24" s="5">
        <f t="shared" si="0"/>
        <v>0</v>
      </c>
      <c r="J24" s="253"/>
      <c r="L24" s="88"/>
      <c r="M24" s="250"/>
      <c r="N24" s="247"/>
      <c r="O24" s="91" t="s">
        <v>3</v>
      </c>
      <c r="P24" s="89">
        <v>44033</v>
      </c>
      <c r="Q24" s="3">
        <v>1200</v>
      </c>
      <c r="R24" s="3"/>
      <c r="S24" s="261"/>
      <c r="T24" s="5">
        <v>1391</v>
      </c>
      <c r="U24" s="5">
        <f t="shared" si="1"/>
        <v>1669200</v>
      </c>
      <c r="V24" s="245"/>
    </row>
    <row r="25" spans="2:22" s="87" customFormat="1" ht="20.100000000000001" customHeight="1">
      <c r="B25" s="250"/>
      <c r="C25" s="247"/>
      <c r="D25" s="91" t="s">
        <v>4</v>
      </c>
      <c r="E25" s="89">
        <v>44034</v>
      </c>
      <c r="F25" s="3"/>
      <c r="G25" s="261"/>
      <c r="H25" s="5">
        <v>3295</v>
      </c>
      <c r="I25" s="5">
        <f t="shared" si="0"/>
        <v>0</v>
      </c>
      <c r="J25" s="253"/>
      <c r="L25" s="88"/>
      <c r="M25" s="250"/>
      <c r="N25" s="247"/>
      <c r="O25" s="91" t="s">
        <v>4</v>
      </c>
      <c r="P25" s="89">
        <v>44034</v>
      </c>
      <c r="Q25" s="3">
        <v>1200</v>
      </c>
      <c r="R25" s="3"/>
      <c r="S25" s="261"/>
      <c r="T25" s="5">
        <v>1391</v>
      </c>
      <c r="U25" s="5">
        <f t="shared" si="1"/>
        <v>1669200</v>
      </c>
      <c r="V25" s="245"/>
    </row>
    <row r="26" spans="2:22" s="87" customFormat="1" ht="20.100000000000001" customHeight="1">
      <c r="B26" s="250"/>
      <c r="C26" s="247"/>
      <c r="D26" s="91" t="s">
        <v>5</v>
      </c>
      <c r="E26" s="89">
        <v>44035</v>
      </c>
      <c r="F26" s="3"/>
      <c r="G26" s="261"/>
      <c r="H26" s="5">
        <v>3295</v>
      </c>
      <c r="I26" s="5">
        <f t="shared" si="0"/>
        <v>0</v>
      </c>
      <c r="J26" s="253"/>
      <c r="L26" s="88"/>
      <c r="M26" s="250"/>
      <c r="N26" s="247"/>
      <c r="O26" s="91" t="s">
        <v>5</v>
      </c>
      <c r="P26" s="89">
        <v>44035</v>
      </c>
      <c r="Q26" s="3">
        <v>1200</v>
      </c>
      <c r="R26" s="3"/>
      <c r="S26" s="261"/>
      <c r="T26" s="5">
        <v>1391</v>
      </c>
      <c r="U26" s="5">
        <f t="shared" si="1"/>
        <v>1669200</v>
      </c>
      <c r="V26" s="245"/>
    </row>
    <row r="27" spans="2:22" s="87" customFormat="1" ht="21" customHeight="1">
      <c r="B27" s="250"/>
      <c r="C27" s="247"/>
      <c r="D27" s="91" t="s">
        <v>6</v>
      </c>
      <c r="E27" s="89">
        <v>44036</v>
      </c>
      <c r="F27" s="3"/>
      <c r="G27" s="261"/>
      <c r="H27" s="5">
        <v>3295</v>
      </c>
      <c r="I27" s="5">
        <f t="shared" si="0"/>
        <v>0</v>
      </c>
      <c r="J27" s="253"/>
      <c r="L27" s="88"/>
      <c r="M27" s="250"/>
      <c r="N27" s="247"/>
      <c r="O27" s="91" t="s">
        <v>6</v>
      </c>
      <c r="P27" s="89">
        <v>44036</v>
      </c>
      <c r="Q27" s="3">
        <v>1200</v>
      </c>
      <c r="R27" s="3"/>
      <c r="S27" s="261"/>
      <c r="T27" s="5">
        <v>1391</v>
      </c>
      <c r="U27" s="5">
        <f t="shared" si="1"/>
        <v>1669200</v>
      </c>
      <c r="V27" s="245"/>
    </row>
    <row r="28" spans="2:22" s="87" customFormat="1" ht="21" customHeight="1">
      <c r="B28" s="250"/>
      <c r="C28" s="247"/>
      <c r="D28" s="1" t="s">
        <v>7</v>
      </c>
      <c r="E28" s="2">
        <v>44037</v>
      </c>
      <c r="F28" s="3"/>
      <c r="G28" s="261"/>
      <c r="H28" s="4">
        <v>3295</v>
      </c>
      <c r="I28" s="4">
        <f t="shared" si="0"/>
        <v>0</v>
      </c>
      <c r="J28" s="253"/>
      <c r="L28" s="88"/>
      <c r="M28" s="250"/>
      <c r="N28" s="247"/>
      <c r="O28" s="1" t="s">
        <v>7</v>
      </c>
      <c r="P28" s="2">
        <v>44037</v>
      </c>
      <c r="Q28" s="3"/>
      <c r="R28" s="3"/>
      <c r="S28" s="261"/>
      <c r="T28" s="5">
        <v>1391</v>
      </c>
      <c r="U28" s="4">
        <f t="shared" si="1"/>
        <v>0</v>
      </c>
      <c r="V28" s="245"/>
    </row>
    <row r="29" spans="2:22" s="87" customFormat="1" ht="21" customHeight="1">
      <c r="B29" s="251"/>
      <c r="C29" s="248"/>
      <c r="D29" s="1" t="s">
        <v>8</v>
      </c>
      <c r="E29" s="2">
        <v>44038</v>
      </c>
      <c r="F29" s="3"/>
      <c r="G29" s="262"/>
      <c r="H29" s="4">
        <v>3295</v>
      </c>
      <c r="I29" s="4">
        <f t="shared" si="0"/>
        <v>0</v>
      </c>
      <c r="J29" s="254"/>
      <c r="L29" s="88"/>
      <c r="M29" s="251"/>
      <c r="N29" s="248"/>
      <c r="O29" s="1" t="s">
        <v>8</v>
      </c>
      <c r="P29" s="2">
        <v>44038</v>
      </c>
      <c r="Q29" s="3"/>
      <c r="R29" s="3"/>
      <c r="S29" s="262"/>
      <c r="T29" s="5">
        <v>1391</v>
      </c>
      <c r="U29" s="4">
        <f t="shared" si="1"/>
        <v>0</v>
      </c>
      <c r="V29" s="245"/>
    </row>
    <row r="30" spans="2:22" s="108" customFormat="1" ht="39.950000000000003" customHeight="1">
      <c r="B30" s="238" t="s">
        <v>17</v>
      </c>
      <c r="C30" s="238"/>
      <c r="D30" s="238"/>
      <c r="E30" s="238"/>
      <c r="F30" s="239">
        <f>SUM(G9:G15)</f>
        <v>0</v>
      </c>
      <c r="G30" s="240"/>
      <c r="H30" s="241">
        <f>SUM(J9:J15)</f>
        <v>0</v>
      </c>
      <c r="I30" s="241"/>
      <c r="J30" s="241"/>
      <c r="L30" s="109"/>
      <c r="M30" s="284" t="s">
        <v>17</v>
      </c>
      <c r="N30" s="284"/>
      <c r="O30" s="284"/>
      <c r="P30" s="284"/>
      <c r="Q30" s="285">
        <f>SUM(S9:S29)</f>
        <v>18000</v>
      </c>
      <c r="R30" s="285"/>
      <c r="S30" s="286"/>
      <c r="T30" s="287">
        <f>SUM(V9:V29)</f>
        <v>25038000</v>
      </c>
      <c r="U30" s="287"/>
      <c r="V30" s="287"/>
    </row>
    <row r="31" spans="2:22" ht="20.100000000000001" customHeight="1">
      <c r="B31" s="95" t="s">
        <v>21</v>
      </c>
      <c r="C31" s="98"/>
      <c r="L31" s="92"/>
      <c r="N31" s="98"/>
    </row>
    <row r="32" spans="2:22" ht="20.100000000000001" customHeight="1">
      <c r="B32" s="98"/>
      <c r="L32" s="92"/>
      <c r="M32" s="98"/>
    </row>
    <row r="33" spans="22:22" ht="20.100000000000001" customHeight="1">
      <c r="V33" s="110"/>
    </row>
    <row r="34" spans="22:22" ht="20.100000000000001" customHeight="1"/>
    <row r="35" spans="22:22" ht="20.100000000000001" customHeight="1"/>
    <row r="36" spans="22:22" ht="20.100000000000001" customHeight="1"/>
    <row r="37" spans="22:22" ht="20.100000000000001" customHeight="1"/>
    <row r="38" spans="22:22" ht="20.100000000000001" customHeight="1"/>
    <row r="39" spans="22:22" ht="20.100000000000001" customHeight="1"/>
    <row r="40" spans="22:22" ht="20.100000000000001" customHeight="1"/>
    <row r="41" spans="22:22" ht="20.100000000000001" customHeight="1"/>
    <row r="42" spans="22:22" ht="20.100000000000001" customHeight="1"/>
    <row r="43" spans="22:22" ht="20.100000000000001" customHeight="1"/>
    <row r="44" spans="22:22" ht="20.100000000000001" customHeight="1"/>
    <row r="45" spans="22:22" ht="20.100000000000001" customHeight="1"/>
    <row r="46" spans="22:22" ht="20.100000000000001" customHeight="1"/>
    <row r="47" spans="22:22" ht="20.100000000000001" customHeight="1"/>
    <row r="48" spans="22:22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15" customHeight="1"/>
    <row r="440" ht="15" customHeight="1"/>
    <row r="441" ht="15" customHeight="1"/>
    <row r="442" ht="15" customHeight="1"/>
  </sheetData>
  <mergeCells count="48">
    <mergeCell ref="S23:S29"/>
    <mergeCell ref="V23:V29"/>
    <mergeCell ref="B30:E30"/>
    <mergeCell ref="F30:G30"/>
    <mergeCell ref="H30:J30"/>
    <mergeCell ref="M30:P30"/>
    <mergeCell ref="Q30:S30"/>
    <mergeCell ref="T30:V30"/>
    <mergeCell ref="B23:B29"/>
    <mergeCell ref="C23:C29"/>
    <mergeCell ref="G23:G29"/>
    <mergeCell ref="J23:J29"/>
    <mergeCell ref="M23:M29"/>
    <mergeCell ref="N23:N29"/>
    <mergeCell ref="S9:S15"/>
    <mergeCell ref="V9:V15"/>
    <mergeCell ref="B16:B22"/>
    <mergeCell ref="C16:C22"/>
    <mergeCell ref="G16:G22"/>
    <mergeCell ref="J16:J22"/>
    <mergeCell ref="M16:M22"/>
    <mergeCell ref="N16:N22"/>
    <mergeCell ref="S16:S22"/>
    <mergeCell ref="V16:V22"/>
    <mergeCell ref="B9:B15"/>
    <mergeCell ref="C9:C15"/>
    <mergeCell ref="G9:G15"/>
    <mergeCell ref="J9:J15"/>
    <mergeCell ref="M9:M15"/>
    <mergeCell ref="N9:N15"/>
    <mergeCell ref="V7:V8"/>
    <mergeCell ref="B7:B8"/>
    <mergeCell ref="C7:C8"/>
    <mergeCell ref="D7:D8"/>
    <mergeCell ref="E7:E8"/>
    <mergeCell ref="F7:I7"/>
    <mergeCell ref="J7:J8"/>
    <mergeCell ref="M7:M8"/>
    <mergeCell ref="N7:N8"/>
    <mergeCell ref="O7:O8"/>
    <mergeCell ref="P7:P8"/>
    <mergeCell ref="Q7:U7"/>
    <mergeCell ref="B3:J3"/>
    <mergeCell ref="M3:V3"/>
    <mergeCell ref="B5:J5"/>
    <mergeCell ref="M5:V5"/>
    <mergeCell ref="B6:J6"/>
    <mergeCell ref="M6:V6"/>
  </mergeCells>
  <printOptions horizontalCentered="1"/>
  <pageMargins left="0.196850393700787" right="0.196850393700787" top="1.5748031496063" bottom="0.196850393700787" header="1.5748031496063" footer="0.196850393700787"/>
  <pageSetup paperSize="9" scale="3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56"/>
  <sheetViews>
    <sheetView topLeftCell="A22" workbookViewId="0">
      <selection activeCell="Q23" sqref="Q23"/>
    </sheetView>
  </sheetViews>
  <sheetFormatPr defaultRowHeight="12.75"/>
  <cols>
    <col min="1" max="1" width="1.7109375" style="90" customWidth="1"/>
    <col min="2" max="2" width="22.7109375" style="95" customWidth="1"/>
    <col min="3" max="3" width="15.7109375" style="95" customWidth="1"/>
    <col min="4" max="4" width="8.7109375" style="96" customWidth="1"/>
    <col min="5" max="5" width="12.7109375" style="97" customWidth="1"/>
    <col min="6" max="6" width="10.7109375" style="100" customWidth="1"/>
    <col min="7" max="7" width="10.7109375" style="101" customWidth="1"/>
    <col min="8" max="8" width="12.7109375" style="98" customWidth="1"/>
    <col min="9" max="9" width="17.7109375" style="98" customWidth="1"/>
    <col min="10" max="10" width="20.7109375" style="102" customWidth="1"/>
    <col min="11" max="11" width="5.7109375" style="90" customWidth="1"/>
    <col min="12" max="16384" width="9.140625" style="90"/>
  </cols>
  <sheetData>
    <row r="1" spans="2:10" ht="20.100000000000001" customHeight="1">
      <c r="B1" s="99" t="s">
        <v>18</v>
      </c>
    </row>
    <row r="2" spans="2:10" ht="20.100000000000001" customHeight="1">
      <c r="B2" s="103" t="s">
        <v>20</v>
      </c>
    </row>
    <row r="3" spans="2:10" ht="30" customHeight="1">
      <c r="B3" s="255" t="s">
        <v>5776</v>
      </c>
      <c r="C3" s="255"/>
      <c r="D3" s="255"/>
      <c r="E3" s="255"/>
      <c r="F3" s="255"/>
      <c r="G3" s="255"/>
      <c r="H3" s="255"/>
      <c r="I3" s="255"/>
      <c r="J3" s="255"/>
    </row>
    <row r="4" spans="2:10" ht="20.100000000000001" customHeight="1">
      <c r="B4" s="114"/>
      <c r="C4" s="114"/>
      <c r="D4" s="114"/>
      <c r="E4" s="114"/>
      <c r="F4" s="114"/>
      <c r="G4" s="114"/>
      <c r="H4" s="114"/>
      <c r="I4" s="114"/>
      <c r="J4" s="114"/>
    </row>
    <row r="5" spans="2:10" ht="20.100000000000001" customHeight="1">
      <c r="B5" s="256" t="s">
        <v>5813</v>
      </c>
      <c r="C5" s="256"/>
      <c r="D5" s="256"/>
      <c r="E5" s="256"/>
      <c r="F5" s="256"/>
      <c r="G5" s="256"/>
      <c r="H5" s="256"/>
      <c r="I5" s="256"/>
      <c r="J5" s="256"/>
    </row>
    <row r="6" spans="2:10" ht="20.100000000000001" customHeight="1">
      <c r="B6" s="256" t="s">
        <v>22</v>
      </c>
      <c r="C6" s="256"/>
      <c r="D6" s="256"/>
      <c r="E6" s="256"/>
      <c r="F6" s="256"/>
      <c r="G6" s="256"/>
      <c r="H6" s="256"/>
      <c r="I6" s="256"/>
      <c r="J6" s="256"/>
    </row>
    <row r="7" spans="2:10" s="104" customFormat="1" ht="24.95" customHeight="1">
      <c r="B7" s="257" t="s">
        <v>13</v>
      </c>
      <c r="C7" s="257" t="s">
        <v>14</v>
      </c>
      <c r="D7" s="258" t="s">
        <v>1</v>
      </c>
      <c r="E7" s="258" t="s">
        <v>0</v>
      </c>
      <c r="F7" s="259" t="s">
        <v>11</v>
      </c>
      <c r="G7" s="259"/>
      <c r="H7" s="259"/>
      <c r="I7" s="259"/>
      <c r="J7" s="257" t="s">
        <v>15</v>
      </c>
    </row>
    <row r="8" spans="2:10" s="104" customFormat="1" ht="24.95" customHeight="1">
      <c r="B8" s="257"/>
      <c r="C8" s="257"/>
      <c r="D8" s="258"/>
      <c r="E8" s="258"/>
      <c r="F8" s="113" t="s">
        <v>12</v>
      </c>
      <c r="G8" s="113" t="s">
        <v>16</v>
      </c>
      <c r="H8" s="106" t="s">
        <v>9</v>
      </c>
      <c r="I8" s="106" t="s">
        <v>10</v>
      </c>
      <c r="J8" s="257"/>
    </row>
    <row r="9" spans="2:10" ht="20.100000000000001" customHeight="1">
      <c r="B9" s="290"/>
      <c r="C9" s="291" t="s">
        <v>5760</v>
      </c>
      <c r="D9" s="91" t="s">
        <v>2</v>
      </c>
      <c r="E9" s="89">
        <v>43647</v>
      </c>
      <c r="F9" s="93">
        <v>206</v>
      </c>
      <c r="G9" s="244">
        <f>SUM(F9:F15)</f>
        <v>1492</v>
      </c>
      <c r="H9" s="5">
        <v>3295</v>
      </c>
      <c r="I9" s="5">
        <f>+F9*H9</f>
        <v>678770</v>
      </c>
      <c r="J9" s="245">
        <f>SUM(I9:I15)</f>
        <v>4916140</v>
      </c>
    </row>
    <row r="10" spans="2:10" ht="20.100000000000001" customHeight="1">
      <c r="B10" s="242"/>
      <c r="C10" s="291"/>
      <c r="D10" s="91" t="s">
        <v>3</v>
      </c>
      <c r="E10" s="89">
        <v>43648</v>
      </c>
      <c r="F10" s="93">
        <v>213</v>
      </c>
      <c r="G10" s="244"/>
      <c r="H10" s="5">
        <v>3295</v>
      </c>
      <c r="I10" s="5">
        <f>+F10*H10</f>
        <v>701835</v>
      </c>
      <c r="J10" s="245"/>
    </row>
    <row r="11" spans="2:10" ht="20.100000000000001" customHeight="1">
      <c r="B11" s="242"/>
      <c r="C11" s="291"/>
      <c r="D11" s="91" t="s">
        <v>4</v>
      </c>
      <c r="E11" s="89">
        <v>43649</v>
      </c>
      <c r="F11" s="93">
        <v>222</v>
      </c>
      <c r="G11" s="244"/>
      <c r="H11" s="5">
        <v>3295</v>
      </c>
      <c r="I11" s="5">
        <f>+F11*H11</f>
        <v>731490</v>
      </c>
      <c r="J11" s="245"/>
    </row>
    <row r="12" spans="2:10" ht="20.100000000000001" customHeight="1">
      <c r="B12" s="242"/>
      <c r="C12" s="291"/>
      <c r="D12" s="91" t="s">
        <v>5</v>
      </c>
      <c r="E12" s="89">
        <v>43650</v>
      </c>
      <c r="F12" s="93">
        <v>216</v>
      </c>
      <c r="G12" s="244"/>
      <c r="H12" s="5">
        <v>3295</v>
      </c>
      <c r="I12" s="5">
        <f t="shared" ref="I12:I15" si="0">+F12*H12</f>
        <v>711720</v>
      </c>
      <c r="J12" s="245"/>
    </row>
    <row r="13" spans="2:10" ht="20.100000000000001" customHeight="1">
      <c r="B13" s="242"/>
      <c r="C13" s="291"/>
      <c r="D13" s="91" t="s">
        <v>6</v>
      </c>
      <c r="E13" s="89">
        <v>43651</v>
      </c>
      <c r="F13" s="93">
        <v>216</v>
      </c>
      <c r="G13" s="244"/>
      <c r="H13" s="5">
        <v>3295</v>
      </c>
      <c r="I13" s="5">
        <f t="shared" si="0"/>
        <v>711720</v>
      </c>
      <c r="J13" s="245"/>
    </row>
    <row r="14" spans="2:10" s="87" customFormat="1" ht="20.100000000000001" customHeight="1">
      <c r="B14" s="242"/>
      <c r="C14" s="291"/>
      <c r="D14" s="1" t="s">
        <v>7</v>
      </c>
      <c r="E14" s="2">
        <v>43652</v>
      </c>
      <c r="F14" s="3">
        <v>327</v>
      </c>
      <c r="G14" s="244"/>
      <c r="H14" s="4">
        <v>3295</v>
      </c>
      <c r="I14" s="4">
        <f t="shared" si="0"/>
        <v>1077465</v>
      </c>
      <c r="J14" s="245"/>
    </row>
    <row r="15" spans="2:10" s="87" customFormat="1" ht="20.100000000000001" customHeight="1">
      <c r="B15" s="242"/>
      <c r="C15" s="291"/>
      <c r="D15" s="1" t="s">
        <v>8</v>
      </c>
      <c r="E15" s="2">
        <v>43653</v>
      </c>
      <c r="F15" s="94">
        <v>92</v>
      </c>
      <c r="G15" s="244"/>
      <c r="H15" s="4">
        <v>3295</v>
      </c>
      <c r="I15" s="4">
        <f t="shared" si="0"/>
        <v>303140</v>
      </c>
      <c r="J15" s="245"/>
    </row>
    <row r="16" spans="2:10" ht="20.100000000000001" customHeight="1">
      <c r="B16" s="290" t="s">
        <v>5765</v>
      </c>
      <c r="C16" s="243" t="s">
        <v>5761</v>
      </c>
      <c r="D16" s="91" t="s">
        <v>2</v>
      </c>
      <c r="E16" s="89">
        <v>43654</v>
      </c>
      <c r="F16" s="93">
        <v>196</v>
      </c>
      <c r="G16" s="244">
        <f>SUM(F16:F22)</f>
        <v>1293</v>
      </c>
      <c r="H16" s="5">
        <v>3295</v>
      </c>
      <c r="I16" s="5">
        <f t="shared" ref="I16:I29" si="1">+H16*F16</f>
        <v>645820</v>
      </c>
      <c r="J16" s="245">
        <f>SUM(I16:I22)</f>
        <v>4260435</v>
      </c>
    </row>
    <row r="17" spans="2:10" ht="20.100000000000001" customHeight="1">
      <c r="B17" s="242"/>
      <c r="C17" s="243"/>
      <c r="D17" s="91" t="s">
        <v>3</v>
      </c>
      <c r="E17" s="89">
        <v>43655</v>
      </c>
      <c r="F17" s="93">
        <v>209</v>
      </c>
      <c r="G17" s="244"/>
      <c r="H17" s="5">
        <v>3295</v>
      </c>
      <c r="I17" s="5">
        <f t="shared" si="1"/>
        <v>688655</v>
      </c>
      <c r="J17" s="245"/>
    </row>
    <row r="18" spans="2:10" ht="20.100000000000001" customHeight="1">
      <c r="B18" s="242"/>
      <c r="C18" s="243"/>
      <c r="D18" s="91" t="s">
        <v>4</v>
      </c>
      <c r="E18" s="89">
        <v>43656</v>
      </c>
      <c r="F18" s="93">
        <v>208</v>
      </c>
      <c r="G18" s="244"/>
      <c r="H18" s="5">
        <v>3295</v>
      </c>
      <c r="I18" s="5">
        <f t="shared" si="1"/>
        <v>685360</v>
      </c>
      <c r="J18" s="245"/>
    </row>
    <row r="19" spans="2:10" ht="20.100000000000001" customHeight="1">
      <c r="B19" s="242"/>
      <c r="C19" s="243"/>
      <c r="D19" s="91" t="s">
        <v>5</v>
      </c>
      <c r="E19" s="89">
        <v>43657</v>
      </c>
      <c r="F19" s="93">
        <v>210</v>
      </c>
      <c r="G19" s="244"/>
      <c r="H19" s="5">
        <v>3295</v>
      </c>
      <c r="I19" s="5">
        <f t="shared" si="1"/>
        <v>691950</v>
      </c>
      <c r="J19" s="245"/>
    </row>
    <row r="20" spans="2:10" ht="20.100000000000001" customHeight="1">
      <c r="B20" s="242"/>
      <c r="C20" s="243"/>
      <c r="D20" s="91" t="s">
        <v>6</v>
      </c>
      <c r="E20" s="89">
        <v>43658</v>
      </c>
      <c r="F20" s="93">
        <v>196</v>
      </c>
      <c r="G20" s="244"/>
      <c r="H20" s="5">
        <v>3295</v>
      </c>
      <c r="I20" s="5">
        <f t="shared" si="1"/>
        <v>645820</v>
      </c>
      <c r="J20" s="245"/>
    </row>
    <row r="21" spans="2:10" s="87" customFormat="1" ht="20.100000000000001" customHeight="1">
      <c r="B21" s="242"/>
      <c r="C21" s="243"/>
      <c r="D21" s="1" t="s">
        <v>7</v>
      </c>
      <c r="E21" s="2">
        <v>43659</v>
      </c>
      <c r="F21" s="3">
        <v>239</v>
      </c>
      <c r="G21" s="244"/>
      <c r="H21" s="4">
        <v>3295</v>
      </c>
      <c r="I21" s="4">
        <f t="shared" si="1"/>
        <v>787505</v>
      </c>
      <c r="J21" s="245"/>
    </row>
    <row r="22" spans="2:10" s="87" customFormat="1" ht="20.100000000000001" customHeight="1">
      <c r="B22" s="242"/>
      <c r="C22" s="243"/>
      <c r="D22" s="1" t="s">
        <v>8</v>
      </c>
      <c r="E22" s="2">
        <v>43660</v>
      </c>
      <c r="F22" s="3">
        <v>35</v>
      </c>
      <c r="G22" s="244"/>
      <c r="H22" s="4">
        <v>3295</v>
      </c>
      <c r="I22" s="4">
        <f t="shared" si="1"/>
        <v>115325</v>
      </c>
      <c r="J22" s="245"/>
    </row>
    <row r="23" spans="2:10" ht="20.100000000000001" customHeight="1">
      <c r="B23" s="290" t="s">
        <v>5766</v>
      </c>
      <c r="C23" s="243" t="s">
        <v>5762</v>
      </c>
      <c r="D23" s="91" t="s">
        <v>2</v>
      </c>
      <c r="E23" s="89">
        <v>43661</v>
      </c>
      <c r="F23" s="93">
        <v>204</v>
      </c>
      <c r="G23" s="244">
        <f>SUM(F23:F29)</f>
        <v>1423</v>
      </c>
      <c r="H23" s="5">
        <v>3295</v>
      </c>
      <c r="I23" s="5">
        <f t="shared" si="1"/>
        <v>672180</v>
      </c>
      <c r="J23" s="245">
        <f>SUM(I23:I29)</f>
        <v>4688785</v>
      </c>
    </row>
    <row r="24" spans="2:10" ht="20.100000000000001" customHeight="1">
      <c r="B24" s="242"/>
      <c r="C24" s="243"/>
      <c r="D24" s="91" t="s">
        <v>3</v>
      </c>
      <c r="E24" s="89">
        <v>43662</v>
      </c>
      <c r="F24" s="93">
        <v>219</v>
      </c>
      <c r="G24" s="244"/>
      <c r="H24" s="5">
        <v>3295</v>
      </c>
      <c r="I24" s="5">
        <f t="shared" si="1"/>
        <v>721605</v>
      </c>
      <c r="J24" s="245"/>
    </row>
    <row r="25" spans="2:10" ht="20.100000000000001" customHeight="1">
      <c r="B25" s="242"/>
      <c r="C25" s="243"/>
      <c r="D25" s="91" t="s">
        <v>4</v>
      </c>
      <c r="E25" s="89">
        <v>43663</v>
      </c>
      <c r="F25" s="93">
        <v>220</v>
      </c>
      <c r="G25" s="244"/>
      <c r="H25" s="5">
        <v>3295</v>
      </c>
      <c r="I25" s="5">
        <f t="shared" si="1"/>
        <v>724900</v>
      </c>
      <c r="J25" s="245"/>
    </row>
    <row r="26" spans="2:10" ht="20.100000000000001" customHeight="1">
      <c r="B26" s="242"/>
      <c r="C26" s="243"/>
      <c r="D26" s="91" t="s">
        <v>5</v>
      </c>
      <c r="E26" s="89">
        <v>43664</v>
      </c>
      <c r="F26" s="93">
        <v>214</v>
      </c>
      <c r="G26" s="244"/>
      <c r="H26" s="5">
        <v>3295</v>
      </c>
      <c r="I26" s="5">
        <f t="shared" si="1"/>
        <v>705130</v>
      </c>
      <c r="J26" s="245"/>
    </row>
    <row r="27" spans="2:10" ht="20.100000000000001" customHeight="1">
      <c r="B27" s="242"/>
      <c r="C27" s="243"/>
      <c r="D27" s="91" t="s">
        <v>6</v>
      </c>
      <c r="E27" s="89">
        <v>43665</v>
      </c>
      <c r="F27" s="93">
        <v>207</v>
      </c>
      <c r="G27" s="244"/>
      <c r="H27" s="5">
        <v>3295</v>
      </c>
      <c r="I27" s="5">
        <f t="shared" si="1"/>
        <v>682065</v>
      </c>
      <c r="J27" s="245"/>
    </row>
    <row r="28" spans="2:10" s="87" customFormat="1" ht="20.100000000000001" customHeight="1">
      <c r="B28" s="242"/>
      <c r="C28" s="243"/>
      <c r="D28" s="1" t="s">
        <v>7</v>
      </c>
      <c r="E28" s="2">
        <v>43666</v>
      </c>
      <c r="F28" s="3">
        <v>359</v>
      </c>
      <c r="G28" s="244"/>
      <c r="H28" s="4">
        <v>3295</v>
      </c>
      <c r="I28" s="4">
        <f t="shared" si="1"/>
        <v>1182905</v>
      </c>
      <c r="J28" s="245"/>
    </row>
    <row r="29" spans="2:10" s="87" customFormat="1" ht="20.100000000000001" customHeight="1">
      <c r="B29" s="242"/>
      <c r="C29" s="243"/>
      <c r="D29" s="1" t="s">
        <v>8</v>
      </c>
      <c r="E29" s="2">
        <v>43667</v>
      </c>
      <c r="F29" s="3">
        <v>0</v>
      </c>
      <c r="G29" s="244"/>
      <c r="H29" s="4">
        <v>3295</v>
      </c>
      <c r="I29" s="4">
        <f t="shared" si="1"/>
        <v>0</v>
      </c>
      <c r="J29" s="245"/>
    </row>
    <row r="30" spans="2:10" ht="20.100000000000001" customHeight="1">
      <c r="B30" s="290" t="s">
        <v>5767</v>
      </c>
      <c r="C30" s="243" t="s">
        <v>5763</v>
      </c>
      <c r="D30" s="91" t="s">
        <v>2</v>
      </c>
      <c r="E30" s="89">
        <v>43668</v>
      </c>
      <c r="F30" s="93">
        <v>198</v>
      </c>
      <c r="G30" s="244">
        <f>SUM(F30:F36)</f>
        <v>1362</v>
      </c>
      <c r="H30" s="5">
        <v>3295</v>
      </c>
      <c r="I30" s="5">
        <f t="shared" ref="I30:I36" si="2">+H30*F30</f>
        <v>652410</v>
      </c>
      <c r="J30" s="245">
        <f>SUM(I30:I36)</f>
        <v>4487790</v>
      </c>
    </row>
    <row r="31" spans="2:10" ht="20.100000000000001" customHeight="1">
      <c r="B31" s="242"/>
      <c r="C31" s="243"/>
      <c r="D31" s="91" t="s">
        <v>3</v>
      </c>
      <c r="E31" s="89">
        <v>43669</v>
      </c>
      <c r="F31" s="93">
        <v>201</v>
      </c>
      <c r="G31" s="244"/>
      <c r="H31" s="5">
        <v>3295</v>
      </c>
      <c r="I31" s="5">
        <f t="shared" si="2"/>
        <v>662295</v>
      </c>
      <c r="J31" s="245"/>
    </row>
    <row r="32" spans="2:10" ht="20.100000000000001" customHeight="1">
      <c r="B32" s="242"/>
      <c r="C32" s="243"/>
      <c r="D32" s="91" t="s">
        <v>4</v>
      </c>
      <c r="E32" s="89">
        <v>43670</v>
      </c>
      <c r="F32" s="93">
        <v>215</v>
      </c>
      <c r="G32" s="244"/>
      <c r="H32" s="5">
        <v>3295</v>
      </c>
      <c r="I32" s="5">
        <f t="shared" si="2"/>
        <v>708425</v>
      </c>
      <c r="J32" s="245"/>
    </row>
    <row r="33" spans="2:10" ht="20.100000000000001" customHeight="1">
      <c r="B33" s="242"/>
      <c r="C33" s="243"/>
      <c r="D33" s="91" t="s">
        <v>5</v>
      </c>
      <c r="E33" s="89">
        <v>43671</v>
      </c>
      <c r="F33" s="93">
        <v>217</v>
      </c>
      <c r="G33" s="244"/>
      <c r="H33" s="5">
        <v>3295</v>
      </c>
      <c r="I33" s="5">
        <f t="shared" si="2"/>
        <v>715015</v>
      </c>
      <c r="J33" s="245"/>
    </row>
    <row r="34" spans="2:10" ht="20.100000000000001" customHeight="1">
      <c r="B34" s="242"/>
      <c r="C34" s="243"/>
      <c r="D34" s="91" t="s">
        <v>6</v>
      </c>
      <c r="E34" s="89">
        <v>43672</v>
      </c>
      <c r="F34" s="93">
        <v>210</v>
      </c>
      <c r="G34" s="244"/>
      <c r="H34" s="5">
        <v>3295</v>
      </c>
      <c r="I34" s="5">
        <f t="shared" si="2"/>
        <v>691950</v>
      </c>
      <c r="J34" s="245"/>
    </row>
    <row r="35" spans="2:10" s="87" customFormat="1" ht="20.100000000000001" customHeight="1">
      <c r="B35" s="242"/>
      <c r="C35" s="243"/>
      <c r="D35" s="1" t="s">
        <v>7</v>
      </c>
      <c r="E35" s="2">
        <v>43673</v>
      </c>
      <c r="F35" s="3">
        <v>263</v>
      </c>
      <c r="G35" s="244"/>
      <c r="H35" s="4">
        <v>3295</v>
      </c>
      <c r="I35" s="4">
        <f t="shared" si="2"/>
        <v>866585</v>
      </c>
      <c r="J35" s="245"/>
    </row>
    <row r="36" spans="2:10" s="87" customFormat="1" ht="20.100000000000001" customHeight="1">
      <c r="B36" s="242"/>
      <c r="C36" s="243"/>
      <c r="D36" s="1" t="s">
        <v>8</v>
      </c>
      <c r="E36" s="2">
        <v>43674</v>
      </c>
      <c r="F36" s="3">
        <v>58</v>
      </c>
      <c r="G36" s="244"/>
      <c r="H36" s="4">
        <v>3295</v>
      </c>
      <c r="I36" s="4">
        <f t="shared" si="2"/>
        <v>191110</v>
      </c>
      <c r="J36" s="245"/>
    </row>
    <row r="37" spans="2:10" ht="20.100000000000001" customHeight="1">
      <c r="B37" s="292" t="s">
        <v>5768</v>
      </c>
      <c r="C37" s="243" t="s">
        <v>5764</v>
      </c>
      <c r="D37" s="91" t="s">
        <v>2</v>
      </c>
      <c r="E37" s="89">
        <v>43675</v>
      </c>
      <c r="F37" s="93">
        <v>215</v>
      </c>
      <c r="G37" s="244">
        <f>SUM(F37:F43)</f>
        <v>1240</v>
      </c>
      <c r="H37" s="5">
        <v>3295</v>
      </c>
      <c r="I37" s="5">
        <f t="shared" ref="I37:I43" si="3">+H37*F37</f>
        <v>708425</v>
      </c>
      <c r="J37" s="245">
        <f>SUM(I37:I43)</f>
        <v>4085800</v>
      </c>
    </row>
    <row r="38" spans="2:10" ht="20.100000000000001" customHeight="1">
      <c r="B38" s="250"/>
      <c r="C38" s="243"/>
      <c r="D38" s="91" t="s">
        <v>3</v>
      </c>
      <c r="E38" s="89">
        <v>43676</v>
      </c>
      <c r="F38" s="93">
        <v>215</v>
      </c>
      <c r="G38" s="244"/>
      <c r="H38" s="5">
        <v>3295</v>
      </c>
      <c r="I38" s="5">
        <f t="shared" si="3"/>
        <v>708425</v>
      </c>
      <c r="J38" s="245"/>
    </row>
    <row r="39" spans="2:10" ht="20.100000000000001" customHeight="1">
      <c r="B39" s="250"/>
      <c r="C39" s="243"/>
      <c r="D39" s="91" t="s">
        <v>4</v>
      </c>
      <c r="E39" s="89">
        <v>43677</v>
      </c>
      <c r="F39" s="93">
        <v>208</v>
      </c>
      <c r="G39" s="244"/>
      <c r="H39" s="5">
        <v>3295</v>
      </c>
      <c r="I39" s="5">
        <f t="shared" si="3"/>
        <v>685360</v>
      </c>
      <c r="J39" s="245"/>
    </row>
    <row r="40" spans="2:10" ht="20.100000000000001" customHeight="1">
      <c r="B40" s="250"/>
      <c r="C40" s="243"/>
      <c r="D40" s="91" t="s">
        <v>5</v>
      </c>
      <c r="E40" s="89">
        <v>43678</v>
      </c>
      <c r="F40" s="93">
        <v>225</v>
      </c>
      <c r="G40" s="244"/>
      <c r="H40" s="5">
        <v>3295</v>
      </c>
      <c r="I40" s="5">
        <f t="shared" si="3"/>
        <v>741375</v>
      </c>
      <c r="J40" s="245"/>
    </row>
    <row r="41" spans="2:10" ht="20.100000000000001" customHeight="1">
      <c r="B41" s="250"/>
      <c r="C41" s="243"/>
      <c r="D41" s="91" t="s">
        <v>6</v>
      </c>
      <c r="E41" s="89">
        <v>43679</v>
      </c>
      <c r="F41" s="93">
        <v>245</v>
      </c>
      <c r="G41" s="244"/>
      <c r="H41" s="5">
        <v>3295</v>
      </c>
      <c r="I41" s="5">
        <f t="shared" si="3"/>
        <v>807275</v>
      </c>
      <c r="J41" s="245"/>
    </row>
    <row r="42" spans="2:10" s="87" customFormat="1" ht="20.100000000000001" customHeight="1">
      <c r="B42" s="250"/>
      <c r="C42" s="243"/>
      <c r="D42" s="1" t="s">
        <v>7</v>
      </c>
      <c r="E42" s="2">
        <v>43680</v>
      </c>
      <c r="F42" s="3">
        <v>132</v>
      </c>
      <c r="G42" s="244"/>
      <c r="H42" s="4">
        <v>3295</v>
      </c>
      <c r="I42" s="4">
        <f t="shared" si="3"/>
        <v>434940</v>
      </c>
      <c r="J42" s="245"/>
    </row>
    <row r="43" spans="2:10" s="87" customFormat="1" ht="20.100000000000001" customHeight="1">
      <c r="B43" s="251"/>
      <c r="C43" s="243"/>
      <c r="D43" s="1" t="s">
        <v>8</v>
      </c>
      <c r="E43" s="2">
        <v>43681</v>
      </c>
      <c r="F43" s="3">
        <v>0</v>
      </c>
      <c r="G43" s="244"/>
      <c r="H43" s="4">
        <v>3295</v>
      </c>
      <c r="I43" s="4">
        <f t="shared" si="3"/>
        <v>0</v>
      </c>
      <c r="J43" s="245"/>
    </row>
    <row r="44" spans="2:10" s="108" customFormat="1" ht="39.950000000000003" customHeight="1">
      <c r="B44" s="238" t="s">
        <v>17</v>
      </c>
      <c r="C44" s="238"/>
      <c r="D44" s="238"/>
      <c r="E44" s="238"/>
      <c r="F44" s="239">
        <f>SUM(G9:G43)</f>
        <v>6810</v>
      </c>
      <c r="G44" s="240"/>
      <c r="H44" s="241">
        <f>SUM(J9:J43)</f>
        <v>22438950</v>
      </c>
      <c r="I44" s="241"/>
      <c r="J44" s="241"/>
    </row>
    <row r="45" spans="2:10" ht="20.100000000000001" customHeight="1">
      <c r="B45" s="95" t="s">
        <v>21</v>
      </c>
      <c r="C45" s="98"/>
    </row>
    <row r="46" spans="2:10" ht="20.100000000000001" customHeight="1">
      <c r="B46" s="98">
        <f>+SUM(F9:F43)*H9</f>
        <v>22438950</v>
      </c>
    </row>
    <row r="47" spans="2:10" ht="20.100000000000001" customHeight="1"/>
    <row r="48" spans="2:10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15" customHeight="1"/>
    <row r="454" ht="15" customHeight="1"/>
    <row r="455" ht="15" customHeight="1"/>
    <row r="456" ht="15" customHeight="1"/>
  </sheetData>
  <mergeCells count="32">
    <mergeCell ref="B44:E44"/>
    <mergeCell ref="F44:G44"/>
    <mergeCell ref="H44:J44"/>
    <mergeCell ref="B30:B36"/>
    <mergeCell ref="C30:C36"/>
    <mergeCell ref="B37:B43"/>
    <mergeCell ref="C37:C43"/>
    <mergeCell ref="G37:G43"/>
    <mergeCell ref="J37:J43"/>
    <mergeCell ref="G30:G36"/>
    <mergeCell ref="J30:J36"/>
    <mergeCell ref="B23:B29"/>
    <mergeCell ref="C23:C29"/>
    <mergeCell ref="G23:G29"/>
    <mergeCell ref="J23:J29"/>
    <mergeCell ref="B16:B22"/>
    <mergeCell ref="C16:C22"/>
    <mergeCell ref="G16:G22"/>
    <mergeCell ref="J16:J22"/>
    <mergeCell ref="B3:J3"/>
    <mergeCell ref="B5:J5"/>
    <mergeCell ref="B6:J6"/>
    <mergeCell ref="B9:B15"/>
    <mergeCell ref="C9:C15"/>
    <mergeCell ref="G9:G15"/>
    <mergeCell ref="J9:J15"/>
    <mergeCell ref="B7:B8"/>
    <mergeCell ref="C7:C8"/>
    <mergeCell ref="D7:D8"/>
    <mergeCell ref="E7:E8"/>
    <mergeCell ref="F7:I7"/>
    <mergeCell ref="J7:J8"/>
  </mergeCells>
  <printOptions horizontalCentered="1" verticalCentered="1"/>
  <pageMargins left="0.19685039370078741" right="0.19685039370078741" top="1.5748031496062993" bottom="0.19685039370078741" header="1.5748031496062993" footer="0.19685039370078741"/>
  <pageSetup paperSize="9" scale="7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9" tint="0.79998168889431442"/>
  </sheetPr>
  <dimension ref="A1:O3763"/>
  <sheetViews>
    <sheetView workbookViewId="0">
      <selection activeCell="B37" sqref="B37"/>
    </sheetView>
  </sheetViews>
  <sheetFormatPr defaultRowHeight="15"/>
  <cols>
    <col min="1" max="1" width="9.140625" style="9"/>
    <col min="2" max="2" width="30.85546875" style="9" customWidth="1"/>
    <col min="3" max="4" width="9.140625" style="9"/>
    <col min="5" max="5" width="12.85546875" style="9" bestFit="1" customWidth="1"/>
    <col min="6" max="257" width="9.140625" style="9"/>
    <col min="258" max="258" width="30.85546875" style="9" customWidth="1"/>
    <col min="259" max="513" width="9.140625" style="9"/>
    <col min="514" max="514" width="30.85546875" style="9" customWidth="1"/>
    <col min="515" max="769" width="9.140625" style="9"/>
    <col min="770" max="770" width="30.85546875" style="9" customWidth="1"/>
    <col min="771" max="1025" width="9.140625" style="9"/>
    <col min="1026" max="1026" width="30.85546875" style="9" customWidth="1"/>
    <col min="1027" max="1281" width="9.140625" style="9"/>
    <col min="1282" max="1282" width="30.85546875" style="9" customWidth="1"/>
    <col min="1283" max="1537" width="9.140625" style="9"/>
    <col min="1538" max="1538" width="30.85546875" style="9" customWidth="1"/>
    <col min="1539" max="1793" width="9.140625" style="9"/>
    <col min="1794" max="1794" width="30.85546875" style="9" customWidth="1"/>
    <col min="1795" max="2049" width="9.140625" style="9"/>
    <col min="2050" max="2050" width="30.85546875" style="9" customWidth="1"/>
    <col min="2051" max="2305" width="9.140625" style="9"/>
    <col min="2306" max="2306" width="30.85546875" style="9" customWidth="1"/>
    <col min="2307" max="2561" width="9.140625" style="9"/>
    <col min="2562" max="2562" width="30.85546875" style="9" customWidth="1"/>
    <col min="2563" max="2817" width="9.140625" style="9"/>
    <col min="2818" max="2818" width="30.85546875" style="9" customWidth="1"/>
    <col min="2819" max="3073" width="9.140625" style="9"/>
    <col min="3074" max="3074" width="30.85546875" style="9" customWidth="1"/>
    <col min="3075" max="3329" width="9.140625" style="9"/>
    <col min="3330" max="3330" width="30.85546875" style="9" customWidth="1"/>
    <col min="3331" max="3585" width="9.140625" style="9"/>
    <col min="3586" max="3586" width="30.85546875" style="9" customWidth="1"/>
    <col min="3587" max="3841" width="9.140625" style="9"/>
    <col min="3842" max="3842" width="30.85546875" style="9" customWidth="1"/>
    <col min="3843" max="4097" width="9.140625" style="9"/>
    <col min="4098" max="4098" width="30.85546875" style="9" customWidth="1"/>
    <col min="4099" max="4353" width="9.140625" style="9"/>
    <col min="4354" max="4354" width="30.85546875" style="9" customWidth="1"/>
    <col min="4355" max="4609" width="9.140625" style="9"/>
    <col min="4610" max="4610" width="30.85546875" style="9" customWidth="1"/>
    <col min="4611" max="4865" width="9.140625" style="9"/>
    <col min="4866" max="4866" width="30.85546875" style="9" customWidth="1"/>
    <col min="4867" max="5121" width="9.140625" style="9"/>
    <col min="5122" max="5122" width="30.85546875" style="9" customWidth="1"/>
    <col min="5123" max="5377" width="9.140625" style="9"/>
    <col min="5378" max="5378" width="30.85546875" style="9" customWidth="1"/>
    <col min="5379" max="5633" width="9.140625" style="9"/>
    <col min="5634" max="5634" width="30.85546875" style="9" customWidth="1"/>
    <col min="5635" max="5889" width="9.140625" style="9"/>
    <col min="5890" max="5890" width="30.85546875" style="9" customWidth="1"/>
    <col min="5891" max="6145" width="9.140625" style="9"/>
    <col min="6146" max="6146" width="30.85546875" style="9" customWidth="1"/>
    <col min="6147" max="6401" width="9.140625" style="9"/>
    <col min="6402" max="6402" width="30.85546875" style="9" customWidth="1"/>
    <col min="6403" max="6657" width="9.140625" style="9"/>
    <col min="6658" max="6658" width="30.85546875" style="9" customWidth="1"/>
    <col min="6659" max="6913" width="9.140625" style="9"/>
    <col min="6914" max="6914" width="30.85546875" style="9" customWidth="1"/>
    <col min="6915" max="7169" width="9.140625" style="9"/>
    <col min="7170" max="7170" width="30.85546875" style="9" customWidth="1"/>
    <col min="7171" max="7425" width="9.140625" style="9"/>
    <col min="7426" max="7426" width="30.85546875" style="9" customWidth="1"/>
    <col min="7427" max="7681" width="9.140625" style="9"/>
    <col min="7682" max="7682" width="30.85546875" style="9" customWidth="1"/>
    <col min="7683" max="7937" width="9.140625" style="9"/>
    <col min="7938" max="7938" width="30.85546875" style="9" customWidth="1"/>
    <col min="7939" max="8193" width="9.140625" style="9"/>
    <col min="8194" max="8194" width="30.85546875" style="9" customWidth="1"/>
    <col min="8195" max="8449" width="9.140625" style="9"/>
    <col min="8450" max="8450" width="30.85546875" style="9" customWidth="1"/>
    <col min="8451" max="8705" width="9.140625" style="9"/>
    <col min="8706" max="8706" width="30.85546875" style="9" customWidth="1"/>
    <col min="8707" max="8961" width="9.140625" style="9"/>
    <col min="8962" max="8962" width="30.85546875" style="9" customWidth="1"/>
    <col min="8963" max="9217" width="9.140625" style="9"/>
    <col min="9218" max="9218" width="30.85546875" style="9" customWidth="1"/>
    <col min="9219" max="9473" width="9.140625" style="9"/>
    <col min="9474" max="9474" width="30.85546875" style="9" customWidth="1"/>
    <col min="9475" max="9729" width="9.140625" style="9"/>
    <col min="9730" max="9730" width="30.85546875" style="9" customWidth="1"/>
    <col min="9731" max="9985" width="9.140625" style="9"/>
    <col min="9986" max="9986" width="30.85546875" style="9" customWidth="1"/>
    <col min="9987" max="10241" width="9.140625" style="9"/>
    <col min="10242" max="10242" width="30.85546875" style="9" customWidth="1"/>
    <col min="10243" max="10497" width="9.140625" style="9"/>
    <col min="10498" max="10498" width="30.85546875" style="9" customWidth="1"/>
    <col min="10499" max="10753" width="9.140625" style="9"/>
    <col min="10754" max="10754" width="30.85546875" style="9" customWidth="1"/>
    <col min="10755" max="11009" width="9.140625" style="9"/>
    <col min="11010" max="11010" width="30.85546875" style="9" customWidth="1"/>
    <col min="11011" max="11265" width="9.140625" style="9"/>
    <col min="11266" max="11266" width="30.85546875" style="9" customWidth="1"/>
    <col min="11267" max="11521" width="9.140625" style="9"/>
    <col min="11522" max="11522" width="30.85546875" style="9" customWidth="1"/>
    <col min="11523" max="11777" width="9.140625" style="9"/>
    <col min="11778" max="11778" width="30.85546875" style="9" customWidth="1"/>
    <col min="11779" max="12033" width="9.140625" style="9"/>
    <col min="12034" max="12034" width="30.85546875" style="9" customWidth="1"/>
    <col min="12035" max="12289" width="9.140625" style="9"/>
    <col min="12290" max="12290" width="30.85546875" style="9" customWidth="1"/>
    <col min="12291" max="12545" width="9.140625" style="9"/>
    <col min="12546" max="12546" width="30.85546875" style="9" customWidth="1"/>
    <col min="12547" max="12801" width="9.140625" style="9"/>
    <col min="12802" max="12802" width="30.85546875" style="9" customWidth="1"/>
    <col min="12803" max="13057" width="9.140625" style="9"/>
    <col min="13058" max="13058" width="30.85546875" style="9" customWidth="1"/>
    <col min="13059" max="13313" width="9.140625" style="9"/>
    <col min="13314" max="13314" width="30.85546875" style="9" customWidth="1"/>
    <col min="13315" max="13569" width="9.140625" style="9"/>
    <col min="13570" max="13570" width="30.85546875" style="9" customWidth="1"/>
    <col min="13571" max="13825" width="9.140625" style="9"/>
    <col min="13826" max="13826" width="30.85546875" style="9" customWidth="1"/>
    <col min="13827" max="14081" width="9.140625" style="9"/>
    <col min="14082" max="14082" width="30.85546875" style="9" customWidth="1"/>
    <col min="14083" max="14337" width="9.140625" style="9"/>
    <col min="14338" max="14338" width="30.85546875" style="9" customWidth="1"/>
    <col min="14339" max="14593" width="9.140625" style="9"/>
    <col min="14594" max="14594" width="30.85546875" style="9" customWidth="1"/>
    <col min="14595" max="14849" width="9.140625" style="9"/>
    <col min="14850" max="14850" width="30.85546875" style="9" customWidth="1"/>
    <col min="14851" max="15105" width="9.140625" style="9"/>
    <col min="15106" max="15106" width="30.85546875" style="9" customWidth="1"/>
    <col min="15107" max="15361" width="9.140625" style="9"/>
    <col min="15362" max="15362" width="30.85546875" style="9" customWidth="1"/>
    <col min="15363" max="15617" width="9.140625" style="9"/>
    <col min="15618" max="15618" width="30.85546875" style="9" customWidth="1"/>
    <col min="15619" max="15873" width="9.140625" style="9"/>
    <col min="15874" max="15874" width="30.85546875" style="9" customWidth="1"/>
    <col min="15875" max="16129" width="9.140625" style="9"/>
    <col min="16130" max="16130" width="30.85546875" style="9" customWidth="1"/>
    <col min="16131" max="16384" width="9.140625" style="9"/>
  </cols>
  <sheetData>
    <row r="1" spans="1:15">
      <c r="A1" s="13" t="s">
        <v>24</v>
      </c>
      <c r="B1" s="14" t="s">
        <v>25</v>
      </c>
      <c r="C1" s="15" t="s">
        <v>509</v>
      </c>
      <c r="D1" s="14" t="s">
        <v>510</v>
      </c>
      <c r="E1" s="16" t="s">
        <v>511</v>
      </c>
      <c r="F1" s="16" t="s">
        <v>512</v>
      </c>
      <c r="G1" s="16" t="s">
        <v>513</v>
      </c>
      <c r="H1" s="14" t="s">
        <v>514</v>
      </c>
      <c r="I1" s="14" t="s">
        <v>515</v>
      </c>
      <c r="J1" s="14" t="s">
        <v>516</v>
      </c>
      <c r="K1" s="14" t="s">
        <v>517</v>
      </c>
      <c r="L1" s="14" t="s">
        <v>26</v>
      </c>
      <c r="M1" s="14" t="s">
        <v>27</v>
      </c>
      <c r="N1" s="15" t="s">
        <v>518</v>
      </c>
      <c r="O1" s="14" t="s">
        <v>519</v>
      </c>
    </row>
    <row r="2" spans="1:15">
      <c r="A2" s="17">
        <v>21273</v>
      </c>
      <c r="B2" s="18" t="s">
        <v>520</v>
      </c>
      <c r="C2" s="19" t="s">
        <v>521</v>
      </c>
      <c r="D2" s="19" t="s">
        <v>522</v>
      </c>
      <c r="E2" s="20">
        <v>43007</v>
      </c>
      <c r="F2" s="20" t="s">
        <v>35</v>
      </c>
      <c r="G2" s="20" t="s">
        <v>35</v>
      </c>
      <c r="H2" s="19" t="s">
        <v>523</v>
      </c>
      <c r="I2" s="19" t="s">
        <v>524</v>
      </c>
      <c r="J2" s="19" t="s">
        <v>525</v>
      </c>
      <c r="K2" s="19" t="s">
        <v>525</v>
      </c>
      <c r="L2" s="19" t="s">
        <v>524</v>
      </c>
      <c r="M2" s="19" t="s">
        <v>526</v>
      </c>
      <c r="N2" s="19" t="s">
        <v>527</v>
      </c>
      <c r="O2" s="19" t="s">
        <v>528</v>
      </c>
    </row>
    <row r="3" spans="1:15">
      <c r="A3" s="17">
        <v>16955</v>
      </c>
      <c r="B3" s="18" t="s">
        <v>529</v>
      </c>
      <c r="C3" s="19" t="s">
        <v>521</v>
      </c>
      <c r="D3" s="19" t="s">
        <v>522</v>
      </c>
      <c r="E3" s="20">
        <v>41736</v>
      </c>
      <c r="F3" s="20" t="s">
        <v>35</v>
      </c>
      <c r="G3" s="20" t="s">
        <v>35</v>
      </c>
      <c r="H3" s="19" t="s">
        <v>530</v>
      </c>
      <c r="I3" s="19" t="s">
        <v>524</v>
      </c>
      <c r="J3" s="19" t="s">
        <v>525</v>
      </c>
      <c r="K3" s="19" t="s">
        <v>525</v>
      </c>
      <c r="L3" s="19" t="s">
        <v>524</v>
      </c>
      <c r="M3" s="19" t="s">
        <v>531</v>
      </c>
      <c r="N3" s="19" t="s">
        <v>532</v>
      </c>
      <c r="O3" s="19" t="s">
        <v>528</v>
      </c>
    </row>
    <row r="4" spans="1:15">
      <c r="A4" s="17">
        <v>17684</v>
      </c>
      <c r="B4" s="18" t="s">
        <v>533</v>
      </c>
      <c r="C4" s="19" t="s">
        <v>521</v>
      </c>
      <c r="D4" s="19" t="s">
        <v>522</v>
      </c>
      <c r="E4" s="20">
        <v>41795</v>
      </c>
      <c r="F4" s="20" t="s">
        <v>35</v>
      </c>
      <c r="G4" s="20" t="s">
        <v>35</v>
      </c>
      <c r="H4" s="19" t="s">
        <v>534</v>
      </c>
      <c r="I4" s="19" t="s">
        <v>524</v>
      </c>
      <c r="J4" s="19" t="s">
        <v>525</v>
      </c>
      <c r="K4" s="19" t="s">
        <v>525</v>
      </c>
      <c r="L4" s="19" t="s">
        <v>524</v>
      </c>
      <c r="M4" s="19" t="s">
        <v>535</v>
      </c>
      <c r="N4" s="19" t="s">
        <v>532</v>
      </c>
      <c r="O4" s="19" t="s">
        <v>528</v>
      </c>
    </row>
    <row r="5" spans="1:15">
      <c r="A5" s="17">
        <v>19463</v>
      </c>
      <c r="B5" s="18" t="s">
        <v>536</v>
      </c>
      <c r="C5" s="19" t="s">
        <v>521</v>
      </c>
      <c r="D5" s="19" t="s">
        <v>522</v>
      </c>
      <c r="E5" s="20">
        <v>42431</v>
      </c>
      <c r="F5" s="20" t="s">
        <v>35</v>
      </c>
      <c r="G5" s="20" t="s">
        <v>35</v>
      </c>
      <c r="H5" s="19" t="s">
        <v>537</v>
      </c>
      <c r="I5" s="19" t="s">
        <v>524</v>
      </c>
      <c r="J5" s="19" t="s">
        <v>525</v>
      </c>
      <c r="K5" s="19" t="s">
        <v>525</v>
      </c>
      <c r="L5" s="19" t="s">
        <v>524</v>
      </c>
      <c r="M5" s="19" t="s">
        <v>538</v>
      </c>
      <c r="N5" s="19" t="s">
        <v>532</v>
      </c>
      <c r="O5" s="19" t="s">
        <v>528</v>
      </c>
    </row>
    <row r="6" spans="1:15">
      <c r="A6" s="17">
        <v>19717</v>
      </c>
      <c r="B6" s="18" t="s">
        <v>539</v>
      </c>
      <c r="C6" s="19" t="s">
        <v>521</v>
      </c>
      <c r="D6" s="19" t="s">
        <v>522</v>
      </c>
      <c r="E6" s="20">
        <v>42492</v>
      </c>
      <c r="F6" s="20" t="s">
        <v>35</v>
      </c>
      <c r="G6" s="20" t="s">
        <v>35</v>
      </c>
      <c r="H6" s="19" t="s">
        <v>540</v>
      </c>
      <c r="I6" s="19" t="s">
        <v>524</v>
      </c>
      <c r="J6" s="19" t="s">
        <v>525</v>
      </c>
      <c r="K6" s="19" t="s">
        <v>525</v>
      </c>
      <c r="L6" s="19" t="s">
        <v>524</v>
      </c>
      <c r="M6" s="19" t="s">
        <v>541</v>
      </c>
      <c r="N6" s="19" t="s">
        <v>532</v>
      </c>
      <c r="O6" s="19" t="s">
        <v>528</v>
      </c>
    </row>
    <row r="7" spans="1:15">
      <c r="A7" s="17">
        <v>20387</v>
      </c>
      <c r="B7" s="18" t="s">
        <v>542</v>
      </c>
      <c r="C7" s="19" t="s">
        <v>521</v>
      </c>
      <c r="D7" s="19" t="s">
        <v>522</v>
      </c>
      <c r="E7" s="20">
        <v>42618</v>
      </c>
      <c r="F7" s="20" t="s">
        <v>35</v>
      </c>
      <c r="G7" s="20" t="s">
        <v>35</v>
      </c>
      <c r="H7" s="19" t="s">
        <v>543</v>
      </c>
      <c r="I7" s="19" t="s">
        <v>524</v>
      </c>
      <c r="J7" s="19" t="s">
        <v>525</v>
      </c>
      <c r="K7" s="19" t="s">
        <v>525</v>
      </c>
      <c r="L7" s="19" t="s">
        <v>524</v>
      </c>
      <c r="M7" s="19" t="s">
        <v>544</v>
      </c>
      <c r="N7" s="19" t="s">
        <v>532</v>
      </c>
      <c r="O7" s="19" t="s">
        <v>528</v>
      </c>
    </row>
    <row r="8" spans="1:15">
      <c r="A8" s="17">
        <v>21035</v>
      </c>
      <c r="B8" s="18" t="s">
        <v>545</v>
      </c>
      <c r="C8" s="19" t="s">
        <v>521</v>
      </c>
      <c r="D8" s="19" t="s">
        <v>522</v>
      </c>
      <c r="E8" s="20">
        <v>42829</v>
      </c>
      <c r="F8" s="20" t="s">
        <v>35</v>
      </c>
      <c r="G8" s="20" t="s">
        <v>35</v>
      </c>
      <c r="H8" s="19" t="s">
        <v>523</v>
      </c>
      <c r="I8" s="19" t="s">
        <v>524</v>
      </c>
      <c r="J8" s="19" t="s">
        <v>525</v>
      </c>
      <c r="K8" s="19" t="s">
        <v>525</v>
      </c>
      <c r="L8" s="19" t="s">
        <v>524</v>
      </c>
      <c r="M8" s="19" t="s">
        <v>546</v>
      </c>
      <c r="N8" s="19" t="s">
        <v>547</v>
      </c>
      <c r="O8" s="19" t="s">
        <v>528</v>
      </c>
    </row>
    <row r="9" spans="1:15">
      <c r="A9" s="17">
        <v>21809</v>
      </c>
      <c r="B9" s="18" t="s">
        <v>548</v>
      </c>
      <c r="C9" s="19" t="s">
        <v>521</v>
      </c>
      <c r="D9" s="19" t="s">
        <v>522</v>
      </c>
      <c r="E9" s="20">
        <v>43090</v>
      </c>
      <c r="F9" s="20" t="s">
        <v>35</v>
      </c>
      <c r="G9" s="20" t="s">
        <v>35</v>
      </c>
      <c r="H9" s="19" t="s">
        <v>549</v>
      </c>
      <c r="I9" s="19" t="s">
        <v>524</v>
      </c>
      <c r="J9" s="19" t="s">
        <v>525</v>
      </c>
      <c r="K9" s="19" t="s">
        <v>525</v>
      </c>
      <c r="L9" s="19" t="s">
        <v>524</v>
      </c>
      <c r="M9" s="19" t="s">
        <v>550</v>
      </c>
      <c r="N9" s="19" t="s">
        <v>532</v>
      </c>
      <c r="O9" s="19" t="s">
        <v>528</v>
      </c>
    </row>
    <row r="10" spans="1:15">
      <c r="A10" s="21">
        <v>10</v>
      </c>
      <c r="B10" s="22" t="s">
        <v>551</v>
      </c>
      <c r="C10" s="23" t="s">
        <v>521</v>
      </c>
      <c r="D10" s="23" t="s">
        <v>522</v>
      </c>
      <c r="E10" s="24">
        <f>Y10</f>
        <v>0</v>
      </c>
      <c r="F10" s="24" t="s">
        <v>35</v>
      </c>
      <c r="G10" s="24" t="s">
        <v>35</v>
      </c>
      <c r="H10" s="23" t="s">
        <v>523</v>
      </c>
      <c r="I10" s="23" t="s">
        <v>524</v>
      </c>
      <c r="J10" s="23" t="s">
        <v>525</v>
      </c>
      <c r="K10" s="23" t="s">
        <v>525</v>
      </c>
      <c r="L10" s="23" t="s">
        <v>524</v>
      </c>
      <c r="M10" s="23" t="s">
        <v>552</v>
      </c>
      <c r="N10" s="23" t="s">
        <v>553</v>
      </c>
      <c r="O10" s="23" t="s">
        <v>528</v>
      </c>
    </row>
    <row r="11" spans="1:15">
      <c r="A11" s="21">
        <v>12</v>
      </c>
      <c r="B11" s="22" t="s">
        <v>554</v>
      </c>
      <c r="C11" s="23" t="s">
        <v>521</v>
      </c>
      <c r="D11" s="23" t="s">
        <v>522</v>
      </c>
      <c r="E11" s="24">
        <v>37411</v>
      </c>
      <c r="F11" s="24" t="s">
        <v>35</v>
      </c>
      <c r="G11" s="24" t="s">
        <v>35</v>
      </c>
      <c r="H11" s="23" t="s">
        <v>523</v>
      </c>
      <c r="I11" s="23" t="s">
        <v>524</v>
      </c>
      <c r="J11" s="23" t="s">
        <v>525</v>
      </c>
      <c r="K11" s="23" t="s">
        <v>525</v>
      </c>
      <c r="L11" s="23" t="s">
        <v>524</v>
      </c>
      <c r="M11" s="23" t="s">
        <v>555</v>
      </c>
      <c r="N11" s="23" t="s">
        <v>556</v>
      </c>
      <c r="O11" s="23" t="s">
        <v>528</v>
      </c>
    </row>
    <row r="12" spans="1:15">
      <c r="A12" s="21">
        <v>796</v>
      </c>
      <c r="B12" s="22" t="s">
        <v>557</v>
      </c>
      <c r="C12" s="23" t="s">
        <v>521</v>
      </c>
      <c r="D12" s="23" t="s">
        <v>522</v>
      </c>
      <c r="E12" s="24">
        <v>37837</v>
      </c>
      <c r="F12" s="24" t="s">
        <v>35</v>
      </c>
      <c r="G12" s="24" t="s">
        <v>35</v>
      </c>
      <c r="H12" s="23" t="s">
        <v>530</v>
      </c>
      <c r="I12" s="23" t="s">
        <v>524</v>
      </c>
      <c r="J12" s="23" t="s">
        <v>525</v>
      </c>
      <c r="K12" s="23" t="s">
        <v>525</v>
      </c>
      <c r="L12" s="23" t="s">
        <v>524</v>
      </c>
      <c r="M12" s="23" t="s">
        <v>558</v>
      </c>
      <c r="N12" s="23" t="s">
        <v>532</v>
      </c>
      <c r="O12" s="23" t="s">
        <v>528</v>
      </c>
    </row>
    <row r="13" spans="1:15">
      <c r="A13" s="21">
        <v>1651</v>
      </c>
      <c r="B13" s="22" t="s">
        <v>559</v>
      </c>
      <c r="C13" s="23" t="s">
        <v>521</v>
      </c>
      <c r="D13" s="23" t="s">
        <v>522</v>
      </c>
      <c r="E13" s="24">
        <v>38061</v>
      </c>
      <c r="F13" s="24" t="s">
        <v>35</v>
      </c>
      <c r="G13" s="24" t="s">
        <v>35</v>
      </c>
      <c r="H13" s="23" t="s">
        <v>560</v>
      </c>
      <c r="I13" s="23" t="s">
        <v>524</v>
      </c>
      <c r="J13" s="23" t="s">
        <v>525</v>
      </c>
      <c r="K13" s="23" t="s">
        <v>525</v>
      </c>
      <c r="L13" s="23" t="s">
        <v>524</v>
      </c>
      <c r="M13" s="23" t="s">
        <v>561</v>
      </c>
      <c r="N13" s="23" t="s">
        <v>562</v>
      </c>
      <c r="O13" s="23" t="s">
        <v>528</v>
      </c>
    </row>
    <row r="14" spans="1:15">
      <c r="A14" s="21">
        <v>4488</v>
      </c>
      <c r="B14" s="22" t="s">
        <v>563</v>
      </c>
      <c r="C14" s="23" t="s">
        <v>521</v>
      </c>
      <c r="D14" s="23" t="s">
        <v>522</v>
      </c>
      <c r="E14" s="24">
        <v>38789</v>
      </c>
      <c r="F14" s="24" t="s">
        <v>35</v>
      </c>
      <c r="G14" s="24" t="s">
        <v>35</v>
      </c>
      <c r="H14" s="23" t="s">
        <v>534</v>
      </c>
      <c r="I14" s="23" t="s">
        <v>524</v>
      </c>
      <c r="J14" s="23" t="s">
        <v>525</v>
      </c>
      <c r="K14" s="23" t="s">
        <v>525</v>
      </c>
      <c r="L14" s="23" t="s">
        <v>524</v>
      </c>
      <c r="M14" s="23" t="s">
        <v>564</v>
      </c>
      <c r="N14" s="23" t="s">
        <v>532</v>
      </c>
      <c r="O14" s="23" t="s">
        <v>528</v>
      </c>
    </row>
    <row r="15" spans="1:15">
      <c r="A15" s="21">
        <v>18663</v>
      </c>
      <c r="B15" s="22" t="s">
        <v>565</v>
      </c>
      <c r="C15" s="23" t="s">
        <v>521</v>
      </c>
      <c r="D15" s="23" t="s">
        <v>522</v>
      </c>
      <c r="E15" s="24">
        <v>37257</v>
      </c>
      <c r="F15" s="24" t="s">
        <v>35</v>
      </c>
      <c r="G15" s="24" t="s">
        <v>35</v>
      </c>
      <c r="H15" s="23" t="s">
        <v>566</v>
      </c>
      <c r="I15" s="23" t="s">
        <v>524</v>
      </c>
      <c r="J15" s="23" t="s">
        <v>525</v>
      </c>
      <c r="K15" s="23" t="s">
        <v>525</v>
      </c>
      <c r="L15" s="23" t="s">
        <v>524</v>
      </c>
      <c r="M15" s="23" t="s">
        <v>567</v>
      </c>
      <c r="N15" s="23" t="s">
        <v>556</v>
      </c>
      <c r="O15" s="23" t="s">
        <v>528</v>
      </c>
    </row>
    <row r="16" spans="1:15">
      <c r="A16" s="25">
        <v>1009</v>
      </c>
      <c r="B16" s="26" t="s">
        <v>568</v>
      </c>
      <c r="C16" s="27" t="s">
        <v>521</v>
      </c>
      <c r="D16" s="27" t="s">
        <v>522</v>
      </c>
      <c r="E16" s="28">
        <v>37872</v>
      </c>
      <c r="F16" s="28" t="s">
        <v>35</v>
      </c>
      <c r="G16" s="28" t="s">
        <v>35</v>
      </c>
      <c r="H16" s="27" t="s">
        <v>566</v>
      </c>
      <c r="I16" s="27" t="s">
        <v>566</v>
      </c>
      <c r="J16" s="27" t="s">
        <v>525</v>
      </c>
      <c r="K16" s="27" t="s">
        <v>525</v>
      </c>
      <c r="L16" s="27" t="s">
        <v>566</v>
      </c>
      <c r="M16" s="27" t="s">
        <v>569</v>
      </c>
      <c r="N16" s="27" t="s">
        <v>570</v>
      </c>
      <c r="O16" s="27" t="s">
        <v>528</v>
      </c>
    </row>
    <row r="17" spans="1:15">
      <c r="A17" s="25">
        <v>1011</v>
      </c>
      <c r="B17" s="26" t="s">
        <v>571</v>
      </c>
      <c r="C17" s="27" t="s">
        <v>521</v>
      </c>
      <c r="D17" s="27" t="s">
        <v>572</v>
      </c>
      <c r="E17" s="28">
        <v>37872</v>
      </c>
      <c r="F17" s="28" t="s">
        <v>35</v>
      </c>
      <c r="G17" s="28" t="s">
        <v>35</v>
      </c>
      <c r="H17" s="27" t="s">
        <v>566</v>
      </c>
      <c r="I17" s="27" t="s">
        <v>566</v>
      </c>
      <c r="J17" s="27" t="s">
        <v>525</v>
      </c>
      <c r="K17" s="27" t="s">
        <v>525</v>
      </c>
      <c r="L17" s="27" t="s">
        <v>566</v>
      </c>
      <c r="M17" s="27" t="s">
        <v>573</v>
      </c>
      <c r="N17" s="27" t="s">
        <v>574</v>
      </c>
      <c r="O17" s="27" t="s">
        <v>528</v>
      </c>
    </row>
    <row r="18" spans="1:15">
      <c r="A18" s="25">
        <v>6122</v>
      </c>
      <c r="B18" s="26" t="s">
        <v>575</v>
      </c>
      <c r="C18" s="27" t="s">
        <v>521</v>
      </c>
      <c r="D18" s="27" t="s">
        <v>576</v>
      </c>
      <c r="E18" s="28">
        <v>39157</v>
      </c>
      <c r="F18" s="28" t="s">
        <v>35</v>
      </c>
      <c r="G18" s="28" t="s">
        <v>35</v>
      </c>
      <c r="H18" s="27" t="s">
        <v>566</v>
      </c>
      <c r="I18" s="27" t="s">
        <v>566</v>
      </c>
      <c r="J18" s="27" t="s">
        <v>525</v>
      </c>
      <c r="K18" s="27" t="s">
        <v>525</v>
      </c>
      <c r="L18" s="27" t="s">
        <v>566</v>
      </c>
      <c r="M18" s="27" t="s">
        <v>566</v>
      </c>
      <c r="N18" s="27" t="s">
        <v>566</v>
      </c>
      <c r="O18" s="27" t="s">
        <v>528</v>
      </c>
    </row>
    <row r="19" spans="1:15">
      <c r="A19" s="25">
        <v>8381</v>
      </c>
      <c r="B19" s="26" t="s">
        <v>577</v>
      </c>
      <c r="C19" s="27" t="s">
        <v>521</v>
      </c>
      <c r="D19" s="27" t="s">
        <v>522</v>
      </c>
      <c r="E19" s="28">
        <v>39680</v>
      </c>
      <c r="F19" s="28" t="s">
        <v>35</v>
      </c>
      <c r="G19" s="28" t="s">
        <v>35</v>
      </c>
      <c r="H19" s="27" t="s">
        <v>566</v>
      </c>
      <c r="I19" s="27" t="s">
        <v>566</v>
      </c>
      <c r="J19" s="27" t="s">
        <v>525</v>
      </c>
      <c r="K19" s="27" t="s">
        <v>525</v>
      </c>
      <c r="L19" s="27" t="s">
        <v>566</v>
      </c>
      <c r="M19" s="27" t="s">
        <v>578</v>
      </c>
      <c r="N19" s="27" t="s">
        <v>570</v>
      </c>
      <c r="O19" s="27" t="s">
        <v>528</v>
      </c>
    </row>
    <row r="20" spans="1:15">
      <c r="A20" s="25">
        <v>21023</v>
      </c>
      <c r="B20" s="26" t="s">
        <v>579</v>
      </c>
      <c r="C20" s="27" t="s">
        <v>521</v>
      </c>
      <c r="D20" s="27" t="s">
        <v>522</v>
      </c>
      <c r="E20" s="28">
        <v>42709</v>
      </c>
      <c r="F20" s="28" t="s">
        <v>35</v>
      </c>
      <c r="G20" s="28" t="s">
        <v>35</v>
      </c>
      <c r="H20" s="27" t="s">
        <v>566</v>
      </c>
      <c r="I20" s="27" t="s">
        <v>566</v>
      </c>
      <c r="J20" s="27" t="s">
        <v>525</v>
      </c>
      <c r="K20" s="27" t="s">
        <v>525</v>
      </c>
      <c r="L20" s="27" t="s">
        <v>566</v>
      </c>
      <c r="M20" s="27" t="s">
        <v>569</v>
      </c>
      <c r="N20" s="27" t="s">
        <v>570</v>
      </c>
      <c r="O20" s="27" t="s">
        <v>528</v>
      </c>
    </row>
    <row r="21" spans="1:15">
      <c r="A21" s="25">
        <v>21229</v>
      </c>
      <c r="B21" s="26" t="s">
        <v>580</v>
      </c>
      <c r="C21" s="27" t="s">
        <v>521</v>
      </c>
      <c r="D21" s="27" t="s">
        <v>522</v>
      </c>
      <c r="E21" s="28">
        <v>42891</v>
      </c>
      <c r="F21" s="28" t="s">
        <v>35</v>
      </c>
      <c r="G21" s="28" t="s">
        <v>35</v>
      </c>
      <c r="H21" s="27" t="s">
        <v>566</v>
      </c>
      <c r="I21" s="27" t="s">
        <v>566</v>
      </c>
      <c r="J21" s="27" t="s">
        <v>525</v>
      </c>
      <c r="K21" s="27" t="s">
        <v>525</v>
      </c>
      <c r="L21" s="27" t="s">
        <v>566</v>
      </c>
      <c r="M21" s="27" t="s">
        <v>569</v>
      </c>
      <c r="N21" s="27" t="s">
        <v>570</v>
      </c>
      <c r="O21" s="27" t="s">
        <v>528</v>
      </c>
    </row>
    <row r="22" spans="1:15">
      <c r="A22" s="25">
        <v>22060</v>
      </c>
      <c r="B22" s="26" t="s">
        <v>581</v>
      </c>
      <c r="C22" s="27" t="s">
        <v>521</v>
      </c>
      <c r="D22" s="27" t="s">
        <v>582</v>
      </c>
      <c r="E22" s="28">
        <v>43158</v>
      </c>
      <c r="F22" s="28">
        <v>43158</v>
      </c>
      <c r="G22" s="28">
        <v>43524</v>
      </c>
      <c r="H22" s="27" t="s">
        <v>566</v>
      </c>
      <c r="I22" s="27" t="s">
        <v>566</v>
      </c>
      <c r="J22" s="27" t="s">
        <v>525</v>
      </c>
      <c r="K22" s="27" t="s">
        <v>525</v>
      </c>
      <c r="L22" s="27" t="s">
        <v>566</v>
      </c>
      <c r="M22" s="27" t="s">
        <v>569</v>
      </c>
      <c r="N22" s="27" t="s">
        <v>570</v>
      </c>
      <c r="O22" s="27" t="s">
        <v>528</v>
      </c>
    </row>
    <row r="23" spans="1:15">
      <c r="A23" s="25">
        <v>22779</v>
      </c>
      <c r="B23" s="26" t="s">
        <v>583</v>
      </c>
      <c r="C23" s="27" t="s">
        <v>521</v>
      </c>
      <c r="D23" s="27" t="s">
        <v>584</v>
      </c>
      <c r="E23" s="28">
        <v>43283</v>
      </c>
      <c r="F23" s="28">
        <v>43283</v>
      </c>
      <c r="G23" s="28">
        <v>43646</v>
      </c>
      <c r="H23" s="27" t="s">
        <v>566</v>
      </c>
      <c r="I23" s="27" t="s">
        <v>566</v>
      </c>
      <c r="J23" s="27" t="s">
        <v>525</v>
      </c>
      <c r="K23" s="27" t="s">
        <v>525</v>
      </c>
      <c r="L23" s="27" t="s">
        <v>566</v>
      </c>
      <c r="M23" s="27" t="s">
        <v>573</v>
      </c>
      <c r="N23" s="27" t="s">
        <v>574</v>
      </c>
      <c r="O23" s="27" t="s">
        <v>528</v>
      </c>
    </row>
    <row r="24" spans="1:15">
      <c r="A24" s="25">
        <v>290</v>
      </c>
      <c r="B24" s="26" t="s">
        <v>585</v>
      </c>
      <c r="C24" s="27" t="s">
        <v>521</v>
      </c>
      <c r="D24" s="27" t="s">
        <v>522</v>
      </c>
      <c r="E24" s="28">
        <v>37718</v>
      </c>
      <c r="F24" s="28" t="s">
        <v>35</v>
      </c>
      <c r="G24" s="28" t="s">
        <v>35</v>
      </c>
      <c r="H24" s="27" t="s">
        <v>523</v>
      </c>
      <c r="I24" s="27" t="s">
        <v>586</v>
      </c>
      <c r="J24" s="27" t="s">
        <v>525</v>
      </c>
      <c r="K24" s="27" t="s">
        <v>525</v>
      </c>
      <c r="L24" s="27" t="s">
        <v>586</v>
      </c>
      <c r="M24" s="27" t="s">
        <v>587</v>
      </c>
      <c r="N24" s="27" t="s">
        <v>570</v>
      </c>
      <c r="O24" s="27" t="s">
        <v>528</v>
      </c>
    </row>
    <row r="25" spans="1:15">
      <c r="A25" s="25">
        <v>586</v>
      </c>
      <c r="B25" s="26" t="s">
        <v>588</v>
      </c>
      <c r="C25" s="27" t="s">
        <v>521</v>
      </c>
      <c r="D25" s="27" t="s">
        <v>589</v>
      </c>
      <c r="E25" s="28">
        <v>37774</v>
      </c>
      <c r="F25" s="28" t="s">
        <v>35</v>
      </c>
      <c r="G25" s="28" t="s">
        <v>35</v>
      </c>
      <c r="H25" s="27" t="s">
        <v>523</v>
      </c>
      <c r="I25" s="27" t="s">
        <v>586</v>
      </c>
      <c r="J25" s="27" t="s">
        <v>525</v>
      </c>
      <c r="K25" s="27" t="s">
        <v>525</v>
      </c>
      <c r="L25" s="27" t="s">
        <v>586</v>
      </c>
      <c r="M25" s="27" t="s">
        <v>573</v>
      </c>
      <c r="N25" s="27" t="s">
        <v>574</v>
      </c>
      <c r="O25" s="27" t="s">
        <v>590</v>
      </c>
    </row>
    <row r="26" spans="1:15">
      <c r="A26" s="25">
        <v>6096</v>
      </c>
      <c r="B26" s="26" t="s">
        <v>155</v>
      </c>
      <c r="C26" s="27" t="s">
        <v>521</v>
      </c>
      <c r="D26" s="27" t="s">
        <v>591</v>
      </c>
      <c r="E26" s="28">
        <v>39142</v>
      </c>
      <c r="F26" s="28" t="s">
        <v>35</v>
      </c>
      <c r="G26" s="28" t="s">
        <v>35</v>
      </c>
      <c r="H26" s="27" t="s">
        <v>523</v>
      </c>
      <c r="I26" s="27" t="s">
        <v>586</v>
      </c>
      <c r="J26" s="27" t="s">
        <v>525</v>
      </c>
      <c r="K26" s="27" t="s">
        <v>525</v>
      </c>
      <c r="L26" s="27" t="s">
        <v>586</v>
      </c>
      <c r="M26" s="27" t="s">
        <v>592</v>
      </c>
      <c r="N26" s="27" t="s">
        <v>593</v>
      </c>
      <c r="O26" s="27" t="s">
        <v>594</v>
      </c>
    </row>
    <row r="27" spans="1:15">
      <c r="A27" s="25">
        <v>3718</v>
      </c>
      <c r="B27" s="26" t="s">
        <v>595</v>
      </c>
      <c r="C27" s="27" t="s">
        <v>521</v>
      </c>
      <c r="D27" s="27" t="s">
        <v>522</v>
      </c>
      <c r="E27" s="28">
        <v>38621</v>
      </c>
      <c r="F27" s="28" t="s">
        <v>35</v>
      </c>
      <c r="G27" s="28" t="s">
        <v>35</v>
      </c>
      <c r="H27" s="27" t="s">
        <v>523</v>
      </c>
      <c r="I27" s="27" t="s">
        <v>586</v>
      </c>
      <c r="J27" s="27" t="s">
        <v>525</v>
      </c>
      <c r="K27" s="27" t="s">
        <v>525</v>
      </c>
      <c r="L27" s="27" t="s">
        <v>586</v>
      </c>
      <c r="M27" s="27" t="s">
        <v>569</v>
      </c>
      <c r="N27" s="27" t="s">
        <v>570</v>
      </c>
      <c r="O27" s="27" t="s">
        <v>528</v>
      </c>
    </row>
    <row r="28" spans="1:15">
      <c r="A28" s="25">
        <v>6038</v>
      </c>
      <c r="B28" s="26" t="s">
        <v>596</v>
      </c>
      <c r="C28" s="27" t="s">
        <v>521</v>
      </c>
      <c r="D28" s="27" t="s">
        <v>591</v>
      </c>
      <c r="E28" s="28">
        <v>39142</v>
      </c>
      <c r="F28" s="28" t="s">
        <v>35</v>
      </c>
      <c r="G28" s="28" t="s">
        <v>35</v>
      </c>
      <c r="H28" s="27" t="s">
        <v>523</v>
      </c>
      <c r="I28" s="27" t="s">
        <v>586</v>
      </c>
      <c r="J28" s="27" t="s">
        <v>525</v>
      </c>
      <c r="K28" s="27" t="s">
        <v>525</v>
      </c>
      <c r="L28" s="27" t="s">
        <v>586</v>
      </c>
      <c r="M28" s="27" t="s">
        <v>597</v>
      </c>
      <c r="N28" s="27" t="s">
        <v>586</v>
      </c>
      <c r="O28" s="27" t="s">
        <v>528</v>
      </c>
    </row>
    <row r="29" spans="1:15">
      <c r="A29" s="25">
        <v>6198</v>
      </c>
      <c r="B29" s="26" t="s">
        <v>598</v>
      </c>
      <c r="C29" s="27" t="s">
        <v>521</v>
      </c>
      <c r="D29" s="27" t="s">
        <v>599</v>
      </c>
      <c r="E29" s="28">
        <v>39173</v>
      </c>
      <c r="F29" s="28" t="s">
        <v>35</v>
      </c>
      <c r="G29" s="28" t="s">
        <v>35</v>
      </c>
      <c r="H29" s="27" t="s">
        <v>523</v>
      </c>
      <c r="I29" s="27" t="s">
        <v>586</v>
      </c>
      <c r="J29" s="27" t="s">
        <v>525</v>
      </c>
      <c r="K29" s="27" t="s">
        <v>525</v>
      </c>
      <c r="L29" s="27" t="s">
        <v>586</v>
      </c>
      <c r="M29" s="27" t="s">
        <v>573</v>
      </c>
      <c r="N29" s="27" t="s">
        <v>574</v>
      </c>
      <c r="O29" s="27" t="s">
        <v>528</v>
      </c>
    </row>
    <row r="30" spans="1:15">
      <c r="A30" s="25">
        <v>10112</v>
      </c>
      <c r="B30" s="26" t="s">
        <v>600</v>
      </c>
      <c r="C30" s="27" t="s">
        <v>521</v>
      </c>
      <c r="D30" s="27" t="s">
        <v>601</v>
      </c>
      <c r="E30" s="28">
        <v>40444</v>
      </c>
      <c r="F30" s="28" t="s">
        <v>35</v>
      </c>
      <c r="G30" s="28" t="s">
        <v>35</v>
      </c>
      <c r="H30" s="27" t="s">
        <v>523</v>
      </c>
      <c r="I30" s="27" t="s">
        <v>586</v>
      </c>
      <c r="J30" s="27" t="s">
        <v>525</v>
      </c>
      <c r="K30" s="27" t="s">
        <v>525</v>
      </c>
      <c r="L30" s="27" t="s">
        <v>586</v>
      </c>
      <c r="M30" s="27" t="s">
        <v>597</v>
      </c>
      <c r="N30" s="27" t="s">
        <v>586</v>
      </c>
      <c r="O30" s="27" t="s">
        <v>528</v>
      </c>
    </row>
    <row r="31" spans="1:15">
      <c r="A31" s="25">
        <v>10608</v>
      </c>
      <c r="B31" s="26" t="s">
        <v>431</v>
      </c>
      <c r="C31" s="27" t="s">
        <v>521</v>
      </c>
      <c r="D31" s="27" t="s">
        <v>602</v>
      </c>
      <c r="E31" s="28">
        <v>40544</v>
      </c>
      <c r="F31" s="28" t="s">
        <v>35</v>
      </c>
      <c r="G31" s="28" t="s">
        <v>35</v>
      </c>
      <c r="H31" s="27" t="s">
        <v>523</v>
      </c>
      <c r="I31" s="27" t="s">
        <v>586</v>
      </c>
      <c r="J31" s="27" t="s">
        <v>525</v>
      </c>
      <c r="K31" s="27" t="s">
        <v>525</v>
      </c>
      <c r="L31" s="27" t="s">
        <v>586</v>
      </c>
      <c r="M31" s="29" t="s">
        <v>573</v>
      </c>
      <c r="N31" s="29" t="s">
        <v>574</v>
      </c>
      <c r="O31" s="27" t="s">
        <v>528</v>
      </c>
    </row>
    <row r="32" spans="1:15">
      <c r="A32" s="25">
        <v>18666</v>
      </c>
      <c r="B32" s="30" t="s">
        <v>603</v>
      </c>
      <c r="C32" s="27" t="s">
        <v>521</v>
      </c>
      <c r="D32" s="27" t="s">
        <v>522</v>
      </c>
      <c r="E32" s="28">
        <v>42066</v>
      </c>
      <c r="F32" s="28" t="s">
        <v>35</v>
      </c>
      <c r="G32" s="28" t="s">
        <v>35</v>
      </c>
      <c r="H32" s="27" t="s">
        <v>523</v>
      </c>
      <c r="I32" s="27" t="s">
        <v>586</v>
      </c>
      <c r="J32" s="27" t="s">
        <v>525</v>
      </c>
      <c r="K32" s="27" t="s">
        <v>525</v>
      </c>
      <c r="L32" s="27" t="s">
        <v>586</v>
      </c>
      <c r="M32" s="31" t="s">
        <v>604</v>
      </c>
      <c r="N32" s="31" t="s">
        <v>570</v>
      </c>
      <c r="O32" s="27" t="s">
        <v>528</v>
      </c>
    </row>
    <row r="33" spans="1:15">
      <c r="A33" s="25">
        <v>345</v>
      </c>
      <c r="B33" s="26" t="s">
        <v>605</v>
      </c>
      <c r="C33" s="27" t="s">
        <v>521</v>
      </c>
      <c r="D33" s="27" t="s">
        <v>606</v>
      </c>
      <c r="E33" s="28">
        <v>37725</v>
      </c>
      <c r="F33" s="28" t="s">
        <v>35</v>
      </c>
      <c r="G33" s="28" t="s">
        <v>35</v>
      </c>
      <c r="H33" s="27" t="s">
        <v>523</v>
      </c>
      <c r="I33" s="27" t="s">
        <v>607</v>
      </c>
      <c r="J33" s="27" t="s">
        <v>525</v>
      </c>
      <c r="K33" s="27" t="s">
        <v>525</v>
      </c>
      <c r="L33" s="27" t="s">
        <v>607</v>
      </c>
      <c r="M33" s="27" t="s">
        <v>608</v>
      </c>
      <c r="N33" s="27" t="s">
        <v>574</v>
      </c>
      <c r="O33" s="27" t="s">
        <v>528</v>
      </c>
    </row>
    <row r="34" spans="1:15">
      <c r="A34" s="25">
        <v>2412</v>
      </c>
      <c r="B34" s="26" t="s">
        <v>609</v>
      </c>
      <c r="C34" s="27" t="s">
        <v>521</v>
      </c>
      <c r="D34" s="27" t="s">
        <v>522</v>
      </c>
      <c r="E34" s="28">
        <v>38189</v>
      </c>
      <c r="F34" s="28" t="s">
        <v>35</v>
      </c>
      <c r="G34" s="28" t="s">
        <v>35</v>
      </c>
      <c r="H34" s="27" t="s">
        <v>523</v>
      </c>
      <c r="I34" s="27" t="s">
        <v>607</v>
      </c>
      <c r="J34" s="27" t="s">
        <v>525</v>
      </c>
      <c r="K34" s="27" t="s">
        <v>525</v>
      </c>
      <c r="L34" s="27" t="s">
        <v>607</v>
      </c>
      <c r="M34" s="27" t="s">
        <v>610</v>
      </c>
      <c r="N34" s="27" t="s">
        <v>570</v>
      </c>
      <c r="O34" s="27" t="s">
        <v>528</v>
      </c>
    </row>
    <row r="35" spans="1:15">
      <c r="A35" s="25">
        <v>591</v>
      </c>
      <c r="B35" s="32" t="s">
        <v>611</v>
      </c>
      <c r="C35" s="27" t="s">
        <v>521</v>
      </c>
      <c r="D35" s="27" t="s">
        <v>612</v>
      </c>
      <c r="E35" s="28">
        <v>37774</v>
      </c>
      <c r="F35" s="28" t="s">
        <v>35</v>
      </c>
      <c r="G35" s="28" t="s">
        <v>35</v>
      </c>
      <c r="H35" s="27" t="s">
        <v>523</v>
      </c>
      <c r="I35" s="27" t="s">
        <v>607</v>
      </c>
      <c r="J35" s="27" t="s">
        <v>525</v>
      </c>
      <c r="K35" s="27" t="s">
        <v>525</v>
      </c>
      <c r="L35" s="27" t="s">
        <v>607</v>
      </c>
      <c r="M35" s="27" t="s">
        <v>613</v>
      </c>
      <c r="N35" s="27" t="s">
        <v>607</v>
      </c>
      <c r="O35" s="27" t="s">
        <v>528</v>
      </c>
    </row>
    <row r="36" spans="1:15">
      <c r="A36" s="25">
        <v>1109</v>
      </c>
      <c r="B36" s="26" t="s">
        <v>614</v>
      </c>
      <c r="C36" s="27" t="s">
        <v>521</v>
      </c>
      <c r="D36" s="27" t="s">
        <v>615</v>
      </c>
      <c r="E36" s="28">
        <v>37887</v>
      </c>
      <c r="F36" s="28" t="s">
        <v>35</v>
      </c>
      <c r="G36" s="28" t="s">
        <v>35</v>
      </c>
      <c r="H36" s="27" t="s">
        <v>523</v>
      </c>
      <c r="I36" s="27" t="s">
        <v>607</v>
      </c>
      <c r="J36" s="27" t="s">
        <v>525</v>
      </c>
      <c r="K36" s="27" t="s">
        <v>525</v>
      </c>
      <c r="L36" s="27" t="s">
        <v>607</v>
      </c>
      <c r="M36" s="31" t="s">
        <v>573</v>
      </c>
      <c r="N36" s="27" t="s">
        <v>574</v>
      </c>
      <c r="O36" s="27" t="s">
        <v>528</v>
      </c>
    </row>
    <row r="37" spans="1:15">
      <c r="A37" s="25">
        <v>1160</v>
      </c>
      <c r="B37" s="26" t="s">
        <v>616</v>
      </c>
      <c r="C37" s="27" t="s">
        <v>521</v>
      </c>
      <c r="D37" s="27" t="s">
        <v>522</v>
      </c>
      <c r="E37" s="28">
        <v>37900</v>
      </c>
      <c r="F37" s="28" t="s">
        <v>35</v>
      </c>
      <c r="G37" s="28" t="s">
        <v>35</v>
      </c>
      <c r="H37" s="27" t="s">
        <v>523</v>
      </c>
      <c r="I37" s="27" t="s">
        <v>607</v>
      </c>
      <c r="J37" s="27" t="s">
        <v>525</v>
      </c>
      <c r="K37" s="27" t="s">
        <v>525</v>
      </c>
      <c r="L37" s="27" t="s">
        <v>607</v>
      </c>
      <c r="M37" s="27" t="s">
        <v>617</v>
      </c>
      <c r="N37" s="27" t="s">
        <v>570</v>
      </c>
      <c r="O37" s="27" t="s">
        <v>528</v>
      </c>
    </row>
    <row r="38" spans="1:15">
      <c r="A38" s="25">
        <v>14119</v>
      </c>
      <c r="B38" s="32" t="s">
        <v>618</v>
      </c>
      <c r="C38" s="27" t="s">
        <v>521</v>
      </c>
      <c r="D38" s="27" t="s">
        <v>619</v>
      </c>
      <c r="E38" s="28">
        <v>41306</v>
      </c>
      <c r="F38" s="28" t="s">
        <v>35</v>
      </c>
      <c r="G38" s="28" t="s">
        <v>35</v>
      </c>
      <c r="H38" s="27" t="s">
        <v>523</v>
      </c>
      <c r="I38" s="27" t="s">
        <v>607</v>
      </c>
      <c r="J38" s="27" t="s">
        <v>525</v>
      </c>
      <c r="K38" s="27" t="s">
        <v>525</v>
      </c>
      <c r="L38" s="27" t="s">
        <v>607</v>
      </c>
      <c r="M38" s="27" t="s">
        <v>620</v>
      </c>
      <c r="N38" s="27" t="s">
        <v>621</v>
      </c>
      <c r="O38" s="27" t="s">
        <v>528</v>
      </c>
    </row>
    <row r="39" spans="1:15">
      <c r="A39" s="25">
        <v>18761</v>
      </c>
      <c r="B39" s="33" t="s">
        <v>622</v>
      </c>
      <c r="C39" s="27" t="s">
        <v>521</v>
      </c>
      <c r="D39" s="27" t="s">
        <v>623</v>
      </c>
      <c r="E39" s="28">
        <v>42142</v>
      </c>
      <c r="F39" s="28" t="s">
        <v>35</v>
      </c>
      <c r="G39" s="28" t="s">
        <v>35</v>
      </c>
      <c r="H39" s="27" t="s">
        <v>523</v>
      </c>
      <c r="I39" s="27" t="s">
        <v>624</v>
      </c>
      <c r="J39" s="27" t="s">
        <v>525</v>
      </c>
      <c r="K39" s="27" t="s">
        <v>525</v>
      </c>
      <c r="L39" s="27" t="s">
        <v>624</v>
      </c>
      <c r="M39" s="27" t="s">
        <v>625</v>
      </c>
      <c r="N39" s="27" t="s">
        <v>624</v>
      </c>
      <c r="O39" s="27" t="s">
        <v>594</v>
      </c>
    </row>
    <row r="40" spans="1:15">
      <c r="A40" s="25">
        <v>1908</v>
      </c>
      <c r="B40" s="26" t="s">
        <v>626</v>
      </c>
      <c r="C40" s="27" t="s">
        <v>521</v>
      </c>
      <c r="D40" s="27" t="s">
        <v>522</v>
      </c>
      <c r="E40" s="28">
        <v>38103</v>
      </c>
      <c r="F40" s="28" t="s">
        <v>35</v>
      </c>
      <c r="G40" s="28" t="s">
        <v>35</v>
      </c>
      <c r="H40" s="27" t="s">
        <v>523</v>
      </c>
      <c r="I40" s="27" t="s">
        <v>624</v>
      </c>
      <c r="J40" s="27" t="s">
        <v>525</v>
      </c>
      <c r="K40" s="27" t="s">
        <v>525</v>
      </c>
      <c r="L40" s="27" t="s">
        <v>624</v>
      </c>
      <c r="M40" s="27" t="s">
        <v>627</v>
      </c>
      <c r="N40" s="27" t="s">
        <v>570</v>
      </c>
      <c r="O40" s="27" t="s">
        <v>528</v>
      </c>
    </row>
    <row r="41" spans="1:15">
      <c r="A41" s="25">
        <v>8038</v>
      </c>
      <c r="B41" s="26" t="s">
        <v>628</v>
      </c>
      <c r="C41" s="27" t="s">
        <v>521</v>
      </c>
      <c r="D41" s="27" t="s">
        <v>522</v>
      </c>
      <c r="E41" s="28">
        <v>39661</v>
      </c>
      <c r="F41" s="28" t="s">
        <v>35</v>
      </c>
      <c r="G41" s="28" t="s">
        <v>35</v>
      </c>
      <c r="H41" s="27" t="s">
        <v>523</v>
      </c>
      <c r="I41" s="27" t="s">
        <v>624</v>
      </c>
      <c r="J41" s="27" t="s">
        <v>525</v>
      </c>
      <c r="K41" s="27" t="s">
        <v>525</v>
      </c>
      <c r="L41" s="27" t="s">
        <v>624</v>
      </c>
      <c r="M41" s="27" t="s">
        <v>629</v>
      </c>
      <c r="N41" s="27" t="s">
        <v>570</v>
      </c>
      <c r="O41" s="27" t="s">
        <v>528</v>
      </c>
    </row>
    <row r="42" spans="1:15">
      <c r="A42" s="25">
        <v>22033</v>
      </c>
      <c r="B42" s="34" t="s">
        <v>630</v>
      </c>
      <c r="C42" s="31" t="s">
        <v>521</v>
      </c>
      <c r="D42" s="31" t="s">
        <v>631</v>
      </c>
      <c r="E42" s="28">
        <v>43144</v>
      </c>
      <c r="F42" s="28">
        <v>43172</v>
      </c>
      <c r="G42" s="28">
        <v>43524</v>
      </c>
      <c r="H42" s="27" t="s">
        <v>523</v>
      </c>
      <c r="I42" s="27" t="s">
        <v>624</v>
      </c>
      <c r="J42" s="27" t="s">
        <v>525</v>
      </c>
      <c r="K42" s="27" t="s">
        <v>525</v>
      </c>
      <c r="L42" s="27" t="s">
        <v>624</v>
      </c>
      <c r="M42" s="31" t="s">
        <v>625</v>
      </c>
      <c r="N42" s="31" t="s">
        <v>624</v>
      </c>
      <c r="O42" s="31" t="s">
        <v>528</v>
      </c>
    </row>
    <row r="43" spans="1:15">
      <c r="A43" s="25">
        <v>5556</v>
      </c>
      <c r="B43" s="26" t="s">
        <v>182</v>
      </c>
      <c r="C43" s="27" t="s">
        <v>521</v>
      </c>
      <c r="D43" s="27" t="s">
        <v>632</v>
      </c>
      <c r="E43" s="28">
        <v>39052</v>
      </c>
      <c r="F43" s="28" t="s">
        <v>35</v>
      </c>
      <c r="G43" s="28" t="s">
        <v>35</v>
      </c>
      <c r="H43" s="27" t="s">
        <v>523</v>
      </c>
      <c r="I43" s="27" t="s">
        <v>633</v>
      </c>
      <c r="J43" s="27" t="s">
        <v>525</v>
      </c>
      <c r="K43" s="27" t="s">
        <v>525</v>
      </c>
      <c r="L43" s="27" t="s">
        <v>633</v>
      </c>
      <c r="M43" s="27" t="s">
        <v>592</v>
      </c>
      <c r="N43" s="27" t="s">
        <v>593</v>
      </c>
      <c r="O43" s="27" t="s">
        <v>594</v>
      </c>
    </row>
    <row r="44" spans="1:15">
      <c r="A44" s="25">
        <v>17278</v>
      </c>
      <c r="B44" s="34" t="s">
        <v>342</v>
      </c>
      <c r="C44" s="31" t="s">
        <v>521</v>
      </c>
      <c r="D44" s="31" t="s">
        <v>634</v>
      </c>
      <c r="E44" s="28">
        <v>41764</v>
      </c>
      <c r="F44" s="28" t="s">
        <v>35</v>
      </c>
      <c r="G44" s="28" t="s">
        <v>35</v>
      </c>
      <c r="H44" s="27" t="s">
        <v>523</v>
      </c>
      <c r="I44" s="27" t="s">
        <v>633</v>
      </c>
      <c r="J44" s="27" t="s">
        <v>525</v>
      </c>
      <c r="K44" s="27" t="s">
        <v>525</v>
      </c>
      <c r="L44" s="27" t="s">
        <v>633</v>
      </c>
      <c r="M44" s="27" t="s">
        <v>592</v>
      </c>
      <c r="N44" s="27" t="s">
        <v>593</v>
      </c>
      <c r="O44" s="31" t="s">
        <v>594</v>
      </c>
    </row>
    <row r="45" spans="1:15">
      <c r="A45" s="25">
        <v>13</v>
      </c>
      <c r="B45" s="26" t="s">
        <v>635</v>
      </c>
      <c r="C45" s="27" t="s">
        <v>521</v>
      </c>
      <c r="D45" s="27" t="s">
        <v>522</v>
      </c>
      <c r="E45" s="28">
        <v>37411</v>
      </c>
      <c r="F45" s="28" t="s">
        <v>35</v>
      </c>
      <c r="G45" s="28" t="s">
        <v>35</v>
      </c>
      <c r="H45" s="27" t="s">
        <v>523</v>
      </c>
      <c r="I45" s="27" t="s">
        <v>633</v>
      </c>
      <c r="J45" s="27" t="s">
        <v>525</v>
      </c>
      <c r="K45" s="27" t="s">
        <v>525</v>
      </c>
      <c r="L45" s="27" t="s">
        <v>633</v>
      </c>
      <c r="M45" s="27" t="s">
        <v>636</v>
      </c>
      <c r="N45" s="27" t="s">
        <v>570</v>
      </c>
      <c r="O45" s="27" t="s">
        <v>528</v>
      </c>
    </row>
    <row r="46" spans="1:15">
      <c r="A46" s="25">
        <v>6110</v>
      </c>
      <c r="B46" s="26" t="s">
        <v>153</v>
      </c>
      <c r="C46" s="27" t="s">
        <v>521</v>
      </c>
      <c r="D46" s="27" t="s">
        <v>637</v>
      </c>
      <c r="E46" s="28">
        <v>39142</v>
      </c>
      <c r="F46" s="28" t="s">
        <v>35</v>
      </c>
      <c r="G46" s="28" t="s">
        <v>35</v>
      </c>
      <c r="H46" s="27" t="s">
        <v>523</v>
      </c>
      <c r="I46" s="27" t="s">
        <v>633</v>
      </c>
      <c r="J46" s="27" t="s">
        <v>525</v>
      </c>
      <c r="K46" s="27" t="s">
        <v>525</v>
      </c>
      <c r="L46" s="27" t="s">
        <v>633</v>
      </c>
      <c r="M46" s="27" t="s">
        <v>592</v>
      </c>
      <c r="N46" s="27" t="s">
        <v>593</v>
      </c>
      <c r="O46" s="27" t="s">
        <v>528</v>
      </c>
    </row>
    <row r="47" spans="1:15">
      <c r="A47" s="25">
        <v>13353</v>
      </c>
      <c r="B47" s="34" t="s">
        <v>389</v>
      </c>
      <c r="C47" s="31" t="s">
        <v>521</v>
      </c>
      <c r="D47" s="31" t="s">
        <v>638</v>
      </c>
      <c r="E47" s="28">
        <v>40924</v>
      </c>
      <c r="F47" s="28" t="s">
        <v>35</v>
      </c>
      <c r="G47" s="28" t="s">
        <v>35</v>
      </c>
      <c r="H47" s="27" t="s">
        <v>523</v>
      </c>
      <c r="I47" s="27" t="s">
        <v>633</v>
      </c>
      <c r="J47" s="27" t="s">
        <v>525</v>
      </c>
      <c r="K47" s="27" t="s">
        <v>525</v>
      </c>
      <c r="L47" s="27" t="s">
        <v>633</v>
      </c>
      <c r="M47" s="27" t="s">
        <v>592</v>
      </c>
      <c r="N47" s="27" t="s">
        <v>593</v>
      </c>
      <c r="O47" s="31" t="s">
        <v>528</v>
      </c>
    </row>
    <row r="48" spans="1:15">
      <c r="A48" s="25">
        <v>14135</v>
      </c>
      <c r="B48" s="32" t="s">
        <v>364</v>
      </c>
      <c r="C48" s="27" t="s">
        <v>521</v>
      </c>
      <c r="D48" s="27" t="s">
        <v>639</v>
      </c>
      <c r="E48" s="28">
        <v>41312</v>
      </c>
      <c r="F48" s="28" t="s">
        <v>35</v>
      </c>
      <c r="G48" s="28" t="s">
        <v>35</v>
      </c>
      <c r="H48" s="27" t="s">
        <v>523</v>
      </c>
      <c r="I48" s="27" t="s">
        <v>633</v>
      </c>
      <c r="J48" s="27" t="s">
        <v>525</v>
      </c>
      <c r="K48" s="27" t="s">
        <v>525</v>
      </c>
      <c r="L48" s="27" t="s">
        <v>633</v>
      </c>
      <c r="M48" s="27" t="s">
        <v>592</v>
      </c>
      <c r="N48" s="27" t="s">
        <v>593</v>
      </c>
      <c r="O48" s="31" t="s">
        <v>528</v>
      </c>
    </row>
    <row r="49" spans="1:15">
      <c r="A49" s="25">
        <v>16616</v>
      </c>
      <c r="B49" s="30" t="s">
        <v>640</v>
      </c>
      <c r="C49" s="27" t="s">
        <v>521</v>
      </c>
      <c r="D49" s="27" t="s">
        <v>641</v>
      </c>
      <c r="E49" s="28">
        <v>41673</v>
      </c>
      <c r="F49" s="35" t="s">
        <v>35</v>
      </c>
      <c r="G49" s="35" t="s">
        <v>35</v>
      </c>
      <c r="H49" s="31" t="s">
        <v>523</v>
      </c>
      <c r="I49" s="27" t="s">
        <v>633</v>
      </c>
      <c r="J49" s="31" t="s">
        <v>525</v>
      </c>
      <c r="K49" s="31" t="s">
        <v>525</v>
      </c>
      <c r="L49" s="27" t="s">
        <v>633</v>
      </c>
      <c r="M49" s="31" t="s">
        <v>573</v>
      </c>
      <c r="N49" s="27" t="s">
        <v>574</v>
      </c>
      <c r="O49" s="27" t="s">
        <v>528</v>
      </c>
    </row>
    <row r="50" spans="1:15">
      <c r="A50" s="25">
        <v>13138</v>
      </c>
      <c r="B50" s="34" t="s">
        <v>397</v>
      </c>
      <c r="C50" s="31" t="s">
        <v>521</v>
      </c>
      <c r="D50" s="31" t="s">
        <v>642</v>
      </c>
      <c r="E50" s="28">
        <v>40882</v>
      </c>
      <c r="F50" s="28" t="s">
        <v>35</v>
      </c>
      <c r="G50" s="28" t="s">
        <v>35</v>
      </c>
      <c r="H50" s="27" t="s">
        <v>523</v>
      </c>
      <c r="I50" s="27" t="s">
        <v>633</v>
      </c>
      <c r="J50" s="27" t="s">
        <v>525</v>
      </c>
      <c r="K50" s="27" t="s">
        <v>525</v>
      </c>
      <c r="L50" s="27" t="s">
        <v>633</v>
      </c>
      <c r="M50" s="27" t="s">
        <v>592</v>
      </c>
      <c r="N50" s="27" t="s">
        <v>593</v>
      </c>
      <c r="O50" s="31" t="s">
        <v>590</v>
      </c>
    </row>
    <row r="51" spans="1:15">
      <c r="A51" s="25">
        <v>249</v>
      </c>
      <c r="B51" s="26" t="s">
        <v>643</v>
      </c>
      <c r="C51" s="27" t="s">
        <v>521</v>
      </c>
      <c r="D51" s="27" t="s">
        <v>644</v>
      </c>
      <c r="E51" s="28">
        <v>37704</v>
      </c>
      <c r="F51" s="28" t="s">
        <v>35</v>
      </c>
      <c r="G51" s="28" t="s">
        <v>35</v>
      </c>
      <c r="H51" s="27" t="s">
        <v>523</v>
      </c>
      <c r="I51" s="27" t="s">
        <v>645</v>
      </c>
      <c r="J51" s="27" t="s">
        <v>525</v>
      </c>
      <c r="K51" s="27" t="s">
        <v>525</v>
      </c>
      <c r="L51" s="27" t="s">
        <v>646</v>
      </c>
      <c r="M51" s="27" t="s">
        <v>647</v>
      </c>
      <c r="N51" s="27" t="s">
        <v>648</v>
      </c>
      <c r="O51" s="27" t="s">
        <v>528</v>
      </c>
    </row>
    <row r="52" spans="1:15">
      <c r="A52" s="25">
        <v>5553</v>
      </c>
      <c r="B52" s="26" t="s">
        <v>649</v>
      </c>
      <c r="C52" s="27" t="s">
        <v>521</v>
      </c>
      <c r="D52" s="27" t="s">
        <v>650</v>
      </c>
      <c r="E52" s="28">
        <v>39052</v>
      </c>
      <c r="F52" s="28" t="s">
        <v>35</v>
      </c>
      <c r="G52" s="28" t="s">
        <v>35</v>
      </c>
      <c r="H52" s="27" t="s">
        <v>523</v>
      </c>
      <c r="I52" s="27" t="s">
        <v>645</v>
      </c>
      <c r="J52" s="27" t="s">
        <v>525</v>
      </c>
      <c r="K52" s="27" t="s">
        <v>525</v>
      </c>
      <c r="L52" s="27" t="s">
        <v>646</v>
      </c>
      <c r="M52" s="27" t="s">
        <v>651</v>
      </c>
      <c r="N52" s="27" t="s">
        <v>574</v>
      </c>
      <c r="O52" s="27" t="s">
        <v>528</v>
      </c>
    </row>
    <row r="53" spans="1:15">
      <c r="A53" s="25">
        <v>9153</v>
      </c>
      <c r="B53" s="26" t="s">
        <v>652</v>
      </c>
      <c r="C53" s="27" t="s">
        <v>521</v>
      </c>
      <c r="D53" s="27" t="s">
        <v>653</v>
      </c>
      <c r="E53" s="28">
        <v>40000</v>
      </c>
      <c r="F53" s="28" t="s">
        <v>35</v>
      </c>
      <c r="G53" s="28" t="s">
        <v>35</v>
      </c>
      <c r="H53" s="27" t="s">
        <v>523</v>
      </c>
      <c r="I53" s="27" t="s">
        <v>645</v>
      </c>
      <c r="J53" s="27" t="s">
        <v>525</v>
      </c>
      <c r="K53" s="27" t="s">
        <v>525</v>
      </c>
      <c r="L53" s="27" t="s">
        <v>646</v>
      </c>
      <c r="M53" s="27" t="s">
        <v>651</v>
      </c>
      <c r="N53" s="27" t="s">
        <v>646</v>
      </c>
      <c r="O53" s="27" t="s">
        <v>528</v>
      </c>
    </row>
    <row r="54" spans="1:15">
      <c r="A54" s="25">
        <v>10600</v>
      </c>
      <c r="B54" s="26" t="s">
        <v>654</v>
      </c>
      <c r="C54" s="27" t="s">
        <v>521</v>
      </c>
      <c r="D54" s="27" t="s">
        <v>602</v>
      </c>
      <c r="E54" s="28">
        <v>40544</v>
      </c>
      <c r="F54" s="28" t="s">
        <v>35</v>
      </c>
      <c r="G54" s="28" t="s">
        <v>35</v>
      </c>
      <c r="H54" s="27" t="s">
        <v>523</v>
      </c>
      <c r="I54" s="27" t="s">
        <v>645</v>
      </c>
      <c r="J54" s="27" t="s">
        <v>525</v>
      </c>
      <c r="K54" s="27" t="s">
        <v>525</v>
      </c>
      <c r="L54" s="27" t="s">
        <v>646</v>
      </c>
      <c r="M54" s="27" t="s">
        <v>655</v>
      </c>
      <c r="N54" s="27" t="s">
        <v>646</v>
      </c>
      <c r="O54" s="27" t="s">
        <v>528</v>
      </c>
    </row>
    <row r="55" spans="1:15">
      <c r="A55" s="25">
        <v>13648</v>
      </c>
      <c r="B55" s="34" t="s">
        <v>656</v>
      </c>
      <c r="C55" s="31" t="s">
        <v>521</v>
      </c>
      <c r="D55" s="27" t="s">
        <v>522</v>
      </c>
      <c r="E55" s="28">
        <v>41155</v>
      </c>
      <c r="F55" s="28" t="s">
        <v>35</v>
      </c>
      <c r="G55" s="28" t="s">
        <v>35</v>
      </c>
      <c r="H55" s="27" t="s">
        <v>523</v>
      </c>
      <c r="I55" s="27" t="s">
        <v>645</v>
      </c>
      <c r="J55" s="27" t="s">
        <v>525</v>
      </c>
      <c r="K55" s="27" t="s">
        <v>525</v>
      </c>
      <c r="L55" s="27" t="s">
        <v>646</v>
      </c>
      <c r="M55" s="27" t="s">
        <v>569</v>
      </c>
      <c r="N55" s="27" t="s">
        <v>570</v>
      </c>
      <c r="O55" s="27" t="s">
        <v>528</v>
      </c>
    </row>
    <row r="56" spans="1:15">
      <c r="A56" s="36">
        <v>9184</v>
      </c>
      <c r="B56" s="37" t="s">
        <v>657</v>
      </c>
      <c r="C56" s="38" t="s">
        <v>521</v>
      </c>
      <c r="D56" s="38" t="s">
        <v>658</v>
      </c>
      <c r="E56" s="39">
        <v>40008</v>
      </c>
      <c r="F56" s="39" t="s">
        <v>35</v>
      </c>
      <c r="G56" s="39" t="s">
        <v>35</v>
      </c>
      <c r="H56" s="38" t="s">
        <v>659</v>
      </c>
      <c r="I56" s="38" t="s">
        <v>660</v>
      </c>
      <c r="J56" s="38" t="s">
        <v>525</v>
      </c>
      <c r="K56" s="38" t="s">
        <v>525</v>
      </c>
      <c r="L56" s="40" t="s">
        <v>660</v>
      </c>
      <c r="M56" s="40" t="s">
        <v>661</v>
      </c>
      <c r="N56" s="40" t="s">
        <v>660</v>
      </c>
      <c r="O56" s="40" t="s">
        <v>35</v>
      </c>
    </row>
    <row r="57" spans="1:15">
      <c r="A57" s="36">
        <v>21708</v>
      </c>
      <c r="B57" s="37" t="s">
        <v>662</v>
      </c>
      <c r="C57" s="38" t="s">
        <v>521</v>
      </c>
      <c r="D57" s="38" t="s">
        <v>663</v>
      </c>
      <c r="E57" s="39">
        <v>43087</v>
      </c>
      <c r="F57" s="39">
        <v>43118</v>
      </c>
      <c r="G57" s="39">
        <v>43496</v>
      </c>
      <c r="H57" s="38" t="s">
        <v>659</v>
      </c>
      <c r="I57" s="38" t="s">
        <v>660</v>
      </c>
      <c r="J57" s="38" t="s">
        <v>525</v>
      </c>
      <c r="K57" s="38" t="s">
        <v>525</v>
      </c>
      <c r="L57" s="40" t="s">
        <v>660</v>
      </c>
      <c r="M57" s="40" t="s">
        <v>661</v>
      </c>
      <c r="N57" s="40" t="s">
        <v>660</v>
      </c>
      <c r="O57" s="40" t="s">
        <v>35</v>
      </c>
    </row>
    <row r="58" spans="1:15">
      <c r="A58" s="36">
        <v>12079</v>
      </c>
      <c r="B58" s="37" t="s">
        <v>664</v>
      </c>
      <c r="C58" s="38" t="s">
        <v>521</v>
      </c>
      <c r="D58" s="38" t="s">
        <v>665</v>
      </c>
      <c r="E58" s="39">
        <v>40798</v>
      </c>
      <c r="F58" s="39" t="s">
        <v>35</v>
      </c>
      <c r="G58" s="39" t="s">
        <v>35</v>
      </c>
      <c r="H58" s="38" t="s">
        <v>659</v>
      </c>
      <c r="I58" s="38" t="s">
        <v>660</v>
      </c>
      <c r="J58" s="38" t="s">
        <v>525</v>
      </c>
      <c r="K58" s="38" t="s">
        <v>525</v>
      </c>
      <c r="L58" s="40" t="s">
        <v>660</v>
      </c>
      <c r="M58" s="40" t="s">
        <v>661</v>
      </c>
      <c r="N58" s="40" t="s">
        <v>660</v>
      </c>
      <c r="O58" s="40" t="s">
        <v>35</v>
      </c>
    </row>
    <row r="59" spans="1:15">
      <c r="A59" s="36" t="s">
        <v>666</v>
      </c>
      <c r="B59" s="37" t="s">
        <v>667</v>
      </c>
      <c r="C59" s="38" t="s">
        <v>521</v>
      </c>
      <c r="D59" s="38" t="s">
        <v>668</v>
      </c>
      <c r="E59" s="39">
        <v>40826</v>
      </c>
      <c r="F59" s="39" t="s">
        <v>35</v>
      </c>
      <c r="G59" s="39" t="s">
        <v>35</v>
      </c>
      <c r="H59" s="38" t="s">
        <v>659</v>
      </c>
      <c r="I59" s="38" t="s">
        <v>660</v>
      </c>
      <c r="J59" s="38" t="s">
        <v>525</v>
      </c>
      <c r="K59" s="38" t="s">
        <v>525</v>
      </c>
      <c r="L59" s="40" t="s">
        <v>660</v>
      </c>
      <c r="M59" s="40" t="s">
        <v>661</v>
      </c>
      <c r="N59" s="40" t="s">
        <v>660</v>
      </c>
      <c r="O59" s="40" t="s">
        <v>35</v>
      </c>
    </row>
    <row r="60" spans="1:15">
      <c r="A60" s="36">
        <v>10969</v>
      </c>
      <c r="B60" s="37" t="s">
        <v>669</v>
      </c>
      <c r="C60" s="38" t="s">
        <v>521</v>
      </c>
      <c r="D60" s="38" t="s">
        <v>670</v>
      </c>
      <c r="E60" s="39">
        <v>40578</v>
      </c>
      <c r="F60" s="39" t="s">
        <v>35</v>
      </c>
      <c r="G60" s="39" t="s">
        <v>35</v>
      </c>
      <c r="H60" s="38" t="s">
        <v>659</v>
      </c>
      <c r="I60" s="38" t="s">
        <v>660</v>
      </c>
      <c r="J60" s="38" t="s">
        <v>525</v>
      </c>
      <c r="K60" s="38" t="s">
        <v>525</v>
      </c>
      <c r="L60" s="40" t="s">
        <v>660</v>
      </c>
      <c r="M60" s="40" t="s">
        <v>661</v>
      </c>
      <c r="N60" s="40" t="s">
        <v>660</v>
      </c>
      <c r="O60" s="40" t="s">
        <v>35</v>
      </c>
    </row>
    <row r="61" spans="1:15">
      <c r="A61" s="36">
        <v>574</v>
      </c>
      <c r="B61" s="37" t="s">
        <v>671</v>
      </c>
      <c r="C61" s="38" t="s">
        <v>521</v>
      </c>
      <c r="D61" s="38" t="s">
        <v>589</v>
      </c>
      <c r="E61" s="39">
        <v>37774</v>
      </c>
      <c r="F61" s="39" t="s">
        <v>35</v>
      </c>
      <c r="G61" s="39" t="s">
        <v>35</v>
      </c>
      <c r="H61" s="38" t="s">
        <v>659</v>
      </c>
      <c r="I61" s="38" t="s">
        <v>660</v>
      </c>
      <c r="J61" s="38" t="s">
        <v>525</v>
      </c>
      <c r="K61" s="38" t="s">
        <v>525</v>
      </c>
      <c r="L61" s="40" t="s">
        <v>660</v>
      </c>
      <c r="M61" s="40" t="s">
        <v>661</v>
      </c>
      <c r="N61" s="40" t="s">
        <v>660</v>
      </c>
      <c r="O61" s="40" t="s">
        <v>35</v>
      </c>
    </row>
    <row r="62" spans="1:15">
      <c r="A62" s="36">
        <v>20640</v>
      </c>
      <c r="B62" s="37" t="s">
        <v>672</v>
      </c>
      <c r="C62" s="38" t="s">
        <v>521</v>
      </c>
      <c r="D62" s="38" t="s">
        <v>673</v>
      </c>
      <c r="E62" s="39">
        <v>42639</v>
      </c>
      <c r="F62" s="39">
        <v>43132</v>
      </c>
      <c r="G62" s="39">
        <v>43496</v>
      </c>
      <c r="H62" s="38" t="s">
        <v>659</v>
      </c>
      <c r="I62" s="38" t="s">
        <v>660</v>
      </c>
      <c r="J62" s="38" t="s">
        <v>525</v>
      </c>
      <c r="K62" s="38" t="s">
        <v>525</v>
      </c>
      <c r="L62" s="40" t="s">
        <v>660</v>
      </c>
      <c r="M62" s="40" t="s">
        <v>661</v>
      </c>
      <c r="N62" s="40" t="s">
        <v>660</v>
      </c>
      <c r="O62" s="40" t="s">
        <v>35</v>
      </c>
    </row>
    <row r="63" spans="1:15">
      <c r="A63" s="36">
        <v>11657</v>
      </c>
      <c r="B63" s="37" t="s">
        <v>674</v>
      </c>
      <c r="C63" s="38" t="s">
        <v>521</v>
      </c>
      <c r="D63" s="38" t="s">
        <v>675</v>
      </c>
      <c r="E63" s="39">
        <v>40714</v>
      </c>
      <c r="F63" s="39" t="s">
        <v>35</v>
      </c>
      <c r="G63" s="39" t="s">
        <v>35</v>
      </c>
      <c r="H63" s="38" t="s">
        <v>659</v>
      </c>
      <c r="I63" s="38" t="s">
        <v>660</v>
      </c>
      <c r="J63" s="38" t="s">
        <v>525</v>
      </c>
      <c r="K63" s="38" t="s">
        <v>525</v>
      </c>
      <c r="L63" s="40" t="s">
        <v>660</v>
      </c>
      <c r="M63" s="40" t="s">
        <v>661</v>
      </c>
      <c r="N63" s="40" t="s">
        <v>660</v>
      </c>
      <c r="O63" s="40" t="s">
        <v>35</v>
      </c>
    </row>
    <row r="64" spans="1:15">
      <c r="A64" s="36">
        <v>9689</v>
      </c>
      <c r="B64" s="37" t="s">
        <v>676</v>
      </c>
      <c r="C64" s="38" t="s">
        <v>521</v>
      </c>
      <c r="D64" s="38" t="s">
        <v>677</v>
      </c>
      <c r="E64" s="39">
        <v>40297</v>
      </c>
      <c r="F64" s="39" t="s">
        <v>35</v>
      </c>
      <c r="G64" s="39" t="s">
        <v>35</v>
      </c>
      <c r="H64" s="38" t="s">
        <v>659</v>
      </c>
      <c r="I64" s="38" t="s">
        <v>660</v>
      </c>
      <c r="J64" s="38" t="s">
        <v>525</v>
      </c>
      <c r="K64" s="38" t="s">
        <v>525</v>
      </c>
      <c r="L64" s="40" t="s">
        <v>660</v>
      </c>
      <c r="M64" s="40" t="s">
        <v>661</v>
      </c>
      <c r="N64" s="40" t="s">
        <v>660</v>
      </c>
      <c r="O64" s="40" t="s">
        <v>35</v>
      </c>
    </row>
    <row r="65" spans="1:15">
      <c r="A65" s="36">
        <v>226</v>
      </c>
      <c r="B65" s="37" t="s">
        <v>678</v>
      </c>
      <c r="C65" s="38" t="s">
        <v>521</v>
      </c>
      <c r="D65" s="38" t="s">
        <v>679</v>
      </c>
      <c r="E65" s="39">
        <v>37697</v>
      </c>
      <c r="F65" s="39" t="s">
        <v>35</v>
      </c>
      <c r="G65" s="39" t="s">
        <v>35</v>
      </c>
      <c r="H65" s="38" t="s">
        <v>659</v>
      </c>
      <c r="I65" s="38" t="s">
        <v>660</v>
      </c>
      <c r="J65" s="38" t="s">
        <v>525</v>
      </c>
      <c r="K65" s="38" t="s">
        <v>525</v>
      </c>
      <c r="L65" s="40" t="s">
        <v>660</v>
      </c>
      <c r="M65" s="40" t="s">
        <v>661</v>
      </c>
      <c r="N65" s="40" t="s">
        <v>660</v>
      </c>
      <c r="O65" s="40" t="s">
        <v>35</v>
      </c>
    </row>
    <row r="66" spans="1:15">
      <c r="A66" s="36">
        <v>10248</v>
      </c>
      <c r="B66" s="37" t="s">
        <v>680</v>
      </c>
      <c r="C66" s="38" t="s">
        <v>521</v>
      </c>
      <c r="D66" s="38" t="s">
        <v>681</v>
      </c>
      <c r="E66" s="39">
        <v>40497</v>
      </c>
      <c r="F66" s="39" t="s">
        <v>35</v>
      </c>
      <c r="G66" s="39" t="s">
        <v>35</v>
      </c>
      <c r="H66" s="38" t="s">
        <v>659</v>
      </c>
      <c r="I66" s="38" t="s">
        <v>660</v>
      </c>
      <c r="J66" s="38" t="s">
        <v>525</v>
      </c>
      <c r="K66" s="38" t="s">
        <v>525</v>
      </c>
      <c r="L66" s="40" t="s">
        <v>660</v>
      </c>
      <c r="M66" s="40" t="s">
        <v>661</v>
      </c>
      <c r="N66" s="40" t="s">
        <v>660</v>
      </c>
      <c r="O66" s="40" t="s">
        <v>35</v>
      </c>
    </row>
    <row r="67" spans="1:15">
      <c r="A67" s="36">
        <v>10966</v>
      </c>
      <c r="B67" s="37" t="s">
        <v>682</v>
      </c>
      <c r="C67" s="38" t="s">
        <v>521</v>
      </c>
      <c r="D67" s="38" t="s">
        <v>670</v>
      </c>
      <c r="E67" s="39">
        <v>40578</v>
      </c>
      <c r="F67" s="39" t="s">
        <v>35</v>
      </c>
      <c r="G67" s="39" t="s">
        <v>35</v>
      </c>
      <c r="H67" s="38" t="s">
        <v>659</v>
      </c>
      <c r="I67" s="38" t="s">
        <v>660</v>
      </c>
      <c r="J67" s="38" t="s">
        <v>525</v>
      </c>
      <c r="K67" s="38" t="s">
        <v>525</v>
      </c>
      <c r="L67" s="40" t="s">
        <v>660</v>
      </c>
      <c r="M67" s="40" t="s">
        <v>661</v>
      </c>
      <c r="N67" s="40" t="s">
        <v>660</v>
      </c>
      <c r="O67" s="40" t="s">
        <v>35</v>
      </c>
    </row>
    <row r="68" spans="1:15">
      <c r="A68" s="36">
        <v>10586</v>
      </c>
      <c r="B68" s="37" t="s">
        <v>683</v>
      </c>
      <c r="C68" s="38" t="s">
        <v>521</v>
      </c>
      <c r="D68" s="38" t="s">
        <v>602</v>
      </c>
      <c r="E68" s="39">
        <v>40544</v>
      </c>
      <c r="F68" s="39" t="s">
        <v>35</v>
      </c>
      <c r="G68" s="39" t="s">
        <v>35</v>
      </c>
      <c r="H68" s="38" t="s">
        <v>659</v>
      </c>
      <c r="I68" s="38" t="s">
        <v>660</v>
      </c>
      <c r="J68" s="38" t="s">
        <v>525</v>
      </c>
      <c r="K68" s="38" t="s">
        <v>525</v>
      </c>
      <c r="L68" s="40" t="s">
        <v>660</v>
      </c>
      <c r="M68" s="40" t="s">
        <v>661</v>
      </c>
      <c r="N68" s="40" t="s">
        <v>660</v>
      </c>
      <c r="O68" s="40" t="s">
        <v>35</v>
      </c>
    </row>
    <row r="69" spans="1:15">
      <c r="A69" s="36" t="s">
        <v>684</v>
      </c>
      <c r="B69" s="37" t="s">
        <v>685</v>
      </c>
      <c r="C69" s="38" t="s">
        <v>521</v>
      </c>
      <c r="D69" s="38" t="s">
        <v>686</v>
      </c>
      <c r="E69" s="39">
        <v>40882</v>
      </c>
      <c r="F69" s="39" t="s">
        <v>35</v>
      </c>
      <c r="G69" s="39" t="s">
        <v>35</v>
      </c>
      <c r="H69" s="38" t="s">
        <v>659</v>
      </c>
      <c r="I69" s="38" t="s">
        <v>660</v>
      </c>
      <c r="J69" s="38" t="s">
        <v>525</v>
      </c>
      <c r="K69" s="38" t="s">
        <v>525</v>
      </c>
      <c r="L69" s="40" t="s">
        <v>660</v>
      </c>
      <c r="M69" s="40" t="s">
        <v>661</v>
      </c>
      <c r="N69" s="40" t="s">
        <v>660</v>
      </c>
      <c r="O69" s="40" t="s">
        <v>35</v>
      </c>
    </row>
    <row r="70" spans="1:15">
      <c r="A70" s="36">
        <v>12879</v>
      </c>
      <c r="B70" s="37" t="s">
        <v>687</v>
      </c>
      <c r="C70" s="38" t="s">
        <v>521</v>
      </c>
      <c r="D70" s="38" t="s">
        <v>688</v>
      </c>
      <c r="E70" s="39">
        <v>40833</v>
      </c>
      <c r="F70" s="39" t="s">
        <v>35</v>
      </c>
      <c r="G70" s="39" t="s">
        <v>35</v>
      </c>
      <c r="H70" s="38" t="s">
        <v>659</v>
      </c>
      <c r="I70" s="38" t="s">
        <v>660</v>
      </c>
      <c r="J70" s="38" t="s">
        <v>525</v>
      </c>
      <c r="K70" s="38" t="s">
        <v>525</v>
      </c>
      <c r="L70" s="40" t="s">
        <v>660</v>
      </c>
      <c r="M70" s="40" t="s">
        <v>661</v>
      </c>
      <c r="N70" s="40" t="s">
        <v>660</v>
      </c>
      <c r="O70" s="40" t="s">
        <v>35</v>
      </c>
    </row>
    <row r="71" spans="1:15">
      <c r="A71" s="36">
        <v>13287</v>
      </c>
      <c r="B71" s="37" t="s">
        <v>689</v>
      </c>
      <c r="C71" s="38" t="s">
        <v>521</v>
      </c>
      <c r="D71" s="38" t="s">
        <v>690</v>
      </c>
      <c r="E71" s="39">
        <v>40924</v>
      </c>
      <c r="F71" s="39" t="s">
        <v>35</v>
      </c>
      <c r="G71" s="39" t="s">
        <v>35</v>
      </c>
      <c r="H71" s="38" t="s">
        <v>659</v>
      </c>
      <c r="I71" s="38" t="s">
        <v>660</v>
      </c>
      <c r="J71" s="38" t="s">
        <v>525</v>
      </c>
      <c r="K71" s="38" t="s">
        <v>525</v>
      </c>
      <c r="L71" s="40" t="s">
        <v>660</v>
      </c>
      <c r="M71" s="40" t="s">
        <v>661</v>
      </c>
      <c r="N71" s="40" t="s">
        <v>660</v>
      </c>
      <c r="O71" s="40" t="s">
        <v>35</v>
      </c>
    </row>
    <row r="72" spans="1:15">
      <c r="A72" s="36">
        <v>8687</v>
      </c>
      <c r="B72" s="37" t="s">
        <v>691</v>
      </c>
      <c r="C72" s="38" t="s">
        <v>521</v>
      </c>
      <c r="D72" s="38" t="s">
        <v>692</v>
      </c>
      <c r="E72" s="39">
        <v>39888</v>
      </c>
      <c r="F72" s="39" t="s">
        <v>35</v>
      </c>
      <c r="G72" s="39" t="s">
        <v>35</v>
      </c>
      <c r="H72" s="38" t="s">
        <v>659</v>
      </c>
      <c r="I72" s="38" t="s">
        <v>660</v>
      </c>
      <c r="J72" s="38" t="s">
        <v>525</v>
      </c>
      <c r="K72" s="38" t="s">
        <v>525</v>
      </c>
      <c r="L72" s="40" t="s">
        <v>660</v>
      </c>
      <c r="M72" s="40" t="s">
        <v>661</v>
      </c>
      <c r="N72" s="40" t="s">
        <v>660</v>
      </c>
      <c r="O72" s="40" t="s">
        <v>35</v>
      </c>
    </row>
    <row r="73" spans="1:15">
      <c r="A73" s="36">
        <v>22330</v>
      </c>
      <c r="B73" s="37" t="s">
        <v>693</v>
      </c>
      <c r="C73" s="38" t="s">
        <v>521</v>
      </c>
      <c r="D73" s="38" t="s">
        <v>694</v>
      </c>
      <c r="E73" s="39">
        <v>43195</v>
      </c>
      <c r="F73" s="39">
        <v>43225</v>
      </c>
      <c r="G73" s="39">
        <v>43585</v>
      </c>
      <c r="H73" s="38" t="s">
        <v>659</v>
      </c>
      <c r="I73" s="38" t="s">
        <v>660</v>
      </c>
      <c r="J73" s="38" t="s">
        <v>525</v>
      </c>
      <c r="K73" s="38" t="s">
        <v>525</v>
      </c>
      <c r="L73" s="40" t="s">
        <v>660</v>
      </c>
      <c r="M73" s="40" t="s">
        <v>661</v>
      </c>
      <c r="N73" s="40" t="s">
        <v>660</v>
      </c>
      <c r="O73" s="40" t="s">
        <v>35</v>
      </c>
    </row>
    <row r="74" spans="1:15">
      <c r="A74" s="36">
        <v>6097</v>
      </c>
      <c r="B74" s="37" t="s">
        <v>695</v>
      </c>
      <c r="C74" s="38" t="s">
        <v>521</v>
      </c>
      <c r="D74" s="38" t="s">
        <v>591</v>
      </c>
      <c r="E74" s="39">
        <v>39142</v>
      </c>
      <c r="F74" s="39" t="s">
        <v>35</v>
      </c>
      <c r="G74" s="39" t="s">
        <v>35</v>
      </c>
      <c r="H74" s="38" t="s">
        <v>659</v>
      </c>
      <c r="I74" s="38" t="s">
        <v>660</v>
      </c>
      <c r="J74" s="38" t="s">
        <v>525</v>
      </c>
      <c r="K74" s="38" t="s">
        <v>525</v>
      </c>
      <c r="L74" s="40" t="s">
        <v>660</v>
      </c>
      <c r="M74" s="40" t="s">
        <v>661</v>
      </c>
      <c r="N74" s="40" t="s">
        <v>660</v>
      </c>
      <c r="O74" s="40" t="s">
        <v>35</v>
      </c>
    </row>
    <row r="75" spans="1:15">
      <c r="A75" s="36">
        <v>7780</v>
      </c>
      <c r="B75" s="37" t="s">
        <v>696</v>
      </c>
      <c r="C75" s="38" t="s">
        <v>521</v>
      </c>
      <c r="D75" s="38" t="s">
        <v>697</v>
      </c>
      <c r="E75" s="39">
        <v>39630</v>
      </c>
      <c r="F75" s="39" t="s">
        <v>35</v>
      </c>
      <c r="G75" s="39" t="s">
        <v>35</v>
      </c>
      <c r="H75" s="38" t="s">
        <v>659</v>
      </c>
      <c r="I75" s="38" t="s">
        <v>660</v>
      </c>
      <c r="J75" s="38" t="s">
        <v>525</v>
      </c>
      <c r="K75" s="38" t="s">
        <v>525</v>
      </c>
      <c r="L75" s="40" t="s">
        <v>660</v>
      </c>
      <c r="M75" s="40" t="s">
        <v>661</v>
      </c>
      <c r="N75" s="40" t="s">
        <v>660</v>
      </c>
      <c r="O75" s="40" t="s">
        <v>35</v>
      </c>
    </row>
    <row r="76" spans="1:15">
      <c r="A76" s="36">
        <v>11964</v>
      </c>
      <c r="B76" s="37" t="s">
        <v>698</v>
      </c>
      <c r="C76" s="38" t="s">
        <v>521</v>
      </c>
      <c r="D76" s="38" t="s">
        <v>699</v>
      </c>
      <c r="E76" s="39">
        <v>40770</v>
      </c>
      <c r="F76" s="39" t="s">
        <v>35</v>
      </c>
      <c r="G76" s="39" t="s">
        <v>35</v>
      </c>
      <c r="H76" s="38" t="s">
        <v>659</v>
      </c>
      <c r="I76" s="38" t="s">
        <v>660</v>
      </c>
      <c r="J76" s="38" t="s">
        <v>525</v>
      </c>
      <c r="K76" s="38" t="s">
        <v>525</v>
      </c>
      <c r="L76" s="40" t="s">
        <v>660</v>
      </c>
      <c r="M76" s="40" t="s">
        <v>661</v>
      </c>
      <c r="N76" s="40" t="s">
        <v>660</v>
      </c>
      <c r="O76" s="40" t="s">
        <v>35</v>
      </c>
    </row>
    <row r="77" spans="1:15">
      <c r="A77" s="36">
        <v>11911</v>
      </c>
      <c r="B77" s="37" t="s">
        <v>700</v>
      </c>
      <c r="C77" s="38" t="s">
        <v>521</v>
      </c>
      <c r="D77" s="38" t="s">
        <v>701</v>
      </c>
      <c r="E77" s="39">
        <v>40735</v>
      </c>
      <c r="F77" s="39" t="s">
        <v>35</v>
      </c>
      <c r="G77" s="39" t="s">
        <v>35</v>
      </c>
      <c r="H77" s="38" t="s">
        <v>659</v>
      </c>
      <c r="I77" s="38" t="s">
        <v>660</v>
      </c>
      <c r="J77" s="38" t="s">
        <v>525</v>
      </c>
      <c r="K77" s="38" t="s">
        <v>525</v>
      </c>
      <c r="L77" s="40" t="s">
        <v>660</v>
      </c>
      <c r="M77" s="40" t="s">
        <v>661</v>
      </c>
      <c r="N77" s="40" t="s">
        <v>660</v>
      </c>
      <c r="O77" s="40" t="s">
        <v>35</v>
      </c>
    </row>
    <row r="78" spans="1:15">
      <c r="A78" s="36">
        <v>360</v>
      </c>
      <c r="B78" s="37" t="s">
        <v>702</v>
      </c>
      <c r="C78" s="38" t="s">
        <v>521</v>
      </c>
      <c r="D78" s="38" t="s">
        <v>703</v>
      </c>
      <c r="E78" s="39">
        <v>37732</v>
      </c>
      <c r="F78" s="39" t="s">
        <v>35</v>
      </c>
      <c r="G78" s="39" t="s">
        <v>35</v>
      </c>
      <c r="H78" s="38" t="s">
        <v>659</v>
      </c>
      <c r="I78" s="38" t="s">
        <v>660</v>
      </c>
      <c r="J78" s="38" t="s">
        <v>525</v>
      </c>
      <c r="K78" s="38" t="s">
        <v>525</v>
      </c>
      <c r="L78" s="40" t="s">
        <v>660</v>
      </c>
      <c r="M78" s="40" t="s">
        <v>661</v>
      </c>
      <c r="N78" s="40" t="s">
        <v>660</v>
      </c>
      <c r="O78" s="40" t="s">
        <v>35</v>
      </c>
    </row>
    <row r="79" spans="1:15">
      <c r="A79" s="36">
        <v>315</v>
      </c>
      <c r="B79" s="37" t="s">
        <v>704</v>
      </c>
      <c r="C79" s="38" t="s">
        <v>521</v>
      </c>
      <c r="D79" s="38" t="s">
        <v>705</v>
      </c>
      <c r="E79" s="39">
        <v>37725</v>
      </c>
      <c r="F79" s="39" t="s">
        <v>35</v>
      </c>
      <c r="G79" s="39" t="s">
        <v>35</v>
      </c>
      <c r="H79" s="38" t="s">
        <v>659</v>
      </c>
      <c r="I79" s="38" t="s">
        <v>660</v>
      </c>
      <c r="J79" s="38" t="s">
        <v>525</v>
      </c>
      <c r="K79" s="38" t="s">
        <v>525</v>
      </c>
      <c r="L79" s="40" t="s">
        <v>660</v>
      </c>
      <c r="M79" s="40" t="s">
        <v>661</v>
      </c>
      <c r="N79" s="40" t="s">
        <v>660</v>
      </c>
      <c r="O79" s="40" t="s">
        <v>35</v>
      </c>
    </row>
    <row r="80" spans="1:15">
      <c r="A80" s="36">
        <v>16111</v>
      </c>
      <c r="B80" s="37" t="s">
        <v>706</v>
      </c>
      <c r="C80" s="38" t="s">
        <v>521</v>
      </c>
      <c r="D80" s="38" t="s">
        <v>707</v>
      </c>
      <c r="E80" s="39">
        <v>41586</v>
      </c>
      <c r="F80" s="39" t="s">
        <v>35</v>
      </c>
      <c r="G80" s="39" t="s">
        <v>35</v>
      </c>
      <c r="H80" s="38" t="s">
        <v>659</v>
      </c>
      <c r="I80" s="38" t="s">
        <v>660</v>
      </c>
      <c r="J80" s="38" t="s">
        <v>525</v>
      </c>
      <c r="K80" s="38" t="s">
        <v>525</v>
      </c>
      <c r="L80" s="40" t="s">
        <v>660</v>
      </c>
      <c r="M80" s="40" t="s">
        <v>661</v>
      </c>
      <c r="N80" s="40" t="s">
        <v>660</v>
      </c>
      <c r="O80" s="40" t="s">
        <v>35</v>
      </c>
    </row>
    <row r="81" spans="1:15">
      <c r="A81" s="36">
        <v>1007</v>
      </c>
      <c r="B81" s="37" t="s">
        <v>708</v>
      </c>
      <c r="C81" s="38" t="s">
        <v>521</v>
      </c>
      <c r="D81" s="38" t="s">
        <v>709</v>
      </c>
      <c r="E81" s="39">
        <v>37872</v>
      </c>
      <c r="F81" s="39" t="s">
        <v>35</v>
      </c>
      <c r="G81" s="39" t="s">
        <v>35</v>
      </c>
      <c r="H81" s="38" t="s">
        <v>659</v>
      </c>
      <c r="I81" s="38" t="s">
        <v>660</v>
      </c>
      <c r="J81" s="38" t="s">
        <v>525</v>
      </c>
      <c r="K81" s="38" t="s">
        <v>525</v>
      </c>
      <c r="L81" s="40" t="s">
        <v>660</v>
      </c>
      <c r="M81" s="40" t="s">
        <v>661</v>
      </c>
      <c r="N81" s="40" t="s">
        <v>660</v>
      </c>
      <c r="O81" s="40" t="s">
        <v>35</v>
      </c>
    </row>
    <row r="82" spans="1:15">
      <c r="A82" s="36">
        <v>11406</v>
      </c>
      <c r="B82" s="37" t="s">
        <v>710</v>
      </c>
      <c r="C82" s="38" t="s">
        <v>521</v>
      </c>
      <c r="D82" s="38" t="s">
        <v>711</v>
      </c>
      <c r="E82" s="39">
        <v>40701</v>
      </c>
      <c r="F82" s="39" t="s">
        <v>35</v>
      </c>
      <c r="G82" s="39" t="s">
        <v>35</v>
      </c>
      <c r="H82" s="38" t="s">
        <v>659</v>
      </c>
      <c r="I82" s="38" t="s">
        <v>660</v>
      </c>
      <c r="J82" s="38" t="s">
        <v>525</v>
      </c>
      <c r="K82" s="38" t="s">
        <v>525</v>
      </c>
      <c r="L82" s="40" t="s">
        <v>660</v>
      </c>
      <c r="M82" s="40" t="s">
        <v>661</v>
      </c>
      <c r="N82" s="40" t="s">
        <v>660</v>
      </c>
      <c r="O82" s="40" t="s">
        <v>35</v>
      </c>
    </row>
    <row r="83" spans="1:15">
      <c r="A83" s="36">
        <v>5933</v>
      </c>
      <c r="B83" s="37" t="s">
        <v>712</v>
      </c>
      <c r="C83" s="38" t="s">
        <v>521</v>
      </c>
      <c r="D83" s="38" t="s">
        <v>713</v>
      </c>
      <c r="E83" s="39">
        <v>39129</v>
      </c>
      <c r="F83" s="39" t="s">
        <v>35</v>
      </c>
      <c r="G83" s="39" t="s">
        <v>35</v>
      </c>
      <c r="H83" s="38" t="s">
        <v>659</v>
      </c>
      <c r="I83" s="38" t="s">
        <v>660</v>
      </c>
      <c r="J83" s="38" t="s">
        <v>525</v>
      </c>
      <c r="K83" s="38" t="s">
        <v>525</v>
      </c>
      <c r="L83" s="40" t="s">
        <v>660</v>
      </c>
      <c r="M83" s="40" t="s">
        <v>661</v>
      </c>
      <c r="N83" s="40" t="s">
        <v>660</v>
      </c>
      <c r="O83" s="40" t="s">
        <v>35</v>
      </c>
    </row>
    <row r="84" spans="1:15">
      <c r="A84" s="36">
        <v>8991</v>
      </c>
      <c r="B84" s="37" t="s">
        <v>714</v>
      </c>
      <c r="C84" s="38" t="s">
        <v>521</v>
      </c>
      <c r="D84" s="38" t="s">
        <v>715</v>
      </c>
      <c r="E84" s="39">
        <v>39975</v>
      </c>
      <c r="F84" s="39" t="s">
        <v>35</v>
      </c>
      <c r="G84" s="39" t="s">
        <v>35</v>
      </c>
      <c r="H84" s="38" t="s">
        <v>659</v>
      </c>
      <c r="I84" s="38" t="s">
        <v>660</v>
      </c>
      <c r="J84" s="38" t="s">
        <v>525</v>
      </c>
      <c r="K84" s="38" t="s">
        <v>525</v>
      </c>
      <c r="L84" s="40" t="s">
        <v>660</v>
      </c>
      <c r="M84" s="40" t="s">
        <v>661</v>
      </c>
      <c r="N84" s="40" t="s">
        <v>660</v>
      </c>
      <c r="O84" s="40" t="s">
        <v>35</v>
      </c>
    </row>
    <row r="85" spans="1:15">
      <c r="A85" s="36">
        <v>12986</v>
      </c>
      <c r="B85" s="37" t="s">
        <v>716</v>
      </c>
      <c r="C85" s="38" t="s">
        <v>521</v>
      </c>
      <c r="D85" s="38" t="s">
        <v>717</v>
      </c>
      <c r="E85" s="39">
        <v>40840</v>
      </c>
      <c r="F85" s="39" t="s">
        <v>35</v>
      </c>
      <c r="G85" s="39" t="s">
        <v>35</v>
      </c>
      <c r="H85" s="38" t="s">
        <v>659</v>
      </c>
      <c r="I85" s="38" t="s">
        <v>660</v>
      </c>
      <c r="J85" s="38" t="s">
        <v>525</v>
      </c>
      <c r="K85" s="38" t="s">
        <v>525</v>
      </c>
      <c r="L85" s="40" t="s">
        <v>660</v>
      </c>
      <c r="M85" s="40" t="s">
        <v>661</v>
      </c>
      <c r="N85" s="40" t="s">
        <v>660</v>
      </c>
      <c r="O85" s="40" t="s">
        <v>35</v>
      </c>
    </row>
    <row r="86" spans="1:15">
      <c r="A86" s="36">
        <v>568</v>
      </c>
      <c r="B86" s="37" t="s">
        <v>718</v>
      </c>
      <c r="C86" s="38" t="s">
        <v>521</v>
      </c>
      <c r="D86" s="38" t="s">
        <v>589</v>
      </c>
      <c r="E86" s="39">
        <v>37774</v>
      </c>
      <c r="F86" s="39" t="s">
        <v>35</v>
      </c>
      <c r="G86" s="39" t="s">
        <v>35</v>
      </c>
      <c r="H86" s="38" t="s">
        <v>659</v>
      </c>
      <c r="I86" s="38" t="s">
        <v>660</v>
      </c>
      <c r="J86" s="38" t="s">
        <v>525</v>
      </c>
      <c r="K86" s="38" t="s">
        <v>525</v>
      </c>
      <c r="L86" s="40" t="s">
        <v>660</v>
      </c>
      <c r="M86" s="40" t="s">
        <v>661</v>
      </c>
      <c r="N86" s="40" t="s">
        <v>660</v>
      </c>
      <c r="O86" s="40" t="s">
        <v>35</v>
      </c>
    </row>
    <row r="87" spans="1:15">
      <c r="A87" s="36">
        <v>6086</v>
      </c>
      <c r="B87" s="37" t="s">
        <v>719</v>
      </c>
      <c r="C87" s="38" t="s">
        <v>521</v>
      </c>
      <c r="D87" s="38" t="s">
        <v>591</v>
      </c>
      <c r="E87" s="39">
        <v>39142</v>
      </c>
      <c r="F87" s="39" t="s">
        <v>35</v>
      </c>
      <c r="G87" s="39" t="s">
        <v>35</v>
      </c>
      <c r="H87" s="38" t="s">
        <v>659</v>
      </c>
      <c r="I87" s="38" t="s">
        <v>660</v>
      </c>
      <c r="J87" s="38" t="s">
        <v>525</v>
      </c>
      <c r="K87" s="38" t="s">
        <v>525</v>
      </c>
      <c r="L87" s="40" t="s">
        <v>660</v>
      </c>
      <c r="M87" s="40" t="s">
        <v>661</v>
      </c>
      <c r="N87" s="40" t="s">
        <v>660</v>
      </c>
      <c r="O87" s="40" t="s">
        <v>35</v>
      </c>
    </row>
    <row r="88" spans="1:15">
      <c r="A88" s="36">
        <v>9558</v>
      </c>
      <c r="B88" s="37" t="s">
        <v>720</v>
      </c>
      <c r="C88" s="38" t="s">
        <v>521</v>
      </c>
      <c r="D88" s="38" t="s">
        <v>658</v>
      </c>
      <c r="E88" s="39">
        <v>40154</v>
      </c>
      <c r="F88" s="39" t="s">
        <v>35</v>
      </c>
      <c r="G88" s="39" t="s">
        <v>35</v>
      </c>
      <c r="H88" s="38" t="s">
        <v>659</v>
      </c>
      <c r="I88" s="38" t="s">
        <v>660</v>
      </c>
      <c r="J88" s="38" t="s">
        <v>525</v>
      </c>
      <c r="K88" s="38" t="s">
        <v>525</v>
      </c>
      <c r="L88" s="40" t="s">
        <v>660</v>
      </c>
      <c r="M88" s="40" t="s">
        <v>661</v>
      </c>
      <c r="N88" s="40" t="s">
        <v>660</v>
      </c>
      <c r="O88" s="40" t="s">
        <v>35</v>
      </c>
    </row>
    <row r="89" spans="1:15">
      <c r="A89" s="36">
        <v>12530</v>
      </c>
      <c r="B89" s="37" t="s">
        <v>721</v>
      </c>
      <c r="C89" s="38" t="s">
        <v>521</v>
      </c>
      <c r="D89" s="38" t="s">
        <v>722</v>
      </c>
      <c r="E89" s="39">
        <v>40812</v>
      </c>
      <c r="F89" s="39" t="s">
        <v>35</v>
      </c>
      <c r="G89" s="39" t="s">
        <v>35</v>
      </c>
      <c r="H89" s="38" t="s">
        <v>659</v>
      </c>
      <c r="I89" s="38" t="s">
        <v>660</v>
      </c>
      <c r="J89" s="38" t="s">
        <v>525</v>
      </c>
      <c r="K89" s="38" t="s">
        <v>525</v>
      </c>
      <c r="L89" s="40" t="s">
        <v>660</v>
      </c>
      <c r="M89" s="40" t="s">
        <v>661</v>
      </c>
      <c r="N89" s="40" t="s">
        <v>660</v>
      </c>
      <c r="O89" s="40" t="s">
        <v>35</v>
      </c>
    </row>
    <row r="90" spans="1:15">
      <c r="A90" s="36">
        <v>12394</v>
      </c>
      <c r="B90" s="37" t="s">
        <v>723</v>
      </c>
      <c r="C90" s="38" t="s">
        <v>521</v>
      </c>
      <c r="D90" s="38" t="s">
        <v>724</v>
      </c>
      <c r="E90" s="39">
        <v>40809</v>
      </c>
      <c r="F90" s="39" t="s">
        <v>35</v>
      </c>
      <c r="G90" s="39" t="s">
        <v>35</v>
      </c>
      <c r="H90" s="38" t="s">
        <v>659</v>
      </c>
      <c r="I90" s="38" t="s">
        <v>660</v>
      </c>
      <c r="J90" s="38" t="s">
        <v>525</v>
      </c>
      <c r="K90" s="38" t="s">
        <v>525</v>
      </c>
      <c r="L90" s="40" t="s">
        <v>660</v>
      </c>
      <c r="M90" s="40" t="s">
        <v>661</v>
      </c>
      <c r="N90" s="40" t="s">
        <v>660</v>
      </c>
      <c r="O90" s="40" t="s">
        <v>35</v>
      </c>
    </row>
    <row r="91" spans="1:15">
      <c r="A91" s="36">
        <v>6106</v>
      </c>
      <c r="B91" s="37" t="s">
        <v>725</v>
      </c>
      <c r="C91" s="38" t="s">
        <v>521</v>
      </c>
      <c r="D91" s="38" t="s">
        <v>591</v>
      </c>
      <c r="E91" s="39">
        <v>39142</v>
      </c>
      <c r="F91" s="39" t="s">
        <v>35</v>
      </c>
      <c r="G91" s="39" t="s">
        <v>35</v>
      </c>
      <c r="H91" s="38" t="s">
        <v>659</v>
      </c>
      <c r="I91" s="38" t="s">
        <v>660</v>
      </c>
      <c r="J91" s="38" t="s">
        <v>525</v>
      </c>
      <c r="K91" s="38" t="s">
        <v>525</v>
      </c>
      <c r="L91" s="40" t="s">
        <v>660</v>
      </c>
      <c r="M91" s="40" t="s">
        <v>661</v>
      </c>
      <c r="N91" s="40" t="s">
        <v>660</v>
      </c>
      <c r="O91" s="40" t="s">
        <v>35</v>
      </c>
    </row>
    <row r="92" spans="1:15">
      <c r="A92" s="36">
        <v>13206</v>
      </c>
      <c r="B92" s="37" t="s">
        <v>726</v>
      </c>
      <c r="C92" s="38" t="s">
        <v>521</v>
      </c>
      <c r="D92" s="38" t="s">
        <v>727</v>
      </c>
      <c r="E92" s="39">
        <v>40910</v>
      </c>
      <c r="F92" s="39" t="s">
        <v>35</v>
      </c>
      <c r="G92" s="39" t="s">
        <v>35</v>
      </c>
      <c r="H92" s="38" t="s">
        <v>659</v>
      </c>
      <c r="I92" s="38" t="s">
        <v>660</v>
      </c>
      <c r="J92" s="38" t="s">
        <v>525</v>
      </c>
      <c r="K92" s="38" t="s">
        <v>525</v>
      </c>
      <c r="L92" s="40" t="s">
        <v>660</v>
      </c>
      <c r="M92" s="40" t="s">
        <v>661</v>
      </c>
      <c r="N92" s="40" t="s">
        <v>660</v>
      </c>
      <c r="O92" s="40" t="s">
        <v>35</v>
      </c>
    </row>
    <row r="93" spans="1:15">
      <c r="A93" s="36">
        <v>6156</v>
      </c>
      <c r="B93" s="37" t="s">
        <v>728</v>
      </c>
      <c r="C93" s="38" t="s">
        <v>521</v>
      </c>
      <c r="D93" s="38" t="s">
        <v>576</v>
      </c>
      <c r="E93" s="39">
        <v>39157</v>
      </c>
      <c r="F93" s="39" t="s">
        <v>35</v>
      </c>
      <c r="G93" s="39" t="s">
        <v>35</v>
      </c>
      <c r="H93" s="38" t="s">
        <v>659</v>
      </c>
      <c r="I93" s="38" t="s">
        <v>660</v>
      </c>
      <c r="J93" s="38" t="s">
        <v>525</v>
      </c>
      <c r="K93" s="38" t="s">
        <v>525</v>
      </c>
      <c r="L93" s="40" t="s">
        <v>660</v>
      </c>
      <c r="M93" s="40" t="s">
        <v>661</v>
      </c>
      <c r="N93" s="40" t="s">
        <v>660</v>
      </c>
      <c r="O93" s="40" t="s">
        <v>35</v>
      </c>
    </row>
    <row r="94" spans="1:15">
      <c r="A94" s="36">
        <v>10762</v>
      </c>
      <c r="B94" s="37" t="s">
        <v>729</v>
      </c>
      <c r="C94" s="38" t="s">
        <v>521</v>
      </c>
      <c r="D94" s="38" t="s">
        <v>730</v>
      </c>
      <c r="E94" s="39">
        <v>40566</v>
      </c>
      <c r="F94" s="39" t="s">
        <v>35</v>
      </c>
      <c r="G94" s="39" t="s">
        <v>35</v>
      </c>
      <c r="H94" s="38" t="s">
        <v>659</v>
      </c>
      <c r="I94" s="38" t="s">
        <v>660</v>
      </c>
      <c r="J94" s="38" t="s">
        <v>525</v>
      </c>
      <c r="K94" s="38" t="s">
        <v>525</v>
      </c>
      <c r="L94" s="40" t="s">
        <v>660</v>
      </c>
      <c r="M94" s="40" t="s">
        <v>661</v>
      </c>
      <c r="N94" s="40" t="s">
        <v>660</v>
      </c>
      <c r="O94" s="40" t="s">
        <v>35</v>
      </c>
    </row>
    <row r="95" spans="1:15">
      <c r="A95" s="36">
        <v>21827</v>
      </c>
      <c r="B95" s="37" t="s">
        <v>731</v>
      </c>
      <c r="C95" s="38" t="s">
        <v>521</v>
      </c>
      <c r="D95" s="38" t="s">
        <v>732</v>
      </c>
      <c r="E95" s="39">
        <v>43098</v>
      </c>
      <c r="F95" s="39">
        <v>43129</v>
      </c>
      <c r="G95" s="39">
        <v>43496</v>
      </c>
      <c r="H95" s="38" t="s">
        <v>659</v>
      </c>
      <c r="I95" s="38" t="s">
        <v>660</v>
      </c>
      <c r="J95" s="38" t="s">
        <v>525</v>
      </c>
      <c r="K95" s="38" t="s">
        <v>525</v>
      </c>
      <c r="L95" s="40" t="s">
        <v>660</v>
      </c>
      <c r="M95" s="40" t="s">
        <v>661</v>
      </c>
      <c r="N95" s="40" t="s">
        <v>660</v>
      </c>
      <c r="O95" s="40" t="s">
        <v>35</v>
      </c>
    </row>
    <row r="96" spans="1:15">
      <c r="A96" s="36">
        <v>11729</v>
      </c>
      <c r="B96" s="37" t="s">
        <v>733</v>
      </c>
      <c r="C96" s="38" t="s">
        <v>521</v>
      </c>
      <c r="D96" s="38" t="s">
        <v>675</v>
      </c>
      <c r="E96" s="39">
        <v>40714</v>
      </c>
      <c r="F96" s="39" t="s">
        <v>35</v>
      </c>
      <c r="G96" s="39" t="s">
        <v>35</v>
      </c>
      <c r="H96" s="38" t="s">
        <v>659</v>
      </c>
      <c r="I96" s="38" t="s">
        <v>660</v>
      </c>
      <c r="J96" s="38" t="s">
        <v>525</v>
      </c>
      <c r="K96" s="38" t="s">
        <v>525</v>
      </c>
      <c r="L96" s="40" t="s">
        <v>660</v>
      </c>
      <c r="M96" s="40" t="s">
        <v>661</v>
      </c>
      <c r="N96" s="40" t="s">
        <v>660</v>
      </c>
      <c r="O96" s="40" t="s">
        <v>35</v>
      </c>
    </row>
    <row r="97" spans="1:15">
      <c r="A97" s="36">
        <v>9157</v>
      </c>
      <c r="B97" s="37" t="s">
        <v>107</v>
      </c>
      <c r="C97" s="38" t="s">
        <v>521</v>
      </c>
      <c r="D97" s="38" t="s">
        <v>653</v>
      </c>
      <c r="E97" s="39">
        <v>40000</v>
      </c>
      <c r="F97" s="39" t="s">
        <v>35</v>
      </c>
      <c r="G97" s="39" t="s">
        <v>35</v>
      </c>
      <c r="H97" s="38" t="s">
        <v>659</v>
      </c>
      <c r="I97" s="38" t="s">
        <v>660</v>
      </c>
      <c r="J97" s="38" t="s">
        <v>525</v>
      </c>
      <c r="K97" s="38" t="s">
        <v>525</v>
      </c>
      <c r="L97" s="40" t="s">
        <v>660</v>
      </c>
      <c r="M97" s="40" t="s">
        <v>661</v>
      </c>
      <c r="N97" s="40" t="s">
        <v>660</v>
      </c>
      <c r="O97" s="40" t="s">
        <v>35</v>
      </c>
    </row>
    <row r="98" spans="1:15">
      <c r="A98" s="36">
        <v>815</v>
      </c>
      <c r="B98" s="37" t="s">
        <v>129</v>
      </c>
      <c r="C98" s="38" t="s">
        <v>521</v>
      </c>
      <c r="D98" s="38" t="s">
        <v>734</v>
      </c>
      <c r="E98" s="39">
        <v>37837</v>
      </c>
      <c r="F98" s="39" t="s">
        <v>35</v>
      </c>
      <c r="G98" s="39" t="s">
        <v>35</v>
      </c>
      <c r="H98" s="38" t="s">
        <v>659</v>
      </c>
      <c r="I98" s="38" t="s">
        <v>660</v>
      </c>
      <c r="J98" s="38" t="s">
        <v>525</v>
      </c>
      <c r="K98" s="38" t="s">
        <v>525</v>
      </c>
      <c r="L98" s="40" t="s">
        <v>660</v>
      </c>
      <c r="M98" s="40" t="s">
        <v>661</v>
      </c>
      <c r="N98" s="40" t="s">
        <v>660</v>
      </c>
      <c r="O98" s="40" t="s">
        <v>35</v>
      </c>
    </row>
    <row r="99" spans="1:15">
      <c r="A99" s="36">
        <v>10234</v>
      </c>
      <c r="B99" s="37" t="s">
        <v>735</v>
      </c>
      <c r="C99" s="38" t="s">
        <v>521</v>
      </c>
      <c r="D99" s="38" t="s">
        <v>736</v>
      </c>
      <c r="E99" s="39">
        <v>40489</v>
      </c>
      <c r="F99" s="39" t="s">
        <v>35</v>
      </c>
      <c r="G99" s="39" t="s">
        <v>35</v>
      </c>
      <c r="H99" s="38" t="s">
        <v>659</v>
      </c>
      <c r="I99" s="38" t="s">
        <v>660</v>
      </c>
      <c r="J99" s="38" t="s">
        <v>525</v>
      </c>
      <c r="K99" s="38" t="s">
        <v>525</v>
      </c>
      <c r="L99" s="40" t="s">
        <v>660</v>
      </c>
      <c r="M99" s="40" t="s">
        <v>661</v>
      </c>
      <c r="N99" s="40" t="s">
        <v>660</v>
      </c>
      <c r="O99" s="40" t="s">
        <v>35</v>
      </c>
    </row>
    <row r="100" spans="1:15">
      <c r="A100" s="36">
        <v>10519</v>
      </c>
      <c r="B100" s="37" t="s">
        <v>737</v>
      </c>
      <c r="C100" s="38" t="s">
        <v>521</v>
      </c>
      <c r="D100" s="38" t="s">
        <v>738</v>
      </c>
      <c r="E100" s="39">
        <v>40535</v>
      </c>
      <c r="F100" s="39" t="s">
        <v>35</v>
      </c>
      <c r="G100" s="39" t="s">
        <v>35</v>
      </c>
      <c r="H100" s="38" t="s">
        <v>659</v>
      </c>
      <c r="I100" s="38" t="s">
        <v>660</v>
      </c>
      <c r="J100" s="38" t="s">
        <v>525</v>
      </c>
      <c r="K100" s="38" t="s">
        <v>525</v>
      </c>
      <c r="L100" s="40" t="s">
        <v>660</v>
      </c>
      <c r="M100" s="40" t="s">
        <v>661</v>
      </c>
      <c r="N100" s="40" t="s">
        <v>660</v>
      </c>
      <c r="O100" s="40" t="s">
        <v>35</v>
      </c>
    </row>
    <row r="101" spans="1:15">
      <c r="A101" s="41">
        <v>21932</v>
      </c>
      <c r="B101" s="42" t="s">
        <v>739</v>
      </c>
      <c r="C101" s="43" t="s">
        <v>521</v>
      </c>
      <c r="D101" s="43" t="s">
        <v>740</v>
      </c>
      <c r="E101" s="44">
        <v>43111</v>
      </c>
      <c r="F101" s="44">
        <v>43142</v>
      </c>
      <c r="G101" s="44">
        <v>43496</v>
      </c>
      <c r="H101" s="45" t="s">
        <v>659</v>
      </c>
      <c r="I101" s="45" t="s">
        <v>741</v>
      </c>
      <c r="J101" s="45" t="s">
        <v>525</v>
      </c>
      <c r="K101" s="45" t="s">
        <v>525</v>
      </c>
      <c r="L101" s="45" t="s">
        <v>742</v>
      </c>
      <c r="M101" s="45" t="s">
        <v>741</v>
      </c>
      <c r="N101" s="45" t="s">
        <v>743</v>
      </c>
      <c r="O101" s="43" t="s">
        <v>528</v>
      </c>
    </row>
    <row r="102" spans="1:15">
      <c r="A102" s="41">
        <v>22603</v>
      </c>
      <c r="B102" s="42" t="s">
        <v>744</v>
      </c>
      <c r="C102" s="43" t="s">
        <v>521</v>
      </c>
      <c r="D102" s="43" t="s">
        <v>745</v>
      </c>
      <c r="E102" s="44">
        <v>43236</v>
      </c>
      <c r="F102" s="44">
        <v>43267</v>
      </c>
      <c r="G102" s="44">
        <v>43646</v>
      </c>
      <c r="H102" s="45" t="s">
        <v>659</v>
      </c>
      <c r="I102" s="45" t="s">
        <v>741</v>
      </c>
      <c r="J102" s="45" t="s">
        <v>525</v>
      </c>
      <c r="K102" s="45" t="s">
        <v>525</v>
      </c>
      <c r="L102" s="45" t="s">
        <v>742</v>
      </c>
      <c r="M102" s="45" t="s">
        <v>741</v>
      </c>
      <c r="N102" s="45" t="s">
        <v>743</v>
      </c>
      <c r="O102" s="43" t="s">
        <v>528</v>
      </c>
    </row>
    <row r="103" spans="1:15">
      <c r="A103" s="41">
        <v>8799</v>
      </c>
      <c r="B103" s="42" t="s">
        <v>746</v>
      </c>
      <c r="C103" s="43" t="s">
        <v>521</v>
      </c>
      <c r="D103" s="43" t="s">
        <v>747</v>
      </c>
      <c r="E103" s="44">
        <v>39931</v>
      </c>
      <c r="F103" s="44" t="s">
        <v>35</v>
      </c>
      <c r="G103" s="44" t="s">
        <v>35</v>
      </c>
      <c r="H103" s="45" t="s">
        <v>659</v>
      </c>
      <c r="I103" s="45" t="s">
        <v>741</v>
      </c>
      <c r="J103" s="45" t="s">
        <v>525</v>
      </c>
      <c r="K103" s="45" t="s">
        <v>525</v>
      </c>
      <c r="L103" s="45" t="s">
        <v>742</v>
      </c>
      <c r="M103" s="45" t="s">
        <v>741</v>
      </c>
      <c r="N103" s="45" t="s">
        <v>743</v>
      </c>
      <c r="O103" s="43" t="s">
        <v>528</v>
      </c>
    </row>
    <row r="104" spans="1:15">
      <c r="A104" s="41">
        <v>9162</v>
      </c>
      <c r="B104" s="42" t="s">
        <v>748</v>
      </c>
      <c r="C104" s="43" t="s">
        <v>521</v>
      </c>
      <c r="D104" s="43" t="s">
        <v>653</v>
      </c>
      <c r="E104" s="44">
        <v>40000</v>
      </c>
      <c r="F104" s="44" t="s">
        <v>35</v>
      </c>
      <c r="G104" s="44" t="s">
        <v>35</v>
      </c>
      <c r="H104" s="45" t="s">
        <v>659</v>
      </c>
      <c r="I104" s="45" t="s">
        <v>741</v>
      </c>
      <c r="J104" s="45" t="s">
        <v>525</v>
      </c>
      <c r="K104" s="45" t="s">
        <v>525</v>
      </c>
      <c r="L104" s="45" t="s">
        <v>742</v>
      </c>
      <c r="M104" s="45" t="s">
        <v>741</v>
      </c>
      <c r="N104" s="45" t="s">
        <v>743</v>
      </c>
      <c r="O104" s="43" t="s">
        <v>528</v>
      </c>
    </row>
    <row r="105" spans="1:15">
      <c r="A105" s="41">
        <v>10265</v>
      </c>
      <c r="B105" s="42" t="s">
        <v>172</v>
      </c>
      <c r="C105" s="43" t="s">
        <v>521</v>
      </c>
      <c r="D105" s="43" t="s">
        <v>681</v>
      </c>
      <c r="E105" s="44">
        <v>40497</v>
      </c>
      <c r="F105" s="44" t="s">
        <v>35</v>
      </c>
      <c r="G105" s="44" t="s">
        <v>35</v>
      </c>
      <c r="H105" s="45" t="s">
        <v>659</v>
      </c>
      <c r="I105" s="45" t="s">
        <v>741</v>
      </c>
      <c r="J105" s="45" t="s">
        <v>525</v>
      </c>
      <c r="K105" s="45" t="s">
        <v>525</v>
      </c>
      <c r="L105" s="45" t="s">
        <v>742</v>
      </c>
      <c r="M105" s="45" t="s">
        <v>741</v>
      </c>
      <c r="N105" s="45" t="s">
        <v>743</v>
      </c>
      <c r="O105" s="43" t="s">
        <v>528</v>
      </c>
    </row>
    <row r="106" spans="1:15">
      <c r="A106" s="41">
        <v>12227</v>
      </c>
      <c r="B106" s="42" t="s">
        <v>749</v>
      </c>
      <c r="C106" s="43" t="s">
        <v>521</v>
      </c>
      <c r="D106" s="43" t="s">
        <v>750</v>
      </c>
      <c r="E106" s="44">
        <v>40802</v>
      </c>
      <c r="F106" s="44" t="s">
        <v>35</v>
      </c>
      <c r="G106" s="44" t="s">
        <v>35</v>
      </c>
      <c r="H106" s="45" t="s">
        <v>659</v>
      </c>
      <c r="I106" s="45" t="s">
        <v>741</v>
      </c>
      <c r="J106" s="45" t="s">
        <v>525</v>
      </c>
      <c r="K106" s="45" t="s">
        <v>525</v>
      </c>
      <c r="L106" s="45" t="s">
        <v>742</v>
      </c>
      <c r="M106" s="45" t="s">
        <v>741</v>
      </c>
      <c r="N106" s="45" t="s">
        <v>743</v>
      </c>
      <c r="O106" s="43" t="s">
        <v>528</v>
      </c>
    </row>
    <row r="107" spans="1:15">
      <c r="A107" s="41">
        <v>10416</v>
      </c>
      <c r="B107" s="42" t="s">
        <v>751</v>
      </c>
      <c r="C107" s="43" t="s">
        <v>521</v>
      </c>
      <c r="D107" s="43" t="s">
        <v>752</v>
      </c>
      <c r="E107" s="44">
        <v>40518</v>
      </c>
      <c r="F107" s="44" t="s">
        <v>35</v>
      </c>
      <c r="G107" s="44" t="s">
        <v>35</v>
      </c>
      <c r="H107" s="45" t="s">
        <v>659</v>
      </c>
      <c r="I107" s="45" t="s">
        <v>741</v>
      </c>
      <c r="J107" s="45" t="s">
        <v>525</v>
      </c>
      <c r="K107" s="45" t="s">
        <v>525</v>
      </c>
      <c r="L107" s="45" t="s">
        <v>742</v>
      </c>
      <c r="M107" s="45" t="s">
        <v>741</v>
      </c>
      <c r="N107" s="45" t="s">
        <v>743</v>
      </c>
      <c r="O107" s="43" t="s">
        <v>528</v>
      </c>
    </row>
    <row r="108" spans="1:15">
      <c r="A108" s="41">
        <v>21931</v>
      </c>
      <c r="B108" s="42" t="s">
        <v>753</v>
      </c>
      <c r="C108" s="43" t="s">
        <v>521</v>
      </c>
      <c r="D108" s="43" t="s">
        <v>740</v>
      </c>
      <c r="E108" s="44">
        <v>43111</v>
      </c>
      <c r="F108" s="44">
        <v>43142</v>
      </c>
      <c r="G108" s="44">
        <v>43496</v>
      </c>
      <c r="H108" s="45" t="s">
        <v>659</v>
      </c>
      <c r="I108" s="45" t="s">
        <v>741</v>
      </c>
      <c r="J108" s="45" t="s">
        <v>525</v>
      </c>
      <c r="K108" s="45" t="s">
        <v>525</v>
      </c>
      <c r="L108" s="45" t="s">
        <v>742</v>
      </c>
      <c r="M108" s="45" t="s">
        <v>741</v>
      </c>
      <c r="N108" s="45" t="s">
        <v>743</v>
      </c>
      <c r="O108" s="43" t="s">
        <v>528</v>
      </c>
    </row>
    <row r="109" spans="1:15">
      <c r="A109" s="41">
        <v>900</v>
      </c>
      <c r="B109" s="42" t="s">
        <v>113</v>
      </c>
      <c r="C109" s="43" t="s">
        <v>521</v>
      </c>
      <c r="D109" s="43" t="s">
        <v>754</v>
      </c>
      <c r="E109" s="44">
        <v>37858</v>
      </c>
      <c r="F109" s="44" t="s">
        <v>35</v>
      </c>
      <c r="G109" s="44" t="s">
        <v>35</v>
      </c>
      <c r="H109" s="45" t="s">
        <v>659</v>
      </c>
      <c r="I109" s="45" t="s">
        <v>741</v>
      </c>
      <c r="J109" s="45" t="s">
        <v>525</v>
      </c>
      <c r="K109" s="45" t="s">
        <v>525</v>
      </c>
      <c r="L109" s="45" t="s">
        <v>742</v>
      </c>
      <c r="M109" s="45" t="s">
        <v>741</v>
      </c>
      <c r="N109" s="45" t="s">
        <v>743</v>
      </c>
      <c r="O109" s="43" t="s">
        <v>528</v>
      </c>
    </row>
    <row r="110" spans="1:15">
      <c r="A110" s="41">
        <v>4849</v>
      </c>
      <c r="B110" s="42" t="s">
        <v>755</v>
      </c>
      <c r="C110" s="43" t="s">
        <v>521</v>
      </c>
      <c r="D110" s="43" t="s">
        <v>756</v>
      </c>
      <c r="E110" s="44">
        <v>38930</v>
      </c>
      <c r="F110" s="44" t="s">
        <v>35</v>
      </c>
      <c r="G110" s="44" t="s">
        <v>35</v>
      </c>
      <c r="H110" s="45" t="s">
        <v>659</v>
      </c>
      <c r="I110" s="45" t="s">
        <v>741</v>
      </c>
      <c r="J110" s="45" t="s">
        <v>525</v>
      </c>
      <c r="K110" s="45" t="s">
        <v>525</v>
      </c>
      <c r="L110" s="45" t="s">
        <v>742</v>
      </c>
      <c r="M110" s="45" t="s">
        <v>741</v>
      </c>
      <c r="N110" s="45" t="s">
        <v>743</v>
      </c>
      <c r="O110" s="43" t="s">
        <v>528</v>
      </c>
    </row>
    <row r="111" spans="1:15">
      <c r="A111" s="41">
        <v>22139</v>
      </c>
      <c r="B111" s="42" t="s">
        <v>757</v>
      </c>
      <c r="C111" s="43" t="s">
        <v>521</v>
      </c>
      <c r="D111" s="43" t="s">
        <v>758</v>
      </c>
      <c r="E111" s="44">
        <v>43153</v>
      </c>
      <c r="F111" s="44">
        <v>43181</v>
      </c>
      <c r="G111" s="44">
        <v>43555</v>
      </c>
      <c r="H111" s="45" t="s">
        <v>659</v>
      </c>
      <c r="I111" s="45" t="s">
        <v>741</v>
      </c>
      <c r="J111" s="45" t="s">
        <v>525</v>
      </c>
      <c r="K111" s="45" t="s">
        <v>525</v>
      </c>
      <c r="L111" s="45" t="s">
        <v>742</v>
      </c>
      <c r="M111" s="45" t="s">
        <v>741</v>
      </c>
      <c r="N111" s="45" t="s">
        <v>743</v>
      </c>
      <c r="O111" s="43" t="s">
        <v>528</v>
      </c>
    </row>
    <row r="112" spans="1:15">
      <c r="A112" s="41">
        <v>5395</v>
      </c>
      <c r="B112" s="42" t="s">
        <v>759</v>
      </c>
      <c r="C112" s="43" t="s">
        <v>521</v>
      </c>
      <c r="D112" s="43" t="s">
        <v>760</v>
      </c>
      <c r="E112" s="44">
        <v>38991</v>
      </c>
      <c r="F112" s="44" t="s">
        <v>35</v>
      </c>
      <c r="G112" s="44" t="s">
        <v>35</v>
      </c>
      <c r="H112" s="45" t="s">
        <v>659</v>
      </c>
      <c r="I112" s="45" t="s">
        <v>741</v>
      </c>
      <c r="J112" s="45" t="s">
        <v>525</v>
      </c>
      <c r="K112" s="45" t="s">
        <v>525</v>
      </c>
      <c r="L112" s="45" t="s">
        <v>742</v>
      </c>
      <c r="M112" s="45" t="s">
        <v>741</v>
      </c>
      <c r="N112" s="45" t="s">
        <v>743</v>
      </c>
      <c r="O112" s="43" t="s">
        <v>528</v>
      </c>
    </row>
    <row r="113" spans="1:15">
      <c r="A113" s="41">
        <v>21730</v>
      </c>
      <c r="B113" s="42" t="s">
        <v>761</v>
      </c>
      <c r="C113" s="43" t="s">
        <v>521</v>
      </c>
      <c r="D113" s="43" t="s">
        <v>663</v>
      </c>
      <c r="E113" s="44">
        <v>43087</v>
      </c>
      <c r="F113" s="44">
        <v>43118</v>
      </c>
      <c r="G113" s="44">
        <v>43496</v>
      </c>
      <c r="H113" s="45" t="s">
        <v>659</v>
      </c>
      <c r="I113" s="45" t="s">
        <v>741</v>
      </c>
      <c r="J113" s="45" t="s">
        <v>525</v>
      </c>
      <c r="K113" s="45" t="s">
        <v>525</v>
      </c>
      <c r="L113" s="45" t="s">
        <v>742</v>
      </c>
      <c r="M113" s="45" t="s">
        <v>741</v>
      </c>
      <c r="N113" s="45" t="s">
        <v>743</v>
      </c>
      <c r="O113" s="43" t="s">
        <v>528</v>
      </c>
    </row>
    <row r="114" spans="1:15">
      <c r="A114" s="41">
        <v>10040</v>
      </c>
      <c r="B114" s="42" t="s">
        <v>68</v>
      </c>
      <c r="C114" s="43" t="s">
        <v>521</v>
      </c>
      <c r="D114" s="43" t="s">
        <v>762</v>
      </c>
      <c r="E114" s="44">
        <v>40438</v>
      </c>
      <c r="F114" s="44" t="s">
        <v>35</v>
      </c>
      <c r="G114" s="44" t="s">
        <v>35</v>
      </c>
      <c r="H114" s="45" t="s">
        <v>659</v>
      </c>
      <c r="I114" s="45" t="s">
        <v>741</v>
      </c>
      <c r="J114" s="45" t="s">
        <v>525</v>
      </c>
      <c r="K114" s="45" t="s">
        <v>525</v>
      </c>
      <c r="L114" s="45" t="s">
        <v>742</v>
      </c>
      <c r="M114" s="45" t="s">
        <v>741</v>
      </c>
      <c r="N114" s="45" t="s">
        <v>743</v>
      </c>
      <c r="O114" s="43" t="s">
        <v>528</v>
      </c>
    </row>
    <row r="115" spans="1:15">
      <c r="A115" s="41">
        <v>20652</v>
      </c>
      <c r="B115" s="42" t="s">
        <v>763</v>
      </c>
      <c r="C115" s="43" t="s">
        <v>521</v>
      </c>
      <c r="D115" s="43" t="s">
        <v>673</v>
      </c>
      <c r="E115" s="44">
        <v>42639</v>
      </c>
      <c r="F115" s="44">
        <v>43132</v>
      </c>
      <c r="G115" s="44">
        <v>43496</v>
      </c>
      <c r="H115" s="45" t="s">
        <v>659</v>
      </c>
      <c r="I115" s="45" t="s">
        <v>741</v>
      </c>
      <c r="J115" s="45" t="s">
        <v>525</v>
      </c>
      <c r="K115" s="45" t="s">
        <v>525</v>
      </c>
      <c r="L115" s="45" t="s">
        <v>742</v>
      </c>
      <c r="M115" s="45" t="s">
        <v>741</v>
      </c>
      <c r="N115" s="45" t="s">
        <v>743</v>
      </c>
      <c r="O115" s="43" t="s">
        <v>528</v>
      </c>
    </row>
    <row r="116" spans="1:15">
      <c r="A116" s="41">
        <v>10026</v>
      </c>
      <c r="B116" s="42" t="s">
        <v>764</v>
      </c>
      <c r="C116" s="43" t="s">
        <v>521</v>
      </c>
      <c r="D116" s="43" t="s">
        <v>762</v>
      </c>
      <c r="E116" s="44">
        <v>40438</v>
      </c>
      <c r="F116" s="44" t="s">
        <v>35</v>
      </c>
      <c r="G116" s="44" t="s">
        <v>35</v>
      </c>
      <c r="H116" s="45" t="s">
        <v>659</v>
      </c>
      <c r="I116" s="45" t="s">
        <v>741</v>
      </c>
      <c r="J116" s="45" t="s">
        <v>525</v>
      </c>
      <c r="K116" s="45" t="s">
        <v>525</v>
      </c>
      <c r="L116" s="45" t="s">
        <v>742</v>
      </c>
      <c r="M116" s="45" t="s">
        <v>741</v>
      </c>
      <c r="N116" s="45" t="s">
        <v>743</v>
      </c>
      <c r="O116" s="43" t="s">
        <v>528</v>
      </c>
    </row>
    <row r="117" spans="1:15">
      <c r="A117" s="41">
        <v>21022</v>
      </c>
      <c r="B117" s="42" t="s">
        <v>765</v>
      </c>
      <c r="C117" s="43" t="s">
        <v>521</v>
      </c>
      <c r="D117" s="43" t="s">
        <v>766</v>
      </c>
      <c r="E117" s="44">
        <v>42702</v>
      </c>
      <c r="F117" s="44">
        <v>43191</v>
      </c>
      <c r="G117" s="44">
        <v>43555</v>
      </c>
      <c r="H117" s="45" t="s">
        <v>659</v>
      </c>
      <c r="I117" s="45" t="s">
        <v>741</v>
      </c>
      <c r="J117" s="45" t="s">
        <v>525</v>
      </c>
      <c r="K117" s="45" t="s">
        <v>525</v>
      </c>
      <c r="L117" s="45" t="s">
        <v>742</v>
      </c>
      <c r="M117" s="45" t="s">
        <v>741</v>
      </c>
      <c r="N117" s="45" t="s">
        <v>743</v>
      </c>
      <c r="O117" s="43" t="s">
        <v>528</v>
      </c>
    </row>
    <row r="118" spans="1:15">
      <c r="A118" s="41">
        <v>22358</v>
      </c>
      <c r="B118" s="42" t="s">
        <v>767</v>
      </c>
      <c r="C118" s="43" t="s">
        <v>521</v>
      </c>
      <c r="D118" s="43" t="s">
        <v>694</v>
      </c>
      <c r="E118" s="44">
        <v>43195</v>
      </c>
      <c r="F118" s="44">
        <v>43225</v>
      </c>
      <c r="G118" s="44">
        <v>43585</v>
      </c>
      <c r="H118" s="45" t="s">
        <v>659</v>
      </c>
      <c r="I118" s="45" t="s">
        <v>741</v>
      </c>
      <c r="J118" s="45" t="s">
        <v>525</v>
      </c>
      <c r="K118" s="45" t="s">
        <v>525</v>
      </c>
      <c r="L118" s="45" t="s">
        <v>742</v>
      </c>
      <c r="M118" s="45" t="s">
        <v>741</v>
      </c>
      <c r="N118" s="45" t="s">
        <v>743</v>
      </c>
      <c r="O118" s="43" t="s">
        <v>528</v>
      </c>
    </row>
    <row r="119" spans="1:15">
      <c r="A119" s="41">
        <v>22081</v>
      </c>
      <c r="B119" s="42" t="s">
        <v>768</v>
      </c>
      <c r="C119" s="43" t="s">
        <v>521</v>
      </c>
      <c r="D119" s="43" t="s">
        <v>769</v>
      </c>
      <c r="E119" s="44">
        <v>43150</v>
      </c>
      <c r="F119" s="44">
        <v>43178</v>
      </c>
      <c r="G119" s="44">
        <v>43555</v>
      </c>
      <c r="H119" s="45" t="s">
        <v>659</v>
      </c>
      <c r="I119" s="45" t="s">
        <v>741</v>
      </c>
      <c r="J119" s="45" t="s">
        <v>525</v>
      </c>
      <c r="K119" s="45" t="s">
        <v>525</v>
      </c>
      <c r="L119" s="45" t="s">
        <v>742</v>
      </c>
      <c r="M119" s="45" t="s">
        <v>741</v>
      </c>
      <c r="N119" s="45" t="s">
        <v>743</v>
      </c>
      <c r="O119" s="43" t="s">
        <v>528</v>
      </c>
    </row>
    <row r="120" spans="1:15">
      <c r="A120" s="41">
        <v>901</v>
      </c>
      <c r="B120" s="42" t="s">
        <v>265</v>
      </c>
      <c r="C120" s="43" t="s">
        <v>521</v>
      </c>
      <c r="D120" s="43" t="s">
        <v>754</v>
      </c>
      <c r="E120" s="44">
        <v>37858</v>
      </c>
      <c r="F120" s="44" t="s">
        <v>35</v>
      </c>
      <c r="G120" s="44" t="s">
        <v>35</v>
      </c>
      <c r="H120" s="45" t="s">
        <v>659</v>
      </c>
      <c r="I120" s="45" t="s">
        <v>741</v>
      </c>
      <c r="J120" s="45" t="s">
        <v>525</v>
      </c>
      <c r="K120" s="45" t="s">
        <v>525</v>
      </c>
      <c r="L120" s="45" t="s">
        <v>742</v>
      </c>
      <c r="M120" s="45" t="s">
        <v>741</v>
      </c>
      <c r="N120" s="45" t="s">
        <v>743</v>
      </c>
      <c r="O120" s="43" t="s">
        <v>528</v>
      </c>
    </row>
    <row r="121" spans="1:15">
      <c r="A121" s="41">
        <v>22733</v>
      </c>
      <c r="B121" s="42" t="s">
        <v>770</v>
      </c>
      <c r="C121" s="43" t="s">
        <v>521</v>
      </c>
      <c r="D121" s="43" t="s">
        <v>771</v>
      </c>
      <c r="E121" s="44">
        <v>43255</v>
      </c>
      <c r="F121" s="44">
        <v>43285</v>
      </c>
      <c r="G121" s="44">
        <v>43646</v>
      </c>
      <c r="H121" s="45" t="s">
        <v>659</v>
      </c>
      <c r="I121" s="45" t="s">
        <v>741</v>
      </c>
      <c r="J121" s="45" t="s">
        <v>525</v>
      </c>
      <c r="K121" s="45" t="s">
        <v>525</v>
      </c>
      <c r="L121" s="45" t="s">
        <v>742</v>
      </c>
      <c r="M121" s="45" t="s">
        <v>741</v>
      </c>
      <c r="N121" s="45" t="s">
        <v>743</v>
      </c>
      <c r="O121" s="43" t="s">
        <v>528</v>
      </c>
    </row>
    <row r="122" spans="1:15">
      <c r="A122" s="41">
        <v>22528</v>
      </c>
      <c r="B122" s="42" t="s">
        <v>772</v>
      </c>
      <c r="C122" s="43" t="s">
        <v>521</v>
      </c>
      <c r="D122" s="43" t="s">
        <v>773</v>
      </c>
      <c r="E122" s="44">
        <v>43224</v>
      </c>
      <c r="F122" s="44">
        <v>43255</v>
      </c>
      <c r="G122" s="44">
        <v>43616</v>
      </c>
      <c r="H122" s="45" t="s">
        <v>659</v>
      </c>
      <c r="I122" s="45" t="s">
        <v>741</v>
      </c>
      <c r="J122" s="45" t="s">
        <v>525</v>
      </c>
      <c r="K122" s="45" t="s">
        <v>525</v>
      </c>
      <c r="L122" s="45" t="s">
        <v>742</v>
      </c>
      <c r="M122" s="45" t="s">
        <v>741</v>
      </c>
      <c r="N122" s="45" t="s">
        <v>743</v>
      </c>
      <c r="O122" s="43" t="s">
        <v>528</v>
      </c>
    </row>
    <row r="123" spans="1:15">
      <c r="A123" s="41">
        <v>22816</v>
      </c>
      <c r="B123" s="42" t="s">
        <v>774</v>
      </c>
      <c r="C123" s="43" t="s">
        <v>521</v>
      </c>
      <c r="D123" s="43" t="s">
        <v>775</v>
      </c>
      <c r="E123" s="44">
        <v>43333</v>
      </c>
      <c r="F123" s="44">
        <v>43364</v>
      </c>
      <c r="G123" s="44">
        <v>43738</v>
      </c>
      <c r="H123" s="45" t="s">
        <v>659</v>
      </c>
      <c r="I123" s="45" t="s">
        <v>741</v>
      </c>
      <c r="J123" s="45" t="s">
        <v>525</v>
      </c>
      <c r="K123" s="45" t="s">
        <v>525</v>
      </c>
      <c r="L123" s="45" t="s">
        <v>742</v>
      </c>
      <c r="M123" s="45" t="s">
        <v>741</v>
      </c>
      <c r="N123" s="45" t="s">
        <v>743</v>
      </c>
      <c r="O123" s="43" t="s">
        <v>528</v>
      </c>
    </row>
    <row r="124" spans="1:15">
      <c r="A124" s="41" t="s">
        <v>776</v>
      </c>
      <c r="B124" s="42" t="s">
        <v>777</v>
      </c>
      <c r="C124" s="43" t="s">
        <v>521</v>
      </c>
      <c r="D124" s="43" t="s">
        <v>778</v>
      </c>
      <c r="E124" s="44">
        <v>40854</v>
      </c>
      <c r="F124" s="44" t="s">
        <v>35</v>
      </c>
      <c r="G124" s="44" t="s">
        <v>35</v>
      </c>
      <c r="H124" s="45" t="s">
        <v>659</v>
      </c>
      <c r="I124" s="45" t="s">
        <v>741</v>
      </c>
      <c r="J124" s="45" t="s">
        <v>525</v>
      </c>
      <c r="K124" s="45" t="s">
        <v>525</v>
      </c>
      <c r="L124" s="45" t="s">
        <v>742</v>
      </c>
      <c r="M124" s="45" t="s">
        <v>741</v>
      </c>
      <c r="N124" s="45" t="s">
        <v>743</v>
      </c>
      <c r="O124" s="43" t="s">
        <v>528</v>
      </c>
    </row>
    <row r="125" spans="1:15">
      <c r="A125" s="41">
        <v>21227</v>
      </c>
      <c r="B125" s="42" t="s">
        <v>779</v>
      </c>
      <c r="C125" s="43" t="s">
        <v>521</v>
      </c>
      <c r="D125" s="43" t="s">
        <v>780</v>
      </c>
      <c r="E125" s="44">
        <v>42884</v>
      </c>
      <c r="F125" s="44">
        <v>43374</v>
      </c>
      <c r="G125" s="44">
        <v>43738</v>
      </c>
      <c r="H125" s="45" t="s">
        <v>659</v>
      </c>
      <c r="I125" s="45" t="s">
        <v>741</v>
      </c>
      <c r="J125" s="45" t="s">
        <v>525</v>
      </c>
      <c r="K125" s="45" t="s">
        <v>525</v>
      </c>
      <c r="L125" s="45" t="s">
        <v>742</v>
      </c>
      <c r="M125" s="45" t="s">
        <v>741</v>
      </c>
      <c r="N125" s="45" t="s">
        <v>743</v>
      </c>
      <c r="O125" s="43" t="s">
        <v>528</v>
      </c>
    </row>
    <row r="126" spans="1:15">
      <c r="A126" s="46">
        <v>11321</v>
      </c>
      <c r="B126" s="47" t="s">
        <v>452</v>
      </c>
      <c r="C126" s="48" t="s">
        <v>521</v>
      </c>
      <c r="D126" s="48" t="s">
        <v>781</v>
      </c>
      <c r="E126" s="49">
        <v>40666</v>
      </c>
      <c r="F126" s="49" t="s">
        <v>35</v>
      </c>
      <c r="G126" s="49" t="s">
        <v>35</v>
      </c>
      <c r="H126" s="50" t="s">
        <v>659</v>
      </c>
      <c r="I126" s="50" t="s">
        <v>741</v>
      </c>
      <c r="J126" s="50" t="s">
        <v>525</v>
      </c>
      <c r="K126" s="50" t="s">
        <v>525</v>
      </c>
      <c r="L126" s="50" t="s">
        <v>742</v>
      </c>
      <c r="M126" s="50" t="s">
        <v>741</v>
      </c>
      <c r="N126" s="50" t="s">
        <v>743</v>
      </c>
      <c r="O126" s="48" t="s">
        <v>528</v>
      </c>
    </row>
    <row r="127" spans="1:15">
      <c r="A127" s="46">
        <v>10732</v>
      </c>
      <c r="B127" s="47" t="s">
        <v>477</v>
      </c>
      <c r="C127" s="48" t="s">
        <v>521</v>
      </c>
      <c r="D127" s="48" t="s">
        <v>730</v>
      </c>
      <c r="E127" s="49">
        <v>40566</v>
      </c>
      <c r="F127" s="49" t="s">
        <v>35</v>
      </c>
      <c r="G127" s="49" t="s">
        <v>35</v>
      </c>
      <c r="H127" s="50" t="s">
        <v>659</v>
      </c>
      <c r="I127" s="50" t="s">
        <v>741</v>
      </c>
      <c r="J127" s="50" t="s">
        <v>525</v>
      </c>
      <c r="K127" s="50" t="s">
        <v>525</v>
      </c>
      <c r="L127" s="50" t="s">
        <v>742</v>
      </c>
      <c r="M127" s="50" t="s">
        <v>741</v>
      </c>
      <c r="N127" s="50" t="s">
        <v>743</v>
      </c>
      <c r="O127" s="48" t="s">
        <v>528</v>
      </c>
    </row>
    <row r="128" spans="1:15">
      <c r="A128" s="46">
        <v>8727</v>
      </c>
      <c r="B128" s="47" t="s">
        <v>124</v>
      </c>
      <c r="C128" s="48" t="s">
        <v>521</v>
      </c>
      <c r="D128" s="48" t="s">
        <v>782</v>
      </c>
      <c r="E128" s="49">
        <v>39904</v>
      </c>
      <c r="F128" s="49" t="s">
        <v>35</v>
      </c>
      <c r="G128" s="49" t="s">
        <v>35</v>
      </c>
      <c r="H128" s="50" t="s">
        <v>659</v>
      </c>
      <c r="I128" s="50" t="s">
        <v>741</v>
      </c>
      <c r="J128" s="50" t="s">
        <v>525</v>
      </c>
      <c r="K128" s="50" t="s">
        <v>525</v>
      </c>
      <c r="L128" s="50" t="s">
        <v>742</v>
      </c>
      <c r="M128" s="50" t="s">
        <v>741</v>
      </c>
      <c r="N128" s="50" t="s">
        <v>743</v>
      </c>
      <c r="O128" s="48" t="s">
        <v>528</v>
      </c>
    </row>
    <row r="129" spans="1:15">
      <c r="A129" s="46">
        <v>610</v>
      </c>
      <c r="B129" s="47" t="s">
        <v>154</v>
      </c>
      <c r="C129" s="48" t="s">
        <v>521</v>
      </c>
      <c r="D129" s="48" t="s">
        <v>783</v>
      </c>
      <c r="E129" s="49">
        <v>37781</v>
      </c>
      <c r="F129" s="49" t="s">
        <v>35</v>
      </c>
      <c r="G129" s="49" t="s">
        <v>35</v>
      </c>
      <c r="H129" s="50" t="s">
        <v>659</v>
      </c>
      <c r="I129" s="50" t="s">
        <v>741</v>
      </c>
      <c r="J129" s="50" t="s">
        <v>525</v>
      </c>
      <c r="K129" s="50" t="s">
        <v>525</v>
      </c>
      <c r="L129" s="50" t="s">
        <v>742</v>
      </c>
      <c r="M129" s="50" t="s">
        <v>741</v>
      </c>
      <c r="N129" s="50" t="s">
        <v>743</v>
      </c>
      <c r="O129" s="48" t="s">
        <v>528</v>
      </c>
    </row>
    <row r="130" spans="1:15">
      <c r="A130" s="46">
        <v>884</v>
      </c>
      <c r="B130" s="47" t="s">
        <v>117</v>
      </c>
      <c r="C130" s="48" t="s">
        <v>521</v>
      </c>
      <c r="D130" s="48" t="s">
        <v>754</v>
      </c>
      <c r="E130" s="49">
        <v>37858</v>
      </c>
      <c r="F130" s="49" t="s">
        <v>35</v>
      </c>
      <c r="G130" s="49" t="s">
        <v>35</v>
      </c>
      <c r="H130" s="50" t="s">
        <v>659</v>
      </c>
      <c r="I130" s="50" t="s">
        <v>741</v>
      </c>
      <c r="J130" s="50" t="s">
        <v>525</v>
      </c>
      <c r="K130" s="50" t="s">
        <v>525</v>
      </c>
      <c r="L130" s="50" t="s">
        <v>742</v>
      </c>
      <c r="M130" s="50" t="s">
        <v>741</v>
      </c>
      <c r="N130" s="50" t="s">
        <v>743</v>
      </c>
      <c r="O130" s="48" t="s">
        <v>528</v>
      </c>
    </row>
    <row r="131" spans="1:15">
      <c r="A131" s="46">
        <v>11726</v>
      </c>
      <c r="B131" s="47" t="s">
        <v>438</v>
      </c>
      <c r="C131" s="48" t="s">
        <v>521</v>
      </c>
      <c r="D131" s="48" t="s">
        <v>675</v>
      </c>
      <c r="E131" s="49">
        <v>40714</v>
      </c>
      <c r="F131" s="49" t="s">
        <v>35</v>
      </c>
      <c r="G131" s="49" t="s">
        <v>35</v>
      </c>
      <c r="H131" s="50" t="s">
        <v>659</v>
      </c>
      <c r="I131" s="50" t="s">
        <v>741</v>
      </c>
      <c r="J131" s="50" t="s">
        <v>525</v>
      </c>
      <c r="K131" s="50" t="s">
        <v>525</v>
      </c>
      <c r="L131" s="50" t="s">
        <v>742</v>
      </c>
      <c r="M131" s="50" t="s">
        <v>741</v>
      </c>
      <c r="N131" s="50" t="s">
        <v>743</v>
      </c>
      <c r="O131" s="48" t="s">
        <v>528</v>
      </c>
    </row>
    <row r="132" spans="1:15">
      <c r="A132" s="46">
        <v>13005</v>
      </c>
      <c r="B132" s="47" t="s">
        <v>784</v>
      </c>
      <c r="C132" s="48" t="s">
        <v>521</v>
      </c>
      <c r="D132" s="48" t="s">
        <v>785</v>
      </c>
      <c r="E132" s="49">
        <v>40844</v>
      </c>
      <c r="F132" s="49" t="s">
        <v>35</v>
      </c>
      <c r="G132" s="49" t="s">
        <v>35</v>
      </c>
      <c r="H132" s="50" t="s">
        <v>659</v>
      </c>
      <c r="I132" s="50" t="s">
        <v>741</v>
      </c>
      <c r="J132" s="50" t="s">
        <v>525</v>
      </c>
      <c r="K132" s="50" t="s">
        <v>525</v>
      </c>
      <c r="L132" s="50" t="s">
        <v>742</v>
      </c>
      <c r="M132" s="50" t="s">
        <v>741</v>
      </c>
      <c r="N132" s="50" t="s">
        <v>743</v>
      </c>
      <c r="O132" s="48" t="s">
        <v>528</v>
      </c>
    </row>
    <row r="133" spans="1:15">
      <c r="A133" s="46">
        <v>20837</v>
      </c>
      <c r="B133" s="47" t="s">
        <v>308</v>
      </c>
      <c r="C133" s="48" t="s">
        <v>521</v>
      </c>
      <c r="D133" s="48" t="s">
        <v>786</v>
      </c>
      <c r="E133" s="49">
        <v>42656</v>
      </c>
      <c r="F133" s="49">
        <v>43132</v>
      </c>
      <c r="G133" s="49">
        <v>43496</v>
      </c>
      <c r="H133" s="50" t="s">
        <v>659</v>
      </c>
      <c r="I133" s="50" t="s">
        <v>741</v>
      </c>
      <c r="J133" s="50" t="s">
        <v>525</v>
      </c>
      <c r="K133" s="50" t="s">
        <v>525</v>
      </c>
      <c r="L133" s="50" t="s">
        <v>742</v>
      </c>
      <c r="M133" s="50" t="s">
        <v>741</v>
      </c>
      <c r="N133" s="50" t="s">
        <v>743</v>
      </c>
      <c r="O133" s="48" t="s">
        <v>528</v>
      </c>
    </row>
    <row r="134" spans="1:15">
      <c r="A134" s="46">
        <v>11661</v>
      </c>
      <c r="B134" s="47" t="s">
        <v>440</v>
      </c>
      <c r="C134" s="48" t="s">
        <v>521</v>
      </c>
      <c r="D134" s="48" t="s">
        <v>675</v>
      </c>
      <c r="E134" s="49">
        <v>40714</v>
      </c>
      <c r="F134" s="49" t="s">
        <v>35</v>
      </c>
      <c r="G134" s="49" t="s">
        <v>35</v>
      </c>
      <c r="H134" s="50" t="s">
        <v>659</v>
      </c>
      <c r="I134" s="50" t="s">
        <v>741</v>
      </c>
      <c r="J134" s="50" t="s">
        <v>525</v>
      </c>
      <c r="K134" s="50" t="s">
        <v>525</v>
      </c>
      <c r="L134" s="50" t="s">
        <v>742</v>
      </c>
      <c r="M134" s="50" t="s">
        <v>741</v>
      </c>
      <c r="N134" s="50" t="s">
        <v>743</v>
      </c>
      <c r="O134" s="48" t="s">
        <v>528</v>
      </c>
    </row>
    <row r="135" spans="1:15">
      <c r="A135" s="46">
        <v>9511</v>
      </c>
      <c r="B135" s="47" t="s">
        <v>100</v>
      </c>
      <c r="C135" s="48" t="s">
        <v>521</v>
      </c>
      <c r="D135" s="48" t="s">
        <v>658</v>
      </c>
      <c r="E135" s="49">
        <v>40148</v>
      </c>
      <c r="F135" s="49" t="s">
        <v>35</v>
      </c>
      <c r="G135" s="49" t="s">
        <v>35</v>
      </c>
      <c r="H135" s="50" t="s">
        <v>659</v>
      </c>
      <c r="I135" s="50" t="s">
        <v>741</v>
      </c>
      <c r="J135" s="50" t="s">
        <v>525</v>
      </c>
      <c r="K135" s="50" t="s">
        <v>525</v>
      </c>
      <c r="L135" s="50" t="s">
        <v>742</v>
      </c>
      <c r="M135" s="50" t="s">
        <v>741</v>
      </c>
      <c r="N135" s="50" t="s">
        <v>743</v>
      </c>
      <c r="O135" s="48" t="s">
        <v>528</v>
      </c>
    </row>
    <row r="136" spans="1:15">
      <c r="A136" s="46">
        <v>10184</v>
      </c>
      <c r="B136" s="47" t="s">
        <v>489</v>
      </c>
      <c r="C136" s="48" t="s">
        <v>521</v>
      </c>
      <c r="D136" s="48" t="s">
        <v>787</v>
      </c>
      <c r="E136" s="49">
        <v>40458</v>
      </c>
      <c r="F136" s="49" t="s">
        <v>35</v>
      </c>
      <c r="G136" s="49" t="s">
        <v>35</v>
      </c>
      <c r="H136" s="50" t="s">
        <v>659</v>
      </c>
      <c r="I136" s="50" t="s">
        <v>741</v>
      </c>
      <c r="J136" s="50" t="s">
        <v>525</v>
      </c>
      <c r="K136" s="50" t="s">
        <v>525</v>
      </c>
      <c r="L136" s="50" t="s">
        <v>742</v>
      </c>
      <c r="M136" s="50" t="s">
        <v>741</v>
      </c>
      <c r="N136" s="50" t="s">
        <v>743</v>
      </c>
      <c r="O136" s="48" t="s">
        <v>528</v>
      </c>
    </row>
    <row r="137" spans="1:15">
      <c r="A137" s="46">
        <v>20668</v>
      </c>
      <c r="B137" s="47" t="s">
        <v>314</v>
      </c>
      <c r="C137" s="48" t="s">
        <v>521</v>
      </c>
      <c r="D137" s="48" t="s">
        <v>673</v>
      </c>
      <c r="E137" s="49">
        <v>42639</v>
      </c>
      <c r="F137" s="49">
        <v>43132</v>
      </c>
      <c r="G137" s="49">
        <v>43496</v>
      </c>
      <c r="H137" s="50" t="s">
        <v>659</v>
      </c>
      <c r="I137" s="50" t="s">
        <v>741</v>
      </c>
      <c r="J137" s="50" t="s">
        <v>525</v>
      </c>
      <c r="K137" s="50" t="s">
        <v>525</v>
      </c>
      <c r="L137" s="50" t="s">
        <v>742</v>
      </c>
      <c r="M137" s="50" t="s">
        <v>741</v>
      </c>
      <c r="N137" s="50" t="s">
        <v>743</v>
      </c>
      <c r="O137" s="48" t="s">
        <v>528</v>
      </c>
    </row>
    <row r="138" spans="1:15">
      <c r="A138" s="46" t="s">
        <v>73</v>
      </c>
      <c r="B138" s="47" t="s">
        <v>74</v>
      </c>
      <c r="C138" s="48" t="s">
        <v>521</v>
      </c>
      <c r="D138" s="48" t="s">
        <v>788</v>
      </c>
      <c r="E138" s="49">
        <v>40847</v>
      </c>
      <c r="F138" s="49" t="s">
        <v>35</v>
      </c>
      <c r="G138" s="49" t="s">
        <v>35</v>
      </c>
      <c r="H138" s="50" t="s">
        <v>659</v>
      </c>
      <c r="I138" s="50" t="s">
        <v>741</v>
      </c>
      <c r="J138" s="50" t="s">
        <v>525</v>
      </c>
      <c r="K138" s="50" t="s">
        <v>525</v>
      </c>
      <c r="L138" s="50" t="s">
        <v>742</v>
      </c>
      <c r="M138" s="50" t="s">
        <v>741</v>
      </c>
      <c r="N138" s="50" t="s">
        <v>743</v>
      </c>
      <c r="O138" s="48" t="s">
        <v>528</v>
      </c>
    </row>
    <row r="139" spans="1:15">
      <c r="A139" s="46">
        <v>9767</v>
      </c>
      <c r="B139" s="47" t="s">
        <v>95</v>
      </c>
      <c r="C139" s="48" t="s">
        <v>521</v>
      </c>
      <c r="D139" s="48" t="s">
        <v>789</v>
      </c>
      <c r="E139" s="49">
        <v>40330</v>
      </c>
      <c r="F139" s="49" t="s">
        <v>35</v>
      </c>
      <c r="G139" s="49" t="s">
        <v>35</v>
      </c>
      <c r="H139" s="50" t="s">
        <v>659</v>
      </c>
      <c r="I139" s="50" t="s">
        <v>741</v>
      </c>
      <c r="J139" s="50" t="s">
        <v>525</v>
      </c>
      <c r="K139" s="50" t="s">
        <v>525</v>
      </c>
      <c r="L139" s="50" t="s">
        <v>742</v>
      </c>
      <c r="M139" s="50" t="s">
        <v>741</v>
      </c>
      <c r="N139" s="50" t="s">
        <v>743</v>
      </c>
      <c r="O139" s="48" t="s">
        <v>528</v>
      </c>
    </row>
    <row r="140" spans="1:15">
      <c r="A140" s="46">
        <v>5742</v>
      </c>
      <c r="B140" s="47" t="s">
        <v>172</v>
      </c>
      <c r="C140" s="48" t="s">
        <v>521</v>
      </c>
      <c r="D140" s="48" t="s">
        <v>790</v>
      </c>
      <c r="E140" s="49">
        <v>39098</v>
      </c>
      <c r="F140" s="49" t="s">
        <v>35</v>
      </c>
      <c r="G140" s="49" t="s">
        <v>35</v>
      </c>
      <c r="H140" s="50" t="s">
        <v>659</v>
      </c>
      <c r="I140" s="50" t="s">
        <v>741</v>
      </c>
      <c r="J140" s="50" t="s">
        <v>525</v>
      </c>
      <c r="K140" s="50" t="s">
        <v>525</v>
      </c>
      <c r="L140" s="50" t="s">
        <v>742</v>
      </c>
      <c r="M140" s="50" t="s">
        <v>741</v>
      </c>
      <c r="N140" s="50" t="s">
        <v>743</v>
      </c>
      <c r="O140" s="48" t="s">
        <v>528</v>
      </c>
    </row>
    <row r="141" spans="1:15">
      <c r="A141" s="46">
        <v>17017</v>
      </c>
      <c r="B141" s="47" t="s">
        <v>343</v>
      </c>
      <c r="C141" s="48" t="s">
        <v>521</v>
      </c>
      <c r="D141" s="48" t="s">
        <v>791</v>
      </c>
      <c r="E141" s="49">
        <v>41753</v>
      </c>
      <c r="F141" s="49" t="s">
        <v>35</v>
      </c>
      <c r="G141" s="49" t="s">
        <v>35</v>
      </c>
      <c r="H141" s="50" t="s">
        <v>659</v>
      </c>
      <c r="I141" s="50" t="s">
        <v>741</v>
      </c>
      <c r="J141" s="50" t="s">
        <v>525</v>
      </c>
      <c r="K141" s="50" t="s">
        <v>525</v>
      </c>
      <c r="L141" s="50" t="s">
        <v>742</v>
      </c>
      <c r="M141" s="50" t="s">
        <v>741</v>
      </c>
      <c r="N141" s="50" t="s">
        <v>743</v>
      </c>
      <c r="O141" s="48" t="s">
        <v>528</v>
      </c>
    </row>
    <row r="142" spans="1:15">
      <c r="A142" s="46">
        <v>5522</v>
      </c>
      <c r="B142" s="47" t="s">
        <v>186</v>
      </c>
      <c r="C142" s="48" t="s">
        <v>521</v>
      </c>
      <c r="D142" s="48" t="s">
        <v>792</v>
      </c>
      <c r="E142" s="49">
        <v>39022</v>
      </c>
      <c r="F142" s="49" t="s">
        <v>35</v>
      </c>
      <c r="G142" s="49" t="s">
        <v>35</v>
      </c>
      <c r="H142" s="50" t="s">
        <v>659</v>
      </c>
      <c r="I142" s="50" t="s">
        <v>741</v>
      </c>
      <c r="J142" s="50" t="s">
        <v>525</v>
      </c>
      <c r="K142" s="50" t="s">
        <v>525</v>
      </c>
      <c r="L142" s="50" t="s">
        <v>742</v>
      </c>
      <c r="M142" s="50" t="s">
        <v>741</v>
      </c>
      <c r="N142" s="50" t="s">
        <v>743</v>
      </c>
      <c r="O142" s="48" t="s">
        <v>528</v>
      </c>
    </row>
    <row r="143" spans="1:15">
      <c r="A143" s="46">
        <v>11286</v>
      </c>
      <c r="B143" s="47" t="s">
        <v>457</v>
      </c>
      <c r="C143" s="48" t="s">
        <v>521</v>
      </c>
      <c r="D143" s="48" t="s">
        <v>793</v>
      </c>
      <c r="E143" s="49">
        <v>40624</v>
      </c>
      <c r="F143" s="49" t="s">
        <v>35</v>
      </c>
      <c r="G143" s="49" t="s">
        <v>35</v>
      </c>
      <c r="H143" s="50" t="s">
        <v>659</v>
      </c>
      <c r="I143" s="50" t="s">
        <v>741</v>
      </c>
      <c r="J143" s="50" t="s">
        <v>525</v>
      </c>
      <c r="K143" s="50" t="s">
        <v>525</v>
      </c>
      <c r="L143" s="50" t="s">
        <v>742</v>
      </c>
      <c r="M143" s="50" t="s">
        <v>741</v>
      </c>
      <c r="N143" s="50" t="s">
        <v>743</v>
      </c>
      <c r="O143" s="48" t="s">
        <v>528</v>
      </c>
    </row>
    <row r="144" spans="1:15">
      <c r="A144" s="46">
        <v>5801</v>
      </c>
      <c r="B144" s="47" t="s">
        <v>168</v>
      </c>
      <c r="C144" s="48" t="s">
        <v>521</v>
      </c>
      <c r="D144" s="48" t="s">
        <v>794</v>
      </c>
      <c r="E144" s="49">
        <v>39114</v>
      </c>
      <c r="F144" s="49" t="s">
        <v>35</v>
      </c>
      <c r="G144" s="49" t="s">
        <v>35</v>
      </c>
      <c r="H144" s="50" t="s">
        <v>659</v>
      </c>
      <c r="I144" s="50" t="s">
        <v>741</v>
      </c>
      <c r="J144" s="50" t="s">
        <v>525</v>
      </c>
      <c r="K144" s="50" t="s">
        <v>525</v>
      </c>
      <c r="L144" s="50" t="s">
        <v>742</v>
      </c>
      <c r="M144" s="50" t="s">
        <v>741</v>
      </c>
      <c r="N144" s="50" t="s">
        <v>743</v>
      </c>
      <c r="O144" s="48" t="s">
        <v>528</v>
      </c>
    </row>
    <row r="145" spans="1:15">
      <c r="A145" s="46">
        <v>10820</v>
      </c>
      <c r="B145" s="47" t="s">
        <v>473</v>
      </c>
      <c r="C145" s="48" t="s">
        <v>521</v>
      </c>
      <c r="D145" s="48" t="s">
        <v>795</v>
      </c>
      <c r="E145" s="49">
        <v>40572</v>
      </c>
      <c r="F145" s="49" t="s">
        <v>35</v>
      </c>
      <c r="G145" s="49" t="s">
        <v>35</v>
      </c>
      <c r="H145" s="50" t="s">
        <v>659</v>
      </c>
      <c r="I145" s="50" t="s">
        <v>741</v>
      </c>
      <c r="J145" s="50" t="s">
        <v>525</v>
      </c>
      <c r="K145" s="50" t="s">
        <v>525</v>
      </c>
      <c r="L145" s="50" t="s">
        <v>742</v>
      </c>
      <c r="M145" s="50" t="s">
        <v>741</v>
      </c>
      <c r="N145" s="50" t="s">
        <v>743</v>
      </c>
      <c r="O145" s="48" t="s">
        <v>528</v>
      </c>
    </row>
    <row r="146" spans="1:15">
      <c r="A146" s="46">
        <v>19108</v>
      </c>
      <c r="B146" s="47" t="s">
        <v>796</v>
      </c>
      <c r="C146" s="48" t="s">
        <v>521</v>
      </c>
      <c r="D146" s="48" t="s">
        <v>797</v>
      </c>
      <c r="E146" s="49">
        <v>42254</v>
      </c>
      <c r="F146" s="49" t="s">
        <v>35</v>
      </c>
      <c r="G146" s="49" t="s">
        <v>35</v>
      </c>
      <c r="H146" s="50" t="s">
        <v>659</v>
      </c>
      <c r="I146" s="50" t="s">
        <v>741</v>
      </c>
      <c r="J146" s="50" t="s">
        <v>525</v>
      </c>
      <c r="K146" s="50" t="s">
        <v>525</v>
      </c>
      <c r="L146" s="50" t="s">
        <v>742</v>
      </c>
      <c r="M146" s="50" t="s">
        <v>741</v>
      </c>
      <c r="N146" s="50" t="s">
        <v>743</v>
      </c>
      <c r="O146" s="48" t="s">
        <v>528</v>
      </c>
    </row>
    <row r="147" spans="1:15">
      <c r="A147" s="46">
        <v>8939</v>
      </c>
      <c r="B147" s="47" t="s">
        <v>116</v>
      </c>
      <c r="C147" s="48" t="s">
        <v>521</v>
      </c>
      <c r="D147" s="48" t="s">
        <v>798</v>
      </c>
      <c r="E147" s="49">
        <v>39966</v>
      </c>
      <c r="F147" s="49" t="s">
        <v>35</v>
      </c>
      <c r="G147" s="49" t="s">
        <v>35</v>
      </c>
      <c r="H147" s="50" t="s">
        <v>659</v>
      </c>
      <c r="I147" s="50" t="s">
        <v>741</v>
      </c>
      <c r="J147" s="50" t="s">
        <v>525</v>
      </c>
      <c r="K147" s="50" t="s">
        <v>525</v>
      </c>
      <c r="L147" s="50" t="s">
        <v>742</v>
      </c>
      <c r="M147" s="50" t="s">
        <v>741</v>
      </c>
      <c r="N147" s="50" t="s">
        <v>743</v>
      </c>
      <c r="O147" s="48" t="s">
        <v>528</v>
      </c>
    </row>
    <row r="148" spans="1:15">
      <c r="A148" s="46">
        <v>9175</v>
      </c>
      <c r="B148" s="47" t="s">
        <v>106</v>
      </c>
      <c r="C148" s="48" t="s">
        <v>521</v>
      </c>
      <c r="D148" s="48" t="s">
        <v>653</v>
      </c>
      <c r="E148" s="49">
        <v>40000</v>
      </c>
      <c r="F148" s="49" t="s">
        <v>35</v>
      </c>
      <c r="G148" s="49" t="s">
        <v>35</v>
      </c>
      <c r="H148" s="50" t="s">
        <v>659</v>
      </c>
      <c r="I148" s="50" t="s">
        <v>741</v>
      </c>
      <c r="J148" s="50" t="s">
        <v>525</v>
      </c>
      <c r="K148" s="50" t="s">
        <v>525</v>
      </c>
      <c r="L148" s="50" t="s">
        <v>742</v>
      </c>
      <c r="M148" s="50" t="s">
        <v>741</v>
      </c>
      <c r="N148" s="50" t="s">
        <v>743</v>
      </c>
      <c r="O148" s="48" t="s">
        <v>528</v>
      </c>
    </row>
    <row r="149" spans="1:15">
      <c r="A149" s="46" t="s">
        <v>70</v>
      </c>
      <c r="B149" s="47" t="s">
        <v>71</v>
      </c>
      <c r="C149" s="48" t="s">
        <v>521</v>
      </c>
      <c r="D149" s="48" t="s">
        <v>778</v>
      </c>
      <c r="E149" s="49">
        <v>40854</v>
      </c>
      <c r="F149" s="49" t="s">
        <v>35</v>
      </c>
      <c r="G149" s="49" t="s">
        <v>35</v>
      </c>
      <c r="H149" s="50" t="s">
        <v>659</v>
      </c>
      <c r="I149" s="50" t="s">
        <v>741</v>
      </c>
      <c r="J149" s="50" t="s">
        <v>525</v>
      </c>
      <c r="K149" s="50" t="s">
        <v>525</v>
      </c>
      <c r="L149" s="50" t="s">
        <v>742</v>
      </c>
      <c r="M149" s="50" t="s">
        <v>741</v>
      </c>
      <c r="N149" s="50" t="s">
        <v>743</v>
      </c>
      <c r="O149" s="48" t="s">
        <v>528</v>
      </c>
    </row>
    <row r="150" spans="1:15">
      <c r="A150" s="46">
        <v>11841</v>
      </c>
      <c r="B150" s="47" t="s">
        <v>431</v>
      </c>
      <c r="C150" s="48" t="s">
        <v>521</v>
      </c>
      <c r="D150" s="48" t="s">
        <v>799</v>
      </c>
      <c r="E150" s="49">
        <v>40721</v>
      </c>
      <c r="F150" s="49" t="s">
        <v>35</v>
      </c>
      <c r="G150" s="49" t="s">
        <v>35</v>
      </c>
      <c r="H150" s="50" t="s">
        <v>659</v>
      </c>
      <c r="I150" s="50" t="s">
        <v>741</v>
      </c>
      <c r="J150" s="50" t="s">
        <v>525</v>
      </c>
      <c r="K150" s="50" t="s">
        <v>525</v>
      </c>
      <c r="L150" s="50" t="s">
        <v>742</v>
      </c>
      <c r="M150" s="50" t="s">
        <v>741</v>
      </c>
      <c r="N150" s="50" t="s">
        <v>743</v>
      </c>
      <c r="O150" s="48" t="s">
        <v>528</v>
      </c>
    </row>
    <row r="151" spans="1:15">
      <c r="A151" s="46">
        <v>16738</v>
      </c>
      <c r="B151" s="47" t="s">
        <v>346</v>
      </c>
      <c r="C151" s="48" t="s">
        <v>521</v>
      </c>
      <c r="D151" s="48" t="s">
        <v>800</v>
      </c>
      <c r="E151" s="49">
        <v>41676</v>
      </c>
      <c r="F151" s="49" t="s">
        <v>35</v>
      </c>
      <c r="G151" s="49" t="s">
        <v>35</v>
      </c>
      <c r="H151" s="50" t="s">
        <v>659</v>
      </c>
      <c r="I151" s="50" t="s">
        <v>741</v>
      </c>
      <c r="J151" s="50" t="s">
        <v>525</v>
      </c>
      <c r="K151" s="50" t="s">
        <v>525</v>
      </c>
      <c r="L151" s="50" t="s">
        <v>742</v>
      </c>
      <c r="M151" s="50" t="s">
        <v>741</v>
      </c>
      <c r="N151" s="50" t="s">
        <v>743</v>
      </c>
      <c r="O151" s="48" t="s">
        <v>528</v>
      </c>
    </row>
    <row r="152" spans="1:15">
      <c r="A152" s="46">
        <v>14418</v>
      </c>
      <c r="B152" s="47" t="s">
        <v>357</v>
      </c>
      <c r="C152" s="48" t="s">
        <v>521</v>
      </c>
      <c r="D152" s="48" t="s">
        <v>801</v>
      </c>
      <c r="E152" s="49">
        <v>41390</v>
      </c>
      <c r="F152" s="49" t="s">
        <v>35</v>
      </c>
      <c r="G152" s="49" t="s">
        <v>35</v>
      </c>
      <c r="H152" s="50" t="s">
        <v>659</v>
      </c>
      <c r="I152" s="50" t="s">
        <v>741</v>
      </c>
      <c r="J152" s="50" t="s">
        <v>525</v>
      </c>
      <c r="K152" s="50" t="s">
        <v>525</v>
      </c>
      <c r="L152" s="50" t="s">
        <v>742</v>
      </c>
      <c r="M152" s="50" t="s">
        <v>741</v>
      </c>
      <c r="N152" s="50" t="s">
        <v>743</v>
      </c>
      <c r="O152" s="48" t="s">
        <v>528</v>
      </c>
    </row>
    <row r="153" spans="1:15">
      <c r="A153" s="46">
        <v>10175</v>
      </c>
      <c r="B153" s="47" t="s">
        <v>490</v>
      </c>
      <c r="C153" s="48" t="s">
        <v>521</v>
      </c>
      <c r="D153" s="48" t="s">
        <v>787</v>
      </c>
      <c r="E153" s="49">
        <v>40458</v>
      </c>
      <c r="F153" s="49" t="s">
        <v>35</v>
      </c>
      <c r="G153" s="49" t="s">
        <v>35</v>
      </c>
      <c r="H153" s="50" t="s">
        <v>659</v>
      </c>
      <c r="I153" s="50" t="s">
        <v>741</v>
      </c>
      <c r="J153" s="50" t="s">
        <v>525</v>
      </c>
      <c r="K153" s="50" t="s">
        <v>525</v>
      </c>
      <c r="L153" s="50" t="s">
        <v>742</v>
      </c>
      <c r="M153" s="50" t="s">
        <v>741</v>
      </c>
      <c r="N153" s="50" t="s">
        <v>743</v>
      </c>
      <c r="O153" s="48" t="s">
        <v>528</v>
      </c>
    </row>
    <row r="154" spans="1:15">
      <c r="A154" s="46">
        <v>9847</v>
      </c>
      <c r="B154" s="47" t="s">
        <v>92</v>
      </c>
      <c r="C154" s="48" t="s">
        <v>521</v>
      </c>
      <c r="D154" s="48" t="s">
        <v>802</v>
      </c>
      <c r="E154" s="49">
        <v>40411</v>
      </c>
      <c r="F154" s="49" t="s">
        <v>35</v>
      </c>
      <c r="G154" s="49" t="s">
        <v>35</v>
      </c>
      <c r="H154" s="50" t="s">
        <v>659</v>
      </c>
      <c r="I154" s="50" t="s">
        <v>741</v>
      </c>
      <c r="J154" s="50" t="s">
        <v>525</v>
      </c>
      <c r="K154" s="50" t="s">
        <v>525</v>
      </c>
      <c r="L154" s="50" t="s">
        <v>742</v>
      </c>
      <c r="M154" s="50" t="s">
        <v>741</v>
      </c>
      <c r="N154" s="50" t="s">
        <v>743</v>
      </c>
      <c r="O154" s="48" t="s">
        <v>528</v>
      </c>
    </row>
    <row r="155" spans="1:15">
      <c r="A155" s="46">
        <v>9987</v>
      </c>
      <c r="B155" s="47" t="s">
        <v>83</v>
      </c>
      <c r="C155" s="48" t="s">
        <v>521</v>
      </c>
      <c r="D155" s="48" t="s">
        <v>803</v>
      </c>
      <c r="E155" s="49">
        <v>40431</v>
      </c>
      <c r="F155" s="49" t="s">
        <v>35</v>
      </c>
      <c r="G155" s="49" t="s">
        <v>35</v>
      </c>
      <c r="H155" s="50" t="s">
        <v>659</v>
      </c>
      <c r="I155" s="50" t="s">
        <v>741</v>
      </c>
      <c r="J155" s="50" t="s">
        <v>525</v>
      </c>
      <c r="K155" s="50" t="s">
        <v>525</v>
      </c>
      <c r="L155" s="50" t="s">
        <v>742</v>
      </c>
      <c r="M155" s="50" t="s">
        <v>741</v>
      </c>
      <c r="N155" s="50" t="s">
        <v>743</v>
      </c>
      <c r="O155" s="48" t="s">
        <v>528</v>
      </c>
    </row>
    <row r="156" spans="1:15">
      <c r="A156" s="46">
        <v>10104</v>
      </c>
      <c r="B156" s="47" t="s">
        <v>502</v>
      </c>
      <c r="C156" s="48" t="s">
        <v>521</v>
      </c>
      <c r="D156" s="48" t="s">
        <v>601</v>
      </c>
      <c r="E156" s="49">
        <v>40444</v>
      </c>
      <c r="F156" s="49" t="s">
        <v>35</v>
      </c>
      <c r="G156" s="49" t="s">
        <v>35</v>
      </c>
      <c r="H156" s="50" t="s">
        <v>659</v>
      </c>
      <c r="I156" s="50" t="s">
        <v>741</v>
      </c>
      <c r="J156" s="50" t="s">
        <v>525</v>
      </c>
      <c r="K156" s="50" t="s">
        <v>525</v>
      </c>
      <c r="L156" s="50" t="s">
        <v>742</v>
      </c>
      <c r="M156" s="50" t="s">
        <v>741</v>
      </c>
      <c r="N156" s="50" t="s">
        <v>743</v>
      </c>
      <c r="O156" s="48" t="s">
        <v>528</v>
      </c>
    </row>
    <row r="157" spans="1:15">
      <c r="A157" s="46">
        <v>9849</v>
      </c>
      <c r="B157" s="47" t="s">
        <v>90</v>
      </c>
      <c r="C157" s="48" t="s">
        <v>521</v>
      </c>
      <c r="D157" s="48" t="s">
        <v>802</v>
      </c>
      <c r="E157" s="49">
        <v>40411</v>
      </c>
      <c r="F157" s="49" t="s">
        <v>35</v>
      </c>
      <c r="G157" s="49" t="s">
        <v>35</v>
      </c>
      <c r="H157" s="50" t="s">
        <v>659</v>
      </c>
      <c r="I157" s="50" t="s">
        <v>741</v>
      </c>
      <c r="J157" s="50" t="s">
        <v>525</v>
      </c>
      <c r="K157" s="50" t="s">
        <v>525</v>
      </c>
      <c r="L157" s="50" t="s">
        <v>742</v>
      </c>
      <c r="M157" s="50" t="s">
        <v>741</v>
      </c>
      <c r="N157" s="50" t="s">
        <v>743</v>
      </c>
      <c r="O157" s="48" t="s">
        <v>528</v>
      </c>
    </row>
    <row r="158" spans="1:15">
      <c r="A158" s="46">
        <v>649</v>
      </c>
      <c r="B158" s="47" t="s">
        <v>140</v>
      </c>
      <c r="C158" s="48" t="s">
        <v>521</v>
      </c>
      <c r="D158" s="48" t="s">
        <v>804</v>
      </c>
      <c r="E158" s="49">
        <v>37788</v>
      </c>
      <c r="F158" s="49" t="s">
        <v>35</v>
      </c>
      <c r="G158" s="49" t="s">
        <v>35</v>
      </c>
      <c r="H158" s="50" t="s">
        <v>659</v>
      </c>
      <c r="I158" s="50" t="s">
        <v>741</v>
      </c>
      <c r="J158" s="50" t="s">
        <v>525</v>
      </c>
      <c r="K158" s="50" t="s">
        <v>525</v>
      </c>
      <c r="L158" s="50" t="s">
        <v>742</v>
      </c>
      <c r="M158" s="50" t="s">
        <v>741</v>
      </c>
      <c r="N158" s="50" t="s">
        <v>743</v>
      </c>
      <c r="O158" s="48" t="s">
        <v>528</v>
      </c>
    </row>
    <row r="159" spans="1:15">
      <c r="A159" s="46">
        <v>22390</v>
      </c>
      <c r="B159" s="47" t="s">
        <v>239</v>
      </c>
      <c r="C159" s="48" t="s">
        <v>521</v>
      </c>
      <c r="D159" s="48" t="s">
        <v>805</v>
      </c>
      <c r="E159" s="49">
        <v>43213</v>
      </c>
      <c r="F159" s="49">
        <v>43243</v>
      </c>
      <c r="G159" s="49">
        <v>43616</v>
      </c>
      <c r="H159" s="50" t="s">
        <v>659</v>
      </c>
      <c r="I159" s="50" t="s">
        <v>741</v>
      </c>
      <c r="J159" s="50" t="s">
        <v>525</v>
      </c>
      <c r="K159" s="50" t="s">
        <v>525</v>
      </c>
      <c r="L159" s="50" t="s">
        <v>742</v>
      </c>
      <c r="M159" s="50" t="s">
        <v>741</v>
      </c>
      <c r="N159" s="50" t="s">
        <v>743</v>
      </c>
      <c r="O159" s="48" t="s">
        <v>528</v>
      </c>
    </row>
    <row r="160" spans="1:15">
      <c r="A160" s="46">
        <v>15618</v>
      </c>
      <c r="B160" s="47" t="s">
        <v>349</v>
      </c>
      <c r="C160" s="48" t="s">
        <v>521</v>
      </c>
      <c r="D160" s="48" t="s">
        <v>806</v>
      </c>
      <c r="E160" s="49">
        <v>41459</v>
      </c>
      <c r="F160" s="49" t="s">
        <v>35</v>
      </c>
      <c r="G160" s="49" t="s">
        <v>35</v>
      </c>
      <c r="H160" s="50" t="s">
        <v>659</v>
      </c>
      <c r="I160" s="50" t="s">
        <v>741</v>
      </c>
      <c r="J160" s="50" t="s">
        <v>525</v>
      </c>
      <c r="K160" s="50" t="s">
        <v>525</v>
      </c>
      <c r="L160" s="50" t="s">
        <v>742</v>
      </c>
      <c r="M160" s="50" t="s">
        <v>741</v>
      </c>
      <c r="N160" s="50" t="s">
        <v>743</v>
      </c>
      <c r="O160" s="48" t="s">
        <v>528</v>
      </c>
    </row>
    <row r="161" spans="1:15">
      <c r="A161" s="46">
        <v>11419</v>
      </c>
      <c r="B161" s="47" t="s">
        <v>447</v>
      </c>
      <c r="C161" s="48" t="s">
        <v>521</v>
      </c>
      <c r="D161" s="48" t="s">
        <v>711</v>
      </c>
      <c r="E161" s="49">
        <v>40701</v>
      </c>
      <c r="F161" s="49" t="s">
        <v>35</v>
      </c>
      <c r="G161" s="49" t="s">
        <v>35</v>
      </c>
      <c r="H161" s="50" t="s">
        <v>659</v>
      </c>
      <c r="I161" s="50" t="s">
        <v>741</v>
      </c>
      <c r="J161" s="50" t="s">
        <v>525</v>
      </c>
      <c r="K161" s="50" t="s">
        <v>525</v>
      </c>
      <c r="L161" s="50" t="s">
        <v>742</v>
      </c>
      <c r="M161" s="50" t="s">
        <v>741</v>
      </c>
      <c r="N161" s="50" t="s">
        <v>743</v>
      </c>
      <c r="O161" s="48" t="s">
        <v>528</v>
      </c>
    </row>
    <row r="162" spans="1:15">
      <c r="A162" s="46">
        <v>20895</v>
      </c>
      <c r="B162" s="47" t="s">
        <v>303</v>
      </c>
      <c r="C162" s="48" t="s">
        <v>521</v>
      </c>
      <c r="D162" s="48" t="s">
        <v>807</v>
      </c>
      <c r="E162" s="49">
        <v>42660</v>
      </c>
      <c r="F162" s="49">
        <v>43160</v>
      </c>
      <c r="G162" s="49">
        <v>43524</v>
      </c>
      <c r="H162" s="50" t="s">
        <v>659</v>
      </c>
      <c r="I162" s="50" t="s">
        <v>741</v>
      </c>
      <c r="J162" s="50" t="s">
        <v>525</v>
      </c>
      <c r="K162" s="50" t="s">
        <v>525</v>
      </c>
      <c r="L162" s="50" t="s">
        <v>742</v>
      </c>
      <c r="M162" s="50" t="s">
        <v>741</v>
      </c>
      <c r="N162" s="50" t="s">
        <v>743</v>
      </c>
      <c r="O162" s="48" t="s">
        <v>528</v>
      </c>
    </row>
    <row r="163" spans="1:15">
      <c r="A163" s="46">
        <v>8992</v>
      </c>
      <c r="B163" s="47" t="s">
        <v>114</v>
      </c>
      <c r="C163" s="48" t="s">
        <v>521</v>
      </c>
      <c r="D163" s="48" t="s">
        <v>715</v>
      </c>
      <c r="E163" s="49">
        <v>39975</v>
      </c>
      <c r="F163" s="49" t="s">
        <v>35</v>
      </c>
      <c r="G163" s="49" t="s">
        <v>35</v>
      </c>
      <c r="H163" s="50" t="s">
        <v>659</v>
      </c>
      <c r="I163" s="50" t="s">
        <v>741</v>
      </c>
      <c r="J163" s="50" t="s">
        <v>525</v>
      </c>
      <c r="K163" s="50" t="s">
        <v>525</v>
      </c>
      <c r="L163" s="50" t="s">
        <v>742</v>
      </c>
      <c r="M163" s="50" t="s">
        <v>741</v>
      </c>
      <c r="N163" s="50" t="s">
        <v>743</v>
      </c>
      <c r="O163" s="48" t="s">
        <v>528</v>
      </c>
    </row>
    <row r="164" spans="1:15">
      <c r="A164" s="46">
        <v>10908</v>
      </c>
      <c r="B164" s="47" t="s">
        <v>468</v>
      </c>
      <c r="C164" s="48" t="s">
        <v>521</v>
      </c>
      <c r="D164" s="48" t="s">
        <v>808</v>
      </c>
      <c r="E164" s="49">
        <v>40574</v>
      </c>
      <c r="F164" s="49" t="s">
        <v>35</v>
      </c>
      <c r="G164" s="49" t="s">
        <v>35</v>
      </c>
      <c r="H164" s="50" t="s">
        <v>659</v>
      </c>
      <c r="I164" s="50" t="s">
        <v>741</v>
      </c>
      <c r="J164" s="50" t="s">
        <v>525</v>
      </c>
      <c r="K164" s="50" t="s">
        <v>525</v>
      </c>
      <c r="L164" s="50" t="s">
        <v>742</v>
      </c>
      <c r="M164" s="50" t="s">
        <v>741</v>
      </c>
      <c r="N164" s="50" t="s">
        <v>743</v>
      </c>
      <c r="O164" s="48" t="s">
        <v>528</v>
      </c>
    </row>
    <row r="165" spans="1:15">
      <c r="A165" s="46" t="s">
        <v>46</v>
      </c>
      <c r="B165" s="47" t="s">
        <v>47</v>
      </c>
      <c r="C165" s="48" t="s">
        <v>521</v>
      </c>
      <c r="D165" s="48" t="s">
        <v>809</v>
      </c>
      <c r="E165" s="49">
        <v>41099</v>
      </c>
      <c r="F165" s="49" t="s">
        <v>35</v>
      </c>
      <c r="G165" s="49" t="s">
        <v>35</v>
      </c>
      <c r="H165" s="50" t="s">
        <v>659</v>
      </c>
      <c r="I165" s="50" t="s">
        <v>741</v>
      </c>
      <c r="J165" s="50" t="s">
        <v>525</v>
      </c>
      <c r="K165" s="50" t="s">
        <v>525</v>
      </c>
      <c r="L165" s="50" t="s">
        <v>742</v>
      </c>
      <c r="M165" s="50" t="s">
        <v>741</v>
      </c>
      <c r="N165" s="50" t="s">
        <v>743</v>
      </c>
      <c r="O165" s="48" t="s">
        <v>528</v>
      </c>
    </row>
    <row r="166" spans="1:15">
      <c r="A166" s="46">
        <v>9563</v>
      </c>
      <c r="B166" s="47" t="s">
        <v>98</v>
      </c>
      <c r="C166" s="48" t="s">
        <v>521</v>
      </c>
      <c r="D166" s="48" t="s">
        <v>810</v>
      </c>
      <c r="E166" s="49">
        <v>40179</v>
      </c>
      <c r="F166" s="49" t="s">
        <v>35</v>
      </c>
      <c r="G166" s="49" t="s">
        <v>35</v>
      </c>
      <c r="H166" s="50" t="s">
        <v>659</v>
      </c>
      <c r="I166" s="50" t="s">
        <v>741</v>
      </c>
      <c r="J166" s="50" t="s">
        <v>525</v>
      </c>
      <c r="K166" s="50" t="s">
        <v>525</v>
      </c>
      <c r="L166" s="50" t="s">
        <v>742</v>
      </c>
      <c r="M166" s="50" t="s">
        <v>741</v>
      </c>
      <c r="N166" s="50" t="s">
        <v>743</v>
      </c>
      <c r="O166" s="48" t="s">
        <v>528</v>
      </c>
    </row>
    <row r="167" spans="1:15">
      <c r="A167" s="46">
        <v>10117</v>
      </c>
      <c r="B167" s="47" t="s">
        <v>500</v>
      </c>
      <c r="C167" s="48" t="s">
        <v>521</v>
      </c>
      <c r="D167" s="48" t="s">
        <v>601</v>
      </c>
      <c r="E167" s="49">
        <v>40444</v>
      </c>
      <c r="F167" s="49" t="s">
        <v>35</v>
      </c>
      <c r="G167" s="49" t="s">
        <v>35</v>
      </c>
      <c r="H167" s="50" t="s">
        <v>659</v>
      </c>
      <c r="I167" s="50" t="s">
        <v>741</v>
      </c>
      <c r="J167" s="50" t="s">
        <v>525</v>
      </c>
      <c r="K167" s="50" t="s">
        <v>525</v>
      </c>
      <c r="L167" s="50" t="s">
        <v>742</v>
      </c>
      <c r="M167" s="50" t="s">
        <v>741</v>
      </c>
      <c r="N167" s="50" t="s">
        <v>743</v>
      </c>
      <c r="O167" s="48" t="s">
        <v>528</v>
      </c>
    </row>
    <row r="168" spans="1:15">
      <c r="A168" s="46">
        <v>10090</v>
      </c>
      <c r="B168" s="47" t="s">
        <v>505</v>
      </c>
      <c r="C168" s="48" t="s">
        <v>521</v>
      </c>
      <c r="D168" s="48" t="s">
        <v>601</v>
      </c>
      <c r="E168" s="49">
        <v>40444</v>
      </c>
      <c r="F168" s="49" t="s">
        <v>35</v>
      </c>
      <c r="G168" s="49" t="s">
        <v>35</v>
      </c>
      <c r="H168" s="50" t="s">
        <v>659</v>
      </c>
      <c r="I168" s="50" t="s">
        <v>741</v>
      </c>
      <c r="J168" s="50" t="s">
        <v>525</v>
      </c>
      <c r="K168" s="50" t="s">
        <v>525</v>
      </c>
      <c r="L168" s="50" t="s">
        <v>742</v>
      </c>
      <c r="M168" s="50" t="s">
        <v>741</v>
      </c>
      <c r="N168" s="50" t="s">
        <v>743</v>
      </c>
      <c r="O168" s="48" t="s">
        <v>528</v>
      </c>
    </row>
    <row r="169" spans="1:15">
      <c r="A169" s="46">
        <v>11791</v>
      </c>
      <c r="B169" s="47" t="s">
        <v>434</v>
      </c>
      <c r="C169" s="48" t="s">
        <v>521</v>
      </c>
      <c r="D169" s="48" t="s">
        <v>675</v>
      </c>
      <c r="E169" s="49">
        <v>40714</v>
      </c>
      <c r="F169" s="49" t="s">
        <v>35</v>
      </c>
      <c r="G169" s="49" t="s">
        <v>35</v>
      </c>
      <c r="H169" s="50" t="s">
        <v>659</v>
      </c>
      <c r="I169" s="50" t="s">
        <v>741</v>
      </c>
      <c r="J169" s="50" t="s">
        <v>525</v>
      </c>
      <c r="K169" s="50" t="s">
        <v>525</v>
      </c>
      <c r="L169" s="50" t="s">
        <v>742</v>
      </c>
      <c r="M169" s="50" t="s">
        <v>741</v>
      </c>
      <c r="N169" s="50" t="s">
        <v>743</v>
      </c>
      <c r="O169" s="48" t="s">
        <v>528</v>
      </c>
    </row>
    <row r="170" spans="1:15">
      <c r="A170" s="46">
        <v>6047</v>
      </c>
      <c r="B170" s="47" t="s">
        <v>158</v>
      </c>
      <c r="C170" s="48" t="s">
        <v>521</v>
      </c>
      <c r="D170" s="48" t="s">
        <v>591</v>
      </c>
      <c r="E170" s="49">
        <v>39142</v>
      </c>
      <c r="F170" s="49" t="s">
        <v>35</v>
      </c>
      <c r="G170" s="49" t="s">
        <v>35</v>
      </c>
      <c r="H170" s="50" t="s">
        <v>659</v>
      </c>
      <c r="I170" s="50" t="s">
        <v>741</v>
      </c>
      <c r="J170" s="50" t="s">
        <v>525</v>
      </c>
      <c r="K170" s="50" t="s">
        <v>525</v>
      </c>
      <c r="L170" s="50" t="s">
        <v>742</v>
      </c>
      <c r="M170" s="50" t="s">
        <v>741</v>
      </c>
      <c r="N170" s="50" t="s">
        <v>743</v>
      </c>
      <c r="O170" s="48" t="s">
        <v>528</v>
      </c>
    </row>
    <row r="171" spans="1:15">
      <c r="A171" s="46">
        <v>11301</v>
      </c>
      <c r="B171" s="47" t="s">
        <v>453</v>
      </c>
      <c r="C171" s="48" t="s">
        <v>521</v>
      </c>
      <c r="D171" s="48" t="s">
        <v>811</v>
      </c>
      <c r="E171" s="49">
        <v>40646</v>
      </c>
      <c r="F171" s="49" t="s">
        <v>35</v>
      </c>
      <c r="G171" s="49" t="s">
        <v>35</v>
      </c>
      <c r="H171" s="50" t="s">
        <v>659</v>
      </c>
      <c r="I171" s="50" t="s">
        <v>741</v>
      </c>
      <c r="J171" s="50" t="s">
        <v>525</v>
      </c>
      <c r="K171" s="50" t="s">
        <v>525</v>
      </c>
      <c r="L171" s="50" t="s">
        <v>742</v>
      </c>
      <c r="M171" s="50" t="s">
        <v>741</v>
      </c>
      <c r="N171" s="50" t="s">
        <v>743</v>
      </c>
      <c r="O171" s="48" t="s">
        <v>528</v>
      </c>
    </row>
    <row r="172" spans="1:15">
      <c r="A172" s="46">
        <v>294</v>
      </c>
      <c r="B172" s="47" t="s">
        <v>209</v>
      </c>
      <c r="C172" s="48" t="s">
        <v>521</v>
      </c>
      <c r="D172" s="48" t="s">
        <v>812</v>
      </c>
      <c r="E172" s="49">
        <v>37718</v>
      </c>
      <c r="F172" s="49" t="s">
        <v>35</v>
      </c>
      <c r="G172" s="49" t="s">
        <v>35</v>
      </c>
      <c r="H172" s="50" t="s">
        <v>659</v>
      </c>
      <c r="I172" s="50" t="s">
        <v>741</v>
      </c>
      <c r="J172" s="50" t="s">
        <v>525</v>
      </c>
      <c r="K172" s="50" t="s">
        <v>525</v>
      </c>
      <c r="L172" s="50" t="s">
        <v>742</v>
      </c>
      <c r="M172" s="50" t="s">
        <v>741</v>
      </c>
      <c r="N172" s="50" t="s">
        <v>743</v>
      </c>
      <c r="O172" s="48" t="s">
        <v>528</v>
      </c>
    </row>
    <row r="173" spans="1:15">
      <c r="A173" s="46">
        <v>8731</v>
      </c>
      <c r="B173" s="47" t="s">
        <v>122</v>
      </c>
      <c r="C173" s="48" t="s">
        <v>521</v>
      </c>
      <c r="D173" s="48" t="s">
        <v>782</v>
      </c>
      <c r="E173" s="49">
        <v>39904</v>
      </c>
      <c r="F173" s="49" t="s">
        <v>35</v>
      </c>
      <c r="G173" s="49" t="s">
        <v>35</v>
      </c>
      <c r="H173" s="50" t="s">
        <v>659</v>
      </c>
      <c r="I173" s="50" t="s">
        <v>741</v>
      </c>
      <c r="J173" s="50" t="s">
        <v>525</v>
      </c>
      <c r="K173" s="50" t="s">
        <v>525</v>
      </c>
      <c r="L173" s="50" t="s">
        <v>742</v>
      </c>
      <c r="M173" s="50" t="s">
        <v>741</v>
      </c>
      <c r="N173" s="50" t="s">
        <v>743</v>
      </c>
      <c r="O173" s="48" t="s">
        <v>528</v>
      </c>
    </row>
    <row r="174" spans="1:15">
      <c r="A174" s="46">
        <v>10909</v>
      </c>
      <c r="B174" s="47" t="s">
        <v>467</v>
      </c>
      <c r="C174" s="48" t="s">
        <v>521</v>
      </c>
      <c r="D174" s="48" t="s">
        <v>808</v>
      </c>
      <c r="E174" s="49">
        <v>40574</v>
      </c>
      <c r="F174" s="49" t="s">
        <v>35</v>
      </c>
      <c r="G174" s="49" t="s">
        <v>35</v>
      </c>
      <c r="H174" s="50" t="s">
        <v>659</v>
      </c>
      <c r="I174" s="50" t="s">
        <v>741</v>
      </c>
      <c r="J174" s="50" t="s">
        <v>525</v>
      </c>
      <c r="K174" s="50" t="s">
        <v>525</v>
      </c>
      <c r="L174" s="50" t="s">
        <v>742</v>
      </c>
      <c r="M174" s="50" t="s">
        <v>741</v>
      </c>
      <c r="N174" s="50" t="s">
        <v>743</v>
      </c>
      <c r="O174" s="48" t="s">
        <v>528</v>
      </c>
    </row>
    <row r="175" spans="1:15">
      <c r="A175" s="46">
        <v>12508</v>
      </c>
      <c r="B175" s="47" t="s">
        <v>409</v>
      </c>
      <c r="C175" s="48" t="s">
        <v>521</v>
      </c>
      <c r="D175" s="48" t="s">
        <v>722</v>
      </c>
      <c r="E175" s="49">
        <v>40812</v>
      </c>
      <c r="F175" s="49" t="s">
        <v>35</v>
      </c>
      <c r="G175" s="49" t="s">
        <v>35</v>
      </c>
      <c r="H175" s="50" t="s">
        <v>659</v>
      </c>
      <c r="I175" s="50" t="s">
        <v>741</v>
      </c>
      <c r="J175" s="50" t="s">
        <v>525</v>
      </c>
      <c r="K175" s="50" t="s">
        <v>525</v>
      </c>
      <c r="L175" s="50" t="s">
        <v>742</v>
      </c>
      <c r="M175" s="50" t="s">
        <v>741</v>
      </c>
      <c r="N175" s="50" t="s">
        <v>743</v>
      </c>
      <c r="O175" s="48" t="s">
        <v>528</v>
      </c>
    </row>
    <row r="176" spans="1:15">
      <c r="A176" s="46">
        <v>12936</v>
      </c>
      <c r="B176" s="47" t="s">
        <v>402</v>
      </c>
      <c r="C176" s="48" t="s">
        <v>521</v>
      </c>
      <c r="D176" s="48" t="s">
        <v>688</v>
      </c>
      <c r="E176" s="49">
        <v>40833</v>
      </c>
      <c r="F176" s="49" t="s">
        <v>35</v>
      </c>
      <c r="G176" s="49" t="s">
        <v>35</v>
      </c>
      <c r="H176" s="50" t="s">
        <v>659</v>
      </c>
      <c r="I176" s="50" t="s">
        <v>741</v>
      </c>
      <c r="J176" s="50" t="s">
        <v>525</v>
      </c>
      <c r="K176" s="50" t="s">
        <v>525</v>
      </c>
      <c r="L176" s="50" t="s">
        <v>742</v>
      </c>
      <c r="M176" s="50" t="s">
        <v>741</v>
      </c>
      <c r="N176" s="50" t="s">
        <v>743</v>
      </c>
      <c r="O176" s="48" t="s">
        <v>528</v>
      </c>
    </row>
    <row r="177" spans="1:15">
      <c r="A177" s="46">
        <v>10933</v>
      </c>
      <c r="B177" s="47" t="s">
        <v>465</v>
      </c>
      <c r="C177" s="48" t="s">
        <v>521</v>
      </c>
      <c r="D177" s="48" t="s">
        <v>670</v>
      </c>
      <c r="E177" s="49">
        <v>40578</v>
      </c>
      <c r="F177" s="49" t="s">
        <v>35</v>
      </c>
      <c r="G177" s="49" t="s">
        <v>35</v>
      </c>
      <c r="H177" s="50" t="s">
        <v>659</v>
      </c>
      <c r="I177" s="50" t="s">
        <v>741</v>
      </c>
      <c r="J177" s="50" t="s">
        <v>525</v>
      </c>
      <c r="K177" s="50" t="s">
        <v>525</v>
      </c>
      <c r="L177" s="50" t="s">
        <v>742</v>
      </c>
      <c r="M177" s="50" t="s">
        <v>741</v>
      </c>
      <c r="N177" s="50" t="s">
        <v>743</v>
      </c>
      <c r="O177" s="48" t="s">
        <v>528</v>
      </c>
    </row>
    <row r="178" spans="1:15">
      <c r="A178" s="46">
        <v>8821</v>
      </c>
      <c r="B178" s="47" t="s">
        <v>120</v>
      </c>
      <c r="C178" s="48" t="s">
        <v>521</v>
      </c>
      <c r="D178" s="48" t="s">
        <v>813</v>
      </c>
      <c r="E178" s="49">
        <v>39937</v>
      </c>
      <c r="F178" s="49" t="s">
        <v>35</v>
      </c>
      <c r="G178" s="49" t="s">
        <v>35</v>
      </c>
      <c r="H178" s="50" t="s">
        <v>659</v>
      </c>
      <c r="I178" s="50" t="s">
        <v>741</v>
      </c>
      <c r="J178" s="50" t="s">
        <v>525</v>
      </c>
      <c r="K178" s="50" t="s">
        <v>525</v>
      </c>
      <c r="L178" s="50" t="s">
        <v>742</v>
      </c>
      <c r="M178" s="50" t="s">
        <v>741</v>
      </c>
      <c r="N178" s="50" t="s">
        <v>743</v>
      </c>
      <c r="O178" s="48" t="s">
        <v>528</v>
      </c>
    </row>
    <row r="179" spans="1:15">
      <c r="A179" s="46">
        <v>8834</v>
      </c>
      <c r="B179" s="47" t="s">
        <v>118</v>
      </c>
      <c r="C179" s="48" t="s">
        <v>521</v>
      </c>
      <c r="D179" s="48" t="s">
        <v>813</v>
      </c>
      <c r="E179" s="49">
        <v>39937</v>
      </c>
      <c r="F179" s="49" t="s">
        <v>35</v>
      </c>
      <c r="G179" s="49" t="s">
        <v>35</v>
      </c>
      <c r="H179" s="50" t="s">
        <v>659</v>
      </c>
      <c r="I179" s="50" t="s">
        <v>741</v>
      </c>
      <c r="J179" s="50" t="s">
        <v>525</v>
      </c>
      <c r="K179" s="50" t="s">
        <v>525</v>
      </c>
      <c r="L179" s="50" t="s">
        <v>742</v>
      </c>
      <c r="M179" s="50" t="s">
        <v>741</v>
      </c>
      <c r="N179" s="50" t="s">
        <v>743</v>
      </c>
      <c r="O179" s="48" t="s">
        <v>528</v>
      </c>
    </row>
    <row r="180" spans="1:15">
      <c r="A180" s="46">
        <v>20741</v>
      </c>
      <c r="B180" s="47" t="s">
        <v>814</v>
      </c>
      <c r="C180" s="48" t="s">
        <v>521</v>
      </c>
      <c r="D180" s="48" t="s">
        <v>815</v>
      </c>
      <c r="E180" s="49">
        <v>42642</v>
      </c>
      <c r="F180" s="49">
        <v>43132</v>
      </c>
      <c r="G180" s="49">
        <v>43496</v>
      </c>
      <c r="H180" s="50" t="s">
        <v>659</v>
      </c>
      <c r="I180" s="50" t="s">
        <v>741</v>
      </c>
      <c r="J180" s="50" t="s">
        <v>525</v>
      </c>
      <c r="K180" s="50" t="s">
        <v>525</v>
      </c>
      <c r="L180" s="50" t="s">
        <v>742</v>
      </c>
      <c r="M180" s="50" t="s">
        <v>741</v>
      </c>
      <c r="N180" s="50" t="s">
        <v>743</v>
      </c>
      <c r="O180" s="48" t="s">
        <v>528</v>
      </c>
    </row>
    <row r="181" spans="1:15">
      <c r="A181" s="46">
        <v>12564</v>
      </c>
      <c r="B181" s="47" t="s">
        <v>407</v>
      </c>
      <c r="C181" s="48" t="s">
        <v>521</v>
      </c>
      <c r="D181" s="48" t="s">
        <v>722</v>
      </c>
      <c r="E181" s="49">
        <v>40812</v>
      </c>
      <c r="F181" s="49" t="s">
        <v>35</v>
      </c>
      <c r="G181" s="49" t="s">
        <v>35</v>
      </c>
      <c r="H181" s="50" t="s">
        <v>659</v>
      </c>
      <c r="I181" s="50" t="s">
        <v>741</v>
      </c>
      <c r="J181" s="50" t="s">
        <v>525</v>
      </c>
      <c r="K181" s="50" t="s">
        <v>525</v>
      </c>
      <c r="L181" s="50" t="s">
        <v>742</v>
      </c>
      <c r="M181" s="50" t="s">
        <v>741</v>
      </c>
      <c r="N181" s="50" t="s">
        <v>743</v>
      </c>
      <c r="O181" s="48" t="s">
        <v>528</v>
      </c>
    </row>
    <row r="182" spans="1:15">
      <c r="A182" s="46">
        <v>9237</v>
      </c>
      <c r="B182" s="47" t="s">
        <v>816</v>
      </c>
      <c r="C182" s="48" t="s">
        <v>521</v>
      </c>
      <c r="D182" s="48" t="s">
        <v>658</v>
      </c>
      <c r="E182" s="49">
        <v>40008</v>
      </c>
      <c r="F182" s="49" t="s">
        <v>35</v>
      </c>
      <c r="G182" s="49" t="s">
        <v>35</v>
      </c>
      <c r="H182" s="50" t="s">
        <v>659</v>
      </c>
      <c r="I182" s="50" t="s">
        <v>741</v>
      </c>
      <c r="J182" s="50" t="s">
        <v>525</v>
      </c>
      <c r="K182" s="50" t="s">
        <v>525</v>
      </c>
      <c r="L182" s="50" t="s">
        <v>742</v>
      </c>
      <c r="M182" s="50" t="s">
        <v>741</v>
      </c>
      <c r="N182" s="50" t="s">
        <v>743</v>
      </c>
      <c r="O182" s="48" t="s">
        <v>528</v>
      </c>
    </row>
    <row r="183" spans="1:15">
      <c r="A183" s="46">
        <v>4855</v>
      </c>
      <c r="B183" s="47" t="s">
        <v>200</v>
      </c>
      <c r="C183" s="48" t="s">
        <v>521</v>
      </c>
      <c r="D183" s="48" t="s">
        <v>756</v>
      </c>
      <c r="E183" s="49">
        <v>38930</v>
      </c>
      <c r="F183" s="49" t="s">
        <v>35</v>
      </c>
      <c r="G183" s="49" t="s">
        <v>35</v>
      </c>
      <c r="H183" s="50" t="s">
        <v>659</v>
      </c>
      <c r="I183" s="50" t="s">
        <v>741</v>
      </c>
      <c r="J183" s="50" t="s">
        <v>525</v>
      </c>
      <c r="K183" s="50" t="s">
        <v>525</v>
      </c>
      <c r="L183" s="50" t="s">
        <v>742</v>
      </c>
      <c r="M183" s="50" t="s">
        <v>741</v>
      </c>
      <c r="N183" s="50" t="s">
        <v>743</v>
      </c>
      <c r="O183" s="48" t="s">
        <v>528</v>
      </c>
    </row>
    <row r="184" spans="1:15">
      <c r="A184" s="46">
        <v>12274</v>
      </c>
      <c r="B184" s="47" t="s">
        <v>415</v>
      </c>
      <c r="C184" s="48" t="s">
        <v>521</v>
      </c>
      <c r="D184" s="48" t="s">
        <v>817</v>
      </c>
      <c r="E184" s="49">
        <v>40805</v>
      </c>
      <c r="F184" s="49" t="s">
        <v>35</v>
      </c>
      <c r="G184" s="49" t="s">
        <v>35</v>
      </c>
      <c r="H184" s="50" t="s">
        <v>659</v>
      </c>
      <c r="I184" s="50" t="s">
        <v>741</v>
      </c>
      <c r="J184" s="50" t="s">
        <v>525</v>
      </c>
      <c r="K184" s="50" t="s">
        <v>525</v>
      </c>
      <c r="L184" s="50" t="s">
        <v>742</v>
      </c>
      <c r="M184" s="50" t="s">
        <v>741</v>
      </c>
      <c r="N184" s="50" t="s">
        <v>743</v>
      </c>
      <c r="O184" s="48" t="s">
        <v>528</v>
      </c>
    </row>
    <row r="185" spans="1:15">
      <c r="A185" s="46">
        <v>13194</v>
      </c>
      <c r="B185" s="47" t="s">
        <v>818</v>
      </c>
      <c r="C185" s="48" t="s">
        <v>521</v>
      </c>
      <c r="D185" s="48" t="s">
        <v>819</v>
      </c>
      <c r="E185" s="49">
        <v>40904</v>
      </c>
      <c r="F185" s="49" t="s">
        <v>35</v>
      </c>
      <c r="G185" s="49" t="s">
        <v>35</v>
      </c>
      <c r="H185" s="50" t="s">
        <v>659</v>
      </c>
      <c r="I185" s="50" t="s">
        <v>741</v>
      </c>
      <c r="J185" s="50" t="s">
        <v>525</v>
      </c>
      <c r="K185" s="50" t="s">
        <v>525</v>
      </c>
      <c r="L185" s="50" t="s">
        <v>742</v>
      </c>
      <c r="M185" s="50" t="s">
        <v>741</v>
      </c>
      <c r="N185" s="50" t="s">
        <v>743</v>
      </c>
      <c r="O185" s="48" t="s">
        <v>528</v>
      </c>
    </row>
    <row r="186" spans="1:15">
      <c r="A186" s="46">
        <v>20659</v>
      </c>
      <c r="B186" s="47" t="s">
        <v>172</v>
      </c>
      <c r="C186" s="48" t="s">
        <v>521</v>
      </c>
      <c r="D186" s="48" t="s">
        <v>673</v>
      </c>
      <c r="E186" s="49">
        <v>42639</v>
      </c>
      <c r="F186" s="49">
        <v>43132</v>
      </c>
      <c r="G186" s="49">
        <v>43496</v>
      </c>
      <c r="H186" s="50" t="s">
        <v>659</v>
      </c>
      <c r="I186" s="50" t="s">
        <v>741</v>
      </c>
      <c r="J186" s="50" t="s">
        <v>525</v>
      </c>
      <c r="K186" s="50" t="s">
        <v>525</v>
      </c>
      <c r="L186" s="50" t="s">
        <v>742</v>
      </c>
      <c r="M186" s="50" t="s">
        <v>741</v>
      </c>
      <c r="N186" s="50" t="s">
        <v>743</v>
      </c>
      <c r="O186" s="48" t="s">
        <v>528</v>
      </c>
    </row>
    <row r="187" spans="1:15">
      <c r="A187" s="46">
        <v>11696</v>
      </c>
      <c r="B187" s="47" t="s">
        <v>820</v>
      </c>
      <c r="C187" s="48" t="s">
        <v>521</v>
      </c>
      <c r="D187" s="48" t="s">
        <v>675</v>
      </c>
      <c r="E187" s="49">
        <v>40714</v>
      </c>
      <c r="F187" s="49" t="s">
        <v>35</v>
      </c>
      <c r="G187" s="49" t="s">
        <v>35</v>
      </c>
      <c r="H187" s="50" t="s">
        <v>659</v>
      </c>
      <c r="I187" s="50" t="s">
        <v>741</v>
      </c>
      <c r="J187" s="50" t="s">
        <v>525</v>
      </c>
      <c r="K187" s="50" t="s">
        <v>525</v>
      </c>
      <c r="L187" s="50" t="s">
        <v>742</v>
      </c>
      <c r="M187" s="50" t="s">
        <v>741</v>
      </c>
      <c r="N187" s="50" t="s">
        <v>743</v>
      </c>
      <c r="O187" s="48" t="s">
        <v>528</v>
      </c>
    </row>
    <row r="188" spans="1:15">
      <c r="A188" s="51">
        <v>12521</v>
      </c>
      <c r="B188" s="52" t="s">
        <v>821</v>
      </c>
      <c r="C188" s="53" t="s">
        <v>521</v>
      </c>
      <c r="D188" s="53" t="s">
        <v>722</v>
      </c>
      <c r="E188" s="54">
        <v>40812</v>
      </c>
      <c r="F188" s="54" t="s">
        <v>35</v>
      </c>
      <c r="G188" s="54" t="s">
        <v>35</v>
      </c>
      <c r="H188" s="53" t="s">
        <v>659</v>
      </c>
      <c r="I188" s="53" t="s">
        <v>741</v>
      </c>
      <c r="J188" s="53" t="s">
        <v>525</v>
      </c>
      <c r="K188" s="53" t="s">
        <v>525</v>
      </c>
      <c r="L188" s="53" t="s">
        <v>742</v>
      </c>
      <c r="M188" s="53" t="s">
        <v>822</v>
      </c>
      <c r="N188" s="53" t="s">
        <v>743</v>
      </c>
      <c r="O188" s="53" t="s">
        <v>528</v>
      </c>
    </row>
    <row r="189" spans="1:15">
      <c r="A189" s="51">
        <v>8808</v>
      </c>
      <c r="B189" s="52" t="s">
        <v>823</v>
      </c>
      <c r="C189" s="53" t="s">
        <v>521</v>
      </c>
      <c r="D189" s="53" t="s">
        <v>747</v>
      </c>
      <c r="E189" s="54">
        <v>39931</v>
      </c>
      <c r="F189" s="54" t="s">
        <v>35</v>
      </c>
      <c r="G189" s="54" t="s">
        <v>35</v>
      </c>
      <c r="H189" s="53" t="s">
        <v>659</v>
      </c>
      <c r="I189" s="53" t="s">
        <v>741</v>
      </c>
      <c r="J189" s="53" t="s">
        <v>525</v>
      </c>
      <c r="K189" s="53" t="s">
        <v>525</v>
      </c>
      <c r="L189" s="53" t="s">
        <v>742</v>
      </c>
      <c r="M189" s="53" t="s">
        <v>822</v>
      </c>
      <c r="N189" s="53" t="s">
        <v>743</v>
      </c>
      <c r="O189" s="53" t="s">
        <v>528</v>
      </c>
    </row>
    <row r="190" spans="1:15">
      <c r="A190" s="51">
        <v>10331</v>
      </c>
      <c r="B190" s="52" t="s">
        <v>824</v>
      </c>
      <c r="C190" s="53" t="s">
        <v>521</v>
      </c>
      <c r="D190" s="53" t="s">
        <v>825</v>
      </c>
      <c r="E190" s="54">
        <v>40511</v>
      </c>
      <c r="F190" s="54" t="s">
        <v>35</v>
      </c>
      <c r="G190" s="54" t="s">
        <v>35</v>
      </c>
      <c r="H190" s="53" t="s">
        <v>659</v>
      </c>
      <c r="I190" s="53" t="s">
        <v>741</v>
      </c>
      <c r="J190" s="53" t="s">
        <v>525</v>
      </c>
      <c r="K190" s="53" t="s">
        <v>525</v>
      </c>
      <c r="L190" s="53" t="s">
        <v>742</v>
      </c>
      <c r="M190" s="53" t="s">
        <v>822</v>
      </c>
      <c r="N190" s="53" t="s">
        <v>743</v>
      </c>
      <c r="O190" s="53" t="s">
        <v>528</v>
      </c>
    </row>
    <row r="191" spans="1:15">
      <c r="A191" s="51">
        <v>938</v>
      </c>
      <c r="B191" s="52" t="s">
        <v>826</v>
      </c>
      <c r="C191" s="53" t="s">
        <v>521</v>
      </c>
      <c r="D191" s="53" t="s">
        <v>827</v>
      </c>
      <c r="E191" s="54">
        <v>37865</v>
      </c>
      <c r="F191" s="54" t="s">
        <v>35</v>
      </c>
      <c r="G191" s="54" t="s">
        <v>35</v>
      </c>
      <c r="H191" s="53" t="s">
        <v>659</v>
      </c>
      <c r="I191" s="53" t="s">
        <v>741</v>
      </c>
      <c r="J191" s="53" t="s">
        <v>525</v>
      </c>
      <c r="K191" s="53" t="s">
        <v>525</v>
      </c>
      <c r="L191" s="53" t="s">
        <v>742</v>
      </c>
      <c r="M191" s="53" t="s">
        <v>822</v>
      </c>
      <c r="N191" s="53" t="s">
        <v>743</v>
      </c>
      <c r="O191" s="53" t="s">
        <v>528</v>
      </c>
    </row>
    <row r="192" spans="1:15">
      <c r="A192" s="51">
        <v>11267</v>
      </c>
      <c r="B192" s="52" t="s">
        <v>459</v>
      </c>
      <c r="C192" s="53" t="s">
        <v>521</v>
      </c>
      <c r="D192" s="53" t="s">
        <v>828</v>
      </c>
      <c r="E192" s="54">
        <v>40617</v>
      </c>
      <c r="F192" s="54" t="s">
        <v>35</v>
      </c>
      <c r="G192" s="54" t="s">
        <v>35</v>
      </c>
      <c r="H192" s="53" t="s">
        <v>659</v>
      </c>
      <c r="I192" s="53" t="s">
        <v>741</v>
      </c>
      <c r="J192" s="53" t="s">
        <v>525</v>
      </c>
      <c r="K192" s="53" t="s">
        <v>525</v>
      </c>
      <c r="L192" s="53" t="s">
        <v>742</v>
      </c>
      <c r="M192" s="53" t="s">
        <v>822</v>
      </c>
      <c r="N192" s="53" t="s">
        <v>743</v>
      </c>
      <c r="O192" s="53" t="s">
        <v>528</v>
      </c>
    </row>
    <row r="193" spans="1:15">
      <c r="A193" s="51">
        <v>11827</v>
      </c>
      <c r="B193" s="52" t="s">
        <v>829</v>
      </c>
      <c r="C193" s="53" t="s">
        <v>521</v>
      </c>
      <c r="D193" s="53" t="s">
        <v>799</v>
      </c>
      <c r="E193" s="54">
        <v>40721</v>
      </c>
      <c r="F193" s="54" t="s">
        <v>35</v>
      </c>
      <c r="G193" s="54" t="s">
        <v>35</v>
      </c>
      <c r="H193" s="53" t="s">
        <v>659</v>
      </c>
      <c r="I193" s="53" t="s">
        <v>741</v>
      </c>
      <c r="J193" s="53" t="s">
        <v>525</v>
      </c>
      <c r="K193" s="53" t="s">
        <v>525</v>
      </c>
      <c r="L193" s="53" t="s">
        <v>742</v>
      </c>
      <c r="M193" s="53" t="s">
        <v>822</v>
      </c>
      <c r="N193" s="53" t="s">
        <v>743</v>
      </c>
      <c r="O193" s="53" t="s">
        <v>528</v>
      </c>
    </row>
    <row r="194" spans="1:15">
      <c r="A194" s="51">
        <v>324</v>
      </c>
      <c r="B194" s="52" t="s">
        <v>174</v>
      </c>
      <c r="C194" s="53" t="s">
        <v>521</v>
      </c>
      <c r="D194" s="53" t="s">
        <v>705</v>
      </c>
      <c r="E194" s="54">
        <v>37725</v>
      </c>
      <c r="F194" s="54" t="s">
        <v>35</v>
      </c>
      <c r="G194" s="54" t="s">
        <v>35</v>
      </c>
      <c r="H194" s="53" t="s">
        <v>659</v>
      </c>
      <c r="I194" s="53" t="s">
        <v>741</v>
      </c>
      <c r="J194" s="53" t="s">
        <v>525</v>
      </c>
      <c r="K194" s="53" t="s">
        <v>525</v>
      </c>
      <c r="L194" s="53" t="s">
        <v>742</v>
      </c>
      <c r="M194" s="53" t="s">
        <v>822</v>
      </c>
      <c r="N194" s="53" t="s">
        <v>743</v>
      </c>
      <c r="O194" s="53" t="s">
        <v>528</v>
      </c>
    </row>
    <row r="195" spans="1:15">
      <c r="A195" s="51">
        <v>1306</v>
      </c>
      <c r="B195" s="52" t="s">
        <v>830</v>
      </c>
      <c r="C195" s="53" t="s">
        <v>521</v>
      </c>
      <c r="D195" s="53" t="s">
        <v>831</v>
      </c>
      <c r="E195" s="54">
        <v>37928</v>
      </c>
      <c r="F195" s="54" t="s">
        <v>35</v>
      </c>
      <c r="G195" s="54" t="s">
        <v>35</v>
      </c>
      <c r="H195" s="53" t="s">
        <v>659</v>
      </c>
      <c r="I195" s="53" t="s">
        <v>741</v>
      </c>
      <c r="J195" s="53" t="s">
        <v>525</v>
      </c>
      <c r="K195" s="53" t="s">
        <v>525</v>
      </c>
      <c r="L195" s="53" t="s">
        <v>742</v>
      </c>
      <c r="M195" s="53" t="s">
        <v>822</v>
      </c>
      <c r="N195" s="53" t="s">
        <v>743</v>
      </c>
      <c r="O195" s="53" t="s">
        <v>528</v>
      </c>
    </row>
    <row r="196" spans="1:15">
      <c r="A196" s="55">
        <v>13789</v>
      </c>
      <c r="B196" s="56" t="s">
        <v>832</v>
      </c>
      <c r="C196" s="57" t="s">
        <v>521</v>
      </c>
      <c r="D196" s="57" t="s">
        <v>833</v>
      </c>
      <c r="E196" s="58">
        <v>41213</v>
      </c>
      <c r="F196" s="58" t="s">
        <v>35</v>
      </c>
      <c r="G196" s="58" t="s">
        <v>35</v>
      </c>
      <c r="H196" s="59" t="s">
        <v>659</v>
      </c>
      <c r="I196" s="59" t="s">
        <v>834</v>
      </c>
      <c r="J196" s="60" t="s">
        <v>525</v>
      </c>
      <c r="K196" s="60" t="s">
        <v>525</v>
      </c>
      <c r="L196" s="60" t="s">
        <v>835</v>
      </c>
      <c r="M196" s="60" t="s">
        <v>834</v>
      </c>
      <c r="N196" s="60" t="s">
        <v>743</v>
      </c>
      <c r="O196" s="60" t="s">
        <v>35</v>
      </c>
    </row>
    <row r="197" spans="1:15">
      <c r="A197" s="55">
        <v>10048</v>
      </c>
      <c r="B197" s="56" t="s">
        <v>836</v>
      </c>
      <c r="C197" s="57" t="s">
        <v>521</v>
      </c>
      <c r="D197" s="57" t="s">
        <v>762</v>
      </c>
      <c r="E197" s="58">
        <v>40438</v>
      </c>
      <c r="F197" s="58" t="s">
        <v>35</v>
      </c>
      <c r="G197" s="58" t="s">
        <v>35</v>
      </c>
      <c r="H197" s="59" t="s">
        <v>659</v>
      </c>
      <c r="I197" s="59" t="s">
        <v>834</v>
      </c>
      <c r="J197" s="60" t="s">
        <v>525</v>
      </c>
      <c r="K197" s="60" t="s">
        <v>525</v>
      </c>
      <c r="L197" s="60" t="s">
        <v>835</v>
      </c>
      <c r="M197" s="60" t="s">
        <v>834</v>
      </c>
      <c r="N197" s="60" t="s">
        <v>743</v>
      </c>
      <c r="O197" s="60" t="s">
        <v>35</v>
      </c>
    </row>
    <row r="198" spans="1:15">
      <c r="A198" s="55">
        <v>10767</v>
      </c>
      <c r="B198" s="56" t="s">
        <v>837</v>
      </c>
      <c r="C198" s="57" t="s">
        <v>521</v>
      </c>
      <c r="D198" s="57" t="s">
        <v>838</v>
      </c>
      <c r="E198" s="58">
        <v>40567</v>
      </c>
      <c r="F198" s="58" t="s">
        <v>35</v>
      </c>
      <c r="G198" s="58" t="s">
        <v>35</v>
      </c>
      <c r="H198" s="59" t="s">
        <v>659</v>
      </c>
      <c r="I198" s="59" t="s">
        <v>834</v>
      </c>
      <c r="J198" s="60" t="s">
        <v>525</v>
      </c>
      <c r="K198" s="60" t="s">
        <v>525</v>
      </c>
      <c r="L198" s="60" t="s">
        <v>835</v>
      </c>
      <c r="M198" s="60" t="s">
        <v>834</v>
      </c>
      <c r="N198" s="60" t="s">
        <v>743</v>
      </c>
      <c r="O198" s="60" t="s">
        <v>35</v>
      </c>
    </row>
    <row r="199" spans="1:15">
      <c r="A199" s="55">
        <v>11836</v>
      </c>
      <c r="B199" s="56" t="s">
        <v>839</v>
      </c>
      <c r="C199" s="57" t="s">
        <v>521</v>
      </c>
      <c r="D199" s="57" t="s">
        <v>799</v>
      </c>
      <c r="E199" s="58">
        <v>40721</v>
      </c>
      <c r="F199" s="58" t="s">
        <v>35</v>
      </c>
      <c r="G199" s="58" t="s">
        <v>35</v>
      </c>
      <c r="H199" s="59" t="s">
        <v>659</v>
      </c>
      <c r="I199" s="59" t="s">
        <v>834</v>
      </c>
      <c r="J199" s="60" t="s">
        <v>525</v>
      </c>
      <c r="K199" s="60" t="s">
        <v>525</v>
      </c>
      <c r="L199" s="60" t="s">
        <v>835</v>
      </c>
      <c r="M199" s="60" t="s">
        <v>834</v>
      </c>
      <c r="N199" s="60" t="s">
        <v>743</v>
      </c>
      <c r="O199" s="60" t="s">
        <v>35</v>
      </c>
    </row>
    <row r="200" spans="1:15">
      <c r="A200" s="55">
        <v>11549</v>
      </c>
      <c r="B200" s="56" t="s">
        <v>840</v>
      </c>
      <c r="C200" s="57" t="s">
        <v>521</v>
      </c>
      <c r="D200" s="57" t="s">
        <v>841</v>
      </c>
      <c r="E200" s="58">
        <v>40707</v>
      </c>
      <c r="F200" s="58" t="s">
        <v>35</v>
      </c>
      <c r="G200" s="58" t="s">
        <v>35</v>
      </c>
      <c r="H200" s="59" t="s">
        <v>659</v>
      </c>
      <c r="I200" s="59" t="s">
        <v>834</v>
      </c>
      <c r="J200" s="60" t="s">
        <v>525</v>
      </c>
      <c r="K200" s="60" t="s">
        <v>525</v>
      </c>
      <c r="L200" s="60" t="s">
        <v>835</v>
      </c>
      <c r="M200" s="60" t="s">
        <v>834</v>
      </c>
      <c r="N200" s="60" t="s">
        <v>743</v>
      </c>
      <c r="O200" s="60" t="s">
        <v>35</v>
      </c>
    </row>
    <row r="201" spans="1:15">
      <c r="A201" s="55">
        <v>9458</v>
      </c>
      <c r="B201" s="56" t="s">
        <v>842</v>
      </c>
      <c r="C201" s="57" t="s">
        <v>521</v>
      </c>
      <c r="D201" s="57" t="s">
        <v>658</v>
      </c>
      <c r="E201" s="58">
        <v>40148</v>
      </c>
      <c r="F201" s="58" t="s">
        <v>35</v>
      </c>
      <c r="G201" s="58" t="s">
        <v>35</v>
      </c>
      <c r="H201" s="59" t="s">
        <v>659</v>
      </c>
      <c r="I201" s="59" t="s">
        <v>834</v>
      </c>
      <c r="J201" s="60" t="s">
        <v>525</v>
      </c>
      <c r="K201" s="60" t="s">
        <v>525</v>
      </c>
      <c r="L201" s="60" t="s">
        <v>835</v>
      </c>
      <c r="M201" s="60" t="s">
        <v>834</v>
      </c>
      <c r="N201" s="60" t="s">
        <v>743</v>
      </c>
      <c r="O201" s="60" t="s">
        <v>35</v>
      </c>
    </row>
    <row r="202" spans="1:15">
      <c r="A202" s="55">
        <v>10254</v>
      </c>
      <c r="B202" s="56" t="s">
        <v>843</v>
      </c>
      <c r="C202" s="57" t="s">
        <v>521</v>
      </c>
      <c r="D202" s="57" t="s">
        <v>681</v>
      </c>
      <c r="E202" s="58">
        <v>40497</v>
      </c>
      <c r="F202" s="58" t="s">
        <v>35</v>
      </c>
      <c r="G202" s="58" t="s">
        <v>35</v>
      </c>
      <c r="H202" s="59" t="s">
        <v>659</v>
      </c>
      <c r="I202" s="59" t="s">
        <v>834</v>
      </c>
      <c r="J202" s="60" t="s">
        <v>525</v>
      </c>
      <c r="K202" s="60" t="s">
        <v>525</v>
      </c>
      <c r="L202" s="60" t="s">
        <v>835</v>
      </c>
      <c r="M202" s="60" t="s">
        <v>834</v>
      </c>
      <c r="N202" s="60" t="s">
        <v>743</v>
      </c>
      <c r="O202" s="60" t="s">
        <v>35</v>
      </c>
    </row>
    <row r="203" spans="1:15">
      <c r="A203" s="55">
        <v>9145</v>
      </c>
      <c r="B203" s="56" t="s">
        <v>844</v>
      </c>
      <c r="C203" s="57" t="s">
        <v>521</v>
      </c>
      <c r="D203" s="57" t="s">
        <v>653</v>
      </c>
      <c r="E203" s="58">
        <v>40000</v>
      </c>
      <c r="F203" s="58" t="s">
        <v>35</v>
      </c>
      <c r="G203" s="58" t="s">
        <v>35</v>
      </c>
      <c r="H203" s="59" t="s">
        <v>659</v>
      </c>
      <c r="I203" s="59" t="s">
        <v>834</v>
      </c>
      <c r="J203" s="60" t="s">
        <v>525</v>
      </c>
      <c r="K203" s="60" t="s">
        <v>525</v>
      </c>
      <c r="L203" s="60" t="s">
        <v>835</v>
      </c>
      <c r="M203" s="60" t="s">
        <v>834</v>
      </c>
      <c r="N203" s="60" t="s">
        <v>743</v>
      </c>
      <c r="O203" s="60" t="s">
        <v>35</v>
      </c>
    </row>
    <row r="204" spans="1:15">
      <c r="A204" s="55">
        <v>5796</v>
      </c>
      <c r="B204" s="56" t="s">
        <v>845</v>
      </c>
      <c r="C204" s="57" t="s">
        <v>521</v>
      </c>
      <c r="D204" s="57" t="s">
        <v>794</v>
      </c>
      <c r="E204" s="58">
        <v>39114</v>
      </c>
      <c r="F204" s="58" t="s">
        <v>35</v>
      </c>
      <c r="G204" s="58" t="s">
        <v>35</v>
      </c>
      <c r="H204" s="59" t="s">
        <v>659</v>
      </c>
      <c r="I204" s="59" t="s">
        <v>834</v>
      </c>
      <c r="J204" s="60" t="s">
        <v>525</v>
      </c>
      <c r="K204" s="60" t="s">
        <v>525</v>
      </c>
      <c r="L204" s="60" t="s">
        <v>835</v>
      </c>
      <c r="M204" s="60" t="s">
        <v>834</v>
      </c>
      <c r="N204" s="60" t="s">
        <v>743</v>
      </c>
      <c r="O204" s="60" t="s">
        <v>35</v>
      </c>
    </row>
    <row r="205" spans="1:15">
      <c r="A205" s="55">
        <v>10646</v>
      </c>
      <c r="B205" s="56" t="s">
        <v>846</v>
      </c>
      <c r="C205" s="57" t="s">
        <v>521</v>
      </c>
      <c r="D205" s="57" t="s">
        <v>847</v>
      </c>
      <c r="E205" s="58">
        <v>40553</v>
      </c>
      <c r="F205" s="58" t="s">
        <v>35</v>
      </c>
      <c r="G205" s="58" t="s">
        <v>35</v>
      </c>
      <c r="H205" s="59" t="s">
        <v>659</v>
      </c>
      <c r="I205" s="59" t="s">
        <v>834</v>
      </c>
      <c r="J205" s="60" t="s">
        <v>525</v>
      </c>
      <c r="K205" s="60" t="s">
        <v>525</v>
      </c>
      <c r="L205" s="60" t="s">
        <v>835</v>
      </c>
      <c r="M205" s="60" t="s">
        <v>834</v>
      </c>
      <c r="N205" s="60" t="s">
        <v>743</v>
      </c>
      <c r="O205" s="60" t="s">
        <v>35</v>
      </c>
    </row>
    <row r="206" spans="1:15">
      <c r="A206" s="61">
        <v>17833</v>
      </c>
      <c r="B206" s="62" t="s">
        <v>848</v>
      </c>
      <c r="C206" s="63" t="s">
        <v>521</v>
      </c>
      <c r="D206" s="63" t="s">
        <v>849</v>
      </c>
      <c r="E206" s="64">
        <v>41820</v>
      </c>
      <c r="F206" s="64" t="s">
        <v>35</v>
      </c>
      <c r="G206" s="64" t="s">
        <v>35</v>
      </c>
      <c r="H206" s="65" t="s">
        <v>659</v>
      </c>
      <c r="I206" s="65" t="s">
        <v>834</v>
      </c>
      <c r="J206" s="66" t="s">
        <v>525</v>
      </c>
      <c r="K206" s="66" t="s">
        <v>525</v>
      </c>
      <c r="L206" s="66" t="s">
        <v>850</v>
      </c>
      <c r="M206" s="66" t="s">
        <v>834</v>
      </c>
      <c r="N206" s="66" t="s">
        <v>743</v>
      </c>
      <c r="O206" s="66" t="s">
        <v>35</v>
      </c>
    </row>
    <row r="207" spans="1:15">
      <c r="A207" s="61">
        <v>10062</v>
      </c>
      <c r="B207" s="62" t="s">
        <v>851</v>
      </c>
      <c r="C207" s="63" t="s">
        <v>521</v>
      </c>
      <c r="D207" s="63" t="s">
        <v>762</v>
      </c>
      <c r="E207" s="64">
        <v>40438</v>
      </c>
      <c r="F207" s="64" t="s">
        <v>35</v>
      </c>
      <c r="G207" s="64" t="s">
        <v>35</v>
      </c>
      <c r="H207" s="65" t="s">
        <v>659</v>
      </c>
      <c r="I207" s="65" t="s">
        <v>834</v>
      </c>
      <c r="J207" s="66" t="s">
        <v>525</v>
      </c>
      <c r="K207" s="66" t="s">
        <v>525</v>
      </c>
      <c r="L207" s="66" t="s">
        <v>850</v>
      </c>
      <c r="M207" s="66" t="s">
        <v>834</v>
      </c>
      <c r="N207" s="66" t="s">
        <v>743</v>
      </c>
      <c r="O207" s="66" t="s">
        <v>35</v>
      </c>
    </row>
    <row r="208" spans="1:15">
      <c r="A208" s="61">
        <v>17672</v>
      </c>
      <c r="B208" s="62" t="s">
        <v>852</v>
      </c>
      <c r="C208" s="63" t="s">
        <v>521</v>
      </c>
      <c r="D208" s="63" t="s">
        <v>853</v>
      </c>
      <c r="E208" s="64">
        <v>41792</v>
      </c>
      <c r="F208" s="64" t="s">
        <v>35</v>
      </c>
      <c r="G208" s="64" t="s">
        <v>35</v>
      </c>
      <c r="H208" s="65" t="s">
        <v>659</v>
      </c>
      <c r="I208" s="65" t="s">
        <v>834</v>
      </c>
      <c r="J208" s="66" t="s">
        <v>525</v>
      </c>
      <c r="K208" s="66" t="s">
        <v>525</v>
      </c>
      <c r="L208" s="66" t="s">
        <v>850</v>
      </c>
      <c r="M208" s="66" t="s">
        <v>834</v>
      </c>
      <c r="N208" s="66" t="s">
        <v>743</v>
      </c>
      <c r="O208" s="66" t="s">
        <v>35</v>
      </c>
    </row>
    <row r="209" spans="1:15">
      <c r="A209" s="61">
        <v>18970</v>
      </c>
      <c r="B209" s="62" t="s">
        <v>854</v>
      </c>
      <c r="C209" s="63" t="s">
        <v>521</v>
      </c>
      <c r="D209" s="63" t="s">
        <v>855</v>
      </c>
      <c r="E209" s="64">
        <v>42214</v>
      </c>
      <c r="F209" s="64" t="s">
        <v>35</v>
      </c>
      <c r="G209" s="64" t="s">
        <v>35</v>
      </c>
      <c r="H209" s="65" t="s">
        <v>659</v>
      </c>
      <c r="I209" s="65" t="s">
        <v>834</v>
      </c>
      <c r="J209" s="66" t="s">
        <v>525</v>
      </c>
      <c r="K209" s="66" t="s">
        <v>525</v>
      </c>
      <c r="L209" s="66" t="s">
        <v>850</v>
      </c>
      <c r="M209" s="66" t="s">
        <v>834</v>
      </c>
      <c r="N209" s="66" t="s">
        <v>743</v>
      </c>
      <c r="O209" s="66" t="s">
        <v>35</v>
      </c>
    </row>
    <row r="210" spans="1:15">
      <c r="A210" s="61">
        <v>12444</v>
      </c>
      <c r="B210" s="62" t="s">
        <v>856</v>
      </c>
      <c r="C210" s="63" t="s">
        <v>521</v>
      </c>
      <c r="D210" s="63" t="s">
        <v>722</v>
      </c>
      <c r="E210" s="64">
        <v>40812</v>
      </c>
      <c r="F210" s="64" t="s">
        <v>35</v>
      </c>
      <c r="G210" s="64" t="s">
        <v>35</v>
      </c>
      <c r="H210" s="65" t="s">
        <v>659</v>
      </c>
      <c r="I210" s="65" t="s">
        <v>834</v>
      </c>
      <c r="J210" s="66" t="s">
        <v>525</v>
      </c>
      <c r="K210" s="66" t="s">
        <v>525</v>
      </c>
      <c r="L210" s="66" t="s">
        <v>850</v>
      </c>
      <c r="M210" s="66" t="s">
        <v>834</v>
      </c>
      <c r="N210" s="66" t="s">
        <v>743</v>
      </c>
      <c r="O210" s="66" t="s">
        <v>35</v>
      </c>
    </row>
    <row r="211" spans="1:15">
      <c r="A211" s="67">
        <v>12582</v>
      </c>
      <c r="B211" s="68" t="s">
        <v>857</v>
      </c>
      <c r="C211" s="69" t="s">
        <v>521</v>
      </c>
      <c r="D211" s="69" t="s">
        <v>858</v>
      </c>
      <c r="E211" s="70">
        <v>40816</v>
      </c>
      <c r="F211" s="70" t="s">
        <v>35</v>
      </c>
      <c r="G211" s="70" t="s">
        <v>35</v>
      </c>
      <c r="H211" s="69" t="s">
        <v>659</v>
      </c>
      <c r="I211" s="69" t="s">
        <v>834</v>
      </c>
      <c r="J211" s="71" t="s">
        <v>525</v>
      </c>
      <c r="K211" s="71" t="s">
        <v>525</v>
      </c>
      <c r="L211" s="71" t="s">
        <v>859</v>
      </c>
      <c r="M211" s="71" t="s">
        <v>834</v>
      </c>
      <c r="N211" s="71" t="s">
        <v>743</v>
      </c>
      <c r="O211" s="71" t="s">
        <v>35</v>
      </c>
    </row>
    <row r="212" spans="1:15">
      <c r="A212" s="67">
        <v>12598</v>
      </c>
      <c r="B212" s="68" t="s">
        <v>860</v>
      </c>
      <c r="C212" s="69" t="s">
        <v>521</v>
      </c>
      <c r="D212" s="69" t="s">
        <v>858</v>
      </c>
      <c r="E212" s="70">
        <v>40816</v>
      </c>
      <c r="F212" s="70" t="s">
        <v>35</v>
      </c>
      <c r="G212" s="70" t="s">
        <v>35</v>
      </c>
      <c r="H212" s="69" t="s">
        <v>659</v>
      </c>
      <c r="I212" s="69" t="s">
        <v>834</v>
      </c>
      <c r="J212" s="71" t="s">
        <v>525</v>
      </c>
      <c r="K212" s="71" t="s">
        <v>525</v>
      </c>
      <c r="L212" s="71" t="s">
        <v>859</v>
      </c>
      <c r="M212" s="71" t="s">
        <v>834</v>
      </c>
      <c r="N212" s="71" t="s">
        <v>743</v>
      </c>
      <c r="O212" s="71" t="s">
        <v>35</v>
      </c>
    </row>
    <row r="213" spans="1:15">
      <c r="A213" s="67">
        <v>14970</v>
      </c>
      <c r="B213" s="68" t="s">
        <v>861</v>
      </c>
      <c r="C213" s="69" t="s">
        <v>521</v>
      </c>
      <c r="D213" s="69" t="s">
        <v>862</v>
      </c>
      <c r="E213" s="70">
        <v>41407</v>
      </c>
      <c r="F213" s="70" t="s">
        <v>35</v>
      </c>
      <c r="G213" s="70" t="s">
        <v>35</v>
      </c>
      <c r="H213" s="69" t="s">
        <v>659</v>
      </c>
      <c r="I213" s="69" t="s">
        <v>834</v>
      </c>
      <c r="J213" s="71" t="s">
        <v>525</v>
      </c>
      <c r="K213" s="71" t="s">
        <v>525</v>
      </c>
      <c r="L213" s="71" t="s">
        <v>859</v>
      </c>
      <c r="M213" s="71" t="s">
        <v>834</v>
      </c>
      <c r="N213" s="71" t="s">
        <v>743</v>
      </c>
      <c r="O213" s="71" t="s">
        <v>35</v>
      </c>
    </row>
    <row r="214" spans="1:15">
      <c r="A214" s="67">
        <v>10485</v>
      </c>
      <c r="B214" s="68" t="s">
        <v>863</v>
      </c>
      <c r="C214" s="69" t="s">
        <v>521</v>
      </c>
      <c r="D214" s="69" t="s">
        <v>864</v>
      </c>
      <c r="E214" s="70">
        <v>40524</v>
      </c>
      <c r="F214" s="70" t="s">
        <v>35</v>
      </c>
      <c r="G214" s="70" t="s">
        <v>35</v>
      </c>
      <c r="H214" s="69" t="s">
        <v>659</v>
      </c>
      <c r="I214" s="69" t="s">
        <v>834</v>
      </c>
      <c r="J214" s="71" t="s">
        <v>525</v>
      </c>
      <c r="K214" s="71" t="s">
        <v>525</v>
      </c>
      <c r="L214" s="71" t="s">
        <v>859</v>
      </c>
      <c r="M214" s="71" t="s">
        <v>834</v>
      </c>
      <c r="N214" s="71" t="s">
        <v>743</v>
      </c>
      <c r="O214" s="71" t="s">
        <v>35</v>
      </c>
    </row>
    <row r="215" spans="1:15">
      <c r="A215" s="67">
        <v>13041</v>
      </c>
      <c r="B215" s="68" t="s">
        <v>865</v>
      </c>
      <c r="C215" s="69" t="s">
        <v>521</v>
      </c>
      <c r="D215" s="69" t="s">
        <v>785</v>
      </c>
      <c r="E215" s="70">
        <v>40844</v>
      </c>
      <c r="F215" s="70" t="s">
        <v>35</v>
      </c>
      <c r="G215" s="70" t="s">
        <v>35</v>
      </c>
      <c r="H215" s="69" t="s">
        <v>659</v>
      </c>
      <c r="I215" s="69" t="s">
        <v>834</v>
      </c>
      <c r="J215" s="71" t="s">
        <v>525</v>
      </c>
      <c r="K215" s="71" t="s">
        <v>525</v>
      </c>
      <c r="L215" s="71" t="s">
        <v>859</v>
      </c>
      <c r="M215" s="71" t="s">
        <v>834</v>
      </c>
      <c r="N215" s="71" t="s">
        <v>743</v>
      </c>
      <c r="O215" s="71" t="s">
        <v>35</v>
      </c>
    </row>
    <row r="216" spans="1:15">
      <c r="A216" s="67">
        <v>10323</v>
      </c>
      <c r="B216" s="68" t="s">
        <v>866</v>
      </c>
      <c r="C216" s="69" t="s">
        <v>521</v>
      </c>
      <c r="D216" s="69" t="s">
        <v>825</v>
      </c>
      <c r="E216" s="70">
        <v>40511</v>
      </c>
      <c r="F216" s="70" t="s">
        <v>35</v>
      </c>
      <c r="G216" s="70" t="s">
        <v>35</v>
      </c>
      <c r="H216" s="69" t="s">
        <v>659</v>
      </c>
      <c r="I216" s="69" t="s">
        <v>834</v>
      </c>
      <c r="J216" s="71" t="s">
        <v>525</v>
      </c>
      <c r="K216" s="71" t="s">
        <v>525</v>
      </c>
      <c r="L216" s="71" t="s">
        <v>859</v>
      </c>
      <c r="M216" s="71" t="s">
        <v>834</v>
      </c>
      <c r="N216" s="71" t="s">
        <v>743</v>
      </c>
      <c r="O216" s="71" t="s">
        <v>35</v>
      </c>
    </row>
    <row r="217" spans="1:15">
      <c r="A217" s="67">
        <v>9109</v>
      </c>
      <c r="B217" s="68" t="s">
        <v>867</v>
      </c>
      <c r="C217" s="69" t="s">
        <v>521</v>
      </c>
      <c r="D217" s="69" t="s">
        <v>868</v>
      </c>
      <c r="E217" s="70">
        <v>39995</v>
      </c>
      <c r="F217" s="70" t="s">
        <v>35</v>
      </c>
      <c r="G217" s="70" t="s">
        <v>35</v>
      </c>
      <c r="H217" s="69" t="s">
        <v>659</v>
      </c>
      <c r="I217" s="69" t="s">
        <v>834</v>
      </c>
      <c r="J217" s="71" t="s">
        <v>525</v>
      </c>
      <c r="K217" s="71" t="s">
        <v>525</v>
      </c>
      <c r="L217" s="71" t="s">
        <v>859</v>
      </c>
      <c r="M217" s="71" t="s">
        <v>834</v>
      </c>
      <c r="N217" s="71" t="s">
        <v>743</v>
      </c>
      <c r="O217" s="71" t="s">
        <v>35</v>
      </c>
    </row>
    <row r="218" spans="1:15">
      <c r="A218" s="67">
        <v>14548</v>
      </c>
      <c r="B218" s="68" t="s">
        <v>869</v>
      </c>
      <c r="C218" s="69" t="s">
        <v>521</v>
      </c>
      <c r="D218" s="69" t="s">
        <v>870</v>
      </c>
      <c r="E218" s="70">
        <v>41393</v>
      </c>
      <c r="F218" s="70" t="s">
        <v>35</v>
      </c>
      <c r="G218" s="70" t="s">
        <v>35</v>
      </c>
      <c r="H218" s="69" t="s">
        <v>659</v>
      </c>
      <c r="I218" s="69" t="s">
        <v>834</v>
      </c>
      <c r="J218" s="71" t="s">
        <v>525</v>
      </c>
      <c r="K218" s="71" t="s">
        <v>525</v>
      </c>
      <c r="L218" s="71" t="s">
        <v>859</v>
      </c>
      <c r="M218" s="71" t="s">
        <v>834</v>
      </c>
      <c r="N218" s="71" t="s">
        <v>743</v>
      </c>
      <c r="O218" s="71" t="s">
        <v>35</v>
      </c>
    </row>
    <row r="219" spans="1:15">
      <c r="A219" s="67" t="s">
        <v>871</v>
      </c>
      <c r="B219" s="68" t="s">
        <v>872</v>
      </c>
      <c r="C219" s="69" t="s">
        <v>521</v>
      </c>
      <c r="D219" s="69" t="s">
        <v>873</v>
      </c>
      <c r="E219" s="70">
        <v>40948</v>
      </c>
      <c r="F219" s="70" t="s">
        <v>35</v>
      </c>
      <c r="G219" s="70" t="s">
        <v>35</v>
      </c>
      <c r="H219" s="69" t="s">
        <v>659</v>
      </c>
      <c r="I219" s="69" t="s">
        <v>834</v>
      </c>
      <c r="J219" s="71" t="s">
        <v>525</v>
      </c>
      <c r="K219" s="71" t="s">
        <v>525</v>
      </c>
      <c r="L219" s="71" t="s">
        <v>859</v>
      </c>
      <c r="M219" s="71" t="s">
        <v>834</v>
      </c>
      <c r="N219" s="71" t="s">
        <v>743</v>
      </c>
      <c r="O219" s="71" t="s">
        <v>35</v>
      </c>
    </row>
    <row r="220" spans="1:15">
      <c r="A220" s="72">
        <v>23184</v>
      </c>
      <c r="B220" s="73" t="s">
        <v>874</v>
      </c>
      <c r="C220" s="74" t="s">
        <v>521</v>
      </c>
      <c r="D220" s="74" t="s">
        <v>875</v>
      </c>
      <c r="E220" s="75">
        <v>43405</v>
      </c>
      <c r="F220" s="75">
        <v>43435</v>
      </c>
      <c r="G220" s="75">
        <v>43799</v>
      </c>
      <c r="H220" s="76" t="s">
        <v>876</v>
      </c>
      <c r="I220" s="76" t="s">
        <v>876</v>
      </c>
      <c r="J220" s="76" t="s">
        <v>35</v>
      </c>
      <c r="K220" s="76" t="s">
        <v>35</v>
      </c>
      <c r="L220" s="76" t="s">
        <v>35</v>
      </c>
      <c r="M220" s="74" t="s">
        <v>35</v>
      </c>
      <c r="N220" s="74" t="s">
        <v>877</v>
      </c>
      <c r="O220" s="74" t="s">
        <v>528</v>
      </c>
    </row>
    <row r="221" spans="1:15">
      <c r="A221" s="72">
        <v>23186</v>
      </c>
      <c r="B221" s="73" t="s">
        <v>878</v>
      </c>
      <c r="C221" s="74" t="s">
        <v>521</v>
      </c>
      <c r="D221" s="74" t="s">
        <v>875</v>
      </c>
      <c r="E221" s="75">
        <v>43405</v>
      </c>
      <c r="F221" s="75">
        <v>43435</v>
      </c>
      <c r="G221" s="75">
        <v>43799</v>
      </c>
      <c r="H221" s="76" t="s">
        <v>876</v>
      </c>
      <c r="I221" s="76" t="s">
        <v>876</v>
      </c>
      <c r="J221" s="76" t="s">
        <v>35</v>
      </c>
      <c r="K221" s="76" t="s">
        <v>35</v>
      </c>
      <c r="L221" s="76" t="s">
        <v>35</v>
      </c>
      <c r="M221" s="74" t="s">
        <v>35</v>
      </c>
      <c r="N221" s="74" t="s">
        <v>877</v>
      </c>
      <c r="O221" s="74" t="s">
        <v>528</v>
      </c>
    </row>
    <row r="222" spans="1:15">
      <c r="A222" s="72">
        <v>23187</v>
      </c>
      <c r="B222" s="73" t="s">
        <v>879</v>
      </c>
      <c r="C222" s="74" t="s">
        <v>521</v>
      </c>
      <c r="D222" s="74" t="s">
        <v>875</v>
      </c>
      <c r="E222" s="75">
        <v>43405</v>
      </c>
      <c r="F222" s="75">
        <v>43435</v>
      </c>
      <c r="G222" s="75">
        <v>43799</v>
      </c>
      <c r="H222" s="76" t="s">
        <v>876</v>
      </c>
      <c r="I222" s="76" t="s">
        <v>876</v>
      </c>
      <c r="J222" s="76" t="s">
        <v>35</v>
      </c>
      <c r="K222" s="76" t="s">
        <v>35</v>
      </c>
      <c r="L222" s="76" t="s">
        <v>35</v>
      </c>
      <c r="M222" s="74" t="s">
        <v>35</v>
      </c>
      <c r="N222" s="74" t="s">
        <v>877</v>
      </c>
      <c r="O222" s="74" t="s">
        <v>528</v>
      </c>
    </row>
    <row r="223" spans="1:15">
      <c r="A223" s="72">
        <v>23188</v>
      </c>
      <c r="B223" s="73" t="s">
        <v>880</v>
      </c>
      <c r="C223" s="74" t="s">
        <v>521</v>
      </c>
      <c r="D223" s="74" t="s">
        <v>875</v>
      </c>
      <c r="E223" s="75">
        <v>43405</v>
      </c>
      <c r="F223" s="75">
        <v>43435</v>
      </c>
      <c r="G223" s="75">
        <v>43799</v>
      </c>
      <c r="H223" s="76" t="s">
        <v>876</v>
      </c>
      <c r="I223" s="76" t="s">
        <v>876</v>
      </c>
      <c r="J223" s="76" t="s">
        <v>35</v>
      </c>
      <c r="K223" s="76" t="s">
        <v>35</v>
      </c>
      <c r="L223" s="76" t="s">
        <v>35</v>
      </c>
      <c r="M223" s="74" t="s">
        <v>35</v>
      </c>
      <c r="N223" s="74" t="s">
        <v>877</v>
      </c>
      <c r="O223" s="74" t="s">
        <v>528</v>
      </c>
    </row>
    <row r="224" spans="1:15">
      <c r="A224" s="72">
        <v>23448</v>
      </c>
      <c r="B224" s="73" t="s">
        <v>881</v>
      </c>
      <c r="C224" s="74" t="s">
        <v>521</v>
      </c>
      <c r="D224" s="74" t="s">
        <v>882</v>
      </c>
      <c r="E224" s="75">
        <v>43434</v>
      </c>
      <c r="F224" s="75">
        <v>43464</v>
      </c>
      <c r="G224" s="75">
        <v>43830</v>
      </c>
      <c r="H224" s="76" t="s">
        <v>876</v>
      </c>
      <c r="I224" s="76" t="s">
        <v>876</v>
      </c>
      <c r="J224" s="76" t="s">
        <v>35</v>
      </c>
      <c r="K224" s="76" t="s">
        <v>35</v>
      </c>
      <c r="L224" s="76" t="s">
        <v>35</v>
      </c>
      <c r="M224" s="74" t="s">
        <v>35</v>
      </c>
      <c r="N224" s="74" t="s">
        <v>877</v>
      </c>
      <c r="O224" s="74" t="s">
        <v>528</v>
      </c>
    </row>
    <row r="225" spans="1:15">
      <c r="A225" s="25">
        <v>23536</v>
      </c>
      <c r="B225" s="34" t="s">
        <v>883</v>
      </c>
      <c r="C225" s="31" t="s">
        <v>521</v>
      </c>
      <c r="D225" s="31" t="s">
        <v>884</v>
      </c>
      <c r="E225" s="28">
        <v>43452</v>
      </c>
      <c r="F225" s="28">
        <v>43483</v>
      </c>
      <c r="G225" s="28">
        <v>43861</v>
      </c>
      <c r="H225" s="27" t="s">
        <v>876</v>
      </c>
      <c r="I225" s="27" t="s">
        <v>876</v>
      </c>
      <c r="J225" s="27" t="s">
        <v>35</v>
      </c>
      <c r="K225" s="27" t="s">
        <v>35</v>
      </c>
      <c r="L225" s="27" t="s">
        <v>35</v>
      </c>
      <c r="M225" s="31" t="s">
        <v>35</v>
      </c>
      <c r="N225" s="31" t="s">
        <v>877</v>
      </c>
      <c r="O225" s="31" t="s">
        <v>528</v>
      </c>
    </row>
    <row r="226" spans="1:15">
      <c r="A226" s="25">
        <v>23544</v>
      </c>
      <c r="B226" s="34" t="s">
        <v>885</v>
      </c>
      <c r="C226" s="31" t="s">
        <v>521</v>
      </c>
      <c r="D226" s="31" t="s">
        <v>884</v>
      </c>
      <c r="E226" s="28">
        <v>43452</v>
      </c>
      <c r="F226" s="28">
        <v>43483</v>
      </c>
      <c r="G226" s="28">
        <v>43861</v>
      </c>
      <c r="H226" s="27" t="s">
        <v>876</v>
      </c>
      <c r="I226" s="27" t="s">
        <v>876</v>
      </c>
      <c r="J226" s="27" t="s">
        <v>35</v>
      </c>
      <c r="K226" s="27" t="s">
        <v>35</v>
      </c>
      <c r="L226" s="27" t="s">
        <v>35</v>
      </c>
      <c r="M226" s="31" t="s">
        <v>35</v>
      </c>
      <c r="N226" s="31" t="s">
        <v>877</v>
      </c>
      <c r="O226" s="31" t="s">
        <v>528</v>
      </c>
    </row>
    <row r="227" spans="1:15">
      <c r="A227" s="25">
        <v>23561</v>
      </c>
      <c r="B227" s="34" t="s">
        <v>886</v>
      </c>
      <c r="C227" s="31" t="s">
        <v>521</v>
      </c>
      <c r="D227" s="31" t="s">
        <v>884</v>
      </c>
      <c r="E227" s="28">
        <v>43452</v>
      </c>
      <c r="F227" s="28">
        <v>43483</v>
      </c>
      <c r="G227" s="28">
        <v>43861</v>
      </c>
      <c r="H227" s="27" t="s">
        <v>876</v>
      </c>
      <c r="I227" s="27" t="s">
        <v>876</v>
      </c>
      <c r="J227" s="27" t="s">
        <v>35</v>
      </c>
      <c r="K227" s="27" t="s">
        <v>35</v>
      </c>
      <c r="L227" s="27" t="s">
        <v>35</v>
      </c>
      <c r="M227" s="31" t="s">
        <v>35</v>
      </c>
      <c r="N227" s="31" t="s">
        <v>877</v>
      </c>
      <c r="O227" s="31" t="s">
        <v>528</v>
      </c>
    </row>
    <row r="228" spans="1:15">
      <c r="A228" s="25">
        <v>23574</v>
      </c>
      <c r="B228" s="34" t="s">
        <v>887</v>
      </c>
      <c r="C228" s="31" t="s">
        <v>521</v>
      </c>
      <c r="D228" s="31" t="s">
        <v>884</v>
      </c>
      <c r="E228" s="28">
        <v>43452</v>
      </c>
      <c r="F228" s="28">
        <v>43483</v>
      </c>
      <c r="G228" s="28">
        <v>43861</v>
      </c>
      <c r="H228" s="27" t="s">
        <v>876</v>
      </c>
      <c r="I228" s="27" t="s">
        <v>876</v>
      </c>
      <c r="J228" s="27" t="s">
        <v>35</v>
      </c>
      <c r="K228" s="27" t="s">
        <v>35</v>
      </c>
      <c r="L228" s="27" t="s">
        <v>35</v>
      </c>
      <c r="M228" s="31" t="s">
        <v>35</v>
      </c>
      <c r="N228" s="31" t="s">
        <v>877</v>
      </c>
      <c r="O228" s="31" t="s">
        <v>528</v>
      </c>
    </row>
    <row r="229" spans="1:15">
      <c r="A229" s="25">
        <v>23575</v>
      </c>
      <c r="B229" s="34" t="s">
        <v>888</v>
      </c>
      <c r="C229" s="31" t="s">
        <v>521</v>
      </c>
      <c r="D229" s="31" t="s">
        <v>884</v>
      </c>
      <c r="E229" s="28">
        <v>43452</v>
      </c>
      <c r="F229" s="28">
        <v>43483</v>
      </c>
      <c r="G229" s="28">
        <v>43861</v>
      </c>
      <c r="H229" s="27" t="s">
        <v>876</v>
      </c>
      <c r="I229" s="27" t="s">
        <v>876</v>
      </c>
      <c r="J229" s="27" t="s">
        <v>35</v>
      </c>
      <c r="K229" s="27" t="s">
        <v>35</v>
      </c>
      <c r="L229" s="27" t="s">
        <v>35</v>
      </c>
      <c r="M229" s="31" t="s">
        <v>35</v>
      </c>
      <c r="N229" s="31" t="s">
        <v>877</v>
      </c>
      <c r="O229" s="31" t="s">
        <v>528</v>
      </c>
    </row>
    <row r="230" spans="1:15">
      <c r="A230" s="25">
        <v>23605</v>
      </c>
      <c r="B230" s="34" t="s">
        <v>889</v>
      </c>
      <c r="C230" s="31" t="s">
        <v>521</v>
      </c>
      <c r="D230" s="31" t="s">
        <v>884</v>
      </c>
      <c r="E230" s="28">
        <v>43452</v>
      </c>
      <c r="F230" s="28">
        <v>43483</v>
      </c>
      <c r="G230" s="28">
        <v>43861</v>
      </c>
      <c r="H230" s="27" t="s">
        <v>876</v>
      </c>
      <c r="I230" s="27" t="s">
        <v>876</v>
      </c>
      <c r="J230" s="27" t="s">
        <v>35</v>
      </c>
      <c r="K230" s="27" t="s">
        <v>35</v>
      </c>
      <c r="L230" s="27" t="s">
        <v>35</v>
      </c>
      <c r="M230" s="31" t="s">
        <v>35</v>
      </c>
      <c r="N230" s="31" t="s">
        <v>877</v>
      </c>
      <c r="O230" s="31" t="s">
        <v>528</v>
      </c>
    </row>
    <row r="231" spans="1:15">
      <c r="A231" s="72" t="s">
        <v>890</v>
      </c>
      <c r="B231" s="73" t="s">
        <v>891</v>
      </c>
      <c r="C231" s="74" t="s">
        <v>521</v>
      </c>
      <c r="D231" s="74" t="s">
        <v>892</v>
      </c>
      <c r="E231" s="75">
        <v>43467</v>
      </c>
      <c r="F231" s="75">
        <v>43467</v>
      </c>
      <c r="G231" s="75">
        <v>43497</v>
      </c>
      <c r="H231" s="76" t="s">
        <v>876</v>
      </c>
      <c r="I231" s="76" t="s">
        <v>876</v>
      </c>
      <c r="J231" s="76" t="s">
        <v>35</v>
      </c>
      <c r="K231" s="76" t="s">
        <v>35</v>
      </c>
      <c r="L231" s="76" t="s">
        <v>35</v>
      </c>
      <c r="M231" s="74" t="s">
        <v>35</v>
      </c>
      <c r="N231" s="74" t="s">
        <v>877</v>
      </c>
      <c r="O231" s="74" t="s">
        <v>528</v>
      </c>
    </row>
    <row r="232" spans="1:15">
      <c r="A232" s="72" t="s">
        <v>893</v>
      </c>
      <c r="B232" s="73" t="s">
        <v>894</v>
      </c>
      <c r="C232" s="74" t="s">
        <v>521</v>
      </c>
      <c r="D232" s="74" t="s">
        <v>892</v>
      </c>
      <c r="E232" s="75">
        <v>43467</v>
      </c>
      <c r="F232" s="75">
        <v>43467</v>
      </c>
      <c r="G232" s="75">
        <v>43497</v>
      </c>
      <c r="H232" s="76" t="s">
        <v>876</v>
      </c>
      <c r="I232" s="76" t="s">
        <v>876</v>
      </c>
      <c r="J232" s="76" t="s">
        <v>35</v>
      </c>
      <c r="K232" s="76" t="s">
        <v>35</v>
      </c>
      <c r="L232" s="76" t="s">
        <v>35</v>
      </c>
      <c r="M232" s="74" t="s">
        <v>35</v>
      </c>
      <c r="N232" s="74" t="s">
        <v>877</v>
      </c>
      <c r="O232" s="74" t="s">
        <v>528</v>
      </c>
    </row>
    <row r="233" spans="1:15">
      <c r="A233" s="72" t="s">
        <v>895</v>
      </c>
      <c r="B233" s="73" t="s">
        <v>896</v>
      </c>
      <c r="C233" s="74" t="s">
        <v>521</v>
      </c>
      <c r="D233" s="74" t="s">
        <v>892</v>
      </c>
      <c r="E233" s="75">
        <v>43467</v>
      </c>
      <c r="F233" s="75">
        <v>43467</v>
      </c>
      <c r="G233" s="75">
        <v>43497</v>
      </c>
      <c r="H233" s="76" t="s">
        <v>876</v>
      </c>
      <c r="I233" s="76" t="s">
        <v>876</v>
      </c>
      <c r="J233" s="76" t="s">
        <v>35</v>
      </c>
      <c r="K233" s="76" t="s">
        <v>35</v>
      </c>
      <c r="L233" s="76" t="s">
        <v>35</v>
      </c>
      <c r="M233" s="74" t="s">
        <v>35</v>
      </c>
      <c r="N233" s="74" t="s">
        <v>877</v>
      </c>
      <c r="O233" s="74" t="s">
        <v>528</v>
      </c>
    </row>
    <row r="234" spans="1:15">
      <c r="A234" s="72" t="s">
        <v>897</v>
      </c>
      <c r="B234" s="73" t="s">
        <v>898</v>
      </c>
      <c r="C234" s="74" t="s">
        <v>521</v>
      </c>
      <c r="D234" s="74" t="s">
        <v>899</v>
      </c>
      <c r="E234" s="75">
        <v>43472</v>
      </c>
      <c r="F234" s="75">
        <v>43472</v>
      </c>
      <c r="G234" s="75">
        <v>43502</v>
      </c>
      <c r="H234" s="76" t="s">
        <v>876</v>
      </c>
      <c r="I234" s="76" t="s">
        <v>876</v>
      </c>
      <c r="J234" s="76" t="s">
        <v>35</v>
      </c>
      <c r="K234" s="76" t="s">
        <v>35</v>
      </c>
      <c r="L234" s="76" t="s">
        <v>35</v>
      </c>
      <c r="M234" s="74" t="s">
        <v>35</v>
      </c>
      <c r="N234" s="74" t="s">
        <v>877</v>
      </c>
      <c r="O234" s="74" t="s">
        <v>528</v>
      </c>
    </row>
    <row r="235" spans="1:15">
      <c r="A235" s="72" t="s">
        <v>900</v>
      </c>
      <c r="B235" s="73" t="s">
        <v>901</v>
      </c>
      <c r="C235" s="74" t="s">
        <v>521</v>
      </c>
      <c r="D235" s="74" t="s">
        <v>899</v>
      </c>
      <c r="E235" s="75">
        <v>43472</v>
      </c>
      <c r="F235" s="75">
        <v>43472</v>
      </c>
      <c r="G235" s="75">
        <v>43502</v>
      </c>
      <c r="H235" s="76" t="s">
        <v>876</v>
      </c>
      <c r="I235" s="76" t="s">
        <v>876</v>
      </c>
      <c r="J235" s="76" t="s">
        <v>35</v>
      </c>
      <c r="K235" s="76" t="s">
        <v>35</v>
      </c>
      <c r="L235" s="76" t="s">
        <v>35</v>
      </c>
      <c r="M235" s="74" t="s">
        <v>35</v>
      </c>
      <c r="N235" s="74" t="s">
        <v>877</v>
      </c>
      <c r="O235" s="74" t="s">
        <v>528</v>
      </c>
    </row>
    <row r="236" spans="1:15">
      <c r="A236" s="72" t="s">
        <v>902</v>
      </c>
      <c r="B236" s="73" t="s">
        <v>903</v>
      </c>
      <c r="C236" s="74" t="s">
        <v>521</v>
      </c>
      <c r="D236" s="74" t="s">
        <v>899</v>
      </c>
      <c r="E236" s="75">
        <v>43472</v>
      </c>
      <c r="F236" s="75">
        <v>43472</v>
      </c>
      <c r="G236" s="75">
        <v>43502</v>
      </c>
      <c r="H236" s="76" t="s">
        <v>876</v>
      </c>
      <c r="I236" s="76" t="s">
        <v>876</v>
      </c>
      <c r="J236" s="76" t="s">
        <v>35</v>
      </c>
      <c r="K236" s="76" t="s">
        <v>35</v>
      </c>
      <c r="L236" s="76" t="s">
        <v>35</v>
      </c>
      <c r="M236" s="74" t="s">
        <v>35</v>
      </c>
      <c r="N236" s="74" t="s">
        <v>877</v>
      </c>
      <c r="O236" s="74" t="s">
        <v>528</v>
      </c>
    </row>
    <row r="237" spans="1:15">
      <c r="A237" s="72" t="s">
        <v>904</v>
      </c>
      <c r="B237" s="73" t="s">
        <v>905</v>
      </c>
      <c r="C237" s="74" t="s">
        <v>521</v>
      </c>
      <c r="D237" s="74" t="s">
        <v>899</v>
      </c>
      <c r="E237" s="75">
        <v>43472</v>
      </c>
      <c r="F237" s="75">
        <v>43472</v>
      </c>
      <c r="G237" s="75">
        <v>43502</v>
      </c>
      <c r="H237" s="76" t="s">
        <v>876</v>
      </c>
      <c r="I237" s="76" t="s">
        <v>876</v>
      </c>
      <c r="J237" s="76" t="s">
        <v>35</v>
      </c>
      <c r="K237" s="76" t="s">
        <v>35</v>
      </c>
      <c r="L237" s="76" t="s">
        <v>35</v>
      </c>
      <c r="M237" s="74" t="s">
        <v>35</v>
      </c>
      <c r="N237" s="74" t="s">
        <v>877</v>
      </c>
      <c r="O237" s="74" t="s">
        <v>528</v>
      </c>
    </row>
    <row r="238" spans="1:15">
      <c r="A238" s="72" t="s">
        <v>906</v>
      </c>
      <c r="B238" s="73" t="s">
        <v>907</v>
      </c>
      <c r="C238" s="74" t="s">
        <v>521</v>
      </c>
      <c r="D238" s="74" t="s">
        <v>899</v>
      </c>
      <c r="E238" s="75">
        <v>43472</v>
      </c>
      <c r="F238" s="75">
        <v>43472</v>
      </c>
      <c r="G238" s="75">
        <v>43502</v>
      </c>
      <c r="H238" s="76" t="s">
        <v>876</v>
      </c>
      <c r="I238" s="76" t="s">
        <v>876</v>
      </c>
      <c r="J238" s="76" t="s">
        <v>35</v>
      </c>
      <c r="K238" s="76" t="s">
        <v>35</v>
      </c>
      <c r="L238" s="76" t="s">
        <v>35</v>
      </c>
      <c r="M238" s="74" t="s">
        <v>35</v>
      </c>
      <c r="N238" s="74" t="s">
        <v>877</v>
      </c>
      <c r="O238" s="74" t="s">
        <v>528</v>
      </c>
    </row>
    <row r="239" spans="1:15">
      <c r="A239" s="72" t="s">
        <v>908</v>
      </c>
      <c r="B239" s="73" t="s">
        <v>909</v>
      </c>
      <c r="C239" s="74" t="s">
        <v>521</v>
      </c>
      <c r="D239" s="74" t="s">
        <v>899</v>
      </c>
      <c r="E239" s="75">
        <v>43472</v>
      </c>
      <c r="F239" s="75">
        <v>43472</v>
      </c>
      <c r="G239" s="75">
        <v>43502</v>
      </c>
      <c r="H239" s="76" t="s">
        <v>876</v>
      </c>
      <c r="I239" s="76" t="s">
        <v>876</v>
      </c>
      <c r="J239" s="76" t="s">
        <v>35</v>
      </c>
      <c r="K239" s="76" t="s">
        <v>35</v>
      </c>
      <c r="L239" s="76" t="s">
        <v>35</v>
      </c>
      <c r="M239" s="74" t="s">
        <v>35</v>
      </c>
      <c r="N239" s="74" t="s">
        <v>877</v>
      </c>
      <c r="O239" s="74" t="s">
        <v>528</v>
      </c>
    </row>
    <row r="240" spans="1:15">
      <c r="A240" s="72" t="s">
        <v>910</v>
      </c>
      <c r="B240" s="73" t="s">
        <v>911</v>
      </c>
      <c r="C240" s="74" t="s">
        <v>521</v>
      </c>
      <c r="D240" s="74" t="s">
        <v>899</v>
      </c>
      <c r="E240" s="75">
        <v>43472</v>
      </c>
      <c r="F240" s="75">
        <v>43472</v>
      </c>
      <c r="G240" s="75">
        <v>43502</v>
      </c>
      <c r="H240" s="76" t="s">
        <v>876</v>
      </c>
      <c r="I240" s="76" t="s">
        <v>876</v>
      </c>
      <c r="J240" s="76" t="s">
        <v>35</v>
      </c>
      <c r="K240" s="76" t="s">
        <v>35</v>
      </c>
      <c r="L240" s="76" t="s">
        <v>35</v>
      </c>
      <c r="M240" s="74" t="s">
        <v>35</v>
      </c>
      <c r="N240" s="74" t="s">
        <v>877</v>
      </c>
      <c r="O240" s="74" t="s">
        <v>528</v>
      </c>
    </row>
    <row r="241" spans="1:15">
      <c r="A241" s="72" t="s">
        <v>912</v>
      </c>
      <c r="B241" s="73" t="s">
        <v>913</v>
      </c>
      <c r="C241" s="74" t="s">
        <v>521</v>
      </c>
      <c r="D241" s="74" t="s">
        <v>899</v>
      </c>
      <c r="E241" s="75">
        <v>43472</v>
      </c>
      <c r="F241" s="75">
        <v>43472</v>
      </c>
      <c r="G241" s="75">
        <v>43502</v>
      </c>
      <c r="H241" s="76" t="s">
        <v>876</v>
      </c>
      <c r="I241" s="76" t="s">
        <v>876</v>
      </c>
      <c r="J241" s="76" t="s">
        <v>35</v>
      </c>
      <c r="K241" s="76" t="s">
        <v>35</v>
      </c>
      <c r="L241" s="76" t="s">
        <v>35</v>
      </c>
      <c r="M241" s="74" t="s">
        <v>35</v>
      </c>
      <c r="N241" s="74" t="s">
        <v>877</v>
      </c>
      <c r="O241" s="74" t="s">
        <v>528</v>
      </c>
    </row>
    <row r="242" spans="1:15">
      <c r="A242" s="72" t="s">
        <v>914</v>
      </c>
      <c r="B242" s="73" t="s">
        <v>915</v>
      </c>
      <c r="C242" s="74" t="s">
        <v>521</v>
      </c>
      <c r="D242" s="74" t="s">
        <v>899</v>
      </c>
      <c r="E242" s="75">
        <v>43472</v>
      </c>
      <c r="F242" s="75">
        <v>43472</v>
      </c>
      <c r="G242" s="75">
        <v>43502</v>
      </c>
      <c r="H242" s="76" t="s">
        <v>876</v>
      </c>
      <c r="I242" s="76" t="s">
        <v>876</v>
      </c>
      <c r="J242" s="76" t="s">
        <v>35</v>
      </c>
      <c r="K242" s="76" t="s">
        <v>35</v>
      </c>
      <c r="L242" s="76" t="s">
        <v>35</v>
      </c>
      <c r="M242" s="74" t="s">
        <v>35</v>
      </c>
      <c r="N242" s="74" t="s">
        <v>877</v>
      </c>
      <c r="O242" s="74" t="s">
        <v>528</v>
      </c>
    </row>
    <row r="243" spans="1:15">
      <c r="A243" s="72" t="s">
        <v>916</v>
      </c>
      <c r="B243" s="73" t="s">
        <v>917</v>
      </c>
      <c r="C243" s="74" t="s">
        <v>521</v>
      </c>
      <c r="D243" s="74" t="s">
        <v>899</v>
      </c>
      <c r="E243" s="75">
        <v>43472</v>
      </c>
      <c r="F243" s="75">
        <v>43472</v>
      </c>
      <c r="G243" s="75">
        <v>43502</v>
      </c>
      <c r="H243" s="76" t="s">
        <v>876</v>
      </c>
      <c r="I243" s="76" t="s">
        <v>876</v>
      </c>
      <c r="J243" s="76" t="s">
        <v>35</v>
      </c>
      <c r="K243" s="76" t="s">
        <v>35</v>
      </c>
      <c r="L243" s="76" t="s">
        <v>35</v>
      </c>
      <c r="M243" s="74" t="s">
        <v>35</v>
      </c>
      <c r="N243" s="74" t="s">
        <v>877</v>
      </c>
      <c r="O243" s="74" t="s">
        <v>528</v>
      </c>
    </row>
    <row r="244" spans="1:15">
      <c r="A244" s="72" t="s">
        <v>918</v>
      </c>
      <c r="B244" s="73" t="s">
        <v>919</v>
      </c>
      <c r="C244" s="74" t="s">
        <v>521</v>
      </c>
      <c r="D244" s="74" t="s">
        <v>899</v>
      </c>
      <c r="E244" s="75">
        <v>43472</v>
      </c>
      <c r="F244" s="75">
        <v>43472</v>
      </c>
      <c r="G244" s="75">
        <v>43502</v>
      </c>
      <c r="H244" s="76" t="s">
        <v>876</v>
      </c>
      <c r="I244" s="76" t="s">
        <v>876</v>
      </c>
      <c r="J244" s="76" t="s">
        <v>35</v>
      </c>
      <c r="K244" s="76" t="s">
        <v>35</v>
      </c>
      <c r="L244" s="76" t="s">
        <v>35</v>
      </c>
      <c r="M244" s="74" t="s">
        <v>35</v>
      </c>
      <c r="N244" s="74" t="s">
        <v>877</v>
      </c>
      <c r="O244" s="74" t="s">
        <v>528</v>
      </c>
    </row>
    <row r="245" spans="1:15">
      <c r="A245" s="72" t="s">
        <v>920</v>
      </c>
      <c r="B245" s="73" t="s">
        <v>921</v>
      </c>
      <c r="C245" s="74" t="s">
        <v>521</v>
      </c>
      <c r="D245" s="74" t="s">
        <v>899</v>
      </c>
      <c r="E245" s="75">
        <v>43472</v>
      </c>
      <c r="F245" s="75">
        <v>43472</v>
      </c>
      <c r="G245" s="75">
        <v>43502</v>
      </c>
      <c r="H245" s="76" t="s">
        <v>876</v>
      </c>
      <c r="I245" s="76" t="s">
        <v>876</v>
      </c>
      <c r="J245" s="76" t="s">
        <v>35</v>
      </c>
      <c r="K245" s="76" t="s">
        <v>35</v>
      </c>
      <c r="L245" s="76" t="s">
        <v>35</v>
      </c>
      <c r="M245" s="74" t="s">
        <v>35</v>
      </c>
      <c r="N245" s="74" t="s">
        <v>877</v>
      </c>
      <c r="O245" s="74" t="s">
        <v>528</v>
      </c>
    </row>
    <row r="246" spans="1:15">
      <c r="A246" s="72" t="s">
        <v>922</v>
      </c>
      <c r="B246" s="73" t="s">
        <v>923</v>
      </c>
      <c r="C246" s="74" t="s">
        <v>521</v>
      </c>
      <c r="D246" s="74" t="s">
        <v>899</v>
      </c>
      <c r="E246" s="75">
        <v>43472</v>
      </c>
      <c r="F246" s="75">
        <v>43472</v>
      </c>
      <c r="G246" s="75">
        <v>43502</v>
      </c>
      <c r="H246" s="76" t="s">
        <v>876</v>
      </c>
      <c r="I246" s="76" t="s">
        <v>876</v>
      </c>
      <c r="J246" s="76" t="s">
        <v>35</v>
      </c>
      <c r="K246" s="76" t="s">
        <v>35</v>
      </c>
      <c r="L246" s="76" t="s">
        <v>35</v>
      </c>
      <c r="M246" s="74" t="s">
        <v>35</v>
      </c>
      <c r="N246" s="74" t="s">
        <v>877</v>
      </c>
      <c r="O246" s="74" t="s">
        <v>528</v>
      </c>
    </row>
    <row r="247" spans="1:15">
      <c r="A247" s="72" t="s">
        <v>924</v>
      </c>
      <c r="B247" s="73" t="s">
        <v>925</v>
      </c>
      <c r="C247" s="74" t="s">
        <v>521</v>
      </c>
      <c r="D247" s="74" t="s">
        <v>899</v>
      </c>
      <c r="E247" s="75">
        <v>43472</v>
      </c>
      <c r="F247" s="75">
        <v>43472</v>
      </c>
      <c r="G247" s="75">
        <v>43502</v>
      </c>
      <c r="H247" s="76" t="s">
        <v>876</v>
      </c>
      <c r="I247" s="76" t="s">
        <v>876</v>
      </c>
      <c r="J247" s="76" t="s">
        <v>35</v>
      </c>
      <c r="K247" s="76" t="s">
        <v>35</v>
      </c>
      <c r="L247" s="76" t="s">
        <v>35</v>
      </c>
      <c r="M247" s="74" t="s">
        <v>35</v>
      </c>
      <c r="N247" s="74" t="s">
        <v>877</v>
      </c>
      <c r="O247" s="74" t="s">
        <v>528</v>
      </c>
    </row>
    <row r="248" spans="1:15">
      <c r="A248" s="72" t="s">
        <v>926</v>
      </c>
      <c r="B248" s="73" t="s">
        <v>927</v>
      </c>
      <c r="C248" s="74" t="s">
        <v>521</v>
      </c>
      <c r="D248" s="74" t="s">
        <v>899</v>
      </c>
      <c r="E248" s="75">
        <v>43472</v>
      </c>
      <c r="F248" s="75">
        <v>43472</v>
      </c>
      <c r="G248" s="75">
        <v>43502</v>
      </c>
      <c r="H248" s="76" t="s">
        <v>876</v>
      </c>
      <c r="I248" s="76" t="s">
        <v>876</v>
      </c>
      <c r="J248" s="76" t="s">
        <v>35</v>
      </c>
      <c r="K248" s="76" t="s">
        <v>35</v>
      </c>
      <c r="L248" s="76" t="s">
        <v>35</v>
      </c>
      <c r="M248" s="74" t="s">
        <v>35</v>
      </c>
      <c r="N248" s="74" t="s">
        <v>877</v>
      </c>
      <c r="O248" s="74" t="s">
        <v>528</v>
      </c>
    </row>
    <row r="249" spans="1:15">
      <c r="A249" s="72" t="s">
        <v>928</v>
      </c>
      <c r="B249" s="73" t="s">
        <v>929</v>
      </c>
      <c r="C249" s="74" t="s">
        <v>521</v>
      </c>
      <c r="D249" s="74" t="s">
        <v>899</v>
      </c>
      <c r="E249" s="75">
        <v>43472</v>
      </c>
      <c r="F249" s="75">
        <v>43472</v>
      </c>
      <c r="G249" s="75">
        <v>43502</v>
      </c>
      <c r="H249" s="76" t="s">
        <v>876</v>
      </c>
      <c r="I249" s="76" t="s">
        <v>876</v>
      </c>
      <c r="J249" s="76" t="s">
        <v>35</v>
      </c>
      <c r="K249" s="76" t="s">
        <v>35</v>
      </c>
      <c r="L249" s="76" t="s">
        <v>35</v>
      </c>
      <c r="M249" s="74" t="s">
        <v>35</v>
      </c>
      <c r="N249" s="74" t="s">
        <v>877</v>
      </c>
      <c r="O249" s="74" t="s">
        <v>528</v>
      </c>
    </row>
    <row r="250" spans="1:15">
      <c r="A250" s="72" t="s">
        <v>930</v>
      </c>
      <c r="B250" s="73" t="s">
        <v>931</v>
      </c>
      <c r="C250" s="74" t="s">
        <v>521</v>
      </c>
      <c r="D250" s="74" t="s">
        <v>899</v>
      </c>
      <c r="E250" s="75">
        <v>43472</v>
      </c>
      <c r="F250" s="75">
        <v>43472</v>
      </c>
      <c r="G250" s="75">
        <v>43502</v>
      </c>
      <c r="H250" s="76" t="s">
        <v>876</v>
      </c>
      <c r="I250" s="76" t="s">
        <v>876</v>
      </c>
      <c r="J250" s="76" t="s">
        <v>35</v>
      </c>
      <c r="K250" s="76" t="s">
        <v>35</v>
      </c>
      <c r="L250" s="76" t="s">
        <v>35</v>
      </c>
      <c r="M250" s="74" t="s">
        <v>35</v>
      </c>
      <c r="N250" s="74" t="s">
        <v>877</v>
      </c>
      <c r="O250" s="74" t="s">
        <v>528</v>
      </c>
    </row>
    <row r="251" spans="1:15">
      <c r="A251" s="72" t="s">
        <v>932</v>
      </c>
      <c r="B251" s="73" t="s">
        <v>933</v>
      </c>
      <c r="C251" s="74" t="s">
        <v>521</v>
      </c>
      <c r="D251" s="74" t="s">
        <v>899</v>
      </c>
      <c r="E251" s="75">
        <v>43472</v>
      </c>
      <c r="F251" s="75">
        <v>43472</v>
      </c>
      <c r="G251" s="75">
        <v>43502</v>
      </c>
      <c r="H251" s="76" t="s">
        <v>876</v>
      </c>
      <c r="I251" s="76" t="s">
        <v>876</v>
      </c>
      <c r="J251" s="76" t="s">
        <v>35</v>
      </c>
      <c r="K251" s="76" t="s">
        <v>35</v>
      </c>
      <c r="L251" s="76" t="s">
        <v>35</v>
      </c>
      <c r="M251" s="74" t="s">
        <v>35</v>
      </c>
      <c r="N251" s="74" t="s">
        <v>877</v>
      </c>
      <c r="O251" s="74" t="s">
        <v>528</v>
      </c>
    </row>
    <row r="252" spans="1:15">
      <c r="A252" s="72" t="s">
        <v>934</v>
      </c>
      <c r="B252" s="73" t="s">
        <v>935</v>
      </c>
      <c r="C252" s="74" t="s">
        <v>521</v>
      </c>
      <c r="D252" s="74" t="s">
        <v>899</v>
      </c>
      <c r="E252" s="75">
        <v>43472</v>
      </c>
      <c r="F252" s="75">
        <v>43472</v>
      </c>
      <c r="G252" s="75">
        <v>43502</v>
      </c>
      <c r="H252" s="76" t="s">
        <v>876</v>
      </c>
      <c r="I252" s="76" t="s">
        <v>876</v>
      </c>
      <c r="J252" s="76" t="s">
        <v>35</v>
      </c>
      <c r="K252" s="76" t="s">
        <v>35</v>
      </c>
      <c r="L252" s="76" t="s">
        <v>35</v>
      </c>
      <c r="M252" s="74" t="s">
        <v>35</v>
      </c>
      <c r="N252" s="74" t="s">
        <v>877</v>
      </c>
      <c r="O252" s="74" t="s">
        <v>528</v>
      </c>
    </row>
    <row r="253" spans="1:15">
      <c r="A253" s="72" t="s">
        <v>936</v>
      </c>
      <c r="B253" s="73" t="s">
        <v>937</v>
      </c>
      <c r="C253" s="74" t="s">
        <v>521</v>
      </c>
      <c r="D253" s="74" t="s">
        <v>899</v>
      </c>
      <c r="E253" s="75">
        <v>43472</v>
      </c>
      <c r="F253" s="75">
        <v>43472</v>
      </c>
      <c r="G253" s="75">
        <v>43502</v>
      </c>
      <c r="H253" s="76" t="s">
        <v>876</v>
      </c>
      <c r="I253" s="76" t="s">
        <v>876</v>
      </c>
      <c r="J253" s="76" t="s">
        <v>35</v>
      </c>
      <c r="K253" s="76" t="s">
        <v>35</v>
      </c>
      <c r="L253" s="76" t="s">
        <v>35</v>
      </c>
      <c r="M253" s="74" t="s">
        <v>35</v>
      </c>
      <c r="N253" s="74" t="s">
        <v>877</v>
      </c>
      <c r="O253" s="74" t="s">
        <v>528</v>
      </c>
    </row>
    <row r="254" spans="1:15">
      <c r="A254" s="72" t="s">
        <v>938</v>
      </c>
      <c r="B254" s="73" t="s">
        <v>939</v>
      </c>
      <c r="C254" s="74" t="s">
        <v>521</v>
      </c>
      <c r="D254" s="74" t="s">
        <v>899</v>
      </c>
      <c r="E254" s="75">
        <v>43472</v>
      </c>
      <c r="F254" s="75">
        <v>43472</v>
      </c>
      <c r="G254" s="75">
        <v>43502</v>
      </c>
      <c r="H254" s="76" t="s">
        <v>876</v>
      </c>
      <c r="I254" s="76" t="s">
        <v>876</v>
      </c>
      <c r="J254" s="76" t="s">
        <v>35</v>
      </c>
      <c r="K254" s="76" t="s">
        <v>35</v>
      </c>
      <c r="L254" s="76" t="s">
        <v>35</v>
      </c>
      <c r="M254" s="74" t="s">
        <v>35</v>
      </c>
      <c r="N254" s="74" t="s">
        <v>877</v>
      </c>
      <c r="O254" s="74" t="s">
        <v>528</v>
      </c>
    </row>
    <row r="255" spans="1:15">
      <c r="A255" s="72" t="s">
        <v>940</v>
      </c>
      <c r="B255" s="73" t="s">
        <v>941</v>
      </c>
      <c r="C255" s="74" t="s">
        <v>521</v>
      </c>
      <c r="D255" s="74" t="s">
        <v>899</v>
      </c>
      <c r="E255" s="75">
        <v>43472</v>
      </c>
      <c r="F255" s="75">
        <v>43472</v>
      </c>
      <c r="G255" s="75">
        <v>43502</v>
      </c>
      <c r="H255" s="76" t="s">
        <v>876</v>
      </c>
      <c r="I255" s="76" t="s">
        <v>876</v>
      </c>
      <c r="J255" s="76" t="s">
        <v>35</v>
      </c>
      <c r="K255" s="76" t="s">
        <v>35</v>
      </c>
      <c r="L255" s="76" t="s">
        <v>35</v>
      </c>
      <c r="M255" s="74" t="s">
        <v>35</v>
      </c>
      <c r="N255" s="74" t="s">
        <v>877</v>
      </c>
      <c r="O255" s="74" t="s">
        <v>528</v>
      </c>
    </row>
    <row r="256" spans="1:15">
      <c r="A256" s="72" t="s">
        <v>942</v>
      </c>
      <c r="B256" s="73" t="s">
        <v>943</v>
      </c>
      <c r="C256" s="74" t="s">
        <v>521</v>
      </c>
      <c r="D256" s="74" t="s">
        <v>899</v>
      </c>
      <c r="E256" s="75">
        <v>43472</v>
      </c>
      <c r="F256" s="75">
        <v>43472</v>
      </c>
      <c r="G256" s="75">
        <v>43502</v>
      </c>
      <c r="H256" s="76" t="s">
        <v>876</v>
      </c>
      <c r="I256" s="76" t="s">
        <v>876</v>
      </c>
      <c r="J256" s="76" t="s">
        <v>35</v>
      </c>
      <c r="K256" s="76" t="s">
        <v>35</v>
      </c>
      <c r="L256" s="76" t="s">
        <v>35</v>
      </c>
      <c r="M256" s="74" t="s">
        <v>35</v>
      </c>
      <c r="N256" s="74" t="s">
        <v>877</v>
      </c>
      <c r="O256" s="74" t="s">
        <v>528</v>
      </c>
    </row>
    <row r="257" spans="1:15">
      <c r="A257" s="72" t="s">
        <v>944</v>
      </c>
      <c r="B257" s="73" t="s">
        <v>945</v>
      </c>
      <c r="C257" s="74" t="s">
        <v>521</v>
      </c>
      <c r="D257" s="74" t="s">
        <v>899</v>
      </c>
      <c r="E257" s="75">
        <v>43472</v>
      </c>
      <c r="F257" s="75">
        <v>43472</v>
      </c>
      <c r="G257" s="75">
        <v>43502</v>
      </c>
      <c r="H257" s="76" t="s">
        <v>876</v>
      </c>
      <c r="I257" s="76" t="s">
        <v>876</v>
      </c>
      <c r="J257" s="76" t="s">
        <v>35</v>
      </c>
      <c r="K257" s="76" t="s">
        <v>35</v>
      </c>
      <c r="L257" s="76" t="s">
        <v>35</v>
      </c>
      <c r="M257" s="74" t="s">
        <v>35</v>
      </c>
      <c r="N257" s="74" t="s">
        <v>877</v>
      </c>
      <c r="O257" s="74" t="s">
        <v>528</v>
      </c>
    </row>
    <row r="258" spans="1:15">
      <c r="A258" s="72" t="s">
        <v>946</v>
      </c>
      <c r="B258" s="73" t="s">
        <v>947</v>
      </c>
      <c r="C258" s="74" t="s">
        <v>521</v>
      </c>
      <c r="D258" s="74" t="s">
        <v>899</v>
      </c>
      <c r="E258" s="75">
        <v>43472</v>
      </c>
      <c r="F258" s="75">
        <v>43472</v>
      </c>
      <c r="G258" s="75">
        <v>43502</v>
      </c>
      <c r="H258" s="76" t="s">
        <v>876</v>
      </c>
      <c r="I258" s="76" t="s">
        <v>876</v>
      </c>
      <c r="J258" s="76" t="s">
        <v>35</v>
      </c>
      <c r="K258" s="76" t="s">
        <v>35</v>
      </c>
      <c r="L258" s="76" t="s">
        <v>35</v>
      </c>
      <c r="M258" s="74" t="s">
        <v>35</v>
      </c>
      <c r="N258" s="74" t="s">
        <v>877</v>
      </c>
      <c r="O258" s="74" t="s">
        <v>528</v>
      </c>
    </row>
    <row r="259" spans="1:15">
      <c r="A259" s="72" t="s">
        <v>948</v>
      </c>
      <c r="B259" s="73" t="s">
        <v>949</v>
      </c>
      <c r="C259" s="74" t="s">
        <v>521</v>
      </c>
      <c r="D259" s="74" t="s">
        <v>899</v>
      </c>
      <c r="E259" s="75">
        <v>43472</v>
      </c>
      <c r="F259" s="75">
        <v>43472</v>
      </c>
      <c r="G259" s="75">
        <v>43502</v>
      </c>
      <c r="H259" s="76" t="s">
        <v>876</v>
      </c>
      <c r="I259" s="76" t="s">
        <v>876</v>
      </c>
      <c r="J259" s="76" t="s">
        <v>35</v>
      </c>
      <c r="K259" s="76" t="s">
        <v>35</v>
      </c>
      <c r="L259" s="76" t="s">
        <v>35</v>
      </c>
      <c r="M259" s="74" t="s">
        <v>35</v>
      </c>
      <c r="N259" s="74" t="s">
        <v>877</v>
      </c>
      <c r="O259" s="74" t="s">
        <v>528</v>
      </c>
    </row>
    <row r="260" spans="1:15">
      <c r="A260" s="72" t="s">
        <v>950</v>
      </c>
      <c r="B260" s="73" t="s">
        <v>951</v>
      </c>
      <c r="C260" s="74" t="s">
        <v>521</v>
      </c>
      <c r="D260" s="74" t="s">
        <v>899</v>
      </c>
      <c r="E260" s="75">
        <v>43472</v>
      </c>
      <c r="F260" s="75">
        <v>43472</v>
      </c>
      <c r="G260" s="75">
        <v>43502</v>
      </c>
      <c r="H260" s="76" t="s">
        <v>876</v>
      </c>
      <c r="I260" s="76" t="s">
        <v>876</v>
      </c>
      <c r="J260" s="76" t="s">
        <v>35</v>
      </c>
      <c r="K260" s="76" t="s">
        <v>35</v>
      </c>
      <c r="L260" s="76" t="s">
        <v>35</v>
      </c>
      <c r="M260" s="74" t="s">
        <v>35</v>
      </c>
      <c r="N260" s="74" t="s">
        <v>877</v>
      </c>
      <c r="O260" s="74" t="s">
        <v>528</v>
      </c>
    </row>
    <row r="261" spans="1:15">
      <c r="A261" s="72" t="s">
        <v>952</v>
      </c>
      <c r="B261" s="73" t="s">
        <v>953</v>
      </c>
      <c r="C261" s="74" t="s">
        <v>521</v>
      </c>
      <c r="D261" s="74" t="s">
        <v>899</v>
      </c>
      <c r="E261" s="75">
        <v>43472</v>
      </c>
      <c r="F261" s="75">
        <v>43472</v>
      </c>
      <c r="G261" s="75">
        <v>43502</v>
      </c>
      <c r="H261" s="76" t="s">
        <v>876</v>
      </c>
      <c r="I261" s="76" t="s">
        <v>876</v>
      </c>
      <c r="J261" s="76" t="s">
        <v>35</v>
      </c>
      <c r="K261" s="76" t="s">
        <v>35</v>
      </c>
      <c r="L261" s="76" t="s">
        <v>35</v>
      </c>
      <c r="M261" s="74" t="s">
        <v>35</v>
      </c>
      <c r="N261" s="74" t="s">
        <v>877</v>
      </c>
      <c r="O261" s="74" t="s">
        <v>528</v>
      </c>
    </row>
    <row r="262" spans="1:15">
      <c r="A262" s="72" t="s">
        <v>954</v>
      </c>
      <c r="B262" s="73" t="s">
        <v>955</v>
      </c>
      <c r="C262" s="74" t="s">
        <v>521</v>
      </c>
      <c r="D262" s="74" t="s">
        <v>899</v>
      </c>
      <c r="E262" s="75">
        <v>43472</v>
      </c>
      <c r="F262" s="75">
        <v>43472</v>
      </c>
      <c r="G262" s="75">
        <v>43502</v>
      </c>
      <c r="H262" s="76" t="s">
        <v>876</v>
      </c>
      <c r="I262" s="76" t="s">
        <v>876</v>
      </c>
      <c r="J262" s="76" t="s">
        <v>35</v>
      </c>
      <c r="K262" s="76" t="s">
        <v>35</v>
      </c>
      <c r="L262" s="76" t="s">
        <v>35</v>
      </c>
      <c r="M262" s="74" t="s">
        <v>35</v>
      </c>
      <c r="N262" s="74" t="s">
        <v>877</v>
      </c>
      <c r="O262" s="74" t="s">
        <v>528</v>
      </c>
    </row>
    <row r="263" spans="1:15">
      <c r="A263" s="72" t="s">
        <v>956</v>
      </c>
      <c r="B263" s="73" t="s">
        <v>957</v>
      </c>
      <c r="C263" s="74" t="s">
        <v>521</v>
      </c>
      <c r="D263" s="74" t="s">
        <v>899</v>
      </c>
      <c r="E263" s="75">
        <v>43472</v>
      </c>
      <c r="F263" s="75">
        <v>43472</v>
      </c>
      <c r="G263" s="75">
        <v>43502</v>
      </c>
      <c r="H263" s="76" t="s">
        <v>876</v>
      </c>
      <c r="I263" s="76" t="s">
        <v>876</v>
      </c>
      <c r="J263" s="76" t="s">
        <v>35</v>
      </c>
      <c r="K263" s="76" t="s">
        <v>35</v>
      </c>
      <c r="L263" s="76" t="s">
        <v>35</v>
      </c>
      <c r="M263" s="74" t="s">
        <v>35</v>
      </c>
      <c r="N263" s="74" t="s">
        <v>877</v>
      </c>
      <c r="O263" s="74" t="s">
        <v>528</v>
      </c>
    </row>
    <row r="264" spans="1:15">
      <c r="A264" s="72" t="s">
        <v>958</v>
      </c>
      <c r="B264" s="73" t="s">
        <v>959</v>
      </c>
      <c r="C264" s="74" t="s">
        <v>521</v>
      </c>
      <c r="D264" s="74" t="s">
        <v>899</v>
      </c>
      <c r="E264" s="75">
        <v>43472</v>
      </c>
      <c r="F264" s="75">
        <v>43472</v>
      </c>
      <c r="G264" s="75">
        <v>43502</v>
      </c>
      <c r="H264" s="76" t="s">
        <v>876</v>
      </c>
      <c r="I264" s="76" t="s">
        <v>876</v>
      </c>
      <c r="J264" s="76" t="s">
        <v>35</v>
      </c>
      <c r="K264" s="76" t="s">
        <v>35</v>
      </c>
      <c r="L264" s="76" t="s">
        <v>35</v>
      </c>
      <c r="M264" s="74" t="s">
        <v>35</v>
      </c>
      <c r="N264" s="74" t="s">
        <v>877</v>
      </c>
      <c r="O264" s="74" t="s">
        <v>528</v>
      </c>
    </row>
    <row r="265" spans="1:15">
      <c r="A265" s="72" t="s">
        <v>960</v>
      </c>
      <c r="B265" s="73" t="s">
        <v>961</v>
      </c>
      <c r="C265" s="74" t="s">
        <v>521</v>
      </c>
      <c r="D265" s="74" t="s">
        <v>962</v>
      </c>
      <c r="E265" s="75">
        <v>43475</v>
      </c>
      <c r="F265" s="75">
        <v>43475</v>
      </c>
      <c r="G265" s="75">
        <v>43505</v>
      </c>
      <c r="H265" s="76" t="s">
        <v>876</v>
      </c>
      <c r="I265" s="76" t="s">
        <v>876</v>
      </c>
      <c r="J265" s="76" t="s">
        <v>35</v>
      </c>
      <c r="K265" s="76" t="s">
        <v>35</v>
      </c>
      <c r="L265" s="76" t="s">
        <v>35</v>
      </c>
      <c r="M265" s="74" t="s">
        <v>35</v>
      </c>
      <c r="N265" s="74" t="s">
        <v>877</v>
      </c>
      <c r="O265" s="74" t="s">
        <v>528</v>
      </c>
    </row>
    <row r="266" spans="1:15">
      <c r="A266" s="72" t="s">
        <v>963</v>
      </c>
      <c r="B266" s="73" t="s">
        <v>964</v>
      </c>
      <c r="C266" s="74" t="s">
        <v>521</v>
      </c>
      <c r="D266" s="74" t="s">
        <v>962</v>
      </c>
      <c r="E266" s="75">
        <v>43475</v>
      </c>
      <c r="F266" s="75">
        <v>43475</v>
      </c>
      <c r="G266" s="75">
        <v>43505</v>
      </c>
      <c r="H266" s="76" t="s">
        <v>876</v>
      </c>
      <c r="I266" s="76" t="s">
        <v>876</v>
      </c>
      <c r="J266" s="76" t="s">
        <v>35</v>
      </c>
      <c r="K266" s="76" t="s">
        <v>35</v>
      </c>
      <c r="L266" s="76" t="s">
        <v>35</v>
      </c>
      <c r="M266" s="74" t="s">
        <v>35</v>
      </c>
      <c r="N266" s="74" t="s">
        <v>877</v>
      </c>
      <c r="O266" s="74" t="s">
        <v>528</v>
      </c>
    </row>
    <row r="267" spans="1:15">
      <c r="A267" s="72" t="s">
        <v>965</v>
      </c>
      <c r="B267" s="73" t="s">
        <v>966</v>
      </c>
      <c r="C267" s="74" t="s">
        <v>521</v>
      </c>
      <c r="D267" s="74" t="s">
        <v>962</v>
      </c>
      <c r="E267" s="75">
        <v>43475</v>
      </c>
      <c r="F267" s="75">
        <v>43475</v>
      </c>
      <c r="G267" s="75">
        <v>43505</v>
      </c>
      <c r="H267" s="76" t="s">
        <v>876</v>
      </c>
      <c r="I267" s="76" t="s">
        <v>876</v>
      </c>
      <c r="J267" s="76" t="s">
        <v>35</v>
      </c>
      <c r="K267" s="76" t="s">
        <v>35</v>
      </c>
      <c r="L267" s="76" t="s">
        <v>35</v>
      </c>
      <c r="M267" s="74" t="s">
        <v>35</v>
      </c>
      <c r="N267" s="74" t="s">
        <v>877</v>
      </c>
      <c r="O267" s="74" t="s">
        <v>528</v>
      </c>
    </row>
    <row r="268" spans="1:15">
      <c r="A268" s="72" t="s">
        <v>967</v>
      </c>
      <c r="B268" s="73" t="s">
        <v>968</v>
      </c>
      <c r="C268" s="74" t="s">
        <v>521</v>
      </c>
      <c r="D268" s="74" t="s">
        <v>962</v>
      </c>
      <c r="E268" s="75">
        <v>43475</v>
      </c>
      <c r="F268" s="75">
        <v>43475</v>
      </c>
      <c r="G268" s="75">
        <v>43505</v>
      </c>
      <c r="H268" s="76" t="s">
        <v>876</v>
      </c>
      <c r="I268" s="76" t="s">
        <v>876</v>
      </c>
      <c r="J268" s="76" t="s">
        <v>35</v>
      </c>
      <c r="K268" s="76" t="s">
        <v>35</v>
      </c>
      <c r="L268" s="76" t="s">
        <v>35</v>
      </c>
      <c r="M268" s="74" t="s">
        <v>35</v>
      </c>
      <c r="N268" s="74" t="s">
        <v>877</v>
      </c>
      <c r="O268" s="74" t="s">
        <v>528</v>
      </c>
    </row>
    <row r="269" spans="1:15">
      <c r="A269" s="72" t="s">
        <v>969</v>
      </c>
      <c r="B269" s="73" t="s">
        <v>970</v>
      </c>
      <c r="C269" s="74" t="s">
        <v>521</v>
      </c>
      <c r="D269" s="74" t="s">
        <v>962</v>
      </c>
      <c r="E269" s="75">
        <v>43475</v>
      </c>
      <c r="F269" s="75">
        <v>43475</v>
      </c>
      <c r="G269" s="75">
        <v>43505</v>
      </c>
      <c r="H269" s="76" t="s">
        <v>876</v>
      </c>
      <c r="I269" s="76" t="s">
        <v>876</v>
      </c>
      <c r="J269" s="76" t="s">
        <v>35</v>
      </c>
      <c r="K269" s="76" t="s">
        <v>35</v>
      </c>
      <c r="L269" s="76" t="s">
        <v>35</v>
      </c>
      <c r="M269" s="74" t="s">
        <v>35</v>
      </c>
      <c r="N269" s="74" t="s">
        <v>877</v>
      </c>
      <c r="O269" s="74" t="s">
        <v>528</v>
      </c>
    </row>
    <row r="270" spans="1:15">
      <c r="A270" s="72" t="s">
        <v>971</v>
      </c>
      <c r="B270" s="73" t="s">
        <v>972</v>
      </c>
      <c r="C270" s="74" t="s">
        <v>521</v>
      </c>
      <c r="D270" s="74" t="s">
        <v>962</v>
      </c>
      <c r="E270" s="75">
        <v>43475</v>
      </c>
      <c r="F270" s="75">
        <v>43475</v>
      </c>
      <c r="G270" s="75">
        <v>43505</v>
      </c>
      <c r="H270" s="76" t="s">
        <v>876</v>
      </c>
      <c r="I270" s="76" t="s">
        <v>876</v>
      </c>
      <c r="J270" s="76" t="s">
        <v>35</v>
      </c>
      <c r="K270" s="76" t="s">
        <v>35</v>
      </c>
      <c r="L270" s="76" t="s">
        <v>35</v>
      </c>
      <c r="M270" s="74" t="s">
        <v>35</v>
      </c>
      <c r="N270" s="74" t="s">
        <v>877</v>
      </c>
      <c r="O270" s="74" t="s">
        <v>528</v>
      </c>
    </row>
    <row r="271" spans="1:15">
      <c r="A271" s="72" t="s">
        <v>973</v>
      </c>
      <c r="B271" s="73" t="s">
        <v>974</v>
      </c>
      <c r="C271" s="74" t="s">
        <v>521</v>
      </c>
      <c r="D271" s="74" t="s">
        <v>962</v>
      </c>
      <c r="E271" s="75">
        <v>43475</v>
      </c>
      <c r="F271" s="75">
        <v>43475</v>
      </c>
      <c r="G271" s="75">
        <v>43505</v>
      </c>
      <c r="H271" s="76" t="s">
        <v>876</v>
      </c>
      <c r="I271" s="76" t="s">
        <v>876</v>
      </c>
      <c r="J271" s="76" t="s">
        <v>35</v>
      </c>
      <c r="K271" s="76" t="s">
        <v>35</v>
      </c>
      <c r="L271" s="76" t="s">
        <v>35</v>
      </c>
      <c r="M271" s="74" t="s">
        <v>35</v>
      </c>
      <c r="N271" s="74" t="s">
        <v>877</v>
      </c>
      <c r="O271" s="74" t="s">
        <v>528</v>
      </c>
    </row>
    <row r="272" spans="1:15">
      <c r="A272" s="72" t="s">
        <v>975</v>
      </c>
      <c r="B272" s="73" t="s">
        <v>976</v>
      </c>
      <c r="C272" s="74" t="s">
        <v>521</v>
      </c>
      <c r="D272" s="74" t="s">
        <v>962</v>
      </c>
      <c r="E272" s="75">
        <v>43475</v>
      </c>
      <c r="F272" s="75">
        <v>43475</v>
      </c>
      <c r="G272" s="75">
        <v>43505</v>
      </c>
      <c r="H272" s="76" t="s">
        <v>876</v>
      </c>
      <c r="I272" s="76" t="s">
        <v>876</v>
      </c>
      <c r="J272" s="76" t="s">
        <v>35</v>
      </c>
      <c r="K272" s="76" t="s">
        <v>35</v>
      </c>
      <c r="L272" s="76" t="s">
        <v>35</v>
      </c>
      <c r="M272" s="74" t="s">
        <v>35</v>
      </c>
      <c r="N272" s="74" t="s">
        <v>877</v>
      </c>
      <c r="O272" s="74" t="s">
        <v>528</v>
      </c>
    </row>
    <row r="273" spans="1:15">
      <c r="A273" s="72" t="s">
        <v>977</v>
      </c>
      <c r="B273" s="73" t="s">
        <v>978</v>
      </c>
      <c r="C273" s="74" t="s">
        <v>521</v>
      </c>
      <c r="D273" s="74" t="s">
        <v>962</v>
      </c>
      <c r="E273" s="75">
        <v>43475</v>
      </c>
      <c r="F273" s="75">
        <v>43475</v>
      </c>
      <c r="G273" s="75">
        <v>43505</v>
      </c>
      <c r="H273" s="76" t="s">
        <v>876</v>
      </c>
      <c r="I273" s="76" t="s">
        <v>876</v>
      </c>
      <c r="J273" s="76" t="s">
        <v>35</v>
      </c>
      <c r="K273" s="76" t="s">
        <v>35</v>
      </c>
      <c r="L273" s="76" t="s">
        <v>35</v>
      </c>
      <c r="M273" s="74" t="s">
        <v>35</v>
      </c>
      <c r="N273" s="74" t="s">
        <v>877</v>
      </c>
      <c r="O273" s="74" t="s">
        <v>528</v>
      </c>
    </row>
    <row r="274" spans="1:15">
      <c r="A274" s="72" t="s">
        <v>979</v>
      </c>
      <c r="B274" s="73" t="s">
        <v>980</v>
      </c>
      <c r="C274" s="74" t="s">
        <v>521</v>
      </c>
      <c r="D274" s="74" t="s">
        <v>962</v>
      </c>
      <c r="E274" s="75">
        <v>43475</v>
      </c>
      <c r="F274" s="75">
        <v>43475</v>
      </c>
      <c r="G274" s="75">
        <v>43505</v>
      </c>
      <c r="H274" s="76" t="s">
        <v>876</v>
      </c>
      <c r="I274" s="76" t="s">
        <v>876</v>
      </c>
      <c r="J274" s="76" t="s">
        <v>35</v>
      </c>
      <c r="K274" s="76" t="s">
        <v>35</v>
      </c>
      <c r="L274" s="76" t="s">
        <v>35</v>
      </c>
      <c r="M274" s="74" t="s">
        <v>35</v>
      </c>
      <c r="N274" s="74" t="s">
        <v>877</v>
      </c>
      <c r="O274" s="74" t="s">
        <v>528</v>
      </c>
    </row>
    <row r="275" spans="1:15">
      <c r="A275" s="72" t="s">
        <v>981</v>
      </c>
      <c r="B275" s="73" t="s">
        <v>982</v>
      </c>
      <c r="C275" s="74" t="s">
        <v>521</v>
      </c>
      <c r="D275" s="74" t="s">
        <v>962</v>
      </c>
      <c r="E275" s="75">
        <v>43475</v>
      </c>
      <c r="F275" s="75">
        <v>43475</v>
      </c>
      <c r="G275" s="75">
        <v>43505</v>
      </c>
      <c r="H275" s="76" t="s">
        <v>876</v>
      </c>
      <c r="I275" s="76" t="s">
        <v>876</v>
      </c>
      <c r="J275" s="76" t="s">
        <v>35</v>
      </c>
      <c r="K275" s="76" t="s">
        <v>35</v>
      </c>
      <c r="L275" s="76" t="s">
        <v>35</v>
      </c>
      <c r="M275" s="74" t="s">
        <v>35</v>
      </c>
      <c r="N275" s="74" t="s">
        <v>877</v>
      </c>
      <c r="O275" s="74" t="s">
        <v>528</v>
      </c>
    </row>
    <row r="276" spans="1:15">
      <c r="A276" s="72" t="s">
        <v>983</v>
      </c>
      <c r="B276" s="73" t="s">
        <v>984</v>
      </c>
      <c r="C276" s="74" t="s">
        <v>521</v>
      </c>
      <c r="D276" s="74" t="s">
        <v>962</v>
      </c>
      <c r="E276" s="75">
        <v>43475</v>
      </c>
      <c r="F276" s="75">
        <v>43475</v>
      </c>
      <c r="G276" s="75">
        <v>43505</v>
      </c>
      <c r="H276" s="76" t="s">
        <v>876</v>
      </c>
      <c r="I276" s="76" t="s">
        <v>876</v>
      </c>
      <c r="J276" s="76" t="s">
        <v>35</v>
      </c>
      <c r="K276" s="76" t="s">
        <v>35</v>
      </c>
      <c r="L276" s="76" t="s">
        <v>35</v>
      </c>
      <c r="M276" s="74" t="s">
        <v>35</v>
      </c>
      <c r="N276" s="74" t="s">
        <v>877</v>
      </c>
      <c r="O276" s="74" t="s">
        <v>528</v>
      </c>
    </row>
    <row r="277" spans="1:15">
      <c r="A277" s="72" t="s">
        <v>985</v>
      </c>
      <c r="B277" s="73" t="s">
        <v>986</v>
      </c>
      <c r="C277" s="74" t="s">
        <v>521</v>
      </c>
      <c r="D277" s="74" t="s">
        <v>962</v>
      </c>
      <c r="E277" s="75">
        <v>43475</v>
      </c>
      <c r="F277" s="75">
        <v>43475</v>
      </c>
      <c r="G277" s="75">
        <v>43505</v>
      </c>
      <c r="H277" s="76" t="s">
        <v>876</v>
      </c>
      <c r="I277" s="76" t="s">
        <v>876</v>
      </c>
      <c r="J277" s="76" t="s">
        <v>35</v>
      </c>
      <c r="K277" s="76" t="s">
        <v>35</v>
      </c>
      <c r="L277" s="76" t="s">
        <v>35</v>
      </c>
      <c r="M277" s="74" t="s">
        <v>35</v>
      </c>
      <c r="N277" s="74" t="s">
        <v>877</v>
      </c>
      <c r="O277" s="74" t="s">
        <v>528</v>
      </c>
    </row>
    <row r="278" spans="1:15">
      <c r="A278" s="72" t="s">
        <v>987</v>
      </c>
      <c r="B278" s="73" t="s">
        <v>988</v>
      </c>
      <c r="C278" s="74" t="s">
        <v>521</v>
      </c>
      <c r="D278" s="74" t="s">
        <v>962</v>
      </c>
      <c r="E278" s="75">
        <v>43475</v>
      </c>
      <c r="F278" s="75">
        <v>43475</v>
      </c>
      <c r="G278" s="75">
        <v>43505</v>
      </c>
      <c r="H278" s="76" t="s">
        <v>876</v>
      </c>
      <c r="I278" s="76" t="s">
        <v>876</v>
      </c>
      <c r="J278" s="76" t="s">
        <v>35</v>
      </c>
      <c r="K278" s="76" t="s">
        <v>35</v>
      </c>
      <c r="L278" s="76" t="s">
        <v>35</v>
      </c>
      <c r="M278" s="74" t="s">
        <v>35</v>
      </c>
      <c r="N278" s="74" t="s">
        <v>877</v>
      </c>
      <c r="O278" s="74" t="s">
        <v>528</v>
      </c>
    </row>
    <row r="279" spans="1:15">
      <c r="A279" s="72" t="s">
        <v>989</v>
      </c>
      <c r="B279" s="73" t="s">
        <v>990</v>
      </c>
      <c r="C279" s="74" t="s">
        <v>521</v>
      </c>
      <c r="D279" s="74" t="s">
        <v>962</v>
      </c>
      <c r="E279" s="75">
        <v>43475</v>
      </c>
      <c r="F279" s="75">
        <v>43475</v>
      </c>
      <c r="G279" s="75">
        <v>43505</v>
      </c>
      <c r="H279" s="76" t="s">
        <v>876</v>
      </c>
      <c r="I279" s="76" t="s">
        <v>876</v>
      </c>
      <c r="J279" s="76" t="s">
        <v>35</v>
      </c>
      <c r="K279" s="76" t="s">
        <v>35</v>
      </c>
      <c r="L279" s="76" t="s">
        <v>35</v>
      </c>
      <c r="M279" s="74" t="s">
        <v>35</v>
      </c>
      <c r="N279" s="74" t="s">
        <v>877</v>
      </c>
      <c r="O279" s="74" t="s">
        <v>528</v>
      </c>
    </row>
    <row r="280" spans="1:15">
      <c r="A280" s="72" t="s">
        <v>991</v>
      </c>
      <c r="B280" s="73" t="s">
        <v>992</v>
      </c>
      <c r="C280" s="74" t="s">
        <v>521</v>
      </c>
      <c r="D280" s="74" t="s">
        <v>962</v>
      </c>
      <c r="E280" s="75">
        <v>43475</v>
      </c>
      <c r="F280" s="75">
        <v>43475</v>
      </c>
      <c r="G280" s="75">
        <v>43505</v>
      </c>
      <c r="H280" s="76" t="s">
        <v>876</v>
      </c>
      <c r="I280" s="76" t="s">
        <v>876</v>
      </c>
      <c r="J280" s="76" t="s">
        <v>35</v>
      </c>
      <c r="K280" s="76" t="s">
        <v>35</v>
      </c>
      <c r="L280" s="76" t="s">
        <v>35</v>
      </c>
      <c r="M280" s="74" t="s">
        <v>35</v>
      </c>
      <c r="N280" s="74" t="s">
        <v>877</v>
      </c>
      <c r="O280" s="74" t="s">
        <v>528</v>
      </c>
    </row>
    <row r="281" spans="1:15">
      <c r="A281" s="72" t="s">
        <v>993</v>
      </c>
      <c r="B281" s="73" t="s">
        <v>994</v>
      </c>
      <c r="C281" s="74" t="s">
        <v>521</v>
      </c>
      <c r="D281" s="74" t="s">
        <v>962</v>
      </c>
      <c r="E281" s="75">
        <v>43475</v>
      </c>
      <c r="F281" s="75">
        <v>43475</v>
      </c>
      <c r="G281" s="75">
        <v>43505</v>
      </c>
      <c r="H281" s="76" t="s">
        <v>876</v>
      </c>
      <c r="I281" s="76" t="s">
        <v>876</v>
      </c>
      <c r="J281" s="76" t="s">
        <v>35</v>
      </c>
      <c r="K281" s="76" t="s">
        <v>35</v>
      </c>
      <c r="L281" s="76" t="s">
        <v>35</v>
      </c>
      <c r="M281" s="74" t="s">
        <v>35</v>
      </c>
      <c r="N281" s="74" t="s">
        <v>877</v>
      </c>
      <c r="O281" s="74" t="s">
        <v>528</v>
      </c>
    </row>
    <row r="282" spans="1:15">
      <c r="A282" s="72" t="s">
        <v>995</v>
      </c>
      <c r="B282" s="73" t="s">
        <v>996</v>
      </c>
      <c r="C282" s="74" t="s">
        <v>521</v>
      </c>
      <c r="D282" s="74" t="s">
        <v>962</v>
      </c>
      <c r="E282" s="75">
        <v>43475</v>
      </c>
      <c r="F282" s="75">
        <v>43475</v>
      </c>
      <c r="G282" s="75">
        <v>43505</v>
      </c>
      <c r="H282" s="76" t="s">
        <v>876</v>
      </c>
      <c r="I282" s="76" t="s">
        <v>876</v>
      </c>
      <c r="J282" s="76" t="s">
        <v>35</v>
      </c>
      <c r="K282" s="76" t="s">
        <v>35</v>
      </c>
      <c r="L282" s="76" t="s">
        <v>35</v>
      </c>
      <c r="M282" s="74" t="s">
        <v>35</v>
      </c>
      <c r="N282" s="74" t="s">
        <v>877</v>
      </c>
      <c r="O282" s="74" t="s">
        <v>528</v>
      </c>
    </row>
    <row r="283" spans="1:15">
      <c r="A283" s="72" t="s">
        <v>997</v>
      </c>
      <c r="B283" s="73" t="s">
        <v>998</v>
      </c>
      <c r="C283" s="74" t="s">
        <v>521</v>
      </c>
      <c r="D283" s="74" t="s">
        <v>962</v>
      </c>
      <c r="E283" s="75">
        <v>43475</v>
      </c>
      <c r="F283" s="75">
        <v>43475</v>
      </c>
      <c r="G283" s="75">
        <v>43505</v>
      </c>
      <c r="H283" s="76" t="s">
        <v>876</v>
      </c>
      <c r="I283" s="76" t="s">
        <v>876</v>
      </c>
      <c r="J283" s="76" t="s">
        <v>35</v>
      </c>
      <c r="K283" s="76" t="s">
        <v>35</v>
      </c>
      <c r="L283" s="76" t="s">
        <v>35</v>
      </c>
      <c r="M283" s="74" t="s">
        <v>35</v>
      </c>
      <c r="N283" s="74" t="s">
        <v>877</v>
      </c>
      <c r="O283" s="74" t="s">
        <v>528</v>
      </c>
    </row>
    <row r="284" spans="1:15">
      <c r="A284" s="72" t="s">
        <v>999</v>
      </c>
      <c r="B284" s="73" t="s">
        <v>1000</v>
      </c>
      <c r="C284" s="74" t="s">
        <v>521</v>
      </c>
      <c r="D284" s="74" t="s">
        <v>962</v>
      </c>
      <c r="E284" s="75">
        <v>43475</v>
      </c>
      <c r="F284" s="75">
        <v>43475</v>
      </c>
      <c r="G284" s="75">
        <v>43505</v>
      </c>
      <c r="H284" s="76" t="s">
        <v>876</v>
      </c>
      <c r="I284" s="76" t="s">
        <v>876</v>
      </c>
      <c r="J284" s="76" t="s">
        <v>35</v>
      </c>
      <c r="K284" s="76" t="s">
        <v>35</v>
      </c>
      <c r="L284" s="76" t="s">
        <v>35</v>
      </c>
      <c r="M284" s="74" t="s">
        <v>35</v>
      </c>
      <c r="N284" s="74" t="s">
        <v>877</v>
      </c>
      <c r="O284" s="74" t="s">
        <v>528</v>
      </c>
    </row>
    <row r="285" spans="1:15">
      <c r="A285" s="72" t="s">
        <v>1001</v>
      </c>
      <c r="B285" s="73" t="s">
        <v>1002</v>
      </c>
      <c r="C285" s="74" t="s">
        <v>521</v>
      </c>
      <c r="D285" s="74" t="s">
        <v>962</v>
      </c>
      <c r="E285" s="75">
        <v>43475</v>
      </c>
      <c r="F285" s="75">
        <v>43475</v>
      </c>
      <c r="G285" s="75">
        <v>43505</v>
      </c>
      <c r="H285" s="76" t="s">
        <v>876</v>
      </c>
      <c r="I285" s="76" t="s">
        <v>876</v>
      </c>
      <c r="J285" s="76" t="s">
        <v>35</v>
      </c>
      <c r="K285" s="76" t="s">
        <v>35</v>
      </c>
      <c r="L285" s="76" t="s">
        <v>35</v>
      </c>
      <c r="M285" s="74" t="s">
        <v>35</v>
      </c>
      <c r="N285" s="74" t="s">
        <v>877</v>
      </c>
      <c r="O285" s="74" t="s">
        <v>528</v>
      </c>
    </row>
    <row r="286" spans="1:15">
      <c r="A286" s="72" t="s">
        <v>1003</v>
      </c>
      <c r="B286" s="73" t="s">
        <v>1004</v>
      </c>
      <c r="C286" s="74" t="s">
        <v>521</v>
      </c>
      <c r="D286" s="74" t="s">
        <v>962</v>
      </c>
      <c r="E286" s="75">
        <v>43475</v>
      </c>
      <c r="F286" s="75">
        <v>43475</v>
      </c>
      <c r="G286" s="75">
        <v>43505</v>
      </c>
      <c r="H286" s="76" t="s">
        <v>876</v>
      </c>
      <c r="I286" s="76" t="s">
        <v>876</v>
      </c>
      <c r="J286" s="76" t="s">
        <v>35</v>
      </c>
      <c r="K286" s="76" t="s">
        <v>35</v>
      </c>
      <c r="L286" s="76" t="s">
        <v>35</v>
      </c>
      <c r="M286" s="74" t="s">
        <v>35</v>
      </c>
      <c r="N286" s="74" t="s">
        <v>877</v>
      </c>
      <c r="O286" s="74" t="s">
        <v>528</v>
      </c>
    </row>
    <row r="287" spans="1:15">
      <c r="A287" s="72" t="s">
        <v>1005</v>
      </c>
      <c r="B287" s="73" t="s">
        <v>1006</v>
      </c>
      <c r="C287" s="74" t="s">
        <v>521</v>
      </c>
      <c r="D287" s="74" t="s">
        <v>962</v>
      </c>
      <c r="E287" s="75">
        <v>43475</v>
      </c>
      <c r="F287" s="75">
        <v>43475</v>
      </c>
      <c r="G287" s="75">
        <v>43505</v>
      </c>
      <c r="H287" s="76" t="s">
        <v>876</v>
      </c>
      <c r="I287" s="76" t="s">
        <v>876</v>
      </c>
      <c r="J287" s="76" t="s">
        <v>35</v>
      </c>
      <c r="K287" s="76" t="s">
        <v>35</v>
      </c>
      <c r="L287" s="76" t="s">
        <v>35</v>
      </c>
      <c r="M287" s="74" t="s">
        <v>35</v>
      </c>
      <c r="N287" s="74" t="s">
        <v>877</v>
      </c>
      <c r="O287" s="74" t="s">
        <v>528</v>
      </c>
    </row>
    <row r="288" spans="1:15">
      <c r="A288" s="72" t="s">
        <v>1007</v>
      </c>
      <c r="B288" s="73" t="s">
        <v>1008</v>
      </c>
      <c r="C288" s="74" t="s">
        <v>521</v>
      </c>
      <c r="D288" s="74" t="s">
        <v>962</v>
      </c>
      <c r="E288" s="75">
        <v>43475</v>
      </c>
      <c r="F288" s="75">
        <v>43475</v>
      </c>
      <c r="G288" s="75">
        <v>43505</v>
      </c>
      <c r="H288" s="76" t="s">
        <v>876</v>
      </c>
      <c r="I288" s="76" t="s">
        <v>876</v>
      </c>
      <c r="J288" s="76" t="s">
        <v>35</v>
      </c>
      <c r="K288" s="76" t="s">
        <v>35</v>
      </c>
      <c r="L288" s="76" t="s">
        <v>35</v>
      </c>
      <c r="M288" s="74" t="s">
        <v>35</v>
      </c>
      <c r="N288" s="74" t="s">
        <v>877</v>
      </c>
      <c r="O288" s="74" t="s">
        <v>528</v>
      </c>
    </row>
    <row r="289" spans="1:15">
      <c r="A289" s="72" t="s">
        <v>1009</v>
      </c>
      <c r="B289" s="73" t="s">
        <v>1010</v>
      </c>
      <c r="C289" s="74" t="s">
        <v>521</v>
      </c>
      <c r="D289" s="74" t="s">
        <v>962</v>
      </c>
      <c r="E289" s="75">
        <v>43475</v>
      </c>
      <c r="F289" s="75">
        <v>43475</v>
      </c>
      <c r="G289" s="75">
        <v>43505</v>
      </c>
      <c r="H289" s="76" t="s">
        <v>876</v>
      </c>
      <c r="I289" s="76" t="s">
        <v>876</v>
      </c>
      <c r="J289" s="76" t="s">
        <v>35</v>
      </c>
      <c r="K289" s="76" t="s">
        <v>35</v>
      </c>
      <c r="L289" s="76" t="s">
        <v>35</v>
      </c>
      <c r="M289" s="74" t="s">
        <v>35</v>
      </c>
      <c r="N289" s="74" t="s">
        <v>877</v>
      </c>
      <c r="O289" s="74" t="s">
        <v>528</v>
      </c>
    </row>
    <row r="290" spans="1:15">
      <c r="A290" s="72" t="s">
        <v>1011</v>
      </c>
      <c r="B290" s="73" t="s">
        <v>1012</v>
      </c>
      <c r="C290" s="74" t="s">
        <v>521</v>
      </c>
      <c r="D290" s="74" t="s">
        <v>962</v>
      </c>
      <c r="E290" s="75">
        <v>43475</v>
      </c>
      <c r="F290" s="75">
        <v>43475</v>
      </c>
      <c r="G290" s="75">
        <v>43505</v>
      </c>
      <c r="H290" s="76" t="s">
        <v>876</v>
      </c>
      <c r="I290" s="76" t="s">
        <v>876</v>
      </c>
      <c r="J290" s="76" t="s">
        <v>35</v>
      </c>
      <c r="K290" s="76" t="s">
        <v>35</v>
      </c>
      <c r="L290" s="76" t="s">
        <v>35</v>
      </c>
      <c r="M290" s="74" t="s">
        <v>35</v>
      </c>
      <c r="N290" s="74" t="s">
        <v>877</v>
      </c>
      <c r="O290" s="74" t="s">
        <v>528</v>
      </c>
    </row>
    <row r="291" spans="1:15">
      <c r="A291" s="72" t="s">
        <v>1013</v>
      </c>
      <c r="B291" s="73" t="s">
        <v>1014</v>
      </c>
      <c r="C291" s="74" t="s">
        <v>521</v>
      </c>
      <c r="D291" s="74" t="s">
        <v>962</v>
      </c>
      <c r="E291" s="75">
        <v>43475</v>
      </c>
      <c r="F291" s="75">
        <v>43475</v>
      </c>
      <c r="G291" s="75">
        <v>43505</v>
      </c>
      <c r="H291" s="76" t="s">
        <v>876</v>
      </c>
      <c r="I291" s="76" t="s">
        <v>876</v>
      </c>
      <c r="J291" s="76" t="s">
        <v>35</v>
      </c>
      <c r="K291" s="76" t="s">
        <v>35</v>
      </c>
      <c r="L291" s="76" t="s">
        <v>35</v>
      </c>
      <c r="M291" s="74" t="s">
        <v>35</v>
      </c>
      <c r="N291" s="74" t="s">
        <v>877</v>
      </c>
      <c r="O291" s="74" t="s">
        <v>528</v>
      </c>
    </row>
    <row r="292" spans="1:15">
      <c r="A292" s="72" t="s">
        <v>1015</v>
      </c>
      <c r="B292" s="73" t="s">
        <v>1016</v>
      </c>
      <c r="C292" s="74" t="s">
        <v>521</v>
      </c>
      <c r="D292" s="74" t="s">
        <v>962</v>
      </c>
      <c r="E292" s="75">
        <v>43475</v>
      </c>
      <c r="F292" s="75">
        <v>43475</v>
      </c>
      <c r="G292" s="75">
        <v>43505</v>
      </c>
      <c r="H292" s="76" t="s">
        <v>876</v>
      </c>
      <c r="I292" s="76" t="s">
        <v>876</v>
      </c>
      <c r="J292" s="76" t="s">
        <v>35</v>
      </c>
      <c r="K292" s="76" t="s">
        <v>35</v>
      </c>
      <c r="L292" s="76" t="s">
        <v>35</v>
      </c>
      <c r="M292" s="74" t="s">
        <v>35</v>
      </c>
      <c r="N292" s="74" t="s">
        <v>877</v>
      </c>
      <c r="O292" s="74" t="s">
        <v>528</v>
      </c>
    </row>
    <row r="293" spans="1:15">
      <c r="A293" s="72" t="s">
        <v>1017</v>
      </c>
      <c r="B293" s="73" t="s">
        <v>1018</v>
      </c>
      <c r="C293" s="74" t="s">
        <v>521</v>
      </c>
      <c r="D293" s="74" t="s">
        <v>962</v>
      </c>
      <c r="E293" s="75">
        <v>43475</v>
      </c>
      <c r="F293" s="75">
        <v>43475</v>
      </c>
      <c r="G293" s="75">
        <v>43505</v>
      </c>
      <c r="H293" s="76" t="s">
        <v>876</v>
      </c>
      <c r="I293" s="76" t="s">
        <v>876</v>
      </c>
      <c r="J293" s="76" t="s">
        <v>35</v>
      </c>
      <c r="K293" s="76" t="s">
        <v>35</v>
      </c>
      <c r="L293" s="76" t="s">
        <v>35</v>
      </c>
      <c r="M293" s="74" t="s">
        <v>35</v>
      </c>
      <c r="N293" s="74" t="s">
        <v>877</v>
      </c>
      <c r="O293" s="74" t="s">
        <v>528</v>
      </c>
    </row>
    <row r="294" spans="1:15">
      <c r="A294" s="72" t="s">
        <v>1019</v>
      </c>
      <c r="B294" s="73" t="s">
        <v>1020</v>
      </c>
      <c r="C294" s="74" t="s">
        <v>521</v>
      </c>
      <c r="D294" s="74" t="s">
        <v>962</v>
      </c>
      <c r="E294" s="75">
        <v>43475</v>
      </c>
      <c r="F294" s="75">
        <v>43475</v>
      </c>
      <c r="G294" s="75">
        <v>43505</v>
      </c>
      <c r="H294" s="76" t="s">
        <v>876</v>
      </c>
      <c r="I294" s="76" t="s">
        <v>876</v>
      </c>
      <c r="J294" s="76" t="s">
        <v>35</v>
      </c>
      <c r="K294" s="76" t="s">
        <v>35</v>
      </c>
      <c r="L294" s="76" t="s">
        <v>35</v>
      </c>
      <c r="M294" s="74" t="s">
        <v>35</v>
      </c>
      <c r="N294" s="74" t="s">
        <v>877</v>
      </c>
      <c r="O294" s="74" t="s">
        <v>528</v>
      </c>
    </row>
    <row r="295" spans="1:15">
      <c r="A295" s="72" t="s">
        <v>1021</v>
      </c>
      <c r="B295" s="73" t="s">
        <v>1022</v>
      </c>
      <c r="C295" s="74" t="s">
        <v>521</v>
      </c>
      <c r="D295" s="74" t="s">
        <v>962</v>
      </c>
      <c r="E295" s="75">
        <v>43475</v>
      </c>
      <c r="F295" s="75">
        <v>43475</v>
      </c>
      <c r="G295" s="75">
        <v>43505</v>
      </c>
      <c r="H295" s="76" t="s">
        <v>876</v>
      </c>
      <c r="I295" s="76" t="s">
        <v>876</v>
      </c>
      <c r="J295" s="76" t="s">
        <v>35</v>
      </c>
      <c r="K295" s="76" t="s">
        <v>35</v>
      </c>
      <c r="L295" s="76" t="s">
        <v>35</v>
      </c>
      <c r="M295" s="74" t="s">
        <v>35</v>
      </c>
      <c r="N295" s="74" t="s">
        <v>877</v>
      </c>
      <c r="O295" s="74" t="s">
        <v>528</v>
      </c>
    </row>
    <row r="296" spans="1:15">
      <c r="A296" s="72" t="s">
        <v>1023</v>
      </c>
      <c r="B296" s="73" t="s">
        <v>1024</v>
      </c>
      <c r="C296" s="74" t="s">
        <v>521</v>
      </c>
      <c r="D296" s="74" t="s">
        <v>962</v>
      </c>
      <c r="E296" s="75">
        <v>43475</v>
      </c>
      <c r="F296" s="75">
        <v>43475</v>
      </c>
      <c r="G296" s="75">
        <v>43505</v>
      </c>
      <c r="H296" s="76" t="s">
        <v>876</v>
      </c>
      <c r="I296" s="76" t="s">
        <v>876</v>
      </c>
      <c r="J296" s="76" t="s">
        <v>35</v>
      </c>
      <c r="K296" s="76" t="s">
        <v>35</v>
      </c>
      <c r="L296" s="76" t="s">
        <v>35</v>
      </c>
      <c r="M296" s="74" t="s">
        <v>35</v>
      </c>
      <c r="N296" s="74" t="s">
        <v>877</v>
      </c>
      <c r="O296" s="74" t="s">
        <v>528</v>
      </c>
    </row>
    <row r="297" spans="1:15">
      <c r="A297" s="72" t="s">
        <v>1025</v>
      </c>
      <c r="B297" s="73" t="s">
        <v>1026</v>
      </c>
      <c r="C297" s="74" t="s">
        <v>521</v>
      </c>
      <c r="D297" s="74" t="s">
        <v>962</v>
      </c>
      <c r="E297" s="75">
        <v>43475</v>
      </c>
      <c r="F297" s="75">
        <v>43475</v>
      </c>
      <c r="G297" s="75">
        <v>43505</v>
      </c>
      <c r="H297" s="76" t="s">
        <v>876</v>
      </c>
      <c r="I297" s="76" t="s">
        <v>876</v>
      </c>
      <c r="J297" s="76" t="s">
        <v>35</v>
      </c>
      <c r="K297" s="76" t="s">
        <v>35</v>
      </c>
      <c r="L297" s="76" t="s">
        <v>35</v>
      </c>
      <c r="M297" s="74" t="s">
        <v>35</v>
      </c>
      <c r="N297" s="74" t="s">
        <v>877</v>
      </c>
      <c r="O297" s="74" t="s">
        <v>528</v>
      </c>
    </row>
    <row r="298" spans="1:15">
      <c r="A298" s="72" t="s">
        <v>1027</v>
      </c>
      <c r="B298" s="73" t="s">
        <v>1028</v>
      </c>
      <c r="C298" s="74" t="s">
        <v>521</v>
      </c>
      <c r="D298" s="74" t="s">
        <v>962</v>
      </c>
      <c r="E298" s="75">
        <v>43475</v>
      </c>
      <c r="F298" s="75">
        <v>43475</v>
      </c>
      <c r="G298" s="75">
        <v>43505</v>
      </c>
      <c r="H298" s="76" t="s">
        <v>876</v>
      </c>
      <c r="I298" s="76" t="s">
        <v>876</v>
      </c>
      <c r="J298" s="76" t="s">
        <v>35</v>
      </c>
      <c r="K298" s="76" t="s">
        <v>35</v>
      </c>
      <c r="L298" s="76" t="s">
        <v>35</v>
      </c>
      <c r="M298" s="74" t="s">
        <v>35</v>
      </c>
      <c r="N298" s="74" t="s">
        <v>877</v>
      </c>
      <c r="O298" s="74" t="s">
        <v>528</v>
      </c>
    </row>
    <row r="299" spans="1:15">
      <c r="A299" s="25">
        <v>11161</v>
      </c>
      <c r="B299" s="26" t="s">
        <v>1029</v>
      </c>
      <c r="C299" s="27" t="s">
        <v>521</v>
      </c>
      <c r="D299" s="25" t="s">
        <v>1030</v>
      </c>
      <c r="E299" s="28">
        <v>40602</v>
      </c>
      <c r="F299" s="28" t="s">
        <v>35</v>
      </c>
      <c r="G299" s="28" t="s">
        <v>35</v>
      </c>
      <c r="H299" s="27" t="s">
        <v>530</v>
      </c>
      <c r="I299" s="27" t="s">
        <v>1031</v>
      </c>
      <c r="J299" s="27" t="s">
        <v>525</v>
      </c>
      <c r="K299" s="27" t="s">
        <v>525</v>
      </c>
      <c r="L299" s="27" t="s">
        <v>1031</v>
      </c>
      <c r="M299" s="27" t="s">
        <v>651</v>
      </c>
      <c r="N299" s="27" t="s">
        <v>1031</v>
      </c>
      <c r="O299" s="27" t="s">
        <v>594</v>
      </c>
    </row>
    <row r="300" spans="1:15">
      <c r="A300" s="25">
        <v>160</v>
      </c>
      <c r="B300" s="26" t="s">
        <v>1032</v>
      </c>
      <c r="C300" s="27" t="s">
        <v>521</v>
      </c>
      <c r="D300" s="27" t="s">
        <v>1033</v>
      </c>
      <c r="E300" s="28">
        <v>37679</v>
      </c>
      <c r="F300" s="28" t="s">
        <v>35</v>
      </c>
      <c r="G300" s="28" t="s">
        <v>35</v>
      </c>
      <c r="H300" s="27" t="s">
        <v>530</v>
      </c>
      <c r="I300" s="27" t="s">
        <v>1031</v>
      </c>
      <c r="J300" s="27" t="s">
        <v>525</v>
      </c>
      <c r="K300" s="27" t="s">
        <v>525</v>
      </c>
      <c r="L300" s="27" t="s">
        <v>1031</v>
      </c>
      <c r="M300" s="27" t="s">
        <v>1034</v>
      </c>
      <c r="N300" s="27" t="s">
        <v>648</v>
      </c>
      <c r="O300" s="27" t="s">
        <v>528</v>
      </c>
    </row>
    <row r="301" spans="1:15">
      <c r="A301" s="25">
        <v>587</v>
      </c>
      <c r="B301" s="26" t="s">
        <v>1035</v>
      </c>
      <c r="C301" s="27" t="s">
        <v>521</v>
      </c>
      <c r="D301" s="27" t="s">
        <v>612</v>
      </c>
      <c r="E301" s="28">
        <v>37774</v>
      </c>
      <c r="F301" s="28" t="s">
        <v>35</v>
      </c>
      <c r="G301" s="28" t="s">
        <v>35</v>
      </c>
      <c r="H301" s="27" t="s">
        <v>530</v>
      </c>
      <c r="I301" s="27" t="s">
        <v>1031</v>
      </c>
      <c r="J301" s="27" t="s">
        <v>525</v>
      </c>
      <c r="K301" s="27" t="s">
        <v>525</v>
      </c>
      <c r="L301" s="27" t="s">
        <v>1031</v>
      </c>
      <c r="M301" s="27" t="s">
        <v>651</v>
      </c>
      <c r="N301" s="27" t="s">
        <v>1031</v>
      </c>
      <c r="O301" s="31" t="s">
        <v>528</v>
      </c>
    </row>
    <row r="302" spans="1:15">
      <c r="A302" s="25">
        <v>2227</v>
      </c>
      <c r="B302" s="26" t="s">
        <v>1036</v>
      </c>
      <c r="C302" s="27" t="s">
        <v>521</v>
      </c>
      <c r="D302" s="27" t="s">
        <v>522</v>
      </c>
      <c r="E302" s="28">
        <v>38168</v>
      </c>
      <c r="F302" s="28" t="s">
        <v>35</v>
      </c>
      <c r="G302" s="28" t="s">
        <v>35</v>
      </c>
      <c r="H302" s="27" t="s">
        <v>530</v>
      </c>
      <c r="I302" s="27" t="s">
        <v>1031</v>
      </c>
      <c r="J302" s="27" t="s">
        <v>525</v>
      </c>
      <c r="K302" s="27" t="s">
        <v>525</v>
      </c>
      <c r="L302" s="27" t="s">
        <v>1031</v>
      </c>
      <c r="M302" s="27" t="s">
        <v>569</v>
      </c>
      <c r="N302" s="27" t="s">
        <v>1037</v>
      </c>
      <c r="O302" s="27" t="s">
        <v>528</v>
      </c>
    </row>
    <row r="303" spans="1:15">
      <c r="A303" s="25">
        <v>5400</v>
      </c>
      <c r="B303" s="26" t="s">
        <v>1038</v>
      </c>
      <c r="C303" s="27" t="s">
        <v>521</v>
      </c>
      <c r="D303" s="27" t="s">
        <v>760</v>
      </c>
      <c r="E303" s="28">
        <v>38991</v>
      </c>
      <c r="F303" s="28" t="s">
        <v>35</v>
      </c>
      <c r="G303" s="28" t="s">
        <v>35</v>
      </c>
      <c r="H303" s="27" t="s">
        <v>530</v>
      </c>
      <c r="I303" s="27" t="s">
        <v>1031</v>
      </c>
      <c r="J303" s="27" t="s">
        <v>525</v>
      </c>
      <c r="K303" s="27" t="s">
        <v>525</v>
      </c>
      <c r="L303" s="27" t="s">
        <v>1031</v>
      </c>
      <c r="M303" s="27" t="s">
        <v>651</v>
      </c>
      <c r="N303" s="27" t="s">
        <v>1031</v>
      </c>
      <c r="O303" s="31" t="s">
        <v>528</v>
      </c>
    </row>
    <row r="304" spans="1:15">
      <c r="A304" s="25">
        <v>7498</v>
      </c>
      <c r="B304" s="26" t="s">
        <v>1039</v>
      </c>
      <c r="C304" s="27" t="s">
        <v>521</v>
      </c>
      <c r="D304" s="27" t="s">
        <v>1040</v>
      </c>
      <c r="E304" s="28">
        <v>39600</v>
      </c>
      <c r="F304" s="28" t="s">
        <v>35</v>
      </c>
      <c r="G304" s="28" t="s">
        <v>35</v>
      </c>
      <c r="H304" s="27" t="s">
        <v>530</v>
      </c>
      <c r="I304" s="27" t="s">
        <v>1031</v>
      </c>
      <c r="J304" s="27" t="s">
        <v>525</v>
      </c>
      <c r="K304" s="27" t="s">
        <v>525</v>
      </c>
      <c r="L304" s="27" t="s">
        <v>1031</v>
      </c>
      <c r="M304" s="27" t="s">
        <v>1034</v>
      </c>
      <c r="N304" s="27" t="s">
        <v>648</v>
      </c>
      <c r="O304" s="27" t="s">
        <v>528</v>
      </c>
    </row>
    <row r="305" spans="1:15">
      <c r="A305" s="25">
        <v>20384</v>
      </c>
      <c r="B305" s="26" t="s">
        <v>1041</v>
      </c>
      <c r="C305" s="27" t="s">
        <v>521</v>
      </c>
      <c r="D305" s="27" t="s">
        <v>1042</v>
      </c>
      <c r="E305" s="28">
        <v>42614</v>
      </c>
      <c r="F305" s="28" t="s">
        <v>35</v>
      </c>
      <c r="G305" s="28" t="s">
        <v>35</v>
      </c>
      <c r="H305" s="27" t="s">
        <v>530</v>
      </c>
      <c r="I305" s="27" t="s">
        <v>1031</v>
      </c>
      <c r="J305" s="27" t="s">
        <v>525</v>
      </c>
      <c r="K305" s="27" t="s">
        <v>525</v>
      </c>
      <c r="L305" s="27" t="s">
        <v>1031</v>
      </c>
      <c r="M305" s="27" t="s">
        <v>651</v>
      </c>
      <c r="N305" s="27" t="s">
        <v>1031</v>
      </c>
      <c r="O305" s="31" t="s">
        <v>528</v>
      </c>
    </row>
    <row r="306" spans="1:15">
      <c r="A306" s="25">
        <v>508</v>
      </c>
      <c r="B306" s="26" t="s">
        <v>199</v>
      </c>
      <c r="C306" s="27" t="s">
        <v>521</v>
      </c>
      <c r="D306" s="27" t="s">
        <v>1043</v>
      </c>
      <c r="E306" s="28">
        <v>37760</v>
      </c>
      <c r="F306" s="28" t="s">
        <v>35</v>
      </c>
      <c r="G306" s="28" t="s">
        <v>35</v>
      </c>
      <c r="H306" s="27" t="s">
        <v>530</v>
      </c>
      <c r="I306" s="27" t="s">
        <v>1044</v>
      </c>
      <c r="J306" s="27" t="s">
        <v>525</v>
      </c>
      <c r="K306" s="27" t="s">
        <v>525</v>
      </c>
      <c r="L306" s="27" t="s">
        <v>1044</v>
      </c>
      <c r="M306" s="27" t="s">
        <v>1045</v>
      </c>
      <c r="N306" s="27" t="s">
        <v>1046</v>
      </c>
      <c r="O306" s="31" t="s">
        <v>528</v>
      </c>
    </row>
    <row r="307" spans="1:15">
      <c r="A307" s="25">
        <v>1575</v>
      </c>
      <c r="B307" s="26" t="s">
        <v>348</v>
      </c>
      <c r="C307" s="27" t="s">
        <v>521</v>
      </c>
      <c r="D307" s="27" t="s">
        <v>1047</v>
      </c>
      <c r="E307" s="28">
        <v>38018</v>
      </c>
      <c r="F307" s="28" t="s">
        <v>35</v>
      </c>
      <c r="G307" s="28" t="s">
        <v>35</v>
      </c>
      <c r="H307" s="27" t="s">
        <v>530</v>
      </c>
      <c r="I307" s="27" t="s">
        <v>1044</v>
      </c>
      <c r="J307" s="27" t="s">
        <v>525</v>
      </c>
      <c r="K307" s="27" t="s">
        <v>525</v>
      </c>
      <c r="L307" s="27" t="s">
        <v>1044</v>
      </c>
      <c r="M307" s="27" t="s">
        <v>1044</v>
      </c>
      <c r="N307" s="27" t="s">
        <v>1046</v>
      </c>
      <c r="O307" s="27" t="s">
        <v>594</v>
      </c>
    </row>
    <row r="308" spans="1:15">
      <c r="A308" s="25">
        <v>14675</v>
      </c>
      <c r="B308" s="26" t="s">
        <v>356</v>
      </c>
      <c r="C308" s="27" t="s">
        <v>521</v>
      </c>
      <c r="D308" s="27" t="s">
        <v>1048</v>
      </c>
      <c r="E308" s="28">
        <v>41396</v>
      </c>
      <c r="F308" s="28" t="s">
        <v>35</v>
      </c>
      <c r="G308" s="28" t="s">
        <v>35</v>
      </c>
      <c r="H308" s="27" t="s">
        <v>530</v>
      </c>
      <c r="I308" s="27" t="s">
        <v>1044</v>
      </c>
      <c r="J308" s="27" t="s">
        <v>525</v>
      </c>
      <c r="K308" s="27" t="s">
        <v>525</v>
      </c>
      <c r="L308" s="27" t="s">
        <v>1044</v>
      </c>
      <c r="M308" s="27" t="s">
        <v>1044</v>
      </c>
      <c r="N308" s="27" t="s">
        <v>1046</v>
      </c>
      <c r="O308" s="27" t="s">
        <v>594</v>
      </c>
    </row>
    <row r="309" spans="1:15">
      <c r="A309" s="25">
        <v>19241</v>
      </c>
      <c r="B309" s="33" t="s">
        <v>333</v>
      </c>
      <c r="C309" s="27" t="s">
        <v>521</v>
      </c>
      <c r="D309" s="27" t="s">
        <v>1049</v>
      </c>
      <c r="E309" s="28">
        <v>42262</v>
      </c>
      <c r="F309" s="28" t="s">
        <v>35</v>
      </c>
      <c r="G309" s="28" t="s">
        <v>35</v>
      </c>
      <c r="H309" s="27" t="s">
        <v>530</v>
      </c>
      <c r="I309" s="27" t="s">
        <v>1044</v>
      </c>
      <c r="J309" s="27" t="s">
        <v>525</v>
      </c>
      <c r="K309" s="27" t="s">
        <v>525</v>
      </c>
      <c r="L309" s="27" t="s">
        <v>1044</v>
      </c>
      <c r="M309" s="27" t="s">
        <v>1044</v>
      </c>
      <c r="N309" s="27" t="s">
        <v>1046</v>
      </c>
      <c r="O309" s="27" t="s">
        <v>594</v>
      </c>
    </row>
    <row r="310" spans="1:15">
      <c r="A310" s="25">
        <v>21028</v>
      </c>
      <c r="B310" s="33" t="s">
        <v>1050</v>
      </c>
      <c r="C310" s="27" t="s">
        <v>521</v>
      </c>
      <c r="D310" s="27" t="s">
        <v>1051</v>
      </c>
      <c r="E310" s="28">
        <v>42724</v>
      </c>
      <c r="F310" s="28">
        <v>43221</v>
      </c>
      <c r="G310" s="28">
        <v>43585</v>
      </c>
      <c r="H310" s="27" t="s">
        <v>530</v>
      </c>
      <c r="I310" s="27" t="s">
        <v>1044</v>
      </c>
      <c r="J310" s="27" t="s">
        <v>525</v>
      </c>
      <c r="K310" s="27" t="s">
        <v>525</v>
      </c>
      <c r="L310" s="27" t="s">
        <v>1044</v>
      </c>
      <c r="M310" s="27" t="s">
        <v>1044</v>
      </c>
      <c r="N310" s="27" t="s">
        <v>1046</v>
      </c>
      <c r="O310" s="27" t="s">
        <v>594</v>
      </c>
    </row>
    <row r="311" spans="1:15">
      <c r="A311" s="25">
        <v>21636</v>
      </c>
      <c r="B311" s="34" t="s">
        <v>1052</v>
      </c>
      <c r="C311" s="31" t="s">
        <v>521</v>
      </c>
      <c r="D311" s="31" t="s">
        <v>1053</v>
      </c>
      <c r="E311" s="28">
        <v>43055</v>
      </c>
      <c r="F311" s="28">
        <v>43466</v>
      </c>
      <c r="G311" s="28">
        <v>43830</v>
      </c>
      <c r="H311" s="27" t="s">
        <v>530</v>
      </c>
      <c r="I311" s="27" t="s">
        <v>1044</v>
      </c>
      <c r="J311" s="27" t="s">
        <v>525</v>
      </c>
      <c r="K311" s="27" t="s">
        <v>525</v>
      </c>
      <c r="L311" s="27" t="s">
        <v>1044</v>
      </c>
      <c r="M311" s="27" t="s">
        <v>1044</v>
      </c>
      <c r="N311" s="27" t="s">
        <v>1046</v>
      </c>
      <c r="O311" s="27" t="s">
        <v>594</v>
      </c>
    </row>
    <row r="312" spans="1:15">
      <c r="A312" s="25" t="s">
        <v>64</v>
      </c>
      <c r="B312" s="26" t="s">
        <v>65</v>
      </c>
      <c r="C312" s="27" t="s">
        <v>521</v>
      </c>
      <c r="D312" s="27" t="s">
        <v>1054</v>
      </c>
      <c r="E312" s="28">
        <v>40875</v>
      </c>
      <c r="F312" s="28" t="s">
        <v>35</v>
      </c>
      <c r="G312" s="28" t="s">
        <v>35</v>
      </c>
      <c r="H312" s="27" t="s">
        <v>530</v>
      </c>
      <c r="I312" s="27" t="s">
        <v>1044</v>
      </c>
      <c r="J312" s="27" t="s">
        <v>525</v>
      </c>
      <c r="K312" s="27" t="s">
        <v>525</v>
      </c>
      <c r="L312" s="27" t="s">
        <v>1044</v>
      </c>
      <c r="M312" s="27" t="s">
        <v>1044</v>
      </c>
      <c r="N312" s="27" t="s">
        <v>1046</v>
      </c>
      <c r="O312" s="27" t="s">
        <v>594</v>
      </c>
    </row>
    <row r="313" spans="1:15">
      <c r="A313" s="25">
        <v>21031</v>
      </c>
      <c r="B313" s="33" t="s">
        <v>1055</v>
      </c>
      <c r="C313" s="27" t="s">
        <v>521</v>
      </c>
      <c r="D313" s="27" t="s">
        <v>1056</v>
      </c>
      <c r="E313" s="28">
        <v>42753</v>
      </c>
      <c r="F313" s="28">
        <v>43252</v>
      </c>
      <c r="G313" s="28">
        <v>43616</v>
      </c>
      <c r="H313" s="27" t="s">
        <v>530</v>
      </c>
      <c r="I313" s="27" t="s">
        <v>1044</v>
      </c>
      <c r="J313" s="27" t="s">
        <v>525</v>
      </c>
      <c r="K313" s="27" t="s">
        <v>525</v>
      </c>
      <c r="L313" s="27" t="s">
        <v>1044</v>
      </c>
      <c r="M313" s="27" t="s">
        <v>1044</v>
      </c>
      <c r="N313" s="27" t="s">
        <v>1046</v>
      </c>
      <c r="O313" s="27" t="s">
        <v>594</v>
      </c>
    </row>
    <row r="314" spans="1:15">
      <c r="A314" s="25">
        <v>395</v>
      </c>
      <c r="B314" s="26" t="s">
        <v>1057</v>
      </c>
      <c r="C314" s="27" t="s">
        <v>521</v>
      </c>
      <c r="D314" s="27" t="s">
        <v>1058</v>
      </c>
      <c r="E314" s="28">
        <v>37732</v>
      </c>
      <c r="F314" s="28" t="s">
        <v>35</v>
      </c>
      <c r="G314" s="28" t="s">
        <v>35</v>
      </c>
      <c r="H314" s="27" t="s">
        <v>530</v>
      </c>
      <c r="I314" s="27" t="s">
        <v>1044</v>
      </c>
      <c r="J314" s="27" t="s">
        <v>525</v>
      </c>
      <c r="K314" s="27" t="s">
        <v>525</v>
      </c>
      <c r="L314" s="27" t="s">
        <v>1044</v>
      </c>
      <c r="M314" s="27" t="s">
        <v>1044</v>
      </c>
      <c r="N314" s="27" t="s">
        <v>1046</v>
      </c>
      <c r="O314" s="27" t="s">
        <v>528</v>
      </c>
    </row>
    <row r="315" spans="1:15">
      <c r="A315" s="25">
        <v>5480</v>
      </c>
      <c r="B315" s="26" t="s">
        <v>1059</v>
      </c>
      <c r="C315" s="27" t="s">
        <v>521</v>
      </c>
      <c r="D315" s="27" t="s">
        <v>522</v>
      </c>
      <c r="E315" s="28">
        <v>38991</v>
      </c>
      <c r="F315" s="28" t="s">
        <v>35</v>
      </c>
      <c r="G315" s="28" t="s">
        <v>35</v>
      </c>
      <c r="H315" s="27" t="s">
        <v>530</v>
      </c>
      <c r="I315" s="27" t="s">
        <v>1044</v>
      </c>
      <c r="J315" s="27" t="s">
        <v>525</v>
      </c>
      <c r="K315" s="27" t="s">
        <v>525</v>
      </c>
      <c r="L315" s="27" t="s">
        <v>1044</v>
      </c>
      <c r="M315" s="27" t="s">
        <v>1044</v>
      </c>
      <c r="N315" s="31" t="s">
        <v>1037</v>
      </c>
      <c r="O315" s="27" t="s">
        <v>528</v>
      </c>
    </row>
    <row r="316" spans="1:15">
      <c r="A316" s="25">
        <v>14092</v>
      </c>
      <c r="B316" s="32" t="s">
        <v>374</v>
      </c>
      <c r="C316" s="27" t="s">
        <v>521</v>
      </c>
      <c r="D316" s="27" t="s">
        <v>619</v>
      </c>
      <c r="E316" s="28">
        <v>41306</v>
      </c>
      <c r="F316" s="28" t="s">
        <v>35</v>
      </c>
      <c r="G316" s="28" t="s">
        <v>35</v>
      </c>
      <c r="H316" s="27" t="s">
        <v>530</v>
      </c>
      <c r="I316" s="27" t="s">
        <v>1044</v>
      </c>
      <c r="J316" s="31" t="s">
        <v>525</v>
      </c>
      <c r="K316" s="31" t="s">
        <v>525</v>
      </c>
      <c r="L316" s="27" t="s">
        <v>1044</v>
      </c>
      <c r="M316" s="27" t="s">
        <v>1044</v>
      </c>
      <c r="N316" s="27" t="s">
        <v>1046</v>
      </c>
      <c r="O316" s="27" t="s">
        <v>594</v>
      </c>
    </row>
    <row r="317" spans="1:15">
      <c r="A317" s="25">
        <v>21917</v>
      </c>
      <c r="B317" s="33" t="s">
        <v>1060</v>
      </c>
      <c r="C317" s="27" t="s">
        <v>521</v>
      </c>
      <c r="D317" s="27" t="s">
        <v>1061</v>
      </c>
      <c r="E317" s="28">
        <v>43108</v>
      </c>
      <c r="F317" s="28">
        <v>43139</v>
      </c>
      <c r="G317" s="28">
        <v>43496</v>
      </c>
      <c r="H317" s="27" t="s">
        <v>530</v>
      </c>
      <c r="I317" s="27" t="s">
        <v>1044</v>
      </c>
      <c r="J317" s="27" t="s">
        <v>525</v>
      </c>
      <c r="K317" s="27" t="s">
        <v>525</v>
      </c>
      <c r="L317" s="27" t="s">
        <v>1044</v>
      </c>
      <c r="M317" s="27" t="s">
        <v>1044</v>
      </c>
      <c r="N317" s="27" t="s">
        <v>1046</v>
      </c>
      <c r="O317" s="27" t="s">
        <v>528</v>
      </c>
    </row>
    <row r="318" spans="1:15">
      <c r="A318" s="25">
        <v>528</v>
      </c>
      <c r="B318" s="26" t="s">
        <v>1062</v>
      </c>
      <c r="C318" s="27" t="s">
        <v>521</v>
      </c>
      <c r="D318" s="27" t="s">
        <v>1063</v>
      </c>
      <c r="E318" s="28">
        <v>37767</v>
      </c>
      <c r="F318" s="28" t="s">
        <v>35</v>
      </c>
      <c r="G318" s="28" t="s">
        <v>35</v>
      </c>
      <c r="H318" s="27" t="s">
        <v>530</v>
      </c>
      <c r="I318" s="27" t="s">
        <v>1044</v>
      </c>
      <c r="J318" s="27" t="s">
        <v>525</v>
      </c>
      <c r="K318" s="27" t="s">
        <v>525</v>
      </c>
      <c r="L318" s="27" t="s">
        <v>1044</v>
      </c>
      <c r="M318" s="27" t="s">
        <v>1044</v>
      </c>
      <c r="N318" s="27" t="s">
        <v>1046</v>
      </c>
      <c r="O318" s="27" t="s">
        <v>528</v>
      </c>
    </row>
    <row r="319" spans="1:15">
      <c r="A319" s="25">
        <v>585</v>
      </c>
      <c r="B319" s="26" t="s">
        <v>167</v>
      </c>
      <c r="C319" s="27" t="s">
        <v>521</v>
      </c>
      <c r="D319" s="27" t="s">
        <v>589</v>
      </c>
      <c r="E319" s="28">
        <v>37774</v>
      </c>
      <c r="F319" s="28" t="s">
        <v>35</v>
      </c>
      <c r="G319" s="28" t="s">
        <v>35</v>
      </c>
      <c r="H319" s="27" t="s">
        <v>530</v>
      </c>
      <c r="I319" s="27" t="s">
        <v>1044</v>
      </c>
      <c r="J319" s="27" t="s">
        <v>525</v>
      </c>
      <c r="K319" s="27" t="s">
        <v>525</v>
      </c>
      <c r="L319" s="27" t="s">
        <v>1044</v>
      </c>
      <c r="M319" s="27" t="s">
        <v>1044</v>
      </c>
      <c r="N319" s="27" t="s">
        <v>1046</v>
      </c>
      <c r="O319" s="27" t="s">
        <v>590</v>
      </c>
    </row>
    <row r="320" spans="1:15">
      <c r="A320" s="25">
        <v>5537</v>
      </c>
      <c r="B320" s="26" t="s">
        <v>185</v>
      </c>
      <c r="C320" s="27" t="s">
        <v>521</v>
      </c>
      <c r="D320" s="27" t="s">
        <v>1064</v>
      </c>
      <c r="E320" s="28">
        <v>39052</v>
      </c>
      <c r="F320" s="28" t="s">
        <v>35</v>
      </c>
      <c r="G320" s="28" t="s">
        <v>35</v>
      </c>
      <c r="H320" s="27" t="s">
        <v>530</v>
      </c>
      <c r="I320" s="27" t="s">
        <v>1044</v>
      </c>
      <c r="J320" s="27" t="s">
        <v>525</v>
      </c>
      <c r="K320" s="27" t="s">
        <v>525</v>
      </c>
      <c r="L320" s="27" t="s">
        <v>1044</v>
      </c>
      <c r="M320" s="27" t="s">
        <v>1044</v>
      </c>
      <c r="N320" s="27" t="s">
        <v>1046</v>
      </c>
      <c r="O320" s="27" t="s">
        <v>590</v>
      </c>
    </row>
    <row r="321" spans="1:15">
      <c r="A321" s="25">
        <v>6177</v>
      </c>
      <c r="B321" s="26" t="s">
        <v>149</v>
      </c>
      <c r="C321" s="27" t="s">
        <v>521</v>
      </c>
      <c r="D321" s="27" t="s">
        <v>1065</v>
      </c>
      <c r="E321" s="28">
        <v>39173</v>
      </c>
      <c r="F321" s="28" t="s">
        <v>35</v>
      </c>
      <c r="G321" s="28" t="s">
        <v>35</v>
      </c>
      <c r="H321" s="27" t="s">
        <v>530</v>
      </c>
      <c r="I321" s="27" t="s">
        <v>1044</v>
      </c>
      <c r="J321" s="27" t="s">
        <v>525</v>
      </c>
      <c r="K321" s="27" t="s">
        <v>525</v>
      </c>
      <c r="L321" s="27" t="s">
        <v>1044</v>
      </c>
      <c r="M321" s="27" t="s">
        <v>1045</v>
      </c>
      <c r="N321" s="27" t="s">
        <v>1046</v>
      </c>
      <c r="O321" s="27" t="s">
        <v>590</v>
      </c>
    </row>
    <row r="322" spans="1:15">
      <c r="A322" s="25">
        <v>21037</v>
      </c>
      <c r="B322" s="33" t="s">
        <v>1066</v>
      </c>
      <c r="C322" s="27" t="s">
        <v>521</v>
      </c>
      <c r="D322" s="27" t="s">
        <v>1067</v>
      </c>
      <c r="E322" s="28">
        <v>42863</v>
      </c>
      <c r="F322" s="28">
        <v>43344</v>
      </c>
      <c r="G322" s="28">
        <v>43708</v>
      </c>
      <c r="H322" s="27" t="s">
        <v>530</v>
      </c>
      <c r="I322" s="27" t="s">
        <v>1044</v>
      </c>
      <c r="J322" s="27" t="s">
        <v>525</v>
      </c>
      <c r="K322" s="27" t="s">
        <v>525</v>
      </c>
      <c r="L322" s="27" t="s">
        <v>1044</v>
      </c>
      <c r="M322" s="27" t="s">
        <v>1044</v>
      </c>
      <c r="N322" s="27" t="s">
        <v>1046</v>
      </c>
      <c r="O322" s="27" t="s">
        <v>590</v>
      </c>
    </row>
    <row r="323" spans="1:15">
      <c r="A323" s="25">
        <v>21640</v>
      </c>
      <c r="B323" s="34" t="s">
        <v>1068</v>
      </c>
      <c r="C323" s="31" t="s">
        <v>521</v>
      </c>
      <c r="D323" s="31" t="s">
        <v>1053</v>
      </c>
      <c r="E323" s="28">
        <v>43055</v>
      </c>
      <c r="F323" s="28">
        <v>43466</v>
      </c>
      <c r="G323" s="28">
        <v>43830</v>
      </c>
      <c r="H323" s="27" t="s">
        <v>530</v>
      </c>
      <c r="I323" s="27" t="s">
        <v>1044</v>
      </c>
      <c r="J323" s="27" t="s">
        <v>525</v>
      </c>
      <c r="K323" s="27" t="s">
        <v>525</v>
      </c>
      <c r="L323" s="27" t="s">
        <v>1044</v>
      </c>
      <c r="M323" s="27" t="s">
        <v>1044</v>
      </c>
      <c r="N323" s="27" t="s">
        <v>1046</v>
      </c>
      <c r="O323" s="27" t="s">
        <v>590</v>
      </c>
    </row>
    <row r="324" spans="1:15">
      <c r="A324" s="25" t="s">
        <v>38</v>
      </c>
      <c r="B324" s="26" t="s">
        <v>39</v>
      </c>
      <c r="C324" s="27" t="s">
        <v>521</v>
      </c>
      <c r="D324" s="77" t="s">
        <v>1069</v>
      </c>
      <c r="E324" s="28">
        <v>41778</v>
      </c>
      <c r="F324" s="28" t="s">
        <v>35</v>
      </c>
      <c r="G324" s="28" t="s">
        <v>35</v>
      </c>
      <c r="H324" s="27" t="s">
        <v>530</v>
      </c>
      <c r="I324" s="27" t="s">
        <v>1044</v>
      </c>
      <c r="J324" s="27" t="s">
        <v>525</v>
      </c>
      <c r="K324" s="27" t="s">
        <v>525</v>
      </c>
      <c r="L324" s="27" t="s">
        <v>1044</v>
      </c>
      <c r="M324" s="27" t="s">
        <v>1044</v>
      </c>
      <c r="N324" s="27" t="s">
        <v>1046</v>
      </c>
      <c r="O324" s="27" t="s">
        <v>590</v>
      </c>
    </row>
    <row r="325" spans="1:15">
      <c r="A325" s="25">
        <v>22272</v>
      </c>
      <c r="B325" s="26" t="s">
        <v>1070</v>
      </c>
      <c r="C325" s="27" t="s">
        <v>521</v>
      </c>
      <c r="D325" s="77" t="s">
        <v>1071</v>
      </c>
      <c r="E325" s="28">
        <v>43181</v>
      </c>
      <c r="F325" s="28">
        <v>43212</v>
      </c>
      <c r="G325" s="28">
        <v>43585</v>
      </c>
      <c r="H325" s="27" t="s">
        <v>530</v>
      </c>
      <c r="I325" s="27" t="s">
        <v>1044</v>
      </c>
      <c r="J325" s="27" t="s">
        <v>525</v>
      </c>
      <c r="K325" s="27" t="s">
        <v>525</v>
      </c>
      <c r="L325" s="27" t="s">
        <v>1044</v>
      </c>
      <c r="M325" s="27" t="s">
        <v>1044</v>
      </c>
      <c r="N325" s="27" t="s">
        <v>1046</v>
      </c>
      <c r="O325" s="27" t="s">
        <v>590</v>
      </c>
    </row>
    <row r="326" spans="1:15">
      <c r="A326" s="25">
        <v>22362</v>
      </c>
      <c r="B326" s="26" t="s">
        <v>1072</v>
      </c>
      <c r="C326" s="27" t="s">
        <v>521</v>
      </c>
      <c r="D326" s="77" t="s">
        <v>1073</v>
      </c>
      <c r="E326" s="28">
        <v>43200</v>
      </c>
      <c r="F326" s="28">
        <v>43230</v>
      </c>
      <c r="G326" s="28">
        <v>43585</v>
      </c>
      <c r="H326" s="27" t="s">
        <v>530</v>
      </c>
      <c r="I326" s="27" t="s">
        <v>1044</v>
      </c>
      <c r="J326" s="27" t="s">
        <v>525</v>
      </c>
      <c r="K326" s="27" t="s">
        <v>525</v>
      </c>
      <c r="L326" s="27" t="s">
        <v>1044</v>
      </c>
      <c r="M326" s="27" t="s">
        <v>1044</v>
      </c>
      <c r="N326" s="27" t="s">
        <v>1046</v>
      </c>
      <c r="O326" s="27" t="s">
        <v>590</v>
      </c>
    </row>
    <row r="327" spans="1:15">
      <c r="A327" s="25">
        <v>22721</v>
      </c>
      <c r="B327" s="26" t="s">
        <v>1074</v>
      </c>
      <c r="C327" s="27" t="s">
        <v>521</v>
      </c>
      <c r="D327" s="77" t="s">
        <v>771</v>
      </c>
      <c r="E327" s="28">
        <v>43255</v>
      </c>
      <c r="F327" s="28">
        <v>43285</v>
      </c>
      <c r="G327" s="28">
        <v>43646</v>
      </c>
      <c r="H327" s="27" t="s">
        <v>530</v>
      </c>
      <c r="I327" s="27" t="s">
        <v>1044</v>
      </c>
      <c r="J327" s="27" t="s">
        <v>525</v>
      </c>
      <c r="K327" s="27" t="s">
        <v>525</v>
      </c>
      <c r="L327" s="27" t="s">
        <v>1044</v>
      </c>
      <c r="M327" s="27" t="s">
        <v>1044</v>
      </c>
      <c r="N327" s="27" t="s">
        <v>1046</v>
      </c>
      <c r="O327" s="27" t="s">
        <v>528</v>
      </c>
    </row>
    <row r="328" spans="1:15">
      <c r="A328" s="25">
        <v>22747</v>
      </c>
      <c r="B328" s="34" t="s">
        <v>1075</v>
      </c>
      <c r="C328" s="31" t="s">
        <v>521</v>
      </c>
      <c r="D328" s="31" t="s">
        <v>771</v>
      </c>
      <c r="E328" s="28">
        <v>43255</v>
      </c>
      <c r="F328" s="28">
        <v>43285</v>
      </c>
      <c r="G328" s="28">
        <v>43646</v>
      </c>
      <c r="H328" s="27" t="s">
        <v>530</v>
      </c>
      <c r="I328" s="27" t="s">
        <v>1044</v>
      </c>
      <c r="J328" s="27" t="s">
        <v>525</v>
      </c>
      <c r="K328" s="27" t="s">
        <v>525</v>
      </c>
      <c r="L328" s="27" t="s">
        <v>1044</v>
      </c>
      <c r="M328" s="27" t="s">
        <v>1044</v>
      </c>
      <c r="N328" s="27" t="s">
        <v>1046</v>
      </c>
      <c r="O328" s="27" t="s">
        <v>528</v>
      </c>
    </row>
    <row r="329" spans="1:15">
      <c r="A329" s="25">
        <v>22736</v>
      </c>
      <c r="B329" s="34" t="s">
        <v>1076</v>
      </c>
      <c r="C329" s="31" t="s">
        <v>521</v>
      </c>
      <c r="D329" s="31" t="s">
        <v>771</v>
      </c>
      <c r="E329" s="28">
        <v>43255</v>
      </c>
      <c r="F329" s="28">
        <v>43285</v>
      </c>
      <c r="G329" s="28">
        <v>43646</v>
      </c>
      <c r="H329" s="27" t="s">
        <v>530</v>
      </c>
      <c r="I329" s="27" t="s">
        <v>1044</v>
      </c>
      <c r="J329" s="27" t="s">
        <v>525</v>
      </c>
      <c r="K329" s="27" t="s">
        <v>525</v>
      </c>
      <c r="L329" s="27" t="s">
        <v>1044</v>
      </c>
      <c r="M329" s="27" t="s">
        <v>1044</v>
      </c>
      <c r="N329" s="27" t="s">
        <v>1046</v>
      </c>
      <c r="O329" s="27" t="s">
        <v>528</v>
      </c>
    </row>
    <row r="330" spans="1:15">
      <c r="A330" s="25">
        <v>22735</v>
      </c>
      <c r="B330" s="34" t="s">
        <v>1077</v>
      </c>
      <c r="C330" s="31" t="s">
        <v>521</v>
      </c>
      <c r="D330" s="31" t="s">
        <v>771</v>
      </c>
      <c r="E330" s="28">
        <v>43255</v>
      </c>
      <c r="F330" s="28">
        <v>43285</v>
      </c>
      <c r="G330" s="28">
        <v>43646</v>
      </c>
      <c r="H330" s="27" t="s">
        <v>530</v>
      </c>
      <c r="I330" s="27" t="s">
        <v>1044</v>
      </c>
      <c r="J330" s="27" t="s">
        <v>525</v>
      </c>
      <c r="K330" s="27" t="s">
        <v>525</v>
      </c>
      <c r="L330" s="27" t="s">
        <v>1044</v>
      </c>
      <c r="M330" s="27" t="s">
        <v>1044</v>
      </c>
      <c r="N330" s="27" t="s">
        <v>1046</v>
      </c>
      <c r="O330" s="27" t="s">
        <v>528</v>
      </c>
    </row>
    <row r="331" spans="1:15">
      <c r="A331" s="25">
        <v>13586</v>
      </c>
      <c r="B331" s="33" t="s">
        <v>1078</v>
      </c>
      <c r="C331" s="27" t="s">
        <v>521</v>
      </c>
      <c r="D331" s="27" t="s">
        <v>1079</v>
      </c>
      <c r="E331" s="28">
        <v>40962</v>
      </c>
      <c r="F331" s="28" t="s">
        <v>35</v>
      </c>
      <c r="G331" s="28" t="s">
        <v>35</v>
      </c>
      <c r="H331" s="27" t="s">
        <v>530</v>
      </c>
      <c r="I331" s="27" t="s">
        <v>1080</v>
      </c>
      <c r="J331" s="27" t="s">
        <v>525</v>
      </c>
      <c r="K331" s="27" t="s">
        <v>525</v>
      </c>
      <c r="L331" s="27" t="s">
        <v>1081</v>
      </c>
      <c r="M331" s="27" t="s">
        <v>1080</v>
      </c>
      <c r="N331" s="27" t="s">
        <v>1080</v>
      </c>
      <c r="O331" s="27" t="s">
        <v>594</v>
      </c>
    </row>
    <row r="332" spans="1:15">
      <c r="A332" s="25">
        <v>602</v>
      </c>
      <c r="B332" s="26" t="s">
        <v>1082</v>
      </c>
      <c r="C332" s="27" t="s">
        <v>521</v>
      </c>
      <c r="D332" s="27" t="s">
        <v>522</v>
      </c>
      <c r="E332" s="28">
        <v>37774</v>
      </c>
      <c r="F332" s="28" t="s">
        <v>35</v>
      </c>
      <c r="G332" s="28" t="s">
        <v>35</v>
      </c>
      <c r="H332" s="27" t="s">
        <v>530</v>
      </c>
      <c r="I332" s="27" t="s">
        <v>1080</v>
      </c>
      <c r="J332" s="27" t="s">
        <v>525</v>
      </c>
      <c r="K332" s="27" t="s">
        <v>525</v>
      </c>
      <c r="L332" s="27" t="s">
        <v>1081</v>
      </c>
      <c r="M332" s="27" t="s">
        <v>569</v>
      </c>
      <c r="N332" s="27" t="s">
        <v>1037</v>
      </c>
      <c r="O332" s="27" t="s">
        <v>528</v>
      </c>
    </row>
    <row r="333" spans="1:15">
      <c r="A333" s="25">
        <v>1111</v>
      </c>
      <c r="B333" s="26" t="s">
        <v>1083</v>
      </c>
      <c r="C333" s="27" t="s">
        <v>521</v>
      </c>
      <c r="D333" s="27" t="s">
        <v>615</v>
      </c>
      <c r="E333" s="28">
        <v>37887</v>
      </c>
      <c r="F333" s="28" t="s">
        <v>35</v>
      </c>
      <c r="G333" s="28" t="s">
        <v>35</v>
      </c>
      <c r="H333" s="27" t="s">
        <v>530</v>
      </c>
      <c r="I333" s="27" t="s">
        <v>1080</v>
      </c>
      <c r="J333" s="27" t="s">
        <v>525</v>
      </c>
      <c r="K333" s="27" t="s">
        <v>525</v>
      </c>
      <c r="L333" s="27" t="s">
        <v>1081</v>
      </c>
      <c r="M333" s="31" t="s">
        <v>573</v>
      </c>
      <c r="N333" s="27" t="s">
        <v>648</v>
      </c>
      <c r="O333" s="27" t="s">
        <v>528</v>
      </c>
    </row>
    <row r="334" spans="1:15">
      <c r="A334" s="25">
        <v>13113</v>
      </c>
      <c r="B334" s="34" t="s">
        <v>1084</v>
      </c>
      <c r="C334" s="27" t="s">
        <v>521</v>
      </c>
      <c r="D334" s="31" t="s">
        <v>1085</v>
      </c>
      <c r="E334" s="28">
        <v>40868</v>
      </c>
      <c r="F334" s="28" t="s">
        <v>35</v>
      </c>
      <c r="G334" s="28" t="s">
        <v>35</v>
      </c>
      <c r="H334" s="27" t="s">
        <v>530</v>
      </c>
      <c r="I334" s="27" t="s">
        <v>1086</v>
      </c>
      <c r="J334" s="27" t="s">
        <v>525</v>
      </c>
      <c r="K334" s="27" t="s">
        <v>525</v>
      </c>
      <c r="L334" s="27" t="s">
        <v>1086</v>
      </c>
      <c r="M334" s="27" t="s">
        <v>1087</v>
      </c>
      <c r="N334" s="31" t="s">
        <v>648</v>
      </c>
      <c r="O334" s="27" t="s">
        <v>594</v>
      </c>
    </row>
    <row r="335" spans="1:15">
      <c r="A335" s="25">
        <v>928</v>
      </c>
      <c r="B335" s="26" t="s">
        <v>1088</v>
      </c>
      <c r="C335" s="27" t="s">
        <v>521</v>
      </c>
      <c r="D335" s="27" t="s">
        <v>522</v>
      </c>
      <c r="E335" s="28">
        <v>37858</v>
      </c>
      <c r="F335" s="28" t="s">
        <v>35</v>
      </c>
      <c r="G335" s="28" t="s">
        <v>35</v>
      </c>
      <c r="H335" s="27" t="s">
        <v>530</v>
      </c>
      <c r="I335" s="27" t="s">
        <v>1086</v>
      </c>
      <c r="J335" s="27" t="s">
        <v>525</v>
      </c>
      <c r="K335" s="27" t="s">
        <v>525</v>
      </c>
      <c r="L335" s="27" t="s">
        <v>1086</v>
      </c>
      <c r="M335" s="27" t="s">
        <v>569</v>
      </c>
      <c r="N335" s="27" t="s">
        <v>1037</v>
      </c>
      <c r="O335" s="27" t="s">
        <v>528</v>
      </c>
    </row>
    <row r="336" spans="1:15">
      <c r="A336" s="25">
        <v>3638</v>
      </c>
      <c r="B336" s="26" t="s">
        <v>1089</v>
      </c>
      <c r="C336" s="27" t="s">
        <v>521</v>
      </c>
      <c r="D336" s="27" t="s">
        <v>522</v>
      </c>
      <c r="E336" s="28">
        <v>38285</v>
      </c>
      <c r="F336" s="28" t="s">
        <v>35</v>
      </c>
      <c r="G336" s="28" t="s">
        <v>35</v>
      </c>
      <c r="H336" s="27" t="s">
        <v>530</v>
      </c>
      <c r="I336" s="27" t="s">
        <v>1086</v>
      </c>
      <c r="J336" s="27" t="s">
        <v>525</v>
      </c>
      <c r="K336" s="27" t="s">
        <v>525</v>
      </c>
      <c r="L336" s="27" t="s">
        <v>1086</v>
      </c>
      <c r="M336" s="27" t="s">
        <v>569</v>
      </c>
      <c r="N336" s="27" t="s">
        <v>1037</v>
      </c>
      <c r="O336" s="27" t="s">
        <v>528</v>
      </c>
    </row>
    <row r="337" spans="1:15">
      <c r="A337" s="25">
        <v>5477</v>
      </c>
      <c r="B337" s="26" t="s">
        <v>398</v>
      </c>
      <c r="C337" s="27" t="s">
        <v>521</v>
      </c>
      <c r="D337" s="27" t="s">
        <v>1090</v>
      </c>
      <c r="E337" s="28">
        <v>38991</v>
      </c>
      <c r="F337" s="28" t="s">
        <v>35</v>
      </c>
      <c r="G337" s="28" t="s">
        <v>35</v>
      </c>
      <c r="H337" s="27" t="s">
        <v>530</v>
      </c>
      <c r="I337" s="27" t="s">
        <v>1086</v>
      </c>
      <c r="J337" s="27" t="s">
        <v>525</v>
      </c>
      <c r="K337" s="27" t="s">
        <v>525</v>
      </c>
      <c r="L337" s="27" t="s">
        <v>1086</v>
      </c>
      <c r="M337" s="27" t="s">
        <v>1091</v>
      </c>
      <c r="N337" s="27" t="s">
        <v>648</v>
      </c>
      <c r="O337" s="27" t="s">
        <v>528</v>
      </c>
    </row>
    <row r="338" spans="1:15">
      <c r="A338" s="25">
        <v>5527</v>
      </c>
      <c r="B338" s="26" t="s">
        <v>1092</v>
      </c>
      <c r="C338" s="27" t="s">
        <v>521</v>
      </c>
      <c r="D338" s="27" t="s">
        <v>1093</v>
      </c>
      <c r="E338" s="28">
        <v>39022</v>
      </c>
      <c r="F338" s="28" t="s">
        <v>35</v>
      </c>
      <c r="G338" s="28" t="s">
        <v>35</v>
      </c>
      <c r="H338" s="27" t="s">
        <v>530</v>
      </c>
      <c r="I338" s="27" t="s">
        <v>1086</v>
      </c>
      <c r="J338" s="27" t="s">
        <v>525</v>
      </c>
      <c r="K338" s="27" t="s">
        <v>525</v>
      </c>
      <c r="L338" s="27" t="s">
        <v>1086</v>
      </c>
      <c r="M338" s="27" t="s">
        <v>1091</v>
      </c>
      <c r="N338" s="27" t="s">
        <v>1094</v>
      </c>
      <c r="O338" s="27" t="s">
        <v>528</v>
      </c>
    </row>
    <row r="339" spans="1:15">
      <c r="A339" s="25">
        <v>5528</v>
      </c>
      <c r="B339" s="26" t="s">
        <v>1095</v>
      </c>
      <c r="C339" s="27" t="s">
        <v>521</v>
      </c>
      <c r="D339" s="27" t="s">
        <v>1093</v>
      </c>
      <c r="E339" s="28">
        <v>39022</v>
      </c>
      <c r="F339" s="28" t="s">
        <v>35</v>
      </c>
      <c r="G339" s="28" t="s">
        <v>35</v>
      </c>
      <c r="H339" s="27" t="s">
        <v>530</v>
      </c>
      <c r="I339" s="27" t="s">
        <v>1086</v>
      </c>
      <c r="J339" s="27" t="s">
        <v>525</v>
      </c>
      <c r="K339" s="27" t="s">
        <v>525</v>
      </c>
      <c r="L339" s="27" t="s">
        <v>1086</v>
      </c>
      <c r="M339" s="27" t="s">
        <v>1091</v>
      </c>
      <c r="N339" s="27" t="s">
        <v>1094</v>
      </c>
      <c r="O339" s="27" t="s">
        <v>528</v>
      </c>
    </row>
    <row r="340" spans="1:15">
      <c r="A340" s="25">
        <v>5974</v>
      </c>
      <c r="B340" s="26" t="s">
        <v>1096</v>
      </c>
      <c r="C340" s="27" t="s">
        <v>521</v>
      </c>
      <c r="D340" s="27" t="s">
        <v>1097</v>
      </c>
      <c r="E340" s="28">
        <v>39129</v>
      </c>
      <c r="F340" s="28" t="s">
        <v>35</v>
      </c>
      <c r="G340" s="28" t="s">
        <v>35</v>
      </c>
      <c r="H340" s="27" t="s">
        <v>530</v>
      </c>
      <c r="I340" s="27" t="s">
        <v>1086</v>
      </c>
      <c r="J340" s="27" t="s">
        <v>525</v>
      </c>
      <c r="K340" s="27" t="s">
        <v>525</v>
      </c>
      <c r="L340" s="27" t="s">
        <v>1086</v>
      </c>
      <c r="M340" s="27" t="s">
        <v>1091</v>
      </c>
      <c r="N340" s="27" t="s">
        <v>1094</v>
      </c>
      <c r="O340" s="27" t="s">
        <v>528</v>
      </c>
    </row>
    <row r="341" spans="1:15">
      <c r="A341" s="25">
        <v>6054</v>
      </c>
      <c r="B341" s="26" t="s">
        <v>1098</v>
      </c>
      <c r="C341" s="27" t="s">
        <v>521</v>
      </c>
      <c r="D341" s="27" t="s">
        <v>591</v>
      </c>
      <c r="E341" s="28">
        <v>39142</v>
      </c>
      <c r="F341" s="28" t="s">
        <v>35</v>
      </c>
      <c r="G341" s="28" t="s">
        <v>35</v>
      </c>
      <c r="H341" s="27" t="s">
        <v>530</v>
      </c>
      <c r="I341" s="27" t="s">
        <v>1086</v>
      </c>
      <c r="J341" s="27" t="s">
        <v>525</v>
      </c>
      <c r="K341" s="27" t="s">
        <v>525</v>
      </c>
      <c r="L341" s="27" t="s">
        <v>1086</v>
      </c>
      <c r="M341" s="27" t="s">
        <v>1099</v>
      </c>
      <c r="N341" s="27" t="s">
        <v>1094</v>
      </c>
      <c r="O341" s="27" t="s">
        <v>528</v>
      </c>
    </row>
    <row r="342" spans="1:15">
      <c r="A342" s="25">
        <v>6200</v>
      </c>
      <c r="B342" s="26" t="s">
        <v>1100</v>
      </c>
      <c r="C342" s="27" t="s">
        <v>521</v>
      </c>
      <c r="D342" s="27" t="s">
        <v>599</v>
      </c>
      <c r="E342" s="28">
        <v>39173</v>
      </c>
      <c r="F342" s="28" t="s">
        <v>35</v>
      </c>
      <c r="G342" s="28" t="s">
        <v>35</v>
      </c>
      <c r="H342" s="27" t="s">
        <v>530</v>
      </c>
      <c r="I342" s="27" t="s">
        <v>1086</v>
      </c>
      <c r="J342" s="27" t="s">
        <v>525</v>
      </c>
      <c r="K342" s="27" t="s">
        <v>525</v>
      </c>
      <c r="L342" s="27" t="s">
        <v>1086</v>
      </c>
      <c r="M342" s="27" t="s">
        <v>651</v>
      </c>
      <c r="N342" s="27" t="s">
        <v>1094</v>
      </c>
      <c r="O342" s="27" t="s">
        <v>528</v>
      </c>
    </row>
    <row r="343" spans="1:15">
      <c r="A343" s="25">
        <v>6201</v>
      </c>
      <c r="B343" s="26" t="s">
        <v>1101</v>
      </c>
      <c r="C343" s="27" t="s">
        <v>521</v>
      </c>
      <c r="D343" s="27" t="s">
        <v>599</v>
      </c>
      <c r="E343" s="28">
        <v>39173</v>
      </c>
      <c r="F343" s="28" t="s">
        <v>35</v>
      </c>
      <c r="G343" s="28" t="s">
        <v>35</v>
      </c>
      <c r="H343" s="27" t="s">
        <v>530</v>
      </c>
      <c r="I343" s="27" t="s">
        <v>1086</v>
      </c>
      <c r="J343" s="27" t="s">
        <v>525</v>
      </c>
      <c r="K343" s="27" t="s">
        <v>525</v>
      </c>
      <c r="L343" s="27" t="s">
        <v>1086</v>
      </c>
      <c r="M343" s="27" t="s">
        <v>1102</v>
      </c>
      <c r="N343" s="27" t="s">
        <v>1094</v>
      </c>
      <c r="O343" s="27" t="s">
        <v>528</v>
      </c>
    </row>
    <row r="344" spans="1:15">
      <c r="A344" s="25">
        <v>12187</v>
      </c>
      <c r="B344" s="26" t="s">
        <v>1103</v>
      </c>
      <c r="C344" s="27" t="s">
        <v>521</v>
      </c>
      <c r="D344" s="27" t="s">
        <v>750</v>
      </c>
      <c r="E344" s="28">
        <v>40802</v>
      </c>
      <c r="F344" s="28" t="s">
        <v>35</v>
      </c>
      <c r="G344" s="28" t="s">
        <v>35</v>
      </c>
      <c r="H344" s="27" t="s">
        <v>530</v>
      </c>
      <c r="I344" s="27" t="s">
        <v>1086</v>
      </c>
      <c r="J344" s="27" t="s">
        <v>525</v>
      </c>
      <c r="K344" s="27" t="s">
        <v>525</v>
      </c>
      <c r="L344" s="31" t="s">
        <v>1086</v>
      </c>
      <c r="M344" s="31" t="s">
        <v>651</v>
      </c>
      <c r="N344" s="27" t="s">
        <v>1094</v>
      </c>
      <c r="O344" s="27" t="s">
        <v>528</v>
      </c>
    </row>
    <row r="345" spans="1:15">
      <c r="A345" s="25">
        <v>9191</v>
      </c>
      <c r="B345" s="26" t="s">
        <v>1104</v>
      </c>
      <c r="C345" s="27" t="s">
        <v>521</v>
      </c>
      <c r="D345" s="27" t="s">
        <v>658</v>
      </c>
      <c r="E345" s="28">
        <v>40008</v>
      </c>
      <c r="F345" s="28" t="s">
        <v>35</v>
      </c>
      <c r="G345" s="28" t="s">
        <v>35</v>
      </c>
      <c r="H345" s="27" t="s">
        <v>530</v>
      </c>
      <c r="I345" s="27" t="s">
        <v>1086</v>
      </c>
      <c r="J345" s="27" t="s">
        <v>525</v>
      </c>
      <c r="K345" s="27" t="s">
        <v>525</v>
      </c>
      <c r="L345" s="31" t="s">
        <v>1086</v>
      </c>
      <c r="M345" s="31" t="s">
        <v>573</v>
      </c>
      <c r="N345" s="27" t="s">
        <v>1094</v>
      </c>
      <c r="O345" s="27" t="s">
        <v>528</v>
      </c>
    </row>
    <row r="346" spans="1:15">
      <c r="A346" s="25">
        <v>119</v>
      </c>
      <c r="B346" s="26" t="s">
        <v>1105</v>
      </c>
      <c r="C346" s="27" t="s">
        <v>521</v>
      </c>
      <c r="D346" s="27" t="s">
        <v>1106</v>
      </c>
      <c r="E346" s="28">
        <v>37627</v>
      </c>
      <c r="F346" s="28" t="s">
        <v>35</v>
      </c>
      <c r="G346" s="28" t="s">
        <v>35</v>
      </c>
      <c r="H346" s="31" t="s">
        <v>530</v>
      </c>
      <c r="I346" s="31" t="s">
        <v>1107</v>
      </c>
      <c r="J346" s="31" t="s">
        <v>525</v>
      </c>
      <c r="K346" s="31" t="s">
        <v>525</v>
      </c>
      <c r="L346" s="31" t="s">
        <v>1107</v>
      </c>
      <c r="M346" s="31" t="s">
        <v>651</v>
      </c>
      <c r="N346" s="31" t="s">
        <v>1107</v>
      </c>
      <c r="O346" s="27" t="s">
        <v>528</v>
      </c>
    </row>
    <row r="347" spans="1:15">
      <c r="A347" s="25">
        <v>702</v>
      </c>
      <c r="B347" s="26" t="s">
        <v>1108</v>
      </c>
      <c r="C347" s="27" t="s">
        <v>521</v>
      </c>
      <c r="D347" s="27" t="s">
        <v>522</v>
      </c>
      <c r="E347" s="28">
        <v>37802</v>
      </c>
      <c r="F347" s="28" t="s">
        <v>35</v>
      </c>
      <c r="G347" s="28" t="s">
        <v>35</v>
      </c>
      <c r="H347" s="31" t="s">
        <v>530</v>
      </c>
      <c r="I347" s="31" t="s">
        <v>1107</v>
      </c>
      <c r="J347" s="31" t="s">
        <v>525</v>
      </c>
      <c r="K347" s="31" t="s">
        <v>525</v>
      </c>
      <c r="L347" s="31" t="s">
        <v>1107</v>
      </c>
      <c r="M347" s="27" t="s">
        <v>569</v>
      </c>
      <c r="N347" s="27" t="s">
        <v>1037</v>
      </c>
      <c r="O347" s="27" t="s">
        <v>528</v>
      </c>
    </row>
    <row r="348" spans="1:15">
      <c r="A348" s="25">
        <v>4960</v>
      </c>
      <c r="B348" s="26" t="s">
        <v>1109</v>
      </c>
      <c r="C348" s="27" t="s">
        <v>521</v>
      </c>
      <c r="D348" s="27" t="s">
        <v>522</v>
      </c>
      <c r="E348" s="28">
        <v>38936</v>
      </c>
      <c r="F348" s="28" t="s">
        <v>35</v>
      </c>
      <c r="G348" s="28" t="s">
        <v>35</v>
      </c>
      <c r="H348" s="27" t="s">
        <v>530</v>
      </c>
      <c r="I348" s="27" t="s">
        <v>1107</v>
      </c>
      <c r="J348" s="27" t="s">
        <v>525</v>
      </c>
      <c r="K348" s="27" t="s">
        <v>525</v>
      </c>
      <c r="L348" s="27" t="s">
        <v>1107</v>
      </c>
      <c r="M348" s="27" t="s">
        <v>1110</v>
      </c>
      <c r="N348" s="27" t="s">
        <v>1037</v>
      </c>
      <c r="O348" s="27" t="s">
        <v>528</v>
      </c>
    </row>
    <row r="349" spans="1:15">
      <c r="A349" s="25">
        <v>6099</v>
      </c>
      <c r="B349" s="26" t="s">
        <v>1111</v>
      </c>
      <c r="C349" s="27" t="s">
        <v>521</v>
      </c>
      <c r="D349" s="27" t="s">
        <v>591</v>
      </c>
      <c r="E349" s="28">
        <v>39142</v>
      </c>
      <c r="F349" s="28" t="s">
        <v>35</v>
      </c>
      <c r="G349" s="28" t="s">
        <v>35</v>
      </c>
      <c r="H349" s="27" t="s">
        <v>530</v>
      </c>
      <c r="I349" s="27" t="s">
        <v>1107</v>
      </c>
      <c r="J349" s="27" t="s">
        <v>525</v>
      </c>
      <c r="K349" s="27" t="s">
        <v>525</v>
      </c>
      <c r="L349" s="27" t="s">
        <v>1107</v>
      </c>
      <c r="M349" s="27" t="s">
        <v>651</v>
      </c>
      <c r="N349" s="27" t="s">
        <v>1107</v>
      </c>
      <c r="O349" s="27" t="s">
        <v>528</v>
      </c>
    </row>
    <row r="350" spans="1:15">
      <c r="A350" s="25">
        <v>11291</v>
      </c>
      <c r="B350" s="26" t="s">
        <v>1112</v>
      </c>
      <c r="C350" s="27" t="s">
        <v>521</v>
      </c>
      <c r="D350" s="27" t="s">
        <v>1113</v>
      </c>
      <c r="E350" s="28">
        <v>40631</v>
      </c>
      <c r="F350" s="28" t="s">
        <v>35</v>
      </c>
      <c r="G350" s="28" t="s">
        <v>35</v>
      </c>
      <c r="H350" s="27" t="s">
        <v>530</v>
      </c>
      <c r="I350" s="27" t="s">
        <v>1107</v>
      </c>
      <c r="J350" s="27" t="s">
        <v>525</v>
      </c>
      <c r="K350" s="27" t="s">
        <v>525</v>
      </c>
      <c r="L350" s="27" t="s">
        <v>1107</v>
      </c>
      <c r="M350" s="27" t="s">
        <v>573</v>
      </c>
      <c r="N350" s="27" t="s">
        <v>648</v>
      </c>
      <c r="O350" s="27" t="s">
        <v>528</v>
      </c>
    </row>
    <row r="351" spans="1:15">
      <c r="A351" s="25">
        <v>13059</v>
      </c>
      <c r="B351" s="26" t="s">
        <v>1114</v>
      </c>
      <c r="C351" s="27" t="s">
        <v>521</v>
      </c>
      <c r="D351" s="27" t="s">
        <v>1115</v>
      </c>
      <c r="E351" s="28">
        <v>40847</v>
      </c>
      <c r="F351" s="28" t="s">
        <v>35</v>
      </c>
      <c r="G351" s="28" t="s">
        <v>35</v>
      </c>
      <c r="H351" s="27" t="s">
        <v>530</v>
      </c>
      <c r="I351" s="27" t="s">
        <v>1107</v>
      </c>
      <c r="J351" s="27" t="s">
        <v>525</v>
      </c>
      <c r="K351" s="27" t="s">
        <v>525</v>
      </c>
      <c r="L351" s="27" t="s">
        <v>1107</v>
      </c>
      <c r="M351" s="27" t="s">
        <v>573</v>
      </c>
      <c r="N351" s="27" t="s">
        <v>648</v>
      </c>
      <c r="O351" s="27" t="s">
        <v>528</v>
      </c>
    </row>
    <row r="352" spans="1:15">
      <c r="A352" s="25">
        <v>13060</v>
      </c>
      <c r="B352" s="26" t="s">
        <v>1116</v>
      </c>
      <c r="C352" s="27" t="s">
        <v>521</v>
      </c>
      <c r="D352" s="27" t="s">
        <v>1117</v>
      </c>
      <c r="E352" s="28">
        <v>40848</v>
      </c>
      <c r="F352" s="28" t="s">
        <v>35</v>
      </c>
      <c r="G352" s="28" t="s">
        <v>35</v>
      </c>
      <c r="H352" s="31" t="s">
        <v>530</v>
      </c>
      <c r="I352" s="31" t="s">
        <v>1107</v>
      </c>
      <c r="J352" s="31" t="s">
        <v>525</v>
      </c>
      <c r="K352" s="31" t="s">
        <v>525</v>
      </c>
      <c r="L352" s="31" t="s">
        <v>1107</v>
      </c>
      <c r="M352" s="27" t="s">
        <v>573</v>
      </c>
      <c r="N352" s="31" t="s">
        <v>648</v>
      </c>
      <c r="O352" s="31" t="s">
        <v>528</v>
      </c>
    </row>
    <row r="353" spans="1:15">
      <c r="A353" s="25">
        <v>13421</v>
      </c>
      <c r="B353" s="26" t="s">
        <v>1118</v>
      </c>
      <c r="C353" s="27" t="s">
        <v>521</v>
      </c>
      <c r="D353" s="27" t="s">
        <v>1119</v>
      </c>
      <c r="E353" s="28">
        <v>40932</v>
      </c>
      <c r="F353" s="28" t="s">
        <v>35</v>
      </c>
      <c r="G353" s="28" t="s">
        <v>35</v>
      </c>
      <c r="H353" s="27" t="s">
        <v>530</v>
      </c>
      <c r="I353" s="31" t="s">
        <v>1107</v>
      </c>
      <c r="J353" s="27" t="s">
        <v>525</v>
      </c>
      <c r="K353" s="27" t="s">
        <v>525</v>
      </c>
      <c r="L353" s="31" t="s">
        <v>1107</v>
      </c>
      <c r="M353" s="27" t="s">
        <v>573</v>
      </c>
      <c r="N353" s="27" t="s">
        <v>1107</v>
      </c>
      <c r="O353" s="31" t="s">
        <v>528</v>
      </c>
    </row>
    <row r="354" spans="1:15">
      <c r="A354" s="25">
        <v>17880</v>
      </c>
      <c r="B354" s="34" t="s">
        <v>1120</v>
      </c>
      <c r="C354" s="31" t="s">
        <v>521</v>
      </c>
      <c r="D354" s="27" t="s">
        <v>522</v>
      </c>
      <c r="E354" s="28">
        <v>41822</v>
      </c>
      <c r="F354" s="28" t="s">
        <v>35</v>
      </c>
      <c r="G354" s="28" t="s">
        <v>35</v>
      </c>
      <c r="H354" s="27" t="s">
        <v>530</v>
      </c>
      <c r="I354" s="27" t="s">
        <v>1107</v>
      </c>
      <c r="J354" s="27" t="s">
        <v>525</v>
      </c>
      <c r="K354" s="27" t="s">
        <v>525</v>
      </c>
      <c r="L354" s="27" t="s">
        <v>1107</v>
      </c>
      <c r="M354" s="27" t="s">
        <v>569</v>
      </c>
      <c r="N354" s="27" t="s">
        <v>1037</v>
      </c>
      <c r="O354" s="27" t="s">
        <v>528</v>
      </c>
    </row>
    <row r="355" spans="1:15">
      <c r="A355" s="25">
        <v>19447</v>
      </c>
      <c r="B355" s="26" t="s">
        <v>1121</v>
      </c>
      <c r="C355" s="27" t="s">
        <v>521</v>
      </c>
      <c r="D355" s="27" t="s">
        <v>1122</v>
      </c>
      <c r="E355" s="28">
        <v>42324</v>
      </c>
      <c r="F355" s="28" t="s">
        <v>35</v>
      </c>
      <c r="G355" s="28" t="s">
        <v>35</v>
      </c>
      <c r="H355" s="27" t="s">
        <v>530</v>
      </c>
      <c r="I355" s="27" t="s">
        <v>1107</v>
      </c>
      <c r="J355" s="27" t="s">
        <v>525</v>
      </c>
      <c r="K355" s="27" t="s">
        <v>525</v>
      </c>
      <c r="L355" s="27" t="s">
        <v>1107</v>
      </c>
      <c r="M355" s="27" t="s">
        <v>573</v>
      </c>
      <c r="N355" s="27" t="s">
        <v>648</v>
      </c>
      <c r="O355" s="27" t="s">
        <v>528</v>
      </c>
    </row>
    <row r="356" spans="1:15">
      <c r="A356" s="25" t="s">
        <v>1123</v>
      </c>
      <c r="B356" s="26" t="s">
        <v>1124</v>
      </c>
      <c r="C356" s="27" t="s">
        <v>521</v>
      </c>
      <c r="D356" s="27" t="s">
        <v>1125</v>
      </c>
      <c r="E356" s="28">
        <v>41449</v>
      </c>
      <c r="F356" s="28" t="s">
        <v>35</v>
      </c>
      <c r="G356" s="28" t="s">
        <v>35</v>
      </c>
      <c r="H356" s="27" t="s">
        <v>530</v>
      </c>
      <c r="I356" s="31" t="s">
        <v>1107</v>
      </c>
      <c r="J356" s="27" t="s">
        <v>525</v>
      </c>
      <c r="K356" s="27" t="s">
        <v>525</v>
      </c>
      <c r="L356" s="31" t="s">
        <v>1107</v>
      </c>
      <c r="M356" s="31" t="s">
        <v>1126</v>
      </c>
      <c r="N356" s="27" t="s">
        <v>1107</v>
      </c>
      <c r="O356" s="31" t="s">
        <v>528</v>
      </c>
    </row>
    <row r="357" spans="1:15">
      <c r="A357" s="25">
        <v>509</v>
      </c>
      <c r="B357" s="26" t="s">
        <v>198</v>
      </c>
      <c r="C357" s="27" t="s">
        <v>521</v>
      </c>
      <c r="D357" s="27" t="s">
        <v>1043</v>
      </c>
      <c r="E357" s="28">
        <v>37760</v>
      </c>
      <c r="F357" s="28" t="s">
        <v>35</v>
      </c>
      <c r="G357" s="28" t="s">
        <v>35</v>
      </c>
      <c r="H357" s="27" t="s">
        <v>530</v>
      </c>
      <c r="I357" s="27" t="s">
        <v>1127</v>
      </c>
      <c r="J357" s="27" t="s">
        <v>525</v>
      </c>
      <c r="K357" s="27" t="s">
        <v>525</v>
      </c>
      <c r="L357" s="27" t="s">
        <v>1127</v>
      </c>
      <c r="M357" s="27" t="s">
        <v>1128</v>
      </c>
      <c r="N357" s="27" t="s">
        <v>1129</v>
      </c>
      <c r="O357" s="27" t="s">
        <v>594</v>
      </c>
    </row>
    <row r="358" spans="1:15">
      <c r="A358" s="25">
        <v>5227</v>
      </c>
      <c r="B358" s="26" t="s">
        <v>195</v>
      </c>
      <c r="C358" s="27" t="s">
        <v>521</v>
      </c>
      <c r="D358" s="27" t="s">
        <v>1130</v>
      </c>
      <c r="E358" s="28">
        <v>38961</v>
      </c>
      <c r="F358" s="28" t="s">
        <v>35</v>
      </c>
      <c r="G358" s="28" t="s">
        <v>35</v>
      </c>
      <c r="H358" s="27" t="s">
        <v>530</v>
      </c>
      <c r="I358" s="27" t="s">
        <v>1127</v>
      </c>
      <c r="J358" s="27" t="s">
        <v>525</v>
      </c>
      <c r="K358" s="27" t="s">
        <v>525</v>
      </c>
      <c r="L358" s="27" t="s">
        <v>1127</v>
      </c>
      <c r="M358" s="27" t="s">
        <v>1128</v>
      </c>
      <c r="N358" s="27" t="s">
        <v>1131</v>
      </c>
      <c r="O358" s="27" t="s">
        <v>594</v>
      </c>
    </row>
    <row r="359" spans="1:15">
      <c r="A359" s="25">
        <v>5431</v>
      </c>
      <c r="B359" s="26" t="s">
        <v>1132</v>
      </c>
      <c r="C359" s="27" t="s">
        <v>521</v>
      </c>
      <c r="D359" s="27" t="s">
        <v>760</v>
      </c>
      <c r="E359" s="28">
        <v>38991</v>
      </c>
      <c r="F359" s="28" t="s">
        <v>35</v>
      </c>
      <c r="G359" s="28" t="s">
        <v>35</v>
      </c>
      <c r="H359" s="27" t="s">
        <v>530</v>
      </c>
      <c r="I359" s="27" t="s">
        <v>1127</v>
      </c>
      <c r="J359" s="27" t="s">
        <v>525</v>
      </c>
      <c r="K359" s="27" t="s">
        <v>525</v>
      </c>
      <c r="L359" s="27" t="s">
        <v>1127</v>
      </c>
      <c r="M359" s="27" t="s">
        <v>1133</v>
      </c>
      <c r="N359" s="31" t="s">
        <v>648</v>
      </c>
      <c r="O359" s="27" t="s">
        <v>594</v>
      </c>
    </row>
    <row r="360" spans="1:15">
      <c r="A360" s="25">
        <v>5459</v>
      </c>
      <c r="B360" s="26" t="s">
        <v>190</v>
      </c>
      <c r="C360" s="27" t="s">
        <v>521</v>
      </c>
      <c r="D360" s="27" t="s">
        <v>760</v>
      </c>
      <c r="E360" s="28">
        <v>38991</v>
      </c>
      <c r="F360" s="28" t="s">
        <v>35</v>
      </c>
      <c r="G360" s="28" t="s">
        <v>35</v>
      </c>
      <c r="H360" s="27" t="s">
        <v>530</v>
      </c>
      <c r="I360" s="27" t="s">
        <v>1127</v>
      </c>
      <c r="J360" s="27" t="s">
        <v>525</v>
      </c>
      <c r="K360" s="27" t="s">
        <v>525</v>
      </c>
      <c r="L360" s="27" t="s">
        <v>1127</v>
      </c>
      <c r="M360" s="27" t="s">
        <v>35</v>
      </c>
      <c r="N360" s="27" t="s">
        <v>1129</v>
      </c>
      <c r="O360" s="27" t="s">
        <v>594</v>
      </c>
    </row>
    <row r="361" spans="1:15">
      <c r="A361" s="25">
        <v>5743</v>
      </c>
      <c r="B361" s="26" t="s">
        <v>171</v>
      </c>
      <c r="C361" s="27" t="s">
        <v>521</v>
      </c>
      <c r="D361" s="27" t="s">
        <v>790</v>
      </c>
      <c r="E361" s="28">
        <v>39098</v>
      </c>
      <c r="F361" s="28" t="s">
        <v>35</v>
      </c>
      <c r="G361" s="28" t="s">
        <v>35</v>
      </c>
      <c r="H361" s="27" t="s">
        <v>530</v>
      </c>
      <c r="I361" s="27" t="s">
        <v>1127</v>
      </c>
      <c r="J361" s="27" t="s">
        <v>525</v>
      </c>
      <c r="K361" s="27" t="s">
        <v>525</v>
      </c>
      <c r="L361" s="27" t="s">
        <v>1127</v>
      </c>
      <c r="M361" s="27" t="s">
        <v>1134</v>
      </c>
      <c r="N361" s="27" t="s">
        <v>1131</v>
      </c>
      <c r="O361" s="27" t="s">
        <v>594</v>
      </c>
    </row>
    <row r="362" spans="1:15">
      <c r="A362" s="25">
        <v>6072</v>
      </c>
      <c r="B362" s="26" t="s">
        <v>157</v>
      </c>
      <c r="C362" s="27" t="s">
        <v>521</v>
      </c>
      <c r="D362" s="27" t="s">
        <v>591</v>
      </c>
      <c r="E362" s="28">
        <v>39142</v>
      </c>
      <c r="F362" s="28" t="s">
        <v>35</v>
      </c>
      <c r="G362" s="28" t="s">
        <v>35</v>
      </c>
      <c r="H362" s="27" t="s">
        <v>530</v>
      </c>
      <c r="I362" s="27" t="s">
        <v>1127</v>
      </c>
      <c r="J362" s="27" t="s">
        <v>525</v>
      </c>
      <c r="K362" s="27" t="s">
        <v>525</v>
      </c>
      <c r="L362" s="27" t="s">
        <v>1127</v>
      </c>
      <c r="M362" s="27" t="s">
        <v>1135</v>
      </c>
      <c r="N362" s="27" t="s">
        <v>1129</v>
      </c>
      <c r="O362" s="27" t="s">
        <v>594</v>
      </c>
    </row>
    <row r="363" spans="1:15">
      <c r="A363" s="25">
        <v>19454</v>
      </c>
      <c r="B363" s="26" t="s">
        <v>327</v>
      </c>
      <c r="C363" s="27" t="s">
        <v>521</v>
      </c>
      <c r="D363" s="27" t="s">
        <v>1136</v>
      </c>
      <c r="E363" s="28">
        <v>42380</v>
      </c>
      <c r="F363" s="28" t="s">
        <v>35</v>
      </c>
      <c r="G363" s="28" t="s">
        <v>35</v>
      </c>
      <c r="H363" s="27" t="s">
        <v>530</v>
      </c>
      <c r="I363" s="27" t="s">
        <v>1127</v>
      </c>
      <c r="J363" s="27" t="s">
        <v>525</v>
      </c>
      <c r="K363" s="27" t="s">
        <v>525</v>
      </c>
      <c r="L363" s="27" t="s">
        <v>1127</v>
      </c>
      <c r="M363" s="27" t="s">
        <v>35</v>
      </c>
      <c r="N363" s="27" t="s">
        <v>1129</v>
      </c>
      <c r="O363" s="27" t="s">
        <v>594</v>
      </c>
    </row>
    <row r="364" spans="1:15">
      <c r="A364" s="25">
        <v>37</v>
      </c>
      <c r="B364" s="26" t="s">
        <v>1137</v>
      </c>
      <c r="C364" s="27" t="s">
        <v>521</v>
      </c>
      <c r="D364" s="27" t="s">
        <v>522</v>
      </c>
      <c r="E364" s="28">
        <v>37529</v>
      </c>
      <c r="F364" s="28" t="s">
        <v>35</v>
      </c>
      <c r="G364" s="28" t="s">
        <v>35</v>
      </c>
      <c r="H364" s="27" t="s">
        <v>530</v>
      </c>
      <c r="I364" s="27" t="s">
        <v>1127</v>
      </c>
      <c r="J364" s="27" t="s">
        <v>525</v>
      </c>
      <c r="K364" s="27" t="s">
        <v>525</v>
      </c>
      <c r="L364" s="27" t="s">
        <v>1127</v>
      </c>
      <c r="M364" s="27" t="s">
        <v>569</v>
      </c>
      <c r="N364" s="27" t="s">
        <v>1037</v>
      </c>
      <c r="O364" s="27" t="s">
        <v>528</v>
      </c>
    </row>
    <row r="365" spans="1:15">
      <c r="A365" s="25">
        <v>245</v>
      </c>
      <c r="B365" s="26" t="s">
        <v>211</v>
      </c>
      <c r="C365" s="27" t="s">
        <v>521</v>
      </c>
      <c r="D365" s="27" t="s">
        <v>644</v>
      </c>
      <c r="E365" s="28">
        <v>37704</v>
      </c>
      <c r="F365" s="28" t="s">
        <v>35</v>
      </c>
      <c r="G365" s="28" t="s">
        <v>35</v>
      </c>
      <c r="H365" s="31" t="s">
        <v>530</v>
      </c>
      <c r="I365" s="27" t="s">
        <v>1127</v>
      </c>
      <c r="J365" s="27" t="s">
        <v>525</v>
      </c>
      <c r="K365" s="27" t="s">
        <v>525</v>
      </c>
      <c r="L365" s="27" t="s">
        <v>1127</v>
      </c>
      <c r="M365" s="27" t="s">
        <v>1135</v>
      </c>
      <c r="N365" s="27" t="s">
        <v>1129</v>
      </c>
      <c r="O365" s="27" t="s">
        <v>528</v>
      </c>
    </row>
    <row r="366" spans="1:15">
      <c r="A366" s="25">
        <v>1060</v>
      </c>
      <c r="B366" s="26" t="s">
        <v>1138</v>
      </c>
      <c r="C366" s="27" t="s">
        <v>521</v>
      </c>
      <c r="D366" s="27" t="s">
        <v>1139</v>
      </c>
      <c r="E366" s="28">
        <v>37879</v>
      </c>
      <c r="F366" s="28" t="s">
        <v>35</v>
      </c>
      <c r="G366" s="28" t="s">
        <v>35</v>
      </c>
      <c r="H366" s="27" t="s">
        <v>530</v>
      </c>
      <c r="I366" s="27" t="s">
        <v>1127</v>
      </c>
      <c r="J366" s="27" t="s">
        <v>525</v>
      </c>
      <c r="K366" s="27" t="s">
        <v>525</v>
      </c>
      <c r="L366" s="31" t="s">
        <v>1127</v>
      </c>
      <c r="M366" s="31" t="s">
        <v>35</v>
      </c>
      <c r="N366" s="27" t="s">
        <v>1129</v>
      </c>
      <c r="O366" s="27" t="s">
        <v>528</v>
      </c>
    </row>
    <row r="367" spans="1:15">
      <c r="A367" s="25">
        <v>9095</v>
      </c>
      <c r="B367" s="26" t="s">
        <v>109</v>
      </c>
      <c r="C367" s="27" t="s">
        <v>521</v>
      </c>
      <c r="D367" s="27" t="s">
        <v>868</v>
      </c>
      <c r="E367" s="28">
        <v>39995</v>
      </c>
      <c r="F367" s="28" t="s">
        <v>35</v>
      </c>
      <c r="G367" s="28" t="s">
        <v>35</v>
      </c>
      <c r="H367" s="31" t="s">
        <v>530</v>
      </c>
      <c r="I367" s="27" t="s">
        <v>1127</v>
      </c>
      <c r="J367" s="27" t="s">
        <v>525</v>
      </c>
      <c r="K367" s="27" t="s">
        <v>525</v>
      </c>
      <c r="L367" s="31" t="s">
        <v>1127</v>
      </c>
      <c r="M367" s="27" t="s">
        <v>35</v>
      </c>
      <c r="N367" s="27" t="s">
        <v>1129</v>
      </c>
      <c r="O367" s="27" t="s">
        <v>528</v>
      </c>
    </row>
    <row r="368" spans="1:15">
      <c r="A368" s="25">
        <v>13139</v>
      </c>
      <c r="B368" s="34" t="s">
        <v>1140</v>
      </c>
      <c r="C368" s="27" t="s">
        <v>521</v>
      </c>
      <c r="D368" s="31" t="s">
        <v>1141</v>
      </c>
      <c r="E368" s="28">
        <v>40883</v>
      </c>
      <c r="F368" s="28" t="s">
        <v>35</v>
      </c>
      <c r="G368" s="28" t="s">
        <v>35</v>
      </c>
      <c r="H368" s="31" t="s">
        <v>530</v>
      </c>
      <c r="I368" s="27" t="s">
        <v>1127</v>
      </c>
      <c r="J368" s="31" t="s">
        <v>525</v>
      </c>
      <c r="K368" s="31" t="s">
        <v>525</v>
      </c>
      <c r="L368" s="31" t="s">
        <v>1127</v>
      </c>
      <c r="M368" s="31" t="s">
        <v>651</v>
      </c>
      <c r="N368" s="27" t="s">
        <v>1131</v>
      </c>
      <c r="O368" s="31" t="s">
        <v>528</v>
      </c>
    </row>
    <row r="369" spans="1:15">
      <c r="A369" s="25">
        <v>15247</v>
      </c>
      <c r="B369" s="26" t="s">
        <v>355</v>
      </c>
      <c r="C369" s="27" t="s">
        <v>521</v>
      </c>
      <c r="D369" s="27" t="s">
        <v>1142</v>
      </c>
      <c r="E369" s="28">
        <v>41438</v>
      </c>
      <c r="F369" s="28" t="s">
        <v>35</v>
      </c>
      <c r="G369" s="28" t="s">
        <v>35</v>
      </c>
      <c r="H369" s="27" t="s">
        <v>530</v>
      </c>
      <c r="I369" s="27" t="s">
        <v>1127</v>
      </c>
      <c r="J369" s="27" t="s">
        <v>525</v>
      </c>
      <c r="K369" s="27" t="s">
        <v>525</v>
      </c>
      <c r="L369" s="31" t="s">
        <v>1127</v>
      </c>
      <c r="M369" s="27" t="s">
        <v>35</v>
      </c>
      <c r="N369" s="27" t="s">
        <v>1129</v>
      </c>
      <c r="O369" s="27" t="s">
        <v>528</v>
      </c>
    </row>
    <row r="370" spans="1:15">
      <c r="A370" s="25">
        <v>15260</v>
      </c>
      <c r="B370" s="26" t="s">
        <v>354</v>
      </c>
      <c r="C370" s="27" t="s">
        <v>521</v>
      </c>
      <c r="D370" s="27" t="s">
        <v>1142</v>
      </c>
      <c r="E370" s="28">
        <v>41438</v>
      </c>
      <c r="F370" s="28" t="s">
        <v>35</v>
      </c>
      <c r="G370" s="28" t="s">
        <v>35</v>
      </c>
      <c r="H370" s="27" t="s">
        <v>530</v>
      </c>
      <c r="I370" s="27" t="s">
        <v>1127</v>
      </c>
      <c r="J370" s="27" t="s">
        <v>525</v>
      </c>
      <c r="K370" s="27" t="s">
        <v>525</v>
      </c>
      <c r="L370" s="31" t="s">
        <v>1127</v>
      </c>
      <c r="M370" s="27" t="s">
        <v>35</v>
      </c>
      <c r="N370" s="27" t="s">
        <v>1129</v>
      </c>
      <c r="O370" s="27" t="s">
        <v>528</v>
      </c>
    </row>
    <row r="371" spans="1:15">
      <c r="A371" s="25">
        <v>15274</v>
      </c>
      <c r="B371" s="26" t="s">
        <v>1143</v>
      </c>
      <c r="C371" s="27" t="s">
        <v>521</v>
      </c>
      <c r="D371" s="27" t="s">
        <v>1142</v>
      </c>
      <c r="E371" s="28">
        <v>41438</v>
      </c>
      <c r="F371" s="28" t="s">
        <v>35</v>
      </c>
      <c r="G371" s="28" t="s">
        <v>35</v>
      </c>
      <c r="H371" s="27" t="s">
        <v>530</v>
      </c>
      <c r="I371" s="27" t="s">
        <v>1127</v>
      </c>
      <c r="J371" s="27" t="s">
        <v>525</v>
      </c>
      <c r="K371" s="27" t="s">
        <v>525</v>
      </c>
      <c r="L371" s="31" t="s">
        <v>1127</v>
      </c>
      <c r="M371" s="27" t="s">
        <v>35</v>
      </c>
      <c r="N371" s="27" t="s">
        <v>1129</v>
      </c>
      <c r="O371" s="27" t="s">
        <v>528</v>
      </c>
    </row>
    <row r="372" spans="1:15">
      <c r="A372" s="25">
        <v>15582</v>
      </c>
      <c r="B372" s="26" t="s">
        <v>1144</v>
      </c>
      <c r="C372" s="27" t="s">
        <v>521</v>
      </c>
      <c r="D372" s="27" t="s">
        <v>1145</v>
      </c>
      <c r="E372" s="28">
        <v>41456</v>
      </c>
      <c r="F372" s="28" t="s">
        <v>35</v>
      </c>
      <c r="G372" s="28" t="s">
        <v>35</v>
      </c>
      <c r="H372" s="27" t="s">
        <v>530</v>
      </c>
      <c r="I372" s="27" t="s">
        <v>1127</v>
      </c>
      <c r="J372" s="27" t="s">
        <v>525</v>
      </c>
      <c r="K372" s="27" t="s">
        <v>525</v>
      </c>
      <c r="L372" s="27" t="s">
        <v>1127</v>
      </c>
      <c r="M372" s="31" t="s">
        <v>573</v>
      </c>
      <c r="N372" s="31" t="s">
        <v>648</v>
      </c>
      <c r="O372" s="27" t="s">
        <v>528</v>
      </c>
    </row>
    <row r="373" spans="1:15">
      <c r="A373" s="78">
        <v>19243</v>
      </c>
      <c r="B373" s="79" t="s">
        <v>332</v>
      </c>
      <c r="C373" s="31" t="s">
        <v>521</v>
      </c>
      <c r="D373" s="80" t="s">
        <v>1049</v>
      </c>
      <c r="E373" s="81">
        <v>42262</v>
      </c>
      <c r="F373" s="28" t="s">
        <v>35</v>
      </c>
      <c r="G373" s="28" t="s">
        <v>35</v>
      </c>
      <c r="H373" s="31" t="s">
        <v>530</v>
      </c>
      <c r="I373" s="27" t="s">
        <v>1127</v>
      </c>
      <c r="J373" s="27" t="s">
        <v>525</v>
      </c>
      <c r="K373" s="27" t="s">
        <v>525</v>
      </c>
      <c r="L373" s="31" t="s">
        <v>1127</v>
      </c>
      <c r="M373" s="27" t="s">
        <v>35</v>
      </c>
      <c r="N373" s="27" t="s">
        <v>1129</v>
      </c>
      <c r="O373" s="27" t="s">
        <v>528</v>
      </c>
    </row>
    <row r="374" spans="1:15">
      <c r="A374" s="78">
        <v>19255</v>
      </c>
      <c r="B374" s="79" t="s">
        <v>331</v>
      </c>
      <c r="C374" s="31" t="s">
        <v>521</v>
      </c>
      <c r="D374" s="80" t="s">
        <v>1049</v>
      </c>
      <c r="E374" s="81">
        <v>42262</v>
      </c>
      <c r="F374" s="28" t="s">
        <v>35</v>
      </c>
      <c r="G374" s="28" t="s">
        <v>35</v>
      </c>
      <c r="H374" s="31" t="s">
        <v>530</v>
      </c>
      <c r="I374" s="27" t="s">
        <v>1127</v>
      </c>
      <c r="J374" s="27" t="s">
        <v>525</v>
      </c>
      <c r="K374" s="27" t="s">
        <v>525</v>
      </c>
      <c r="L374" s="31" t="s">
        <v>1127</v>
      </c>
      <c r="M374" s="27" t="s">
        <v>35</v>
      </c>
      <c r="N374" s="27" t="s">
        <v>1129</v>
      </c>
      <c r="O374" s="27" t="s">
        <v>528</v>
      </c>
    </row>
    <row r="375" spans="1:15">
      <c r="A375" s="78">
        <v>19259</v>
      </c>
      <c r="B375" s="79" t="s">
        <v>1146</v>
      </c>
      <c r="C375" s="31" t="s">
        <v>521</v>
      </c>
      <c r="D375" s="80" t="s">
        <v>1049</v>
      </c>
      <c r="E375" s="81">
        <v>42262</v>
      </c>
      <c r="F375" s="28" t="s">
        <v>35</v>
      </c>
      <c r="G375" s="28" t="s">
        <v>35</v>
      </c>
      <c r="H375" s="31" t="s">
        <v>530</v>
      </c>
      <c r="I375" s="27" t="s">
        <v>1127</v>
      </c>
      <c r="J375" s="27" t="s">
        <v>525</v>
      </c>
      <c r="K375" s="27" t="s">
        <v>525</v>
      </c>
      <c r="L375" s="31" t="s">
        <v>1127</v>
      </c>
      <c r="M375" s="27" t="s">
        <v>35</v>
      </c>
      <c r="N375" s="27" t="s">
        <v>1129</v>
      </c>
      <c r="O375" s="27" t="s">
        <v>528</v>
      </c>
    </row>
    <row r="376" spans="1:15">
      <c r="A376" s="25">
        <v>20063</v>
      </c>
      <c r="B376" s="26" t="s">
        <v>322</v>
      </c>
      <c r="C376" s="27" t="s">
        <v>521</v>
      </c>
      <c r="D376" s="27" t="s">
        <v>1147</v>
      </c>
      <c r="E376" s="28">
        <v>42520</v>
      </c>
      <c r="F376" s="28" t="s">
        <v>35</v>
      </c>
      <c r="G376" s="28" t="s">
        <v>35</v>
      </c>
      <c r="H376" s="27" t="s">
        <v>530</v>
      </c>
      <c r="I376" s="27" t="s">
        <v>1127</v>
      </c>
      <c r="J376" s="27" t="s">
        <v>525</v>
      </c>
      <c r="K376" s="27" t="s">
        <v>525</v>
      </c>
      <c r="L376" s="31" t="s">
        <v>1127</v>
      </c>
      <c r="M376" s="31" t="s">
        <v>35</v>
      </c>
      <c r="N376" s="27" t="s">
        <v>1129</v>
      </c>
      <c r="O376" s="27" t="s">
        <v>528</v>
      </c>
    </row>
    <row r="377" spans="1:15">
      <c r="A377" s="78">
        <v>20725</v>
      </c>
      <c r="B377" s="79" t="s">
        <v>1148</v>
      </c>
      <c r="C377" s="31" t="s">
        <v>521</v>
      </c>
      <c r="D377" s="80" t="s">
        <v>815</v>
      </c>
      <c r="E377" s="81">
        <v>42642</v>
      </c>
      <c r="F377" s="28">
        <v>43132</v>
      </c>
      <c r="G377" s="28">
        <v>43496</v>
      </c>
      <c r="H377" s="27" t="s">
        <v>530</v>
      </c>
      <c r="I377" s="27" t="s">
        <v>1127</v>
      </c>
      <c r="J377" s="27" t="s">
        <v>525</v>
      </c>
      <c r="K377" s="27" t="s">
        <v>525</v>
      </c>
      <c r="L377" s="31" t="s">
        <v>1127</v>
      </c>
      <c r="M377" s="31" t="s">
        <v>35</v>
      </c>
      <c r="N377" s="27" t="s">
        <v>1129</v>
      </c>
      <c r="O377" s="27" t="s">
        <v>528</v>
      </c>
    </row>
    <row r="378" spans="1:15">
      <c r="A378" s="78">
        <v>20955</v>
      </c>
      <c r="B378" s="79" t="s">
        <v>299</v>
      </c>
      <c r="C378" s="31" t="s">
        <v>521</v>
      </c>
      <c r="D378" s="80" t="s">
        <v>1149</v>
      </c>
      <c r="E378" s="81">
        <v>42667</v>
      </c>
      <c r="F378" s="28">
        <v>43160</v>
      </c>
      <c r="G378" s="28">
        <v>43524</v>
      </c>
      <c r="H378" s="27" t="s">
        <v>530</v>
      </c>
      <c r="I378" s="27" t="s">
        <v>1127</v>
      </c>
      <c r="J378" s="27" t="s">
        <v>525</v>
      </c>
      <c r="K378" s="27" t="s">
        <v>525</v>
      </c>
      <c r="L378" s="31" t="s">
        <v>1127</v>
      </c>
      <c r="M378" s="31" t="s">
        <v>35</v>
      </c>
      <c r="N378" s="27" t="s">
        <v>1129</v>
      </c>
      <c r="O378" s="27" t="s">
        <v>528</v>
      </c>
    </row>
    <row r="379" spans="1:15">
      <c r="A379" s="78">
        <v>20969</v>
      </c>
      <c r="B379" s="79" t="s">
        <v>1150</v>
      </c>
      <c r="C379" s="31" t="s">
        <v>521</v>
      </c>
      <c r="D379" s="80" t="s">
        <v>1151</v>
      </c>
      <c r="E379" s="81">
        <v>42674</v>
      </c>
      <c r="F379" s="28">
        <v>43160</v>
      </c>
      <c r="G379" s="28">
        <v>43524</v>
      </c>
      <c r="H379" s="27" t="s">
        <v>530</v>
      </c>
      <c r="I379" s="27" t="s">
        <v>1127</v>
      </c>
      <c r="J379" s="27" t="s">
        <v>525</v>
      </c>
      <c r="K379" s="27" t="s">
        <v>525</v>
      </c>
      <c r="L379" s="31" t="s">
        <v>1127</v>
      </c>
      <c r="M379" s="31" t="s">
        <v>35</v>
      </c>
      <c r="N379" s="27" t="s">
        <v>1129</v>
      </c>
      <c r="O379" s="27" t="s">
        <v>528</v>
      </c>
    </row>
    <row r="380" spans="1:15">
      <c r="A380" s="25">
        <v>21030</v>
      </c>
      <c r="B380" s="26" t="s">
        <v>1152</v>
      </c>
      <c r="C380" s="27" t="s">
        <v>521</v>
      </c>
      <c r="D380" s="27" t="s">
        <v>1056</v>
      </c>
      <c r="E380" s="28">
        <v>42753</v>
      </c>
      <c r="F380" s="28">
        <v>43252</v>
      </c>
      <c r="G380" s="28">
        <v>43616</v>
      </c>
      <c r="H380" s="31" t="s">
        <v>530</v>
      </c>
      <c r="I380" s="27" t="s">
        <v>1127</v>
      </c>
      <c r="J380" s="27" t="s">
        <v>525</v>
      </c>
      <c r="K380" s="27" t="s">
        <v>525</v>
      </c>
      <c r="L380" s="31" t="s">
        <v>1127</v>
      </c>
      <c r="M380" s="27" t="s">
        <v>35</v>
      </c>
      <c r="N380" s="27" t="s">
        <v>1129</v>
      </c>
      <c r="O380" s="29" t="s">
        <v>528</v>
      </c>
    </row>
    <row r="381" spans="1:15">
      <c r="A381" s="78">
        <v>21032</v>
      </c>
      <c r="B381" s="79" t="s">
        <v>1153</v>
      </c>
      <c r="C381" s="31" t="s">
        <v>521</v>
      </c>
      <c r="D381" s="80" t="s">
        <v>1154</v>
      </c>
      <c r="E381" s="81">
        <v>42767</v>
      </c>
      <c r="F381" s="28">
        <v>43252</v>
      </c>
      <c r="G381" s="28">
        <v>43616</v>
      </c>
      <c r="H381" s="31" t="s">
        <v>530</v>
      </c>
      <c r="I381" s="27" t="s">
        <v>1127</v>
      </c>
      <c r="J381" s="27" t="s">
        <v>525</v>
      </c>
      <c r="K381" s="27" t="s">
        <v>525</v>
      </c>
      <c r="L381" s="31" t="s">
        <v>1127</v>
      </c>
      <c r="M381" s="27" t="s">
        <v>35</v>
      </c>
      <c r="N381" s="27" t="s">
        <v>1129</v>
      </c>
      <c r="O381" s="27" t="s">
        <v>528</v>
      </c>
    </row>
    <row r="382" spans="1:15">
      <c r="A382" s="78">
        <v>21033</v>
      </c>
      <c r="B382" s="79" t="s">
        <v>1155</v>
      </c>
      <c r="C382" s="31" t="s">
        <v>521</v>
      </c>
      <c r="D382" s="80" t="s">
        <v>1154</v>
      </c>
      <c r="E382" s="81">
        <v>42767</v>
      </c>
      <c r="F382" s="28">
        <v>43252</v>
      </c>
      <c r="G382" s="28">
        <v>43616</v>
      </c>
      <c r="H382" s="31" t="s">
        <v>530</v>
      </c>
      <c r="I382" s="27" t="s">
        <v>1127</v>
      </c>
      <c r="J382" s="27" t="s">
        <v>525</v>
      </c>
      <c r="K382" s="27" t="s">
        <v>525</v>
      </c>
      <c r="L382" s="31" t="s">
        <v>1127</v>
      </c>
      <c r="M382" s="27" t="s">
        <v>35</v>
      </c>
      <c r="N382" s="27" t="s">
        <v>1129</v>
      </c>
      <c r="O382" s="27" t="s">
        <v>528</v>
      </c>
    </row>
    <row r="383" spans="1:15">
      <c r="A383" s="78">
        <v>21268</v>
      </c>
      <c r="B383" s="79" t="s">
        <v>1156</v>
      </c>
      <c r="C383" s="31" t="s">
        <v>521</v>
      </c>
      <c r="D383" s="80" t="s">
        <v>1157</v>
      </c>
      <c r="E383" s="81">
        <v>42940</v>
      </c>
      <c r="F383" s="28">
        <v>43405</v>
      </c>
      <c r="G383" s="28">
        <v>43769</v>
      </c>
      <c r="H383" s="31" t="s">
        <v>530</v>
      </c>
      <c r="I383" s="27" t="s">
        <v>1127</v>
      </c>
      <c r="J383" s="27" t="s">
        <v>525</v>
      </c>
      <c r="K383" s="27" t="s">
        <v>525</v>
      </c>
      <c r="L383" s="31" t="s">
        <v>1127</v>
      </c>
      <c r="M383" s="27" t="s">
        <v>35</v>
      </c>
      <c r="N383" s="27" t="s">
        <v>1129</v>
      </c>
      <c r="O383" s="27" t="s">
        <v>528</v>
      </c>
    </row>
    <row r="384" spans="1:15">
      <c r="A384" s="25">
        <v>21635</v>
      </c>
      <c r="B384" s="34" t="s">
        <v>277</v>
      </c>
      <c r="C384" s="31" t="s">
        <v>521</v>
      </c>
      <c r="D384" s="31" t="s">
        <v>1053</v>
      </c>
      <c r="E384" s="28">
        <v>43055</v>
      </c>
      <c r="F384" s="28">
        <v>43466</v>
      </c>
      <c r="G384" s="28">
        <v>43830</v>
      </c>
      <c r="H384" s="31" t="s">
        <v>530</v>
      </c>
      <c r="I384" s="27" t="s">
        <v>1127</v>
      </c>
      <c r="J384" s="27" t="s">
        <v>525</v>
      </c>
      <c r="K384" s="27" t="s">
        <v>525</v>
      </c>
      <c r="L384" s="31" t="s">
        <v>1127</v>
      </c>
      <c r="M384" s="27" t="s">
        <v>35</v>
      </c>
      <c r="N384" s="27" t="s">
        <v>1129</v>
      </c>
      <c r="O384" s="27" t="s">
        <v>528</v>
      </c>
    </row>
    <row r="385" spans="1:15">
      <c r="A385" s="25">
        <v>21637</v>
      </c>
      <c r="B385" s="34" t="s">
        <v>1158</v>
      </c>
      <c r="C385" s="31" t="s">
        <v>521</v>
      </c>
      <c r="D385" s="31" t="s">
        <v>1053</v>
      </c>
      <c r="E385" s="28">
        <v>43055</v>
      </c>
      <c r="F385" s="28">
        <v>43466</v>
      </c>
      <c r="G385" s="28">
        <v>43830</v>
      </c>
      <c r="H385" s="31" t="s">
        <v>530</v>
      </c>
      <c r="I385" s="27" t="s">
        <v>1127</v>
      </c>
      <c r="J385" s="27" t="s">
        <v>525</v>
      </c>
      <c r="K385" s="27" t="s">
        <v>525</v>
      </c>
      <c r="L385" s="31" t="s">
        <v>1127</v>
      </c>
      <c r="M385" s="27" t="s">
        <v>35</v>
      </c>
      <c r="N385" s="27" t="s">
        <v>1129</v>
      </c>
      <c r="O385" s="27" t="s">
        <v>528</v>
      </c>
    </row>
    <row r="386" spans="1:15">
      <c r="A386" s="25">
        <v>21639</v>
      </c>
      <c r="B386" s="34" t="s">
        <v>1159</v>
      </c>
      <c r="C386" s="31" t="s">
        <v>521</v>
      </c>
      <c r="D386" s="31" t="s">
        <v>1053</v>
      </c>
      <c r="E386" s="28">
        <v>43055</v>
      </c>
      <c r="F386" s="28">
        <v>43466</v>
      </c>
      <c r="G386" s="28">
        <v>43830</v>
      </c>
      <c r="H386" s="31" t="s">
        <v>530</v>
      </c>
      <c r="I386" s="27" t="s">
        <v>1127</v>
      </c>
      <c r="J386" s="27" t="s">
        <v>525</v>
      </c>
      <c r="K386" s="27" t="s">
        <v>525</v>
      </c>
      <c r="L386" s="31" t="s">
        <v>1127</v>
      </c>
      <c r="M386" s="27" t="s">
        <v>35</v>
      </c>
      <c r="N386" s="27" t="s">
        <v>1129</v>
      </c>
      <c r="O386" s="27" t="s">
        <v>528</v>
      </c>
    </row>
    <row r="387" spans="1:15">
      <c r="A387" s="25">
        <v>21641</v>
      </c>
      <c r="B387" s="34" t="s">
        <v>1160</v>
      </c>
      <c r="C387" s="31" t="s">
        <v>521</v>
      </c>
      <c r="D387" s="31" t="s">
        <v>1053</v>
      </c>
      <c r="E387" s="28">
        <v>43055</v>
      </c>
      <c r="F387" s="28">
        <v>43466</v>
      </c>
      <c r="G387" s="28">
        <v>43830</v>
      </c>
      <c r="H387" s="31" t="s">
        <v>530</v>
      </c>
      <c r="I387" s="27" t="s">
        <v>1127</v>
      </c>
      <c r="J387" s="27" t="s">
        <v>525</v>
      </c>
      <c r="K387" s="27" t="s">
        <v>525</v>
      </c>
      <c r="L387" s="31" t="s">
        <v>1127</v>
      </c>
      <c r="M387" s="27" t="s">
        <v>35</v>
      </c>
      <c r="N387" s="27" t="s">
        <v>1129</v>
      </c>
      <c r="O387" s="27" t="s">
        <v>528</v>
      </c>
    </row>
    <row r="388" spans="1:15">
      <c r="A388" s="25">
        <v>21646</v>
      </c>
      <c r="B388" s="34" t="s">
        <v>1161</v>
      </c>
      <c r="C388" s="31" t="s">
        <v>521</v>
      </c>
      <c r="D388" s="31" t="s">
        <v>1053</v>
      </c>
      <c r="E388" s="28">
        <v>43055</v>
      </c>
      <c r="F388" s="28">
        <v>43466</v>
      </c>
      <c r="G388" s="28">
        <v>43830</v>
      </c>
      <c r="H388" s="31" t="s">
        <v>530</v>
      </c>
      <c r="I388" s="27" t="s">
        <v>1127</v>
      </c>
      <c r="J388" s="27" t="s">
        <v>525</v>
      </c>
      <c r="K388" s="27" t="s">
        <v>525</v>
      </c>
      <c r="L388" s="31" t="s">
        <v>1127</v>
      </c>
      <c r="M388" s="27" t="s">
        <v>35</v>
      </c>
      <c r="N388" s="27" t="s">
        <v>1129</v>
      </c>
      <c r="O388" s="27" t="s">
        <v>528</v>
      </c>
    </row>
    <row r="389" spans="1:15">
      <c r="A389" s="25">
        <v>21649</v>
      </c>
      <c r="B389" s="26" t="s">
        <v>1162</v>
      </c>
      <c r="C389" s="27" t="s">
        <v>521</v>
      </c>
      <c r="D389" s="27" t="s">
        <v>1053</v>
      </c>
      <c r="E389" s="28">
        <v>43055</v>
      </c>
      <c r="F389" s="28">
        <v>43466</v>
      </c>
      <c r="G389" s="28">
        <v>43830</v>
      </c>
      <c r="H389" s="31" t="s">
        <v>530</v>
      </c>
      <c r="I389" s="27" t="s">
        <v>1127</v>
      </c>
      <c r="J389" s="27" t="s">
        <v>525</v>
      </c>
      <c r="K389" s="27" t="s">
        <v>525</v>
      </c>
      <c r="L389" s="31" t="s">
        <v>1127</v>
      </c>
      <c r="M389" s="27" t="s">
        <v>35</v>
      </c>
      <c r="N389" s="27" t="s">
        <v>1129</v>
      </c>
      <c r="O389" s="27" t="s">
        <v>528</v>
      </c>
    </row>
    <row r="390" spans="1:15">
      <c r="A390" s="25">
        <v>21650</v>
      </c>
      <c r="B390" s="34" t="s">
        <v>1163</v>
      </c>
      <c r="C390" s="31" t="s">
        <v>521</v>
      </c>
      <c r="D390" s="31" t="s">
        <v>1053</v>
      </c>
      <c r="E390" s="28">
        <v>43055</v>
      </c>
      <c r="F390" s="28">
        <v>43466</v>
      </c>
      <c r="G390" s="28">
        <v>43830</v>
      </c>
      <c r="H390" s="31" t="s">
        <v>530</v>
      </c>
      <c r="I390" s="27" t="s">
        <v>1127</v>
      </c>
      <c r="J390" s="27" t="s">
        <v>525</v>
      </c>
      <c r="K390" s="27" t="s">
        <v>525</v>
      </c>
      <c r="L390" s="31" t="s">
        <v>1127</v>
      </c>
      <c r="M390" s="27" t="s">
        <v>35</v>
      </c>
      <c r="N390" s="27" t="s">
        <v>1129</v>
      </c>
      <c r="O390" s="27" t="s">
        <v>528</v>
      </c>
    </row>
    <row r="391" spans="1:15">
      <c r="A391" s="25">
        <v>21654</v>
      </c>
      <c r="B391" s="34" t="s">
        <v>1164</v>
      </c>
      <c r="C391" s="31" t="s">
        <v>521</v>
      </c>
      <c r="D391" s="31" t="s">
        <v>1053</v>
      </c>
      <c r="E391" s="28">
        <v>43055</v>
      </c>
      <c r="F391" s="28">
        <v>43466</v>
      </c>
      <c r="G391" s="28">
        <v>43830</v>
      </c>
      <c r="H391" s="31" t="s">
        <v>530</v>
      </c>
      <c r="I391" s="27" t="s">
        <v>1127</v>
      </c>
      <c r="J391" s="27" t="s">
        <v>525</v>
      </c>
      <c r="K391" s="27" t="s">
        <v>525</v>
      </c>
      <c r="L391" s="31" t="s">
        <v>1127</v>
      </c>
      <c r="M391" s="27" t="s">
        <v>35</v>
      </c>
      <c r="N391" s="27" t="s">
        <v>1129</v>
      </c>
      <c r="O391" s="27" t="s">
        <v>528</v>
      </c>
    </row>
    <row r="392" spans="1:15">
      <c r="A392" s="25">
        <v>21656</v>
      </c>
      <c r="B392" s="34" t="s">
        <v>1165</v>
      </c>
      <c r="C392" s="31" t="s">
        <v>521</v>
      </c>
      <c r="D392" s="31" t="s">
        <v>1053</v>
      </c>
      <c r="E392" s="28">
        <v>43055</v>
      </c>
      <c r="F392" s="28">
        <v>43466</v>
      </c>
      <c r="G392" s="28">
        <v>43830</v>
      </c>
      <c r="H392" s="31" t="s">
        <v>530</v>
      </c>
      <c r="I392" s="27" t="s">
        <v>1127</v>
      </c>
      <c r="J392" s="27" t="s">
        <v>525</v>
      </c>
      <c r="K392" s="27" t="s">
        <v>525</v>
      </c>
      <c r="L392" s="31" t="s">
        <v>1127</v>
      </c>
      <c r="M392" s="27" t="s">
        <v>35</v>
      </c>
      <c r="N392" s="27" t="s">
        <v>1129</v>
      </c>
      <c r="O392" s="27" t="s">
        <v>528</v>
      </c>
    </row>
    <row r="393" spans="1:15">
      <c r="A393" s="25">
        <v>21662</v>
      </c>
      <c r="B393" s="34" t="s">
        <v>1166</v>
      </c>
      <c r="C393" s="31" t="s">
        <v>521</v>
      </c>
      <c r="D393" s="31" t="s">
        <v>1053</v>
      </c>
      <c r="E393" s="28">
        <v>43055</v>
      </c>
      <c r="F393" s="28">
        <v>43466</v>
      </c>
      <c r="G393" s="28">
        <v>43830</v>
      </c>
      <c r="H393" s="31" t="s">
        <v>530</v>
      </c>
      <c r="I393" s="27" t="s">
        <v>1127</v>
      </c>
      <c r="J393" s="27" t="s">
        <v>525</v>
      </c>
      <c r="K393" s="27" t="s">
        <v>525</v>
      </c>
      <c r="L393" s="31" t="s">
        <v>1127</v>
      </c>
      <c r="M393" s="27" t="s">
        <v>35</v>
      </c>
      <c r="N393" s="27" t="s">
        <v>1129</v>
      </c>
      <c r="O393" s="27" t="s">
        <v>528</v>
      </c>
    </row>
    <row r="394" spans="1:15">
      <c r="A394" s="25">
        <v>21664</v>
      </c>
      <c r="B394" s="34" t="s">
        <v>1167</v>
      </c>
      <c r="C394" s="31" t="s">
        <v>521</v>
      </c>
      <c r="D394" s="31" t="s">
        <v>1053</v>
      </c>
      <c r="E394" s="28">
        <v>43055</v>
      </c>
      <c r="F394" s="28">
        <v>43466</v>
      </c>
      <c r="G394" s="28">
        <v>43830</v>
      </c>
      <c r="H394" s="31" t="s">
        <v>530</v>
      </c>
      <c r="I394" s="27" t="s">
        <v>1127</v>
      </c>
      <c r="J394" s="27" t="s">
        <v>525</v>
      </c>
      <c r="K394" s="27" t="s">
        <v>525</v>
      </c>
      <c r="L394" s="31" t="s">
        <v>1127</v>
      </c>
      <c r="M394" s="27" t="s">
        <v>35</v>
      </c>
      <c r="N394" s="27" t="s">
        <v>1129</v>
      </c>
      <c r="O394" s="27" t="s">
        <v>528</v>
      </c>
    </row>
    <row r="395" spans="1:15">
      <c r="A395" s="25">
        <v>21668</v>
      </c>
      <c r="B395" s="34" t="s">
        <v>1168</v>
      </c>
      <c r="C395" s="31" t="s">
        <v>521</v>
      </c>
      <c r="D395" s="31" t="s">
        <v>1053</v>
      </c>
      <c r="E395" s="28">
        <v>43055</v>
      </c>
      <c r="F395" s="28">
        <v>43466</v>
      </c>
      <c r="G395" s="28">
        <v>43830</v>
      </c>
      <c r="H395" s="31" t="s">
        <v>530</v>
      </c>
      <c r="I395" s="27" t="s">
        <v>1127</v>
      </c>
      <c r="J395" s="27" t="s">
        <v>525</v>
      </c>
      <c r="K395" s="27" t="s">
        <v>525</v>
      </c>
      <c r="L395" s="31" t="s">
        <v>1127</v>
      </c>
      <c r="M395" s="27" t="s">
        <v>35</v>
      </c>
      <c r="N395" s="27" t="s">
        <v>1129</v>
      </c>
      <c r="O395" s="27" t="s">
        <v>528</v>
      </c>
    </row>
    <row r="396" spans="1:15">
      <c r="A396" s="25">
        <v>21669</v>
      </c>
      <c r="B396" s="34" t="s">
        <v>274</v>
      </c>
      <c r="C396" s="31" t="s">
        <v>521</v>
      </c>
      <c r="D396" s="31" t="s">
        <v>1053</v>
      </c>
      <c r="E396" s="28">
        <v>43055</v>
      </c>
      <c r="F396" s="28">
        <v>43466</v>
      </c>
      <c r="G396" s="28">
        <v>43830</v>
      </c>
      <c r="H396" s="31" t="s">
        <v>530</v>
      </c>
      <c r="I396" s="27" t="s">
        <v>1127</v>
      </c>
      <c r="J396" s="27" t="s">
        <v>525</v>
      </c>
      <c r="K396" s="27" t="s">
        <v>525</v>
      </c>
      <c r="L396" s="31" t="s">
        <v>1127</v>
      </c>
      <c r="M396" s="27" t="s">
        <v>35</v>
      </c>
      <c r="N396" s="27" t="s">
        <v>1129</v>
      </c>
      <c r="O396" s="27" t="s">
        <v>528</v>
      </c>
    </row>
    <row r="397" spans="1:15">
      <c r="A397" s="25">
        <v>21684</v>
      </c>
      <c r="B397" s="34" t="s">
        <v>272</v>
      </c>
      <c r="C397" s="31" t="s">
        <v>521</v>
      </c>
      <c r="D397" s="31" t="s">
        <v>1053</v>
      </c>
      <c r="E397" s="28">
        <v>43055</v>
      </c>
      <c r="F397" s="28">
        <v>43466</v>
      </c>
      <c r="G397" s="28">
        <v>43830</v>
      </c>
      <c r="H397" s="31" t="s">
        <v>530</v>
      </c>
      <c r="I397" s="27" t="s">
        <v>1127</v>
      </c>
      <c r="J397" s="27" t="s">
        <v>525</v>
      </c>
      <c r="K397" s="27" t="s">
        <v>525</v>
      </c>
      <c r="L397" s="31" t="s">
        <v>1127</v>
      </c>
      <c r="M397" s="27" t="s">
        <v>35</v>
      </c>
      <c r="N397" s="27" t="s">
        <v>1129</v>
      </c>
      <c r="O397" s="27" t="s">
        <v>528</v>
      </c>
    </row>
    <row r="398" spans="1:15">
      <c r="A398" s="78">
        <v>21693</v>
      </c>
      <c r="B398" s="79" t="s">
        <v>271</v>
      </c>
      <c r="C398" s="31" t="s">
        <v>521</v>
      </c>
      <c r="D398" s="80" t="s">
        <v>1169</v>
      </c>
      <c r="E398" s="81">
        <v>43073</v>
      </c>
      <c r="F398" s="28">
        <v>43466</v>
      </c>
      <c r="G398" s="28">
        <v>43830</v>
      </c>
      <c r="H398" s="31" t="s">
        <v>530</v>
      </c>
      <c r="I398" s="27" t="s">
        <v>1127</v>
      </c>
      <c r="J398" s="27" t="s">
        <v>525</v>
      </c>
      <c r="K398" s="27" t="s">
        <v>525</v>
      </c>
      <c r="L398" s="31" t="s">
        <v>1127</v>
      </c>
      <c r="M398" s="27" t="s">
        <v>35</v>
      </c>
      <c r="N398" s="27" t="s">
        <v>1129</v>
      </c>
      <c r="O398" s="27" t="s">
        <v>528</v>
      </c>
    </row>
    <row r="399" spans="1:15">
      <c r="A399" s="78">
        <v>21928</v>
      </c>
      <c r="B399" s="79" t="s">
        <v>1170</v>
      </c>
      <c r="C399" s="31" t="s">
        <v>521</v>
      </c>
      <c r="D399" s="80" t="s">
        <v>1061</v>
      </c>
      <c r="E399" s="81">
        <v>43108</v>
      </c>
      <c r="F399" s="28">
        <v>43139</v>
      </c>
      <c r="G399" s="28">
        <v>43496</v>
      </c>
      <c r="H399" s="31" t="s">
        <v>530</v>
      </c>
      <c r="I399" s="27" t="s">
        <v>1127</v>
      </c>
      <c r="J399" s="27" t="s">
        <v>525</v>
      </c>
      <c r="K399" s="27" t="s">
        <v>525</v>
      </c>
      <c r="L399" s="31" t="s">
        <v>1127</v>
      </c>
      <c r="M399" s="27" t="s">
        <v>35</v>
      </c>
      <c r="N399" s="27" t="s">
        <v>1129</v>
      </c>
      <c r="O399" s="27" t="s">
        <v>528</v>
      </c>
    </row>
    <row r="400" spans="1:15">
      <c r="A400" s="25">
        <v>21982</v>
      </c>
      <c r="B400" s="26" t="s">
        <v>258</v>
      </c>
      <c r="C400" s="27" t="s">
        <v>521</v>
      </c>
      <c r="D400" s="27" t="s">
        <v>1171</v>
      </c>
      <c r="E400" s="28">
        <v>43139</v>
      </c>
      <c r="F400" s="28">
        <v>43167</v>
      </c>
      <c r="G400" s="28">
        <v>43524</v>
      </c>
      <c r="H400" s="27" t="s">
        <v>530</v>
      </c>
      <c r="I400" s="27" t="s">
        <v>1127</v>
      </c>
      <c r="J400" s="27" t="s">
        <v>525</v>
      </c>
      <c r="K400" s="27" t="s">
        <v>525</v>
      </c>
      <c r="L400" s="31" t="s">
        <v>1127</v>
      </c>
      <c r="M400" s="27" t="s">
        <v>35</v>
      </c>
      <c r="N400" s="27" t="s">
        <v>1129</v>
      </c>
      <c r="O400" s="27" t="s">
        <v>528</v>
      </c>
    </row>
    <row r="401" spans="1:15">
      <c r="A401" s="25">
        <v>21984</v>
      </c>
      <c r="B401" s="26" t="s">
        <v>1172</v>
      </c>
      <c r="C401" s="27" t="s">
        <v>521</v>
      </c>
      <c r="D401" s="27" t="s">
        <v>1171</v>
      </c>
      <c r="E401" s="28">
        <v>43139</v>
      </c>
      <c r="F401" s="28">
        <v>43167</v>
      </c>
      <c r="G401" s="28">
        <v>43524</v>
      </c>
      <c r="H401" s="27" t="s">
        <v>530</v>
      </c>
      <c r="I401" s="27" t="s">
        <v>1127</v>
      </c>
      <c r="J401" s="27" t="s">
        <v>525</v>
      </c>
      <c r="K401" s="27" t="s">
        <v>525</v>
      </c>
      <c r="L401" s="31" t="s">
        <v>1127</v>
      </c>
      <c r="M401" s="27" t="s">
        <v>35</v>
      </c>
      <c r="N401" s="27" t="s">
        <v>1129</v>
      </c>
      <c r="O401" s="27" t="s">
        <v>528</v>
      </c>
    </row>
    <row r="402" spans="1:15">
      <c r="A402" s="25">
        <v>21997</v>
      </c>
      <c r="B402" s="26" t="s">
        <v>1173</v>
      </c>
      <c r="C402" s="27" t="s">
        <v>521</v>
      </c>
      <c r="D402" s="27" t="s">
        <v>1171</v>
      </c>
      <c r="E402" s="28">
        <v>43139</v>
      </c>
      <c r="F402" s="28">
        <v>43167</v>
      </c>
      <c r="G402" s="28">
        <v>43524</v>
      </c>
      <c r="H402" s="27" t="s">
        <v>530</v>
      </c>
      <c r="I402" s="27" t="s">
        <v>1127</v>
      </c>
      <c r="J402" s="27" t="s">
        <v>525</v>
      </c>
      <c r="K402" s="27" t="s">
        <v>525</v>
      </c>
      <c r="L402" s="31" t="s">
        <v>1127</v>
      </c>
      <c r="M402" s="27" t="s">
        <v>35</v>
      </c>
      <c r="N402" s="27" t="s">
        <v>1129</v>
      </c>
      <c r="O402" s="27" t="s">
        <v>528</v>
      </c>
    </row>
    <row r="403" spans="1:15">
      <c r="A403" s="25">
        <v>22002</v>
      </c>
      <c r="B403" s="26" t="s">
        <v>1174</v>
      </c>
      <c r="C403" s="27" t="s">
        <v>521</v>
      </c>
      <c r="D403" s="27" t="s">
        <v>1171</v>
      </c>
      <c r="E403" s="28">
        <v>43139</v>
      </c>
      <c r="F403" s="28">
        <v>43167</v>
      </c>
      <c r="G403" s="28">
        <v>43524</v>
      </c>
      <c r="H403" s="27" t="s">
        <v>530</v>
      </c>
      <c r="I403" s="27" t="s">
        <v>1127</v>
      </c>
      <c r="J403" s="27" t="s">
        <v>525</v>
      </c>
      <c r="K403" s="27" t="s">
        <v>525</v>
      </c>
      <c r="L403" s="31" t="s">
        <v>1127</v>
      </c>
      <c r="M403" s="27" t="s">
        <v>35</v>
      </c>
      <c r="N403" s="27" t="s">
        <v>1129</v>
      </c>
      <c r="O403" s="27" t="s">
        <v>528</v>
      </c>
    </row>
    <row r="404" spans="1:15">
      <c r="A404" s="25">
        <v>22003</v>
      </c>
      <c r="B404" s="26" t="s">
        <v>1175</v>
      </c>
      <c r="C404" s="27" t="s">
        <v>521</v>
      </c>
      <c r="D404" s="27" t="s">
        <v>1171</v>
      </c>
      <c r="E404" s="28">
        <v>43139</v>
      </c>
      <c r="F404" s="28">
        <v>43167</v>
      </c>
      <c r="G404" s="28">
        <v>43524</v>
      </c>
      <c r="H404" s="27" t="s">
        <v>530</v>
      </c>
      <c r="I404" s="27" t="s">
        <v>1127</v>
      </c>
      <c r="J404" s="27" t="s">
        <v>525</v>
      </c>
      <c r="K404" s="27" t="s">
        <v>525</v>
      </c>
      <c r="L404" s="31" t="s">
        <v>1127</v>
      </c>
      <c r="M404" s="27" t="s">
        <v>35</v>
      </c>
      <c r="N404" s="27" t="s">
        <v>1129</v>
      </c>
      <c r="O404" s="27" t="s">
        <v>528</v>
      </c>
    </row>
    <row r="405" spans="1:15">
      <c r="A405" s="25">
        <v>5549</v>
      </c>
      <c r="B405" s="26" t="s">
        <v>184</v>
      </c>
      <c r="C405" s="27" t="s">
        <v>521</v>
      </c>
      <c r="D405" s="27" t="s">
        <v>1064</v>
      </c>
      <c r="E405" s="28">
        <v>39052</v>
      </c>
      <c r="F405" s="28" t="s">
        <v>35</v>
      </c>
      <c r="G405" s="28" t="s">
        <v>35</v>
      </c>
      <c r="H405" s="27" t="s">
        <v>530</v>
      </c>
      <c r="I405" s="27" t="s">
        <v>1127</v>
      </c>
      <c r="J405" s="27" t="s">
        <v>525</v>
      </c>
      <c r="K405" s="27" t="s">
        <v>525</v>
      </c>
      <c r="L405" s="27" t="s">
        <v>1127</v>
      </c>
      <c r="M405" s="27" t="s">
        <v>1128</v>
      </c>
      <c r="N405" s="27" t="s">
        <v>1131</v>
      </c>
      <c r="O405" s="27" t="s">
        <v>590</v>
      </c>
    </row>
    <row r="406" spans="1:15">
      <c r="A406" s="25">
        <v>5748</v>
      </c>
      <c r="B406" s="26" t="s">
        <v>1176</v>
      </c>
      <c r="C406" s="27" t="s">
        <v>521</v>
      </c>
      <c r="D406" s="27" t="s">
        <v>790</v>
      </c>
      <c r="E406" s="28">
        <v>39098</v>
      </c>
      <c r="F406" s="28" t="s">
        <v>35</v>
      </c>
      <c r="G406" s="28" t="s">
        <v>35</v>
      </c>
      <c r="H406" s="27" t="s">
        <v>530</v>
      </c>
      <c r="I406" s="27" t="s">
        <v>1127</v>
      </c>
      <c r="J406" s="27" t="s">
        <v>525</v>
      </c>
      <c r="K406" s="27" t="s">
        <v>525</v>
      </c>
      <c r="L406" s="27" t="s">
        <v>1127</v>
      </c>
      <c r="M406" s="27" t="s">
        <v>1133</v>
      </c>
      <c r="N406" s="31" t="s">
        <v>648</v>
      </c>
      <c r="O406" s="27" t="s">
        <v>590</v>
      </c>
    </row>
    <row r="407" spans="1:15">
      <c r="A407" s="25">
        <v>5905</v>
      </c>
      <c r="B407" s="26" t="s">
        <v>165</v>
      </c>
      <c r="C407" s="27" t="s">
        <v>521</v>
      </c>
      <c r="D407" s="27" t="s">
        <v>713</v>
      </c>
      <c r="E407" s="28">
        <v>39129</v>
      </c>
      <c r="F407" s="28" t="s">
        <v>35</v>
      </c>
      <c r="G407" s="28" t="s">
        <v>35</v>
      </c>
      <c r="H407" s="27" t="s">
        <v>530</v>
      </c>
      <c r="I407" s="27" t="s">
        <v>1127</v>
      </c>
      <c r="J407" s="27" t="s">
        <v>525</v>
      </c>
      <c r="K407" s="27" t="s">
        <v>525</v>
      </c>
      <c r="L407" s="27" t="s">
        <v>1127</v>
      </c>
      <c r="M407" s="27" t="s">
        <v>35</v>
      </c>
      <c r="N407" s="27" t="s">
        <v>1131</v>
      </c>
      <c r="O407" s="27" t="s">
        <v>590</v>
      </c>
    </row>
    <row r="408" spans="1:15">
      <c r="A408" s="25">
        <v>6029</v>
      </c>
      <c r="B408" s="26" t="s">
        <v>160</v>
      </c>
      <c r="C408" s="27" t="s">
        <v>521</v>
      </c>
      <c r="D408" s="27" t="s">
        <v>591</v>
      </c>
      <c r="E408" s="28">
        <v>39142</v>
      </c>
      <c r="F408" s="28" t="s">
        <v>35</v>
      </c>
      <c r="G408" s="28" t="s">
        <v>35</v>
      </c>
      <c r="H408" s="27" t="s">
        <v>530</v>
      </c>
      <c r="I408" s="27" t="s">
        <v>1127</v>
      </c>
      <c r="J408" s="27" t="s">
        <v>525</v>
      </c>
      <c r="K408" s="27" t="s">
        <v>525</v>
      </c>
      <c r="L408" s="27" t="s">
        <v>1127</v>
      </c>
      <c r="M408" s="27" t="s">
        <v>1135</v>
      </c>
      <c r="N408" s="27" t="s">
        <v>1129</v>
      </c>
      <c r="O408" s="27" t="s">
        <v>590</v>
      </c>
    </row>
    <row r="409" spans="1:15">
      <c r="A409" s="25">
        <v>6032</v>
      </c>
      <c r="B409" s="26" t="s">
        <v>1177</v>
      </c>
      <c r="C409" s="27" t="s">
        <v>521</v>
      </c>
      <c r="D409" s="27" t="s">
        <v>591</v>
      </c>
      <c r="E409" s="28">
        <v>39142</v>
      </c>
      <c r="F409" s="28" t="s">
        <v>35</v>
      </c>
      <c r="G409" s="28" t="s">
        <v>35</v>
      </c>
      <c r="H409" s="27" t="s">
        <v>530</v>
      </c>
      <c r="I409" s="27" t="s">
        <v>1127</v>
      </c>
      <c r="J409" s="27" t="s">
        <v>525</v>
      </c>
      <c r="K409" s="27" t="s">
        <v>525</v>
      </c>
      <c r="L409" s="27" t="s">
        <v>1127</v>
      </c>
      <c r="M409" s="27" t="s">
        <v>1178</v>
      </c>
      <c r="N409" s="27" t="s">
        <v>1129</v>
      </c>
      <c r="O409" s="27" t="s">
        <v>590</v>
      </c>
    </row>
    <row r="410" spans="1:15">
      <c r="A410" s="25">
        <v>6181</v>
      </c>
      <c r="B410" s="26" t="s">
        <v>1179</v>
      </c>
      <c r="C410" s="27" t="s">
        <v>521</v>
      </c>
      <c r="D410" s="27" t="s">
        <v>1065</v>
      </c>
      <c r="E410" s="28">
        <v>39173</v>
      </c>
      <c r="F410" s="28" t="s">
        <v>35</v>
      </c>
      <c r="G410" s="28" t="s">
        <v>35</v>
      </c>
      <c r="H410" s="27" t="s">
        <v>530</v>
      </c>
      <c r="I410" s="27" t="s">
        <v>1127</v>
      </c>
      <c r="J410" s="27" t="s">
        <v>525</v>
      </c>
      <c r="K410" s="27" t="s">
        <v>525</v>
      </c>
      <c r="L410" s="27" t="s">
        <v>1127</v>
      </c>
      <c r="M410" s="27" t="s">
        <v>1128</v>
      </c>
      <c r="N410" s="27" t="s">
        <v>1129</v>
      </c>
      <c r="O410" s="27" t="s">
        <v>590</v>
      </c>
    </row>
    <row r="411" spans="1:15">
      <c r="A411" s="25">
        <v>6368</v>
      </c>
      <c r="B411" s="26" t="s">
        <v>1180</v>
      </c>
      <c r="C411" s="27" t="s">
        <v>521</v>
      </c>
      <c r="D411" s="27" t="s">
        <v>1181</v>
      </c>
      <c r="E411" s="28">
        <v>39279</v>
      </c>
      <c r="F411" s="28" t="s">
        <v>35</v>
      </c>
      <c r="G411" s="28" t="s">
        <v>35</v>
      </c>
      <c r="H411" s="27" t="s">
        <v>530</v>
      </c>
      <c r="I411" s="27" t="s">
        <v>1127</v>
      </c>
      <c r="J411" s="27" t="s">
        <v>525</v>
      </c>
      <c r="K411" s="27" t="s">
        <v>525</v>
      </c>
      <c r="L411" s="31" t="s">
        <v>1127</v>
      </c>
      <c r="M411" s="27" t="s">
        <v>573</v>
      </c>
      <c r="N411" s="31" t="s">
        <v>648</v>
      </c>
      <c r="O411" s="27" t="s">
        <v>590</v>
      </c>
    </row>
    <row r="412" spans="1:15">
      <c r="A412" s="78">
        <v>19438</v>
      </c>
      <c r="B412" s="79" t="s">
        <v>329</v>
      </c>
      <c r="C412" s="31" t="s">
        <v>521</v>
      </c>
      <c r="D412" s="80" t="s">
        <v>1182</v>
      </c>
      <c r="E412" s="81">
        <v>42303</v>
      </c>
      <c r="F412" s="28" t="s">
        <v>35</v>
      </c>
      <c r="G412" s="28" t="s">
        <v>35</v>
      </c>
      <c r="H412" s="31" t="s">
        <v>530</v>
      </c>
      <c r="I412" s="27" t="s">
        <v>1127</v>
      </c>
      <c r="J412" s="27" t="s">
        <v>525</v>
      </c>
      <c r="K412" s="27" t="s">
        <v>525</v>
      </c>
      <c r="L412" s="31" t="s">
        <v>1127</v>
      </c>
      <c r="M412" s="27" t="s">
        <v>35</v>
      </c>
      <c r="N412" s="27" t="s">
        <v>1129</v>
      </c>
      <c r="O412" s="27" t="s">
        <v>590</v>
      </c>
    </row>
    <row r="413" spans="1:15">
      <c r="A413" s="78">
        <v>19443</v>
      </c>
      <c r="B413" s="79" t="s">
        <v>328</v>
      </c>
      <c r="C413" s="31" t="s">
        <v>521</v>
      </c>
      <c r="D413" s="80" t="s">
        <v>1182</v>
      </c>
      <c r="E413" s="81">
        <v>42303</v>
      </c>
      <c r="F413" s="28" t="s">
        <v>35</v>
      </c>
      <c r="G413" s="28" t="s">
        <v>35</v>
      </c>
      <c r="H413" s="31" t="s">
        <v>530</v>
      </c>
      <c r="I413" s="27" t="s">
        <v>1127</v>
      </c>
      <c r="J413" s="27" t="s">
        <v>525</v>
      </c>
      <c r="K413" s="27" t="s">
        <v>525</v>
      </c>
      <c r="L413" s="31" t="s">
        <v>1127</v>
      </c>
      <c r="M413" s="27" t="s">
        <v>35</v>
      </c>
      <c r="N413" s="27" t="s">
        <v>1129</v>
      </c>
      <c r="O413" s="27" t="s">
        <v>590</v>
      </c>
    </row>
    <row r="414" spans="1:15">
      <c r="A414" s="78">
        <v>21005</v>
      </c>
      <c r="B414" s="79" t="s">
        <v>1183</v>
      </c>
      <c r="C414" s="31" t="s">
        <v>521</v>
      </c>
      <c r="D414" s="80" t="s">
        <v>1184</v>
      </c>
      <c r="E414" s="81">
        <v>42674</v>
      </c>
      <c r="F414" s="28">
        <v>43160</v>
      </c>
      <c r="G414" s="28">
        <v>43524</v>
      </c>
      <c r="H414" s="31" t="s">
        <v>530</v>
      </c>
      <c r="I414" s="27" t="s">
        <v>1127</v>
      </c>
      <c r="J414" s="27" t="s">
        <v>525</v>
      </c>
      <c r="K414" s="27" t="s">
        <v>525</v>
      </c>
      <c r="L414" s="31" t="s">
        <v>1127</v>
      </c>
      <c r="M414" s="27" t="s">
        <v>35</v>
      </c>
      <c r="N414" s="27" t="s">
        <v>1129</v>
      </c>
      <c r="O414" s="27" t="s">
        <v>590</v>
      </c>
    </row>
    <row r="415" spans="1:15">
      <c r="A415" s="25" t="s">
        <v>1185</v>
      </c>
      <c r="B415" s="26" t="s">
        <v>1186</v>
      </c>
      <c r="C415" s="27" t="s">
        <v>521</v>
      </c>
      <c r="D415" s="27" t="s">
        <v>1187</v>
      </c>
      <c r="E415" s="28">
        <v>41445</v>
      </c>
      <c r="F415" s="28" t="s">
        <v>35</v>
      </c>
      <c r="G415" s="28" t="s">
        <v>35</v>
      </c>
      <c r="H415" s="27" t="s">
        <v>530</v>
      </c>
      <c r="I415" s="27" t="s">
        <v>1127</v>
      </c>
      <c r="J415" s="27" t="s">
        <v>525</v>
      </c>
      <c r="K415" s="27" t="s">
        <v>525</v>
      </c>
      <c r="L415" s="31" t="s">
        <v>1127</v>
      </c>
      <c r="M415" s="27" t="s">
        <v>35</v>
      </c>
      <c r="N415" s="27" t="s">
        <v>1129</v>
      </c>
      <c r="O415" s="27" t="s">
        <v>590</v>
      </c>
    </row>
    <row r="416" spans="1:15">
      <c r="A416" s="25">
        <v>22248</v>
      </c>
      <c r="B416" s="34" t="s">
        <v>1188</v>
      </c>
      <c r="C416" s="31" t="s">
        <v>521</v>
      </c>
      <c r="D416" s="31" t="s">
        <v>1189</v>
      </c>
      <c r="E416" s="28">
        <v>43171</v>
      </c>
      <c r="F416" s="28">
        <v>43202</v>
      </c>
      <c r="G416" s="28">
        <v>43555</v>
      </c>
      <c r="H416" s="27" t="s">
        <v>530</v>
      </c>
      <c r="I416" s="27" t="s">
        <v>1127</v>
      </c>
      <c r="J416" s="27" t="s">
        <v>525</v>
      </c>
      <c r="K416" s="27" t="s">
        <v>525</v>
      </c>
      <c r="L416" s="31" t="s">
        <v>1127</v>
      </c>
      <c r="M416" s="27" t="s">
        <v>35</v>
      </c>
      <c r="N416" s="27" t="s">
        <v>1129</v>
      </c>
      <c r="O416" s="27" t="s">
        <v>528</v>
      </c>
    </row>
    <row r="417" spans="1:15">
      <c r="A417" s="25">
        <v>22253</v>
      </c>
      <c r="B417" s="34" t="s">
        <v>1190</v>
      </c>
      <c r="C417" s="31" t="s">
        <v>521</v>
      </c>
      <c r="D417" s="31" t="s">
        <v>1189</v>
      </c>
      <c r="E417" s="28">
        <v>43171</v>
      </c>
      <c r="F417" s="28">
        <v>43202</v>
      </c>
      <c r="G417" s="28">
        <v>43555</v>
      </c>
      <c r="H417" s="27" t="s">
        <v>530</v>
      </c>
      <c r="I417" s="27" t="s">
        <v>1127</v>
      </c>
      <c r="J417" s="27" t="s">
        <v>525</v>
      </c>
      <c r="K417" s="27" t="s">
        <v>525</v>
      </c>
      <c r="L417" s="31" t="s">
        <v>1127</v>
      </c>
      <c r="M417" s="27" t="s">
        <v>35</v>
      </c>
      <c r="N417" s="27" t="s">
        <v>1129</v>
      </c>
      <c r="O417" s="27" t="s">
        <v>528</v>
      </c>
    </row>
    <row r="418" spans="1:15">
      <c r="A418" s="25">
        <v>22276</v>
      </c>
      <c r="B418" s="34" t="s">
        <v>248</v>
      </c>
      <c r="C418" s="31" t="s">
        <v>521</v>
      </c>
      <c r="D418" s="31" t="s">
        <v>1191</v>
      </c>
      <c r="E418" s="28">
        <v>43192</v>
      </c>
      <c r="F418" s="28">
        <v>43222</v>
      </c>
      <c r="G418" s="28">
        <v>43585</v>
      </c>
      <c r="H418" s="27" t="s">
        <v>530</v>
      </c>
      <c r="I418" s="27" t="s">
        <v>1127</v>
      </c>
      <c r="J418" s="27" t="s">
        <v>525</v>
      </c>
      <c r="K418" s="27" t="s">
        <v>525</v>
      </c>
      <c r="L418" s="31" t="s">
        <v>1127</v>
      </c>
      <c r="M418" s="27" t="s">
        <v>35</v>
      </c>
      <c r="N418" s="27" t="s">
        <v>1129</v>
      </c>
      <c r="O418" s="27" t="s">
        <v>528</v>
      </c>
    </row>
    <row r="419" spans="1:15">
      <c r="A419" s="25">
        <v>22300</v>
      </c>
      <c r="B419" s="34" t="s">
        <v>1192</v>
      </c>
      <c r="C419" s="31" t="s">
        <v>521</v>
      </c>
      <c r="D419" s="31" t="s">
        <v>1191</v>
      </c>
      <c r="E419" s="28">
        <v>43192</v>
      </c>
      <c r="F419" s="28">
        <v>43222</v>
      </c>
      <c r="G419" s="28">
        <v>43585</v>
      </c>
      <c r="H419" s="27" t="s">
        <v>530</v>
      </c>
      <c r="I419" s="27" t="s">
        <v>1127</v>
      </c>
      <c r="J419" s="27" t="s">
        <v>525</v>
      </c>
      <c r="K419" s="27" t="s">
        <v>525</v>
      </c>
      <c r="L419" s="31" t="s">
        <v>1127</v>
      </c>
      <c r="M419" s="27" t="s">
        <v>35</v>
      </c>
      <c r="N419" s="27" t="s">
        <v>1129</v>
      </c>
      <c r="O419" s="27" t="s">
        <v>528</v>
      </c>
    </row>
    <row r="420" spans="1:15">
      <c r="A420" s="25">
        <v>22320</v>
      </c>
      <c r="B420" s="34" t="s">
        <v>1193</v>
      </c>
      <c r="C420" s="31" t="s">
        <v>521</v>
      </c>
      <c r="D420" s="31" t="s">
        <v>1191</v>
      </c>
      <c r="E420" s="28">
        <v>43192</v>
      </c>
      <c r="F420" s="28">
        <v>43222</v>
      </c>
      <c r="G420" s="28">
        <v>43585</v>
      </c>
      <c r="H420" s="27" t="s">
        <v>530</v>
      </c>
      <c r="I420" s="27" t="s">
        <v>1127</v>
      </c>
      <c r="J420" s="27" t="s">
        <v>525</v>
      </c>
      <c r="K420" s="27" t="s">
        <v>525</v>
      </c>
      <c r="L420" s="31" t="s">
        <v>1127</v>
      </c>
      <c r="M420" s="27" t="s">
        <v>35</v>
      </c>
      <c r="N420" s="27" t="s">
        <v>1129</v>
      </c>
      <c r="O420" s="27" t="s">
        <v>528</v>
      </c>
    </row>
    <row r="421" spans="1:15">
      <c r="A421" s="25">
        <v>22703</v>
      </c>
      <c r="B421" s="34" t="s">
        <v>1194</v>
      </c>
      <c r="C421" s="31" t="s">
        <v>521</v>
      </c>
      <c r="D421" s="31" t="s">
        <v>1195</v>
      </c>
      <c r="E421" s="28">
        <v>43244</v>
      </c>
      <c r="F421" s="28">
        <v>43275</v>
      </c>
      <c r="G421" s="28">
        <v>43646</v>
      </c>
      <c r="H421" s="27" t="s">
        <v>530</v>
      </c>
      <c r="I421" s="27" t="s">
        <v>1127</v>
      </c>
      <c r="J421" s="27" t="s">
        <v>525</v>
      </c>
      <c r="K421" s="27" t="s">
        <v>525</v>
      </c>
      <c r="L421" s="31" t="s">
        <v>1127</v>
      </c>
      <c r="M421" s="27" t="s">
        <v>35</v>
      </c>
      <c r="N421" s="27" t="s">
        <v>1129</v>
      </c>
      <c r="O421" s="27" t="s">
        <v>528</v>
      </c>
    </row>
    <row r="422" spans="1:15">
      <c r="A422" s="25">
        <v>22364</v>
      </c>
      <c r="B422" s="34" t="s">
        <v>1196</v>
      </c>
      <c r="C422" s="31" t="s">
        <v>521</v>
      </c>
      <c r="D422" s="31" t="s">
        <v>1073</v>
      </c>
      <c r="E422" s="28">
        <v>43200</v>
      </c>
      <c r="F422" s="28">
        <v>43230</v>
      </c>
      <c r="G422" s="28">
        <v>43585</v>
      </c>
      <c r="H422" s="27" t="s">
        <v>530</v>
      </c>
      <c r="I422" s="27" t="s">
        <v>1127</v>
      </c>
      <c r="J422" s="27" t="s">
        <v>525</v>
      </c>
      <c r="K422" s="27" t="s">
        <v>525</v>
      </c>
      <c r="L422" s="31" t="s">
        <v>1127</v>
      </c>
      <c r="M422" s="27" t="s">
        <v>35</v>
      </c>
      <c r="N422" s="27" t="s">
        <v>1129</v>
      </c>
      <c r="O422" s="27" t="s">
        <v>528</v>
      </c>
    </row>
    <row r="423" spans="1:15">
      <c r="A423" s="25">
        <v>22713</v>
      </c>
      <c r="B423" s="34" t="s">
        <v>1197</v>
      </c>
      <c r="C423" s="31" t="s">
        <v>521</v>
      </c>
      <c r="D423" s="31" t="s">
        <v>1195</v>
      </c>
      <c r="E423" s="28">
        <v>43244</v>
      </c>
      <c r="F423" s="28">
        <v>43275</v>
      </c>
      <c r="G423" s="28">
        <v>43646</v>
      </c>
      <c r="H423" s="27" t="s">
        <v>530</v>
      </c>
      <c r="I423" s="27" t="s">
        <v>1127</v>
      </c>
      <c r="J423" s="27" t="s">
        <v>525</v>
      </c>
      <c r="K423" s="27" t="s">
        <v>525</v>
      </c>
      <c r="L423" s="31" t="s">
        <v>1127</v>
      </c>
      <c r="M423" s="27" t="s">
        <v>35</v>
      </c>
      <c r="N423" s="27" t="s">
        <v>1129</v>
      </c>
      <c r="O423" s="27" t="s">
        <v>528</v>
      </c>
    </row>
    <row r="424" spans="1:15">
      <c r="A424" s="25">
        <v>22672</v>
      </c>
      <c r="B424" s="34" t="s">
        <v>1198</v>
      </c>
      <c r="C424" s="31" t="s">
        <v>521</v>
      </c>
      <c r="D424" s="31" t="s">
        <v>1199</v>
      </c>
      <c r="E424" s="28">
        <v>43241</v>
      </c>
      <c r="F424" s="28">
        <v>43272</v>
      </c>
      <c r="G424" s="28">
        <v>43646</v>
      </c>
      <c r="H424" s="27" t="s">
        <v>530</v>
      </c>
      <c r="I424" s="27" t="s">
        <v>1127</v>
      </c>
      <c r="J424" s="27" t="s">
        <v>525</v>
      </c>
      <c r="K424" s="27" t="s">
        <v>525</v>
      </c>
      <c r="L424" s="31" t="s">
        <v>1127</v>
      </c>
      <c r="M424" s="27" t="s">
        <v>35</v>
      </c>
      <c r="N424" s="27" t="s">
        <v>1129</v>
      </c>
      <c r="O424" s="27" t="s">
        <v>528</v>
      </c>
    </row>
    <row r="425" spans="1:15">
      <c r="A425" s="25">
        <v>22193</v>
      </c>
      <c r="B425" s="34" t="s">
        <v>1200</v>
      </c>
      <c r="C425" s="31" t="s">
        <v>521</v>
      </c>
      <c r="D425" s="31" t="s">
        <v>1201</v>
      </c>
      <c r="E425" s="28">
        <v>43158</v>
      </c>
      <c r="F425" s="28">
        <v>43186</v>
      </c>
      <c r="G425" s="28">
        <v>43555</v>
      </c>
      <c r="H425" s="27" t="s">
        <v>530</v>
      </c>
      <c r="I425" s="27" t="s">
        <v>1127</v>
      </c>
      <c r="J425" s="27" t="s">
        <v>525</v>
      </c>
      <c r="K425" s="27" t="s">
        <v>525</v>
      </c>
      <c r="L425" s="31" t="s">
        <v>1127</v>
      </c>
      <c r="M425" s="27" t="s">
        <v>35</v>
      </c>
      <c r="N425" s="27" t="s">
        <v>1129</v>
      </c>
      <c r="O425" s="27" t="s">
        <v>528</v>
      </c>
    </row>
    <row r="426" spans="1:15">
      <c r="A426" s="25">
        <v>199</v>
      </c>
      <c r="B426" s="26" t="s">
        <v>323</v>
      </c>
      <c r="C426" s="27" t="s">
        <v>521</v>
      </c>
      <c r="D426" s="27" t="s">
        <v>1202</v>
      </c>
      <c r="E426" s="28">
        <v>37679</v>
      </c>
      <c r="F426" s="28" t="s">
        <v>35</v>
      </c>
      <c r="G426" s="28" t="s">
        <v>35</v>
      </c>
      <c r="H426" s="27" t="s">
        <v>543</v>
      </c>
      <c r="I426" s="27" t="s">
        <v>543</v>
      </c>
      <c r="J426" s="27" t="s">
        <v>525</v>
      </c>
      <c r="K426" s="27" t="s">
        <v>525</v>
      </c>
      <c r="L426" s="27" t="s">
        <v>1203</v>
      </c>
      <c r="M426" s="29" t="s">
        <v>1204</v>
      </c>
      <c r="N426" s="27" t="s">
        <v>648</v>
      </c>
      <c r="O426" s="27" t="s">
        <v>528</v>
      </c>
    </row>
    <row r="427" spans="1:15">
      <c r="A427" s="25">
        <v>1203</v>
      </c>
      <c r="B427" s="26" t="s">
        <v>424</v>
      </c>
      <c r="C427" s="27" t="s">
        <v>521</v>
      </c>
      <c r="D427" s="27" t="s">
        <v>1205</v>
      </c>
      <c r="E427" s="28">
        <v>37907</v>
      </c>
      <c r="F427" s="28" t="s">
        <v>35</v>
      </c>
      <c r="G427" s="28" t="s">
        <v>35</v>
      </c>
      <c r="H427" s="27" t="s">
        <v>543</v>
      </c>
      <c r="I427" s="27" t="s">
        <v>543</v>
      </c>
      <c r="J427" s="27" t="s">
        <v>525</v>
      </c>
      <c r="K427" s="27" t="s">
        <v>525</v>
      </c>
      <c r="L427" s="27" t="s">
        <v>1203</v>
      </c>
      <c r="M427" s="29" t="s">
        <v>1206</v>
      </c>
      <c r="N427" s="27" t="s">
        <v>1207</v>
      </c>
      <c r="O427" s="27" t="s">
        <v>528</v>
      </c>
    </row>
    <row r="428" spans="1:15">
      <c r="A428" s="25">
        <v>5220</v>
      </c>
      <c r="B428" s="26" t="s">
        <v>197</v>
      </c>
      <c r="C428" s="27" t="s">
        <v>521</v>
      </c>
      <c r="D428" s="27" t="s">
        <v>1208</v>
      </c>
      <c r="E428" s="28">
        <v>38961</v>
      </c>
      <c r="F428" s="28" t="s">
        <v>35</v>
      </c>
      <c r="G428" s="28" t="s">
        <v>35</v>
      </c>
      <c r="H428" s="27" t="s">
        <v>543</v>
      </c>
      <c r="I428" s="27" t="s">
        <v>543</v>
      </c>
      <c r="J428" s="31" t="s">
        <v>525</v>
      </c>
      <c r="K428" s="31" t="s">
        <v>525</v>
      </c>
      <c r="L428" s="27" t="s">
        <v>1203</v>
      </c>
      <c r="M428" s="29" t="s">
        <v>1209</v>
      </c>
      <c r="N428" s="27" t="s">
        <v>1210</v>
      </c>
      <c r="O428" s="27" t="s">
        <v>528</v>
      </c>
    </row>
    <row r="429" spans="1:15">
      <c r="A429" s="25">
        <v>14093</v>
      </c>
      <c r="B429" s="32" t="s">
        <v>373</v>
      </c>
      <c r="C429" s="27" t="s">
        <v>521</v>
      </c>
      <c r="D429" s="27" t="s">
        <v>619</v>
      </c>
      <c r="E429" s="28">
        <v>41306</v>
      </c>
      <c r="F429" s="28" t="s">
        <v>35</v>
      </c>
      <c r="G429" s="28" t="s">
        <v>35</v>
      </c>
      <c r="H429" s="31" t="s">
        <v>543</v>
      </c>
      <c r="I429" s="27" t="s">
        <v>543</v>
      </c>
      <c r="J429" s="27" t="s">
        <v>525</v>
      </c>
      <c r="K429" s="27" t="s">
        <v>525</v>
      </c>
      <c r="L429" s="27" t="s">
        <v>1203</v>
      </c>
      <c r="M429" s="29" t="s">
        <v>1211</v>
      </c>
      <c r="N429" s="27" t="s">
        <v>1207</v>
      </c>
      <c r="O429" s="27" t="s">
        <v>528</v>
      </c>
    </row>
    <row r="430" spans="1:15">
      <c r="A430" s="25">
        <v>790</v>
      </c>
      <c r="B430" s="26" t="s">
        <v>132</v>
      </c>
      <c r="C430" s="27" t="s">
        <v>521</v>
      </c>
      <c r="D430" s="27" t="s">
        <v>1212</v>
      </c>
      <c r="E430" s="28">
        <v>37830</v>
      </c>
      <c r="F430" s="28" t="s">
        <v>35</v>
      </c>
      <c r="G430" s="28" t="s">
        <v>35</v>
      </c>
      <c r="H430" s="27" t="s">
        <v>543</v>
      </c>
      <c r="I430" s="27" t="s">
        <v>543</v>
      </c>
      <c r="J430" s="27" t="s">
        <v>525</v>
      </c>
      <c r="K430" s="27" t="s">
        <v>525</v>
      </c>
      <c r="L430" s="27" t="s">
        <v>543</v>
      </c>
      <c r="M430" s="29" t="s">
        <v>1213</v>
      </c>
      <c r="N430" s="27" t="s">
        <v>1214</v>
      </c>
      <c r="O430" s="27" t="s">
        <v>528</v>
      </c>
    </row>
    <row r="431" spans="1:15">
      <c r="A431" s="25">
        <v>4041</v>
      </c>
      <c r="B431" s="26" t="s">
        <v>204</v>
      </c>
      <c r="C431" s="27" t="s">
        <v>521</v>
      </c>
      <c r="D431" s="27" t="s">
        <v>1215</v>
      </c>
      <c r="E431" s="28">
        <v>38722</v>
      </c>
      <c r="F431" s="28" t="s">
        <v>35</v>
      </c>
      <c r="G431" s="28" t="s">
        <v>35</v>
      </c>
      <c r="H431" s="27" t="s">
        <v>543</v>
      </c>
      <c r="I431" s="27" t="s">
        <v>543</v>
      </c>
      <c r="J431" s="27" t="s">
        <v>525</v>
      </c>
      <c r="K431" s="27" t="s">
        <v>525</v>
      </c>
      <c r="L431" s="27" t="s">
        <v>543</v>
      </c>
      <c r="M431" s="29" t="s">
        <v>1216</v>
      </c>
      <c r="N431" s="27" t="s">
        <v>543</v>
      </c>
      <c r="O431" s="27" t="s">
        <v>594</v>
      </c>
    </row>
    <row r="432" spans="1:15">
      <c r="A432" s="25">
        <v>5558</v>
      </c>
      <c r="B432" s="26" t="s">
        <v>181</v>
      </c>
      <c r="C432" s="27" t="s">
        <v>521</v>
      </c>
      <c r="D432" s="27" t="s">
        <v>632</v>
      </c>
      <c r="E432" s="28">
        <v>39052</v>
      </c>
      <c r="F432" s="28" t="s">
        <v>35</v>
      </c>
      <c r="G432" s="28" t="s">
        <v>35</v>
      </c>
      <c r="H432" s="27" t="s">
        <v>543</v>
      </c>
      <c r="I432" s="27" t="s">
        <v>543</v>
      </c>
      <c r="J432" s="27" t="s">
        <v>525</v>
      </c>
      <c r="K432" s="27" t="s">
        <v>525</v>
      </c>
      <c r="L432" s="27" t="s">
        <v>543</v>
      </c>
      <c r="M432" s="29" t="s">
        <v>1216</v>
      </c>
      <c r="N432" s="27" t="s">
        <v>543</v>
      </c>
      <c r="O432" s="27" t="s">
        <v>590</v>
      </c>
    </row>
    <row r="433" spans="1:15">
      <c r="A433" s="25">
        <v>7558</v>
      </c>
      <c r="B433" s="26" t="s">
        <v>136</v>
      </c>
      <c r="C433" s="27" t="s">
        <v>521</v>
      </c>
      <c r="D433" s="27" t="s">
        <v>1217</v>
      </c>
      <c r="E433" s="28">
        <v>39600</v>
      </c>
      <c r="F433" s="28" t="s">
        <v>35</v>
      </c>
      <c r="G433" s="28" t="s">
        <v>35</v>
      </c>
      <c r="H433" s="27" t="s">
        <v>543</v>
      </c>
      <c r="I433" s="27" t="s">
        <v>543</v>
      </c>
      <c r="J433" s="27" t="s">
        <v>525</v>
      </c>
      <c r="K433" s="27" t="s">
        <v>525</v>
      </c>
      <c r="L433" s="27" t="s">
        <v>543</v>
      </c>
      <c r="M433" s="29" t="s">
        <v>1216</v>
      </c>
      <c r="N433" s="27" t="s">
        <v>543</v>
      </c>
      <c r="O433" s="27" t="s">
        <v>594</v>
      </c>
    </row>
    <row r="434" spans="1:15">
      <c r="A434" s="25">
        <v>7788</v>
      </c>
      <c r="B434" s="26" t="s">
        <v>134</v>
      </c>
      <c r="C434" s="27" t="s">
        <v>521</v>
      </c>
      <c r="D434" s="27" t="s">
        <v>1218</v>
      </c>
      <c r="E434" s="28">
        <v>39630</v>
      </c>
      <c r="F434" s="28" t="s">
        <v>35</v>
      </c>
      <c r="G434" s="28" t="s">
        <v>35</v>
      </c>
      <c r="H434" s="27" t="s">
        <v>543</v>
      </c>
      <c r="I434" s="27" t="s">
        <v>543</v>
      </c>
      <c r="J434" s="27" t="s">
        <v>525</v>
      </c>
      <c r="K434" s="27" t="s">
        <v>525</v>
      </c>
      <c r="L434" s="27" t="s">
        <v>543</v>
      </c>
      <c r="M434" s="29" t="s">
        <v>1216</v>
      </c>
      <c r="N434" s="27" t="s">
        <v>543</v>
      </c>
      <c r="O434" s="27" t="s">
        <v>590</v>
      </c>
    </row>
    <row r="435" spans="1:15">
      <c r="A435" s="25">
        <v>8043</v>
      </c>
      <c r="B435" s="26" t="s">
        <v>130</v>
      </c>
      <c r="C435" s="27" t="s">
        <v>521</v>
      </c>
      <c r="D435" s="27" t="s">
        <v>1219</v>
      </c>
      <c r="E435" s="28">
        <v>39661</v>
      </c>
      <c r="F435" s="28" t="s">
        <v>35</v>
      </c>
      <c r="G435" s="28" t="s">
        <v>35</v>
      </c>
      <c r="H435" s="27" t="s">
        <v>543</v>
      </c>
      <c r="I435" s="27" t="s">
        <v>543</v>
      </c>
      <c r="J435" s="27" t="s">
        <v>525</v>
      </c>
      <c r="K435" s="27" t="s">
        <v>525</v>
      </c>
      <c r="L435" s="27" t="s">
        <v>543</v>
      </c>
      <c r="M435" s="29" t="s">
        <v>1216</v>
      </c>
      <c r="N435" s="27" t="s">
        <v>543</v>
      </c>
      <c r="O435" s="27" t="s">
        <v>528</v>
      </c>
    </row>
    <row r="436" spans="1:15">
      <c r="A436" s="25">
        <v>13418</v>
      </c>
      <c r="B436" s="34" t="s">
        <v>387</v>
      </c>
      <c r="C436" s="31" t="s">
        <v>521</v>
      </c>
      <c r="D436" s="31" t="s">
        <v>1119</v>
      </c>
      <c r="E436" s="28">
        <v>40932</v>
      </c>
      <c r="F436" s="28" t="s">
        <v>35</v>
      </c>
      <c r="G436" s="28" t="s">
        <v>35</v>
      </c>
      <c r="H436" s="27" t="s">
        <v>543</v>
      </c>
      <c r="I436" s="27" t="s">
        <v>543</v>
      </c>
      <c r="J436" s="31" t="s">
        <v>525</v>
      </c>
      <c r="K436" s="31" t="s">
        <v>525</v>
      </c>
      <c r="L436" s="27" t="s">
        <v>543</v>
      </c>
      <c r="M436" s="29" t="s">
        <v>1216</v>
      </c>
      <c r="N436" s="27" t="s">
        <v>543</v>
      </c>
      <c r="O436" s="27" t="s">
        <v>590</v>
      </c>
    </row>
    <row r="437" spans="1:15">
      <c r="A437" s="25">
        <v>13627</v>
      </c>
      <c r="B437" s="34" t="s">
        <v>379</v>
      </c>
      <c r="C437" s="31" t="s">
        <v>521</v>
      </c>
      <c r="D437" s="31" t="s">
        <v>1220</v>
      </c>
      <c r="E437" s="28">
        <v>40973</v>
      </c>
      <c r="F437" s="28" t="s">
        <v>35</v>
      </c>
      <c r="G437" s="28" t="s">
        <v>35</v>
      </c>
      <c r="H437" s="27" t="s">
        <v>543</v>
      </c>
      <c r="I437" s="27" t="s">
        <v>543</v>
      </c>
      <c r="J437" s="31" t="s">
        <v>525</v>
      </c>
      <c r="K437" s="31" t="s">
        <v>525</v>
      </c>
      <c r="L437" s="27" t="s">
        <v>543</v>
      </c>
      <c r="M437" s="29" t="s">
        <v>1216</v>
      </c>
      <c r="N437" s="27" t="s">
        <v>543</v>
      </c>
      <c r="O437" s="27" t="s">
        <v>594</v>
      </c>
    </row>
    <row r="438" spans="1:15">
      <c r="A438" s="25">
        <v>197</v>
      </c>
      <c r="B438" s="26" t="s">
        <v>324</v>
      </c>
      <c r="C438" s="27" t="s">
        <v>521</v>
      </c>
      <c r="D438" s="27" t="s">
        <v>1202</v>
      </c>
      <c r="E438" s="28">
        <v>37679</v>
      </c>
      <c r="F438" s="28" t="s">
        <v>35</v>
      </c>
      <c r="G438" s="28" t="s">
        <v>35</v>
      </c>
      <c r="H438" s="27" t="s">
        <v>543</v>
      </c>
      <c r="I438" s="27" t="s">
        <v>543</v>
      </c>
      <c r="J438" s="27" t="s">
        <v>525</v>
      </c>
      <c r="K438" s="27" t="s">
        <v>525</v>
      </c>
      <c r="L438" s="27" t="s">
        <v>543</v>
      </c>
      <c r="M438" s="29" t="s">
        <v>1221</v>
      </c>
      <c r="N438" s="27" t="s">
        <v>648</v>
      </c>
      <c r="O438" s="27" t="s">
        <v>528</v>
      </c>
    </row>
    <row r="439" spans="1:15">
      <c r="A439" s="25">
        <v>788</v>
      </c>
      <c r="B439" s="26" t="s">
        <v>133</v>
      </c>
      <c r="C439" s="27" t="s">
        <v>521</v>
      </c>
      <c r="D439" s="27" t="s">
        <v>1212</v>
      </c>
      <c r="E439" s="28">
        <v>37830</v>
      </c>
      <c r="F439" s="28" t="s">
        <v>35</v>
      </c>
      <c r="G439" s="28" t="s">
        <v>35</v>
      </c>
      <c r="H439" s="27" t="s">
        <v>543</v>
      </c>
      <c r="I439" s="27" t="s">
        <v>543</v>
      </c>
      <c r="J439" s="27" t="s">
        <v>525</v>
      </c>
      <c r="K439" s="27" t="s">
        <v>525</v>
      </c>
      <c r="L439" s="27" t="s">
        <v>543</v>
      </c>
      <c r="M439" s="29" t="s">
        <v>1222</v>
      </c>
      <c r="N439" s="27" t="s">
        <v>1223</v>
      </c>
      <c r="O439" s="27" t="s">
        <v>590</v>
      </c>
    </row>
    <row r="440" spans="1:15">
      <c r="A440" s="25">
        <v>2409</v>
      </c>
      <c r="B440" s="26" t="s">
        <v>1224</v>
      </c>
      <c r="C440" s="27" t="s">
        <v>521</v>
      </c>
      <c r="D440" s="27" t="s">
        <v>522</v>
      </c>
      <c r="E440" s="28">
        <v>38189</v>
      </c>
      <c r="F440" s="28" t="s">
        <v>35</v>
      </c>
      <c r="G440" s="28" t="s">
        <v>35</v>
      </c>
      <c r="H440" s="27" t="s">
        <v>543</v>
      </c>
      <c r="I440" s="27" t="s">
        <v>543</v>
      </c>
      <c r="J440" s="27" t="s">
        <v>525</v>
      </c>
      <c r="K440" s="27" t="s">
        <v>525</v>
      </c>
      <c r="L440" s="27" t="s">
        <v>543</v>
      </c>
      <c r="M440" s="29" t="s">
        <v>569</v>
      </c>
      <c r="N440" s="27" t="s">
        <v>1037</v>
      </c>
      <c r="O440" s="27" t="s">
        <v>528</v>
      </c>
    </row>
    <row r="441" spans="1:15">
      <c r="A441" s="25">
        <v>5222</v>
      </c>
      <c r="B441" s="26" t="s">
        <v>196</v>
      </c>
      <c r="C441" s="27" t="s">
        <v>521</v>
      </c>
      <c r="D441" s="27" t="s">
        <v>1208</v>
      </c>
      <c r="E441" s="28">
        <v>38961</v>
      </c>
      <c r="F441" s="28" t="s">
        <v>35</v>
      </c>
      <c r="G441" s="28" t="s">
        <v>35</v>
      </c>
      <c r="H441" s="27" t="s">
        <v>543</v>
      </c>
      <c r="I441" s="27" t="s">
        <v>543</v>
      </c>
      <c r="J441" s="27" t="s">
        <v>525</v>
      </c>
      <c r="K441" s="27" t="s">
        <v>525</v>
      </c>
      <c r="L441" s="27" t="s">
        <v>543</v>
      </c>
      <c r="M441" s="29" t="s">
        <v>1216</v>
      </c>
      <c r="N441" s="27" t="s">
        <v>543</v>
      </c>
      <c r="O441" s="27" t="s">
        <v>528</v>
      </c>
    </row>
    <row r="442" spans="1:15">
      <c r="A442" s="25">
        <v>5561</v>
      </c>
      <c r="B442" s="26" t="s">
        <v>180</v>
      </c>
      <c r="C442" s="27" t="s">
        <v>521</v>
      </c>
      <c r="D442" s="27" t="s">
        <v>632</v>
      </c>
      <c r="E442" s="28">
        <v>39052</v>
      </c>
      <c r="F442" s="28" t="s">
        <v>35</v>
      </c>
      <c r="G442" s="28" t="s">
        <v>35</v>
      </c>
      <c r="H442" s="27" t="s">
        <v>543</v>
      </c>
      <c r="I442" s="27" t="s">
        <v>543</v>
      </c>
      <c r="J442" s="27" t="s">
        <v>525</v>
      </c>
      <c r="K442" s="27" t="s">
        <v>525</v>
      </c>
      <c r="L442" s="27" t="s">
        <v>543</v>
      </c>
      <c r="M442" s="29" t="s">
        <v>1225</v>
      </c>
      <c r="N442" s="27" t="s">
        <v>1223</v>
      </c>
      <c r="O442" s="27" t="s">
        <v>528</v>
      </c>
    </row>
    <row r="443" spans="1:15">
      <c r="A443" s="25">
        <v>6113</v>
      </c>
      <c r="B443" s="26" t="s">
        <v>1226</v>
      </c>
      <c r="C443" s="27" t="s">
        <v>521</v>
      </c>
      <c r="D443" s="27" t="s">
        <v>637</v>
      </c>
      <c r="E443" s="28">
        <v>39142</v>
      </c>
      <c r="F443" s="28" t="s">
        <v>35</v>
      </c>
      <c r="G443" s="28" t="s">
        <v>35</v>
      </c>
      <c r="H443" s="27" t="s">
        <v>543</v>
      </c>
      <c r="I443" s="27" t="s">
        <v>543</v>
      </c>
      <c r="J443" s="27" t="s">
        <v>525</v>
      </c>
      <c r="K443" s="27" t="s">
        <v>525</v>
      </c>
      <c r="L443" s="27" t="s">
        <v>543</v>
      </c>
      <c r="M443" s="29" t="s">
        <v>1227</v>
      </c>
      <c r="N443" s="27" t="s">
        <v>648</v>
      </c>
      <c r="O443" s="27" t="s">
        <v>528</v>
      </c>
    </row>
    <row r="444" spans="1:15">
      <c r="A444" s="25">
        <v>6118</v>
      </c>
      <c r="B444" s="26" t="s">
        <v>152</v>
      </c>
      <c r="C444" s="27" t="s">
        <v>521</v>
      </c>
      <c r="D444" s="27" t="s">
        <v>1228</v>
      </c>
      <c r="E444" s="28">
        <v>39142</v>
      </c>
      <c r="F444" s="28" t="s">
        <v>35</v>
      </c>
      <c r="G444" s="28" t="s">
        <v>35</v>
      </c>
      <c r="H444" s="27" t="s">
        <v>543</v>
      </c>
      <c r="I444" s="27" t="s">
        <v>543</v>
      </c>
      <c r="J444" s="27" t="s">
        <v>525</v>
      </c>
      <c r="K444" s="27" t="s">
        <v>525</v>
      </c>
      <c r="L444" s="27" t="s">
        <v>543</v>
      </c>
      <c r="M444" s="29" t="s">
        <v>1229</v>
      </c>
      <c r="N444" s="27" t="s">
        <v>1223</v>
      </c>
      <c r="O444" s="27" t="s">
        <v>528</v>
      </c>
    </row>
    <row r="445" spans="1:15">
      <c r="A445" s="25">
        <v>9312</v>
      </c>
      <c r="B445" s="26" t="s">
        <v>939</v>
      </c>
      <c r="C445" s="27" t="s">
        <v>521</v>
      </c>
      <c r="D445" s="27" t="s">
        <v>658</v>
      </c>
      <c r="E445" s="28">
        <v>40148</v>
      </c>
      <c r="F445" s="28" t="s">
        <v>35</v>
      </c>
      <c r="G445" s="28" t="s">
        <v>35</v>
      </c>
      <c r="H445" s="27" t="s">
        <v>543</v>
      </c>
      <c r="I445" s="27" t="s">
        <v>543</v>
      </c>
      <c r="J445" s="27" t="s">
        <v>525</v>
      </c>
      <c r="K445" s="27" t="s">
        <v>525</v>
      </c>
      <c r="L445" s="27" t="s">
        <v>543</v>
      </c>
      <c r="M445" s="29" t="s">
        <v>1230</v>
      </c>
      <c r="N445" s="27" t="s">
        <v>1231</v>
      </c>
      <c r="O445" s="27" t="s">
        <v>528</v>
      </c>
    </row>
    <row r="446" spans="1:15">
      <c r="A446" s="25">
        <v>9667</v>
      </c>
      <c r="B446" s="26" t="s">
        <v>97</v>
      </c>
      <c r="C446" s="27" t="s">
        <v>521</v>
      </c>
      <c r="D446" s="27" t="s">
        <v>1232</v>
      </c>
      <c r="E446" s="28">
        <v>40269</v>
      </c>
      <c r="F446" s="28" t="s">
        <v>35</v>
      </c>
      <c r="G446" s="28" t="s">
        <v>35</v>
      </c>
      <c r="H446" s="27" t="s">
        <v>543</v>
      </c>
      <c r="I446" s="27" t="s">
        <v>543</v>
      </c>
      <c r="J446" s="27" t="s">
        <v>525</v>
      </c>
      <c r="K446" s="27" t="s">
        <v>525</v>
      </c>
      <c r="L446" s="27" t="s">
        <v>543</v>
      </c>
      <c r="M446" s="29" t="s">
        <v>1216</v>
      </c>
      <c r="N446" s="27" t="s">
        <v>543</v>
      </c>
      <c r="O446" s="27" t="s">
        <v>594</v>
      </c>
    </row>
    <row r="447" spans="1:15">
      <c r="A447" s="25">
        <v>10161</v>
      </c>
      <c r="B447" s="26" t="s">
        <v>492</v>
      </c>
      <c r="C447" s="27" t="s">
        <v>521</v>
      </c>
      <c r="D447" s="27" t="s">
        <v>1233</v>
      </c>
      <c r="E447" s="28">
        <v>40452</v>
      </c>
      <c r="F447" s="28" t="s">
        <v>35</v>
      </c>
      <c r="G447" s="28" t="s">
        <v>35</v>
      </c>
      <c r="H447" s="27" t="s">
        <v>543</v>
      </c>
      <c r="I447" s="27" t="s">
        <v>543</v>
      </c>
      <c r="J447" s="27" t="s">
        <v>525</v>
      </c>
      <c r="K447" s="27" t="s">
        <v>525</v>
      </c>
      <c r="L447" s="27" t="s">
        <v>543</v>
      </c>
      <c r="M447" s="29" t="s">
        <v>1216</v>
      </c>
      <c r="N447" s="27" t="s">
        <v>543</v>
      </c>
      <c r="O447" s="27" t="s">
        <v>528</v>
      </c>
    </row>
    <row r="448" spans="1:15">
      <c r="A448" s="25">
        <v>10439</v>
      </c>
      <c r="B448" s="26" t="s">
        <v>1234</v>
      </c>
      <c r="C448" s="27" t="s">
        <v>521</v>
      </c>
      <c r="D448" s="27" t="s">
        <v>1235</v>
      </c>
      <c r="E448" s="28">
        <v>40520</v>
      </c>
      <c r="F448" s="28" t="s">
        <v>35</v>
      </c>
      <c r="G448" s="28" t="s">
        <v>35</v>
      </c>
      <c r="H448" s="27" t="s">
        <v>543</v>
      </c>
      <c r="I448" s="27" t="s">
        <v>543</v>
      </c>
      <c r="J448" s="27" t="s">
        <v>525</v>
      </c>
      <c r="K448" s="27" t="s">
        <v>525</v>
      </c>
      <c r="L448" s="27" t="s">
        <v>543</v>
      </c>
      <c r="M448" s="29" t="s">
        <v>1236</v>
      </c>
      <c r="N448" s="27" t="s">
        <v>648</v>
      </c>
      <c r="O448" s="27" t="s">
        <v>528</v>
      </c>
    </row>
    <row r="449" spans="1:15">
      <c r="A449" s="25">
        <v>11648</v>
      </c>
      <c r="B449" s="26" t="s">
        <v>443</v>
      </c>
      <c r="C449" s="27" t="s">
        <v>521</v>
      </c>
      <c r="D449" s="25" t="s">
        <v>1237</v>
      </c>
      <c r="E449" s="28">
        <v>40707</v>
      </c>
      <c r="F449" s="28" t="s">
        <v>35</v>
      </c>
      <c r="G449" s="28" t="s">
        <v>35</v>
      </c>
      <c r="H449" s="27" t="s">
        <v>543</v>
      </c>
      <c r="I449" s="27" t="s">
        <v>543</v>
      </c>
      <c r="J449" s="27" t="s">
        <v>525</v>
      </c>
      <c r="K449" s="27" t="s">
        <v>525</v>
      </c>
      <c r="L449" s="27" t="s">
        <v>543</v>
      </c>
      <c r="M449" s="29" t="s">
        <v>1216</v>
      </c>
      <c r="N449" s="27" t="s">
        <v>543</v>
      </c>
      <c r="O449" s="27" t="s">
        <v>528</v>
      </c>
    </row>
    <row r="450" spans="1:15">
      <c r="A450" s="25">
        <v>12148</v>
      </c>
      <c r="B450" s="26" t="s">
        <v>1238</v>
      </c>
      <c r="C450" s="27" t="s">
        <v>521</v>
      </c>
      <c r="D450" s="27" t="s">
        <v>665</v>
      </c>
      <c r="E450" s="28">
        <v>40798</v>
      </c>
      <c r="F450" s="28" t="s">
        <v>35</v>
      </c>
      <c r="G450" s="28" t="s">
        <v>35</v>
      </c>
      <c r="H450" s="27" t="s">
        <v>543</v>
      </c>
      <c r="I450" s="27" t="s">
        <v>543</v>
      </c>
      <c r="J450" s="27" t="s">
        <v>525</v>
      </c>
      <c r="K450" s="27" t="s">
        <v>525</v>
      </c>
      <c r="L450" s="27" t="s">
        <v>543</v>
      </c>
      <c r="M450" s="29" t="s">
        <v>1239</v>
      </c>
      <c r="N450" s="27" t="s">
        <v>1207</v>
      </c>
      <c r="O450" s="27" t="s">
        <v>528</v>
      </c>
    </row>
    <row r="451" spans="1:15">
      <c r="A451" s="25">
        <v>13425</v>
      </c>
      <c r="B451" s="34" t="s">
        <v>384</v>
      </c>
      <c r="C451" s="31" t="s">
        <v>521</v>
      </c>
      <c r="D451" s="31" t="s">
        <v>1119</v>
      </c>
      <c r="E451" s="28">
        <v>40932</v>
      </c>
      <c r="F451" s="28" t="s">
        <v>35</v>
      </c>
      <c r="G451" s="28" t="s">
        <v>35</v>
      </c>
      <c r="H451" s="27" t="s">
        <v>543</v>
      </c>
      <c r="I451" s="27" t="s">
        <v>543</v>
      </c>
      <c r="J451" s="31" t="s">
        <v>525</v>
      </c>
      <c r="K451" s="31" t="s">
        <v>525</v>
      </c>
      <c r="L451" s="27" t="s">
        <v>543</v>
      </c>
      <c r="M451" s="29" t="s">
        <v>1213</v>
      </c>
      <c r="N451" s="27" t="s">
        <v>1214</v>
      </c>
      <c r="O451" s="27" t="s">
        <v>528</v>
      </c>
    </row>
    <row r="452" spans="1:15">
      <c r="A452" s="25">
        <v>13630</v>
      </c>
      <c r="B452" s="34" t="s">
        <v>378</v>
      </c>
      <c r="C452" s="31" t="s">
        <v>521</v>
      </c>
      <c r="D452" s="31" t="s">
        <v>1240</v>
      </c>
      <c r="E452" s="28">
        <v>40974</v>
      </c>
      <c r="F452" s="28" t="s">
        <v>35</v>
      </c>
      <c r="G452" s="28" t="s">
        <v>35</v>
      </c>
      <c r="H452" s="27" t="s">
        <v>543</v>
      </c>
      <c r="I452" s="27" t="s">
        <v>543</v>
      </c>
      <c r="J452" s="31" t="s">
        <v>525</v>
      </c>
      <c r="K452" s="31" t="s">
        <v>525</v>
      </c>
      <c r="L452" s="27" t="s">
        <v>543</v>
      </c>
      <c r="M452" s="29" t="s">
        <v>1216</v>
      </c>
      <c r="N452" s="27" t="s">
        <v>543</v>
      </c>
      <c r="O452" s="27" t="s">
        <v>528</v>
      </c>
    </row>
    <row r="453" spans="1:15">
      <c r="A453" s="25">
        <v>17884</v>
      </c>
      <c r="B453" s="33" t="s">
        <v>341</v>
      </c>
      <c r="C453" s="27" t="s">
        <v>521</v>
      </c>
      <c r="D453" s="27" t="s">
        <v>1241</v>
      </c>
      <c r="E453" s="28">
        <v>41830</v>
      </c>
      <c r="F453" s="28" t="s">
        <v>35</v>
      </c>
      <c r="G453" s="28" t="s">
        <v>35</v>
      </c>
      <c r="H453" s="27" t="s">
        <v>543</v>
      </c>
      <c r="I453" s="27" t="s">
        <v>543</v>
      </c>
      <c r="J453" s="27" t="s">
        <v>525</v>
      </c>
      <c r="K453" s="27" t="s">
        <v>525</v>
      </c>
      <c r="L453" s="27" t="s">
        <v>543</v>
      </c>
      <c r="M453" s="29" t="s">
        <v>1213</v>
      </c>
      <c r="N453" s="27" t="s">
        <v>1214</v>
      </c>
      <c r="O453" s="27" t="s">
        <v>528</v>
      </c>
    </row>
    <row r="454" spans="1:15">
      <c r="A454" s="25">
        <v>1013</v>
      </c>
      <c r="B454" s="26" t="s">
        <v>495</v>
      </c>
      <c r="C454" s="27" t="s">
        <v>521</v>
      </c>
      <c r="D454" s="27" t="s">
        <v>1242</v>
      </c>
      <c r="E454" s="28">
        <v>37872</v>
      </c>
      <c r="F454" s="28" t="s">
        <v>35</v>
      </c>
      <c r="G454" s="28" t="s">
        <v>35</v>
      </c>
      <c r="H454" s="27" t="s">
        <v>543</v>
      </c>
      <c r="I454" s="27" t="s">
        <v>543</v>
      </c>
      <c r="J454" s="27" t="s">
        <v>525</v>
      </c>
      <c r="K454" s="27" t="s">
        <v>525</v>
      </c>
      <c r="L454" s="27" t="s">
        <v>543</v>
      </c>
      <c r="M454" s="29" t="s">
        <v>1222</v>
      </c>
      <c r="N454" s="27" t="s">
        <v>1223</v>
      </c>
      <c r="O454" s="27" t="s">
        <v>594</v>
      </c>
    </row>
    <row r="455" spans="1:15">
      <c r="A455" s="25">
        <v>5555</v>
      </c>
      <c r="B455" s="26" t="s">
        <v>183</v>
      </c>
      <c r="C455" s="27" t="s">
        <v>521</v>
      </c>
      <c r="D455" s="27" t="s">
        <v>632</v>
      </c>
      <c r="E455" s="28">
        <v>39052</v>
      </c>
      <c r="F455" s="28" t="s">
        <v>35</v>
      </c>
      <c r="G455" s="28" t="s">
        <v>35</v>
      </c>
      <c r="H455" s="27" t="s">
        <v>543</v>
      </c>
      <c r="I455" s="27" t="s">
        <v>543</v>
      </c>
      <c r="J455" s="27" t="s">
        <v>525</v>
      </c>
      <c r="K455" s="27" t="s">
        <v>525</v>
      </c>
      <c r="L455" s="27" t="s">
        <v>543</v>
      </c>
      <c r="M455" s="29" t="s">
        <v>1216</v>
      </c>
      <c r="N455" s="27" t="s">
        <v>543</v>
      </c>
      <c r="O455" s="27" t="s">
        <v>594</v>
      </c>
    </row>
    <row r="456" spans="1:15">
      <c r="A456" s="25">
        <v>5967</v>
      </c>
      <c r="B456" s="26" t="s">
        <v>162</v>
      </c>
      <c r="C456" s="27" t="s">
        <v>521</v>
      </c>
      <c r="D456" s="27" t="s">
        <v>1243</v>
      </c>
      <c r="E456" s="28">
        <v>39129</v>
      </c>
      <c r="F456" s="28" t="s">
        <v>35</v>
      </c>
      <c r="G456" s="28" t="s">
        <v>35</v>
      </c>
      <c r="H456" s="27" t="s">
        <v>543</v>
      </c>
      <c r="I456" s="27" t="s">
        <v>543</v>
      </c>
      <c r="J456" s="27" t="s">
        <v>525</v>
      </c>
      <c r="K456" s="27" t="s">
        <v>525</v>
      </c>
      <c r="L456" s="27" t="s">
        <v>543</v>
      </c>
      <c r="M456" s="29" t="s">
        <v>1216</v>
      </c>
      <c r="N456" s="27" t="s">
        <v>543</v>
      </c>
      <c r="O456" s="27" t="s">
        <v>590</v>
      </c>
    </row>
    <row r="457" spans="1:15">
      <c r="A457" s="25">
        <v>5972</v>
      </c>
      <c r="B457" s="26" t="s">
        <v>161</v>
      </c>
      <c r="C457" s="27" t="s">
        <v>521</v>
      </c>
      <c r="D457" s="27" t="s">
        <v>1243</v>
      </c>
      <c r="E457" s="28">
        <v>39129</v>
      </c>
      <c r="F457" s="28" t="s">
        <v>35</v>
      </c>
      <c r="G457" s="28" t="s">
        <v>35</v>
      </c>
      <c r="H457" s="27" t="s">
        <v>543</v>
      </c>
      <c r="I457" s="27" t="s">
        <v>543</v>
      </c>
      <c r="J457" s="27" t="s">
        <v>525</v>
      </c>
      <c r="K457" s="27" t="s">
        <v>525</v>
      </c>
      <c r="L457" s="27" t="s">
        <v>543</v>
      </c>
      <c r="M457" s="29" t="s">
        <v>1216</v>
      </c>
      <c r="N457" s="27" t="s">
        <v>543</v>
      </c>
      <c r="O457" s="27" t="s">
        <v>590</v>
      </c>
    </row>
    <row r="458" spans="1:15">
      <c r="A458" s="25">
        <v>7260</v>
      </c>
      <c r="B458" s="26" t="s">
        <v>137</v>
      </c>
      <c r="C458" s="27" t="s">
        <v>521</v>
      </c>
      <c r="D458" s="27" t="s">
        <v>1244</v>
      </c>
      <c r="E458" s="28">
        <v>39539</v>
      </c>
      <c r="F458" s="28" t="s">
        <v>35</v>
      </c>
      <c r="G458" s="28" t="s">
        <v>35</v>
      </c>
      <c r="H458" s="27" t="s">
        <v>543</v>
      </c>
      <c r="I458" s="27" t="s">
        <v>543</v>
      </c>
      <c r="J458" s="27" t="s">
        <v>525</v>
      </c>
      <c r="K458" s="27" t="s">
        <v>525</v>
      </c>
      <c r="L458" s="27" t="s">
        <v>543</v>
      </c>
      <c r="M458" s="29" t="s">
        <v>1216</v>
      </c>
      <c r="N458" s="27" t="s">
        <v>543</v>
      </c>
      <c r="O458" s="27" t="s">
        <v>594</v>
      </c>
    </row>
    <row r="459" spans="1:15">
      <c r="A459" s="25">
        <v>12066</v>
      </c>
      <c r="B459" s="26" t="s">
        <v>422</v>
      </c>
      <c r="C459" s="27" t="s">
        <v>521</v>
      </c>
      <c r="D459" s="27" t="s">
        <v>1245</v>
      </c>
      <c r="E459" s="28">
        <v>40798</v>
      </c>
      <c r="F459" s="28" t="s">
        <v>35</v>
      </c>
      <c r="G459" s="28" t="s">
        <v>35</v>
      </c>
      <c r="H459" s="27" t="s">
        <v>543</v>
      </c>
      <c r="I459" s="27" t="s">
        <v>543</v>
      </c>
      <c r="J459" s="27" t="s">
        <v>525</v>
      </c>
      <c r="K459" s="27" t="s">
        <v>525</v>
      </c>
      <c r="L459" s="27" t="s">
        <v>543</v>
      </c>
      <c r="M459" s="29" t="s">
        <v>1216</v>
      </c>
      <c r="N459" s="27" t="s">
        <v>543</v>
      </c>
      <c r="O459" s="27" t="s">
        <v>590</v>
      </c>
    </row>
    <row r="460" spans="1:15">
      <c r="A460" s="25">
        <v>13423</v>
      </c>
      <c r="B460" s="34" t="s">
        <v>386</v>
      </c>
      <c r="C460" s="31" t="s">
        <v>521</v>
      </c>
      <c r="D460" s="31" t="s">
        <v>1119</v>
      </c>
      <c r="E460" s="28">
        <v>40932</v>
      </c>
      <c r="F460" s="28" t="s">
        <v>35</v>
      </c>
      <c r="G460" s="28" t="s">
        <v>35</v>
      </c>
      <c r="H460" s="27" t="s">
        <v>543</v>
      </c>
      <c r="I460" s="27" t="s">
        <v>543</v>
      </c>
      <c r="J460" s="31" t="s">
        <v>525</v>
      </c>
      <c r="K460" s="31" t="s">
        <v>525</v>
      </c>
      <c r="L460" s="27" t="s">
        <v>543</v>
      </c>
      <c r="M460" s="29" t="s">
        <v>1216</v>
      </c>
      <c r="N460" s="27" t="s">
        <v>543</v>
      </c>
      <c r="O460" s="27" t="s">
        <v>590</v>
      </c>
    </row>
    <row r="461" spans="1:15">
      <c r="A461" s="25">
        <v>13424</v>
      </c>
      <c r="B461" s="34" t="s">
        <v>385</v>
      </c>
      <c r="C461" s="31" t="s">
        <v>521</v>
      </c>
      <c r="D461" s="31" t="s">
        <v>1119</v>
      </c>
      <c r="E461" s="28">
        <v>40932</v>
      </c>
      <c r="F461" s="28" t="s">
        <v>35</v>
      </c>
      <c r="G461" s="28" t="s">
        <v>35</v>
      </c>
      <c r="H461" s="27" t="s">
        <v>543</v>
      </c>
      <c r="I461" s="27" t="s">
        <v>543</v>
      </c>
      <c r="J461" s="27" t="s">
        <v>525</v>
      </c>
      <c r="K461" s="27" t="s">
        <v>525</v>
      </c>
      <c r="L461" s="27" t="s">
        <v>543</v>
      </c>
      <c r="M461" s="29" t="s">
        <v>1216</v>
      </c>
      <c r="N461" s="27" t="s">
        <v>543</v>
      </c>
      <c r="O461" s="27" t="s">
        <v>594</v>
      </c>
    </row>
    <row r="462" spans="1:15">
      <c r="A462" s="25">
        <v>1141</v>
      </c>
      <c r="B462" s="26" t="s">
        <v>1246</v>
      </c>
      <c r="C462" s="27" t="s">
        <v>521</v>
      </c>
      <c r="D462" s="27" t="s">
        <v>1247</v>
      </c>
      <c r="E462" s="28">
        <v>37900</v>
      </c>
      <c r="F462" s="28" t="s">
        <v>35</v>
      </c>
      <c r="G462" s="28" t="s">
        <v>35</v>
      </c>
      <c r="H462" s="27" t="s">
        <v>549</v>
      </c>
      <c r="I462" s="27" t="s">
        <v>1248</v>
      </c>
      <c r="J462" s="27" t="s">
        <v>525</v>
      </c>
      <c r="K462" s="27" t="s">
        <v>525</v>
      </c>
      <c r="L462" s="27" t="s">
        <v>1249</v>
      </c>
      <c r="M462" s="27" t="s">
        <v>1249</v>
      </c>
      <c r="N462" s="27" t="s">
        <v>1249</v>
      </c>
      <c r="O462" s="27" t="s">
        <v>528</v>
      </c>
    </row>
    <row r="463" spans="1:15">
      <c r="A463" s="25">
        <v>14141</v>
      </c>
      <c r="B463" s="32" t="s">
        <v>363</v>
      </c>
      <c r="C463" s="27" t="s">
        <v>521</v>
      </c>
      <c r="D463" s="27" t="s">
        <v>1250</v>
      </c>
      <c r="E463" s="28">
        <v>41319</v>
      </c>
      <c r="F463" s="28" t="s">
        <v>35</v>
      </c>
      <c r="G463" s="28" t="s">
        <v>35</v>
      </c>
      <c r="H463" s="31" t="s">
        <v>549</v>
      </c>
      <c r="I463" s="27" t="s">
        <v>1248</v>
      </c>
      <c r="J463" s="31" t="s">
        <v>525</v>
      </c>
      <c r="K463" s="31" t="s">
        <v>525</v>
      </c>
      <c r="L463" s="27" t="s">
        <v>1248</v>
      </c>
      <c r="M463" s="27" t="s">
        <v>1045</v>
      </c>
      <c r="N463" s="27" t="s">
        <v>1251</v>
      </c>
      <c r="O463" s="27" t="s">
        <v>528</v>
      </c>
    </row>
    <row r="464" spans="1:15">
      <c r="A464" s="25">
        <v>19433</v>
      </c>
      <c r="B464" s="32" t="s">
        <v>330</v>
      </c>
      <c r="C464" s="27" t="s">
        <v>521</v>
      </c>
      <c r="D464" s="27" t="s">
        <v>1252</v>
      </c>
      <c r="E464" s="28">
        <v>42303</v>
      </c>
      <c r="F464" s="28" t="s">
        <v>35</v>
      </c>
      <c r="G464" s="28" t="s">
        <v>35</v>
      </c>
      <c r="H464" s="31" t="s">
        <v>549</v>
      </c>
      <c r="I464" s="27" t="s">
        <v>1248</v>
      </c>
      <c r="J464" s="31" t="s">
        <v>525</v>
      </c>
      <c r="K464" s="31" t="s">
        <v>525</v>
      </c>
      <c r="L464" s="27" t="s">
        <v>1248</v>
      </c>
      <c r="M464" s="27" t="s">
        <v>1253</v>
      </c>
      <c r="N464" s="27" t="s">
        <v>1251</v>
      </c>
      <c r="O464" s="27" t="s">
        <v>528</v>
      </c>
    </row>
    <row r="465" spans="1:15">
      <c r="A465" s="25">
        <v>5692</v>
      </c>
      <c r="B465" s="26" t="s">
        <v>179</v>
      </c>
      <c r="C465" s="27" t="s">
        <v>521</v>
      </c>
      <c r="D465" s="27" t="s">
        <v>790</v>
      </c>
      <c r="E465" s="28">
        <v>39098</v>
      </c>
      <c r="F465" s="28" t="s">
        <v>35</v>
      </c>
      <c r="G465" s="28" t="s">
        <v>35</v>
      </c>
      <c r="H465" s="27" t="s">
        <v>549</v>
      </c>
      <c r="I465" s="27" t="s">
        <v>1248</v>
      </c>
      <c r="J465" s="27" t="s">
        <v>525</v>
      </c>
      <c r="K465" s="27" t="s">
        <v>525</v>
      </c>
      <c r="L465" s="27" t="s">
        <v>1254</v>
      </c>
      <c r="M465" s="27" t="s">
        <v>1253</v>
      </c>
      <c r="N465" s="27" t="s">
        <v>648</v>
      </c>
      <c r="O465" s="27" t="s">
        <v>528</v>
      </c>
    </row>
    <row r="466" spans="1:15">
      <c r="A466" s="25">
        <v>18661</v>
      </c>
      <c r="B466" s="26" t="s">
        <v>1255</v>
      </c>
      <c r="C466" s="27" t="s">
        <v>521</v>
      </c>
      <c r="D466" s="27" t="s">
        <v>522</v>
      </c>
      <c r="E466" s="28">
        <v>42009</v>
      </c>
      <c r="F466" s="28" t="s">
        <v>35</v>
      </c>
      <c r="G466" s="28" t="s">
        <v>35</v>
      </c>
      <c r="H466" s="27" t="s">
        <v>549</v>
      </c>
      <c r="I466" s="27" t="s">
        <v>1248</v>
      </c>
      <c r="J466" s="27" t="s">
        <v>525</v>
      </c>
      <c r="K466" s="27" t="s">
        <v>525</v>
      </c>
      <c r="L466" s="27" t="s">
        <v>1256</v>
      </c>
      <c r="M466" s="27" t="s">
        <v>569</v>
      </c>
      <c r="N466" s="27" t="s">
        <v>1037</v>
      </c>
      <c r="O466" s="27" t="s">
        <v>528</v>
      </c>
    </row>
    <row r="467" spans="1:15">
      <c r="A467" s="25">
        <v>1447</v>
      </c>
      <c r="B467" s="26" t="s">
        <v>1257</v>
      </c>
      <c r="C467" s="27" t="s">
        <v>521</v>
      </c>
      <c r="D467" s="27" t="s">
        <v>1258</v>
      </c>
      <c r="E467" s="28">
        <v>37970</v>
      </c>
      <c r="F467" s="28" t="s">
        <v>35</v>
      </c>
      <c r="G467" s="28" t="s">
        <v>35</v>
      </c>
      <c r="H467" s="27" t="s">
        <v>549</v>
      </c>
      <c r="I467" s="27" t="s">
        <v>1259</v>
      </c>
      <c r="J467" s="27" t="s">
        <v>525</v>
      </c>
      <c r="K467" s="27" t="s">
        <v>525</v>
      </c>
      <c r="L467" s="27" t="s">
        <v>1260</v>
      </c>
      <c r="M467" s="27" t="s">
        <v>573</v>
      </c>
      <c r="N467" s="27" t="s">
        <v>648</v>
      </c>
      <c r="O467" s="27" t="s">
        <v>528</v>
      </c>
    </row>
    <row r="468" spans="1:15">
      <c r="A468" s="25">
        <v>5473</v>
      </c>
      <c r="B468" s="26" t="s">
        <v>1261</v>
      </c>
      <c r="C468" s="27" t="s">
        <v>521</v>
      </c>
      <c r="D468" s="27" t="s">
        <v>1090</v>
      </c>
      <c r="E468" s="28">
        <v>38991</v>
      </c>
      <c r="F468" s="28" t="s">
        <v>35</v>
      </c>
      <c r="G468" s="28" t="s">
        <v>35</v>
      </c>
      <c r="H468" s="27" t="s">
        <v>549</v>
      </c>
      <c r="I468" s="27" t="s">
        <v>1259</v>
      </c>
      <c r="J468" s="27" t="s">
        <v>525</v>
      </c>
      <c r="K468" s="27" t="s">
        <v>525</v>
      </c>
      <c r="L468" s="27" t="s">
        <v>1260</v>
      </c>
      <c r="M468" s="27" t="s">
        <v>1262</v>
      </c>
      <c r="N468" s="27" t="s">
        <v>1263</v>
      </c>
      <c r="O468" s="27" t="s">
        <v>528</v>
      </c>
    </row>
    <row r="469" spans="1:15">
      <c r="A469" s="25">
        <v>13429</v>
      </c>
      <c r="B469" s="34" t="s">
        <v>383</v>
      </c>
      <c r="C469" s="31" t="s">
        <v>521</v>
      </c>
      <c r="D469" s="31" t="s">
        <v>1119</v>
      </c>
      <c r="E469" s="28">
        <v>40932</v>
      </c>
      <c r="F469" s="28" t="s">
        <v>35</v>
      </c>
      <c r="G469" s="28" t="s">
        <v>35</v>
      </c>
      <c r="H469" s="27" t="s">
        <v>549</v>
      </c>
      <c r="I469" s="27" t="s">
        <v>1259</v>
      </c>
      <c r="J469" s="27" t="s">
        <v>525</v>
      </c>
      <c r="K469" s="27" t="s">
        <v>525</v>
      </c>
      <c r="L469" s="27" t="s">
        <v>1260</v>
      </c>
      <c r="M469" s="27" t="s">
        <v>35</v>
      </c>
      <c r="N469" s="27" t="s">
        <v>1263</v>
      </c>
      <c r="O469" s="31" t="s">
        <v>528</v>
      </c>
    </row>
    <row r="470" spans="1:15">
      <c r="A470" s="25">
        <v>13437</v>
      </c>
      <c r="B470" s="34" t="s">
        <v>382</v>
      </c>
      <c r="C470" s="31" t="s">
        <v>521</v>
      </c>
      <c r="D470" s="31" t="s">
        <v>1264</v>
      </c>
      <c r="E470" s="28">
        <v>40938</v>
      </c>
      <c r="F470" s="28" t="s">
        <v>35</v>
      </c>
      <c r="G470" s="28" t="s">
        <v>35</v>
      </c>
      <c r="H470" s="27" t="s">
        <v>549</v>
      </c>
      <c r="I470" s="27" t="s">
        <v>1259</v>
      </c>
      <c r="J470" s="27" t="s">
        <v>525</v>
      </c>
      <c r="K470" s="27" t="s">
        <v>525</v>
      </c>
      <c r="L470" s="27" t="s">
        <v>1260</v>
      </c>
      <c r="M470" s="27" t="s">
        <v>35</v>
      </c>
      <c r="N470" s="27" t="s">
        <v>1263</v>
      </c>
      <c r="O470" s="31" t="s">
        <v>528</v>
      </c>
    </row>
    <row r="471" spans="1:15">
      <c r="A471" s="25">
        <v>4658</v>
      </c>
      <c r="B471" s="26" t="s">
        <v>1265</v>
      </c>
      <c r="C471" s="27" t="s">
        <v>521</v>
      </c>
      <c r="D471" s="27" t="s">
        <v>1266</v>
      </c>
      <c r="E471" s="28">
        <v>38901</v>
      </c>
      <c r="F471" s="28" t="s">
        <v>35</v>
      </c>
      <c r="G471" s="28" t="s">
        <v>35</v>
      </c>
      <c r="H471" s="27" t="s">
        <v>549</v>
      </c>
      <c r="I471" s="27" t="s">
        <v>1259</v>
      </c>
      <c r="J471" s="27" t="s">
        <v>525</v>
      </c>
      <c r="K471" s="27" t="s">
        <v>525</v>
      </c>
      <c r="L471" s="27" t="s">
        <v>1267</v>
      </c>
      <c r="M471" s="27" t="s">
        <v>1267</v>
      </c>
      <c r="N471" s="27" t="s">
        <v>1268</v>
      </c>
      <c r="O471" s="27" t="s">
        <v>528</v>
      </c>
    </row>
    <row r="472" spans="1:15">
      <c r="A472" s="25">
        <v>5252</v>
      </c>
      <c r="B472" s="26" t="s">
        <v>1269</v>
      </c>
      <c r="C472" s="27" t="s">
        <v>521</v>
      </c>
      <c r="D472" s="27" t="s">
        <v>1130</v>
      </c>
      <c r="E472" s="28">
        <v>38961</v>
      </c>
      <c r="F472" s="28" t="s">
        <v>35</v>
      </c>
      <c r="G472" s="28" t="s">
        <v>35</v>
      </c>
      <c r="H472" s="27" t="s">
        <v>549</v>
      </c>
      <c r="I472" s="27" t="s">
        <v>1259</v>
      </c>
      <c r="J472" s="27" t="s">
        <v>525</v>
      </c>
      <c r="K472" s="27" t="s">
        <v>525</v>
      </c>
      <c r="L472" s="27" t="s">
        <v>1267</v>
      </c>
      <c r="M472" s="27" t="s">
        <v>35</v>
      </c>
      <c r="N472" s="27" t="s">
        <v>1268</v>
      </c>
      <c r="O472" s="27" t="s">
        <v>528</v>
      </c>
    </row>
    <row r="473" spans="1:15">
      <c r="A473" s="25">
        <v>5538</v>
      </c>
      <c r="B473" s="26" t="s">
        <v>1270</v>
      </c>
      <c r="C473" s="27" t="s">
        <v>521</v>
      </c>
      <c r="D473" s="27" t="s">
        <v>1064</v>
      </c>
      <c r="E473" s="28">
        <v>39052</v>
      </c>
      <c r="F473" s="28" t="s">
        <v>35</v>
      </c>
      <c r="G473" s="28" t="s">
        <v>35</v>
      </c>
      <c r="H473" s="27" t="s">
        <v>549</v>
      </c>
      <c r="I473" s="27" t="s">
        <v>1259</v>
      </c>
      <c r="J473" s="27" t="s">
        <v>525</v>
      </c>
      <c r="K473" s="27" t="s">
        <v>525</v>
      </c>
      <c r="L473" s="27" t="s">
        <v>1267</v>
      </c>
      <c r="M473" s="27" t="s">
        <v>35</v>
      </c>
      <c r="N473" s="27" t="s">
        <v>1268</v>
      </c>
      <c r="O473" s="27" t="s">
        <v>528</v>
      </c>
    </row>
    <row r="474" spans="1:15">
      <c r="A474" s="25">
        <v>5756</v>
      </c>
      <c r="B474" s="26" t="s">
        <v>1271</v>
      </c>
      <c r="C474" s="27" t="s">
        <v>521</v>
      </c>
      <c r="D474" s="27" t="s">
        <v>794</v>
      </c>
      <c r="E474" s="28">
        <v>39114</v>
      </c>
      <c r="F474" s="28" t="s">
        <v>35</v>
      </c>
      <c r="G474" s="28" t="s">
        <v>35</v>
      </c>
      <c r="H474" s="27" t="s">
        <v>549</v>
      </c>
      <c r="I474" s="27" t="s">
        <v>1259</v>
      </c>
      <c r="J474" s="27" t="s">
        <v>525</v>
      </c>
      <c r="K474" s="27" t="s">
        <v>525</v>
      </c>
      <c r="L474" s="27" t="s">
        <v>1267</v>
      </c>
      <c r="M474" s="27" t="s">
        <v>1267</v>
      </c>
      <c r="N474" s="27" t="s">
        <v>1268</v>
      </c>
      <c r="O474" s="27" t="s">
        <v>528</v>
      </c>
    </row>
    <row r="475" spans="1:15">
      <c r="A475" s="25">
        <v>5812</v>
      </c>
      <c r="B475" s="26" t="s">
        <v>1272</v>
      </c>
      <c r="C475" s="27" t="s">
        <v>521</v>
      </c>
      <c r="D475" s="27" t="s">
        <v>794</v>
      </c>
      <c r="E475" s="28">
        <v>39114</v>
      </c>
      <c r="F475" s="28" t="s">
        <v>35</v>
      </c>
      <c r="G475" s="28" t="s">
        <v>35</v>
      </c>
      <c r="H475" s="27" t="s">
        <v>549</v>
      </c>
      <c r="I475" s="27" t="s">
        <v>1259</v>
      </c>
      <c r="J475" s="27" t="s">
        <v>525</v>
      </c>
      <c r="K475" s="27" t="s">
        <v>525</v>
      </c>
      <c r="L475" s="27" t="s">
        <v>1267</v>
      </c>
      <c r="M475" s="27" t="s">
        <v>35</v>
      </c>
      <c r="N475" s="27" t="s">
        <v>1268</v>
      </c>
      <c r="O475" s="27" t="s">
        <v>528</v>
      </c>
    </row>
    <row r="476" spans="1:15">
      <c r="A476" s="25">
        <v>5924</v>
      </c>
      <c r="B476" s="26" t="s">
        <v>1273</v>
      </c>
      <c r="C476" s="27" t="s">
        <v>521</v>
      </c>
      <c r="D476" s="27" t="s">
        <v>713</v>
      </c>
      <c r="E476" s="28">
        <v>39129</v>
      </c>
      <c r="F476" s="28" t="s">
        <v>35</v>
      </c>
      <c r="G476" s="28" t="s">
        <v>35</v>
      </c>
      <c r="H476" s="27" t="s">
        <v>549</v>
      </c>
      <c r="I476" s="27" t="s">
        <v>1259</v>
      </c>
      <c r="J476" s="27" t="s">
        <v>525</v>
      </c>
      <c r="K476" s="27" t="s">
        <v>525</v>
      </c>
      <c r="L476" s="27" t="s">
        <v>1267</v>
      </c>
      <c r="M476" s="27" t="s">
        <v>35</v>
      </c>
      <c r="N476" s="27" t="s">
        <v>1268</v>
      </c>
      <c r="O476" s="27" t="s">
        <v>528</v>
      </c>
    </row>
    <row r="477" spans="1:15">
      <c r="A477" s="82">
        <v>20694</v>
      </c>
      <c r="B477" s="26" t="s">
        <v>1274</v>
      </c>
      <c r="C477" s="31" t="s">
        <v>521</v>
      </c>
      <c r="D477" s="27" t="s">
        <v>1275</v>
      </c>
      <c r="E477" s="28">
        <v>42642</v>
      </c>
      <c r="F477" s="28">
        <v>43132</v>
      </c>
      <c r="G477" s="28">
        <v>43496</v>
      </c>
      <c r="H477" s="27" t="s">
        <v>549</v>
      </c>
      <c r="I477" s="27" t="s">
        <v>1259</v>
      </c>
      <c r="J477" s="27" t="s">
        <v>525</v>
      </c>
      <c r="K477" s="27" t="s">
        <v>525</v>
      </c>
      <c r="L477" s="27" t="s">
        <v>1267</v>
      </c>
      <c r="M477" s="31" t="s">
        <v>35</v>
      </c>
      <c r="N477" s="27" t="s">
        <v>1268</v>
      </c>
      <c r="O477" s="27" t="s">
        <v>528</v>
      </c>
    </row>
    <row r="478" spans="1:15">
      <c r="A478" s="25">
        <v>21987</v>
      </c>
      <c r="B478" s="34" t="s">
        <v>1276</v>
      </c>
      <c r="C478" s="31" t="s">
        <v>521</v>
      </c>
      <c r="D478" s="27" t="s">
        <v>1171</v>
      </c>
      <c r="E478" s="28">
        <v>43139</v>
      </c>
      <c r="F478" s="28">
        <v>43167</v>
      </c>
      <c r="G478" s="28">
        <v>43524</v>
      </c>
      <c r="H478" s="27" t="s">
        <v>549</v>
      </c>
      <c r="I478" s="27" t="s">
        <v>1259</v>
      </c>
      <c r="J478" s="27" t="s">
        <v>525</v>
      </c>
      <c r="K478" s="27" t="s">
        <v>525</v>
      </c>
      <c r="L478" s="27" t="s">
        <v>1267</v>
      </c>
      <c r="M478" s="27" t="s">
        <v>35</v>
      </c>
      <c r="N478" s="27" t="s">
        <v>1268</v>
      </c>
      <c r="O478" s="27" t="s">
        <v>528</v>
      </c>
    </row>
    <row r="479" spans="1:15">
      <c r="A479" s="25">
        <v>10607</v>
      </c>
      <c r="B479" s="34" t="s">
        <v>1277</v>
      </c>
      <c r="C479" s="31" t="s">
        <v>521</v>
      </c>
      <c r="D479" s="27" t="s">
        <v>602</v>
      </c>
      <c r="E479" s="28">
        <v>40544</v>
      </c>
      <c r="F479" s="28" t="s">
        <v>35</v>
      </c>
      <c r="G479" s="28" t="s">
        <v>35</v>
      </c>
      <c r="H479" s="27" t="s">
        <v>549</v>
      </c>
      <c r="I479" s="27" t="s">
        <v>1259</v>
      </c>
      <c r="J479" s="27" t="s">
        <v>525</v>
      </c>
      <c r="K479" s="27" t="s">
        <v>525</v>
      </c>
      <c r="L479" s="27" t="s">
        <v>1267</v>
      </c>
      <c r="M479" s="27" t="s">
        <v>35</v>
      </c>
      <c r="N479" s="27" t="s">
        <v>1268</v>
      </c>
      <c r="O479" s="27" t="s">
        <v>528</v>
      </c>
    </row>
    <row r="480" spans="1:15">
      <c r="A480" s="25">
        <v>22801</v>
      </c>
      <c r="B480" s="34" t="s">
        <v>1278</v>
      </c>
      <c r="C480" s="31" t="s">
        <v>521</v>
      </c>
      <c r="D480" s="27" t="s">
        <v>1279</v>
      </c>
      <c r="E480" s="28">
        <v>43304</v>
      </c>
      <c r="F480" s="28">
        <v>43335</v>
      </c>
      <c r="G480" s="28">
        <v>43708</v>
      </c>
      <c r="H480" s="27" t="s">
        <v>549</v>
      </c>
      <c r="I480" s="27" t="s">
        <v>1259</v>
      </c>
      <c r="J480" s="27" t="s">
        <v>525</v>
      </c>
      <c r="K480" s="27" t="s">
        <v>525</v>
      </c>
      <c r="L480" s="27" t="s">
        <v>1267</v>
      </c>
      <c r="M480" s="27" t="s">
        <v>35</v>
      </c>
      <c r="N480" s="27" t="s">
        <v>1268</v>
      </c>
      <c r="O480" s="27" t="s">
        <v>528</v>
      </c>
    </row>
    <row r="481" spans="1:15">
      <c r="A481" s="25">
        <v>5535</v>
      </c>
      <c r="B481" s="26" t="s">
        <v>1280</v>
      </c>
      <c r="C481" s="27" t="s">
        <v>521</v>
      </c>
      <c r="D481" s="27" t="s">
        <v>522</v>
      </c>
      <c r="E481" s="28">
        <v>39027</v>
      </c>
      <c r="F481" s="28" t="s">
        <v>35</v>
      </c>
      <c r="G481" s="28" t="s">
        <v>35</v>
      </c>
      <c r="H481" s="27" t="s">
        <v>549</v>
      </c>
      <c r="I481" s="27" t="s">
        <v>1259</v>
      </c>
      <c r="J481" s="27" t="s">
        <v>525</v>
      </c>
      <c r="K481" s="27" t="s">
        <v>525</v>
      </c>
      <c r="L481" s="27" t="s">
        <v>1281</v>
      </c>
      <c r="M481" s="27" t="s">
        <v>569</v>
      </c>
      <c r="N481" s="27" t="s">
        <v>1037</v>
      </c>
      <c r="O481" s="27" t="s">
        <v>528</v>
      </c>
    </row>
    <row r="482" spans="1:15">
      <c r="A482" s="25">
        <v>6107</v>
      </c>
      <c r="B482" s="26" t="s">
        <v>1282</v>
      </c>
      <c r="C482" s="27" t="s">
        <v>521</v>
      </c>
      <c r="D482" s="27" t="s">
        <v>522</v>
      </c>
      <c r="E482" s="28">
        <v>39142</v>
      </c>
      <c r="F482" s="28" t="s">
        <v>35</v>
      </c>
      <c r="G482" s="28" t="s">
        <v>35</v>
      </c>
      <c r="H482" s="27" t="s">
        <v>549</v>
      </c>
      <c r="I482" s="27" t="s">
        <v>1259</v>
      </c>
      <c r="J482" s="27" t="s">
        <v>525</v>
      </c>
      <c r="K482" s="27" t="s">
        <v>525</v>
      </c>
      <c r="L482" s="27" t="s">
        <v>1283</v>
      </c>
      <c r="M482" s="27" t="s">
        <v>569</v>
      </c>
      <c r="N482" s="27" t="s">
        <v>1037</v>
      </c>
      <c r="O482" s="27" t="s">
        <v>528</v>
      </c>
    </row>
    <row r="483" spans="1:15">
      <c r="A483" s="25">
        <v>596</v>
      </c>
      <c r="B483" s="26" t="s">
        <v>1284</v>
      </c>
      <c r="C483" s="27" t="s">
        <v>521</v>
      </c>
      <c r="D483" s="27" t="s">
        <v>522</v>
      </c>
      <c r="E483" s="28">
        <v>37774</v>
      </c>
      <c r="F483" s="28" t="s">
        <v>35</v>
      </c>
      <c r="G483" s="28" t="s">
        <v>35</v>
      </c>
      <c r="H483" s="27" t="s">
        <v>549</v>
      </c>
      <c r="I483" s="27" t="s">
        <v>1248</v>
      </c>
      <c r="J483" s="27" t="s">
        <v>525</v>
      </c>
      <c r="K483" s="27" t="s">
        <v>525</v>
      </c>
      <c r="L483" s="27" t="s">
        <v>1283</v>
      </c>
      <c r="M483" s="27" t="s">
        <v>569</v>
      </c>
      <c r="N483" s="27" t="s">
        <v>1037</v>
      </c>
      <c r="O483" s="27" t="s">
        <v>528</v>
      </c>
    </row>
    <row r="484" spans="1:15">
      <c r="A484" s="25">
        <v>21935</v>
      </c>
      <c r="B484" s="26" t="s">
        <v>1285</v>
      </c>
      <c r="C484" s="27" t="s">
        <v>521</v>
      </c>
      <c r="D484" s="27" t="s">
        <v>740</v>
      </c>
      <c r="E484" s="28">
        <v>43111</v>
      </c>
      <c r="F484" s="28">
        <v>43142</v>
      </c>
      <c r="G484" s="28">
        <v>43496</v>
      </c>
      <c r="H484" s="27" t="s">
        <v>549</v>
      </c>
      <c r="I484" s="27" t="s">
        <v>1248</v>
      </c>
      <c r="J484" s="27" t="s">
        <v>525</v>
      </c>
      <c r="K484" s="27" t="s">
        <v>525</v>
      </c>
      <c r="L484" s="27" t="s">
        <v>1267</v>
      </c>
      <c r="M484" s="27" t="s">
        <v>1267</v>
      </c>
      <c r="N484" s="27" t="s">
        <v>1268</v>
      </c>
      <c r="O484" s="27" t="s">
        <v>528</v>
      </c>
    </row>
    <row r="485" spans="1:15">
      <c r="A485" s="25">
        <v>5439</v>
      </c>
      <c r="B485" s="26" t="s">
        <v>1286</v>
      </c>
      <c r="C485" s="27" t="s">
        <v>521</v>
      </c>
      <c r="D485" s="27" t="s">
        <v>760</v>
      </c>
      <c r="E485" s="28">
        <v>38991</v>
      </c>
      <c r="F485" s="28" t="s">
        <v>35</v>
      </c>
      <c r="G485" s="28" t="s">
        <v>35</v>
      </c>
      <c r="H485" s="27" t="s">
        <v>1287</v>
      </c>
      <c r="I485" s="27" t="s">
        <v>1288</v>
      </c>
      <c r="J485" s="27" t="s">
        <v>525</v>
      </c>
      <c r="K485" s="27" t="s">
        <v>525</v>
      </c>
      <c r="L485" s="27" t="s">
        <v>1289</v>
      </c>
      <c r="M485" s="27" t="s">
        <v>573</v>
      </c>
      <c r="N485" s="27" t="s">
        <v>648</v>
      </c>
      <c r="O485" s="27" t="s">
        <v>528</v>
      </c>
    </row>
    <row r="486" spans="1:15">
      <c r="A486" s="25">
        <v>6033</v>
      </c>
      <c r="B486" s="26" t="s">
        <v>1290</v>
      </c>
      <c r="C486" s="27" t="s">
        <v>521</v>
      </c>
      <c r="D486" s="27" t="s">
        <v>591</v>
      </c>
      <c r="E486" s="28">
        <v>39142</v>
      </c>
      <c r="F486" s="28" t="s">
        <v>35</v>
      </c>
      <c r="G486" s="28" t="s">
        <v>35</v>
      </c>
      <c r="H486" s="27" t="s">
        <v>1287</v>
      </c>
      <c r="I486" s="27" t="s">
        <v>1288</v>
      </c>
      <c r="J486" s="27" t="s">
        <v>525</v>
      </c>
      <c r="K486" s="27" t="s">
        <v>525</v>
      </c>
      <c r="L486" s="27" t="s">
        <v>1289</v>
      </c>
      <c r="M486" s="27" t="s">
        <v>1291</v>
      </c>
      <c r="N486" s="27" t="s">
        <v>1289</v>
      </c>
      <c r="O486" s="27" t="s">
        <v>528</v>
      </c>
    </row>
    <row r="487" spans="1:15">
      <c r="A487" s="25">
        <v>3687</v>
      </c>
      <c r="B487" s="26" t="s">
        <v>1292</v>
      </c>
      <c r="C487" s="27" t="s">
        <v>521</v>
      </c>
      <c r="D487" s="27" t="s">
        <v>522</v>
      </c>
      <c r="E487" s="28">
        <v>38488</v>
      </c>
      <c r="F487" s="28" t="s">
        <v>35</v>
      </c>
      <c r="G487" s="28" t="s">
        <v>35</v>
      </c>
      <c r="H487" s="27" t="s">
        <v>1287</v>
      </c>
      <c r="I487" s="27" t="s">
        <v>1293</v>
      </c>
      <c r="J487" s="27" t="s">
        <v>525</v>
      </c>
      <c r="K487" s="27" t="s">
        <v>525</v>
      </c>
      <c r="L487" s="27" t="s">
        <v>1289</v>
      </c>
      <c r="M487" s="27" t="s">
        <v>1294</v>
      </c>
      <c r="N487" s="27" t="s">
        <v>1037</v>
      </c>
      <c r="O487" s="27" t="s">
        <v>528</v>
      </c>
    </row>
    <row r="488" spans="1:15">
      <c r="A488" s="25">
        <v>233</v>
      </c>
      <c r="B488" s="26" t="s">
        <v>1295</v>
      </c>
      <c r="C488" s="27" t="s">
        <v>521</v>
      </c>
      <c r="D488" s="27" t="s">
        <v>679</v>
      </c>
      <c r="E488" s="28">
        <v>37697</v>
      </c>
      <c r="F488" s="28" t="s">
        <v>35</v>
      </c>
      <c r="G488" s="28" t="s">
        <v>35</v>
      </c>
      <c r="H488" s="27" t="s">
        <v>1287</v>
      </c>
      <c r="I488" s="27" t="s">
        <v>1296</v>
      </c>
      <c r="J488" s="27" t="s">
        <v>525</v>
      </c>
      <c r="K488" s="27" t="s">
        <v>525</v>
      </c>
      <c r="L488" s="27" t="s">
        <v>1289</v>
      </c>
      <c r="M488" s="27" t="s">
        <v>1291</v>
      </c>
      <c r="N488" s="27" t="s">
        <v>1289</v>
      </c>
      <c r="O488" s="27" t="s">
        <v>528</v>
      </c>
    </row>
    <row r="489" spans="1:15">
      <c r="A489" s="25">
        <v>515</v>
      </c>
      <c r="B489" s="26" t="s">
        <v>1297</v>
      </c>
      <c r="C489" s="27" t="s">
        <v>521</v>
      </c>
      <c r="D489" s="27" t="s">
        <v>1063</v>
      </c>
      <c r="E489" s="28">
        <v>37767</v>
      </c>
      <c r="F489" s="28" t="s">
        <v>35</v>
      </c>
      <c r="G489" s="28" t="s">
        <v>35</v>
      </c>
      <c r="H489" s="27" t="s">
        <v>1287</v>
      </c>
      <c r="I489" s="27" t="s">
        <v>1296</v>
      </c>
      <c r="J489" s="27" t="s">
        <v>525</v>
      </c>
      <c r="K489" s="27" t="s">
        <v>525</v>
      </c>
      <c r="L489" s="27" t="s">
        <v>1289</v>
      </c>
      <c r="M489" s="27" t="s">
        <v>1291</v>
      </c>
      <c r="N489" s="27" t="s">
        <v>1289</v>
      </c>
      <c r="O489" s="27" t="s">
        <v>528</v>
      </c>
    </row>
    <row r="490" spans="1:15">
      <c r="A490" s="25">
        <v>957</v>
      </c>
      <c r="B490" s="26" t="s">
        <v>1298</v>
      </c>
      <c r="C490" s="27" t="s">
        <v>521</v>
      </c>
      <c r="D490" s="27" t="s">
        <v>827</v>
      </c>
      <c r="E490" s="28">
        <v>37865</v>
      </c>
      <c r="F490" s="28" t="s">
        <v>35</v>
      </c>
      <c r="G490" s="28" t="s">
        <v>35</v>
      </c>
      <c r="H490" s="27" t="s">
        <v>1287</v>
      </c>
      <c r="I490" s="27" t="s">
        <v>1296</v>
      </c>
      <c r="J490" s="31" t="s">
        <v>525</v>
      </c>
      <c r="K490" s="31" t="s">
        <v>525</v>
      </c>
      <c r="L490" s="27" t="s">
        <v>1289</v>
      </c>
      <c r="M490" s="27" t="s">
        <v>573</v>
      </c>
      <c r="N490" s="27" t="s">
        <v>648</v>
      </c>
      <c r="O490" s="27" t="s">
        <v>528</v>
      </c>
    </row>
    <row r="491" spans="1:15">
      <c r="A491" s="25">
        <v>3102</v>
      </c>
      <c r="B491" s="26" t="s">
        <v>1299</v>
      </c>
      <c r="C491" s="27" t="s">
        <v>521</v>
      </c>
      <c r="D491" s="27" t="s">
        <v>522</v>
      </c>
      <c r="E491" s="28">
        <v>38236</v>
      </c>
      <c r="F491" s="28" t="s">
        <v>35</v>
      </c>
      <c r="G491" s="28" t="s">
        <v>35</v>
      </c>
      <c r="H491" s="27" t="s">
        <v>1287</v>
      </c>
      <c r="I491" s="27" t="s">
        <v>1296</v>
      </c>
      <c r="J491" s="27" t="s">
        <v>525</v>
      </c>
      <c r="K491" s="27" t="s">
        <v>525</v>
      </c>
      <c r="L491" s="27" t="s">
        <v>1289</v>
      </c>
      <c r="M491" s="27" t="s">
        <v>1300</v>
      </c>
      <c r="N491" s="27" t="s">
        <v>1037</v>
      </c>
      <c r="O491" s="27" t="s">
        <v>528</v>
      </c>
    </row>
    <row r="492" spans="1:15">
      <c r="A492" s="25">
        <v>6058</v>
      </c>
      <c r="B492" s="26" t="s">
        <v>1301</v>
      </c>
      <c r="C492" s="27" t="s">
        <v>521</v>
      </c>
      <c r="D492" s="27" t="s">
        <v>591</v>
      </c>
      <c r="E492" s="28">
        <v>39142</v>
      </c>
      <c r="F492" s="28" t="s">
        <v>35</v>
      </c>
      <c r="G492" s="28" t="s">
        <v>35</v>
      </c>
      <c r="H492" s="27" t="s">
        <v>1287</v>
      </c>
      <c r="I492" s="27" t="s">
        <v>1296</v>
      </c>
      <c r="J492" s="27" t="s">
        <v>525</v>
      </c>
      <c r="K492" s="27" t="s">
        <v>525</v>
      </c>
      <c r="L492" s="27" t="s">
        <v>1289</v>
      </c>
      <c r="M492" s="27" t="s">
        <v>1291</v>
      </c>
      <c r="N492" s="27" t="s">
        <v>1289</v>
      </c>
      <c r="O492" s="27" t="s">
        <v>528</v>
      </c>
    </row>
    <row r="493" spans="1:15">
      <c r="A493" s="25">
        <v>6064</v>
      </c>
      <c r="B493" s="26" t="s">
        <v>1302</v>
      </c>
      <c r="C493" s="27" t="s">
        <v>521</v>
      </c>
      <c r="D493" s="27" t="s">
        <v>591</v>
      </c>
      <c r="E493" s="28">
        <v>39142</v>
      </c>
      <c r="F493" s="28" t="s">
        <v>35</v>
      </c>
      <c r="G493" s="28" t="s">
        <v>35</v>
      </c>
      <c r="H493" s="27" t="s">
        <v>1287</v>
      </c>
      <c r="I493" s="27" t="s">
        <v>1296</v>
      </c>
      <c r="J493" s="27" t="s">
        <v>525</v>
      </c>
      <c r="K493" s="27" t="s">
        <v>525</v>
      </c>
      <c r="L493" s="27" t="s">
        <v>1289</v>
      </c>
      <c r="M493" s="27" t="s">
        <v>573</v>
      </c>
      <c r="N493" s="27" t="s">
        <v>648</v>
      </c>
      <c r="O493" s="27" t="s">
        <v>528</v>
      </c>
    </row>
    <row r="494" spans="1:15">
      <c r="A494" s="25">
        <v>6066</v>
      </c>
      <c r="B494" s="26" t="s">
        <v>1303</v>
      </c>
      <c r="C494" s="27" t="s">
        <v>521</v>
      </c>
      <c r="D494" s="27" t="s">
        <v>591</v>
      </c>
      <c r="E494" s="28">
        <v>39142</v>
      </c>
      <c r="F494" s="28" t="s">
        <v>35</v>
      </c>
      <c r="G494" s="28" t="s">
        <v>35</v>
      </c>
      <c r="H494" s="27" t="s">
        <v>1287</v>
      </c>
      <c r="I494" s="27" t="s">
        <v>1296</v>
      </c>
      <c r="J494" s="31" t="s">
        <v>525</v>
      </c>
      <c r="K494" s="31" t="s">
        <v>525</v>
      </c>
      <c r="L494" s="27" t="s">
        <v>1289</v>
      </c>
      <c r="M494" s="27" t="s">
        <v>573</v>
      </c>
      <c r="N494" s="27" t="s">
        <v>648</v>
      </c>
      <c r="O494" s="27" t="s">
        <v>528</v>
      </c>
    </row>
    <row r="495" spans="1:15">
      <c r="A495" s="25">
        <v>9363</v>
      </c>
      <c r="B495" s="26" t="s">
        <v>1304</v>
      </c>
      <c r="C495" s="27" t="s">
        <v>521</v>
      </c>
      <c r="D495" s="27" t="s">
        <v>658</v>
      </c>
      <c r="E495" s="28">
        <v>40148</v>
      </c>
      <c r="F495" s="28" t="s">
        <v>35</v>
      </c>
      <c r="G495" s="28" t="s">
        <v>35</v>
      </c>
      <c r="H495" s="27" t="s">
        <v>1287</v>
      </c>
      <c r="I495" s="27" t="s">
        <v>1296</v>
      </c>
      <c r="J495" s="31" t="s">
        <v>525</v>
      </c>
      <c r="K495" s="31" t="s">
        <v>525</v>
      </c>
      <c r="L495" s="27" t="s">
        <v>1289</v>
      </c>
      <c r="M495" s="27" t="s">
        <v>1291</v>
      </c>
      <c r="N495" s="27" t="s">
        <v>1289</v>
      </c>
      <c r="O495" s="27" t="s">
        <v>528</v>
      </c>
    </row>
    <row r="496" spans="1:15">
      <c r="A496" s="25">
        <v>13523</v>
      </c>
      <c r="B496" s="34" t="s">
        <v>381</v>
      </c>
      <c r="C496" s="31" t="s">
        <v>521</v>
      </c>
      <c r="D496" s="31" t="s">
        <v>1305</v>
      </c>
      <c r="E496" s="28">
        <v>40945</v>
      </c>
      <c r="F496" s="28" t="s">
        <v>35</v>
      </c>
      <c r="G496" s="28" t="s">
        <v>35</v>
      </c>
      <c r="H496" s="27" t="s">
        <v>540</v>
      </c>
      <c r="I496" s="27" t="s">
        <v>1306</v>
      </c>
      <c r="J496" s="27" t="s">
        <v>525</v>
      </c>
      <c r="K496" s="27" t="s">
        <v>525</v>
      </c>
      <c r="L496" s="27" t="s">
        <v>1214</v>
      </c>
      <c r="M496" s="29" t="s">
        <v>1307</v>
      </c>
      <c r="N496" s="29" t="s">
        <v>1214</v>
      </c>
      <c r="O496" s="29" t="s">
        <v>594</v>
      </c>
    </row>
    <row r="497" spans="1:15">
      <c r="A497" s="25">
        <v>14094</v>
      </c>
      <c r="B497" s="32" t="s">
        <v>372</v>
      </c>
      <c r="C497" s="27" t="s">
        <v>521</v>
      </c>
      <c r="D497" s="27" t="s">
        <v>619</v>
      </c>
      <c r="E497" s="28">
        <v>41306</v>
      </c>
      <c r="F497" s="28" t="s">
        <v>35</v>
      </c>
      <c r="G497" s="28" t="s">
        <v>35</v>
      </c>
      <c r="H497" s="31" t="s">
        <v>540</v>
      </c>
      <c r="I497" s="31" t="s">
        <v>1306</v>
      </c>
      <c r="J497" s="31" t="s">
        <v>525</v>
      </c>
      <c r="K497" s="31" t="s">
        <v>525</v>
      </c>
      <c r="L497" s="27" t="s">
        <v>1214</v>
      </c>
      <c r="M497" s="27" t="s">
        <v>1308</v>
      </c>
      <c r="N497" s="31" t="s">
        <v>1214</v>
      </c>
      <c r="O497" s="27" t="s">
        <v>594</v>
      </c>
    </row>
    <row r="498" spans="1:15">
      <c r="A498" s="25">
        <v>21508</v>
      </c>
      <c r="B498" s="26" t="s">
        <v>282</v>
      </c>
      <c r="C498" s="27" t="s">
        <v>521</v>
      </c>
      <c r="D498" s="27" t="s">
        <v>1309</v>
      </c>
      <c r="E498" s="28">
        <v>43031</v>
      </c>
      <c r="F498" s="28">
        <v>43435</v>
      </c>
      <c r="G498" s="28">
        <v>43799</v>
      </c>
      <c r="H498" s="27" t="s">
        <v>540</v>
      </c>
      <c r="I498" s="27" t="s">
        <v>1306</v>
      </c>
      <c r="J498" s="27" t="s">
        <v>525</v>
      </c>
      <c r="K498" s="27" t="s">
        <v>525</v>
      </c>
      <c r="L498" s="27" t="s">
        <v>1214</v>
      </c>
      <c r="M498" s="27" t="s">
        <v>1308</v>
      </c>
      <c r="N498" s="31" t="s">
        <v>1214</v>
      </c>
      <c r="O498" s="29" t="s">
        <v>594</v>
      </c>
    </row>
    <row r="499" spans="1:15">
      <c r="A499" s="25">
        <v>1012</v>
      </c>
      <c r="B499" s="26" t="s">
        <v>498</v>
      </c>
      <c r="C499" s="27" t="s">
        <v>521</v>
      </c>
      <c r="D499" s="27" t="s">
        <v>1242</v>
      </c>
      <c r="E499" s="28">
        <v>37872</v>
      </c>
      <c r="F499" s="28" t="s">
        <v>35</v>
      </c>
      <c r="G499" s="28" t="s">
        <v>35</v>
      </c>
      <c r="H499" s="27" t="s">
        <v>540</v>
      </c>
      <c r="I499" s="27" t="s">
        <v>1306</v>
      </c>
      <c r="J499" s="27" t="s">
        <v>525</v>
      </c>
      <c r="K499" s="27" t="s">
        <v>525</v>
      </c>
      <c r="L499" s="29" t="s">
        <v>1310</v>
      </c>
      <c r="M499" s="29" t="s">
        <v>1311</v>
      </c>
      <c r="N499" s="31" t="s">
        <v>1214</v>
      </c>
      <c r="O499" s="29" t="s">
        <v>528</v>
      </c>
    </row>
    <row r="500" spans="1:15">
      <c r="A500" s="25">
        <v>22780</v>
      </c>
      <c r="B500" s="34" t="s">
        <v>226</v>
      </c>
      <c r="C500" s="31" t="s">
        <v>521</v>
      </c>
      <c r="D500" s="31" t="s">
        <v>1312</v>
      </c>
      <c r="E500" s="28">
        <v>43283</v>
      </c>
      <c r="F500" s="28">
        <v>43314</v>
      </c>
      <c r="G500" s="28">
        <v>43677</v>
      </c>
      <c r="H500" s="27" t="s">
        <v>540</v>
      </c>
      <c r="I500" s="27" t="s">
        <v>1306</v>
      </c>
      <c r="J500" s="27" t="s">
        <v>525</v>
      </c>
      <c r="K500" s="27" t="s">
        <v>525</v>
      </c>
      <c r="L500" s="29" t="s">
        <v>1310</v>
      </c>
      <c r="M500" s="29" t="s">
        <v>35</v>
      </c>
      <c r="N500" s="31" t="s">
        <v>1214</v>
      </c>
      <c r="O500" s="29" t="s">
        <v>594</v>
      </c>
    </row>
    <row r="501" spans="1:15">
      <c r="A501" s="25">
        <v>13346</v>
      </c>
      <c r="B501" s="34" t="s">
        <v>391</v>
      </c>
      <c r="C501" s="31" t="s">
        <v>521</v>
      </c>
      <c r="D501" s="31" t="s">
        <v>638</v>
      </c>
      <c r="E501" s="28">
        <v>40924</v>
      </c>
      <c r="F501" s="28" t="s">
        <v>35</v>
      </c>
      <c r="G501" s="28" t="s">
        <v>35</v>
      </c>
      <c r="H501" s="27" t="s">
        <v>540</v>
      </c>
      <c r="I501" s="29" t="s">
        <v>1306</v>
      </c>
      <c r="J501" s="29" t="s">
        <v>525</v>
      </c>
      <c r="K501" s="29" t="s">
        <v>525</v>
      </c>
      <c r="L501" s="29" t="s">
        <v>1214</v>
      </c>
      <c r="M501" s="29" t="s">
        <v>1311</v>
      </c>
      <c r="N501" s="29" t="s">
        <v>1214</v>
      </c>
      <c r="O501" s="29" t="s">
        <v>528</v>
      </c>
    </row>
    <row r="502" spans="1:15">
      <c r="A502" s="25">
        <v>14110</v>
      </c>
      <c r="B502" s="32" t="s">
        <v>367</v>
      </c>
      <c r="C502" s="27" t="s">
        <v>521</v>
      </c>
      <c r="D502" s="27" t="s">
        <v>619</v>
      </c>
      <c r="E502" s="28">
        <v>41306</v>
      </c>
      <c r="F502" s="28" t="s">
        <v>35</v>
      </c>
      <c r="G502" s="28" t="s">
        <v>35</v>
      </c>
      <c r="H502" s="31" t="s">
        <v>540</v>
      </c>
      <c r="I502" s="31" t="s">
        <v>1306</v>
      </c>
      <c r="J502" s="31" t="s">
        <v>525</v>
      </c>
      <c r="K502" s="31" t="s">
        <v>525</v>
      </c>
      <c r="L502" s="27" t="s">
        <v>1214</v>
      </c>
      <c r="M502" s="29" t="s">
        <v>1313</v>
      </c>
      <c r="N502" s="29" t="s">
        <v>1214</v>
      </c>
      <c r="O502" s="29" t="s">
        <v>590</v>
      </c>
    </row>
    <row r="503" spans="1:15">
      <c r="A503" s="82">
        <v>19456</v>
      </c>
      <c r="B503" s="26" t="s">
        <v>1314</v>
      </c>
      <c r="C503" s="27" t="s">
        <v>521</v>
      </c>
      <c r="D503" s="27" t="s">
        <v>1315</v>
      </c>
      <c r="E503" s="28">
        <v>42390</v>
      </c>
      <c r="F503" s="28" t="s">
        <v>35</v>
      </c>
      <c r="G503" s="28" t="s">
        <v>35</v>
      </c>
      <c r="H503" s="31" t="s">
        <v>540</v>
      </c>
      <c r="I503" s="27" t="s">
        <v>1306</v>
      </c>
      <c r="J503" s="31" t="s">
        <v>525</v>
      </c>
      <c r="K503" s="31" t="s">
        <v>525</v>
      </c>
      <c r="L503" s="29" t="s">
        <v>1214</v>
      </c>
      <c r="M503" s="29" t="s">
        <v>1316</v>
      </c>
      <c r="N503" s="29" t="s">
        <v>648</v>
      </c>
      <c r="O503" s="29" t="s">
        <v>528</v>
      </c>
    </row>
    <row r="504" spans="1:15">
      <c r="A504" s="25">
        <v>5226</v>
      </c>
      <c r="B504" s="26" t="s">
        <v>1317</v>
      </c>
      <c r="C504" s="27" t="s">
        <v>521</v>
      </c>
      <c r="D504" s="27" t="s">
        <v>1208</v>
      </c>
      <c r="E504" s="28">
        <v>38961</v>
      </c>
      <c r="F504" s="28" t="s">
        <v>35</v>
      </c>
      <c r="G504" s="28" t="s">
        <v>35</v>
      </c>
      <c r="H504" s="27" t="s">
        <v>540</v>
      </c>
      <c r="I504" s="27" t="s">
        <v>1306</v>
      </c>
      <c r="J504" s="27" t="s">
        <v>525</v>
      </c>
      <c r="K504" s="27" t="s">
        <v>525</v>
      </c>
      <c r="L504" s="27" t="s">
        <v>1214</v>
      </c>
      <c r="M504" s="27" t="s">
        <v>1307</v>
      </c>
      <c r="N504" s="27" t="s">
        <v>1214</v>
      </c>
      <c r="O504" s="27" t="s">
        <v>590</v>
      </c>
    </row>
    <row r="505" spans="1:15">
      <c r="A505" s="25">
        <v>9786</v>
      </c>
      <c r="B505" s="26" t="s">
        <v>94</v>
      </c>
      <c r="C505" s="27" t="s">
        <v>521</v>
      </c>
      <c r="D505" s="27" t="s">
        <v>1318</v>
      </c>
      <c r="E505" s="28">
        <v>40330</v>
      </c>
      <c r="F505" s="28" t="s">
        <v>35</v>
      </c>
      <c r="G505" s="28" t="s">
        <v>35</v>
      </c>
      <c r="H505" s="27" t="s">
        <v>540</v>
      </c>
      <c r="I505" s="27" t="s">
        <v>1306</v>
      </c>
      <c r="J505" s="27" t="s">
        <v>525</v>
      </c>
      <c r="K505" s="27" t="s">
        <v>525</v>
      </c>
      <c r="L505" s="27" t="s">
        <v>1214</v>
      </c>
      <c r="M505" s="27" t="s">
        <v>1308</v>
      </c>
      <c r="N505" s="27" t="s">
        <v>1214</v>
      </c>
      <c r="O505" s="29" t="s">
        <v>590</v>
      </c>
    </row>
    <row r="506" spans="1:15">
      <c r="A506" s="25">
        <v>22323</v>
      </c>
      <c r="B506" s="26" t="s">
        <v>1319</v>
      </c>
      <c r="C506" s="27" t="s">
        <v>521</v>
      </c>
      <c r="D506" s="27" t="s">
        <v>1320</v>
      </c>
      <c r="E506" s="28">
        <v>43192</v>
      </c>
      <c r="F506" s="28">
        <v>43222</v>
      </c>
      <c r="G506" s="28">
        <v>43585</v>
      </c>
      <c r="H506" s="27" t="s">
        <v>540</v>
      </c>
      <c r="I506" s="27" t="s">
        <v>1306</v>
      </c>
      <c r="J506" s="27" t="s">
        <v>525</v>
      </c>
      <c r="K506" s="27" t="s">
        <v>525</v>
      </c>
      <c r="L506" s="27" t="s">
        <v>1214</v>
      </c>
      <c r="M506" s="27" t="s">
        <v>1308</v>
      </c>
      <c r="N506" s="31" t="s">
        <v>1214</v>
      </c>
      <c r="O506" s="29" t="s">
        <v>528</v>
      </c>
    </row>
    <row r="507" spans="1:15">
      <c r="A507" s="25">
        <v>11259</v>
      </c>
      <c r="B507" s="26" t="s">
        <v>460</v>
      </c>
      <c r="C507" s="27" t="s">
        <v>521</v>
      </c>
      <c r="D507" s="27" t="s">
        <v>828</v>
      </c>
      <c r="E507" s="28">
        <v>40617</v>
      </c>
      <c r="F507" s="28" t="s">
        <v>35</v>
      </c>
      <c r="G507" s="28" t="s">
        <v>35</v>
      </c>
      <c r="H507" s="27" t="s">
        <v>540</v>
      </c>
      <c r="I507" s="27" t="s">
        <v>1306</v>
      </c>
      <c r="J507" s="27" t="s">
        <v>525</v>
      </c>
      <c r="K507" s="27" t="s">
        <v>525</v>
      </c>
      <c r="L507" s="27" t="s">
        <v>1321</v>
      </c>
      <c r="M507" s="27" t="s">
        <v>1322</v>
      </c>
      <c r="N507" s="27" t="s">
        <v>1321</v>
      </c>
      <c r="O507" s="29" t="s">
        <v>594</v>
      </c>
    </row>
    <row r="508" spans="1:15">
      <c r="A508" s="25">
        <v>13422</v>
      </c>
      <c r="B508" s="34" t="s">
        <v>1323</v>
      </c>
      <c r="C508" s="31" t="s">
        <v>521</v>
      </c>
      <c r="D508" s="31" t="s">
        <v>1119</v>
      </c>
      <c r="E508" s="28">
        <v>40932</v>
      </c>
      <c r="F508" s="28" t="s">
        <v>35</v>
      </c>
      <c r="G508" s="28" t="s">
        <v>35</v>
      </c>
      <c r="H508" s="27" t="s">
        <v>540</v>
      </c>
      <c r="I508" s="27" t="s">
        <v>1306</v>
      </c>
      <c r="J508" s="27" t="s">
        <v>525</v>
      </c>
      <c r="K508" s="27" t="s">
        <v>525</v>
      </c>
      <c r="L508" s="27" t="s">
        <v>1321</v>
      </c>
      <c r="M508" s="27" t="s">
        <v>1324</v>
      </c>
      <c r="N508" s="31" t="s">
        <v>1321</v>
      </c>
      <c r="O508" s="27" t="s">
        <v>594</v>
      </c>
    </row>
    <row r="509" spans="1:15">
      <c r="A509" s="25">
        <v>15479</v>
      </c>
      <c r="B509" s="26" t="s">
        <v>353</v>
      </c>
      <c r="C509" s="27" t="s">
        <v>521</v>
      </c>
      <c r="D509" s="27" t="s">
        <v>1325</v>
      </c>
      <c r="E509" s="28">
        <v>41449</v>
      </c>
      <c r="F509" s="28" t="s">
        <v>35</v>
      </c>
      <c r="G509" s="28" t="s">
        <v>35</v>
      </c>
      <c r="H509" s="31" t="s">
        <v>540</v>
      </c>
      <c r="I509" s="31" t="s">
        <v>1306</v>
      </c>
      <c r="J509" s="31" t="s">
        <v>525</v>
      </c>
      <c r="K509" s="31" t="s">
        <v>525</v>
      </c>
      <c r="L509" s="27" t="s">
        <v>1321</v>
      </c>
      <c r="M509" s="27" t="s">
        <v>1326</v>
      </c>
      <c r="N509" s="31" t="s">
        <v>1321</v>
      </c>
      <c r="O509" s="27" t="s">
        <v>594</v>
      </c>
    </row>
    <row r="510" spans="1:15">
      <c r="A510" s="25">
        <v>1204</v>
      </c>
      <c r="B510" s="26" t="s">
        <v>423</v>
      </c>
      <c r="C510" s="27" t="s">
        <v>521</v>
      </c>
      <c r="D510" s="27" t="s">
        <v>1205</v>
      </c>
      <c r="E510" s="28">
        <v>37907</v>
      </c>
      <c r="F510" s="28" t="s">
        <v>35</v>
      </c>
      <c r="G510" s="28" t="s">
        <v>35</v>
      </c>
      <c r="H510" s="27" t="s">
        <v>540</v>
      </c>
      <c r="I510" s="27" t="s">
        <v>1306</v>
      </c>
      <c r="J510" s="27" t="s">
        <v>525</v>
      </c>
      <c r="K510" s="27" t="s">
        <v>525</v>
      </c>
      <c r="L510" s="27" t="s">
        <v>1321</v>
      </c>
      <c r="M510" s="27" t="s">
        <v>1326</v>
      </c>
      <c r="N510" s="27" t="s">
        <v>1321</v>
      </c>
      <c r="O510" s="29" t="s">
        <v>528</v>
      </c>
    </row>
    <row r="511" spans="1:15">
      <c r="A511" s="25">
        <v>13335</v>
      </c>
      <c r="B511" s="34" t="s">
        <v>1327</v>
      </c>
      <c r="C511" s="31" t="s">
        <v>521</v>
      </c>
      <c r="D511" s="31" t="s">
        <v>638</v>
      </c>
      <c r="E511" s="28">
        <v>40924</v>
      </c>
      <c r="F511" s="28" t="s">
        <v>35</v>
      </c>
      <c r="G511" s="28" t="s">
        <v>35</v>
      </c>
      <c r="H511" s="27" t="s">
        <v>540</v>
      </c>
      <c r="I511" s="27" t="s">
        <v>1306</v>
      </c>
      <c r="J511" s="27" t="s">
        <v>525</v>
      </c>
      <c r="K511" s="27" t="s">
        <v>525</v>
      </c>
      <c r="L511" s="27" t="s">
        <v>1321</v>
      </c>
      <c r="M511" s="27" t="s">
        <v>1324</v>
      </c>
      <c r="N511" s="31" t="s">
        <v>1321</v>
      </c>
      <c r="O511" s="29" t="s">
        <v>528</v>
      </c>
    </row>
    <row r="512" spans="1:15">
      <c r="A512" s="25">
        <v>14105</v>
      </c>
      <c r="B512" s="32" t="s">
        <v>369</v>
      </c>
      <c r="C512" s="27" t="s">
        <v>521</v>
      </c>
      <c r="D512" s="27" t="s">
        <v>619</v>
      </c>
      <c r="E512" s="28">
        <v>41306</v>
      </c>
      <c r="F512" s="28" t="s">
        <v>35</v>
      </c>
      <c r="G512" s="28" t="s">
        <v>35</v>
      </c>
      <c r="H512" s="31" t="s">
        <v>540</v>
      </c>
      <c r="I512" s="31" t="s">
        <v>1306</v>
      </c>
      <c r="J512" s="31" t="s">
        <v>525</v>
      </c>
      <c r="K512" s="31" t="s">
        <v>525</v>
      </c>
      <c r="L512" s="29" t="s">
        <v>543</v>
      </c>
      <c r="M512" s="29" t="s">
        <v>1328</v>
      </c>
      <c r="N512" s="29" t="s">
        <v>543</v>
      </c>
      <c r="O512" s="29" t="s">
        <v>528</v>
      </c>
    </row>
    <row r="513" spans="1:15">
      <c r="A513" s="25">
        <v>21865</v>
      </c>
      <c r="B513" s="26" t="s">
        <v>1329</v>
      </c>
      <c r="C513" s="27" t="s">
        <v>521</v>
      </c>
      <c r="D513" s="27" t="s">
        <v>1330</v>
      </c>
      <c r="E513" s="28">
        <v>43098</v>
      </c>
      <c r="F513" s="28">
        <v>43129</v>
      </c>
      <c r="G513" s="28">
        <v>43496</v>
      </c>
      <c r="H513" s="27" t="s">
        <v>540</v>
      </c>
      <c r="I513" s="29" t="s">
        <v>1306</v>
      </c>
      <c r="J513" s="29" t="s">
        <v>525</v>
      </c>
      <c r="K513" s="29" t="s">
        <v>525</v>
      </c>
      <c r="L513" s="29" t="s">
        <v>1321</v>
      </c>
      <c r="M513" s="29" t="s">
        <v>1322</v>
      </c>
      <c r="N513" s="29" t="s">
        <v>1321</v>
      </c>
      <c r="O513" s="29" t="s">
        <v>590</v>
      </c>
    </row>
    <row r="514" spans="1:15">
      <c r="A514" s="25">
        <v>21981</v>
      </c>
      <c r="B514" s="34" t="s">
        <v>1331</v>
      </c>
      <c r="C514" s="27" t="s">
        <v>521</v>
      </c>
      <c r="D514" s="31" t="s">
        <v>1332</v>
      </c>
      <c r="E514" s="28">
        <v>43116</v>
      </c>
      <c r="F514" s="28">
        <v>43147</v>
      </c>
      <c r="G514" s="28">
        <v>43524</v>
      </c>
      <c r="H514" s="27" t="s">
        <v>540</v>
      </c>
      <c r="I514" s="29" t="s">
        <v>1306</v>
      </c>
      <c r="J514" s="29" t="s">
        <v>525</v>
      </c>
      <c r="K514" s="29" t="s">
        <v>525</v>
      </c>
      <c r="L514" s="29" t="s">
        <v>1321</v>
      </c>
      <c r="M514" s="29" t="s">
        <v>1322</v>
      </c>
      <c r="N514" s="29" t="s">
        <v>1321</v>
      </c>
      <c r="O514" s="29" t="s">
        <v>528</v>
      </c>
    </row>
    <row r="515" spans="1:15">
      <c r="A515" s="25">
        <v>7078</v>
      </c>
      <c r="B515" s="26" t="s">
        <v>139</v>
      </c>
      <c r="C515" s="27" t="s">
        <v>521</v>
      </c>
      <c r="D515" s="27" t="s">
        <v>1333</v>
      </c>
      <c r="E515" s="28">
        <v>39479</v>
      </c>
      <c r="F515" s="28" t="s">
        <v>35</v>
      </c>
      <c r="G515" s="28" t="s">
        <v>35</v>
      </c>
      <c r="H515" s="27" t="s">
        <v>540</v>
      </c>
      <c r="I515" s="27" t="s">
        <v>1306</v>
      </c>
      <c r="J515" s="27" t="s">
        <v>525</v>
      </c>
      <c r="K515" s="27" t="s">
        <v>525</v>
      </c>
      <c r="L515" s="27" t="s">
        <v>1321</v>
      </c>
      <c r="M515" s="27" t="s">
        <v>1326</v>
      </c>
      <c r="N515" s="27" t="s">
        <v>1321</v>
      </c>
      <c r="O515" s="27" t="s">
        <v>590</v>
      </c>
    </row>
    <row r="516" spans="1:15">
      <c r="A516" s="25">
        <v>14129</v>
      </c>
      <c r="B516" s="32" t="s">
        <v>365</v>
      </c>
      <c r="C516" s="27" t="s">
        <v>521</v>
      </c>
      <c r="D516" s="27" t="s">
        <v>639</v>
      </c>
      <c r="E516" s="28">
        <v>41311</v>
      </c>
      <c r="F516" s="28" t="s">
        <v>35</v>
      </c>
      <c r="G516" s="28" t="s">
        <v>35</v>
      </c>
      <c r="H516" s="31" t="s">
        <v>540</v>
      </c>
      <c r="I516" s="31" t="s">
        <v>1306</v>
      </c>
      <c r="J516" s="31" t="s">
        <v>525</v>
      </c>
      <c r="K516" s="31" t="s">
        <v>525</v>
      </c>
      <c r="L516" s="27" t="s">
        <v>1321</v>
      </c>
      <c r="M516" s="27" t="s">
        <v>1322</v>
      </c>
      <c r="N516" s="31" t="s">
        <v>1321</v>
      </c>
      <c r="O516" s="27" t="s">
        <v>590</v>
      </c>
    </row>
    <row r="517" spans="1:15">
      <c r="A517" s="25">
        <v>15483</v>
      </c>
      <c r="B517" s="26" t="s">
        <v>352</v>
      </c>
      <c r="C517" s="27" t="s">
        <v>521</v>
      </c>
      <c r="D517" s="27" t="s">
        <v>1325</v>
      </c>
      <c r="E517" s="28">
        <v>41449</v>
      </c>
      <c r="F517" s="28" t="s">
        <v>35</v>
      </c>
      <c r="G517" s="28" t="s">
        <v>35</v>
      </c>
      <c r="H517" s="31" t="s">
        <v>540</v>
      </c>
      <c r="I517" s="31" t="s">
        <v>1306</v>
      </c>
      <c r="J517" s="31" t="s">
        <v>525</v>
      </c>
      <c r="K517" s="31" t="s">
        <v>525</v>
      </c>
      <c r="L517" s="27" t="s">
        <v>1321</v>
      </c>
      <c r="M517" s="27" t="s">
        <v>1326</v>
      </c>
      <c r="N517" s="31" t="s">
        <v>1321</v>
      </c>
      <c r="O517" s="27" t="s">
        <v>590</v>
      </c>
    </row>
    <row r="518" spans="1:15">
      <c r="A518" s="25">
        <v>15487</v>
      </c>
      <c r="B518" s="26" t="s">
        <v>350</v>
      </c>
      <c r="C518" s="27" t="s">
        <v>521</v>
      </c>
      <c r="D518" s="27" t="s">
        <v>1325</v>
      </c>
      <c r="E518" s="28">
        <v>41449</v>
      </c>
      <c r="F518" s="28" t="s">
        <v>35</v>
      </c>
      <c r="G518" s="28" t="s">
        <v>35</v>
      </c>
      <c r="H518" s="31" t="s">
        <v>540</v>
      </c>
      <c r="I518" s="31" t="s">
        <v>1306</v>
      </c>
      <c r="J518" s="31" t="s">
        <v>525</v>
      </c>
      <c r="K518" s="31" t="s">
        <v>525</v>
      </c>
      <c r="L518" s="27" t="s">
        <v>1321</v>
      </c>
      <c r="M518" s="29" t="s">
        <v>1322</v>
      </c>
      <c r="N518" s="29" t="s">
        <v>1321</v>
      </c>
      <c r="O518" s="29" t="s">
        <v>594</v>
      </c>
    </row>
    <row r="519" spans="1:15">
      <c r="A519" s="25">
        <v>15532</v>
      </c>
      <c r="B519" s="26" t="s">
        <v>1334</v>
      </c>
      <c r="C519" s="27" t="s">
        <v>521</v>
      </c>
      <c r="D519" s="27" t="s">
        <v>1335</v>
      </c>
      <c r="E519" s="28">
        <v>41452</v>
      </c>
      <c r="F519" s="28" t="s">
        <v>35</v>
      </c>
      <c r="G519" s="28" t="s">
        <v>35</v>
      </c>
      <c r="H519" s="31" t="s">
        <v>540</v>
      </c>
      <c r="I519" s="31" t="s">
        <v>1306</v>
      </c>
      <c r="J519" s="31" t="s">
        <v>525</v>
      </c>
      <c r="K519" s="31" t="s">
        <v>525</v>
      </c>
      <c r="L519" s="27" t="s">
        <v>1321</v>
      </c>
      <c r="M519" s="27" t="s">
        <v>1324</v>
      </c>
      <c r="N519" s="31" t="s">
        <v>1321</v>
      </c>
      <c r="O519" s="27" t="s">
        <v>590</v>
      </c>
    </row>
    <row r="520" spans="1:15">
      <c r="A520" s="25">
        <v>5483</v>
      </c>
      <c r="B520" s="26" t="s">
        <v>189</v>
      </c>
      <c r="C520" s="27" t="s">
        <v>521</v>
      </c>
      <c r="D520" s="27" t="s">
        <v>1336</v>
      </c>
      <c r="E520" s="28">
        <v>38991</v>
      </c>
      <c r="F520" s="28" t="s">
        <v>35</v>
      </c>
      <c r="G520" s="28" t="s">
        <v>35</v>
      </c>
      <c r="H520" s="27" t="s">
        <v>540</v>
      </c>
      <c r="I520" s="29" t="s">
        <v>1306</v>
      </c>
      <c r="J520" s="29" t="s">
        <v>525</v>
      </c>
      <c r="K520" s="29" t="s">
        <v>525</v>
      </c>
      <c r="L520" s="29" t="s">
        <v>1337</v>
      </c>
      <c r="M520" s="29" t="s">
        <v>1338</v>
      </c>
      <c r="N520" s="29" t="s">
        <v>543</v>
      </c>
      <c r="O520" s="29" t="s">
        <v>594</v>
      </c>
    </row>
    <row r="521" spans="1:15">
      <c r="A521" s="25">
        <v>13330</v>
      </c>
      <c r="B521" s="34" t="s">
        <v>396</v>
      </c>
      <c r="C521" s="31" t="s">
        <v>521</v>
      </c>
      <c r="D521" s="31" t="s">
        <v>638</v>
      </c>
      <c r="E521" s="28">
        <v>40924</v>
      </c>
      <c r="F521" s="28" t="s">
        <v>35</v>
      </c>
      <c r="G521" s="28" t="s">
        <v>35</v>
      </c>
      <c r="H521" s="27" t="s">
        <v>540</v>
      </c>
      <c r="I521" s="29" t="s">
        <v>1306</v>
      </c>
      <c r="J521" s="29" t="s">
        <v>525</v>
      </c>
      <c r="K521" s="29" t="s">
        <v>525</v>
      </c>
      <c r="L521" s="29" t="s">
        <v>1337</v>
      </c>
      <c r="M521" s="29" t="s">
        <v>1339</v>
      </c>
      <c r="N521" s="29" t="s">
        <v>543</v>
      </c>
      <c r="O521" s="29" t="s">
        <v>594</v>
      </c>
    </row>
    <row r="522" spans="1:15">
      <c r="A522" s="25">
        <v>13341</v>
      </c>
      <c r="B522" s="34" t="s">
        <v>393</v>
      </c>
      <c r="C522" s="31" t="s">
        <v>521</v>
      </c>
      <c r="D522" s="31" t="s">
        <v>638</v>
      </c>
      <c r="E522" s="28">
        <v>40924</v>
      </c>
      <c r="F522" s="28" t="s">
        <v>35</v>
      </c>
      <c r="G522" s="28" t="s">
        <v>35</v>
      </c>
      <c r="H522" s="27" t="s">
        <v>540</v>
      </c>
      <c r="I522" s="29" t="s">
        <v>1306</v>
      </c>
      <c r="J522" s="29" t="s">
        <v>525</v>
      </c>
      <c r="K522" s="29" t="s">
        <v>525</v>
      </c>
      <c r="L522" s="29" t="s">
        <v>1337</v>
      </c>
      <c r="M522" s="29" t="s">
        <v>1338</v>
      </c>
      <c r="N522" s="29" t="s">
        <v>543</v>
      </c>
      <c r="O522" s="29" t="s">
        <v>594</v>
      </c>
    </row>
    <row r="523" spans="1:15">
      <c r="A523" s="25">
        <v>20923</v>
      </c>
      <c r="B523" s="32" t="s">
        <v>300</v>
      </c>
      <c r="C523" s="27" t="s">
        <v>521</v>
      </c>
      <c r="D523" s="27" t="s">
        <v>1340</v>
      </c>
      <c r="E523" s="28">
        <v>42660</v>
      </c>
      <c r="F523" s="28">
        <v>43160</v>
      </c>
      <c r="G523" s="28">
        <v>43524</v>
      </c>
      <c r="H523" s="31" t="s">
        <v>540</v>
      </c>
      <c r="I523" s="29" t="s">
        <v>1306</v>
      </c>
      <c r="J523" s="29" t="s">
        <v>525</v>
      </c>
      <c r="K523" s="29" t="s">
        <v>525</v>
      </c>
      <c r="L523" s="29" t="s">
        <v>1337</v>
      </c>
      <c r="M523" s="29" t="s">
        <v>1338</v>
      </c>
      <c r="N523" s="29" t="s">
        <v>543</v>
      </c>
      <c r="O523" s="29" t="s">
        <v>528</v>
      </c>
    </row>
    <row r="524" spans="1:15">
      <c r="A524" s="25">
        <v>4657</v>
      </c>
      <c r="B524" s="26" t="s">
        <v>202</v>
      </c>
      <c r="C524" s="27" t="s">
        <v>521</v>
      </c>
      <c r="D524" s="27" t="s">
        <v>1266</v>
      </c>
      <c r="E524" s="28">
        <v>38901</v>
      </c>
      <c r="F524" s="28" t="s">
        <v>35</v>
      </c>
      <c r="G524" s="28" t="s">
        <v>35</v>
      </c>
      <c r="H524" s="27" t="s">
        <v>540</v>
      </c>
      <c r="I524" s="27" t="s">
        <v>1306</v>
      </c>
      <c r="J524" s="27" t="s">
        <v>525</v>
      </c>
      <c r="K524" s="27" t="s">
        <v>525</v>
      </c>
      <c r="L524" s="29" t="s">
        <v>1337</v>
      </c>
      <c r="M524" s="29" t="s">
        <v>1341</v>
      </c>
      <c r="N524" s="29" t="s">
        <v>1321</v>
      </c>
      <c r="O524" s="29" t="s">
        <v>528</v>
      </c>
    </row>
    <row r="525" spans="1:15">
      <c r="A525" s="25">
        <v>7077</v>
      </c>
      <c r="B525" s="26" t="s">
        <v>1342</v>
      </c>
      <c r="C525" s="27" t="s">
        <v>521</v>
      </c>
      <c r="D525" s="27" t="s">
        <v>1333</v>
      </c>
      <c r="E525" s="28">
        <v>39479</v>
      </c>
      <c r="F525" s="28" t="s">
        <v>35</v>
      </c>
      <c r="G525" s="28" t="s">
        <v>35</v>
      </c>
      <c r="H525" s="27" t="s">
        <v>540</v>
      </c>
      <c r="I525" s="31" t="s">
        <v>1306</v>
      </c>
      <c r="J525" s="27" t="s">
        <v>525</v>
      </c>
      <c r="K525" s="27" t="s">
        <v>525</v>
      </c>
      <c r="L525" s="29" t="s">
        <v>1337</v>
      </c>
      <c r="M525" s="29" t="s">
        <v>1343</v>
      </c>
      <c r="N525" s="29" t="s">
        <v>648</v>
      </c>
      <c r="O525" s="29" t="s">
        <v>528</v>
      </c>
    </row>
    <row r="526" spans="1:15">
      <c r="A526" s="25">
        <v>14100</v>
      </c>
      <c r="B526" s="32" t="s">
        <v>371</v>
      </c>
      <c r="C526" s="27" t="s">
        <v>521</v>
      </c>
      <c r="D526" s="27" t="s">
        <v>619</v>
      </c>
      <c r="E526" s="28">
        <v>41306</v>
      </c>
      <c r="F526" s="28" t="s">
        <v>35</v>
      </c>
      <c r="G526" s="28" t="s">
        <v>35</v>
      </c>
      <c r="H526" s="31" t="s">
        <v>540</v>
      </c>
      <c r="I526" s="31" t="s">
        <v>1306</v>
      </c>
      <c r="J526" s="31" t="s">
        <v>525</v>
      </c>
      <c r="K526" s="31" t="s">
        <v>525</v>
      </c>
      <c r="L526" s="29" t="s">
        <v>1337</v>
      </c>
      <c r="M526" s="29" t="s">
        <v>1344</v>
      </c>
      <c r="N526" s="29" t="s">
        <v>1321</v>
      </c>
      <c r="O526" s="29" t="s">
        <v>528</v>
      </c>
    </row>
    <row r="527" spans="1:15">
      <c r="A527" s="25">
        <v>7079</v>
      </c>
      <c r="B527" s="26" t="s">
        <v>138</v>
      </c>
      <c r="C527" s="27" t="s">
        <v>521</v>
      </c>
      <c r="D527" s="27" t="s">
        <v>1333</v>
      </c>
      <c r="E527" s="28">
        <v>39479</v>
      </c>
      <c r="F527" s="28" t="s">
        <v>35</v>
      </c>
      <c r="G527" s="28" t="s">
        <v>35</v>
      </c>
      <c r="H527" s="27" t="s">
        <v>540</v>
      </c>
      <c r="I527" s="29" t="s">
        <v>1306</v>
      </c>
      <c r="J527" s="29" t="s">
        <v>525</v>
      </c>
      <c r="K527" s="29" t="s">
        <v>525</v>
      </c>
      <c r="L527" s="29" t="s">
        <v>1337</v>
      </c>
      <c r="M527" s="29" t="s">
        <v>1338</v>
      </c>
      <c r="N527" s="29" t="s">
        <v>543</v>
      </c>
      <c r="O527" s="29" t="s">
        <v>590</v>
      </c>
    </row>
    <row r="528" spans="1:15">
      <c r="A528" s="25">
        <v>10160</v>
      </c>
      <c r="B528" s="26" t="s">
        <v>493</v>
      </c>
      <c r="C528" s="27" t="s">
        <v>521</v>
      </c>
      <c r="D528" s="27" t="s">
        <v>1233</v>
      </c>
      <c r="E528" s="28">
        <v>40452</v>
      </c>
      <c r="F528" s="28" t="s">
        <v>35</v>
      </c>
      <c r="G528" s="28" t="s">
        <v>35</v>
      </c>
      <c r="H528" s="27" t="s">
        <v>540</v>
      </c>
      <c r="I528" s="29" t="s">
        <v>1306</v>
      </c>
      <c r="J528" s="29" t="s">
        <v>525</v>
      </c>
      <c r="K528" s="29" t="s">
        <v>525</v>
      </c>
      <c r="L528" s="29" t="s">
        <v>1337</v>
      </c>
      <c r="M528" s="29" t="s">
        <v>1338</v>
      </c>
      <c r="N528" s="29" t="s">
        <v>543</v>
      </c>
      <c r="O528" s="29" t="s">
        <v>590</v>
      </c>
    </row>
    <row r="529" spans="1:15">
      <c r="A529" s="25">
        <v>14107</v>
      </c>
      <c r="B529" s="32" t="s">
        <v>368</v>
      </c>
      <c r="C529" s="27" t="s">
        <v>521</v>
      </c>
      <c r="D529" s="27" t="s">
        <v>619</v>
      </c>
      <c r="E529" s="28">
        <v>41306</v>
      </c>
      <c r="F529" s="28" t="s">
        <v>35</v>
      </c>
      <c r="G529" s="28" t="s">
        <v>35</v>
      </c>
      <c r="H529" s="31" t="s">
        <v>540</v>
      </c>
      <c r="I529" s="29" t="s">
        <v>1306</v>
      </c>
      <c r="J529" s="29" t="s">
        <v>525</v>
      </c>
      <c r="K529" s="29" t="s">
        <v>525</v>
      </c>
      <c r="L529" s="29" t="s">
        <v>1337</v>
      </c>
      <c r="M529" s="29" t="s">
        <v>1345</v>
      </c>
      <c r="N529" s="29" t="s">
        <v>543</v>
      </c>
      <c r="O529" s="29" t="s">
        <v>590</v>
      </c>
    </row>
    <row r="530" spans="1:15">
      <c r="A530" s="25">
        <v>20922</v>
      </c>
      <c r="B530" s="26" t="s">
        <v>302</v>
      </c>
      <c r="C530" s="27" t="s">
        <v>521</v>
      </c>
      <c r="D530" s="27" t="s">
        <v>1340</v>
      </c>
      <c r="E530" s="28">
        <v>42660</v>
      </c>
      <c r="F530" s="28">
        <v>43160</v>
      </c>
      <c r="G530" s="28">
        <v>43524</v>
      </c>
      <c r="H530" s="27" t="s">
        <v>540</v>
      </c>
      <c r="I530" s="29" t="s">
        <v>1306</v>
      </c>
      <c r="J530" s="29" t="s">
        <v>525</v>
      </c>
      <c r="K530" s="29" t="s">
        <v>525</v>
      </c>
      <c r="L530" s="29" t="s">
        <v>1337</v>
      </c>
      <c r="M530" s="29" t="s">
        <v>1338</v>
      </c>
      <c r="N530" s="29" t="s">
        <v>543</v>
      </c>
      <c r="O530" s="29" t="s">
        <v>594</v>
      </c>
    </row>
    <row r="531" spans="1:15">
      <c r="A531" s="25">
        <v>22475</v>
      </c>
      <c r="B531" s="26" t="s">
        <v>234</v>
      </c>
      <c r="C531" s="27" t="s">
        <v>521</v>
      </c>
      <c r="D531" s="27" t="s">
        <v>1346</v>
      </c>
      <c r="E531" s="28">
        <v>43220</v>
      </c>
      <c r="F531" s="28">
        <v>43250</v>
      </c>
      <c r="G531" s="28">
        <v>43616</v>
      </c>
      <c r="H531" s="27" t="s">
        <v>540</v>
      </c>
      <c r="I531" s="29" t="s">
        <v>1306</v>
      </c>
      <c r="J531" s="29" t="s">
        <v>525</v>
      </c>
      <c r="K531" s="29" t="s">
        <v>525</v>
      </c>
      <c r="L531" s="29" t="s">
        <v>1337</v>
      </c>
      <c r="M531" s="29" t="s">
        <v>1338</v>
      </c>
      <c r="N531" s="29" t="s">
        <v>543</v>
      </c>
      <c r="O531" s="29" t="s">
        <v>594</v>
      </c>
    </row>
    <row r="532" spans="1:15">
      <c r="A532" s="25">
        <v>22264</v>
      </c>
      <c r="B532" s="26" t="s">
        <v>249</v>
      </c>
      <c r="C532" s="27" t="s">
        <v>521</v>
      </c>
      <c r="D532" s="27" t="s">
        <v>1347</v>
      </c>
      <c r="E532" s="28">
        <v>43175</v>
      </c>
      <c r="F532" s="28">
        <v>43206</v>
      </c>
      <c r="G532" s="28">
        <v>43585</v>
      </c>
      <c r="H532" s="27" t="s">
        <v>540</v>
      </c>
      <c r="I532" s="29" t="s">
        <v>1306</v>
      </c>
      <c r="J532" s="29" t="s">
        <v>525</v>
      </c>
      <c r="K532" s="29" t="s">
        <v>525</v>
      </c>
      <c r="L532" s="29" t="s">
        <v>543</v>
      </c>
      <c r="M532" s="29" t="s">
        <v>1338</v>
      </c>
      <c r="N532" s="29" t="s">
        <v>543</v>
      </c>
      <c r="O532" s="29" t="s">
        <v>528</v>
      </c>
    </row>
    <row r="533" spans="1:15">
      <c r="A533" s="25">
        <v>22360</v>
      </c>
      <c r="B533" s="26" t="s">
        <v>1348</v>
      </c>
      <c r="C533" s="27" t="s">
        <v>521</v>
      </c>
      <c r="D533" s="27" t="s">
        <v>1349</v>
      </c>
      <c r="E533" s="28">
        <v>43195</v>
      </c>
      <c r="F533" s="28">
        <v>43225</v>
      </c>
      <c r="G533" s="28">
        <v>43585</v>
      </c>
      <c r="H533" s="27" t="s">
        <v>540</v>
      </c>
      <c r="I533" s="29" t="s">
        <v>1306</v>
      </c>
      <c r="J533" s="29" t="s">
        <v>525</v>
      </c>
      <c r="K533" s="29" t="s">
        <v>525</v>
      </c>
      <c r="L533" s="29" t="s">
        <v>1337</v>
      </c>
      <c r="M533" s="29" t="s">
        <v>1338</v>
      </c>
      <c r="N533" s="29" t="s">
        <v>543</v>
      </c>
      <c r="O533" s="29" t="s">
        <v>528</v>
      </c>
    </row>
    <row r="534" spans="1:15">
      <c r="A534" s="25">
        <v>430</v>
      </c>
      <c r="B534" s="26" t="s">
        <v>1350</v>
      </c>
      <c r="C534" s="27" t="s">
        <v>521</v>
      </c>
      <c r="D534" s="27" t="s">
        <v>1351</v>
      </c>
      <c r="E534" s="28">
        <v>37739</v>
      </c>
      <c r="F534" s="28" t="s">
        <v>35</v>
      </c>
      <c r="G534" s="28" t="s">
        <v>35</v>
      </c>
      <c r="H534" s="31" t="s">
        <v>540</v>
      </c>
      <c r="I534" s="27" t="s">
        <v>1306</v>
      </c>
      <c r="J534" s="31" t="s">
        <v>525</v>
      </c>
      <c r="K534" s="31" t="s">
        <v>525</v>
      </c>
      <c r="L534" s="31" t="s">
        <v>1352</v>
      </c>
      <c r="M534" s="27" t="s">
        <v>1353</v>
      </c>
      <c r="N534" s="31" t="s">
        <v>1214</v>
      </c>
      <c r="O534" s="27" t="s">
        <v>528</v>
      </c>
    </row>
    <row r="535" spans="1:15">
      <c r="A535" s="25">
        <v>1014</v>
      </c>
      <c r="B535" s="26" t="s">
        <v>1354</v>
      </c>
      <c r="C535" s="27" t="s">
        <v>521</v>
      </c>
      <c r="D535" s="27" t="s">
        <v>522</v>
      </c>
      <c r="E535" s="28">
        <v>37872</v>
      </c>
      <c r="F535" s="28" t="s">
        <v>35</v>
      </c>
      <c r="G535" s="28" t="s">
        <v>35</v>
      </c>
      <c r="H535" s="27" t="s">
        <v>540</v>
      </c>
      <c r="I535" s="27" t="s">
        <v>1306</v>
      </c>
      <c r="J535" s="27" t="s">
        <v>525</v>
      </c>
      <c r="K535" s="27" t="s">
        <v>525</v>
      </c>
      <c r="L535" s="27" t="s">
        <v>1352</v>
      </c>
      <c r="M535" s="27" t="s">
        <v>1110</v>
      </c>
      <c r="N535" s="27" t="s">
        <v>1037</v>
      </c>
      <c r="O535" s="27" t="s">
        <v>528</v>
      </c>
    </row>
    <row r="536" spans="1:15">
      <c r="A536" s="25">
        <v>11912</v>
      </c>
      <c r="B536" s="26" t="s">
        <v>1355</v>
      </c>
      <c r="C536" s="27" t="s">
        <v>521</v>
      </c>
      <c r="D536" s="27" t="s">
        <v>1356</v>
      </c>
      <c r="E536" s="28">
        <v>40763</v>
      </c>
      <c r="F536" s="28" t="s">
        <v>35</v>
      </c>
      <c r="G536" s="28" t="s">
        <v>35</v>
      </c>
      <c r="H536" s="27" t="s">
        <v>540</v>
      </c>
      <c r="I536" s="27" t="s">
        <v>1306</v>
      </c>
      <c r="J536" s="27" t="s">
        <v>525</v>
      </c>
      <c r="K536" s="27" t="s">
        <v>525</v>
      </c>
      <c r="L536" s="29" t="s">
        <v>1352</v>
      </c>
      <c r="M536" s="29" t="s">
        <v>1357</v>
      </c>
      <c r="N536" s="29" t="s">
        <v>648</v>
      </c>
      <c r="O536" s="29" t="s">
        <v>528</v>
      </c>
    </row>
    <row r="537" spans="1:15">
      <c r="A537" s="25">
        <v>12029</v>
      </c>
      <c r="B537" s="26" t="s">
        <v>1358</v>
      </c>
      <c r="C537" s="27" t="s">
        <v>521</v>
      </c>
      <c r="D537" s="27" t="s">
        <v>522</v>
      </c>
      <c r="E537" s="28">
        <v>40791</v>
      </c>
      <c r="F537" s="28" t="s">
        <v>35</v>
      </c>
      <c r="G537" s="28" t="s">
        <v>35</v>
      </c>
      <c r="H537" s="27" t="s">
        <v>540</v>
      </c>
      <c r="I537" s="27" t="s">
        <v>1306</v>
      </c>
      <c r="J537" s="27" t="s">
        <v>525</v>
      </c>
      <c r="K537" s="27" t="s">
        <v>525</v>
      </c>
      <c r="L537" s="27" t="s">
        <v>1352</v>
      </c>
      <c r="M537" s="27" t="s">
        <v>569</v>
      </c>
      <c r="N537" s="27" t="s">
        <v>1037</v>
      </c>
      <c r="O537" s="27" t="s">
        <v>528</v>
      </c>
    </row>
    <row r="538" spans="1:15">
      <c r="A538" s="25">
        <v>14103</v>
      </c>
      <c r="B538" s="32" t="s">
        <v>370</v>
      </c>
      <c r="C538" s="27" t="s">
        <v>521</v>
      </c>
      <c r="D538" s="27" t="s">
        <v>619</v>
      </c>
      <c r="E538" s="28">
        <v>41306</v>
      </c>
      <c r="F538" s="28" t="s">
        <v>35</v>
      </c>
      <c r="G538" s="28" t="s">
        <v>35</v>
      </c>
      <c r="H538" s="31" t="s">
        <v>540</v>
      </c>
      <c r="I538" s="31" t="s">
        <v>1306</v>
      </c>
      <c r="J538" s="31" t="s">
        <v>525</v>
      </c>
      <c r="K538" s="31" t="s">
        <v>525</v>
      </c>
      <c r="L538" s="27" t="s">
        <v>1352</v>
      </c>
      <c r="M538" s="27" t="s">
        <v>1353</v>
      </c>
      <c r="N538" s="31" t="s">
        <v>1214</v>
      </c>
      <c r="O538" s="27" t="s">
        <v>528</v>
      </c>
    </row>
    <row r="539" spans="1:15">
      <c r="A539" s="25">
        <v>5703</v>
      </c>
      <c r="B539" s="26" t="s">
        <v>177</v>
      </c>
      <c r="C539" s="27" t="s">
        <v>521</v>
      </c>
      <c r="D539" s="27" t="s">
        <v>790</v>
      </c>
      <c r="E539" s="28">
        <v>39098</v>
      </c>
      <c r="F539" s="28" t="s">
        <v>35</v>
      </c>
      <c r="G539" s="28" t="s">
        <v>35</v>
      </c>
      <c r="H539" s="31" t="s">
        <v>540</v>
      </c>
      <c r="I539" s="27" t="s">
        <v>1306</v>
      </c>
      <c r="J539" s="31" t="s">
        <v>525</v>
      </c>
      <c r="K539" s="31" t="s">
        <v>525</v>
      </c>
      <c r="L539" s="27" t="s">
        <v>1359</v>
      </c>
      <c r="M539" s="29" t="s">
        <v>1360</v>
      </c>
      <c r="N539" s="29" t="s">
        <v>1214</v>
      </c>
      <c r="O539" s="29" t="s">
        <v>594</v>
      </c>
    </row>
    <row r="540" spans="1:15">
      <c r="A540" s="25">
        <v>12163</v>
      </c>
      <c r="B540" s="34" t="s">
        <v>1361</v>
      </c>
      <c r="C540" s="31" t="s">
        <v>521</v>
      </c>
      <c r="D540" s="31" t="s">
        <v>1362</v>
      </c>
      <c r="E540" s="28">
        <v>40802</v>
      </c>
      <c r="F540" s="28" t="s">
        <v>35</v>
      </c>
      <c r="G540" s="28" t="s">
        <v>35</v>
      </c>
      <c r="H540" s="31" t="s">
        <v>540</v>
      </c>
      <c r="I540" s="31" t="s">
        <v>1306</v>
      </c>
      <c r="J540" s="31" t="s">
        <v>525</v>
      </c>
      <c r="K540" s="31" t="s">
        <v>525</v>
      </c>
      <c r="L540" s="29" t="s">
        <v>1359</v>
      </c>
      <c r="M540" s="29" t="s">
        <v>1363</v>
      </c>
      <c r="N540" s="29" t="s">
        <v>1214</v>
      </c>
      <c r="O540" s="29" t="s">
        <v>594</v>
      </c>
    </row>
    <row r="541" spans="1:15">
      <c r="A541" s="25">
        <v>13338</v>
      </c>
      <c r="B541" s="34" t="s">
        <v>394</v>
      </c>
      <c r="C541" s="31" t="s">
        <v>521</v>
      </c>
      <c r="D541" s="31" t="s">
        <v>638</v>
      </c>
      <c r="E541" s="28">
        <v>40924</v>
      </c>
      <c r="F541" s="28" t="s">
        <v>35</v>
      </c>
      <c r="G541" s="28" t="s">
        <v>35</v>
      </c>
      <c r="H541" s="27" t="s">
        <v>540</v>
      </c>
      <c r="I541" s="27" t="s">
        <v>1306</v>
      </c>
      <c r="J541" s="27" t="s">
        <v>525</v>
      </c>
      <c r="K541" s="27" t="s">
        <v>525</v>
      </c>
      <c r="L541" s="29" t="s">
        <v>1359</v>
      </c>
      <c r="M541" s="29" t="s">
        <v>1364</v>
      </c>
      <c r="N541" s="29" t="s">
        <v>1214</v>
      </c>
      <c r="O541" s="29" t="s">
        <v>594</v>
      </c>
    </row>
    <row r="542" spans="1:15">
      <c r="A542" s="25">
        <v>18808</v>
      </c>
      <c r="B542" s="33" t="s">
        <v>339</v>
      </c>
      <c r="C542" s="27" t="s">
        <v>521</v>
      </c>
      <c r="D542" s="27" t="s">
        <v>1365</v>
      </c>
      <c r="E542" s="28">
        <v>42170</v>
      </c>
      <c r="F542" s="28" t="s">
        <v>35</v>
      </c>
      <c r="G542" s="28" t="s">
        <v>35</v>
      </c>
      <c r="H542" s="31" t="s">
        <v>540</v>
      </c>
      <c r="I542" s="31" t="s">
        <v>1306</v>
      </c>
      <c r="J542" s="31" t="s">
        <v>525</v>
      </c>
      <c r="K542" s="31" t="s">
        <v>525</v>
      </c>
      <c r="L542" s="29" t="s">
        <v>1359</v>
      </c>
      <c r="M542" s="29" t="s">
        <v>1364</v>
      </c>
      <c r="N542" s="29" t="s">
        <v>1214</v>
      </c>
      <c r="O542" s="29" t="s">
        <v>594</v>
      </c>
    </row>
    <row r="543" spans="1:15">
      <c r="A543" s="25" t="s">
        <v>44</v>
      </c>
      <c r="B543" s="32" t="s">
        <v>45</v>
      </c>
      <c r="C543" s="27" t="s">
        <v>521</v>
      </c>
      <c r="D543" s="27" t="s">
        <v>1366</v>
      </c>
      <c r="E543" s="28">
        <v>41306</v>
      </c>
      <c r="F543" s="28" t="s">
        <v>35</v>
      </c>
      <c r="G543" s="28" t="s">
        <v>35</v>
      </c>
      <c r="H543" s="31" t="s">
        <v>540</v>
      </c>
      <c r="I543" s="29" t="s">
        <v>1306</v>
      </c>
      <c r="J543" s="29" t="s">
        <v>525</v>
      </c>
      <c r="K543" s="29" t="s">
        <v>525</v>
      </c>
      <c r="L543" s="29" t="s">
        <v>543</v>
      </c>
      <c r="M543" s="29" t="s">
        <v>1338</v>
      </c>
      <c r="N543" s="29" t="s">
        <v>543</v>
      </c>
      <c r="O543" s="29" t="s">
        <v>590</v>
      </c>
    </row>
    <row r="544" spans="1:15">
      <c r="A544" s="25">
        <v>552</v>
      </c>
      <c r="B544" s="26" t="s">
        <v>188</v>
      </c>
      <c r="C544" s="27" t="s">
        <v>521</v>
      </c>
      <c r="D544" s="27" t="s">
        <v>1063</v>
      </c>
      <c r="E544" s="28">
        <v>37767</v>
      </c>
      <c r="F544" s="28" t="s">
        <v>35</v>
      </c>
      <c r="G544" s="28" t="s">
        <v>35</v>
      </c>
      <c r="H544" s="31" t="s">
        <v>540</v>
      </c>
      <c r="I544" s="27" t="s">
        <v>1306</v>
      </c>
      <c r="J544" s="31" t="s">
        <v>525</v>
      </c>
      <c r="K544" s="31" t="s">
        <v>525</v>
      </c>
      <c r="L544" s="27" t="s">
        <v>1359</v>
      </c>
      <c r="M544" s="29" t="s">
        <v>1360</v>
      </c>
      <c r="N544" s="29" t="s">
        <v>1214</v>
      </c>
      <c r="O544" s="29" t="s">
        <v>528</v>
      </c>
    </row>
    <row r="545" spans="1:15">
      <c r="A545" s="25">
        <v>5559</v>
      </c>
      <c r="B545" s="26" t="s">
        <v>1367</v>
      </c>
      <c r="C545" s="27" t="s">
        <v>521</v>
      </c>
      <c r="D545" s="27" t="s">
        <v>632</v>
      </c>
      <c r="E545" s="28">
        <v>39052</v>
      </c>
      <c r="F545" s="28" t="s">
        <v>35</v>
      </c>
      <c r="G545" s="28" t="s">
        <v>35</v>
      </c>
      <c r="H545" s="27" t="s">
        <v>540</v>
      </c>
      <c r="I545" s="27" t="s">
        <v>1306</v>
      </c>
      <c r="J545" s="27" t="s">
        <v>525</v>
      </c>
      <c r="K545" s="27" t="s">
        <v>525</v>
      </c>
      <c r="L545" s="29" t="s">
        <v>1359</v>
      </c>
      <c r="M545" s="29" t="s">
        <v>1368</v>
      </c>
      <c r="N545" s="29" t="s">
        <v>648</v>
      </c>
      <c r="O545" s="29" t="s">
        <v>528</v>
      </c>
    </row>
    <row r="546" spans="1:15">
      <c r="A546" s="25">
        <v>21509</v>
      </c>
      <c r="B546" s="26" t="s">
        <v>281</v>
      </c>
      <c r="C546" s="27" t="s">
        <v>521</v>
      </c>
      <c r="D546" s="27" t="s">
        <v>1309</v>
      </c>
      <c r="E546" s="28">
        <v>43031</v>
      </c>
      <c r="F546" s="28">
        <v>43435</v>
      </c>
      <c r="G546" s="28">
        <v>43799</v>
      </c>
      <c r="H546" s="27" t="s">
        <v>540</v>
      </c>
      <c r="I546" s="27" t="s">
        <v>1306</v>
      </c>
      <c r="J546" s="27" t="s">
        <v>525</v>
      </c>
      <c r="K546" s="27" t="s">
        <v>525</v>
      </c>
      <c r="L546" s="27" t="s">
        <v>1359</v>
      </c>
      <c r="M546" s="27" t="s">
        <v>1364</v>
      </c>
      <c r="N546" s="27" t="s">
        <v>1214</v>
      </c>
      <c r="O546" s="27" t="s">
        <v>528</v>
      </c>
    </row>
    <row r="547" spans="1:15">
      <c r="A547" s="25">
        <v>21510</v>
      </c>
      <c r="B547" s="26" t="s">
        <v>280</v>
      </c>
      <c r="C547" s="27" t="s">
        <v>521</v>
      </c>
      <c r="D547" s="27" t="s">
        <v>1309</v>
      </c>
      <c r="E547" s="28">
        <v>43031</v>
      </c>
      <c r="F547" s="28">
        <v>43435</v>
      </c>
      <c r="G547" s="28">
        <v>43799</v>
      </c>
      <c r="H547" s="27" t="s">
        <v>540</v>
      </c>
      <c r="I547" s="27" t="s">
        <v>1306</v>
      </c>
      <c r="J547" s="27" t="s">
        <v>525</v>
      </c>
      <c r="K547" s="27" t="s">
        <v>525</v>
      </c>
      <c r="L547" s="27" t="s">
        <v>1359</v>
      </c>
      <c r="M547" s="27" t="s">
        <v>1364</v>
      </c>
      <c r="N547" s="27" t="s">
        <v>1214</v>
      </c>
      <c r="O547" s="27" t="s">
        <v>528</v>
      </c>
    </row>
    <row r="548" spans="1:15">
      <c r="A548" s="25">
        <v>5754</v>
      </c>
      <c r="B548" s="26" t="s">
        <v>170</v>
      </c>
      <c r="C548" s="27" t="s">
        <v>521</v>
      </c>
      <c r="D548" s="27" t="s">
        <v>794</v>
      </c>
      <c r="E548" s="28">
        <v>39114</v>
      </c>
      <c r="F548" s="28" t="s">
        <v>35</v>
      </c>
      <c r="G548" s="28" t="s">
        <v>35</v>
      </c>
      <c r="H548" s="31" t="s">
        <v>540</v>
      </c>
      <c r="I548" s="27" t="s">
        <v>1306</v>
      </c>
      <c r="J548" s="31" t="s">
        <v>525</v>
      </c>
      <c r="K548" s="31" t="s">
        <v>525</v>
      </c>
      <c r="L548" s="27" t="s">
        <v>1359</v>
      </c>
      <c r="M548" s="29" t="s">
        <v>1360</v>
      </c>
      <c r="N548" s="29" t="s">
        <v>1214</v>
      </c>
      <c r="O548" s="29" t="s">
        <v>590</v>
      </c>
    </row>
    <row r="549" spans="1:15">
      <c r="A549" s="25">
        <v>13331</v>
      </c>
      <c r="B549" s="34" t="s">
        <v>395</v>
      </c>
      <c r="C549" s="31" t="s">
        <v>521</v>
      </c>
      <c r="D549" s="31" t="s">
        <v>638</v>
      </c>
      <c r="E549" s="28">
        <v>40924</v>
      </c>
      <c r="F549" s="28" t="s">
        <v>35</v>
      </c>
      <c r="G549" s="28" t="s">
        <v>35</v>
      </c>
      <c r="H549" s="27" t="s">
        <v>540</v>
      </c>
      <c r="I549" s="27" t="s">
        <v>1306</v>
      </c>
      <c r="J549" s="27" t="s">
        <v>525</v>
      </c>
      <c r="K549" s="27" t="s">
        <v>525</v>
      </c>
      <c r="L549" s="29" t="s">
        <v>1359</v>
      </c>
      <c r="M549" s="29" t="s">
        <v>1364</v>
      </c>
      <c r="N549" s="29" t="s">
        <v>1214</v>
      </c>
      <c r="O549" s="29" t="s">
        <v>590</v>
      </c>
    </row>
    <row r="550" spans="1:15">
      <c r="A550" s="25">
        <v>14106</v>
      </c>
      <c r="B550" s="32" t="s">
        <v>1369</v>
      </c>
      <c r="C550" s="27" t="s">
        <v>521</v>
      </c>
      <c r="D550" s="27" t="s">
        <v>619</v>
      </c>
      <c r="E550" s="28">
        <v>41306</v>
      </c>
      <c r="F550" s="28" t="s">
        <v>35</v>
      </c>
      <c r="G550" s="28" t="s">
        <v>35</v>
      </c>
      <c r="H550" s="31" t="s">
        <v>540</v>
      </c>
      <c r="I550" s="31" t="s">
        <v>1306</v>
      </c>
      <c r="J550" s="31" t="s">
        <v>525</v>
      </c>
      <c r="K550" s="31" t="s">
        <v>525</v>
      </c>
      <c r="L550" s="29" t="s">
        <v>1359</v>
      </c>
      <c r="M550" s="29" t="s">
        <v>1363</v>
      </c>
      <c r="N550" s="29" t="s">
        <v>1214</v>
      </c>
      <c r="O550" s="29" t="s">
        <v>590</v>
      </c>
    </row>
    <row r="551" spans="1:15">
      <c r="A551" s="82">
        <v>19208</v>
      </c>
      <c r="B551" s="26" t="s">
        <v>1370</v>
      </c>
      <c r="C551" s="27" t="s">
        <v>521</v>
      </c>
      <c r="D551" s="27" t="s">
        <v>1371</v>
      </c>
      <c r="E551" s="28">
        <v>42254</v>
      </c>
      <c r="F551" s="28" t="s">
        <v>35</v>
      </c>
      <c r="G551" s="28" t="s">
        <v>35</v>
      </c>
      <c r="H551" s="31" t="s">
        <v>540</v>
      </c>
      <c r="I551" s="31" t="s">
        <v>1306</v>
      </c>
      <c r="J551" s="27" t="s">
        <v>525</v>
      </c>
      <c r="K551" s="27" t="s">
        <v>525</v>
      </c>
      <c r="L551" s="29" t="s">
        <v>1359</v>
      </c>
      <c r="M551" s="29" t="s">
        <v>1372</v>
      </c>
      <c r="N551" s="29" t="s">
        <v>648</v>
      </c>
      <c r="O551" s="29" t="s">
        <v>528</v>
      </c>
    </row>
    <row r="552" spans="1:15">
      <c r="A552" s="25">
        <v>21912</v>
      </c>
      <c r="B552" s="26" t="s">
        <v>263</v>
      </c>
      <c r="C552" s="27" t="s">
        <v>521</v>
      </c>
      <c r="D552" s="27" t="s">
        <v>1373</v>
      </c>
      <c r="E552" s="28">
        <v>43103</v>
      </c>
      <c r="F552" s="28">
        <v>43134</v>
      </c>
      <c r="G552" s="28">
        <v>43496</v>
      </c>
      <c r="H552" s="27" t="s">
        <v>540</v>
      </c>
      <c r="I552" s="27" t="s">
        <v>1306</v>
      </c>
      <c r="J552" s="27" t="s">
        <v>525</v>
      </c>
      <c r="K552" s="27" t="s">
        <v>525</v>
      </c>
      <c r="L552" s="27" t="s">
        <v>1214</v>
      </c>
      <c r="M552" s="27" t="s">
        <v>1308</v>
      </c>
      <c r="N552" s="31" t="s">
        <v>1214</v>
      </c>
      <c r="O552" s="29" t="s">
        <v>590</v>
      </c>
    </row>
    <row r="553" spans="1:15">
      <c r="A553" s="25">
        <v>22438</v>
      </c>
      <c r="B553" s="26" t="s">
        <v>1374</v>
      </c>
      <c r="C553" s="27" t="s">
        <v>521</v>
      </c>
      <c r="D553" s="27" t="s">
        <v>1375</v>
      </c>
      <c r="E553" s="28">
        <v>43213</v>
      </c>
      <c r="F553" s="28">
        <v>43243</v>
      </c>
      <c r="G553" s="28">
        <v>43616</v>
      </c>
      <c r="H553" s="27" t="s">
        <v>540</v>
      </c>
      <c r="I553" s="29" t="s">
        <v>1306</v>
      </c>
      <c r="J553" s="29" t="s">
        <v>525</v>
      </c>
      <c r="K553" s="29" t="s">
        <v>525</v>
      </c>
      <c r="L553" s="29" t="s">
        <v>1337</v>
      </c>
      <c r="M553" s="29" t="s">
        <v>1338</v>
      </c>
      <c r="N553" s="29" t="s">
        <v>543</v>
      </c>
      <c r="O553" s="29" t="s">
        <v>528</v>
      </c>
    </row>
    <row r="554" spans="1:15">
      <c r="A554" s="25">
        <v>22439</v>
      </c>
      <c r="B554" s="26" t="s">
        <v>237</v>
      </c>
      <c r="C554" s="27" t="s">
        <v>521</v>
      </c>
      <c r="D554" s="27" t="s">
        <v>1375</v>
      </c>
      <c r="E554" s="28">
        <v>43213</v>
      </c>
      <c r="F554" s="28">
        <v>43243</v>
      </c>
      <c r="G554" s="28">
        <v>43616</v>
      </c>
      <c r="H554" s="27" t="s">
        <v>540</v>
      </c>
      <c r="I554" s="29" t="s">
        <v>1306</v>
      </c>
      <c r="J554" s="29" t="s">
        <v>525</v>
      </c>
      <c r="K554" s="29" t="s">
        <v>525</v>
      </c>
      <c r="L554" s="29" t="s">
        <v>1337</v>
      </c>
      <c r="M554" s="29" t="s">
        <v>1338</v>
      </c>
      <c r="N554" s="29" t="s">
        <v>543</v>
      </c>
      <c r="O554" s="29" t="s">
        <v>528</v>
      </c>
    </row>
    <row r="555" spans="1:15">
      <c r="A555" s="25">
        <v>48</v>
      </c>
      <c r="B555" s="26" t="s">
        <v>201</v>
      </c>
      <c r="C555" s="27" t="s">
        <v>521</v>
      </c>
      <c r="D555" s="27" t="s">
        <v>1376</v>
      </c>
      <c r="E555" s="28">
        <v>37529</v>
      </c>
      <c r="F555" s="28" t="s">
        <v>35</v>
      </c>
      <c r="G555" s="28" t="s">
        <v>35</v>
      </c>
      <c r="H555" s="31" t="s">
        <v>540</v>
      </c>
      <c r="I555" s="27" t="s">
        <v>1377</v>
      </c>
      <c r="J555" s="27" t="s">
        <v>525</v>
      </c>
      <c r="K555" s="27" t="s">
        <v>525</v>
      </c>
      <c r="L555" s="27" t="s">
        <v>1377</v>
      </c>
      <c r="M555" s="27" t="s">
        <v>1378</v>
      </c>
      <c r="N555" s="27" t="s">
        <v>1231</v>
      </c>
      <c r="O555" s="27" t="s">
        <v>528</v>
      </c>
    </row>
    <row r="556" spans="1:15">
      <c r="A556" s="25">
        <v>148</v>
      </c>
      <c r="B556" s="26" t="s">
        <v>1379</v>
      </c>
      <c r="C556" s="27" t="s">
        <v>521</v>
      </c>
      <c r="D556" s="27" t="s">
        <v>522</v>
      </c>
      <c r="E556" s="28">
        <v>37637</v>
      </c>
      <c r="F556" s="28" t="s">
        <v>35</v>
      </c>
      <c r="G556" s="28" t="s">
        <v>35</v>
      </c>
      <c r="H556" s="31" t="s">
        <v>540</v>
      </c>
      <c r="I556" s="27" t="s">
        <v>1377</v>
      </c>
      <c r="J556" s="27" t="s">
        <v>525</v>
      </c>
      <c r="K556" s="27" t="s">
        <v>525</v>
      </c>
      <c r="L556" s="27" t="s">
        <v>1377</v>
      </c>
      <c r="M556" s="29" t="s">
        <v>569</v>
      </c>
      <c r="N556" s="29" t="s">
        <v>1037</v>
      </c>
      <c r="O556" s="27" t="s">
        <v>528</v>
      </c>
    </row>
    <row r="557" spans="1:15">
      <c r="A557" s="25">
        <v>594</v>
      </c>
      <c r="B557" s="26" t="s">
        <v>1380</v>
      </c>
      <c r="C557" s="27" t="s">
        <v>521</v>
      </c>
      <c r="D557" s="27" t="s">
        <v>612</v>
      </c>
      <c r="E557" s="28">
        <v>37774</v>
      </c>
      <c r="F557" s="28" t="s">
        <v>35</v>
      </c>
      <c r="G557" s="28" t="s">
        <v>35</v>
      </c>
      <c r="H557" s="27" t="s">
        <v>540</v>
      </c>
      <c r="I557" s="27" t="s">
        <v>1377</v>
      </c>
      <c r="J557" s="27" t="s">
        <v>525</v>
      </c>
      <c r="K557" s="27" t="s">
        <v>525</v>
      </c>
      <c r="L557" s="27" t="s">
        <v>1377</v>
      </c>
      <c r="M557" s="27" t="s">
        <v>1381</v>
      </c>
      <c r="N557" s="27" t="s">
        <v>1231</v>
      </c>
      <c r="O557" s="27" t="s">
        <v>528</v>
      </c>
    </row>
    <row r="558" spans="1:15">
      <c r="A558" s="25">
        <v>12270</v>
      </c>
      <c r="B558" s="34" t="s">
        <v>1382</v>
      </c>
      <c r="C558" s="31" t="s">
        <v>521</v>
      </c>
      <c r="D558" s="31" t="s">
        <v>817</v>
      </c>
      <c r="E558" s="28">
        <v>40805</v>
      </c>
      <c r="F558" s="28" t="s">
        <v>35</v>
      </c>
      <c r="G558" s="28" t="s">
        <v>35</v>
      </c>
      <c r="H558" s="27" t="s">
        <v>540</v>
      </c>
      <c r="I558" s="27" t="s">
        <v>1377</v>
      </c>
      <c r="J558" s="27" t="s">
        <v>525</v>
      </c>
      <c r="K558" s="27" t="s">
        <v>525</v>
      </c>
      <c r="L558" s="27" t="s">
        <v>1377</v>
      </c>
      <c r="M558" s="27" t="s">
        <v>1383</v>
      </c>
      <c r="N558" s="27" t="s">
        <v>1231</v>
      </c>
      <c r="O558" s="27" t="s">
        <v>528</v>
      </c>
    </row>
    <row r="559" spans="1:15">
      <c r="A559" s="25">
        <v>13349</v>
      </c>
      <c r="B559" s="34" t="s">
        <v>390</v>
      </c>
      <c r="C559" s="31" t="s">
        <v>521</v>
      </c>
      <c r="D559" s="31" t="s">
        <v>638</v>
      </c>
      <c r="E559" s="28">
        <v>40924</v>
      </c>
      <c r="F559" s="28" t="s">
        <v>35</v>
      </c>
      <c r="G559" s="28" t="s">
        <v>35</v>
      </c>
      <c r="H559" s="31" t="s">
        <v>540</v>
      </c>
      <c r="I559" s="27" t="s">
        <v>1377</v>
      </c>
      <c r="J559" s="27" t="s">
        <v>525</v>
      </c>
      <c r="K559" s="27" t="s">
        <v>525</v>
      </c>
      <c r="L559" s="27" t="s">
        <v>1377</v>
      </c>
      <c r="M559" s="27" t="s">
        <v>1378</v>
      </c>
      <c r="N559" s="27" t="s">
        <v>1231</v>
      </c>
      <c r="O559" s="27" t="s">
        <v>528</v>
      </c>
    </row>
    <row r="560" spans="1:15">
      <c r="A560" s="25">
        <v>17888</v>
      </c>
      <c r="B560" s="33" t="s">
        <v>1384</v>
      </c>
      <c r="C560" s="27" t="s">
        <v>521</v>
      </c>
      <c r="D560" s="27" t="s">
        <v>1241</v>
      </c>
      <c r="E560" s="28">
        <v>41830</v>
      </c>
      <c r="F560" s="28" t="s">
        <v>35</v>
      </c>
      <c r="G560" s="28" t="s">
        <v>35</v>
      </c>
      <c r="H560" s="27" t="s">
        <v>540</v>
      </c>
      <c r="I560" s="27" t="s">
        <v>1377</v>
      </c>
      <c r="J560" s="27" t="s">
        <v>525</v>
      </c>
      <c r="K560" s="27" t="s">
        <v>525</v>
      </c>
      <c r="L560" s="27" t="s">
        <v>1377</v>
      </c>
      <c r="M560" s="27" t="s">
        <v>1385</v>
      </c>
      <c r="N560" s="27" t="s">
        <v>1231</v>
      </c>
      <c r="O560" s="27" t="s">
        <v>528</v>
      </c>
    </row>
    <row r="561" spans="1:15">
      <c r="A561" s="82">
        <v>19444</v>
      </c>
      <c r="B561" s="26" t="s">
        <v>1386</v>
      </c>
      <c r="C561" s="31" t="s">
        <v>521</v>
      </c>
      <c r="D561" s="27" t="s">
        <v>1387</v>
      </c>
      <c r="E561" s="28">
        <v>42310</v>
      </c>
      <c r="F561" s="28" t="s">
        <v>35</v>
      </c>
      <c r="G561" s="28" t="s">
        <v>35</v>
      </c>
      <c r="H561" s="31" t="s">
        <v>540</v>
      </c>
      <c r="I561" s="27" t="s">
        <v>1377</v>
      </c>
      <c r="J561" s="27" t="s">
        <v>525</v>
      </c>
      <c r="K561" s="27" t="s">
        <v>525</v>
      </c>
      <c r="L561" s="27" t="s">
        <v>1377</v>
      </c>
      <c r="M561" s="29" t="s">
        <v>1388</v>
      </c>
      <c r="N561" s="29" t="s">
        <v>1231</v>
      </c>
      <c r="O561" s="29" t="s">
        <v>528</v>
      </c>
    </row>
    <row r="562" spans="1:15">
      <c r="A562" s="25">
        <v>5474</v>
      </c>
      <c r="B562" s="26" t="s">
        <v>1389</v>
      </c>
      <c r="C562" s="27" t="s">
        <v>521</v>
      </c>
      <c r="D562" s="27" t="s">
        <v>1090</v>
      </c>
      <c r="E562" s="28">
        <v>38991</v>
      </c>
      <c r="F562" s="28" t="s">
        <v>35</v>
      </c>
      <c r="G562" s="28" t="s">
        <v>35</v>
      </c>
      <c r="H562" s="27" t="s">
        <v>540</v>
      </c>
      <c r="I562" s="31" t="s">
        <v>1377</v>
      </c>
      <c r="J562" s="31" t="s">
        <v>525</v>
      </c>
      <c r="K562" s="31" t="s">
        <v>525</v>
      </c>
      <c r="L562" s="31" t="s">
        <v>1377</v>
      </c>
      <c r="M562" s="27" t="s">
        <v>1390</v>
      </c>
      <c r="N562" s="27" t="s">
        <v>648</v>
      </c>
      <c r="O562" s="27" t="s">
        <v>528</v>
      </c>
    </row>
    <row r="563" spans="1:15">
      <c r="A563" s="25">
        <v>13063</v>
      </c>
      <c r="B563" s="34" t="s">
        <v>399</v>
      </c>
      <c r="C563" s="27" t="s">
        <v>521</v>
      </c>
      <c r="D563" s="31" t="s">
        <v>1391</v>
      </c>
      <c r="E563" s="28">
        <v>40854</v>
      </c>
      <c r="F563" s="28" t="s">
        <v>35</v>
      </c>
      <c r="G563" s="28" t="s">
        <v>35</v>
      </c>
      <c r="H563" s="27" t="s">
        <v>540</v>
      </c>
      <c r="I563" s="31" t="s">
        <v>1377</v>
      </c>
      <c r="J563" s="31" t="s">
        <v>525</v>
      </c>
      <c r="K563" s="31" t="s">
        <v>525</v>
      </c>
      <c r="L563" s="31" t="s">
        <v>1377</v>
      </c>
      <c r="M563" s="29" t="s">
        <v>35</v>
      </c>
      <c r="N563" s="29" t="s">
        <v>1231</v>
      </c>
      <c r="O563" s="29" t="s">
        <v>528</v>
      </c>
    </row>
    <row r="564" spans="1:15">
      <c r="A564" s="25">
        <v>18740</v>
      </c>
      <c r="B564" s="33" t="s">
        <v>340</v>
      </c>
      <c r="C564" s="27" t="s">
        <v>521</v>
      </c>
      <c r="D564" s="27" t="s">
        <v>623</v>
      </c>
      <c r="E564" s="28">
        <v>42142</v>
      </c>
      <c r="F564" s="28" t="s">
        <v>35</v>
      </c>
      <c r="G564" s="28" t="s">
        <v>35</v>
      </c>
      <c r="H564" s="27" t="s">
        <v>540</v>
      </c>
      <c r="I564" s="31" t="s">
        <v>1377</v>
      </c>
      <c r="J564" s="31" t="s">
        <v>525</v>
      </c>
      <c r="K564" s="31" t="s">
        <v>525</v>
      </c>
      <c r="L564" s="31" t="s">
        <v>1377</v>
      </c>
      <c r="M564" s="29" t="s">
        <v>35</v>
      </c>
      <c r="N564" s="29" t="s">
        <v>1231</v>
      </c>
      <c r="O564" s="29" t="s">
        <v>528</v>
      </c>
    </row>
    <row r="565" spans="1:15">
      <c r="A565" s="25">
        <v>23185</v>
      </c>
      <c r="B565" s="34" t="s">
        <v>1392</v>
      </c>
      <c r="C565" s="27" t="s">
        <v>521</v>
      </c>
      <c r="D565" s="31" t="s">
        <v>875</v>
      </c>
      <c r="E565" s="28">
        <v>43405</v>
      </c>
      <c r="F565" s="28">
        <v>43435</v>
      </c>
      <c r="G565" s="28">
        <v>43799</v>
      </c>
      <c r="H565" s="27" t="s">
        <v>540</v>
      </c>
      <c r="I565" s="31" t="s">
        <v>1377</v>
      </c>
      <c r="J565" s="31" t="s">
        <v>525</v>
      </c>
      <c r="K565" s="31" t="s">
        <v>525</v>
      </c>
      <c r="L565" s="31" t="s">
        <v>1377</v>
      </c>
      <c r="M565" s="29" t="s">
        <v>35</v>
      </c>
      <c r="N565" s="29" t="s">
        <v>1231</v>
      </c>
      <c r="O565" s="29" t="s">
        <v>528</v>
      </c>
    </row>
    <row r="566" spans="1:15">
      <c r="A566" s="82">
        <v>1016</v>
      </c>
      <c r="B566" s="26" t="s">
        <v>494</v>
      </c>
      <c r="C566" s="27" t="s">
        <v>521</v>
      </c>
      <c r="D566" s="27" t="s">
        <v>1242</v>
      </c>
      <c r="E566" s="28">
        <v>37872</v>
      </c>
      <c r="F566" s="28" t="s">
        <v>35</v>
      </c>
      <c r="G566" s="28" t="s">
        <v>35</v>
      </c>
      <c r="H566" s="31" t="s">
        <v>540</v>
      </c>
      <c r="I566" s="27" t="s">
        <v>1254</v>
      </c>
      <c r="J566" s="27" t="s">
        <v>525</v>
      </c>
      <c r="K566" s="27" t="s">
        <v>525</v>
      </c>
      <c r="L566" s="27" t="s">
        <v>1254</v>
      </c>
      <c r="M566" s="29" t="s">
        <v>1393</v>
      </c>
      <c r="N566" s="29" t="s">
        <v>1251</v>
      </c>
      <c r="O566" s="29" t="s">
        <v>528</v>
      </c>
    </row>
    <row r="567" spans="1:15">
      <c r="A567" s="25">
        <v>6193</v>
      </c>
      <c r="B567" s="26" t="s">
        <v>146</v>
      </c>
      <c r="C567" s="27" t="s">
        <v>521</v>
      </c>
      <c r="D567" s="27" t="s">
        <v>1065</v>
      </c>
      <c r="E567" s="28">
        <v>39173</v>
      </c>
      <c r="F567" s="28" t="s">
        <v>35</v>
      </c>
      <c r="G567" s="28" t="s">
        <v>35</v>
      </c>
      <c r="H567" s="27" t="s">
        <v>540</v>
      </c>
      <c r="I567" s="27" t="s">
        <v>1254</v>
      </c>
      <c r="J567" s="27" t="s">
        <v>525</v>
      </c>
      <c r="K567" s="27" t="s">
        <v>525</v>
      </c>
      <c r="L567" s="27" t="s">
        <v>1254</v>
      </c>
      <c r="M567" s="29" t="s">
        <v>1393</v>
      </c>
      <c r="N567" s="29" t="s">
        <v>1251</v>
      </c>
      <c r="O567" s="29" t="s">
        <v>528</v>
      </c>
    </row>
    <row r="568" spans="1:15">
      <c r="A568" s="25">
        <v>11292</v>
      </c>
      <c r="B568" s="26" t="s">
        <v>456</v>
      </c>
      <c r="C568" s="27" t="s">
        <v>521</v>
      </c>
      <c r="D568" s="27" t="s">
        <v>1394</v>
      </c>
      <c r="E568" s="28">
        <v>40634</v>
      </c>
      <c r="F568" s="28" t="s">
        <v>35</v>
      </c>
      <c r="G568" s="28" t="s">
        <v>35</v>
      </c>
      <c r="H568" s="31" t="s">
        <v>540</v>
      </c>
      <c r="I568" s="27" t="s">
        <v>1254</v>
      </c>
      <c r="J568" s="31" t="s">
        <v>525</v>
      </c>
      <c r="K568" s="31" t="s">
        <v>525</v>
      </c>
      <c r="L568" s="27" t="s">
        <v>1254</v>
      </c>
      <c r="M568" s="29" t="s">
        <v>1395</v>
      </c>
      <c r="N568" s="29" t="s">
        <v>1251</v>
      </c>
      <c r="O568" s="29" t="s">
        <v>528</v>
      </c>
    </row>
    <row r="569" spans="1:15">
      <c r="A569" s="25">
        <v>13647</v>
      </c>
      <c r="B569" s="34" t="s">
        <v>1396</v>
      </c>
      <c r="C569" s="31" t="s">
        <v>521</v>
      </c>
      <c r="D569" s="27" t="s">
        <v>522</v>
      </c>
      <c r="E569" s="28">
        <v>41155</v>
      </c>
      <c r="F569" s="28" t="s">
        <v>35</v>
      </c>
      <c r="G569" s="28" t="s">
        <v>35</v>
      </c>
      <c r="H569" s="31" t="s">
        <v>540</v>
      </c>
      <c r="I569" s="27" t="s">
        <v>1254</v>
      </c>
      <c r="J569" s="27" t="s">
        <v>525</v>
      </c>
      <c r="K569" s="27" t="s">
        <v>525</v>
      </c>
      <c r="L569" s="27" t="s">
        <v>1254</v>
      </c>
      <c r="M569" s="27" t="s">
        <v>569</v>
      </c>
      <c r="N569" s="27" t="s">
        <v>1037</v>
      </c>
      <c r="O569" s="27" t="s">
        <v>528</v>
      </c>
    </row>
    <row r="570" spans="1:15">
      <c r="A570" s="25">
        <v>14038</v>
      </c>
      <c r="B570" s="32" t="s">
        <v>377</v>
      </c>
      <c r="C570" s="27" t="s">
        <v>521</v>
      </c>
      <c r="D570" s="27" t="s">
        <v>1397</v>
      </c>
      <c r="E570" s="28">
        <v>41302</v>
      </c>
      <c r="F570" s="28" t="s">
        <v>35</v>
      </c>
      <c r="G570" s="28" t="s">
        <v>35</v>
      </c>
      <c r="H570" s="31" t="s">
        <v>540</v>
      </c>
      <c r="I570" s="27" t="s">
        <v>1254</v>
      </c>
      <c r="J570" s="27" t="s">
        <v>525</v>
      </c>
      <c r="K570" s="27" t="s">
        <v>525</v>
      </c>
      <c r="L570" s="27" t="s">
        <v>1254</v>
      </c>
      <c r="M570" s="29" t="s">
        <v>1398</v>
      </c>
      <c r="N570" s="29" t="s">
        <v>1251</v>
      </c>
      <c r="O570" s="29" t="s">
        <v>528</v>
      </c>
    </row>
    <row r="571" spans="1:15">
      <c r="A571" s="25">
        <v>14143</v>
      </c>
      <c r="B571" s="32" t="s">
        <v>362</v>
      </c>
      <c r="C571" s="27" t="s">
        <v>521</v>
      </c>
      <c r="D571" s="27" t="s">
        <v>1399</v>
      </c>
      <c r="E571" s="28">
        <v>41326</v>
      </c>
      <c r="F571" s="28" t="s">
        <v>35</v>
      </c>
      <c r="G571" s="28" t="s">
        <v>35</v>
      </c>
      <c r="H571" s="31" t="s">
        <v>540</v>
      </c>
      <c r="I571" s="27" t="s">
        <v>1254</v>
      </c>
      <c r="J571" s="27" t="s">
        <v>525</v>
      </c>
      <c r="K571" s="27" t="s">
        <v>525</v>
      </c>
      <c r="L571" s="27" t="s">
        <v>1254</v>
      </c>
      <c r="M571" s="29" t="s">
        <v>1398</v>
      </c>
      <c r="N571" s="29" t="s">
        <v>1251</v>
      </c>
      <c r="O571" s="29" t="s">
        <v>528</v>
      </c>
    </row>
    <row r="572" spans="1:15">
      <c r="A572" s="25">
        <v>14144</v>
      </c>
      <c r="B572" s="32" t="s">
        <v>361</v>
      </c>
      <c r="C572" s="27" t="s">
        <v>521</v>
      </c>
      <c r="D572" s="27" t="s">
        <v>1400</v>
      </c>
      <c r="E572" s="28">
        <v>41347</v>
      </c>
      <c r="F572" s="28" t="s">
        <v>35</v>
      </c>
      <c r="G572" s="28" t="s">
        <v>35</v>
      </c>
      <c r="H572" s="31" t="s">
        <v>540</v>
      </c>
      <c r="I572" s="27" t="s">
        <v>1254</v>
      </c>
      <c r="J572" s="31" t="s">
        <v>525</v>
      </c>
      <c r="K572" s="31" t="s">
        <v>525</v>
      </c>
      <c r="L572" s="27" t="s">
        <v>1254</v>
      </c>
      <c r="M572" s="27" t="s">
        <v>1401</v>
      </c>
      <c r="N572" s="27" t="s">
        <v>1251</v>
      </c>
      <c r="O572" s="27" t="s">
        <v>528</v>
      </c>
    </row>
    <row r="573" spans="1:15">
      <c r="A573" s="25">
        <v>14149</v>
      </c>
      <c r="B573" s="32" t="s">
        <v>360</v>
      </c>
      <c r="C573" s="27" t="s">
        <v>521</v>
      </c>
      <c r="D573" s="27" t="s">
        <v>1402</v>
      </c>
      <c r="E573" s="28">
        <v>41354</v>
      </c>
      <c r="F573" s="28" t="s">
        <v>35</v>
      </c>
      <c r="G573" s="28" t="s">
        <v>35</v>
      </c>
      <c r="H573" s="31" t="s">
        <v>540</v>
      </c>
      <c r="I573" s="27" t="s">
        <v>1254</v>
      </c>
      <c r="J573" s="31" t="s">
        <v>525</v>
      </c>
      <c r="K573" s="31" t="s">
        <v>525</v>
      </c>
      <c r="L573" s="27" t="s">
        <v>1254</v>
      </c>
      <c r="M573" s="27" t="s">
        <v>1403</v>
      </c>
      <c r="N573" s="27" t="s">
        <v>1251</v>
      </c>
      <c r="O573" s="27" t="s">
        <v>528</v>
      </c>
    </row>
    <row r="574" spans="1:15">
      <c r="A574" s="25">
        <v>22640</v>
      </c>
      <c r="B574" s="34" t="s">
        <v>231</v>
      </c>
      <c r="C574" s="31" t="s">
        <v>521</v>
      </c>
      <c r="D574" s="31" t="s">
        <v>1404</v>
      </c>
      <c r="E574" s="28">
        <v>43241</v>
      </c>
      <c r="F574" s="28">
        <v>43272</v>
      </c>
      <c r="G574" s="28">
        <v>43646</v>
      </c>
      <c r="H574" s="31" t="s">
        <v>540</v>
      </c>
      <c r="I574" s="27" t="s">
        <v>1254</v>
      </c>
      <c r="J574" s="27" t="s">
        <v>525</v>
      </c>
      <c r="K574" s="27" t="s">
        <v>525</v>
      </c>
      <c r="L574" s="27" t="s">
        <v>1254</v>
      </c>
      <c r="M574" s="29" t="s">
        <v>1405</v>
      </c>
      <c r="N574" s="29" t="s">
        <v>1251</v>
      </c>
      <c r="O574" s="29" t="s">
        <v>528</v>
      </c>
    </row>
    <row r="575" spans="1:15">
      <c r="A575" s="25">
        <v>14125</v>
      </c>
      <c r="B575" s="32" t="s">
        <v>366</v>
      </c>
      <c r="C575" s="27" t="s">
        <v>521</v>
      </c>
      <c r="D575" s="27" t="s">
        <v>1366</v>
      </c>
      <c r="E575" s="28">
        <v>41306</v>
      </c>
      <c r="F575" s="28" t="s">
        <v>35</v>
      </c>
      <c r="G575" s="28" t="s">
        <v>35</v>
      </c>
      <c r="H575" s="31" t="s">
        <v>540</v>
      </c>
      <c r="I575" s="27" t="s">
        <v>1254</v>
      </c>
      <c r="J575" s="27" t="s">
        <v>525</v>
      </c>
      <c r="K575" s="27" t="s">
        <v>525</v>
      </c>
      <c r="L575" s="27" t="s">
        <v>1254</v>
      </c>
      <c r="M575" s="29" t="s">
        <v>35</v>
      </c>
      <c r="N575" s="29" t="s">
        <v>1251</v>
      </c>
      <c r="O575" s="29" t="s">
        <v>590</v>
      </c>
    </row>
    <row r="576" spans="1:15">
      <c r="A576" s="25">
        <v>12230</v>
      </c>
      <c r="B576" s="34" t="s">
        <v>418</v>
      </c>
      <c r="C576" s="27" t="s">
        <v>521</v>
      </c>
      <c r="D576" s="31" t="s">
        <v>1406</v>
      </c>
      <c r="E576" s="28">
        <v>40805</v>
      </c>
      <c r="F576" s="28" t="s">
        <v>35</v>
      </c>
      <c r="G576" s="28" t="s">
        <v>35</v>
      </c>
      <c r="H576" s="27" t="s">
        <v>540</v>
      </c>
      <c r="I576" s="27" t="s">
        <v>1254</v>
      </c>
      <c r="J576" s="27" t="s">
        <v>525</v>
      </c>
      <c r="K576" s="27" t="s">
        <v>525</v>
      </c>
      <c r="L576" s="27" t="s">
        <v>1254</v>
      </c>
      <c r="M576" s="29" t="s">
        <v>35</v>
      </c>
      <c r="N576" s="29" t="s">
        <v>1251</v>
      </c>
      <c r="O576" s="29" t="s">
        <v>594</v>
      </c>
    </row>
    <row r="577" spans="1:15">
      <c r="A577" s="25">
        <v>22440</v>
      </c>
      <c r="B577" s="26" t="s">
        <v>1407</v>
      </c>
      <c r="C577" s="27" t="s">
        <v>521</v>
      </c>
      <c r="D577" s="27" t="s">
        <v>1375</v>
      </c>
      <c r="E577" s="28">
        <v>43213</v>
      </c>
      <c r="F577" s="28">
        <v>43243</v>
      </c>
      <c r="G577" s="28">
        <v>43616</v>
      </c>
      <c r="H577" s="27" t="s">
        <v>540</v>
      </c>
      <c r="I577" s="27" t="s">
        <v>1254</v>
      </c>
      <c r="J577" s="27" t="s">
        <v>525</v>
      </c>
      <c r="K577" s="27" t="s">
        <v>525</v>
      </c>
      <c r="L577" s="27" t="s">
        <v>1254</v>
      </c>
      <c r="M577" s="29" t="s">
        <v>35</v>
      </c>
      <c r="N577" s="29" t="s">
        <v>1251</v>
      </c>
      <c r="O577" s="29" t="s">
        <v>528</v>
      </c>
    </row>
    <row r="578" spans="1:15">
      <c r="A578" s="25">
        <v>6116</v>
      </c>
      <c r="B578" s="26" t="s">
        <v>134</v>
      </c>
      <c r="C578" s="27" t="s">
        <v>521</v>
      </c>
      <c r="D578" s="27" t="s">
        <v>637</v>
      </c>
      <c r="E578" s="28">
        <v>39142</v>
      </c>
      <c r="F578" s="28" t="s">
        <v>35</v>
      </c>
      <c r="G578" s="28" t="s">
        <v>35</v>
      </c>
      <c r="H578" s="27" t="s">
        <v>540</v>
      </c>
      <c r="I578" s="27" t="s">
        <v>1254</v>
      </c>
      <c r="J578" s="27" t="s">
        <v>525</v>
      </c>
      <c r="K578" s="27" t="s">
        <v>525</v>
      </c>
      <c r="L578" s="27" t="s">
        <v>1254</v>
      </c>
      <c r="M578" s="29" t="s">
        <v>35</v>
      </c>
      <c r="N578" s="29" t="s">
        <v>648</v>
      </c>
      <c r="O578" s="29" t="s">
        <v>590</v>
      </c>
    </row>
    <row r="579" spans="1:15">
      <c r="A579" s="25">
        <v>14091</v>
      </c>
      <c r="B579" s="32" t="s">
        <v>375</v>
      </c>
      <c r="C579" s="27" t="s">
        <v>521</v>
      </c>
      <c r="D579" s="27" t="s">
        <v>619</v>
      </c>
      <c r="E579" s="28">
        <v>41306</v>
      </c>
      <c r="F579" s="28" t="s">
        <v>35</v>
      </c>
      <c r="G579" s="28" t="s">
        <v>35</v>
      </c>
      <c r="H579" s="31" t="s">
        <v>540</v>
      </c>
      <c r="I579" s="27" t="s">
        <v>1254</v>
      </c>
      <c r="J579" s="27" t="s">
        <v>525</v>
      </c>
      <c r="K579" s="27" t="s">
        <v>525</v>
      </c>
      <c r="L579" s="27" t="s">
        <v>1254</v>
      </c>
      <c r="M579" s="29" t="s">
        <v>35</v>
      </c>
      <c r="N579" s="27" t="s">
        <v>1251</v>
      </c>
      <c r="O579" s="27" t="s">
        <v>528</v>
      </c>
    </row>
    <row r="580" spans="1:15">
      <c r="A580" s="25">
        <v>44</v>
      </c>
      <c r="B580" s="26" t="s">
        <v>1408</v>
      </c>
      <c r="C580" s="27" t="s">
        <v>521</v>
      </c>
      <c r="D580" s="27" t="s">
        <v>1376</v>
      </c>
      <c r="E580" s="28">
        <v>37529</v>
      </c>
      <c r="F580" s="28" t="s">
        <v>35</v>
      </c>
      <c r="G580" s="28" t="s">
        <v>35</v>
      </c>
      <c r="H580" s="27" t="s">
        <v>540</v>
      </c>
      <c r="I580" s="27" t="s">
        <v>1254</v>
      </c>
      <c r="J580" s="27" t="s">
        <v>525</v>
      </c>
      <c r="K580" s="27" t="s">
        <v>525</v>
      </c>
      <c r="L580" s="27" t="s">
        <v>1254</v>
      </c>
      <c r="M580" s="29" t="s">
        <v>1372</v>
      </c>
      <c r="N580" s="29" t="s">
        <v>648</v>
      </c>
      <c r="O580" s="29" t="s">
        <v>594</v>
      </c>
    </row>
    <row r="581" spans="1:15">
      <c r="A581" s="25">
        <v>5557</v>
      </c>
      <c r="B581" s="26" t="s">
        <v>1409</v>
      </c>
      <c r="C581" s="27" t="s">
        <v>521</v>
      </c>
      <c r="D581" s="27" t="s">
        <v>632</v>
      </c>
      <c r="E581" s="28">
        <v>39052</v>
      </c>
      <c r="F581" s="28" t="s">
        <v>35</v>
      </c>
      <c r="G581" s="28" t="s">
        <v>35</v>
      </c>
      <c r="H581" s="27" t="s">
        <v>540</v>
      </c>
      <c r="I581" s="27" t="s">
        <v>1254</v>
      </c>
      <c r="J581" s="27" t="s">
        <v>525</v>
      </c>
      <c r="K581" s="27" t="s">
        <v>525</v>
      </c>
      <c r="L581" s="27" t="s">
        <v>1254</v>
      </c>
      <c r="M581" s="29" t="s">
        <v>1372</v>
      </c>
      <c r="N581" s="27" t="s">
        <v>648</v>
      </c>
      <c r="O581" s="27" t="s">
        <v>528</v>
      </c>
    </row>
    <row r="582" spans="1:15">
      <c r="A582" s="25">
        <v>13344</v>
      </c>
      <c r="B582" s="34" t="s">
        <v>392</v>
      </c>
      <c r="C582" s="31" t="s">
        <v>521</v>
      </c>
      <c r="D582" s="31" t="s">
        <v>638</v>
      </c>
      <c r="E582" s="28">
        <v>40924</v>
      </c>
      <c r="F582" s="28" t="s">
        <v>35</v>
      </c>
      <c r="G582" s="28" t="s">
        <v>35</v>
      </c>
      <c r="H582" s="27" t="s">
        <v>540</v>
      </c>
      <c r="I582" s="27" t="s">
        <v>1254</v>
      </c>
      <c r="J582" s="29" t="s">
        <v>525</v>
      </c>
      <c r="K582" s="29" t="s">
        <v>525</v>
      </c>
      <c r="L582" s="27" t="s">
        <v>1254</v>
      </c>
      <c r="M582" s="29" t="s">
        <v>35</v>
      </c>
      <c r="N582" s="29" t="s">
        <v>1251</v>
      </c>
      <c r="O582" s="29" t="s">
        <v>528</v>
      </c>
    </row>
    <row r="583" spans="1:15">
      <c r="A583" s="25">
        <v>1076</v>
      </c>
      <c r="B583" s="26" t="s">
        <v>1410</v>
      </c>
      <c r="C583" s="27" t="s">
        <v>521</v>
      </c>
      <c r="D583" s="27" t="s">
        <v>1411</v>
      </c>
      <c r="E583" s="28">
        <v>37887</v>
      </c>
      <c r="F583" s="28" t="s">
        <v>35</v>
      </c>
      <c r="G583" s="28" t="s">
        <v>35</v>
      </c>
      <c r="H583" s="29" t="s">
        <v>537</v>
      </c>
      <c r="I583" s="29" t="s">
        <v>1412</v>
      </c>
      <c r="J583" s="29" t="s">
        <v>525</v>
      </c>
      <c r="K583" s="29" t="s">
        <v>525</v>
      </c>
      <c r="L583" s="29" t="s">
        <v>1412</v>
      </c>
      <c r="M583" s="29" t="s">
        <v>1413</v>
      </c>
      <c r="N583" s="29" t="s">
        <v>1263</v>
      </c>
      <c r="O583" s="29" t="s">
        <v>528</v>
      </c>
    </row>
    <row r="584" spans="1:15">
      <c r="A584" s="25">
        <v>5799</v>
      </c>
      <c r="B584" s="26" t="s">
        <v>1414</v>
      </c>
      <c r="C584" s="27" t="s">
        <v>521</v>
      </c>
      <c r="D584" s="27" t="s">
        <v>794</v>
      </c>
      <c r="E584" s="28">
        <v>39114</v>
      </c>
      <c r="F584" s="28" t="s">
        <v>35</v>
      </c>
      <c r="G584" s="28" t="s">
        <v>35</v>
      </c>
      <c r="H584" s="29" t="s">
        <v>537</v>
      </c>
      <c r="I584" s="29" t="s">
        <v>1412</v>
      </c>
      <c r="J584" s="29" t="s">
        <v>525</v>
      </c>
      <c r="K584" s="29" t="s">
        <v>525</v>
      </c>
      <c r="L584" s="29" t="s">
        <v>1412</v>
      </c>
      <c r="M584" s="29" t="s">
        <v>1413</v>
      </c>
      <c r="N584" s="29" t="s">
        <v>1263</v>
      </c>
      <c r="O584" s="29" t="s">
        <v>528</v>
      </c>
    </row>
    <row r="585" spans="1:15">
      <c r="A585" s="25">
        <v>19437</v>
      </c>
      <c r="B585" s="32" t="s">
        <v>1415</v>
      </c>
      <c r="C585" s="27" t="s">
        <v>521</v>
      </c>
      <c r="D585" s="27" t="s">
        <v>1182</v>
      </c>
      <c r="E585" s="28">
        <v>42303</v>
      </c>
      <c r="F585" s="28" t="s">
        <v>35</v>
      </c>
      <c r="G585" s="28" t="s">
        <v>35</v>
      </c>
      <c r="H585" s="29" t="s">
        <v>537</v>
      </c>
      <c r="I585" s="29" t="s">
        <v>1412</v>
      </c>
      <c r="J585" s="29" t="s">
        <v>525</v>
      </c>
      <c r="K585" s="29" t="s">
        <v>525</v>
      </c>
      <c r="L585" s="29" t="s">
        <v>1412</v>
      </c>
      <c r="M585" s="29" t="s">
        <v>1413</v>
      </c>
      <c r="N585" s="29" t="s">
        <v>1263</v>
      </c>
      <c r="O585" s="29" t="s">
        <v>528</v>
      </c>
    </row>
    <row r="586" spans="1:15">
      <c r="A586" s="82">
        <v>19446</v>
      </c>
      <c r="B586" s="26" t="s">
        <v>1416</v>
      </c>
      <c r="C586" s="31" t="s">
        <v>521</v>
      </c>
      <c r="D586" s="27" t="s">
        <v>1417</v>
      </c>
      <c r="E586" s="28">
        <v>42310</v>
      </c>
      <c r="F586" s="28" t="s">
        <v>35</v>
      </c>
      <c r="G586" s="28" t="s">
        <v>35</v>
      </c>
      <c r="H586" s="29" t="s">
        <v>537</v>
      </c>
      <c r="I586" s="29" t="s">
        <v>1418</v>
      </c>
      <c r="J586" s="29" t="s">
        <v>525</v>
      </c>
      <c r="K586" s="29" t="s">
        <v>525</v>
      </c>
      <c r="L586" s="29" t="s">
        <v>1418</v>
      </c>
      <c r="M586" s="29" t="s">
        <v>1413</v>
      </c>
      <c r="N586" s="29" t="s">
        <v>1263</v>
      </c>
      <c r="O586" s="29" t="s">
        <v>528</v>
      </c>
    </row>
    <row r="587" spans="1:15">
      <c r="A587" s="25">
        <v>11093</v>
      </c>
      <c r="B587" s="26" t="s">
        <v>1419</v>
      </c>
      <c r="C587" s="27" t="s">
        <v>521</v>
      </c>
      <c r="D587" s="27" t="s">
        <v>1420</v>
      </c>
      <c r="E587" s="28">
        <v>40595</v>
      </c>
      <c r="F587" s="28" t="s">
        <v>35</v>
      </c>
      <c r="G587" s="28" t="s">
        <v>35</v>
      </c>
      <c r="H587" s="29" t="s">
        <v>537</v>
      </c>
      <c r="I587" s="29" t="s">
        <v>1421</v>
      </c>
      <c r="J587" s="29" t="s">
        <v>525</v>
      </c>
      <c r="K587" s="29" t="s">
        <v>525</v>
      </c>
      <c r="L587" s="29" t="s">
        <v>1421</v>
      </c>
      <c r="M587" s="29" t="s">
        <v>1413</v>
      </c>
      <c r="N587" s="29" t="s">
        <v>1263</v>
      </c>
      <c r="O587" s="29" t="s">
        <v>528</v>
      </c>
    </row>
    <row r="588" spans="1:15">
      <c r="A588" s="25">
        <v>11107</v>
      </c>
      <c r="B588" s="83" t="s">
        <v>1422</v>
      </c>
      <c r="C588" s="25" t="s">
        <v>521</v>
      </c>
      <c r="D588" s="25" t="s">
        <v>1423</v>
      </c>
      <c r="E588" s="28">
        <v>40603</v>
      </c>
      <c r="F588" s="28" t="s">
        <v>35</v>
      </c>
      <c r="G588" s="28" t="s">
        <v>35</v>
      </c>
      <c r="H588" s="29" t="s">
        <v>537</v>
      </c>
      <c r="I588" s="29" t="s">
        <v>1421</v>
      </c>
      <c r="J588" s="29" t="s">
        <v>525</v>
      </c>
      <c r="K588" s="29" t="s">
        <v>525</v>
      </c>
      <c r="L588" s="29" t="s">
        <v>1421</v>
      </c>
      <c r="M588" s="29" t="s">
        <v>1413</v>
      </c>
      <c r="N588" s="29" t="s">
        <v>1263</v>
      </c>
      <c r="O588" s="29" t="s">
        <v>528</v>
      </c>
    </row>
    <row r="589" spans="1:15">
      <c r="A589" s="25">
        <v>12138</v>
      </c>
      <c r="B589" s="26" t="s">
        <v>1424</v>
      </c>
      <c r="C589" s="27" t="s">
        <v>521</v>
      </c>
      <c r="D589" s="27" t="s">
        <v>665</v>
      </c>
      <c r="E589" s="28">
        <v>40798</v>
      </c>
      <c r="F589" s="28" t="s">
        <v>35</v>
      </c>
      <c r="G589" s="28" t="s">
        <v>35</v>
      </c>
      <c r="H589" s="29" t="s">
        <v>537</v>
      </c>
      <c r="I589" s="29" t="s">
        <v>1421</v>
      </c>
      <c r="J589" s="29" t="s">
        <v>525</v>
      </c>
      <c r="K589" s="29" t="s">
        <v>525</v>
      </c>
      <c r="L589" s="29" t="s">
        <v>1421</v>
      </c>
      <c r="M589" s="29" t="s">
        <v>1413</v>
      </c>
      <c r="N589" s="29" t="s">
        <v>1263</v>
      </c>
      <c r="O589" s="29" t="s">
        <v>528</v>
      </c>
    </row>
    <row r="590" spans="1:15">
      <c r="A590" s="25">
        <v>5690</v>
      </c>
      <c r="B590" s="26" t="s">
        <v>1425</v>
      </c>
      <c r="C590" s="27" t="s">
        <v>521</v>
      </c>
      <c r="D590" s="27" t="s">
        <v>790</v>
      </c>
      <c r="E590" s="28">
        <v>39098</v>
      </c>
      <c r="F590" s="28" t="s">
        <v>35</v>
      </c>
      <c r="G590" s="28" t="s">
        <v>35</v>
      </c>
      <c r="H590" s="29" t="s">
        <v>537</v>
      </c>
      <c r="I590" s="29" t="s">
        <v>1412</v>
      </c>
      <c r="J590" s="29" t="s">
        <v>525</v>
      </c>
      <c r="K590" s="29" t="s">
        <v>525</v>
      </c>
      <c r="L590" s="29" t="s">
        <v>1426</v>
      </c>
      <c r="M590" s="29" t="s">
        <v>1427</v>
      </c>
      <c r="N590" s="29" t="s">
        <v>1428</v>
      </c>
      <c r="O590" s="29" t="s">
        <v>528</v>
      </c>
    </row>
    <row r="591" spans="1:15">
      <c r="A591" s="25">
        <v>871</v>
      </c>
      <c r="B591" s="26" t="s">
        <v>1429</v>
      </c>
      <c r="C591" s="27" t="s">
        <v>521</v>
      </c>
      <c r="D591" s="27" t="s">
        <v>1430</v>
      </c>
      <c r="E591" s="28">
        <v>37852</v>
      </c>
      <c r="F591" s="28" t="s">
        <v>35</v>
      </c>
      <c r="G591" s="28" t="s">
        <v>35</v>
      </c>
      <c r="H591" s="29" t="s">
        <v>537</v>
      </c>
      <c r="I591" s="29" t="s">
        <v>1418</v>
      </c>
      <c r="J591" s="29" t="s">
        <v>525</v>
      </c>
      <c r="K591" s="29" t="s">
        <v>525</v>
      </c>
      <c r="L591" s="29" t="s">
        <v>1431</v>
      </c>
      <c r="M591" s="29" t="s">
        <v>1427</v>
      </c>
      <c r="N591" s="29" t="s">
        <v>1428</v>
      </c>
      <c r="O591" s="29" t="s">
        <v>528</v>
      </c>
    </row>
    <row r="592" spans="1:15">
      <c r="A592" s="25">
        <v>6357</v>
      </c>
      <c r="B592" s="26" t="s">
        <v>1432</v>
      </c>
      <c r="C592" s="27" t="s">
        <v>521</v>
      </c>
      <c r="D592" s="27" t="s">
        <v>1181</v>
      </c>
      <c r="E592" s="28">
        <v>39279</v>
      </c>
      <c r="F592" s="28" t="s">
        <v>35</v>
      </c>
      <c r="G592" s="28" t="s">
        <v>35</v>
      </c>
      <c r="H592" s="29" t="s">
        <v>537</v>
      </c>
      <c r="I592" s="29" t="s">
        <v>1418</v>
      </c>
      <c r="J592" s="29" t="s">
        <v>525</v>
      </c>
      <c r="K592" s="29" t="s">
        <v>525</v>
      </c>
      <c r="L592" s="29" t="s">
        <v>1431</v>
      </c>
      <c r="M592" s="29" t="s">
        <v>1427</v>
      </c>
      <c r="N592" s="29" t="s">
        <v>1428</v>
      </c>
      <c r="O592" s="29" t="s">
        <v>528</v>
      </c>
    </row>
    <row r="593" spans="1:15">
      <c r="A593" s="25">
        <v>10470</v>
      </c>
      <c r="B593" s="26" t="s">
        <v>1433</v>
      </c>
      <c r="C593" s="27" t="s">
        <v>521</v>
      </c>
      <c r="D593" s="27" t="s">
        <v>864</v>
      </c>
      <c r="E593" s="28">
        <v>40524</v>
      </c>
      <c r="F593" s="28" t="s">
        <v>35</v>
      </c>
      <c r="G593" s="28" t="s">
        <v>35</v>
      </c>
      <c r="H593" s="29" t="s">
        <v>537</v>
      </c>
      <c r="I593" s="29" t="s">
        <v>1418</v>
      </c>
      <c r="J593" s="29" t="s">
        <v>525</v>
      </c>
      <c r="K593" s="29" t="s">
        <v>525</v>
      </c>
      <c r="L593" s="29" t="s">
        <v>1431</v>
      </c>
      <c r="M593" s="29" t="s">
        <v>1434</v>
      </c>
      <c r="N593" s="29" t="s">
        <v>1428</v>
      </c>
      <c r="O593" s="29" t="s">
        <v>528</v>
      </c>
    </row>
    <row r="594" spans="1:15">
      <c r="A594" s="25">
        <v>13065</v>
      </c>
      <c r="B594" s="26" t="s">
        <v>398</v>
      </c>
      <c r="C594" s="27" t="s">
        <v>521</v>
      </c>
      <c r="D594" s="27" t="s">
        <v>1391</v>
      </c>
      <c r="E594" s="28">
        <v>40854</v>
      </c>
      <c r="F594" s="28" t="s">
        <v>35</v>
      </c>
      <c r="G594" s="28" t="s">
        <v>35</v>
      </c>
      <c r="H594" s="29" t="s">
        <v>537</v>
      </c>
      <c r="I594" s="29" t="s">
        <v>1418</v>
      </c>
      <c r="J594" s="29" t="s">
        <v>525</v>
      </c>
      <c r="K594" s="29" t="s">
        <v>525</v>
      </c>
      <c r="L594" s="29" t="s">
        <v>1431</v>
      </c>
      <c r="M594" s="29" t="s">
        <v>1435</v>
      </c>
      <c r="N594" s="29" t="s">
        <v>1428</v>
      </c>
      <c r="O594" s="29" t="s">
        <v>528</v>
      </c>
    </row>
    <row r="595" spans="1:15">
      <c r="A595" s="25">
        <v>5887</v>
      </c>
      <c r="B595" s="26" t="s">
        <v>166</v>
      </c>
      <c r="C595" s="27" t="s">
        <v>521</v>
      </c>
      <c r="D595" s="27" t="s">
        <v>713</v>
      </c>
      <c r="E595" s="28">
        <v>39129</v>
      </c>
      <c r="F595" s="28" t="s">
        <v>35</v>
      </c>
      <c r="G595" s="28" t="s">
        <v>35</v>
      </c>
      <c r="H595" s="29" t="s">
        <v>537</v>
      </c>
      <c r="I595" s="29" t="s">
        <v>1421</v>
      </c>
      <c r="J595" s="29" t="s">
        <v>525</v>
      </c>
      <c r="K595" s="29" t="s">
        <v>525</v>
      </c>
      <c r="L595" s="29" t="s">
        <v>1436</v>
      </c>
      <c r="M595" s="29" t="s">
        <v>1427</v>
      </c>
      <c r="N595" s="29" t="s">
        <v>1428</v>
      </c>
      <c r="O595" s="29" t="s">
        <v>528</v>
      </c>
    </row>
    <row r="596" spans="1:15">
      <c r="A596" s="25">
        <v>9310</v>
      </c>
      <c r="B596" s="26" t="s">
        <v>1437</v>
      </c>
      <c r="C596" s="27" t="s">
        <v>521</v>
      </c>
      <c r="D596" s="27" t="s">
        <v>658</v>
      </c>
      <c r="E596" s="28">
        <v>40148</v>
      </c>
      <c r="F596" s="28" t="s">
        <v>35</v>
      </c>
      <c r="G596" s="28" t="s">
        <v>35</v>
      </c>
      <c r="H596" s="29" t="s">
        <v>537</v>
      </c>
      <c r="I596" s="29" t="s">
        <v>1421</v>
      </c>
      <c r="J596" s="29" t="s">
        <v>525</v>
      </c>
      <c r="K596" s="29" t="s">
        <v>525</v>
      </c>
      <c r="L596" s="29" t="s">
        <v>1436</v>
      </c>
      <c r="M596" s="29" t="s">
        <v>1434</v>
      </c>
      <c r="N596" s="29" t="s">
        <v>1428</v>
      </c>
      <c r="O596" s="29" t="s">
        <v>528</v>
      </c>
    </row>
    <row r="597" spans="1:15">
      <c r="A597" s="25">
        <v>13283</v>
      </c>
      <c r="B597" s="34" t="s">
        <v>1438</v>
      </c>
      <c r="C597" s="31" t="s">
        <v>521</v>
      </c>
      <c r="D597" s="31" t="s">
        <v>1439</v>
      </c>
      <c r="E597" s="28">
        <v>40917</v>
      </c>
      <c r="F597" s="28" t="s">
        <v>35</v>
      </c>
      <c r="G597" s="28" t="s">
        <v>35</v>
      </c>
      <c r="H597" s="29" t="s">
        <v>537</v>
      </c>
      <c r="I597" s="29" t="s">
        <v>1421</v>
      </c>
      <c r="J597" s="29" t="s">
        <v>525</v>
      </c>
      <c r="K597" s="29" t="s">
        <v>525</v>
      </c>
      <c r="L597" s="29" t="s">
        <v>1436</v>
      </c>
      <c r="M597" s="29" t="s">
        <v>1440</v>
      </c>
      <c r="N597" s="29" t="s">
        <v>1428</v>
      </c>
      <c r="O597" s="29" t="s">
        <v>528</v>
      </c>
    </row>
    <row r="598" spans="1:15">
      <c r="A598" s="25">
        <v>1153</v>
      </c>
      <c r="B598" s="26" t="s">
        <v>1441</v>
      </c>
      <c r="C598" s="27" t="s">
        <v>521</v>
      </c>
      <c r="D598" s="27" t="s">
        <v>1247</v>
      </c>
      <c r="E598" s="28">
        <v>37900</v>
      </c>
      <c r="F598" s="28" t="s">
        <v>35</v>
      </c>
      <c r="G598" s="28" t="s">
        <v>35</v>
      </c>
      <c r="H598" s="29" t="s">
        <v>537</v>
      </c>
      <c r="I598" s="29" t="s">
        <v>1442</v>
      </c>
      <c r="J598" s="29" t="s">
        <v>525</v>
      </c>
      <c r="K598" s="29" t="s">
        <v>525</v>
      </c>
      <c r="L598" s="29" t="s">
        <v>1442</v>
      </c>
      <c r="M598" s="29" t="s">
        <v>1443</v>
      </c>
      <c r="N598" s="29" t="s">
        <v>1263</v>
      </c>
      <c r="O598" s="29" t="s">
        <v>528</v>
      </c>
    </row>
    <row r="599" spans="1:15">
      <c r="A599" s="25">
        <v>9690</v>
      </c>
      <c r="B599" s="32" t="s">
        <v>1444</v>
      </c>
      <c r="C599" s="27" t="s">
        <v>521</v>
      </c>
      <c r="D599" s="27" t="s">
        <v>677</v>
      </c>
      <c r="E599" s="28">
        <v>40297</v>
      </c>
      <c r="F599" s="28" t="s">
        <v>35</v>
      </c>
      <c r="G599" s="28" t="s">
        <v>35</v>
      </c>
      <c r="H599" s="29" t="s">
        <v>537</v>
      </c>
      <c r="I599" s="29" t="s">
        <v>1442</v>
      </c>
      <c r="J599" s="29" t="s">
        <v>525</v>
      </c>
      <c r="K599" s="29" t="s">
        <v>525</v>
      </c>
      <c r="L599" s="29" t="s">
        <v>1442</v>
      </c>
      <c r="M599" s="29" t="s">
        <v>1443</v>
      </c>
      <c r="N599" s="29" t="s">
        <v>1263</v>
      </c>
      <c r="O599" s="29" t="s">
        <v>528</v>
      </c>
    </row>
    <row r="600" spans="1:15">
      <c r="A600" s="82">
        <v>19461</v>
      </c>
      <c r="B600" s="26" t="s">
        <v>1445</v>
      </c>
      <c r="C600" s="31" t="s">
        <v>521</v>
      </c>
      <c r="D600" s="27" t="s">
        <v>1446</v>
      </c>
      <c r="E600" s="28">
        <v>42422</v>
      </c>
      <c r="F600" s="28" t="s">
        <v>35</v>
      </c>
      <c r="G600" s="28" t="s">
        <v>35</v>
      </c>
      <c r="H600" s="29" t="s">
        <v>537</v>
      </c>
      <c r="I600" s="29" t="s">
        <v>1442</v>
      </c>
      <c r="J600" s="29" t="s">
        <v>525</v>
      </c>
      <c r="K600" s="29" t="s">
        <v>525</v>
      </c>
      <c r="L600" s="29" t="s">
        <v>1442</v>
      </c>
      <c r="M600" s="29" t="s">
        <v>1443</v>
      </c>
      <c r="N600" s="29" t="s">
        <v>1263</v>
      </c>
      <c r="O600" s="29" t="s">
        <v>528</v>
      </c>
    </row>
    <row r="601" spans="1:15">
      <c r="A601" s="25">
        <v>241</v>
      </c>
      <c r="B601" s="33" t="s">
        <v>1447</v>
      </c>
      <c r="C601" s="27" t="s">
        <v>521</v>
      </c>
      <c r="D601" s="27" t="s">
        <v>644</v>
      </c>
      <c r="E601" s="28">
        <v>37704</v>
      </c>
      <c r="F601" s="28" t="s">
        <v>35</v>
      </c>
      <c r="G601" s="28" t="s">
        <v>35</v>
      </c>
      <c r="H601" s="29" t="s">
        <v>537</v>
      </c>
      <c r="I601" s="29" t="s">
        <v>1412</v>
      </c>
      <c r="J601" s="29" t="s">
        <v>525</v>
      </c>
      <c r="K601" s="29" t="s">
        <v>525</v>
      </c>
      <c r="L601" s="29" t="s">
        <v>1412</v>
      </c>
      <c r="M601" s="29" t="s">
        <v>1413</v>
      </c>
      <c r="N601" s="29" t="s">
        <v>1263</v>
      </c>
      <c r="O601" s="29" t="s">
        <v>528</v>
      </c>
    </row>
    <row r="602" spans="1:15">
      <c r="A602" s="25">
        <v>3640</v>
      </c>
      <c r="B602" s="26" t="s">
        <v>1448</v>
      </c>
      <c r="C602" s="27" t="s">
        <v>521</v>
      </c>
      <c r="D602" s="27" t="s">
        <v>522</v>
      </c>
      <c r="E602" s="28">
        <v>38285</v>
      </c>
      <c r="F602" s="28" t="s">
        <v>35</v>
      </c>
      <c r="G602" s="28" t="s">
        <v>35</v>
      </c>
      <c r="H602" s="29" t="s">
        <v>537</v>
      </c>
      <c r="I602" s="29" t="s">
        <v>1412</v>
      </c>
      <c r="J602" s="29" t="s">
        <v>525</v>
      </c>
      <c r="K602" s="29" t="s">
        <v>525</v>
      </c>
      <c r="L602" s="29" t="s">
        <v>1412</v>
      </c>
      <c r="M602" s="29" t="s">
        <v>35</v>
      </c>
      <c r="N602" s="29" t="s">
        <v>1037</v>
      </c>
      <c r="O602" s="29" t="s">
        <v>528</v>
      </c>
    </row>
    <row r="603" spans="1:15">
      <c r="A603" s="25">
        <v>7782</v>
      </c>
      <c r="B603" s="26" t="s">
        <v>1449</v>
      </c>
      <c r="C603" s="27" t="s">
        <v>521</v>
      </c>
      <c r="D603" s="27" t="s">
        <v>697</v>
      </c>
      <c r="E603" s="28">
        <v>39630</v>
      </c>
      <c r="F603" s="28" t="s">
        <v>35</v>
      </c>
      <c r="G603" s="28" t="s">
        <v>35</v>
      </c>
      <c r="H603" s="29" t="s">
        <v>537</v>
      </c>
      <c r="I603" s="29" t="s">
        <v>1412</v>
      </c>
      <c r="J603" s="29" t="s">
        <v>525</v>
      </c>
      <c r="K603" s="29" t="s">
        <v>525</v>
      </c>
      <c r="L603" s="29" t="s">
        <v>1412</v>
      </c>
      <c r="M603" s="29" t="s">
        <v>35</v>
      </c>
      <c r="N603" s="29" t="s">
        <v>648</v>
      </c>
      <c r="O603" s="29" t="s">
        <v>528</v>
      </c>
    </row>
    <row r="604" spans="1:15">
      <c r="A604" s="25">
        <v>9275</v>
      </c>
      <c r="B604" s="26" t="s">
        <v>1450</v>
      </c>
      <c r="C604" s="27" t="s">
        <v>521</v>
      </c>
      <c r="D604" s="27" t="s">
        <v>658</v>
      </c>
      <c r="E604" s="28">
        <v>40148</v>
      </c>
      <c r="F604" s="28" t="s">
        <v>35</v>
      </c>
      <c r="G604" s="28" t="s">
        <v>35</v>
      </c>
      <c r="H604" s="29" t="s">
        <v>537</v>
      </c>
      <c r="I604" s="29" t="s">
        <v>1412</v>
      </c>
      <c r="J604" s="29" t="s">
        <v>525</v>
      </c>
      <c r="K604" s="29" t="s">
        <v>525</v>
      </c>
      <c r="L604" s="29" t="s">
        <v>1412</v>
      </c>
      <c r="M604" s="29" t="s">
        <v>1451</v>
      </c>
      <c r="N604" s="29" t="s">
        <v>1263</v>
      </c>
      <c r="O604" s="29" t="s">
        <v>528</v>
      </c>
    </row>
    <row r="605" spans="1:15">
      <c r="A605" s="25">
        <v>10510</v>
      </c>
      <c r="B605" s="26" t="s">
        <v>1452</v>
      </c>
      <c r="C605" s="27" t="s">
        <v>521</v>
      </c>
      <c r="D605" s="27" t="s">
        <v>738</v>
      </c>
      <c r="E605" s="28">
        <v>40535</v>
      </c>
      <c r="F605" s="28" t="s">
        <v>35</v>
      </c>
      <c r="G605" s="28" t="s">
        <v>35</v>
      </c>
      <c r="H605" s="29" t="s">
        <v>537</v>
      </c>
      <c r="I605" s="29" t="s">
        <v>1412</v>
      </c>
      <c r="J605" s="29" t="s">
        <v>525</v>
      </c>
      <c r="K605" s="29" t="s">
        <v>525</v>
      </c>
      <c r="L605" s="29" t="s">
        <v>1412</v>
      </c>
      <c r="M605" s="29" t="s">
        <v>1413</v>
      </c>
      <c r="N605" s="29" t="s">
        <v>1263</v>
      </c>
      <c r="O605" s="29" t="s">
        <v>528</v>
      </c>
    </row>
    <row r="606" spans="1:15">
      <c r="A606" s="25">
        <v>11094</v>
      </c>
      <c r="B606" s="34" t="s">
        <v>596</v>
      </c>
      <c r="C606" s="31" t="s">
        <v>521</v>
      </c>
      <c r="D606" s="27" t="s">
        <v>1453</v>
      </c>
      <c r="E606" s="28">
        <v>40597</v>
      </c>
      <c r="F606" s="28" t="s">
        <v>35</v>
      </c>
      <c r="G606" s="28" t="s">
        <v>35</v>
      </c>
      <c r="H606" s="29" t="s">
        <v>537</v>
      </c>
      <c r="I606" s="29" t="s">
        <v>1412</v>
      </c>
      <c r="J606" s="29" t="s">
        <v>525</v>
      </c>
      <c r="K606" s="29" t="s">
        <v>525</v>
      </c>
      <c r="L606" s="29" t="s">
        <v>1412</v>
      </c>
      <c r="M606" s="29" t="s">
        <v>35</v>
      </c>
      <c r="N606" s="29" t="s">
        <v>648</v>
      </c>
      <c r="O606" s="29" t="s">
        <v>528</v>
      </c>
    </row>
    <row r="607" spans="1:15">
      <c r="A607" s="25">
        <v>14039</v>
      </c>
      <c r="B607" s="32" t="s">
        <v>376</v>
      </c>
      <c r="C607" s="27" t="s">
        <v>521</v>
      </c>
      <c r="D607" s="27" t="s">
        <v>1397</v>
      </c>
      <c r="E607" s="28">
        <v>41302</v>
      </c>
      <c r="F607" s="28" t="s">
        <v>35</v>
      </c>
      <c r="G607" s="28" t="s">
        <v>35</v>
      </c>
      <c r="H607" s="29" t="s">
        <v>537</v>
      </c>
      <c r="I607" s="29" t="s">
        <v>1421</v>
      </c>
      <c r="J607" s="29" t="s">
        <v>525</v>
      </c>
      <c r="K607" s="29" t="s">
        <v>525</v>
      </c>
      <c r="L607" s="29" t="s">
        <v>1421</v>
      </c>
      <c r="M607" s="29" t="s">
        <v>1440</v>
      </c>
      <c r="N607" s="29" t="s">
        <v>1263</v>
      </c>
      <c r="O607" s="29" t="s">
        <v>528</v>
      </c>
    </row>
    <row r="608" spans="1:15">
      <c r="A608" s="25">
        <v>16853</v>
      </c>
      <c r="B608" s="26" t="s">
        <v>1454</v>
      </c>
      <c r="C608" s="27" t="s">
        <v>521</v>
      </c>
      <c r="D608" s="27" t="s">
        <v>1455</v>
      </c>
      <c r="E608" s="28">
        <v>41701</v>
      </c>
      <c r="F608" s="28" t="s">
        <v>35</v>
      </c>
      <c r="G608" s="28" t="s">
        <v>35</v>
      </c>
      <c r="H608" s="29" t="s">
        <v>537</v>
      </c>
      <c r="I608" s="29" t="s">
        <v>1412</v>
      </c>
      <c r="J608" s="29" t="s">
        <v>525</v>
      </c>
      <c r="K608" s="29" t="s">
        <v>525</v>
      </c>
      <c r="L608" s="29" t="s">
        <v>1412</v>
      </c>
      <c r="M608" s="29" t="s">
        <v>35</v>
      </c>
      <c r="N608" s="29" t="s">
        <v>648</v>
      </c>
      <c r="O608" s="29" t="s">
        <v>528</v>
      </c>
    </row>
    <row r="609" spans="1:15">
      <c r="A609" s="25">
        <v>1021</v>
      </c>
      <c r="B609" s="32" t="s">
        <v>1456</v>
      </c>
      <c r="C609" s="27" t="s">
        <v>521</v>
      </c>
      <c r="D609" s="27" t="s">
        <v>1139</v>
      </c>
      <c r="E609" s="28">
        <v>37879</v>
      </c>
      <c r="F609" s="28" t="s">
        <v>35</v>
      </c>
      <c r="G609" s="28" t="s">
        <v>35</v>
      </c>
      <c r="H609" s="29" t="s">
        <v>537</v>
      </c>
      <c r="I609" s="29" t="s">
        <v>1412</v>
      </c>
      <c r="J609" s="29" t="s">
        <v>525</v>
      </c>
      <c r="K609" s="29" t="s">
        <v>525</v>
      </c>
      <c r="L609" s="29" t="s">
        <v>1426</v>
      </c>
      <c r="M609" s="29" t="s">
        <v>1435</v>
      </c>
      <c r="N609" s="29" t="s">
        <v>1428</v>
      </c>
      <c r="O609" s="29" t="s">
        <v>528</v>
      </c>
    </row>
    <row r="610" spans="1:15">
      <c r="A610" s="25">
        <v>1269</v>
      </c>
      <c r="B610" s="26" t="s">
        <v>1457</v>
      </c>
      <c r="C610" s="27" t="s">
        <v>521</v>
      </c>
      <c r="D610" s="27" t="s">
        <v>1458</v>
      </c>
      <c r="E610" s="28">
        <v>37921</v>
      </c>
      <c r="F610" s="28" t="s">
        <v>35</v>
      </c>
      <c r="G610" s="28" t="s">
        <v>35</v>
      </c>
      <c r="H610" s="29" t="s">
        <v>537</v>
      </c>
      <c r="I610" s="29" t="s">
        <v>1418</v>
      </c>
      <c r="J610" s="29" t="s">
        <v>525</v>
      </c>
      <c r="K610" s="29" t="s">
        <v>525</v>
      </c>
      <c r="L610" s="29" t="s">
        <v>1418</v>
      </c>
      <c r="M610" s="29" t="s">
        <v>1413</v>
      </c>
      <c r="N610" s="29" t="s">
        <v>1263</v>
      </c>
      <c r="O610" s="29" t="s">
        <v>528</v>
      </c>
    </row>
    <row r="611" spans="1:15">
      <c r="A611" s="25">
        <v>5467</v>
      </c>
      <c r="B611" s="32" t="s">
        <v>1459</v>
      </c>
      <c r="C611" s="27" t="s">
        <v>521</v>
      </c>
      <c r="D611" s="27" t="s">
        <v>760</v>
      </c>
      <c r="E611" s="28">
        <v>38991</v>
      </c>
      <c r="F611" s="28" t="s">
        <v>35</v>
      </c>
      <c r="G611" s="28" t="s">
        <v>35</v>
      </c>
      <c r="H611" s="29" t="s">
        <v>537</v>
      </c>
      <c r="I611" s="29" t="s">
        <v>1412</v>
      </c>
      <c r="J611" s="29" t="s">
        <v>525</v>
      </c>
      <c r="K611" s="29" t="s">
        <v>525</v>
      </c>
      <c r="L611" s="29" t="s">
        <v>1426</v>
      </c>
      <c r="M611" s="29" t="s">
        <v>1435</v>
      </c>
      <c r="N611" s="29" t="s">
        <v>1428</v>
      </c>
      <c r="O611" s="29" t="s">
        <v>528</v>
      </c>
    </row>
    <row r="612" spans="1:15">
      <c r="A612" s="25">
        <v>7434</v>
      </c>
      <c r="B612" s="26" t="s">
        <v>1460</v>
      </c>
      <c r="C612" s="27" t="s">
        <v>521</v>
      </c>
      <c r="D612" s="27" t="s">
        <v>1040</v>
      </c>
      <c r="E612" s="28">
        <v>39600</v>
      </c>
      <c r="F612" s="28" t="s">
        <v>35</v>
      </c>
      <c r="G612" s="28" t="s">
        <v>35</v>
      </c>
      <c r="H612" s="29" t="s">
        <v>537</v>
      </c>
      <c r="I612" s="29" t="s">
        <v>1412</v>
      </c>
      <c r="J612" s="29" t="s">
        <v>525</v>
      </c>
      <c r="K612" s="29" t="s">
        <v>525</v>
      </c>
      <c r="L612" s="29" t="s">
        <v>1426</v>
      </c>
      <c r="M612" s="29" t="s">
        <v>1461</v>
      </c>
      <c r="N612" s="29" t="s">
        <v>1428</v>
      </c>
      <c r="O612" s="29" t="s">
        <v>528</v>
      </c>
    </row>
    <row r="613" spans="1:15">
      <c r="A613" s="25">
        <v>8877</v>
      </c>
      <c r="B613" s="32" t="s">
        <v>1462</v>
      </c>
      <c r="C613" s="27" t="s">
        <v>521</v>
      </c>
      <c r="D613" s="27" t="s">
        <v>813</v>
      </c>
      <c r="E613" s="28">
        <v>39937</v>
      </c>
      <c r="F613" s="28" t="s">
        <v>35</v>
      </c>
      <c r="G613" s="28" t="s">
        <v>35</v>
      </c>
      <c r="H613" s="29" t="s">
        <v>537</v>
      </c>
      <c r="I613" s="29" t="s">
        <v>1412</v>
      </c>
      <c r="J613" s="29" t="s">
        <v>525</v>
      </c>
      <c r="K613" s="29" t="s">
        <v>525</v>
      </c>
      <c r="L613" s="29" t="s">
        <v>1426</v>
      </c>
      <c r="M613" s="29" t="s">
        <v>1435</v>
      </c>
      <c r="N613" s="29" t="s">
        <v>1428</v>
      </c>
      <c r="O613" s="29" t="s">
        <v>528</v>
      </c>
    </row>
    <row r="614" spans="1:15">
      <c r="A614" s="25">
        <v>19611</v>
      </c>
      <c r="B614" s="26" t="s">
        <v>1463</v>
      </c>
      <c r="C614" s="27" t="s">
        <v>521</v>
      </c>
      <c r="D614" s="27" t="s">
        <v>1464</v>
      </c>
      <c r="E614" s="28">
        <v>42475</v>
      </c>
      <c r="F614" s="28" t="s">
        <v>35</v>
      </c>
      <c r="G614" s="28" t="s">
        <v>35</v>
      </c>
      <c r="H614" s="29" t="s">
        <v>537</v>
      </c>
      <c r="I614" s="29" t="s">
        <v>1412</v>
      </c>
      <c r="J614" s="29" t="s">
        <v>525</v>
      </c>
      <c r="K614" s="29" t="s">
        <v>525</v>
      </c>
      <c r="L614" s="29" t="s">
        <v>1426</v>
      </c>
      <c r="M614" s="29" t="s">
        <v>1434</v>
      </c>
      <c r="N614" s="29" t="s">
        <v>1428</v>
      </c>
      <c r="O614" s="29" t="s">
        <v>528</v>
      </c>
    </row>
    <row r="615" spans="1:15">
      <c r="A615" s="25">
        <v>541</v>
      </c>
      <c r="B615" s="26" t="s">
        <v>1465</v>
      </c>
      <c r="C615" s="27" t="s">
        <v>521</v>
      </c>
      <c r="D615" s="27" t="s">
        <v>1063</v>
      </c>
      <c r="E615" s="28">
        <v>37767</v>
      </c>
      <c r="F615" s="28" t="s">
        <v>35</v>
      </c>
      <c r="G615" s="28" t="s">
        <v>35</v>
      </c>
      <c r="H615" s="29" t="s">
        <v>537</v>
      </c>
      <c r="I615" s="29" t="s">
        <v>1418</v>
      </c>
      <c r="J615" s="29" t="s">
        <v>525</v>
      </c>
      <c r="K615" s="29" t="s">
        <v>525</v>
      </c>
      <c r="L615" s="29" t="s">
        <v>1418</v>
      </c>
      <c r="M615" s="29" t="s">
        <v>1413</v>
      </c>
      <c r="N615" s="29" t="s">
        <v>1263</v>
      </c>
      <c r="O615" s="29" t="s">
        <v>528</v>
      </c>
    </row>
    <row r="616" spans="1:15">
      <c r="A616" s="25">
        <v>974</v>
      </c>
      <c r="B616" s="26" t="s">
        <v>1466</v>
      </c>
      <c r="C616" s="27" t="s">
        <v>521</v>
      </c>
      <c r="D616" s="27" t="s">
        <v>709</v>
      </c>
      <c r="E616" s="28">
        <v>37872</v>
      </c>
      <c r="F616" s="28" t="s">
        <v>35</v>
      </c>
      <c r="G616" s="28" t="s">
        <v>35</v>
      </c>
      <c r="H616" s="29" t="s">
        <v>537</v>
      </c>
      <c r="I616" s="29" t="s">
        <v>1418</v>
      </c>
      <c r="J616" s="29" t="s">
        <v>525</v>
      </c>
      <c r="K616" s="29" t="s">
        <v>525</v>
      </c>
      <c r="L616" s="29" t="s">
        <v>1418</v>
      </c>
      <c r="M616" s="29" t="s">
        <v>1413</v>
      </c>
      <c r="N616" s="29" t="s">
        <v>1263</v>
      </c>
      <c r="O616" s="29" t="s">
        <v>528</v>
      </c>
    </row>
    <row r="617" spans="1:15">
      <c r="A617" s="25">
        <v>1193</v>
      </c>
      <c r="B617" s="26" t="s">
        <v>1467</v>
      </c>
      <c r="C617" s="27" t="s">
        <v>521</v>
      </c>
      <c r="D617" s="27" t="s">
        <v>1468</v>
      </c>
      <c r="E617" s="28">
        <v>37907</v>
      </c>
      <c r="F617" s="28" t="s">
        <v>35</v>
      </c>
      <c r="G617" s="28" t="s">
        <v>35</v>
      </c>
      <c r="H617" s="29" t="s">
        <v>537</v>
      </c>
      <c r="I617" s="29" t="s">
        <v>1418</v>
      </c>
      <c r="J617" s="29" t="s">
        <v>525</v>
      </c>
      <c r="K617" s="29" t="s">
        <v>525</v>
      </c>
      <c r="L617" s="29" t="s">
        <v>1418</v>
      </c>
      <c r="M617" s="29" t="s">
        <v>1451</v>
      </c>
      <c r="N617" s="29" t="s">
        <v>1263</v>
      </c>
      <c r="O617" s="29" t="s">
        <v>528</v>
      </c>
    </row>
    <row r="618" spans="1:15">
      <c r="A618" s="25">
        <v>4356</v>
      </c>
      <c r="B618" s="26" t="s">
        <v>1469</v>
      </c>
      <c r="C618" s="27" t="s">
        <v>521</v>
      </c>
      <c r="D618" s="27" t="s">
        <v>522</v>
      </c>
      <c r="E618" s="28">
        <v>38741</v>
      </c>
      <c r="F618" s="28" t="s">
        <v>35</v>
      </c>
      <c r="G618" s="28" t="s">
        <v>35</v>
      </c>
      <c r="H618" s="29" t="s">
        <v>537</v>
      </c>
      <c r="I618" s="29" t="s">
        <v>1418</v>
      </c>
      <c r="J618" s="29" t="s">
        <v>525</v>
      </c>
      <c r="K618" s="29" t="s">
        <v>525</v>
      </c>
      <c r="L618" s="29" t="s">
        <v>1418</v>
      </c>
      <c r="M618" s="29" t="s">
        <v>35</v>
      </c>
      <c r="N618" s="29" t="s">
        <v>1037</v>
      </c>
      <c r="O618" s="29" t="s">
        <v>528</v>
      </c>
    </row>
    <row r="619" spans="1:15">
      <c r="A619" s="25">
        <v>5465</v>
      </c>
      <c r="B619" s="26" t="s">
        <v>1470</v>
      </c>
      <c r="C619" s="27" t="s">
        <v>521</v>
      </c>
      <c r="D619" s="27" t="s">
        <v>760</v>
      </c>
      <c r="E619" s="28">
        <v>38991</v>
      </c>
      <c r="F619" s="28" t="s">
        <v>35</v>
      </c>
      <c r="G619" s="28" t="s">
        <v>35</v>
      </c>
      <c r="H619" s="29" t="s">
        <v>537</v>
      </c>
      <c r="I619" s="29" t="s">
        <v>1418</v>
      </c>
      <c r="J619" s="29" t="s">
        <v>525</v>
      </c>
      <c r="K619" s="29" t="s">
        <v>525</v>
      </c>
      <c r="L619" s="29" t="s">
        <v>1418</v>
      </c>
      <c r="M619" s="29" t="s">
        <v>1413</v>
      </c>
      <c r="N619" s="29" t="s">
        <v>1263</v>
      </c>
      <c r="O619" s="29" t="s">
        <v>528</v>
      </c>
    </row>
    <row r="620" spans="1:15">
      <c r="A620" s="25">
        <v>7091</v>
      </c>
      <c r="B620" s="26" t="s">
        <v>1471</v>
      </c>
      <c r="C620" s="27" t="s">
        <v>521</v>
      </c>
      <c r="D620" s="27" t="s">
        <v>1472</v>
      </c>
      <c r="E620" s="28">
        <v>39479</v>
      </c>
      <c r="F620" s="28" t="s">
        <v>35</v>
      </c>
      <c r="G620" s="28" t="s">
        <v>35</v>
      </c>
      <c r="H620" s="29" t="s">
        <v>537</v>
      </c>
      <c r="I620" s="29" t="s">
        <v>1418</v>
      </c>
      <c r="J620" s="29" t="s">
        <v>525</v>
      </c>
      <c r="K620" s="29" t="s">
        <v>525</v>
      </c>
      <c r="L620" s="29" t="s">
        <v>1418</v>
      </c>
      <c r="M620" s="29" t="s">
        <v>35</v>
      </c>
      <c r="N620" s="29" t="s">
        <v>648</v>
      </c>
      <c r="O620" s="29" t="s">
        <v>528</v>
      </c>
    </row>
    <row r="621" spans="1:15">
      <c r="A621" s="25">
        <v>11293</v>
      </c>
      <c r="B621" s="26" t="s">
        <v>455</v>
      </c>
      <c r="C621" s="27" t="s">
        <v>521</v>
      </c>
      <c r="D621" s="27" t="s">
        <v>1394</v>
      </c>
      <c r="E621" s="28">
        <v>40634</v>
      </c>
      <c r="F621" s="28" t="s">
        <v>35</v>
      </c>
      <c r="G621" s="28" t="s">
        <v>35</v>
      </c>
      <c r="H621" s="29" t="s">
        <v>537</v>
      </c>
      <c r="I621" s="29" t="s">
        <v>1418</v>
      </c>
      <c r="J621" s="29" t="s">
        <v>525</v>
      </c>
      <c r="K621" s="29" t="s">
        <v>525</v>
      </c>
      <c r="L621" s="29" t="s">
        <v>1418</v>
      </c>
      <c r="M621" s="29" t="s">
        <v>1440</v>
      </c>
      <c r="N621" s="29" t="s">
        <v>1263</v>
      </c>
      <c r="O621" s="29" t="s">
        <v>528</v>
      </c>
    </row>
    <row r="622" spans="1:15">
      <c r="A622" s="25">
        <v>1122</v>
      </c>
      <c r="B622" s="26" t="s">
        <v>1473</v>
      </c>
      <c r="C622" s="27" t="s">
        <v>521</v>
      </c>
      <c r="D622" s="27" t="s">
        <v>1247</v>
      </c>
      <c r="E622" s="28">
        <v>37900</v>
      </c>
      <c r="F622" s="28" t="s">
        <v>35</v>
      </c>
      <c r="G622" s="28" t="s">
        <v>35</v>
      </c>
      <c r="H622" s="29" t="s">
        <v>537</v>
      </c>
      <c r="I622" s="29" t="s">
        <v>1418</v>
      </c>
      <c r="J622" s="29" t="s">
        <v>525</v>
      </c>
      <c r="K622" s="29" t="s">
        <v>525</v>
      </c>
      <c r="L622" s="29" t="s">
        <v>1431</v>
      </c>
      <c r="M622" s="29" t="s">
        <v>1435</v>
      </c>
      <c r="N622" s="29" t="s">
        <v>1428</v>
      </c>
      <c r="O622" s="29" t="s">
        <v>528</v>
      </c>
    </row>
    <row r="623" spans="1:15">
      <c r="A623" s="25">
        <v>4655</v>
      </c>
      <c r="B623" s="26" t="s">
        <v>1474</v>
      </c>
      <c r="C623" s="27" t="s">
        <v>521</v>
      </c>
      <c r="D623" s="27" t="s">
        <v>1475</v>
      </c>
      <c r="E623" s="28">
        <v>38901</v>
      </c>
      <c r="F623" s="28" t="s">
        <v>35</v>
      </c>
      <c r="G623" s="28" t="s">
        <v>35</v>
      </c>
      <c r="H623" s="29" t="s">
        <v>537</v>
      </c>
      <c r="I623" s="29" t="s">
        <v>1418</v>
      </c>
      <c r="J623" s="29" t="s">
        <v>525</v>
      </c>
      <c r="K623" s="29" t="s">
        <v>525</v>
      </c>
      <c r="L623" s="29" t="s">
        <v>1431</v>
      </c>
      <c r="M623" s="29" t="s">
        <v>1435</v>
      </c>
      <c r="N623" s="29" t="s">
        <v>1428</v>
      </c>
      <c r="O623" s="29" t="s">
        <v>528</v>
      </c>
    </row>
    <row r="624" spans="1:15">
      <c r="A624" s="25">
        <v>10087</v>
      </c>
      <c r="B624" s="26" t="s">
        <v>1476</v>
      </c>
      <c r="C624" s="27" t="s">
        <v>521</v>
      </c>
      <c r="D624" s="27" t="s">
        <v>601</v>
      </c>
      <c r="E624" s="28">
        <v>40444</v>
      </c>
      <c r="F624" s="28" t="s">
        <v>35</v>
      </c>
      <c r="G624" s="28" t="s">
        <v>35</v>
      </c>
      <c r="H624" s="29" t="s">
        <v>537</v>
      </c>
      <c r="I624" s="29" t="s">
        <v>1418</v>
      </c>
      <c r="J624" s="29" t="s">
        <v>525</v>
      </c>
      <c r="K624" s="29" t="s">
        <v>525</v>
      </c>
      <c r="L624" s="29" t="s">
        <v>1431</v>
      </c>
      <c r="M624" s="29" t="s">
        <v>1435</v>
      </c>
      <c r="N624" s="29" t="s">
        <v>1428</v>
      </c>
      <c r="O624" s="29" t="s">
        <v>528</v>
      </c>
    </row>
    <row r="625" spans="1:15">
      <c r="A625" s="25">
        <v>1064</v>
      </c>
      <c r="B625" s="26" t="s">
        <v>1477</v>
      </c>
      <c r="C625" s="27" t="s">
        <v>521</v>
      </c>
      <c r="D625" s="27" t="s">
        <v>522</v>
      </c>
      <c r="E625" s="28">
        <v>37879</v>
      </c>
      <c r="F625" s="28" t="s">
        <v>35</v>
      </c>
      <c r="G625" s="28" t="s">
        <v>35</v>
      </c>
      <c r="H625" s="29" t="s">
        <v>537</v>
      </c>
      <c r="I625" s="29" t="s">
        <v>1421</v>
      </c>
      <c r="J625" s="29" t="s">
        <v>525</v>
      </c>
      <c r="K625" s="29" t="s">
        <v>525</v>
      </c>
      <c r="L625" s="29" t="s">
        <v>1421</v>
      </c>
      <c r="M625" s="29" t="s">
        <v>35</v>
      </c>
      <c r="N625" s="29" t="s">
        <v>1037</v>
      </c>
      <c r="O625" s="29" t="s">
        <v>528</v>
      </c>
    </row>
    <row r="626" spans="1:15">
      <c r="A626" s="25">
        <v>5684</v>
      </c>
      <c r="B626" s="26" t="s">
        <v>1478</v>
      </c>
      <c r="C626" s="27" t="s">
        <v>521</v>
      </c>
      <c r="D626" s="27" t="s">
        <v>790</v>
      </c>
      <c r="E626" s="28">
        <v>39098</v>
      </c>
      <c r="F626" s="28" t="s">
        <v>35</v>
      </c>
      <c r="G626" s="28" t="s">
        <v>35</v>
      </c>
      <c r="H626" s="29" t="s">
        <v>537</v>
      </c>
      <c r="I626" s="29" t="s">
        <v>1421</v>
      </c>
      <c r="J626" s="29" t="s">
        <v>525</v>
      </c>
      <c r="K626" s="29" t="s">
        <v>525</v>
      </c>
      <c r="L626" s="29" t="s">
        <v>1421</v>
      </c>
      <c r="M626" s="29" t="s">
        <v>35</v>
      </c>
      <c r="N626" s="29" t="s">
        <v>648</v>
      </c>
      <c r="O626" s="29" t="s">
        <v>528</v>
      </c>
    </row>
    <row r="627" spans="1:15">
      <c r="A627" s="25">
        <v>8874</v>
      </c>
      <c r="B627" s="34" t="s">
        <v>1479</v>
      </c>
      <c r="C627" s="31" t="s">
        <v>521</v>
      </c>
      <c r="D627" s="27" t="s">
        <v>813</v>
      </c>
      <c r="E627" s="28">
        <v>39937</v>
      </c>
      <c r="F627" s="28" t="s">
        <v>35</v>
      </c>
      <c r="G627" s="28" t="s">
        <v>35</v>
      </c>
      <c r="H627" s="29" t="s">
        <v>537</v>
      </c>
      <c r="I627" s="29" t="s">
        <v>1421</v>
      </c>
      <c r="J627" s="29" t="s">
        <v>525</v>
      </c>
      <c r="K627" s="29" t="s">
        <v>525</v>
      </c>
      <c r="L627" s="29" t="s">
        <v>1421</v>
      </c>
      <c r="M627" s="29" t="s">
        <v>1451</v>
      </c>
      <c r="N627" s="29" t="s">
        <v>1263</v>
      </c>
      <c r="O627" s="29" t="s">
        <v>528</v>
      </c>
    </row>
    <row r="628" spans="1:15">
      <c r="A628" s="25">
        <v>9951</v>
      </c>
      <c r="B628" s="32" t="s">
        <v>1480</v>
      </c>
      <c r="C628" s="27" t="s">
        <v>521</v>
      </c>
      <c r="D628" s="27" t="s">
        <v>803</v>
      </c>
      <c r="E628" s="28">
        <v>40431</v>
      </c>
      <c r="F628" s="28" t="s">
        <v>35</v>
      </c>
      <c r="G628" s="28" t="s">
        <v>35</v>
      </c>
      <c r="H628" s="29" t="s">
        <v>537</v>
      </c>
      <c r="I628" s="29" t="s">
        <v>1421</v>
      </c>
      <c r="J628" s="29" t="s">
        <v>525</v>
      </c>
      <c r="K628" s="29" t="s">
        <v>525</v>
      </c>
      <c r="L628" s="29" t="s">
        <v>1421</v>
      </c>
      <c r="M628" s="29" t="s">
        <v>1413</v>
      </c>
      <c r="N628" s="29" t="s">
        <v>1263</v>
      </c>
      <c r="O628" s="29" t="s">
        <v>528</v>
      </c>
    </row>
    <row r="629" spans="1:15">
      <c r="A629" s="25">
        <v>10126</v>
      </c>
      <c r="B629" s="26" t="s">
        <v>1481</v>
      </c>
      <c r="C629" s="27" t="s">
        <v>521</v>
      </c>
      <c r="D629" s="27" t="s">
        <v>601</v>
      </c>
      <c r="E629" s="28">
        <v>40444</v>
      </c>
      <c r="F629" s="28" t="s">
        <v>35</v>
      </c>
      <c r="G629" s="28" t="s">
        <v>35</v>
      </c>
      <c r="H629" s="29" t="s">
        <v>537</v>
      </c>
      <c r="I629" s="29" t="s">
        <v>1421</v>
      </c>
      <c r="J629" s="29" t="s">
        <v>525</v>
      </c>
      <c r="K629" s="29" t="s">
        <v>525</v>
      </c>
      <c r="L629" s="29" t="s">
        <v>1421</v>
      </c>
      <c r="M629" s="29" t="s">
        <v>1413</v>
      </c>
      <c r="N629" s="29" t="s">
        <v>1263</v>
      </c>
      <c r="O629" s="29" t="s">
        <v>528</v>
      </c>
    </row>
    <row r="630" spans="1:15">
      <c r="A630" s="25">
        <v>811</v>
      </c>
      <c r="B630" s="26" t="s">
        <v>1482</v>
      </c>
      <c r="C630" s="27" t="s">
        <v>521</v>
      </c>
      <c r="D630" s="27" t="s">
        <v>734</v>
      </c>
      <c r="E630" s="28">
        <v>37837</v>
      </c>
      <c r="F630" s="28" t="s">
        <v>35</v>
      </c>
      <c r="G630" s="28" t="s">
        <v>35</v>
      </c>
      <c r="H630" s="29" t="s">
        <v>537</v>
      </c>
      <c r="I630" s="29" t="s">
        <v>1421</v>
      </c>
      <c r="J630" s="29" t="s">
        <v>525</v>
      </c>
      <c r="K630" s="29" t="s">
        <v>525</v>
      </c>
      <c r="L630" s="29" t="s">
        <v>1436</v>
      </c>
      <c r="M630" s="29" t="s">
        <v>1434</v>
      </c>
      <c r="N630" s="29" t="s">
        <v>1428</v>
      </c>
      <c r="O630" s="29" t="s">
        <v>528</v>
      </c>
    </row>
    <row r="631" spans="1:15">
      <c r="A631" s="25">
        <v>6150</v>
      </c>
      <c r="B631" s="26" t="s">
        <v>151</v>
      </c>
      <c r="C631" s="27" t="s">
        <v>521</v>
      </c>
      <c r="D631" s="27" t="s">
        <v>576</v>
      </c>
      <c r="E631" s="28">
        <v>39157</v>
      </c>
      <c r="F631" s="28" t="s">
        <v>35</v>
      </c>
      <c r="G631" s="28" t="s">
        <v>35</v>
      </c>
      <c r="H631" s="29" t="s">
        <v>537</v>
      </c>
      <c r="I631" s="29" t="s">
        <v>1421</v>
      </c>
      <c r="J631" s="29" t="s">
        <v>525</v>
      </c>
      <c r="K631" s="29" t="s">
        <v>525</v>
      </c>
      <c r="L631" s="29" t="s">
        <v>1436</v>
      </c>
      <c r="M631" s="29" t="s">
        <v>1461</v>
      </c>
      <c r="N631" s="29" t="s">
        <v>1428</v>
      </c>
      <c r="O631" s="29" t="s">
        <v>528</v>
      </c>
    </row>
    <row r="632" spans="1:15">
      <c r="A632" s="25">
        <v>10338</v>
      </c>
      <c r="B632" s="34" t="s">
        <v>484</v>
      </c>
      <c r="C632" s="31" t="s">
        <v>521</v>
      </c>
      <c r="D632" s="27" t="s">
        <v>825</v>
      </c>
      <c r="E632" s="28">
        <v>40511</v>
      </c>
      <c r="F632" s="28" t="s">
        <v>35</v>
      </c>
      <c r="G632" s="28" t="s">
        <v>35</v>
      </c>
      <c r="H632" s="29" t="s">
        <v>537</v>
      </c>
      <c r="I632" s="29" t="s">
        <v>1421</v>
      </c>
      <c r="J632" s="29" t="s">
        <v>525</v>
      </c>
      <c r="K632" s="29" t="s">
        <v>525</v>
      </c>
      <c r="L632" s="29" t="s">
        <v>1436</v>
      </c>
      <c r="M632" s="29" t="s">
        <v>1435</v>
      </c>
      <c r="N632" s="29" t="s">
        <v>1428</v>
      </c>
      <c r="O632" s="29" t="s">
        <v>528</v>
      </c>
    </row>
    <row r="633" spans="1:15">
      <c r="A633" s="25">
        <v>11966</v>
      </c>
      <c r="B633" s="26" t="s">
        <v>1483</v>
      </c>
      <c r="C633" s="27" t="s">
        <v>521</v>
      </c>
      <c r="D633" s="27" t="s">
        <v>699</v>
      </c>
      <c r="E633" s="28">
        <v>40770</v>
      </c>
      <c r="F633" s="28" t="s">
        <v>35</v>
      </c>
      <c r="G633" s="28" t="s">
        <v>35</v>
      </c>
      <c r="H633" s="29" t="s">
        <v>537</v>
      </c>
      <c r="I633" s="29" t="s">
        <v>1421</v>
      </c>
      <c r="J633" s="29" t="s">
        <v>525</v>
      </c>
      <c r="K633" s="29" t="s">
        <v>525</v>
      </c>
      <c r="L633" s="29" t="s">
        <v>1436</v>
      </c>
      <c r="M633" s="29" t="s">
        <v>1434</v>
      </c>
      <c r="N633" s="29" t="s">
        <v>1428</v>
      </c>
      <c r="O633" s="29" t="s">
        <v>528</v>
      </c>
    </row>
    <row r="634" spans="1:15">
      <c r="A634" s="25">
        <v>13145</v>
      </c>
      <c r="B634" s="34" t="s">
        <v>1484</v>
      </c>
      <c r="C634" s="31" t="s">
        <v>521</v>
      </c>
      <c r="D634" s="31" t="s">
        <v>1485</v>
      </c>
      <c r="E634" s="28">
        <v>40889</v>
      </c>
      <c r="F634" s="28" t="s">
        <v>35</v>
      </c>
      <c r="G634" s="28" t="s">
        <v>35</v>
      </c>
      <c r="H634" s="29" t="s">
        <v>537</v>
      </c>
      <c r="I634" s="29" t="s">
        <v>1421</v>
      </c>
      <c r="J634" s="29" t="s">
        <v>525</v>
      </c>
      <c r="K634" s="29" t="s">
        <v>525</v>
      </c>
      <c r="L634" s="29" t="s">
        <v>1436</v>
      </c>
      <c r="M634" s="29" t="s">
        <v>1435</v>
      </c>
      <c r="N634" s="29" t="s">
        <v>1428</v>
      </c>
      <c r="O634" s="29" t="s">
        <v>528</v>
      </c>
    </row>
    <row r="635" spans="1:15">
      <c r="A635" s="25">
        <v>1220</v>
      </c>
      <c r="B635" s="26" t="s">
        <v>1486</v>
      </c>
      <c r="C635" s="27" t="s">
        <v>521</v>
      </c>
      <c r="D635" s="27" t="s">
        <v>1487</v>
      </c>
      <c r="E635" s="28">
        <v>37914</v>
      </c>
      <c r="F635" s="28" t="s">
        <v>35</v>
      </c>
      <c r="G635" s="28" t="s">
        <v>35</v>
      </c>
      <c r="H635" s="29" t="s">
        <v>537</v>
      </c>
      <c r="I635" s="29" t="s">
        <v>1488</v>
      </c>
      <c r="J635" s="29" t="s">
        <v>525</v>
      </c>
      <c r="K635" s="29" t="s">
        <v>525</v>
      </c>
      <c r="L635" s="29" t="s">
        <v>1488</v>
      </c>
      <c r="M635" s="29" t="s">
        <v>1489</v>
      </c>
      <c r="N635" s="29" t="s">
        <v>1263</v>
      </c>
      <c r="O635" s="29" t="s">
        <v>528</v>
      </c>
    </row>
    <row r="636" spans="1:15">
      <c r="A636" s="25">
        <v>5770</v>
      </c>
      <c r="B636" s="26" t="s">
        <v>1490</v>
      </c>
      <c r="C636" s="27" t="s">
        <v>521</v>
      </c>
      <c r="D636" s="27" t="s">
        <v>794</v>
      </c>
      <c r="E636" s="28">
        <v>39114</v>
      </c>
      <c r="F636" s="28" t="s">
        <v>35</v>
      </c>
      <c r="G636" s="28" t="s">
        <v>35</v>
      </c>
      <c r="H636" s="29" t="s">
        <v>537</v>
      </c>
      <c r="I636" s="29" t="s">
        <v>1488</v>
      </c>
      <c r="J636" s="29" t="s">
        <v>525</v>
      </c>
      <c r="K636" s="29" t="s">
        <v>525</v>
      </c>
      <c r="L636" s="29" t="s">
        <v>1488</v>
      </c>
      <c r="M636" s="29" t="s">
        <v>1491</v>
      </c>
      <c r="N636" s="29" t="s">
        <v>1263</v>
      </c>
      <c r="O636" s="29" t="s">
        <v>528</v>
      </c>
    </row>
    <row r="637" spans="1:15">
      <c r="A637" s="25">
        <v>8647</v>
      </c>
      <c r="B637" s="34" t="s">
        <v>1492</v>
      </c>
      <c r="C637" s="31" t="s">
        <v>521</v>
      </c>
      <c r="D637" s="27" t="s">
        <v>1493</v>
      </c>
      <c r="E637" s="28">
        <v>39878</v>
      </c>
      <c r="F637" s="28" t="s">
        <v>35</v>
      </c>
      <c r="G637" s="28" t="s">
        <v>35</v>
      </c>
      <c r="H637" s="29" t="s">
        <v>537</v>
      </c>
      <c r="I637" s="29" t="s">
        <v>1488</v>
      </c>
      <c r="J637" s="29" t="s">
        <v>525</v>
      </c>
      <c r="K637" s="29" t="s">
        <v>525</v>
      </c>
      <c r="L637" s="29" t="s">
        <v>1488</v>
      </c>
      <c r="M637" s="29" t="s">
        <v>1494</v>
      </c>
      <c r="N637" s="29" t="s">
        <v>1263</v>
      </c>
      <c r="O637" s="29" t="s">
        <v>528</v>
      </c>
    </row>
    <row r="638" spans="1:15">
      <c r="A638" s="25">
        <v>10185</v>
      </c>
      <c r="B638" s="26" t="s">
        <v>1495</v>
      </c>
      <c r="C638" s="27" t="s">
        <v>521</v>
      </c>
      <c r="D638" s="27" t="s">
        <v>787</v>
      </c>
      <c r="E638" s="28">
        <v>40458</v>
      </c>
      <c r="F638" s="28" t="s">
        <v>35</v>
      </c>
      <c r="G638" s="28" t="s">
        <v>35</v>
      </c>
      <c r="H638" s="29" t="s">
        <v>537</v>
      </c>
      <c r="I638" s="29" t="s">
        <v>1488</v>
      </c>
      <c r="J638" s="29" t="s">
        <v>525</v>
      </c>
      <c r="K638" s="29" t="s">
        <v>525</v>
      </c>
      <c r="L638" s="29" t="s">
        <v>1488</v>
      </c>
      <c r="M638" s="29" t="s">
        <v>1496</v>
      </c>
      <c r="N638" s="29" t="s">
        <v>1263</v>
      </c>
      <c r="O638" s="29" t="s">
        <v>528</v>
      </c>
    </row>
    <row r="639" spans="1:15">
      <c r="A639" s="25">
        <v>10376</v>
      </c>
      <c r="B639" s="34" t="s">
        <v>483</v>
      </c>
      <c r="C639" s="31" t="s">
        <v>521</v>
      </c>
      <c r="D639" s="31" t="s">
        <v>1497</v>
      </c>
      <c r="E639" s="28">
        <v>40513</v>
      </c>
      <c r="F639" s="28" t="s">
        <v>35</v>
      </c>
      <c r="G639" s="28" t="s">
        <v>35</v>
      </c>
      <c r="H639" s="29" t="s">
        <v>537</v>
      </c>
      <c r="I639" s="29" t="s">
        <v>1488</v>
      </c>
      <c r="J639" s="29" t="s">
        <v>525</v>
      </c>
      <c r="K639" s="29" t="s">
        <v>525</v>
      </c>
      <c r="L639" s="29" t="s">
        <v>1488</v>
      </c>
      <c r="M639" s="29" t="s">
        <v>1496</v>
      </c>
      <c r="N639" s="29" t="s">
        <v>1263</v>
      </c>
      <c r="O639" s="29" t="s">
        <v>528</v>
      </c>
    </row>
    <row r="640" spans="1:15">
      <c r="A640" s="25">
        <v>11352</v>
      </c>
      <c r="B640" s="26" t="s">
        <v>1498</v>
      </c>
      <c r="C640" s="27" t="s">
        <v>521</v>
      </c>
      <c r="D640" s="27" t="s">
        <v>1499</v>
      </c>
      <c r="E640" s="28">
        <v>40672</v>
      </c>
      <c r="F640" s="28" t="s">
        <v>35</v>
      </c>
      <c r="G640" s="28" t="s">
        <v>35</v>
      </c>
      <c r="H640" s="29" t="s">
        <v>537</v>
      </c>
      <c r="I640" s="29" t="s">
        <v>1488</v>
      </c>
      <c r="J640" s="29" t="s">
        <v>525</v>
      </c>
      <c r="K640" s="29" t="s">
        <v>525</v>
      </c>
      <c r="L640" s="29" t="s">
        <v>1488</v>
      </c>
      <c r="M640" s="29" t="s">
        <v>1491</v>
      </c>
      <c r="N640" s="29" t="s">
        <v>1263</v>
      </c>
      <c r="O640" s="29" t="s">
        <v>528</v>
      </c>
    </row>
    <row r="641" spans="1:15">
      <c r="A641" s="25">
        <v>11794</v>
      </c>
      <c r="B641" s="26" t="s">
        <v>1500</v>
      </c>
      <c r="C641" s="27" t="s">
        <v>521</v>
      </c>
      <c r="D641" s="27" t="s">
        <v>799</v>
      </c>
      <c r="E641" s="28">
        <v>40721</v>
      </c>
      <c r="F641" s="28" t="s">
        <v>35</v>
      </c>
      <c r="G641" s="28" t="s">
        <v>35</v>
      </c>
      <c r="H641" s="29" t="s">
        <v>537</v>
      </c>
      <c r="I641" s="29" t="s">
        <v>1488</v>
      </c>
      <c r="J641" s="29" t="s">
        <v>525</v>
      </c>
      <c r="K641" s="29" t="s">
        <v>525</v>
      </c>
      <c r="L641" s="29" t="s">
        <v>1488</v>
      </c>
      <c r="M641" s="29" t="s">
        <v>1494</v>
      </c>
      <c r="N641" s="29" t="s">
        <v>1263</v>
      </c>
      <c r="O641" s="29" t="s">
        <v>528</v>
      </c>
    </row>
    <row r="642" spans="1:15">
      <c r="A642" s="25">
        <v>11824</v>
      </c>
      <c r="B642" s="34" t="s">
        <v>1501</v>
      </c>
      <c r="C642" s="31" t="s">
        <v>521</v>
      </c>
      <c r="D642" s="31" t="s">
        <v>799</v>
      </c>
      <c r="E642" s="28">
        <v>40721</v>
      </c>
      <c r="F642" s="28" t="s">
        <v>35</v>
      </c>
      <c r="G642" s="28" t="s">
        <v>35</v>
      </c>
      <c r="H642" s="29" t="s">
        <v>537</v>
      </c>
      <c r="I642" s="29" t="s">
        <v>1488</v>
      </c>
      <c r="J642" s="29" t="s">
        <v>525</v>
      </c>
      <c r="K642" s="29" t="s">
        <v>525</v>
      </c>
      <c r="L642" s="29" t="s">
        <v>1488</v>
      </c>
      <c r="M642" s="29" t="s">
        <v>1496</v>
      </c>
      <c r="N642" s="29" t="s">
        <v>1263</v>
      </c>
      <c r="O642" s="29" t="s">
        <v>528</v>
      </c>
    </row>
    <row r="643" spans="1:15">
      <c r="A643" s="25">
        <v>11863</v>
      </c>
      <c r="B643" s="33" t="s">
        <v>430</v>
      </c>
      <c r="C643" s="27" t="s">
        <v>521</v>
      </c>
      <c r="D643" s="27" t="s">
        <v>799</v>
      </c>
      <c r="E643" s="28">
        <v>40721</v>
      </c>
      <c r="F643" s="28" t="s">
        <v>35</v>
      </c>
      <c r="G643" s="28" t="s">
        <v>35</v>
      </c>
      <c r="H643" s="29" t="s">
        <v>537</v>
      </c>
      <c r="I643" s="29" t="s">
        <v>1488</v>
      </c>
      <c r="J643" s="29" t="s">
        <v>525</v>
      </c>
      <c r="K643" s="29" t="s">
        <v>525</v>
      </c>
      <c r="L643" s="29" t="s">
        <v>1488</v>
      </c>
      <c r="M643" s="29" t="s">
        <v>1413</v>
      </c>
      <c r="N643" s="29" t="s">
        <v>1263</v>
      </c>
      <c r="O643" s="29" t="s">
        <v>528</v>
      </c>
    </row>
    <row r="644" spans="1:15">
      <c r="A644" s="25">
        <v>11878</v>
      </c>
      <c r="B644" s="33" t="s">
        <v>1502</v>
      </c>
      <c r="C644" s="27" t="s">
        <v>521</v>
      </c>
      <c r="D644" s="27" t="s">
        <v>701</v>
      </c>
      <c r="E644" s="28">
        <v>40735</v>
      </c>
      <c r="F644" s="28" t="s">
        <v>35</v>
      </c>
      <c r="G644" s="28" t="s">
        <v>35</v>
      </c>
      <c r="H644" s="29" t="s">
        <v>537</v>
      </c>
      <c r="I644" s="29" t="s">
        <v>1488</v>
      </c>
      <c r="J644" s="29" t="s">
        <v>525</v>
      </c>
      <c r="K644" s="29" t="s">
        <v>525</v>
      </c>
      <c r="L644" s="29" t="s">
        <v>1488</v>
      </c>
      <c r="M644" s="29" t="s">
        <v>1413</v>
      </c>
      <c r="N644" s="29" t="s">
        <v>1263</v>
      </c>
      <c r="O644" s="29" t="s">
        <v>528</v>
      </c>
    </row>
    <row r="645" spans="1:15">
      <c r="A645" s="25">
        <v>13587</v>
      </c>
      <c r="B645" s="34" t="s">
        <v>1503</v>
      </c>
      <c r="C645" s="31" t="s">
        <v>521</v>
      </c>
      <c r="D645" s="31" t="s">
        <v>1504</v>
      </c>
      <c r="E645" s="28">
        <v>40962</v>
      </c>
      <c r="F645" s="28" t="s">
        <v>35</v>
      </c>
      <c r="G645" s="28" t="s">
        <v>35</v>
      </c>
      <c r="H645" s="29" t="s">
        <v>537</v>
      </c>
      <c r="I645" s="29" t="s">
        <v>1488</v>
      </c>
      <c r="J645" s="29" t="s">
        <v>525</v>
      </c>
      <c r="K645" s="29" t="s">
        <v>525</v>
      </c>
      <c r="L645" s="29" t="s">
        <v>1488</v>
      </c>
      <c r="M645" s="29" t="s">
        <v>1494</v>
      </c>
      <c r="N645" s="29" t="s">
        <v>1263</v>
      </c>
      <c r="O645" s="29" t="s">
        <v>528</v>
      </c>
    </row>
    <row r="646" spans="1:15">
      <c r="A646" s="25">
        <v>13592</v>
      </c>
      <c r="B646" s="26" t="s">
        <v>1505</v>
      </c>
      <c r="C646" s="27" t="s">
        <v>521</v>
      </c>
      <c r="D646" s="27" t="s">
        <v>1504</v>
      </c>
      <c r="E646" s="28">
        <v>40962</v>
      </c>
      <c r="F646" s="28" t="s">
        <v>35</v>
      </c>
      <c r="G646" s="28" t="s">
        <v>35</v>
      </c>
      <c r="H646" s="27" t="s">
        <v>537</v>
      </c>
      <c r="I646" s="27" t="s">
        <v>1418</v>
      </c>
      <c r="J646" s="27" t="s">
        <v>525</v>
      </c>
      <c r="K646" s="27" t="s">
        <v>525</v>
      </c>
      <c r="L646" s="27" t="s">
        <v>1431</v>
      </c>
      <c r="M646" s="27" t="s">
        <v>1435</v>
      </c>
      <c r="N646" s="27" t="s">
        <v>1428</v>
      </c>
      <c r="O646" s="27" t="s">
        <v>528</v>
      </c>
    </row>
    <row r="647" spans="1:15">
      <c r="A647" s="25">
        <v>5702</v>
      </c>
      <c r="B647" s="26" t="s">
        <v>1506</v>
      </c>
      <c r="C647" s="27" t="s">
        <v>521</v>
      </c>
      <c r="D647" s="27" t="s">
        <v>790</v>
      </c>
      <c r="E647" s="28">
        <v>39098</v>
      </c>
      <c r="F647" s="28" t="s">
        <v>35</v>
      </c>
      <c r="G647" s="28" t="s">
        <v>35</v>
      </c>
      <c r="H647" s="27" t="s">
        <v>537</v>
      </c>
      <c r="I647" s="27" t="s">
        <v>1412</v>
      </c>
      <c r="J647" s="27" t="s">
        <v>525</v>
      </c>
      <c r="K647" s="27" t="s">
        <v>525</v>
      </c>
      <c r="L647" s="27" t="s">
        <v>1412</v>
      </c>
      <c r="M647" s="27" t="s">
        <v>1413</v>
      </c>
      <c r="N647" s="27" t="s">
        <v>1263</v>
      </c>
      <c r="O647" s="27" t="s">
        <v>528</v>
      </c>
    </row>
    <row r="648" spans="1:15">
      <c r="A648" s="25">
        <v>5710</v>
      </c>
      <c r="B648" s="26" t="s">
        <v>1507</v>
      </c>
      <c r="C648" s="27" t="s">
        <v>521</v>
      </c>
      <c r="D648" s="27" t="s">
        <v>790</v>
      </c>
      <c r="E648" s="28">
        <v>39098</v>
      </c>
      <c r="F648" s="28" t="s">
        <v>35</v>
      </c>
      <c r="G648" s="28" t="s">
        <v>35</v>
      </c>
      <c r="H648" s="27" t="s">
        <v>560</v>
      </c>
      <c r="I648" s="27" t="s">
        <v>560</v>
      </c>
      <c r="J648" s="29" t="s">
        <v>1508</v>
      </c>
      <c r="K648" s="29" t="s">
        <v>1508</v>
      </c>
      <c r="L648" s="29" t="s">
        <v>1509</v>
      </c>
      <c r="M648" s="29" t="s">
        <v>1510</v>
      </c>
      <c r="N648" s="29" t="s">
        <v>1511</v>
      </c>
      <c r="O648" s="29" t="s">
        <v>594</v>
      </c>
    </row>
    <row r="649" spans="1:15">
      <c r="A649" s="25">
        <v>8683</v>
      </c>
      <c r="B649" s="26" t="s">
        <v>1512</v>
      </c>
      <c r="C649" s="27" t="s">
        <v>521</v>
      </c>
      <c r="D649" s="27" t="s">
        <v>692</v>
      </c>
      <c r="E649" s="28">
        <v>39888</v>
      </c>
      <c r="F649" s="28" t="s">
        <v>35</v>
      </c>
      <c r="G649" s="28" t="s">
        <v>35</v>
      </c>
      <c r="H649" s="29" t="s">
        <v>560</v>
      </c>
      <c r="I649" s="29" t="s">
        <v>560</v>
      </c>
      <c r="J649" s="29" t="s">
        <v>1508</v>
      </c>
      <c r="K649" s="29" t="s">
        <v>1508</v>
      </c>
      <c r="L649" s="29" t="s">
        <v>1509</v>
      </c>
      <c r="M649" s="29" t="s">
        <v>1513</v>
      </c>
      <c r="N649" s="29" t="s">
        <v>1514</v>
      </c>
      <c r="O649" s="29" t="s">
        <v>594</v>
      </c>
    </row>
    <row r="650" spans="1:15">
      <c r="A650" s="25">
        <v>11026</v>
      </c>
      <c r="B650" s="26" t="s">
        <v>1515</v>
      </c>
      <c r="C650" s="27" t="s">
        <v>521</v>
      </c>
      <c r="D650" s="27" t="s">
        <v>1516</v>
      </c>
      <c r="E650" s="28">
        <v>40585</v>
      </c>
      <c r="F650" s="28" t="s">
        <v>35</v>
      </c>
      <c r="G650" s="28" t="s">
        <v>35</v>
      </c>
      <c r="H650" s="27" t="s">
        <v>560</v>
      </c>
      <c r="I650" s="27" t="s">
        <v>560</v>
      </c>
      <c r="J650" s="29" t="s">
        <v>1508</v>
      </c>
      <c r="K650" s="29" t="s">
        <v>1508</v>
      </c>
      <c r="L650" s="29" t="s">
        <v>1509</v>
      </c>
      <c r="M650" s="29" t="s">
        <v>1517</v>
      </c>
      <c r="N650" s="29" t="s">
        <v>1518</v>
      </c>
      <c r="O650" s="29" t="s">
        <v>594</v>
      </c>
    </row>
    <row r="651" spans="1:15">
      <c r="A651" s="25">
        <v>21731</v>
      </c>
      <c r="B651" s="34" t="s">
        <v>1519</v>
      </c>
      <c r="C651" s="31" t="s">
        <v>521</v>
      </c>
      <c r="D651" s="31" t="s">
        <v>663</v>
      </c>
      <c r="E651" s="28">
        <v>43087</v>
      </c>
      <c r="F651" s="28">
        <v>43118</v>
      </c>
      <c r="G651" s="28">
        <v>43496</v>
      </c>
      <c r="H651" s="27" t="s">
        <v>560</v>
      </c>
      <c r="I651" s="27" t="s">
        <v>560</v>
      </c>
      <c r="J651" s="29" t="s">
        <v>1508</v>
      </c>
      <c r="K651" s="29" t="s">
        <v>1508</v>
      </c>
      <c r="L651" s="29" t="s">
        <v>1509</v>
      </c>
      <c r="M651" s="29" t="s">
        <v>1520</v>
      </c>
      <c r="N651" s="29" t="s">
        <v>1521</v>
      </c>
      <c r="O651" s="29" t="s">
        <v>594</v>
      </c>
    </row>
    <row r="652" spans="1:15">
      <c r="A652" s="25">
        <v>23107</v>
      </c>
      <c r="B652" s="34" t="s">
        <v>1522</v>
      </c>
      <c r="C652" s="31" t="s">
        <v>521</v>
      </c>
      <c r="D652" s="31" t="s">
        <v>1523</v>
      </c>
      <c r="E652" s="28">
        <v>43369</v>
      </c>
      <c r="F652" s="28">
        <v>43399</v>
      </c>
      <c r="G652" s="28">
        <v>43769</v>
      </c>
      <c r="H652" s="29" t="s">
        <v>560</v>
      </c>
      <c r="I652" s="29" t="s">
        <v>560</v>
      </c>
      <c r="J652" s="29" t="s">
        <v>1508</v>
      </c>
      <c r="K652" s="29" t="s">
        <v>1508</v>
      </c>
      <c r="L652" s="29" t="s">
        <v>1509</v>
      </c>
      <c r="M652" s="29" t="s">
        <v>1524</v>
      </c>
      <c r="N652" s="29" t="s">
        <v>1525</v>
      </c>
      <c r="O652" s="29" t="s">
        <v>594</v>
      </c>
    </row>
    <row r="653" spans="1:15">
      <c r="A653" s="25">
        <v>23331</v>
      </c>
      <c r="B653" s="34" t="s">
        <v>1526</v>
      </c>
      <c r="C653" s="31" t="s">
        <v>521</v>
      </c>
      <c r="D653" s="31" t="s">
        <v>1527</v>
      </c>
      <c r="E653" s="28">
        <v>43427</v>
      </c>
      <c r="F653" s="28">
        <v>43457</v>
      </c>
      <c r="G653" s="28">
        <v>43830</v>
      </c>
      <c r="H653" s="29" t="s">
        <v>560</v>
      </c>
      <c r="I653" s="29" t="s">
        <v>560</v>
      </c>
      <c r="J653" s="29" t="s">
        <v>1508</v>
      </c>
      <c r="K653" s="29" t="s">
        <v>1508</v>
      </c>
      <c r="L653" s="29" t="s">
        <v>1509</v>
      </c>
      <c r="M653" s="29" t="s">
        <v>1510</v>
      </c>
      <c r="N653" s="29" t="s">
        <v>1511</v>
      </c>
      <c r="O653" s="29" t="s">
        <v>594</v>
      </c>
    </row>
    <row r="654" spans="1:15">
      <c r="A654" s="25">
        <v>365</v>
      </c>
      <c r="B654" s="26" t="s">
        <v>1528</v>
      </c>
      <c r="C654" s="27" t="s">
        <v>521</v>
      </c>
      <c r="D654" s="27" t="s">
        <v>703</v>
      </c>
      <c r="E654" s="28">
        <v>37732</v>
      </c>
      <c r="F654" s="28" t="s">
        <v>35</v>
      </c>
      <c r="G654" s="28" t="s">
        <v>35</v>
      </c>
      <c r="H654" s="29" t="s">
        <v>560</v>
      </c>
      <c r="I654" s="29" t="s">
        <v>560</v>
      </c>
      <c r="J654" s="29" t="s">
        <v>1508</v>
      </c>
      <c r="K654" s="29" t="s">
        <v>1508</v>
      </c>
      <c r="L654" s="29" t="s">
        <v>1509</v>
      </c>
      <c r="M654" s="29" t="s">
        <v>1529</v>
      </c>
      <c r="N654" s="29" t="s">
        <v>1525</v>
      </c>
      <c r="O654" s="29" t="s">
        <v>590</v>
      </c>
    </row>
    <row r="655" spans="1:15">
      <c r="A655" s="25">
        <v>9912</v>
      </c>
      <c r="B655" s="26" t="s">
        <v>1530</v>
      </c>
      <c r="C655" s="27" t="s">
        <v>521</v>
      </c>
      <c r="D655" s="27" t="s">
        <v>803</v>
      </c>
      <c r="E655" s="28">
        <v>40431</v>
      </c>
      <c r="F655" s="28" t="s">
        <v>35</v>
      </c>
      <c r="G655" s="28" t="s">
        <v>35</v>
      </c>
      <c r="H655" s="27" t="s">
        <v>560</v>
      </c>
      <c r="I655" s="27" t="s">
        <v>560</v>
      </c>
      <c r="J655" s="29" t="s">
        <v>1508</v>
      </c>
      <c r="K655" s="29" t="s">
        <v>1508</v>
      </c>
      <c r="L655" s="29" t="s">
        <v>1509</v>
      </c>
      <c r="M655" s="29" t="s">
        <v>1531</v>
      </c>
      <c r="N655" s="29" t="s">
        <v>1511</v>
      </c>
      <c r="O655" s="29" t="s">
        <v>590</v>
      </c>
    </row>
    <row r="656" spans="1:15">
      <c r="A656" s="25">
        <v>11393</v>
      </c>
      <c r="B656" s="32" t="s">
        <v>1532</v>
      </c>
      <c r="C656" s="27" t="s">
        <v>521</v>
      </c>
      <c r="D656" s="27" t="s">
        <v>1533</v>
      </c>
      <c r="E656" s="28">
        <v>40700</v>
      </c>
      <c r="F656" s="28" t="s">
        <v>35</v>
      </c>
      <c r="G656" s="28" t="s">
        <v>35</v>
      </c>
      <c r="H656" s="29" t="s">
        <v>560</v>
      </c>
      <c r="I656" s="29" t="s">
        <v>560</v>
      </c>
      <c r="J656" s="29" t="s">
        <v>1508</v>
      </c>
      <c r="K656" s="29" t="s">
        <v>1508</v>
      </c>
      <c r="L656" s="29" t="s">
        <v>1509</v>
      </c>
      <c r="M656" s="29" t="s">
        <v>1534</v>
      </c>
      <c r="N656" s="29" t="s">
        <v>1514</v>
      </c>
      <c r="O656" s="29" t="s">
        <v>590</v>
      </c>
    </row>
    <row r="657" spans="1:15">
      <c r="A657" s="25">
        <v>13078</v>
      </c>
      <c r="B657" s="26" t="s">
        <v>1535</v>
      </c>
      <c r="C657" s="27" t="s">
        <v>521</v>
      </c>
      <c r="D657" s="27" t="s">
        <v>1536</v>
      </c>
      <c r="E657" s="28">
        <v>40861</v>
      </c>
      <c r="F657" s="28" t="s">
        <v>35</v>
      </c>
      <c r="G657" s="28" t="s">
        <v>35</v>
      </c>
      <c r="H657" s="27" t="s">
        <v>560</v>
      </c>
      <c r="I657" s="27" t="s">
        <v>560</v>
      </c>
      <c r="J657" s="29" t="s">
        <v>1508</v>
      </c>
      <c r="K657" s="29" t="s">
        <v>1508</v>
      </c>
      <c r="L657" s="29" t="s">
        <v>1509</v>
      </c>
      <c r="M657" s="29" t="s">
        <v>1537</v>
      </c>
      <c r="N657" s="29" t="s">
        <v>1518</v>
      </c>
      <c r="O657" s="29" t="s">
        <v>590</v>
      </c>
    </row>
    <row r="658" spans="1:15">
      <c r="A658" s="25">
        <v>20559</v>
      </c>
      <c r="B658" s="26" t="s">
        <v>1538</v>
      </c>
      <c r="C658" s="27" t="s">
        <v>521</v>
      </c>
      <c r="D658" s="27" t="s">
        <v>673</v>
      </c>
      <c r="E658" s="28">
        <v>42639</v>
      </c>
      <c r="F658" s="28">
        <v>43132</v>
      </c>
      <c r="G658" s="28">
        <v>43496</v>
      </c>
      <c r="H658" s="25" t="s">
        <v>560</v>
      </c>
      <c r="I658" s="25" t="s">
        <v>560</v>
      </c>
      <c r="J658" s="29" t="s">
        <v>1508</v>
      </c>
      <c r="K658" s="29" t="s">
        <v>1508</v>
      </c>
      <c r="L658" s="29" t="s">
        <v>1509</v>
      </c>
      <c r="M658" s="29" t="s">
        <v>1539</v>
      </c>
      <c r="N658" s="29" t="s">
        <v>1525</v>
      </c>
      <c r="O658" s="29" t="s">
        <v>590</v>
      </c>
    </row>
    <row r="659" spans="1:15">
      <c r="A659" s="25">
        <v>22201</v>
      </c>
      <c r="B659" s="34" t="s">
        <v>1540</v>
      </c>
      <c r="C659" s="31" t="s">
        <v>521</v>
      </c>
      <c r="D659" s="31" t="s">
        <v>1201</v>
      </c>
      <c r="E659" s="28">
        <v>43158</v>
      </c>
      <c r="F659" s="28">
        <v>43186</v>
      </c>
      <c r="G659" s="28">
        <v>43555</v>
      </c>
      <c r="H659" s="29" t="s">
        <v>560</v>
      </c>
      <c r="I659" s="29" t="s">
        <v>560</v>
      </c>
      <c r="J659" s="29" t="s">
        <v>1508</v>
      </c>
      <c r="K659" s="29" t="s">
        <v>1508</v>
      </c>
      <c r="L659" s="29" t="s">
        <v>1509</v>
      </c>
      <c r="M659" s="29" t="s">
        <v>1520</v>
      </c>
      <c r="N659" s="29" t="s">
        <v>1541</v>
      </c>
      <c r="O659" s="29" t="s">
        <v>590</v>
      </c>
    </row>
    <row r="660" spans="1:15">
      <c r="A660" s="25">
        <v>23475</v>
      </c>
      <c r="B660" s="34" t="s">
        <v>1542</v>
      </c>
      <c r="C660" s="31" t="s">
        <v>521</v>
      </c>
      <c r="D660" s="31" t="s">
        <v>882</v>
      </c>
      <c r="E660" s="28">
        <v>43434</v>
      </c>
      <c r="F660" s="28">
        <v>43464</v>
      </c>
      <c r="G660" s="28">
        <v>43830</v>
      </c>
      <c r="H660" s="29" t="s">
        <v>560</v>
      </c>
      <c r="I660" s="29" t="s">
        <v>560</v>
      </c>
      <c r="J660" s="29" t="s">
        <v>1508</v>
      </c>
      <c r="K660" s="29" t="s">
        <v>1508</v>
      </c>
      <c r="L660" s="29" t="s">
        <v>1509</v>
      </c>
      <c r="M660" s="29" t="s">
        <v>1543</v>
      </c>
      <c r="N660" s="29" t="s">
        <v>1541</v>
      </c>
      <c r="O660" s="29" t="s">
        <v>590</v>
      </c>
    </row>
    <row r="661" spans="1:15">
      <c r="A661" s="25">
        <v>263</v>
      </c>
      <c r="B661" s="26" t="s">
        <v>1544</v>
      </c>
      <c r="C661" s="27" t="s">
        <v>521</v>
      </c>
      <c r="D661" s="27" t="s">
        <v>644</v>
      </c>
      <c r="E661" s="28">
        <v>37704</v>
      </c>
      <c r="F661" s="28" t="s">
        <v>35</v>
      </c>
      <c r="G661" s="28" t="s">
        <v>35</v>
      </c>
      <c r="H661" s="29" t="s">
        <v>560</v>
      </c>
      <c r="I661" s="29" t="s">
        <v>560</v>
      </c>
      <c r="J661" s="29" t="s">
        <v>1545</v>
      </c>
      <c r="K661" s="29" t="s">
        <v>1545</v>
      </c>
      <c r="L661" s="29" t="s">
        <v>1546</v>
      </c>
      <c r="M661" s="29" t="s">
        <v>1513</v>
      </c>
      <c r="N661" s="29" t="s">
        <v>1514</v>
      </c>
      <c r="O661" s="29" t="s">
        <v>594</v>
      </c>
    </row>
    <row r="662" spans="1:15">
      <c r="A662" s="25">
        <v>10688</v>
      </c>
      <c r="B662" s="26" t="s">
        <v>1547</v>
      </c>
      <c r="C662" s="27" t="s">
        <v>521</v>
      </c>
      <c r="D662" s="27" t="s">
        <v>847</v>
      </c>
      <c r="E662" s="28">
        <v>40553</v>
      </c>
      <c r="F662" s="28" t="s">
        <v>35</v>
      </c>
      <c r="G662" s="28" t="s">
        <v>35</v>
      </c>
      <c r="H662" s="27" t="s">
        <v>560</v>
      </c>
      <c r="I662" s="27" t="s">
        <v>560</v>
      </c>
      <c r="J662" s="27" t="s">
        <v>1545</v>
      </c>
      <c r="K662" s="27" t="s">
        <v>1545</v>
      </c>
      <c r="L662" s="29" t="s">
        <v>1546</v>
      </c>
      <c r="M662" s="29" t="s">
        <v>1548</v>
      </c>
      <c r="N662" s="29" t="s">
        <v>1518</v>
      </c>
      <c r="O662" s="29" t="s">
        <v>594</v>
      </c>
    </row>
    <row r="663" spans="1:15">
      <c r="A663" s="25">
        <v>12477</v>
      </c>
      <c r="B663" s="26" t="s">
        <v>1549</v>
      </c>
      <c r="C663" s="27" t="s">
        <v>521</v>
      </c>
      <c r="D663" s="27" t="s">
        <v>722</v>
      </c>
      <c r="E663" s="28">
        <v>40812</v>
      </c>
      <c r="F663" s="28" t="s">
        <v>35</v>
      </c>
      <c r="G663" s="28" t="s">
        <v>35</v>
      </c>
      <c r="H663" s="27" t="s">
        <v>560</v>
      </c>
      <c r="I663" s="27" t="s">
        <v>560</v>
      </c>
      <c r="J663" s="27" t="s">
        <v>1545</v>
      </c>
      <c r="K663" s="27" t="s">
        <v>1545</v>
      </c>
      <c r="L663" s="29" t="s">
        <v>1546</v>
      </c>
      <c r="M663" s="29" t="s">
        <v>1550</v>
      </c>
      <c r="N663" s="29" t="s">
        <v>1045</v>
      </c>
      <c r="O663" s="29" t="s">
        <v>594</v>
      </c>
    </row>
    <row r="664" spans="1:15">
      <c r="A664" s="25">
        <v>12565</v>
      </c>
      <c r="B664" s="33" t="s">
        <v>1551</v>
      </c>
      <c r="C664" s="27" t="s">
        <v>521</v>
      </c>
      <c r="D664" s="27" t="s">
        <v>722</v>
      </c>
      <c r="E664" s="28">
        <v>40812</v>
      </c>
      <c r="F664" s="28" t="s">
        <v>35</v>
      </c>
      <c r="G664" s="28" t="s">
        <v>35</v>
      </c>
      <c r="H664" s="29" t="s">
        <v>560</v>
      </c>
      <c r="I664" s="29" t="s">
        <v>560</v>
      </c>
      <c r="J664" s="29" t="s">
        <v>1545</v>
      </c>
      <c r="K664" s="29" t="s">
        <v>1545</v>
      </c>
      <c r="L664" s="29" t="s">
        <v>1546</v>
      </c>
      <c r="M664" s="29" t="s">
        <v>1534</v>
      </c>
      <c r="N664" s="29" t="s">
        <v>1514</v>
      </c>
      <c r="O664" s="29" t="s">
        <v>594</v>
      </c>
    </row>
    <row r="665" spans="1:15">
      <c r="A665" s="25">
        <v>14896</v>
      </c>
      <c r="B665" s="26" t="s">
        <v>1552</v>
      </c>
      <c r="C665" s="27" t="s">
        <v>521</v>
      </c>
      <c r="D665" s="27" t="s">
        <v>862</v>
      </c>
      <c r="E665" s="28">
        <v>41407</v>
      </c>
      <c r="F665" s="28" t="s">
        <v>35</v>
      </c>
      <c r="G665" s="28" t="s">
        <v>35</v>
      </c>
      <c r="H665" s="27" t="s">
        <v>560</v>
      </c>
      <c r="I665" s="27" t="s">
        <v>560</v>
      </c>
      <c r="J665" s="27" t="s">
        <v>1545</v>
      </c>
      <c r="K665" s="27" t="s">
        <v>1545</v>
      </c>
      <c r="L665" s="29" t="s">
        <v>1546</v>
      </c>
      <c r="M665" s="29" t="s">
        <v>1553</v>
      </c>
      <c r="N665" s="29" t="s">
        <v>1525</v>
      </c>
      <c r="O665" s="29" t="s">
        <v>594</v>
      </c>
    </row>
    <row r="666" spans="1:15">
      <c r="A666" s="25">
        <v>16561</v>
      </c>
      <c r="B666" s="26" t="s">
        <v>1554</v>
      </c>
      <c r="C666" s="27" t="s">
        <v>521</v>
      </c>
      <c r="D666" s="27" t="s">
        <v>1555</v>
      </c>
      <c r="E666" s="28">
        <v>41667</v>
      </c>
      <c r="F666" s="28" t="s">
        <v>35</v>
      </c>
      <c r="G666" s="28" t="s">
        <v>35</v>
      </c>
      <c r="H666" s="27" t="s">
        <v>560</v>
      </c>
      <c r="I666" s="27" t="s">
        <v>560</v>
      </c>
      <c r="J666" s="27" t="s">
        <v>1545</v>
      </c>
      <c r="K666" s="27" t="s">
        <v>1545</v>
      </c>
      <c r="L666" s="29" t="s">
        <v>1546</v>
      </c>
      <c r="M666" s="29" t="s">
        <v>1556</v>
      </c>
      <c r="N666" s="29" t="s">
        <v>1518</v>
      </c>
      <c r="O666" s="29" t="s">
        <v>594</v>
      </c>
    </row>
    <row r="667" spans="1:15">
      <c r="A667" s="25">
        <v>16908</v>
      </c>
      <c r="B667" s="26" t="s">
        <v>1557</v>
      </c>
      <c r="C667" s="27" t="s">
        <v>521</v>
      </c>
      <c r="D667" s="27" t="s">
        <v>1558</v>
      </c>
      <c r="E667" s="28">
        <v>41710</v>
      </c>
      <c r="F667" s="28" t="s">
        <v>35</v>
      </c>
      <c r="G667" s="28" t="s">
        <v>35</v>
      </c>
      <c r="H667" s="27" t="s">
        <v>560</v>
      </c>
      <c r="I667" s="27" t="s">
        <v>560</v>
      </c>
      <c r="J667" s="27" t="s">
        <v>1545</v>
      </c>
      <c r="K667" s="27" t="s">
        <v>1545</v>
      </c>
      <c r="L667" s="29" t="s">
        <v>1546</v>
      </c>
      <c r="M667" s="29" t="s">
        <v>1559</v>
      </c>
      <c r="N667" s="29" t="s">
        <v>1511</v>
      </c>
      <c r="O667" s="29" t="s">
        <v>594</v>
      </c>
    </row>
    <row r="668" spans="1:15">
      <c r="A668" s="25">
        <v>16978</v>
      </c>
      <c r="B668" s="26" t="s">
        <v>345</v>
      </c>
      <c r="C668" s="27" t="s">
        <v>521</v>
      </c>
      <c r="D668" s="27" t="s">
        <v>1560</v>
      </c>
      <c r="E668" s="28">
        <v>41744</v>
      </c>
      <c r="F668" s="28" t="s">
        <v>35</v>
      </c>
      <c r="G668" s="28" t="s">
        <v>35</v>
      </c>
      <c r="H668" s="27" t="s">
        <v>560</v>
      </c>
      <c r="I668" s="27" t="s">
        <v>560</v>
      </c>
      <c r="J668" s="27" t="s">
        <v>1545</v>
      </c>
      <c r="K668" s="27" t="s">
        <v>1545</v>
      </c>
      <c r="L668" s="29" t="s">
        <v>1546</v>
      </c>
      <c r="M668" s="29" t="s">
        <v>1561</v>
      </c>
      <c r="N668" s="29" t="s">
        <v>1511</v>
      </c>
      <c r="O668" s="29" t="s">
        <v>594</v>
      </c>
    </row>
    <row r="669" spans="1:15">
      <c r="A669" s="25">
        <v>19063</v>
      </c>
      <c r="B669" s="26" t="s">
        <v>338</v>
      </c>
      <c r="C669" s="27" t="s">
        <v>521</v>
      </c>
      <c r="D669" s="27" t="s">
        <v>1562</v>
      </c>
      <c r="E669" s="28">
        <v>42226</v>
      </c>
      <c r="F669" s="28" t="s">
        <v>35</v>
      </c>
      <c r="G669" s="28" t="s">
        <v>35</v>
      </c>
      <c r="H669" s="27" t="s">
        <v>560</v>
      </c>
      <c r="I669" s="27" t="s">
        <v>560</v>
      </c>
      <c r="J669" s="27" t="s">
        <v>1545</v>
      </c>
      <c r="K669" s="27" t="s">
        <v>1545</v>
      </c>
      <c r="L669" s="29" t="s">
        <v>1546</v>
      </c>
      <c r="M669" s="29" t="s">
        <v>1563</v>
      </c>
      <c r="N669" s="29" t="s">
        <v>1511</v>
      </c>
      <c r="O669" s="29" t="s">
        <v>594</v>
      </c>
    </row>
    <row r="670" spans="1:15">
      <c r="A670" s="25">
        <v>19137</v>
      </c>
      <c r="B670" s="26" t="s">
        <v>334</v>
      </c>
      <c r="C670" s="27" t="s">
        <v>521</v>
      </c>
      <c r="D670" s="27" t="s">
        <v>797</v>
      </c>
      <c r="E670" s="28">
        <v>42254</v>
      </c>
      <c r="F670" s="28" t="s">
        <v>35</v>
      </c>
      <c r="G670" s="28" t="s">
        <v>35</v>
      </c>
      <c r="H670" s="27" t="s">
        <v>560</v>
      </c>
      <c r="I670" s="27" t="s">
        <v>560</v>
      </c>
      <c r="J670" s="27" t="s">
        <v>1545</v>
      </c>
      <c r="K670" s="27" t="s">
        <v>1545</v>
      </c>
      <c r="L670" s="29" t="s">
        <v>1546</v>
      </c>
      <c r="M670" s="29" t="s">
        <v>1564</v>
      </c>
      <c r="N670" s="29" t="s">
        <v>1511</v>
      </c>
      <c r="O670" s="29" t="s">
        <v>594</v>
      </c>
    </row>
    <row r="671" spans="1:15">
      <c r="A671" s="25">
        <v>20594</v>
      </c>
      <c r="B671" s="26" t="s">
        <v>1565</v>
      </c>
      <c r="C671" s="27" t="s">
        <v>521</v>
      </c>
      <c r="D671" s="27" t="s">
        <v>673</v>
      </c>
      <c r="E671" s="28">
        <v>42639</v>
      </c>
      <c r="F671" s="28">
        <v>43132</v>
      </c>
      <c r="G671" s="28">
        <v>43496</v>
      </c>
      <c r="H671" s="25" t="s">
        <v>560</v>
      </c>
      <c r="I671" s="25" t="s">
        <v>560</v>
      </c>
      <c r="J671" s="27" t="s">
        <v>1545</v>
      </c>
      <c r="K671" s="27" t="s">
        <v>1545</v>
      </c>
      <c r="L671" s="29" t="s">
        <v>1546</v>
      </c>
      <c r="M671" s="29" t="s">
        <v>1534</v>
      </c>
      <c r="N671" s="29" t="s">
        <v>1514</v>
      </c>
      <c r="O671" s="29" t="s">
        <v>594</v>
      </c>
    </row>
    <row r="672" spans="1:15">
      <c r="A672" s="25">
        <v>20614</v>
      </c>
      <c r="B672" s="26" t="s">
        <v>318</v>
      </c>
      <c r="C672" s="27" t="s">
        <v>521</v>
      </c>
      <c r="D672" s="27" t="s">
        <v>673</v>
      </c>
      <c r="E672" s="28">
        <v>42639</v>
      </c>
      <c r="F672" s="28">
        <v>43132</v>
      </c>
      <c r="G672" s="28">
        <v>43496</v>
      </c>
      <c r="H672" s="25" t="s">
        <v>560</v>
      </c>
      <c r="I672" s="25" t="s">
        <v>560</v>
      </c>
      <c r="J672" s="27" t="s">
        <v>1545</v>
      </c>
      <c r="K672" s="27" t="s">
        <v>1545</v>
      </c>
      <c r="L672" s="29" t="s">
        <v>1546</v>
      </c>
      <c r="M672" s="29" t="s">
        <v>1566</v>
      </c>
      <c r="N672" s="29" t="s">
        <v>1434</v>
      </c>
      <c r="O672" s="29" t="s">
        <v>594</v>
      </c>
    </row>
    <row r="673" spans="1:15">
      <c r="A673" s="25">
        <v>20656</v>
      </c>
      <c r="B673" s="26" t="s">
        <v>1567</v>
      </c>
      <c r="C673" s="27" t="s">
        <v>521</v>
      </c>
      <c r="D673" s="27" t="s">
        <v>673</v>
      </c>
      <c r="E673" s="28">
        <v>42639</v>
      </c>
      <c r="F673" s="28">
        <v>43132</v>
      </c>
      <c r="G673" s="28">
        <v>43496</v>
      </c>
      <c r="H673" s="25" t="s">
        <v>560</v>
      </c>
      <c r="I673" s="25" t="s">
        <v>560</v>
      </c>
      <c r="J673" s="27" t="s">
        <v>1545</v>
      </c>
      <c r="K673" s="27" t="s">
        <v>1545</v>
      </c>
      <c r="L673" s="29" t="s">
        <v>1546</v>
      </c>
      <c r="M673" s="29" t="s">
        <v>1568</v>
      </c>
      <c r="N673" s="29" t="s">
        <v>1525</v>
      </c>
      <c r="O673" s="29" t="s">
        <v>594</v>
      </c>
    </row>
    <row r="674" spans="1:15">
      <c r="A674" s="25">
        <v>21674</v>
      </c>
      <c r="B674" s="34" t="s">
        <v>1569</v>
      </c>
      <c r="C674" s="31" t="s">
        <v>521</v>
      </c>
      <c r="D674" s="31" t="s">
        <v>1053</v>
      </c>
      <c r="E674" s="28">
        <v>43055</v>
      </c>
      <c r="F674" s="28">
        <v>43466</v>
      </c>
      <c r="G674" s="28">
        <v>43830</v>
      </c>
      <c r="H674" s="29" t="s">
        <v>560</v>
      </c>
      <c r="I674" s="29" t="s">
        <v>560</v>
      </c>
      <c r="J674" s="29" t="s">
        <v>1545</v>
      </c>
      <c r="K674" s="29" t="s">
        <v>1545</v>
      </c>
      <c r="L674" s="29" t="s">
        <v>1546</v>
      </c>
      <c r="M674" s="29" t="s">
        <v>1570</v>
      </c>
      <c r="N674" s="29" t="s">
        <v>1525</v>
      </c>
      <c r="O674" s="29" t="s">
        <v>594</v>
      </c>
    </row>
    <row r="675" spans="1:15">
      <c r="A675" s="25">
        <v>21748</v>
      </c>
      <c r="B675" s="34" t="s">
        <v>1571</v>
      </c>
      <c r="C675" s="31" t="s">
        <v>521</v>
      </c>
      <c r="D675" s="31" t="s">
        <v>663</v>
      </c>
      <c r="E675" s="28">
        <v>43087</v>
      </c>
      <c r="F675" s="28">
        <v>43118</v>
      </c>
      <c r="G675" s="28">
        <v>43496</v>
      </c>
      <c r="H675" s="27" t="s">
        <v>560</v>
      </c>
      <c r="I675" s="27" t="s">
        <v>560</v>
      </c>
      <c r="J675" s="29" t="s">
        <v>1545</v>
      </c>
      <c r="K675" s="29" t="s">
        <v>1545</v>
      </c>
      <c r="L675" s="29" t="s">
        <v>1546</v>
      </c>
      <c r="M675" s="29" t="s">
        <v>1572</v>
      </c>
      <c r="N675" s="29" t="s">
        <v>1518</v>
      </c>
      <c r="O675" s="29" t="s">
        <v>594</v>
      </c>
    </row>
    <row r="676" spans="1:15">
      <c r="A676" s="25">
        <v>21974</v>
      </c>
      <c r="B676" s="34" t="s">
        <v>261</v>
      </c>
      <c r="C676" s="31" t="s">
        <v>521</v>
      </c>
      <c r="D676" s="31" t="s">
        <v>1573</v>
      </c>
      <c r="E676" s="28">
        <v>43116</v>
      </c>
      <c r="F676" s="28">
        <v>43147</v>
      </c>
      <c r="G676" s="28">
        <v>43524</v>
      </c>
      <c r="H676" s="29" t="s">
        <v>560</v>
      </c>
      <c r="I676" s="29" t="s">
        <v>560</v>
      </c>
      <c r="J676" s="29" t="s">
        <v>1545</v>
      </c>
      <c r="K676" s="29" t="s">
        <v>1545</v>
      </c>
      <c r="L676" s="29" t="s">
        <v>1546</v>
      </c>
      <c r="M676" s="29" t="s">
        <v>1574</v>
      </c>
      <c r="N676" s="29" t="s">
        <v>1511</v>
      </c>
      <c r="O676" s="29" t="s">
        <v>594</v>
      </c>
    </row>
    <row r="677" spans="1:15">
      <c r="A677" s="25">
        <v>22134</v>
      </c>
      <c r="B677" s="34" t="s">
        <v>257</v>
      </c>
      <c r="C677" s="31" t="s">
        <v>521</v>
      </c>
      <c r="D677" s="31" t="s">
        <v>758</v>
      </c>
      <c r="E677" s="28">
        <v>43153</v>
      </c>
      <c r="F677" s="28">
        <v>43181</v>
      </c>
      <c r="G677" s="28">
        <v>43555</v>
      </c>
      <c r="H677" s="29" t="s">
        <v>560</v>
      </c>
      <c r="I677" s="29" t="s">
        <v>560</v>
      </c>
      <c r="J677" s="29" t="s">
        <v>1545</v>
      </c>
      <c r="K677" s="29" t="s">
        <v>1545</v>
      </c>
      <c r="L677" s="29" t="s">
        <v>1546</v>
      </c>
      <c r="M677" s="29" t="s">
        <v>1575</v>
      </c>
      <c r="N677" s="29" t="s">
        <v>1511</v>
      </c>
      <c r="O677" s="29" t="s">
        <v>594</v>
      </c>
    </row>
    <row r="678" spans="1:15">
      <c r="A678" s="25">
        <v>22470</v>
      </c>
      <c r="B678" s="26" t="s">
        <v>1576</v>
      </c>
      <c r="C678" s="27" t="s">
        <v>521</v>
      </c>
      <c r="D678" s="27" t="s">
        <v>1577</v>
      </c>
      <c r="E678" s="28">
        <v>43220</v>
      </c>
      <c r="F678" s="28">
        <v>43250</v>
      </c>
      <c r="G678" s="28">
        <v>43616</v>
      </c>
      <c r="H678" s="27" t="s">
        <v>560</v>
      </c>
      <c r="I678" s="27" t="s">
        <v>560</v>
      </c>
      <c r="J678" s="29" t="s">
        <v>1545</v>
      </c>
      <c r="K678" s="29" t="s">
        <v>1545</v>
      </c>
      <c r="L678" s="29" t="s">
        <v>1546</v>
      </c>
      <c r="M678" s="29" t="s">
        <v>1566</v>
      </c>
      <c r="N678" s="29" t="s">
        <v>1434</v>
      </c>
      <c r="O678" s="29" t="s">
        <v>594</v>
      </c>
    </row>
    <row r="679" spans="1:15">
      <c r="A679" s="25">
        <v>22660</v>
      </c>
      <c r="B679" s="34" t="s">
        <v>1578</v>
      </c>
      <c r="C679" s="31" t="s">
        <v>521</v>
      </c>
      <c r="D679" s="31" t="s">
        <v>1199</v>
      </c>
      <c r="E679" s="28">
        <v>43241</v>
      </c>
      <c r="F679" s="28">
        <v>43272</v>
      </c>
      <c r="G679" s="28">
        <v>43646</v>
      </c>
      <c r="H679" s="29" t="s">
        <v>560</v>
      </c>
      <c r="I679" s="29" t="s">
        <v>560</v>
      </c>
      <c r="J679" s="29" t="s">
        <v>1545</v>
      </c>
      <c r="K679" s="29" t="s">
        <v>1545</v>
      </c>
      <c r="L679" s="29" t="s">
        <v>1546</v>
      </c>
      <c r="M679" s="29" t="s">
        <v>1579</v>
      </c>
      <c r="N679" s="29" t="s">
        <v>1518</v>
      </c>
      <c r="O679" s="29" t="s">
        <v>594</v>
      </c>
    </row>
    <row r="680" spans="1:15">
      <c r="A680" s="25">
        <v>23139</v>
      </c>
      <c r="B680" s="34" t="s">
        <v>1580</v>
      </c>
      <c r="C680" s="31" t="s">
        <v>521</v>
      </c>
      <c r="D680" s="31" t="s">
        <v>1523</v>
      </c>
      <c r="E680" s="28">
        <v>43369</v>
      </c>
      <c r="F680" s="28">
        <v>43399</v>
      </c>
      <c r="G680" s="28">
        <v>43769</v>
      </c>
      <c r="H680" s="29" t="s">
        <v>560</v>
      </c>
      <c r="I680" s="29" t="s">
        <v>560</v>
      </c>
      <c r="J680" s="29" t="s">
        <v>1545</v>
      </c>
      <c r="K680" s="29" t="s">
        <v>1545</v>
      </c>
      <c r="L680" s="29" t="s">
        <v>1546</v>
      </c>
      <c r="M680" s="29" t="s">
        <v>1543</v>
      </c>
      <c r="N680" s="29" t="s">
        <v>1541</v>
      </c>
      <c r="O680" s="29" t="s">
        <v>594</v>
      </c>
    </row>
    <row r="681" spans="1:15">
      <c r="A681" s="25">
        <v>23236</v>
      </c>
      <c r="B681" s="34" t="s">
        <v>1581</v>
      </c>
      <c r="C681" s="31" t="s">
        <v>521</v>
      </c>
      <c r="D681" s="31" t="s">
        <v>1582</v>
      </c>
      <c r="E681" s="28">
        <v>43421</v>
      </c>
      <c r="F681" s="28">
        <v>43451</v>
      </c>
      <c r="G681" s="28">
        <v>43830</v>
      </c>
      <c r="H681" s="29" t="s">
        <v>560</v>
      </c>
      <c r="I681" s="29" t="s">
        <v>560</v>
      </c>
      <c r="J681" s="29" t="s">
        <v>1545</v>
      </c>
      <c r="K681" s="29" t="s">
        <v>1545</v>
      </c>
      <c r="L681" s="29" t="s">
        <v>1546</v>
      </c>
      <c r="M681" s="29" t="s">
        <v>1583</v>
      </c>
      <c r="N681" s="29" t="s">
        <v>1525</v>
      </c>
      <c r="O681" s="29" t="s">
        <v>594</v>
      </c>
    </row>
    <row r="682" spans="1:15">
      <c r="A682" s="25">
        <v>23319</v>
      </c>
      <c r="B682" s="34" t="s">
        <v>1584</v>
      </c>
      <c r="C682" s="31" t="s">
        <v>521</v>
      </c>
      <c r="D682" s="31" t="s">
        <v>1527</v>
      </c>
      <c r="E682" s="28">
        <v>43427</v>
      </c>
      <c r="F682" s="28">
        <v>43457</v>
      </c>
      <c r="G682" s="28">
        <v>43830</v>
      </c>
      <c r="H682" s="29" t="s">
        <v>560</v>
      </c>
      <c r="I682" s="29" t="s">
        <v>560</v>
      </c>
      <c r="J682" s="29" t="s">
        <v>1545</v>
      </c>
      <c r="K682" s="29" t="s">
        <v>1545</v>
      </c>
      <c r="L682" s="29" t="s">
        <v>1546</v>
      </c>
      <c r="M682" s="29" t="s">
        <v>1585</v>
      </c>
      <c r="N682" s="29" t="s">
        <v>1586</v>
      </c>
      <c r="O682" s="29" t="s">
        <v>594</v>
      </c>
    </row>
    <row r="683" spans="1:15">
      <c r="A683" s="25">
        <v>23502</v>
      </c>
      <c r="B683" s="34" t="s">
        <v>1587</v>
      </c>
      <c r="C683" s="31" t="s">
        <v>521</v>
      </c>
      <c r="D683" s="31" t="s">
        <v>1588</v>
      </c>
      <c r="E683" s="28">
        <v>43441</v>
      </c>
      <c r="F683" s="28">
        <v>43472</v>
      </c>
      <c r="G683" s="28">
        <v>43830</v>
      </c>
      <c r="H683" s="29" t="s">
        <v>560</v>
      </c>
      <c r="I683" s="29" t="s">
        <v>560</v>
      </c>
      <c r="J683" s="29" t="s">
        <v>1545</v>
      </c>
      <c r="K683" s="29" t="s">
        <v>1545</v>
      </c>
      <c r="L683" s="29" t="s">
        <v>1546</v>
      </c>
      <c r="M683" s="29" t="s">
        <v>1589</v>
      </c>
      <c r="N683" s="29" t="s">
        <v>1586</v>
      </c>
      <c r="O683" s="29" t="s">
        <v>594</v>
      </c>
    </row>
    <row r="684" spans="1:15">
      <c r="A684" s="25">
        <v>23503</v>
      </c>
      <c r="B684" s="34" t="s">
        <v>1590</v>
      </c>
      <c r="C684" s="31" t="s">
        <v>521</v>
      </c>
      <c r="D684" s="31" t="s">
        <v>1588</v>
      </c>
      <c r="E684" s="28">
        <v>43441</v>
      </c>
      <c r="F684" s="28">
        <v>43472</v>
      </c>
      <c r="G684" s="28">
        <v>43830</v>
      </c>
      <c r="H684" s="29" t="s">
        <v>560</v>
      </c>
      <c r="I684" s="29" t="s">
        <v>560</v>
      </c>
      <c r="J684" s="29" t="s">
        <v>1545</v>
      </c>
      <c r="K684" s="29" t="s">
        <v>1545</v>
      </c>
      <c r="L684" s="29" t="s">
        <v>1546</v>
      </c>
      <c r="M684" s="29" t="s">
        <v>1591</v>
      </c>
      <c r="N684" s="29" t="s">
        <v>1586</v>
      </c>
      <c r="O684" s="29" t="s">
        <v>594</v>
      </c>
    </row>
    <row r="685" spans="1:15">
      <c r="A685" s="25">
        <v>23606</v>
      </c>
      <c r="B685" s="34" t="s">
        <v>1592</v>
      </c>
      <c r="C685" s="31" t="s">
        <v>521</v>
      </c>
      <c r="D685" s="31" t="s">
        <v>884</v>
      </c>
      <c r="E685" s="28">
        <v>43452</v>
      </c>
      <c r="F685" s="28">
        <v>43483</v>
      </c>
      <c r="G685" s="28">
        <v>43861</v>
      </c>
      <c r="H685" s="29" t="s">
        <v>560</v>
      </c>
      <c r="I685" s="29" t="s">
        <v>560</v>
      </c>
      <c r="J685" s="29" t="s">
        <v>1545</v>
      </c>
      <c r="K685" s="29" t="s">
        <v>1545</v>
      </c>
      <c r="L685" s="29" t="s">
        <v>1546</v>
      </c>
      <c r="M685" s="29" t="s">
        <v>1593</v>
      </c>
      <c r="N685" s="29" t="s">
        <v>1586</v>
      </c>
      <c r="O685" s="29" t="s">
        <v>594</v>
      </c>
    </row>
    <row r="686" spans="1:15">
      <c r="A686" s="25">
        <v>21314</v>
      </c>
      <c r="B686" s="34" t="s">
        <v>1594</v>
      </c>
      <c r="C686" s="31" t="s">
        <v>521</v>
      </c>
      <c r="D686" s="31" t="s">
        <v>1595</v>
      </c>
      <c r="E686" s="28">
        <v>43010</v>
      </c>
      <c r="F686" s="28">
        <v>43405</v>
      </c>
      <c r="G686" s="28">
        <v>43769</v>
      </c>
      <c r="H686" s="29" t="s">
        <v>560</v>
      </c>
      <c r="I686" s="29" t="s">
        <v>560</v>
      </c>
      <c r="J686" s="29" t="s">
        <v>1545</v>
      </c>
      <c r="K686" s="29" t="s">
        <v>1545</v>
      </c>
      <c r="L686" s="29" t="s">
        <v>1546</v>
      </c>
      <c r="M686" s="29" t="s">
        <v>1596</v>
      </c>
      <c r="N686" s="29" t="s">
        <v>1511</v>
      </c>
      <c r="O686" s="29" t="s">
        <v>528</v>
      </c>
    </row>
    <row r="687" spans="1:15">
      <c r="A687" s="25">
        <v>9574</v>
      </c>
      <c r="B687" s="26" t="s">
        <v>1597</v>
      </c>
      <c r="C687" s="27" t="s">
        <v>521</v>
      </c>
      <c r="D687" s="27" t="s">
        <v>1598</v>
      </c>
      <c r="E687" s="28">
        <v>40179</v>
      </c>
      <c r="F687" s="28" t="s">
        <v>35</v>
      </c>
      <c r="G687" s="28" t="s">
        <v>35</v>
      </c>
      <c r="H687" s="27" t="s">
        <v>560</v>
      </c>
      <c r="I687" s="27" t="s">
        <v>560</v>
      </c>
      <c r="J687" s="29" t="s">
        <v>1545</v>
      </c>
      <c r="K687" s="29" t="s">
        <v>1545</v>
      </c>
      <c r="L687" s="29" t="s">
        <v>1546</v>
      </c>
      <c r="M687" s="29" t="s">
        <v>1550</v>
      </c>
      <c r="N687" s="29" t="s">
        <v>1045</v>
      </c>
      <c r="O687" s="29" t="s">
        <v>590</v>
      </c>
    </row>
    <row r="688" spans="1:15">
      <c r="A688" s="25">
        <v>10821</v>
      </c>
      <c r="B688" s="26" t="s">
        <v>1599</v>
      </c>
      <c r="C688" s="27" t="s">
        <v>521</v>
      </c>
      <c r="D688" s="27" t="s">
        <v>795</v>
      </c>
      <c r="E688" s="28">
        <v>40572</v>
      </c>
      <c r="F688" s="28" t="s">
        <v>35</v>
      </c>
      <c r="G688" s="28" t="s">
        <v>35</v>
      </c>
      <c r="H688" s="27" t="s">
        <v>560</v>
      </c>
      <c r="I688" s="27" t="s">
        <v>560</v>
      </c>
      <c r="J688" s="27" t="s">
        <v>1545</v>
      </c>
      <c r="K688" s="27" t="s">
        <v>1545</v>
      </c>
      <c r="L688" s="29" t="s">
        <v>1546</v>
      </c>
      <c r="M688" s="29" t="s">
        <v>1548</v>
      </c>
      <c r="N688" s="29" t="s">
        <v>1518</v>
      </c>
      <c r="O688" s="29" t="s">
        <v>590</v>
      </c>
    </row>
    <row r="689" spans="1:15">
      <c r="A689" s="25">
        <v>20776</v>
      </c>
      <c r="B689" s="26" t="s">
        <v>310</v>
      </c>
      <c r="C689" s="27" t="s">
        <v>521</v>
      </c>
      <c r="D689" s="27" t="s">
        <v>815</v>
      </c>
      <c r="E689" s="28">
        <v>42642</v>
      </c>
      <c r="F689" s="28">
        <v>43132</v>
      </c>
      <c r="G689" s="28">
        <v>43496</v>
      </c>
      <c r="H689" s="27" t="s">
        <v>560</v>
      </c>
      <c r="I689" s="27" t="s">
        <v>560</v>
      </c>
      <c r="J689" s="27" t="s">
        <v>1545</v>
      </c>
      <c r="K689" s="27" t="s">
        <v>1545</v>
      </c>
      <c r="L689" s="29" t="s">
        <v>1546</v>
      </c>
      <c r="M689" s="29" t="s">
        <v>1600</v>
      </c>
      <c r="N689" s="29" t="s">
        <v>1434</v>
      </c>
      <c r="O689" s="29" t="s">
        <v>590</v>
      </c>
    </row>
    <row r="690" spans="1:15">
      <c r="A690" s="25">
        <v>20901</v>
      </c>
      <c r="B690" s="26" t="s">
        <v>1601</v>
      </c>
      <c r="C690" s="27" t="s">
        <v>521</v>
      </c>
      <c r="D690" s="27" t="s">
        <v>807</v>
      </c>
      <c r="E690" s="28">
        <v>42660</v>
      </c>
      <c r="F690" s="28">
        <v>43160</v>
      </c>
      <c r="G690" s="28">
        <v>43524</v>
      </c>
      <c r="H690" s="25" t="s">
        <v>560</v>
      </c>
      <c r="I690" s="27" t="s">
        <v>560</v>
      </c>
      <c r="J690" s="27" t="s">
        <v>1545</v>
      </c>
      <c r="K690" s="27" t="s">
        <v>1545</v>
      </c>
      <c r="L690" s="29" t="s">
        <v>1546</v>
      </c>
      <c r="M690" s="29" t="s">
        <v>1602</v>
      </c>
      <c r="N690" s="29" t="s">
        <v>1518</v>
      </c>
      <c r="O690" s="29" t="s">
        <v>590</v>
      </c>
    </row>
    <row r="691" spans="1:15">
      <c r="A691" s="25">
        <v>21591</v>
      </c>
      <c r="B691" s="34" t="s">
        <v>279</v>
      </c>
      <c r="C691" s="31" t="s">
        <v>521</v>
      </c>
      <c r="D691" s="31" t="s">
        <v>1603</v>
      </c>
      <c r="E691" s="28">
        <v>43048</v>
      </c>
      <c r="F691" s="28">
        <v>43435</v>
      </c>
      <c r="G691" s="28">
        <v>43799</v>
      </c>
      <c r="H691" s="29" t="s">
        <v>560</v>
      </c>
      <c r="I691" s="29" t="s">
        <v>560</v>
      </c>
      <c r="J691" s="29" t="s">
        <v>1545</v>
      </c>
      <c r="K691" s="29" t="s">
        <v>1545</v>
      </c>
      <c r="L691" s="29" t="s">
        <v>1546</v>
      </c>
      <c r="M691" s="29" t="s">
        <v>1575</v>
      </c>
      <c r="N691" s="29" t="s">
        <v>1511</v>
      </c>
      <c r="O691" s="29" t="s">
        <v>590</v>
      </c>
    </row>
    <row r="692" spans="1:15">
      <c r="A692" s="25">
        <v>21682</v>
      </c>
      <c r="B692" s="34" t="s">
        <v>1604</v>
      </c>
      <c r="C692" s="31" t="s">
        <v>521</v>
      </c>
      <c r="D692" s="31" t="s">
        <v>1053</v>
      </c>
      <c r="E692" s="28">
        <v>43055</v>
      </c>
      <c r="F692" s="28">
        <v>43466</v>
      </c>
      <c r="G692" s="28">
        <v>43830</v>
      </c>
      <c r="H692" s="29" t="s">
        <v>560</v>
      </c>
      <c r="I692" s="29" t="s">
        <v>560</v>
      </c>
      <c r="J692" s="29" t="s">
        <v>1545</v>
      </c>
      <c r="K692" s="29" t="s">
        <v>1545</v>
      </c>
      <c r="L692" s="29" t="s">
        <v>1546</v>
      </c>
      <c r="M692" s="29" t="s">
        <v>1605</v>
      </c>
      <c r="N692" s="29" t="s">
        <v>1511</v>
      </c>
      <c r="O692" s="29" t="s">
        <v>590</v>
      </c>
    </row>
    <row r="693" spans="1:15">
      <c r="A693" s="25">
        <v>21700</v>
      </c>
      <c r="B693" s="34" t="s">
        <v>270</v>
      </c>
      <c r="C693" s="31" t="s">
        <v>521</v>
      </c>
      <c r="D693" s="31" t="s">
        <v>663</v>
      </c>
      <c r="E693" s="28">
        <v>43087</v>
      </c>
      <c r="F693" s="28">
        <v>43118</v>
      </c>
      <c r="G693" s="28">
        <v>43496</v>
      </c>
      <c r="H693" s="27" t="s">
        <v>560</v>
      </c>
      <c r="I693" s="27" t="s">
        <v>560</v>
      </c>
      <c r="J693" s="27" t="s">
        <v>1545</v>
      </c>
      <c r="K693" s="27" t="s">
        <v>1545</v>
      </c>
      <c r="L693" s="27" t="s">
        <v>1546</v>
      </c>
      <c r="M693" s="29" t="s">
        <v>1606</v>
      </c>
      <c r="N693" s="29" t="s">
        <v>1525</v>
      </c>
      <c r="O693" s="29" t="s">
        <v>590</v>
      </c>
    </row>
    <row r="694" spans="1:15">
      <c r="A694" s="25">
        <v>21706</v>
      </c>
      <c r="B694" s="34" t="s">
        <v>268</v>
      </c>
      <c r="C694" s="31" t="s">
        <v>521</v>
      </c>
      <c r="D694" s="31" t="s">
        <v>663</v>
      </c>
      <c r="E694" s="28">
        <v>43087</v>
      </c>
      <c r="F694" s="28">
        <v>43118</v>
      </c>
      <c r="G694" s="28">
        <v>43496</v>
      </c>
      <c r="H694" s="29" t="s">
        <v>560</v>
      </c>
      <c r="I694" s="29" t="s">
        <v>560</v>
      </c>
      <c r="J694" s="29" t="s">
        <v>1545</v>
      </c>
      <c r="K694" s="29" t="s">
        <v>1545</v>
      </c>
      <c r="L694" s="29" t="s">
        <v>1546</v>
      </c>
      <c r="M694" s="29" t="s">
        <v>1561</v>
      </c>
      <c r="N694" s="29" t="s">
        <v>1511</v>
      </c>
      <c r="O694" s="29" t="s">
        <v>590</v>
      </c>
    </row>
    <row r="695" spans="1:15">
      <c r="A695" s="25">
        <v>21735</v>
      </c>
      <c r="B695" s="34" t="s">
        <v>1607</v>
      </c>
      <c r="C695" s="31" t="s">
        <v>521</v>
      </c>
      <c r="D695" s="31" t="s">
        <v>663</v>
      </c>
      <c r="E695" s="28">
        <v>43087</v>
      </c>
      <c r="F695" s="28">
        <v>43118</v>
      </c>
      <c r="G695" s="28">
        <v>43496</v>
      </c>
      <c r="H695" s="29" t="s">
        <v>560</v>
      </c>
      <c r="I695" s="29" t="s">
        <v>560</v>
      </c>
      <c r="J695" s="29" t="s">
        <v>1545</v>
      </c>
      <c r="K695" s="29" t="s">
        <v>1545</v>
      </c>
      <c r="L695" s="29" t="s">
        <v>1546</v>
      </c>
      <c r="M695" s="29" t="s">
        <v>1608</v>
      </c>
      <c r="N695" s="29" t="s">
        <v>1511</v>
      </c>
      <c r="O695" s="29" t="s">
        <v>590</v>
      </c>
    </row>
    <row r="696" spans="1:15">
      <c r="A696" s="25">
        <v>21804</v>
      </c>
      <c r="B696" s="34" t="s">
        <v>266</v>
      </c>
      <c r="C696" s="31" t="s">
        <v>521</v>
      </c>
      <c r="D696" s="31" t="s">
        <v>1609</v>
      </c>
      <c r="E696" s="28">
        <v>43090</v>
      </c>
      <c r="F696" s="28">
        <v>43121</v>
      </c>
      <c r="G696" s="28">
        <v>43496</v>
      </c>
      <c r="H696" s="29" t="s">
        <v>560</v>
      </c>
      <c r="I696" s="29" t="s">
        <v>560</v>
      </c>
      <c r="J696" s="29" t="s">
        <v>1545</v>
      </c>
      <c r="K696" s="29" t="s">
        <v>1545</v>
      </c>
      <c r="L696" s="29" t="s">
        <v>1546</v>
      </c>
      <c r="M696" s="29" t="s">
        <v>1610</v>
      </c>
      <c r="N696" s="29" t="s">
        <v>1511</v>
      </c>
      <c r="O696" s="29" t="s">
        <v>590</v>
      </c>
    </row>
    <row r="697" spans="1:15">
      <c r="A697" s="25">
        <v>21822</v>
      </c>
      <c r="B697" s="34" t="s">
        <v>1611</v>
      </c>
      <c r="C697" s="31" t="s">
        <v>521</v>
      </c>
      <c r="D697" s="31" t="s">
        <v>732</v>
      </c>
      <c r="E697" s="28">
        <v>43098</v>
      </c>
      <c r="F697" s="28">
        <v>43129</v>
      </c>
      <c r="G697" s="28">
        <v>43496</v>
      </c>
      <c r="H697" s="29" t="s">
        <v>560</v>
      </c>
      <c r="I697" s="29" t="s">
        <v>560</v>
      </c>
      <c r="J697" s="29" t="s">
        <v>1545</v>
      </c>
      <c r="K697" s="29" t="s">
        <v>1545</v>
      </c>
      <c r="L697" s="29" t="s">
        <v>1546</v>
      </c>
      <c r="M697" s="29" t="s">
        <v>1534</v>
      </c>
      <c r="N697" s="29" t="s">
        <v>1514</v>
      </c>
      <c r="O697" s="29" t="s">
        <v>590</v>
      </c>
    </row>
    <row r="698" spans="1:15">
      <c r="A698" s="25">
        <v>22256</v>
      </c>
      <c r="B698" s="34" t="s">
        <v>1612</v>
      </c>
      <c r="C698" s="31" t="s">
        <v>521</v>
      </c>
      <c r="D698" s="31" t="s">
        <v>1189</v>
      </c>
      <c r="E698" s="28">
        <v>43171</v>
      </c>
      <c r="F698" s="28">
        <v>43202</v>
      </c>
      <c r="G698" s="28">
        <v>43555</v>
      </c>
      <c r="H698" s="29" t="s">
        <v>560</v>
      </c>
      <c r="I698" s="29" t="s">
        <v>560</v>
      </c>
      <c r="J698" s="29" t="s">
        <v>1545</v>
      </c>
      <c r="K698" s="29" t="s">
        <v>1545</v>
      </c>
      <c r="L698" s="29" t="s">
        <v>1546</v>
      </c>
      <c r="M698" s="29" t="s">
        <v>1579</v>
      </c>
      <c r="N698" s="29" t="s">
        <v>1518</v>
      </c>
      <c r="O698" s="29" t="s">
        <v>590</v>
      </c>
    </row>
    <row r="699" spans="1:15">
      <c r="A699" s="25">
        <v>22427</v>
      </c>
      <c r="B699" s="34" t="s">
        <v>1613</v>
      </c>
      <c r="C699" s="31" t="s">
        <v>521</v>
      </c>
      <c r="D699" s="31" t="s">
        <v>805</v>
      </c>
      <c r="E699" s="28">
        <v>43213</v>
      </c>
      <c r="F699" s="28">
        <v>43243</v>
      </c>
      <c r="G699" s="28">
        <v>43616</v>
      </c>
      <c r="H699" s="29" t="s">
        <v>560</v>
      </c>
      <c r="I699" s="29" t="s">
        <v>560</v>
      </c>
      <c r="J699" s="29" t="s">
        <v>1545</v>
      </c>
      <c r="K699" s="29" t="s">
        <v>1545</v>
      </c>
      <c r="L699" s="29" t="s">
        <v>1546</v>
      </c>
      <c r="M699" s="29" t="s">
        <v>1513</v>
      </c>
      <c r="N699" s="29" t="s">
        <v>1514</v>
      </c>
      <c r="O699" s="29" t="s">
        <v>590</v>
      </c>
    </row>
    <row r="700" spans="1:15">
      <c r="A700" s="25">
        <v>22791</v>
      </c>
      <c r="B700" s="34" t="s">
        <v>1614</v>
      </c>
      <c r="C700" s="31" t="s">
        <v>521</v>
      </c>
      <c r="D700" s="31" t="s">
        <v>1615</v>
      </c>
      <c r="E700" s="28">
        <v>43283</v>
      </c>
      <c r="F700" s="28">
        <v>43314</v>
      </c>
      <c r="G700" s="28">
        <v>43677</v>
      </c>
      <c r="H700" s="29" t="s">
        <v>560</v>
      </c>
      <c r="I700" s="29" t="s">
        <v>560</v>
      </c>
      <c r="J700" s="29" t="s">
        <v>1545</v>
      </c>
      <c r="K700" s="29" t="s">
        <v>1545</v>
      </c>
      <c r="L700" s="29" t="s">
        <v>1546</v>
      </c>
      <c r="M700" s="29" t="s">
        <v>1572</v>
      </c>
      <c r="N700" s="29" t="s">
        <v>1518</v>
      </c>
      <c r="O700" s="29" t="s">
        <v>590</v>
      </c>
    </row>
    <row r="701" spans="1:15">
      <c r="A701" s="25">
        <v>22793</v>
      </c>
      <c r="B701" s="34" t="s">
        <v>1616</v>
      </c>
      <c r="C701" s="31" t="s">
        <v>521</v>
      </c>
      <c r="D701" s="31" t="s">
        <v>1615</v>
      </c>
      <c r="E701" s="28">
        <v>43283</v>
      </c>
      <c r="F701" s="28">
        <v>43314</v>
      </c>
      <c r="G701" s="28">
        <v>43677</v>
      </c>
      <c r="H701" s="29" t="s">
        <v>560</v>
      </c>
      <c r="I701" s="29" t="s">
        <v>560</v>
      </c>
      <c r="J701" s="29" t="s">
        <v>1545</v>
      </c>
      <c r="K701" s="29" t="s">
        <v>1545</v>
      </c>
      <c r="L701" s="29" t="s">
        <v>1546</v>
      </c>
      <c r="M701" s="29" t="s">
        <v>1564</v>
      </c>
      <c r="N701" s="29" t="s">
        <v>1511</v>
      </c>
      <c r="O701" s="29" t="s">
        <v>590</v>
      </c>
    </row>
    <row r="702" spans="1:15">
      <c r="A702" s="25">
        <v>22826</v>
      </c>
      <c r="B702" s="34" t="s">
        <v>1617</v>
      </c>
      <c r="C702" s="31" t="s">
        <v>521</v>
      </c>
      <c r="D702" s="31" t="s">
        <v>775</v>
      </c>
      <c r="E702" s="28">
        <v>43333</v>
      </c>
      <c r="F702" s="28">
        <v>43364</v>
      </c>
      <c r="G702" s="28">
        <v>43738</v>
      </c>
      <c r="H702" s="29" t="s">
        <v>560</v>
      </c>
      <c r="I702" s="29" t="s">
        <v>560</v>
      </c>
      <c r="J702" s="29" t="s">
        <v>1545</v>
      </c>
      <c r="K702" s="29" t="s">
        <v>1545</v>
      </c>
      <c r="L702" s="29" t="s">
        <v>1546</v>
      </c>
      <c r="M702" s="29" t="s">
        <v>1543</v>
      </c>
      <c r="N702" s="29" t="s">
        <v>1541</v>
      </c>
      <c r="O702" s="29" t="s">
        <v>590</v>
      </c>
    </row>
    <row r="703" spans="1:15">
      <c r="A703" s="25">
        <v>23225</v>
      </c>
      <c r="B703" s="34" t="s">
        <v>1618</v>
      </c>
      <c r="C703" s="31" t="s">
        <v>521</v>
      </c>
      <c r="D703" s="31" t="s">
        <v>1582</v>
      </c>
      <c r="E703" s="28">
        <v>43421</v>
      </c>
      <c r="F703" s="28">
        <v>43451</v>
      </c>
      <c r="G703" s="28">
        <v>43830</v>
      </c>
      <c r="H703" s="29" t="s">
        <v>560</v>
      </c>
      <c r="I703" s="29" t="s">
        <v>560</v>
      </c>
      <c r="J703" s="29" t="s">
        <v>1545</v>
      </c>
      <c r="K703" s="29" t="s">
        <v>1545</v>
      </c>
      <c r="L703" s="29" t="s">
        <v>1546</v>
      </c>
      <c r="M703" s="29" t="s">
        <v>1563</v>
      </c>
      <c r="N703" s="29" t="s">
        <v>1511</v>
      </c>
      <c r="O703" s="29" t="s">
        <v>590</v>
      </c>
    </row>
    <row r="704" spans="1:15">
      <c r="A704" s="25">
        <v>23231</v>
      </c>
      <c r="B704" s="34" t="s">
        <v>1619</v>
      </c>
      <c r="C704" s="31" t="s">
        <v>521</v>
      </c>
      <c r="D704" s="31" t="s">
        <v>1582</v>
      </c>
      <c r="E704" s="28">
        <v>43421</v>
      </c>
      <c r="F704" s="28">
        <v>43451</v>
      </c>
      <c r="G704" s="28">
        <v>43830</v>
      </c>
      <c r="H704" s="29" t="s">
        <v>560</v>
      </c>
      <c r="I704" s="29" t="s">
        <v>560</v>
      </c>
      <c r="J704" s="29" t="s">
        <v>1545</v>
      </c>
      <c r="K704" s="29" t="s">
        <v>1545</v>
      </c>
      <c r="L704" s="29" t="s">
        <v>1546</v>
      </c>
      <c r="M704" s="29" t="s">
        <v>1559</v>
      </c>
      <c r="N704" s="29" t="s">
        <v>1511</v>
      </c>
      <c r="O704" s="29" t="s">
        <v>590</v>
      </c>
    </row>
    <row r="705" spans="1:15">
      <c r="A705" s="25">
        <v>23426</v>
      </c>
      <c r="B705" s="34" t="s">
        <v>1620</v>
      </c>
      <c r="C705" s="31" t="s">
        <v>521</v>
      </c>
      <c r="D705" s="31" t="s">
        <v>882</v>
      </c>
      <c r="E705" s="28">
        <v>43434</v>
      </c>
      <c r="F705" s="28">
        <v>43464</v>
      </c>
      <c r="G705" s="28">
        <v>43830</v>
      </c>
      <c r="H705" s="29" t="s">
        <v>560</v>
      </c>
      <c r="I705" s="29" t="s">
        <v>560</v>
      </c>
      <c r="J705" s="29" t="s">
        <v>1545</v>
      </c>
      <c r="K705" s="29" t="s">
        <v>1545</v>
      </c>
      <c r="L705" s="29" t="s">
        <v>1546</v>
      </c>
      <c r="M705" s="29" t="s">
        <v>1621</v>
      </c>
      <c r="N705" s="29" t="s">
        <v>1525</v>
      </c>
      <c r="O705" s="29" t="s">
        <v>590</v>
      </c>
    </row>
    <row r="706" spans="1:15">
      <c r="A706" s="25">
        <v>23429</v>
      </c>
      <c r="B706" s="34" t="s">
        <v>1622</v>
      </c>
      <c r="C706" s="31" t="s">
        <v>521</v>
      </c>
      <c r="D706" s="31" t="s">
        <v>882</v>
      </c>
      <c r="E706" s="28">
        <v>43434</v>
      </c>
      <c r="F706" s="28">
        <v>43464</v>
      </c>
      <c r="G706" s="28">
        <v>43830</v>
      </c>
      <c r="H706" s="29" t="s">
        <v>560</v>
      </c>
      <c r="I706" s="29" t="s">
        <v>560</v>
      </c>
      <c r="J706" s="29" t="s">
        <v>1545</v>
      </c>
      <c r="K706" s="29" t="s">
        <v>1545</v>
      </c>
      <c r="L706" s="29" t="s">
        <v>1546</v>
      </c>
      <c r="M706" s="29" t="s">
        <v>1623</v>
      </c>
      <c r="N706" s="29" t="s">
        <v>1525</v>
      </c>
      <c r="O706" s="29" t="s">
        <v>590</v>
      </c>
    </row>
    <row r="707" spans="1:15">
      <c r="A707" s="25" t="s">
        <v>1624</v>
      </c>
      <c r="B707" s="26" t="s">
        <v>1625</v>
      </c>
      <c r="C707" s="27" t="s">
        <v>521</v>
      </c>
      <c r="D707" s="27" t="s">
        <v>1626</v>
      </c>
      <c r="E707" s="28">
        <v>40889</v>
      </c>
      <c r="F707" s="28" t="s">
        <v>35</v>
      </c>
      <c r="G707" s="28" t="s">
        <v>35</v>
      </c>
      <c r="H707" s="29" t="s">
        <v>560</v>
      </c>
      <c r="I707" s="29" t="s">
        <v>560</v>
      </c>
      <c r="J707" s="29" t="s">
        <v>1545</v>
      </c>
      <c r="K707" s="29" t="s">
        <v>1545</v>
      </c>
      <c r="L707" s="29" t="s">
        <v>1546</v>
      </c>
      <c r="M707" s="29" t="s">
        <v>1534</v>
      </c>
      <c r="N707" s="29" t="s">
        <v>1514</v>
      </c>
      <c r="O707" s="29" t="s">
        <v>590</v>
      </c>
    </row>
    <row r="708" spans="1:15">
      <c r="A708" s="25">
        <v>23556</v>
      </c>
      <c r="B708" s="34" t="s">
        <v>1627</v>
      </c>
      <c r="C708" s="31" t="s">
        <v>521</v>
      </c>
      <c r="D708" s="31" t="s">
        <v>884</v>
      </c>
      <c r="E708" s="28">
        <v>43452</v>
      </c>
      <c r="F708" s="28">
        <v>43483</v>
      </c>
      <c r="G708" s="28">
        <v>43861</v>
      </c>
      <c r="H708" s="29" t="s">
        <v>560</v>
      </c>
      <c r="I708" s="29" t="s">
        <v>560</v>
      </c>
      <c r="J708" s="29" t="s">
        <v>1545</v>
      </c>
      <c r="K708" s="29" t="s">
        <v>1545</v>
      </c>
      <c r="L708" s="29" t="s">
        <v>1546</v>
      </c>
      <c r="M708" s="29" t="s">
        <v>1628</v>
      </c>
      <c r="N708" s="29" t="s">
        <v>1586</v>
      </c>
      <c r="O708" s="29" t="s">
        <v>590</v>
      </c>
    </row>
    <row r="709" spans="1:15">
      <c r="A709" s="25">
        <v>994</v>
      </c>
      <c r="B709" s="26" t="s">
        <v>1629</v>
      </c>
      <c r="C709" s="27" t="s">
        <v>521</v>
      </c>
      <c r="D709" s="27" t="s">
        <v>709</v>
      </c>
      <c r="E709" s="28">
        <v>37872</v>
      </c>
      <c r="F709" s="28" t="s">
        <v>35</v>
      </c>
      <c r="G709" s="28" t="s">
        <v>35</v>
      </c>
      <c r="H709" s="29" t="s">
        <v>560</v>
      </c>
      <c r="I709" s="29" t="s">
        <v>560</v>
      </c>
      <c r="J709" s="29" t="s">
        <v>1508</v>
      </c>
      <c r="K709" s="29" t="s">
        <v>1508</v>
      </c>
      <c r="L709" s="29" t="s">
        <v>1630</v>
      </c>
      <c r="M709" s="29" t="s">
        <v>1513</v>
      </c>
      <c r="N709" s="29" t="s">
        <v>1514</v>
      </c>
      <c r="O709" s="29" t="s">
        <v>594</v>
      </c>
    </row>
    <row r="710" spans="1:15">
      <c r="A710" s="25">
        <v>5683</v>
      </c>
      <c r="B710" s="26" t="s">
        <v>1631</v>
      </c>
      <c r="C710" s="27" t="s">
        <v>521</v>
      </c>
      <c r="D710" s="27" t="s">
        <v>790</v>
      </c>
      <c r="E710" s="28">
        <v>39098</v>
      </c>
      <c r="F710" s="28" t="s">
        <v>35</v>
      </c>
      <c r="G710" s="28" t="s">
        <v>35</v>
      </c>
      <c r="H710" s="27" t="s">
        <v>560</v>
      </c>
      <c r="I710" s="27" t="s">
        <v>560</v>
      </c>
      <c r="J710" s="29" t="s">
        <v>1508</v>
      </c>
      <c r="K710" s="29" t="s">
        <v>1508</v>
      </c>
      <c r="L710" s="29" t="s">
        <v>1630</v>
      </c>
      <c r="M710" s="29" t="s">
        <v>1520</v>
      </c>
      <c r="N710" s="29" t="s">
        <v>1541</v>
      </c>
      <c r="O710" s="29" t="s">
        <v>594</v>
      </c>
    </row>
    <row r="711" spans="1:15">
      <c r="A711" s="25">
        <v>10258</v>
      </c>
      <c r="B711" s="26" t="s">
        <v>1632</v>
      </c>
      <c r="C711" s="27" t="s">
        <v>521</v>
      </c>
      <c r="D711" s="27" t="s">
        <v>681</v>
      </c>
      <c r="E711" s="28">
        <v>40497</v>
      </c>
      <c r="F711" s="28" t="s">
        <v>35</v>
      </c>
      <c r="G711" s="28" t="s">
        <v>35</v>
      </c>
      <c r="H711" s="27" t="s">
        <v>560</v>
      </c>
      <c r="I711" s="27" t="s">
        <v>560</v>
      </c>
      <c r="J711" s="29" t="s">
        <v>1508</v>
      </c>
      <c r="K711" s="29" t="s">
        <v>1508</v>
      </c>
      <c r="L711" s="29" t="s">
        <v>1630</v>
      </c>
      <c r="M711" s="29" t="s">
        <v>1633</v>
      </c>
      <c r="N711" s="29" t="s">
        <v>1518</v>
      </c>
      <c r="O711" s="29" t="s">
        <v>594</v>
      </c>
    </row>
    <row r="712" spans="1:15">
      <c r="A712" s="25">
        <v>10310</v>
      </c>
      <c r="B712" s="26" t="s">
        <v>1634</v>
      </c>
      <c r="C712" s="27" t="s">
        <v>521</v>
      </c>
      <c r="D712" s="27" t="s">
        <v>825</v>
      </c>
      <c r="E712" s="28">
        <v>40511</v>
      </c>
      <c r="F712" s="28" t="s">
        <v>35</v>
      </c>
      <c r="G712" s="28" t="s">
        <v>35</v>
      </c>
      <c r="H712" s="27" t="s">
        <v>560</v>
      </c>
      <c r="I712" s="27" t="s">
        <v>560</v>
      </c>
      <c r="J712" s="29" t="s">
        <v>1508</v>
      </c>
      <c r="K712" s="29" t="s">
        <v>1508</v>
      </c>
      <c r="L712" s="29" t="s">
        <v>1630</v>
      </c>
      <c r="M712" s="29" t="s">
        <v>1635</v>
      </c>
      <c r="N712" s="29" t="s">
        <v>1518</v>
      </c>
      <c r="O712" s="29" t="s">
        <v>594</v>
      </c>
    </row>
    <row r="713" spans="1:15">
      <c r="A713" s="25">
        <v>10870</v>
      </c>
      <c r="B713" s="26" t="s">
        <v>1636</v>
      </c>
      <c r="C713" s="27" t="s">
        <v>521</v>
      </c>
      <c r="D713" s="27" t="s">
        <v>795</v>
      </c>
      <c r="E713" s="28">
        <v>40572</v>
      </c>
      <c r="F713" s="28" t="s">
        <v>35</v>
      </c>
      <c r="G713" s="28" t="s">
        <v>35</v>
      </c>
      <c r="H713" s="29" t="s">
        <v>560</v>
      </c>
      <c r="I713" s="29" t="s">
        <v>560</v>
      </c>
      <c r="J713" s="29" t="s">
        <v>1508</v>
      </c>
      <c r="K713" s="29" t="s">
        <v>1508</v>
      </c>
      <c r="L713" s="29" t="s">
        <v>1630</v>
      </c>
      <c r="M713" s="29" t="s">
        <v>1513</v>
      </c>
      <c r="N713" s="29" t="s">
        <v>1514</v>
      </c>
      <c r="O713" s="29" t="s">
        <v>594</v>
      </c>
    </row>
    <row r="714" spans="1:15">
      <c r="A714" s="25">
        <v>11243</v>
      </c>
      <c r="B714" s="26" t="s">
        <v>1637</v>
      </c>
      <c r="C714" s="27" t="s">
        <v>521</v>
      </c>
      <c r="D714" s="27" t="s">
        <v>828</v>
      </c>
      <c r="E714" s="28">
        <v>40617</v>
      </c>
      <c r="F714" s="28" t="s">
        <v>35</v>
      </c>
      <c r="G714" s="28" t="s">
        <v>35</v>
      </c>
      <c r="H714" s="27" t="s">
        <v>560</v>
      </c>
      <c r="I714" s="27" t="s">
        <v>560</v>
      </c>
      <c r="J714" s="29" t="s">
        <v>1508</v>
      </c>
      <c r="K714" s="29" t="s">
        <v>1508</v>
      </c>
      <c r="L714" s="29" t="s">
        <v>1630</v>
      </c>
      <c r="M714" s="29" t="s">
        <v>1638</v>
      </c>
      <c r="N714" s="29" t="s">
        <v>1518</v>
      </c>
      <c r="O714" s="29" t="s">
        <v>594</v>
      </c>
    </row>
    <row r="715" spans="1:15">
      <c r="A715" s="25">
        <v>11372</v>
      </c>
      <c r="B715" s="26" t="s">
        <v>450</v>
      </c>
      <c r="C715" s="27" t="s">
        <v>521</v>
      </c>
      <c r="D715" s="27" t="s">
        <v>1639</v>
      </c>
      <c r="E715" s="28">
        <v>40696</v>
      </c>
      <c r="F715" s="28" t="s">
        <v>35</v>
      </c>
      <c r="G715" s="28" t="s">
        <v>35</v>
      </c>
      <c r="H715" s="29" t="s">
        <v>560</v>
      </c>
      <c r="I715" s="29" t="s">
        <v>560</v>
      </c>
      <c r="J715" s="29" t="s">
        <v>1508</v>
      </c>
      <c r="K715" s="29" t="s">
        <v>1508</v>
      </c>
      <c r="L715" s="29" t="s">
        <v>1630</v>
      </c>
      <c r="M715" s="29" t="s">
        <v>1640</v>
      </c>
      <c r="N715" s="29" t="s">
        <v>1518</v>
      </c>
      <c r="O715" s="29" t="s">
        <v>594</v>
      </c>
    </row>
    <row r="716" spans="1:15">
      <c r="A716" s="25">
        <v>12372</v>
      </c>
      <c r="B716" s="26" t="s">
        <v>1641</v>
      </c>
      <c r="C716" s="27" t="s">
        <v>521</v>
      </c>
      <c r="D716" s="27" t="s">
        <v>724</v>
      </c>
      <c r="E716" s="28">
        <v>40809</v>
      </c>
      <c r="F716" s="28" t="s">
        <v>35</v>
      </c>
      <c r="G716" s="28" t="s">
        <v>35</v>
      </c>
      <c r="H716" s="27" t="s">
        <v>560</v>
      </c>
      <c r="I716" s="27" t="s">
        <v>560</v>
      </c>
      <c r="J716" s="29" t="s">
        <v>1508</v>
      </c>
      <c r="K716" s="29" t="s">
        <v>1508</v>
      </c>
      <c r="L716" s="29" t="s">
        <v>1630</v>
      </c>
      <c r="M716" s="29" t="s">
        <v>1642</v>
      </c>
      <c r="N716" s="29" t="s">
        <v>1518</v>
      </c>
      <c r="O716" s="29" t="s">
        <v>594</v>
      </c>
    </row>
    <row r="717" spans="1:15">
      <c r="A717" s="25">
        <v>20453</v>
      </c>
      <c r="B717" s="26" t="s">
        <v>1643</v>
      </c>
      <c r="C717" s="27" t="s">
        <v>521</v>
      </c>
      <c r="D717" s="27" t="s">
        <v>1644</v>
      </c>
      <c r="E717" s="28">
        <v>42634</v>
      </c>
      <c r="F717" s="28">
        <v>43132</v>
      </c>
      <c r="G717" s="28">
        <v>43496</v>
      </c>
      <c r="H717" s="27" t="s">
        <v>560</v>
      </c>
      <c r="I717" s="27" t="s">
        <v>560</v>
      </c>
      <c r="J717" s="29" t="s">
        <v>1508</v>
      </c>
      <c r="K717" s="29" t="s">
        <v>1508</v>
      </c>
      <c r="L717" s="29" t="s">
        <v>1630</v>
      </c>
      <c r="M717" s="29" t="s">
        <v>1645</v>
      </c>
      <c r="N717" s="29" t="s">
        <v>1518</v>
      </c>
      <c r="O717" s="29" t="s">
        <v>594</v>
      </c>
    </row>
    <row r="718" spans="1:15">
      <c r="A718" s="25">
        <v>468</v>
      </c>
      <c r="B718" s="26" t="s">
        <v>1646</v>
      </c>
      <c r="C718" s="27" t="s">
        <v>521</v>
      </c>
      <c r="D718" s="27" t="s">
        <v>1043</v>
      </c>
      <c r="E718" s="28">
        <v>37760</v>
      </c>
      <c r="F718" s="28" t="s">
        <v>35</v>
      </c>
      <c r="G718" s="28" t="s">
        <v>35</v>
      </c>
      <c r="H718" s="29" t="s">
        <v>560</v>
      </c>
      <c r="I718" s="29" t="s">
        <v>560</v>
      </c>
      <c r="J718" s="29" t="s">
        <v>1508</v>
      </c>
      <c r="K718" s="29" t="s">
        <v>1508</v>
      </c>
      <c r="L718" s="29" t="s">
        <v>1630</v>
      </c>
      <c r="M718" s="29" t="s">
        <v>1513</v>
      </c>
      <c r="N718" s="29" t="s">
        <v>1514</v>
      </c>
      <c r="O718" s="29" t="s">
        <v>590</v>
      </c>
    </row>
    <row r="719" spans="1:15">
      <c r="A719" s="25">
        <v>969</v>
      </c>
      <c r="B719" s="26" t="s">
        <v>1647</v>
      </c>
      <c r="C719" s="27" t="s">
        <v>521</v>
      </c>
      <c r="D719" s="27" t="s">
        <v>709</v>
      </c>
      <c r="E719" s="28">
        <v>37872</v>
      </c>
      <c r="F719" s="28" t="s">
        <v>35</v>
      </c>
      <c r="G719" s="28" t="s">
        <v>35</v>
      </c>
      <c r="H719" s="27" t="s">
        <v>560</v>
      </c>
      <c r="I719" s="27" t="s">
        <v>560</v>
      </c>
      <c r="J719" s="29" t="s">
        <v>1508</v>
      </c>
      <c r="K719" s="29" t="s">
        <v>1508</v>
      </c>
      <c r="L719" s="29" t="s">
        <v>1630</v>
      </c>
      <c r="M719" s="29" t="s">
        <v>1635</v>
      </c>
      <c r="N719" s="29" t="s">
        <v>1518</v>
      </c>
      <c r="O719" s="29" t="s">
        <v>590</v>
      </c>
    </row>
    <row r="720" spans="1:15">
      <c r="A720" s="25">
        <v>1286</v>
      </c>
      <c r="B720" s="26" t="s">
        <v>1648</v>
      </c>
      <c r="C720" s="27" t="s">
        <v>521</v>
      </c>
      <c r="D720" s="27" t="s">
        <v>1458</v>
      </c>
      <c r="E720" s="28">
        <v>37921</v>
      </c>
      <c r="F720" s="28" t="s">
        <v>35</v>
      </c>
      <c r="G720" s="28" t="s">
        <v>35</v>
      </c>
      <c r="H720" s="29" t="s">
        <v>560</v>
      </c>
      <c r="I720" s="29" t="s">
        <v>560</v>
      </c>
      <c r="J720" s="29" t="s">
        <v>1508</v>
      </c>
      <c r="K720" s="29" t="s">
        <v>1508</v>
      </c>
      <c r="L720" s="29" t="s">
        <v>1630</v>
      </c>
      <c r="M720" s="29" t="s">
        <v>1513</v>
      </c>
      <c r="N720" s="29" t="s">
        <v>1514</v>
      </c>
      <c r="O720" s="29" t="s">
        <v>590</v>
      </c>
    </row>
    <row r="721" spans="1:15">
      <c r="A721" s="25">
        <v>5249</v>
      </c>
      <c r="B721" s="26" t="s">
        <v>1649</v>
      </c>
      <c r="C721" s="27" t="s">
        <v>521</v>
      </c>
      <c r="D721" s="27" t="s">
        <v>1130</v>
      </c>
      <c r="E721" s="28">
        <v>38961</v>
      </c>
      <c r="F721" s="28" t="s">
        <v>35</v>
      </c>
      <c r="G721" s="28" t="s">
        <v>35</v>
      </c>
      <c r="H721" s="29" t="s">
        <v>560</v>
      </c>
      <c r="I721" s="29" t="s">
        <v>560</v>
      </c>
      <c r="J721" s="29" t="s">
        <v>1508</v>
      </c>
      <c r="K721" s="29" t="s">
        <v>1508</v>
      </c>
      <c r="L721" s="29" t="s">
        <v>1630</v>
      </c>
      <c r="M721" s="29" t="s">
        <v>1513</v>
      </c>
      <c r="N721" s="29" t="s">
        <v>1514</v>
      </c>
      <c r="O721" s="29" t="s">
        <v>590</v>
      </c>
    </row>
    <row r="722" spans="1:15">
      <c r="A722" s="25">
        <v>10108</v>
      </c>
      <c r="B722" s="34" t="s">
        <v>1650</v>
      </c>
      <c r="C722" s="31" t="s">
        <v>521</v>
      </c>
      <c r="D722" s="31" t="s">
        <v>601</v>
      </c>
      <c r="E722" s="28">
        <v>40444</v>
      </c>
      <c r="F722" s="28" t="s">
        <v>35</v>
      </c>
      <c r="G722" s="28" t="s">
        <v>35</v>
      </c>
      <c r="H722" s="29" t="s">
        <v>560</v>
      </c>
      <c r="I722" s="29" t="s">
        <v>560</v>
      </c>
      <c r="J722" s="29" t="s">
        <v>1508</v>
      </c>
      <c r="K722" s="29" t="s">
        <v>1508</v>
      </c>
      <c r="L722" s="29" t="s">
        <v>1630</v>
      </c>
      <c r="M722" s="29" t="s">
        <v>1642</v>
      </c>
      <c r="N722" s="29" t="s">
        <v>1518</v>
      </c>
      <c r="O722" s="29" t="s">
        <v>590</v>
      </c>
    </row>
    <row r="723" spans="1:15">
      <c r="A723" s="25">
        <v>10530</v>
      </c>
      <c r="B723" s="26" t="s">
        <v>1651</v>
      </c>
      <c r="C723" s="27" t="s">
        <v>521</v>
      </c>
      <c r="D723" s="27" t="s">
        <v>738</v>
      </c>
      <c r="E723" s="28">
        <v>40535</v>
      </c>
      <c r="F723" s="28" t="s">
        <v>35</v>
      </c>
      <c r="G723" s="28" t="s">
        <v>35</v>
      </c>
      <c r="H723" s="29" t="s">
        <v>560</v>
      </c>
      <c r="I723" s="29" t="s">
        <v>560</v>
      </c>
      <c r="J723" s="29" t="s">
        <v>1508</v>
      </c>
      <c r="K723" s="29" t="s">
        <v>1508</v>
      </c>
      <c r="L723" s="29" t="s">
        <v>1630</v>
      </c>
      <c r="M723" s="29" t="s">
        <v>1638</v>
      </c>
      <c r="N723" s="29" t="s">
        <v>1518</v>
      </c>
      <c r="O723" s="29" t="s">
        <v>590</v>
      </c>
    </row>
    <row r="724" spans="1:15">
      <c r="A724" s="25">
        <v>20512</v>
      </c>
      <c r="B724" s="26" t="s">
        <v>1652</v>
      </c>
      <c r="C724" s="27" t="s">
        <v>521</v>
      </c>
      <c r="D724" s="27" t="s">
        <v>1644</v>
      </c>
      <c r="E724" s="28">
        <v>42634</v>
      </c>
      <c r="F724" s="28">
        <v>43132</v>
      </c>
      <c r="G724" s="28">
        <v>43496</v>
      </c>
      <c r="H724" s="27" t="s">
        <v>560</v>
      </c>
      <c r="I724" s="27" t="s">
        <v>560</v>
      </c>
      <c r="J724" s="29" t="s">
        <v>1508</v>
      </c>
      <c r="K724" s="29" t="s">
        <v>1508</v>
      </c>
      <c r="L724" s="29" t="s">
        <v>1630</v>
      </c>
      <c r="M724" s="29" t="s">
        <v>1633</v>
      </c>
      <c r="N724" s="29" t="s">
        <v>1518</v>
      </c>
      <c r="O724" s="29" t="s">
        <v>590</v>
      </c>
    </row>
    <row r="725" spans="1:15">
      <c r="A725" s="25">
        <v>20593</v>
      </c>
      <c r="B725" s="26" t="s">
        <v>320</v>
      </c>
      <c r="C725" s="27" t="s">
        <v>521</v>
      </c>
      <c r="D725" s="27" t="s">
        <v>673</v>
      </c>
      <c r="E725" s="28">
        <v>42639</v>
      </c>
      <c r="F725" s="28">
        <v>43132</v>
      </c>
      <c r="G725" s="28">
        <v>43496</v>
      </c>
      <c r="H725" s="25" t="s">
        <v>560</v>
      </c>
      <c r="I725" s="25" t="s">
        <v>560</v>
      </c>
      <c r="J725" s="29" t="s">
        <v>1508</v>
      </c>
      <c r="K725" s="29" t="s">
        <v>1508</v>
      </c>
      <c r="L725" s="29" t="s">
        <v>1630</v>
      </c>
      <c r="M725" s="29" t="s">
        <v>1645</v>
      </c>
      <c r="N725" s="29" t="s">
        <v>1518</v>
      </c>
      <c r="O725" s="29" t="s">
        <v>590</v>
      </c>
    </row>
    <row r="726" spans="1:15">
      <c r="A726" s="25">
        <v>5461</v>
      </c>
      <c r="B726" s="26" t="s">
        <v>1653</v>
      </c>
      <c r="C726" s="27" t="s">
        <v>521</v>
      </c>
      <c r="D726" s="27" t="s">
        <v>760</v>
      </c>
      <c r="E726" s="28">
        <v>38991</v>
      </c>
      <c r="F726" s="28" t="s">
        <v>35</v>
      </c>
      <c r="G726" s="28" t="s">
        <v>35</v>
      </c>
      <c r="H726" s="27" t="s">
        <v>560</v>
      </c>
      <c r="I726" s="27" t="s">
        <v>560</v>
      </c>
      <c r="J726" s="29" t="s">
        <v>1654</v>
      </c>
      <c r="K726" s="29" t="s">
        <v>1655</v>
      </c>
      <c r="L726" s="29" t="s">
        <v>1656</v>
      </c>
      <c r="M726" s="29" t="s">
        <v>1657</v>
      </c>
      <c r="N726" s="29" t="s">
        <v>1518</v>
      </c>
      <c r="O726" s="29" t="s">
        <v>528</v>
      </c>
    </row>
    <row r="727" spans="1:15">
      <c r="A727" s="25">
        <v>12100</v>
      </c>
      <c r="B727" s="32" t="s">
        <v>1658</v>
      </c>
      <c r="C727" s="27" t="s">
        <v>521</v>
      </c>
      <c r="D727" s="27" t="s">
        <v>665</v>
      </c>
      <c r="E727" s="28">
        <v>40798</v>
      </c>
      <c r="F727" s="28" t="s">
        <v>35</v>
      </c>
      <c r="G727" s="28" t="s">
        <v>35</v>
      </c>
      <c r="H727" s="29" t="s">
        <v>560</v>
      </c>
      <c r="I727" s="29" t="s">
        <v>560</v>
      </c>
      <c r="J727" s="29" t="s">
        <v>1654</v>
      </c>
      <c r="K727" s="29" t="s">
        <v>1655</v>
      </c>
      <c r="L727" s="29" t="s">
        <v>1656</v>
      </c>
      <c r="M727" s="29" t="s">
        <v>1513</v>
      </c>
      <c r="N727" s="29" t="s">
        <v>1514</v>
      </c>
      <c r="O727" s="29" t="s">
        <v>528</v>
      </c>
    </row>
    <row r="728" spans="1:15">
      <c r="A728" s="25">
        <v>20577</v>
      </c>
      <c r="B728" s="26" t="s">
        <v>321</v>
      </c>
      <c r="C728" s="27" t="s">
        <v>521</v>
      </c>
      <c r="D728" s="27" t="s">
        <v>673</v>
      </c>
      <c r="E728" s="28">
        <v>42639</v>
      </c>
      <c r="F728" s="28">
        <v>43132</v>
      </c>
      <c r="G728" s="28">
        <v>43496</v>
      </c>
      <c r="H728" s="25" t="s">
        <v>560</v>
      </c>
      <c r="I728" s="25" t="s">
        <v>560</v>
      </c>
      <c r="J728" s="29" t="s">
        <v>1654</v>
      </c>
      <c r="K728" s="29" t="s">
        <v>1655</v>
      </c>
      <c r="L728" s="29" t="s">
        <v>1656</v>
      </c>
      <c r="M728" s="29" t="s">
        <v>1659</v>
      </c>
      <c r="N728" s="29" t="s">
        <v>1518</v>
      </c>
      <c r="O728" s="29" t="s">
        <v>528</v>
      </c>
    </row>
    <row r="729" spans="1:15">
      <c r="A729" s="25">
        <v>454</v>
      </c>
      <c r="B729" s="33" t="s">
        <v>1660</v>
      </c>
      <c r="C729" s="27" t="s">
        <v>521</v>
      </c>
      <c r="D729" s="27" t="s">
        <v>1661</v>
      </c>
      <c r="E729" s="28">
        <v>37746</v>
      </c>
      <c r="F729" s="28" t="s">
        <v>35</v>
      </c>
      <c r="G729" s="28" t="s">
        <v>35</v>
      </c>
      <c r="H729" s="29" t="s">
        <v>560</v>
      </c>
      <c r="I729" s="29" t="s">
        <v>560</v>
      </c>
      <c r="J729" s="29" t="s">
        <v>1662</v>
      </c>
      <c r="K729" s="29" t="s">
        <v>1662</v>
      </c>
      <c r="L729" s="29" t="s">
        <v>1663</v>
      </c>
      <c r="M729" s="29" t="s">
        <v>1513</v>
      </c>
      <c r="N729" s="29" t="s">
        <v>1514</v>
      </c>
      <c r="O729" s="29" t="s">
        <v>594</v>
      </c>
    </row>
    <row r="730" spans="1:15">
      <c r="A730" s="25">
        <v>1314</v>
      </c>
      <c r="B730" s="34" t="s">
        <v>1664</v>
      </c>
      <c r="C730" s="31" t="s">
        <v>521</v>
      </c>
      <c r="D730" s="31" t="s">
        <v>831</v>
      </c>
      <c r="E730" s="28">
        <v>37928</v>
      </c>
      <c r="F730" s="28" t="s">
        <v>35</v>
      </c>
      <c r="G730" s="28" t="s">
        <v>35</v>
      </c>
      <c r="H730" s="29" t="s">
        <v>560</v>
      </c>
      <c r="I730" s="29" t="s">
        <v>560</v>
      </c>
      <c r="J730" s="29" t="s">
        <v>1662</v>
      </c>
      <c r="K730" s="29" t="s">
        <v>1662</v>
      </c>
      <c r="L730" s="29" t="s">
        <v>1663</v>
      </c>
      <c r="M730" s="29" t="s">
        <v>1665</v>
      </c>
      <c r="N730" s="29" t="s">
        <v>1518</v>
      </c>
      <c r="O730" s="29" t="s">
        <v>594</v>
      </c>
    </row>
    <row r="731" spans="1:15">
      <c r="A731" s="25">
        <v>5935</v>
      </c>
      <c r="B731" s="33" t="s">
        <v>1666</v>
      </c>
      <c r="C731" s="27" t="s">
        <v>521</v>
      </c>
      <c r="D731" s="27" t="s">
        <v>713</v>
      </c>
      <c r="E731" s="28">
        <v>39129</v>
      </c>
      <c r="F731" s="28" t="s">
        <v>35</v>
      </c>
      <c r="G731" s="28" t="s">
        <v>35</v>
      </c>
      <c r="H731" s="29" t="s">
        <v>560</v>
      </c>
      <c r="I731" s="29" t="s">
        <v>560</v>
      </c>
      <c r="J731" s="29" t="s">
        <v>1662</v>
      </c>
      <c r="K731" s="29" t="s">
        <v>1662</v>
      </c>
      <c r="L731" s="29" t="s">
        <v>1663</v>
      </c>
      <c r="M731" s="29" t="s">
        <v>1513</v>
      </c>
      <c r="N731" s="29" t="s">
        <v>1514</v>
      </c>
      <c r="O731" s="29" t="s">
        <v>594</v>
      </c>
    </row>
    <row r="732" spans="1:15">
      <c r="A732" s="25">
        <v>9462</v>
      </c>
      <c r="B732" s="26" t="s">
        <v>1667</v>
      </c>
      <c r="C732" s="27" t="s">
        <v>521</v>
      </c>
      <c r="D732" s="27" t="s">
        <v>658</v>
      </c>
      <c r="E732" s="28">
        <v>40148</v>
      </c>
      <c r="F732" s="28" t="s">
        <v>35</v>
      </c>
      <c r="G732" s="28" t="s">
        <v>35</v>
      </c>
      <c r="H732" s="25" t="s">
        <v>560</v>
      </c>
      <c r="I732" s="31" t="s">
        <v>560</v>
      </c>
      <c r="J732" s="29" t="s">
        <v>1662</v>
      </c>
      <c r="K732" s="29" t="s">
        <v>1662</v>
      </c>
      <c r="L732" s="29" t="s">
        <v>1663</v>
      </c>
      <c r="M732" s="29" t="s">
        <v>1668</v>
      </c>
      <c r="N732" s="29" t="s">
        <v>1518</v>
      </c>
      <c r="O732" s="29" t="s">
        <v>594</v>
      </c>
    </row>
    <row r="733" spans="1:15">
      <c r="A733" s="25">
        <v>9579</v>
      </c>
      <c r="B733" s="26" t="s">
        <v>1669</v>
      </c>
      <c r="C733" s="27" t="s">
        <v>521</v>
      </c>
      <c r="D733" s="27" t="s">
        <v>1598</v>
      </c>
      <c r="E733" s="28">
        <v>40179</v>
      </c>
      <c r="F733" s="28" t="s">
        <v>35</v>
      </c>
      <c r="G733" s="28" t="s">
        <v>35</v>
      </c>
      <c r="H733" s="29" t="s">
        <v>560</v>
      </c>
      <c r="I733" s="31" t="s">
        <v>560</v>
      </c>
      <c r="J733" s="29" t="s">
        <v>1662</v>
      </c>
      <c r="K733" s="29" t="s">
        <v>1662</v>
      </c>
      <c r="L733" s="29" t="s">
        <v>1663</v>
      </c>
      <c r="M733" s="29" t="s">
        <v>1670</v>
      </c>
      <c r="N733" s="29" t="s">
        <v>1518</v>
      </c>
      <c r="O733" s="29" t="s">
        <v>594</v>
      </c>
    </row>
    <row r="734" spans="1:15">
      <c r="A734" s="25">
        <v>10541</v>
      </c>
      <c r="B734" s="34" t="s">
        <v>1671</v>
      </c>
      <c r="C734" s="31" t="s">
        <v>521</v>
      </c>
      <c r="D734" s="31" t="s">
        <v>1672</v>
      </c>
      <c r="E734" s="28">
        <v>40542</v>
      </c>
      <c r="F734" s="28" t="s">
        <v>35</v>
      </c>
      <c r="G734" s="28" t="s">
        <v>35</v>
      </c>
      <c r="H734" s="29" t="s">
        <v>560</v>
      </c>
      <c r="I734" s="29" t="s">
        <v>560</v>
      </c>
      <c r="J734" s="29" t="s">
        <v>1662</v>
      </c>
      <c r="K734" s="29" t="s">
        <v>1662</v>
      </c>
      <c r="L734" s="29" t="s">
        <v>1663</v>
      </c>
      <c r="M734" s="29" t="s">
        <v>1673</v>
      </c>
      <c r="N734" s="29" t="s">
        <v>1518</v>
      </c>
      <c r="O734" s="29" t="s">
        <v>594</v>
      </c>
    </row>
    <row r="735" spans="1:15">
      <c r="A735" s="25">
        <v>11965</v>
      </c>
      <c r="B735" s="26" t="s">
        <v>265</v>
      </c>
      <c r="C735" s="27" t="s">
        <v>521</v>
      </c>
      <c r="D735" s="27" t="s">
        <v>699</v>
      </c>
      <c r="E735" s="28">
        <v>40770</v>
      </c>
      <c r="F735" s="28" t="s">
        <v>35</v>
      </c>
      <c r="G735" s="28" t="s">
        <v>35</v>
      </c>
      <c r="H735" s="29" t="s">
        <v>560</v>
      </c>
      <c r="I735" s="29" t="s">
        <v>560</v>
      </c>
      <c r="J735" s="29" t="s">
        <v>1662</v>
      </c>
      <c r="K735" s="29" t="s">
        <v>1662</v>
      </c>
      <c r="L735" s="29" t="s">
        <v>1663</v>
      </c>
      <c r="M735" s="29" t="s">
        <v>1674</v>
      </c>
      <c r="N735" s="29" t="s">
        <v>1518</v>
      </c>
      <c r="O735" s="29" t="s">
        <v>594</v>
      </c>
    </row>
    <row r="736" spans="1:15">
      <c r="A736" s="25">
        <v>21149</v>
      </c>
      <c r="B736" s="26" t="s">
        <v>1675</v>
      </c>
      <c r="C736" s="27" t="s">
        <v>521</v>
      </c>
      <c r="D736" s="27" t="s">
        <v>1676</v>
      </c>
      <c r="E736" s="28">
        <v>42871</v>
      </c>
      <c r="F736" s="28">
        <v>43374</v>
      </c>
      <c r="G736" s="28">
        <v>43738</v>
      </c>
      <c r="H736" s="25" t="s">
        <v>560</v>
      </c>
      <c r="I736" s="31" t="s">
        <v>560</v>
      </c>
      <c r="J736" s="29" t="s">
        <v>1662</v>
      </c>
      <c r="K736" s="29" t="s">
        <v>1662</v>
      </c>
      <c r="L736" s="29" t="s">
        <v>1663</v>
      </c>
      <c r="M736" s="29" t="s">
        <v>1513</v>
      </c>
      <c r="N736" s="29" t="s">
        <v>1514</v>
      </c>
      <c r="O736" s="29" t="s">
        <v>594</v>
      </c>
    </row>
    <row r="737" spans="1:15">
      <c r="A737" s="25">
        <v>21626</v>
      </c>
      <c r="B737" s="34" t="s">
        <v>1677</v>
      </c>
      <c r="C737" s="31" t="s">
        <v>521</v>
      </c>
      <c r="D737" s="31" t="s">
        <v>1603</v>
      </c>
      <c r="E737" s="28">
        <v>43048</v>
      </c>
      <c r="F737" s="28">
        <v>43435</v>
      </c>
      <c r="G737" s="28">
        <v>43799</v>
      </c>
      <c r="H737" s="29" t="s">
        <v>560</v>
      </c>
      <c r="I737" s="29" t="s">
        <v>560</v>
      </c>
      <c r="J737" s="29" t="s">
        <v>1662</v>
      </c>
      <c r="K737" s="29" t="s">
        <v>1662</v>
      </c>
      <c r="L737" s="29" t="s">
        <v>1663</v>
      </c>
      <c r="M737" s="29" t="s">
        <v>1513</v>
      </c>
      <c r="N737" s="29" t="s">
        <v>1514</v>
      </c>
      <c r="O737" s="29" t="s">
        <v>594</v>
      </c>
    </row>
    <row r="738" spans="1:15">
      <c r="A738" s="25">
        <v>23105</v>
      </c>
      <c r="B738" s="34" t="s">
        <v>1678</v>
      </c>
      <c r="C738" s="31" t="s">
        <v>521</v>
      </c>
      <c r="D738" s="31" t="s">
        <v>1523</v>
      </c>
      <c r="E738" s="28">
        <v>43369</v>
      </c>
      <c r="F738" s="28">
        <v>43399</v>
      </c>
      <c r="G738" s="28">
        <v>43769</v>
      </c>
      <c r="H738" s="29" t="s">
        <v>560</v>
      </c>
      <c r="I738" s="29" t="s">
        <v>560</v>
      </c>
      <c r="J738" s="29" t="s">
        <v>1662</v>
      </c>
      <c r="K738" s="29" t="s">
        <v>1662</v>
      </c>
      <c r="L738" s="29" t="s">
        <v>1663</v>
      </c>
      <c r="M738" s="29" t="s">
        <v>1520</v>
      </c>
      <c r="N738" s="29" t="s">
        <v>1541</v>
      </c>
      <c r="O738" s="29" t="s">
        <v>594</v>
      </c>
    </row>
    <row r="739" spans="1:15">
      <c r="A739" s="25">
        <v>609</v>
      </c>
      <c r="B739" s="26" t="s">
        <v>1679</v>
      </c>
      <c r="C739" s="27" t="s">
        <v>521</v>
      </c>
      <c r="D739" s="27" t="s">
        <v>783</v>
      </c>
      <c r="E739" s="28">
        <v>37781</v>
      </c>
      <c r="F739" s="28" t="s">
        <v>35</v>
      </c>
      <c r="G739" s="28" t="s">
        <v>35</v>
      </c>
      <c r="H739" s="29" t="s">
        <v>560</v>
      </c>
      <c r="I739" s="31" t="s">
        <v>560</v>
      </c>
      <c r="J739" s="29" t="s">
        <v>1662</v>
      </c>
      <c r="K739" s="29" t="s">
        <v>1662</v>
      </c>
      <c r="L739" s="29" t="s">
        <v>1663</v>
      </c>
      <c r="M739" s="29" t="s">
        <v>1668</v>
      </c>
      <c r="N739" s="29" t="s">
        <v>1518</v>
      </c>
      <c r="O739" s="29" t="s">
        <v>590</v>
      </c>
    </row>
    <row r="740" spans="1:15">
      <c r="A740" s="25">
        <v>5797</v>
      </c>
      <c r="B740" s="26" t="s">
        <v>1680</v>
      </c>
      <c r="C740" s="27" t="s">
        <v>521</v>
      </c>
      <c r="D740" s="27" t="s">
        <v>794</v>
      </c>
      <c r="E740" s="28">
        <v>39114</v>
      </c>
      <c r="F740" s="28" t="s">
        <v>35</v>
      </c>
      <c r="G740" s="28" t="s">
        <v>35</v>
      </c>
      <c r="H740" s="29" t="s">
        <v>560</v>
      </c>
      <c r="I740" s="29" t="s">
        <v>560</v>
      </c>
      <c r="J740" s="29" t="s">
        <v>1662</v>
      </c>
      <c r="K740" s="29" t="s">
        <v>1662</v>
      </c>
      <c r="L740" s="29" t="s">
        <v>1663</v>
      </c>
      <c r="M740" s="29" t="s">
        <v>1674</v>
      </c>
      <c r="N740" s="29" t="s">
        <v>1518</v>
      </c>
      <c r="O740" s="29" t="s">
        <v>590</v>
      </c>
    </row>
    <row r="741" spans="1:15">
      <c r="A741" s="25">
        <v>12285</v>
      </c>
      <c r="B741" s="26" t="s">
        <v>1681</v>
      </c>
      <c r="C741" s="27" t="s">
        <v>521</v>
      </c>
      <c r="D741" s="27" t="s">
        <v>817</v>
      </c>
      <c r="E741" s="28">
        <v>40805</v>
      </c>
      <c r="F741" s="28" t="s">
        <v>35</v>
      </c>
      <c r="G741" s="28" t="s">
        <v>35</v>
      </c>
      <c r="H741" s="29" t="s">
        <v>560</v>
      </c>
      <c r="I741" s="29" t="s">
        <v>560</v>
      </c>
      <c r="J741" s="29" t="s">
        <v>1662</v>
      </c>
      <c r="K741" s="29" t="s">
        <v>1662</v>
      </c>
      <c r="L741" s="29" t="s">
        <v>1663</v>
      </c>
      <c r="M741" s="29" t="s">
        <v>1513</v>
      </c>
      <c r="N741" s="29" t="s">
        <v>1514</v>
      </c>
      <c r="O741" s="29" t="s">
        <v>590</v>
      </c>
    </row>
    <row r="742" spans="1:15">
      <c r="A742" s="25">
        <v>20507</v>
      </c>
      <c r="B742" s="26" t="s">
        <v>1682</v>
      </c>
      <c r="C742" s="27" t="s">
        <v>521</v>
      </c>
      <c r="D742" s="27" t="s">
        <v>1644</v>
      </c>
      <c r="E742" s="28">
        <v>42634</v>
      </c>
      <c r="F742" s="28">
        <v>43132</v>
      </c>
      <c r="G742" s="28">
        <v>43496</v>
      </c>
      <c r="H742" s="27" t="s">
        <v>560</v>
      </c>
      <c r="I742" s="27" t="s">
        <v>560</v>
      </c>
      <c r="J742" s="29" t="s">
        <v>1662</v>
      </c>
      <c r="K742" s="29" t="s">
        <v>1662</v>
      </c>
      <c r="L742" s="29" t="s">
        <v>1663</v>
      </c>
      <c r="M742" s="29" t="s">
        <v>1513</v>
      </c>
      <c r="N742" s="29" t="s">
        <v>1514</v>
      </c>
      <c r="O742" s="29" t="s">
        <v>590</v>
      </c>
    </row>
    <row r="743" spans="1:15">
      <c r="A743" s="25">
        <v>20794</v>
      </c>
      <c r="B743" s="26" t="s">
        <v>1683</v>
      </c>
      <c r="C743" s="27" t="s">
        <v>521</v>
      </c>
      <c r="D743" s="27" t="s">
        <v>1684</v>
      </c>
      <c r="E743" s="28">
        <v>42649</v>
      </c>
      <c r="F743" s="28">
        <v>43132</v>
      </c>
      <c r="G743" s="28">
        <v>43496</v>
      </c>
      <c r="H743" s="29" t="s">
        <v>560</v>
      </c>
      <c r="I743" s="29" t="s">
        <v>560</v>
      </c>
      <c r="J743" s="29" t="s">
        <v>1662</v>
      </c>
      <c r="K743" s="29" t="s">
        <v>1662</v>
      </c>
      <c r="L743" s="29" t="s">
        <v>1663</v>
      </c>
      <c r="M743" s="29" t="s">
        <v>1513</v>
      </c>
      <c r="N743" s="29" t="s">
        <v>1514</v>
      </c>
      <c r="O743" s="29" t="s">
        <v>590</v>
      </c>
    </row>
    <row r="744" spans="1:15">
      <c r="A744" s="25">
        <v>21117</v>
      </c>
      <c r="B744" s="26" t="s">
        <v>1685</v>
      </c>
      <c r="C744" s="27" t="s">
        <v>521</v>
      </c>
      <c r="D744" s="27" t="s">
        <v>1686</v>
      </c>
      <c r="E744" s="28">
        <v>42867</v>
      </c>
      <c r="F744" s="28">
        <v>43344</v>
      </c>
      <c r="G744" s="28">
        <v>43708</v>
      </c>
      <c r="H744" s="25" t="s">
        <v>560</v>
      </c>
      <c r="I744" s="31" t="s">
        <v>560</v>
      </c>
      <c r="J744" s="29" t="s">
        <v>1662</v>
      </c>
      <c r="K744" s="29" t="s">
        <v>1662</v>
      </c>
      <c r="L744" s="29" t="s">
        <v>1663</v>
      </c>
      <c r="M744" s="29" t="s">
        <v>1670</v>
      </c>
      <c r="N744" s="29" t="s">
        <v>1518</v>
      </c>
      <c r="O744" s="29" t="s">
        <v>590</v>
      </c>
    </row>
    <row r="745" spans="1:15">
      <c r="A745" s="25">
        <v>21161</v>
      </c>
      <c r="B745" s="26" t="s">
        <v>1687</v>
      </c>
      <c r="C745" s="27" t="s">
        <v>521</v>
      </c>
      <c r="D745" s="27" t="s">
        <v>1676</v>
      </c>
      <c r="E745" s="28">
        <v>42871</v>
      </c>
      <c r="F745" s="28">
        <v>43374</v>
      </c>
      <c r="G745" s="28">
        <v>43738</v>
      </c>
      <c r="H745" s="25" t="s">
        <v>560</v>
      </c>
      <c r="I745" s="31" t="s">
        <v>560</v>
      </c>
      <c r="J745" s="29" t="s">
        <v>1662</v>
      </c>
      <c r="K745" s="29" t="s">
        <v>1662</v>
      </c>
      <c r="L745" s="29" t="s">
        <v>1663</v>
      </c>
      <c r="M745" s="29" t="s">
        <v>1673</v>
      </c>
      <c r="N745" s="29" t="s">
        <v>1518</v>
      </c>
      <c r="O745" s="29" t="s">
        <v>590</v>
      </c>
    </row>
    <row r="746" spans="1:15">
      <c r="A746" s="25">
        <v>21793</v>
      </c>
      <c r="B746" s="34" t="s">
        <v>1688</v>
      </c>
      <c r="C746" s="31" t="s">
        <v>521</v>
      </c>
      <c r="D746" s="31" t="s">
        <v>1609</v>
      </c>
      <c r="E746" s="28">
        <v>43090</v>
      </c>
      <c r="F746" s="28">
        <v>43121</v>
      </c>
      <c r="G746" s="28">
        <v>43496</v>
      </c>
      <c r="H746" s="29" t="s">
        <v>560</v>
      </c>
      <c r="I746" s="29" t="s">
        <v>560</v>
      </c>
      <c r="J746" s="29" t="s">
        <v>1662</v>
      </c>
      <c r="K746" s="29" t="s">
        <v>1662</v>
      </c>
      <c r="L746" s="29" t="s">
        <v>1663</v>
      </c>
      <c r="M746" s="29" t="s">
        <v>1665</v>
      </c>
      <c r="N746" s="29" t="s">
        <v>1518</v>
      </c>
      <c r="O746" s="29" t="s">
        <v>590</v>
      </c>
    </row>
    <row r="747" spans="1:15">
      <c r="A747" s="25">
        <v>21972</v>
      </c>
      <c r="B747" s="34" t="s">
        <v>1689</v>
      </c>
      <c r="C747" s="31" t="s">
        <v>521</v>
      </c>
      <c r="D747" s="31" t="s">
        <v>1573</v>
      </c>
      <c r="E747" s="28">
        <v>43116</v>
      </c>
      <c r="F747" s="28">
        <v>43147</v>
      </c>
      <c r="G747" s="28">
        <v>43524</v>
      </c>
      <c r="H747" s="29" t="s">
        <v>560</v>
      </c>
      <c r="I747" s="29" t="s">
        <v>560</v>
      </c>
      <c r="J747" s="29" t="s">
        <v>1662</v>
      </c>
      <c r="K747" s="29" t="s">
        <v>1662</v>
      </c>
      <c r="L747" s="29" t="s">
        <v>1663</v>
      </c>
      <c r="M747" s="29" t="s">
        <v>1513</v>
      </c>
      <c r="N747" s="29" t="s">
        <v>1514</v>
      </c>
      <c r="O747" s="29" t="s">
        <v>590</v>
      </c>
    </row>
    <row r="748" spans="1:15">
      <c r="A748" s="25">
        <v>22158</v>
      </c>
      <c r="B748" s="34" t="s">
        <v>1690</v>
      </c>
      <c r="C748" s="31" t="s">
        <v>521</v>
      </c>
      <c r="D748" s="31" t="s">
        <v>758</v>
      </c>
      <c r="E748" s="28">
        <v>43153</v>
      </c>
      <c r="F748" s="28">
        <v>43181</v>
      </c>
      <c r="G748" s="28">
        <v>43555</v>
      </c>
      <c r="H748" s="29" t="s">
        <v>560</v>
      </c>
      <c r="I748" s="29" t="s">
        <v>560</v>
      </c>
      <c r="J748" s="29" t="s">
        <v>1662</v>
      </c>
      <c r="K748" s="29" t="s">
        <v>1662</v>
      </c>
      <c r="L748" s="29" t="s">
        <v>1663</v>
      </c>
      <c r="M748" s="29" t="s">
        <v>1520</v>
      </c>
      <c r="N748" s="29" t="s">
        <v>1541</v>
      </c>
      <c r="O748" s="29" t="s">
        <v>590</v>
      </c>
    </row>
    <row r="749" spans="1:15">
      <c r="A749" s="25">
        <v>22855</v>
      </c>
      <c r="B749" s="34" t="s">
        <v>1691</v>
      </c>
      <c r="C749" s="31" t="s">
        <v>521</v>
      </c>
      <c r="D749" s="31" t="s">
        <v>775</v>
      </c>
      <c r="E749" s="28">
        <v>43333</v>
      </c>
      <c r="F749" s="28">
        <v>43364</v>
      </c>
      <c r="G749" s="28">
        <v>43738</v>
      </c>
      <c r="H749" s="29" t="s">
        <v>560</v>
      </c>
      <c r="I749" s="29" t="s">
        <v>560</v>
      </c>
      <c r="J749" s="29" t="s">
        <v>1662</v>
      </c>
      <c r="K749" s="29" t="s">
        <v>1662</v>
      </c>
      <c r="L749" s="29" t="s">
        <v>1663</v>
      </c>
      <c r="M749" s="29" t="s">
        <v>1692</v>
      </c>
      <c r="N749" s="29" t="s">
        <v>659</v>
      </c>
      <c r="O749" s="29" t="s">
        <v>590</v>
      </c>
    </row>
    <row r="750" spans="1:15">
      <c r="A750" s="25">
        <v>317</v>
      </c>
      <c r="B750" s="26" t="s">
        <v>1693</v>
      </c>
      <c r="C750" s="27" t="s">
        <v>521</v>
      </c>
      <c r="D750" s="27" t="s">
        <v>705</v>
      </c>
      <c r="E750" s="28">
        <v>37725</v>
      </c>
      <c r="F750" s="28" t="s">
        <v>35</v>
      </c>
      <c r="G750" s="28" t="s">
        <v>35</v>
      </c>
      <c r="H750" s="29" t="s">
        <v>560</v>
      </c>
      <c r="I750" s="29" t="s">
        <v>560</v>
      </c>
      <c r="J750" s="29" t="s">
        <v>1694</v>
      </c>
      <c r="K750" s="29" t="s">
        <v>1694</v>
      </c>
      <c r="L750" s="29" t="s">
        <v>1695</v>
      </c>
      <c r="M750" s="29" t="s">
        <v>1513</v>
      </c>
      <c r="N750" s="29" t="s">
        <v>1514</v>
      </c>
      <c r="O750" s="29" t="s">
        <v>594</v>
      </c>
    </row>
    <row r="751" spans="1:15">
      <c r="A751" s="25">
        <v>5493</v>
      </c>
      <c r="B751" s="26" t="s">
        <v>1696</v>
      </c>
      <c r="C751" s="27" t="s">
        <v>521</v>
      </c>
      <c r="D751" s="27" t="s">
        <v>792</v>
      </c>
      <c r="E751" s="28">
        <v>39022</v>
      </c>
      <c r="F751" s="28" t="s">
        <v>35</v>
      </c>
      <c r="G751" s="28" t="s">
        <v>35</v>
      </c>
      <c r="H751" s="29" t="s">
        <v>560</v>
      </c>
      <c r="I751" s="29" t="s">
        <v>560</v>
      </c>
      <c r="J751" s="29" t="s">
        <v>1694</v>
      </c>
      <c r="K751" s="29" t="s">
        <v>1694</v>
      </c>
      <c r="L751" s="29" t="s">
        <v>1695</v>
      </c>
      <c r="M751" s="29" t="s">
        <v>1513</v>
      </c>
      <c r="N751" s="29" t="s">
        <v>1514</v>
      </c>
      <c r="O751" s="29" t="s">
        <v>594</v>
      </c>
    </row>
    <row r="752" spans="1:15">
      <c r="A752" s="25">
        <v>6034</v>
      </c>
      <c r="B752" s="26" t="s">
        <v>1697</v>
      </c>
      <c r="C752" s="27" t="s">
        <v>521</v>
      </c>
      <c r="D752" s="27" t="s">
        <v>591</v>
      </c>
      <c r="E752" s="28">
        <v>39142</v>
      </c>
      <c r="F752" s="28" t="s">
        <v>35</v>
      </c>
      <c r="G752" s="28" t="s">
        <v>35</v>
      </c>
      <c r="H752" s="29" t="s">
        <v>560</v>
      </c>
      <c r="I752" s="29" t="s">
        <v>560</v>
      </c>
      <c r="J752" s="29" t="s">
        <v>1694</v>
      </c>
      <c r="K752" s="29" t="s">
        <v>1694</v>
      </c>
      <c r="L752" s="29" t="s">
        <v>1695</v>
      </c>
      <c r="M752" s="29" t="s">
        <v>1513</v>
      </c>
      <c r="N752" s="29" t="s">
        <v>1514</v>
      </c>
      <c r="O752" s="29" t="s">
        <v>594</v>
      </c>
    </row>
    <row r="753" spans="1:15">
      <c r="A753" s="25">
        <v>8680</v>
      </c>
      <c r="B753" s="33" t="s">
        <v>1698</v>
      </c>
      <c r="C753" s="27" t="s">
        <v>521</v>
      </c>
      <c r="D753" s="27" t="s">
        <v>692</v>
      </c>
      <c r="E753" s="28">
        <v>39888</v>
      </c>
      <c r="F753" s="28" t="s">
        <v>35</v>
      </c>
      <c r="G753" s="28" t="s">
        <v>35</v>
      </c>
      <c r="H753" s="29" t="s">
        <v>560</v>
      </c>
      <c r="I753" s="29" t="s">
        <v>560</v>
      </c>
      <c r="J753" s="29" t="s">
        <v>1694</v>
      </c>
      <c r="K753" s="29" t="s">
        <v>1694</v>
      </c>
      <c r="L753" s="29" t="s">
        <v>1695</v>
      </c>
      <c r="M753" s="29" t="s">
        <v>1513</v>
      </c>
      <c r="N753" s="29" t="s">
        <v>1514</v>
      </c>
      <c r="O753" s="29" t="s">
        <v>594</v>
      </c>
    </row>
    <row r="754" spans="1:15">
      <c r="A754" s="25">
        <v>9319</v>
      </c>
      <c r="B754" s="33" t="s">
        <v>1699</v>
      </c>
      <c r="C754" s="27" t="s">
        <v>521</v>
      </c>
      <c r="D754" s="27" t="s">
        <v>658</v>
      </c>
      <c r="E754" s="28">
        <v>40148</v>
      </c>
      <c r="F754" s="28" t="s">
        <v>35</v>
      </c>
      <c r="G754" s="28" t="s">
        <v>35</v>
      </c>
      <c r="H754" s="29" t="s">
        <v>560</v>
      </c>
      <c r="I754" s="29" t="s">
        <v>560</v>
      </c>
      <c r="J754" s="29" t="s">
        <v>1694</v>
      </c>
      <c r="K754" s="29" t="s">
        <v>1694</v>
      </c>
      <c r="L754" s="29" t="s">
        <v>1695</v>
      </c>
      <c r="M754" s="29" t="s">
        <v>1513</v>
      </c>
      <c r="N754" s="29" t="s">
        <v>1514</v>
      </c>
      <c r="O754" s="29" t="s">
        <v>594</v>
      </c>
    </row>
    <row r="755" spans="1:15">
      <c r="A755" s="25">
        <v>10136</v>
      </c>
      <c r="B755" s="34" t="s">
        <v>1700</v>
      </c>
      <c r="C755" s="31" t="s">
        <v>521</v>
      </c>
      <c r="D755" s="31" t="s">
        <v>601</v>
      </c>
      <c r="E755" s="28">
        <v>40444</v>
      </c>
      <c r="F755" s="28" t="s">
        <v>35</v>
      </c>
      <c r="G755" s="28" t="s">
        <v>35</v>
      </c>
      <c r="H755" s="29" t="s">
        <v>560</v>
      </c>
      <c r="I755" s="29" t="s">
        <v>560</v>
      </c>
      <c r="J755" s="29" t="s">
        <v>1694</v>
      </c>
      <c r="K755" s="29" t="s">
        <v>1694</v>
      </c>
      <c r="L755" s="29" t="s">
        <v>1695</v>
      </c>
      <c r="M755" s="29" t="s">
        <v>1513</v>
      </c>
      <c r="N755" s="29" t="s">
        <v>1514</v>
      </c>
      <c r="O755" s="29" t="s">
        <v>594</v>
      </c>
    </row>
    <row r="756" spans="1:15">
      <c r="A756" s="25">
        <v>20989</v>
      </c>
      <c r="B756" s="26" t="s">
        <v>298</v>
      </c>
      <c r="C756" s="27" t="s">
        <v>521</v>
      </c>
      <c r="D756" s="27" t="s">
        <v>1184</v>
      </c>
      <c r="E756" s="28">
        <v>42674</v>
      </c>
      <c r="F756" s="28">
        <v>43160</v>
      </c>
      <c r="G756" s="28">
        <v>43524</v>
      </c>
      <c r="H756" s="29" t="s">
        <v>560</v>
      </c>
      <c r="I756" s="29" t="s">
        <v>560</v>
      </c>
      <c r="J756" s="29" t="s">
        <v>1694</v>
      </c>
      <c r="K756" s="29" t="s">
        <v>1694</v>
      </c>
      <c r="L756" s="29" t="s">
        <v>1695</v>
      </c>
      <c r="M756" s="29" t="s">
        <v>1513</v>
      </c>
      <c r="N756" s="29" t="s">
        <v>1514</v>
      </c>
      <c r="O756" s="29" t="s">
        <v>594</v>
      </c>
    </row>
    <row r="757" spans="1:15">
      <c r="A757" s="25">
        <v>21297</v>
      </c>
      <c r="B757" s="34" t="s">
        <v>1701</v>
      </c>
      <c r="C757" s="31" t="s">
        <v>521</v>
      </c>
      <c r="D757" s="31" t="s">
        <v>1595</v>
      </c>
      <c r="E757" s="28">
        <v>43010</v>
      </c>
      <c r="F757" s="28">
        <v>43405</v>
      </c>
      <c r="G757" s="28">
        <v>43769</v>
      </c>
      <c r="H757" s="29" t="s">
        <v>560</v>
      </c>
      <c r="I757" s="29" t="s">
        <v>560</v>
      </c>
      <c r="J757" s="29" t="s">
        <v>1694</v>
      </c>
      <c r="K757" s="29" t="s">
        <v>1694</v>
      </c>
      <c r="L757" s="29" t="s">
        <v>1695</v>
      </c>
      <c r="M757" s="29" t="s">
        <v>1513</v>
      </c>
      <c r="N757" s="29" t="s">
        <v>1514</v>
      </c>
      <c r="O757" s="29" t="s">
        <v>594</v>
      </c>
    </row>
    <row r="758" spans="1:15">
      <c r="A758" s="25">
        <v>21802</v>
      </c>
      <c r="B758" s="34" t="s">
        <v>265</v>
      </c>
      <c r="C758" s="31" t="s">
        <v>521</v>
      </c>
      <c r="D758" s="31" t="s">
        <v>1609</v>
      </c>
      <c r="E758" s="28">
        <v>43090</v>
      </c>
      <c r="F758" s="28">
        <v>43121</v>
      </c>
      <c r="G758" s="28">
        <v>43496</v>
      </c>
      <c r="H758" s="29" t="s">
        <v>560</v>
      </c>
      <c r="I758" s="29" t="s">
        <v>560</v>
      </c>
      <c r="J758" s="29" t="s">
        <v>1694</v>
      </c>
      <c r="K758" s="29" t="s">
        <v>1694</v>
      </c>
      <c r="L758" s="29" t="s">
        <v>1695</v>
      </c>
      <c r="M758" s="29" t="s">
        <v>1513</v>
      </c>
      <c r="N758" s="29" t="s">
        <v>1514</v>
      </c>
      <c r="O758" s="29" t="s">
        <v>594</v>
      </c>
    </row>
    <row r="759" spans="1:15">
      <c r="A759" s="25">
        <v>22435</v>
      </c>
      <c r="B759" s="34" t="s">
        <v>1702</v>
      </c>
      <c r="C759" s="31" t="s">
        <v>521</v>
      </c>
      <c r="D759" s="31" t="s">
        <v>805</v>
      </c>
      <c r="E759" s="28">
        <v>43213</v>
      </c>
      <c r="F759" s="28">
        <v>43243</v>
      </c>
      <c r="G759" s="28">
        <v>43616</v>
      </c>
      <c r="H759" s="29" t="s">
        <v>560</v>
      </c>
      <c r="I759" s="29" t="s">
        <v>560</v>
      </c>
      <c r="J759" s="29" t="s">
        <v>1694</v>
      </c>
      <c r="K759" s="29" t="s">
        <v>1694</v>
      </c>
      <c r="L759" s="29" t="s">
        <v>1695</v>
      </c>
      <c r="M759" s="29" t="s">
        <v>1513</v>
      </c>
      <c r="N759" s="29" t="s">
        <v>1514</v>
      </c>
      <c r="O759" s="29" t="s">
        <v>594</v>
      </c>
    </row>
    <row r="760" spans="1:15">
      <c r="A760" s="25">
        <v>22869</v>
      </c>
      <c r="B760" s="34" t="s">
        <v>1703</v>
      </c>
      <c r="C760" s="31" t="s">
        <v>521</v>
      </c>
      <c r="D760" s="31" t="s">
        <v>775</v>
      </c>
      <c r="E760" s="28">
        <v>43333</v>
      </c>
      <c r="F760" s="28">
        <v>43364</v>
      </c>
      <c r="G760" s="28">
        <v>43738</v>
      </c>
      <c r="H760" s="29" t="s">
        <v>560</v>
      </c>
      <c r="I760" s="29" t="s">
        <v>560</v>
      </c>
      <c r="J760" s="29" t="s">
        <v>1694</v>
      </c>
      <c r="K760" s="29" t="s">
        <v>1694</v>
      </c>
      <c r="L760" s="29" t="s">
        <v>1695</v>
      </c>
      <c r="M760" s="29" t="s">
        <v>1513</v>
      </c>
      <c r="N760" s="29" t="s">
        <v>1514</v>
      </c>
      <c r="O760" s="29" t="s">
        <v>594</v>
      </c>
    </row>
    <row r="761" spans="1:15">
      <c r="A761" s="25" t="s">
        <v>1704</v>
      </c>
      <c r="B761" s="26" t="s">
        <v>1705</v>
      </c>
      <c r="C761" s="27" t="s">
        <v>521</v>
      </c>
      <c r="D761" s="27" t="s">
        <v>1706</v>
      </c>
      <c r="E761" s="28">
        <v>41435</v>
      </c>
      <c r="F761" s="28" t="s">
        <v>35</v>
      </c>
      <c r="G761" s="28" t="s">
        <v>35</v>
      </c>
      <c r="H761" s="29" t="s">
        <v>560</v>
      </c>
      <c r="I761" s="29" t="s">
        <v>560</v>
      </c>
      <c r="J761" s="29" t="s">
        <v>1694</v>
      </c>
      <c r="K761" s="29" t="s">
        <v>1694</v>
      </c>
      <c r="L761" s="29" t="s">
        <v>1695</v>
      </c>
      <c r="M761" s="29" t="s">
        <v>1513</v>
      </c>
      <c r="N761" s="29" t="s">
        <v>1514</v>
      </c>
      <c r="O761" s="29" t="s">
        <v>594</v>
      </c>
    </row>
    <row r="762" spans="1:15">
      <c r="A762" s="25">
        <v>329</v>
      </c>
      <c r="B762" s="26" t="s">
        <v>1707</v>
      </c>
      <c r="C762" s="27" t="s">
        <v>521</v>
      </c>
      <c r="D762" s="27" t="s">
        <v>705</v>
      </c>
      <c r="E762" s="28">
        <v>37725</v>
      </c>
      <c r="F762" s="28" t="s">
        <v>35</v>
      </c>
      <c r="G762" s="28" t="s">
        <v>35</v>
      </c>
      <c r="H762" s="29" t="s">
        <v>560</v>
      </c>
      <c r="I762" s="29" t="s">
        <v>560</v>
      </c>
      <c r="J762" s="29" t="s">
        <v>1694</v>
      </c>
      <c r="K762" s="29" t="s">
        <v>1694</v>
      </c>
      <c r="L762" s="29" t="s">
        <v>1695</v>
      </c>
      <c r="M762" s="29" t="s">
        <v>1513</v>
      </c>
      <c r="N762" s="29" t="s">
        <v>1514</v>
      </c>
      <c r="O762" s="29" t="s">
        <v>590</v>
      </c>
    </row>
    <row r="763" spans="1:15">
      <c r="A763" s="25">
        <v>5803</v>
      </c>
      <c r="B763" s="26" t="s">
        <v>1708</v>
      </c>
      <c r="C763" s="27" t="s">
        <v>521</v>
      </c>
      <c r="D763" s="27" t="s">
        <v>794</v>
      </c>
      <c r="E763" s="28">
        <v>39114</v>
      </c>
      <c r="F763" s="28" t="s">
        <v>35</v>
      </c>
      <c r="G763" s="28" t="s">
        <v>35</v>
      </c>
      <c r="H763" s="29" t="s">
        <v>560</v>
      </c>
      <c r="I763" s="29" t="s">
        <v>560</v>
      </c>
      <c r="J763" s="29" t="s">
        <v>1694</v>
      </c>
      <c r="K763" s="29" t="s">
        <v>1694</v>
      </c>
      <c r="L763" s="29" t="s">
        <v>1695</v>
      </c>
      <c r="M763" s="29" t="s">
        <v>1513</v>
      </c>
      <c r="N763" s="29" t="s">
        <v>1514</v>
      </c>
      <c r="O763" s="29" t="s">
        <v>590</v>
      </c>
    </row>
    <row r="764" spans="1:15">
      <c r="A764" s="25">
        <v>5963</v>
      </c>
      <c r="B764" s="26" t="s">
        <v>1709</v>
      </c>
      <c r="C764" s="27" t="s">
        <v>521</v>
      </c>
      <c r="D764" s="27" t="s">
        <v>713</v>
      </c>
      <c r="E764" s="28">
        <v>39129</v>
      </c>
      <c r="F764" s="28" t="s">
        <v>35</v>
      </c>
      <c r="G764" s="28" t="s">
        <v>35</v>
      </c>
      <c r="H764" s="29" t="s">
        <v>560</v>
      </c>
      <c r="I764" s="29" t="s">
        <v>560</v>
      </c>
      <c r="J764" s="29" t="s">
        <v>1694</v>
      </c>
      <c r="K764" s="29" t="s">
        <v>1694</v>
      </c>
      <c r="L764" s="29" t="s">
        <v>1695</v>
      </c>
      <c r="M764" s="29" t="s">
        <v>1513</v>
      </c>
      <c r="N764" s="29" t="s">
        <v>1514</v>
      </c>
      <c r="O764" s="29" t="s">
        <v>590</v>
      </c>
    </row>
    <row r="765" spans="1:15">
      <c r="A765" s="25">
        <v>6163</v>
      </c>
      <c r="B765" s="26" t="s">
        <v>284</v>
      </c>
      <c r="C765" s="27" t="s">
        <v>521</v>
      </c>
      <c r="D765" s="27" t="s">
        <v>576</v>
      </c>
      <c r="E765" s="28">
        <v>39157</v>
      </c>
      <c r="F765" s="28" t="s">
        <v>35</v>
      </c>
      <c r="G765" s="28" t="s">
        <v>35</v>
      </c>
      <c r="H765" s="29" t="s">
        <v>560</v>
      </c>
      <c r="I765" s="29" t="s">
        <v>560</v>
      </c>
      <c r="J765" s="29" t="s">
        <v>1694</v>
      </c>
      <c r="K765" s="29" t="s">
        <v>1694</v>
      </c>
      <c r="L765" s="29" t="s">
        <v>1695</v>
      </c>
      <c r="M765" s="29" t="s">
        <v>1513</v>
      </c>
      <c r="N765" s="29" t="s">
        <v>1514</v>
      </c>
      <c r="O765" s="29" t="s">
        <v>590</v>
      </c>
    </row>
    <row r="766" spans="1:15">
      <c r="A766" s="25">
        <v>8819</v>
      </c>
      <c r="B766" s="26" t="s">
        <v>1710</v>
      </c>
      <c r="C766" s="27" t="s">
        <v>521</v>
      </c>
      <c r="D766" s="27" t="s">
        <v>813</v>
      </c>
      <c r="E766" s="28">
        <v>39937</v>
      </c>
      <c r="F766" s="28" t="s">
        <v>35</v>
      </c>
      <c r="G766" s="28" t="s">
        <v>35</v>
      </c>
      <c r="H766" s="29" t="s">
        <v>560</v>
      </c>
      <c r="I766" s="29" t="s">
        <v>560</v>
      </c>
      <c r="J766" s="29" t="s">
        <v>1694</v>
      </c>
      <c r="K766" s="29" t="s">
        <v>1694</v>
      </c>
      <c r="L766" s="29" t="s">
        <v>1695</v>
      </c>
      <c r="M766" s="29" t="s">
        <v>1513</v>
      </c>
      <c r="N766" s="29" t="s">
        <v>1514</v>
      </c>
      <c r="O766" s="29" t="s">
        <v>590</v>
      </c>
    </row>
    <row r="767" spans="1:15">
      <c r="A767" s="25">
        <v>9358</v>
      </c>
      <c r="B767" s="26" t="s">
        <v>1711</v>
      </c>
      <c r="C767" s="27" t="s">
        <v>521</v>
      </c>
      <c r="D767" s="27" t="s">
        <v>658</v>
      </c>
      <c r="E767" s="28">
        <v>40148</v>
      </c>
      <c r="F767" s="28" t="s">
        <v>35</v>
      </c>
      <c r="G767" s="28" t="s">
        <v>35</v>
      </c>
      <c r="H767" s="29" t="s">
        <v>560</v>
      </c>
      <c r="I767" s="29" t="s">
        <v>560</v>
      </c>
      <c r="J767" s="29" t="s">
        <v>1694</v>
      </c>
      <c r="K767" s="29" t="s">
        <v>1694</v>
      </c>
      <c r="L767" s="29" t="s">
        <v>1695</v>
      </c>
      <c r="M767" s="29" t="s">
        <v>1513</v>
      </c>
      <c r="N767" s="29" t="s">
        <v>1514</v>
      </c>
      <c r="O767" s="29" t="s">
        <v>590</v>
      </c>
    </row>
    <row r="768" spans="1:15">
      <c r="A768" s="25">
        <v>9521</v>
      </c>
      <c r="B768" s="26" t="s">
        <v>1712</v>
      </c>
      <c r="C768" s="27" t="s">
        <v>521</v>
      </c>
      <c r="D768" s="27" t="s">
        <v>658</v>
      </c>
      <c r="E768" s="28">
        <v>40148</v>
      </c>
      <c r="F768" s="28" t="s">
        <v>35</v>
      </c>
      <c r="G768" s="28" t="s">
        <v>35</v>
      </c>
      <c r="H768" s="29" t="s">
        <v>560</v>
      </c>
      <c r="I768" s="29" t="s">
        <v>560</v>
      </c>
      <c r="J768" s="29" t="s">
        <v>1694</v>
      </c>
      <c r="K768" s="29" t="s">
        <v>1694</v>
      </c>
      <c r="L768" s="29" t="s">
        <v>1695</v>
      </c>
      <c r="M768" s="29" t="s">
        <v>1513</v>
      </c>
      <c r="N768" s="29" t="s">
        <v>1514</v>
      </c>
      <c r="O768" s="29" t="s">
        <v>590</v>
      </c>
    </row>
    <row r="769" spans="1:15">
      <c r="A769" s="25">
        <v>9952</v>
      </c>
      <c r="B769" s="26" t="s">
        <v>1713</v>
      </c>
      <c r="C769" s="27" t="s">
        <v>521</v>
      </c>
      <c r="D769" s="27" t="s">
        <v>803</v>
      </c>
      <c r="E769" s="28">
        <v>40431</v>
      </c>
      <c r="F769" s="28" t="s">
        <v>35</v>
      </c>
      <c r="G769" s="28" t="s">
        <v>35</v>
      </c>
      <c r="H769" s="29" t="s">
        <v>560</v>
      </c>
      <c r="I769" s="29" t="s">
        <v>560</v>
      </c>
      <c r="J769" s="29" t="s">
        <v>1694</v>
      </c>
      <c r="K769" s="29" t="s">
        <v>1694</v>
      </c>
      <c r="L769" s="29" t="s">
        <v>1695</v>
      </c>
      <c r="M769" s="29" t="s">
        <v>1513</v>
      </c>
      <c r="N769" s="29" t="s">
        <v>1514</v>
      </c>
      <c r="O769" s="29" t="s">
        <v>590</v>
      </c>
    </row>
    <row r="770" spans="1:15">
      <c r="A770" s="25">
        <v>10319</v>
      </c>
      <c r="B770" s="34" t="s">
        <v>1714</v>
      </c>
      <c r="C770" s="31" t="s">
        <v>521</v>
      </c>
      <c r="D770" s="31" t="s">
        <v>825</v>
      </c>
      <c r="E770" s="28">
        <v>40511</v>
      </c>
      <c r="F770" s="28" t="s">
        <v>35</v>
      </c>
      <c r="G770" s="28" t="s">
        <v>35</v>
      </c>
      <c r="H770" s="29" t="s">
        <v>560</v>
      </c>
      <c r="I770" s="29" t="s">
        <v>560</v>
      </c>
      <c r="J770" s="29" t="s">
        <v>1694</v>
      </c>
      <c r="K770" s="29" t="s">
        <v>1694</v>
      </c>
      <c r="L770" s="29" t="s">
        <v>1695</v>
      </c>
      <c r="M770" s="29" t="s">
        <v>1513</v>
      </c>
      <c r="N770" s="29" t="s">
        <v>1514</v>
      </c>
      <c r="O770" s="29" t="s">
        <v>590</v>
      </c>
    </row>
    <row r="771" spans="1:15">
      <c r="A771" s="25">
        <v>10514</v>
      </c>
      <c r="B771" s="26" t="s">
        <v>1715</v>
      </c>
      <c r="C771" s="27" t="s">
        <v>521</v>
      </c>
      <c r="D771" s="27" t="s">
        <v>738</v>
      </c>
      <c r="E771" s="28">
        <v>40535</v>
      </c>
      <c r="F771" s="28" t="s">
        <v>35</v>
      </c>
      <c r="G771" s="28" t="s">
        <v>35</v>
      </c>
      <c r="H771" s="29" t="s">
        <v>560</v>
      </c>
      <c r="I771" s="29" t="s">
        <v>560</v>
      </c>
      <c r="J771" s="29" t="s">
        <v>1694</v>
      </c>
      <c r="K771" s="29" t="s">
        <v>1694</v>
      </c>
      <c r="L771" s="29" t="s">
        <v>1695</v>
      </c>
      <c r="M771" s="29" t="s">
        <v>1513</v>
      </c>
      <c r="N771" s="29" t="s">
        <v>1514</v>
      </c>
      <c r="O771" s="29" t="s">
        <v>590</v>
      </c>
    </row>
    <row r="772" spans="1:15">
      <c r="A772" s="25">
        <v>12462</v>
      </c>
      <c r="B772" s="34" t="s">
        <v>1716</v>
      </c>
      <c r="C772" s="31" t="s">
        <v>521</v>
      </c>
      <c r="D772" s="31" t="s">
        <v>722</v>
      </c>
      <c r="E772" s="28">
        <v>40812</v>
      </c>
      <c r="F772" s="28" t="s">
        <v>35</v>
      </c>
      <c r="G772" s="28" t="s">
        <v>35</v>
      </c>
      <c r="H772" s="29" t="s">
        <v>560</v>
      </c>
      <c r="I772" s="29" t="s">
        <v>560</v>
      </c>
      <c r="J772" s="29" t="s">
        <v>1694</v>
      </c>
      <c r="K772" s="29" t="s">
        <v>1694</v>
      </c>
      <c r="L772" s="29" t="s">
        <v>1695</v>
      </c>
      <c r="M772" s="29" t="s">
        <v>1513</v>
      </c>
      <c r="N772" s="29" t="s">
        <v>1514</v>
      </c>
      <c r="O772" s="29" t="s">
        <v>590</v>
      </c>
    </row>
    <row r="773" spans="1:15">
      <c r="A773" s="25">
        <v>21788</v>
      </c>
      <c r="B773" s="34" t="s">
        <v>1717</v>
      </c>
      <c r="C773" s="31" t="s">
        <v>521</v>
      </c>
      <c r="D773" s="31" t="s">
        <v>1609</v>
      </c>
      <c r="E773" s="28">
        <v>43090</v>
      </c>
      <c r="F773" s="28">
        <v>43121</v>
      </c>
      <c r="G773" s="28">
        <v>43496</v>
      </c>
      <c r="H773" s="29" t="s">
        <v>560</v>
      </c>
      <c r="I773" s="29" t="s">
        <v>560</v>
      </c>
      <c r="J773" s="29" t="s">
        <v>1694</v>
      </c>
      <c r="K773" s="29" t="s">
        <v>1694</v>
      </c>
      <c r="L773" s="29" t="s">
        <v>1695</v>
      </c>
      <c r="M773" s="29" t="s">
        <v>1513</v>
      </c>
      <c r="N773" s="29" t="s">
        <v>1514</v>
      </c>
      <c r="O773" s="29" t="s">
        <v>590</v>
      </c>
    </row>
    <row r="774" spans="1:15">
      <c r="A774" s="25">
        <v>22831</v>
      </c>
      <c r="B774" s="34" t="s">
        <v>1718</v>
      </c>
      <c r="C774" s="31" t="s">
        <v>521</v>
      </c>
      <c r="D774" s="31" t="s">
        <v>775</v>
      </c>
      <c r="E774" s="28">
        <v>43333</v>
      </c>
      <c r="F774" s="28">
        <v>43364</v>
      </c>
      <c r="G774" s="28">
        <v>43738</v>
      </c>
      <c r="H774" s="29" t="s">
        <v>560</v>
      </c>
      <c r="I774" s="29" t="s">
        <v>560</v>
      </c>
      <c r="J774" s="29" t="s">
        <v>1694</v>
      </c>
      <c r="K774" s="29" t="s">
        <v>1694</v>
      </c>
      <c r="L774" s="29" t="s">
        <v>1695</v>
      </c>
      <c r="M774" s="29" t="s">
        <v>1513</v>
      </c>
      <c r="N774" s="29" t="s">
        <v>1514</v>
      </c>
      <c r="O774" s="29" t="s">
        <v>590</v>
      </c>
    </row>
    <row r="775" spans="1:15">
      <c r="A775" s="25" t="s">
        <v>1719</v>
      </c>
      <c r="B775" s="34" t="s">
        <v>1720</v>
      </c>
      <c r="C775" s="31" t="s">
        <v>521</v>
      </c>
      <c r="D775" s="31" t="s">
        <v>778</v>
      </c>
      <c r="E775" s="28">
        <v>40854</v>
      </c>
      <c r="F775" s="28" t="s">
        <v>35</v>
      </c>
      <c r="G775" s="28" t="s">
        <v>35</v>
      </c>
      <c r="H775" s="29" t="s">
        <v>560</v>
      </c>
      <c r="I775" s="29" t="s">
        <v>560</v>
      </c>
      <c r="J775" s="29" t="s">
        <v>1694</v>
      </c>
      <c r="K775" s="29" t="s">
        <v>1694</v>
      </c>
      <c r="L775" s="29" t="s">
        <v>1695</v>
      </c>
      <c r="M775" s="29" t="s">
        <v>1513</v>
      </c>
      <c r="N775" s="29" t="s">
        <v>1514</v>
      </c>
      <c r="O775" s="29" t="s">
        <v>590</v>
      </c>
    </row>
    <row r="776" spans="1:15">
      <c r="A776" s="25">
        <v>4521</v>
      </c>
      <c r="B776" s="83" t="s">
        <v>1721</v>
      </c>
      <c r="C776" s="25" t="s">
        <v>521</v>
      </c>
      <c r="D776" s="25" t="s">
        <v>1722</v>
      </c>
      <c r="E776" s="28">
        <v>38789</v>
      </c>
      <c r="F776" s="28" t="s">
        <v>35</v>
      </c>
      <c r="G776" s="28" t="s">
        <v>35</v>
      </c>
      <c r="H776" s="29" t="s">
        <v>560</v>
      </c>
      <c r="I776" s="29" t="s">
        <v>560</v>
      </c>
      <c r="J776" s="29" t="s">
        <v>1694</v>
      </c>
      <c r="K776" s="29" t="s">
        <v>1694</v>
      </c>
      <c r="L776" s="29" t="s">
        <v>1723</v>
      </c>
      <c r="M776" s="29" t="s">
        <v>1724</v>
      </c>
      <c r="N776" s="29" t="s">
        <v>1518</v>
      </c>
      <c r="O776" s="29" t="s">
        <v>594</v>
      </c>
    </row>
    <row r="777" spans="1:15">
      <c r="A777" s="25">
        <v>5248</v>
      </c>
      <c r="B777" s="26" t="s">
        <v>1725</v>
      </c>
      <c r="C777" s="27" t="s">
        <v>521</v>
      </c>
      <c r="D777" s="27" t="s">
        <v>1130</v>
      </c>
      <c r="E777" s="28">
        <v>38961</v>
      </c>
      <c r="F777" s="28" t="s">
        <v>35</v>
      </c>
      <c r="G777" s="28" t="s">
        <v>35</v>
      </c>
      <c r="H777" s="27" t="s">
        <v>560</v>
      </c>
      <c r="I777" s="27" t="s">
        <v>560</v>
      </c>
      <c r="J777" s="27" t="s">
        <v>1694</v>
      </c>
      <c r="K777" s="27" t="s">
        <v>1694</v>
      </c>
      <c r="L777" s="27" t="s">
        <v>1723</v>
      </c>
      <c r="M777" s="29" t="s">
        <v>1726</v>
      </c>
      <c r="N777" s="29" t="s">
        <v>1518</v>
      </c>
      <c r="O777" s="29" t="s">
        <v>594</v>
      </c>
    </row>
    <row r="778" spans="1:15">
      <c r="A778" s="25">
        <v>5705</v>
      </c>
      <c r="B778" s="26" t="s">
        <v>1727</v>
      </c>
      <c r="C778" s="27" t="s">
        <v>521</v>
      </c>
      <c r="D778" s="27" t="s">
        <v>790</v>
      </c>
      <c r="E778" s="28">
        <v>39098</v>
      </c>
      <c r="F778" s="28" t="s">
        <v>35</v>
      </c>
      <c r="G778" s="28" t="s">
        <v>35</v>
      </c>
      <c r="H778" s="27" t="s">
        <v>560</v>
      </c>
      <c r="I778" s="27" t="s">
        <v>560</v>
      </c>
      <c r="J778" s="27" t="s">
        <v>1694</v>
      </c>
      <c r="K778" s="27" t="s">
        <v>1694</v>
      </c>
      <c r="L778" s="29" t="s">
        <v>1723</v>
      </c>
      <c r="M778" s="29" t="s">
        <v>1728</v>
      </c>
      <c r="N778" s="29" t="s">
        <v>1518</v>
      </c>
      <c r="O778" s="29" t="s">
        <v>594</v>
      </c>
    </row>
    <row r="779" spans="1:15">
      <c r="A779" s="25">
        <v>11252</v>
      </c>
      <c r="B779" s="26" t="s">
        <v>1729</v>
      </c>
      <c r="C779" s="27" t="s">
        <v>521</v>
      </c>
      <c r="D779" s="27" t="s">
        <v>828</v>
      </c>
      <c r="E779" s="28">
        <v>40617</v>
      </c>
      <c r="F779" s="28" t="s">
        <v>35</v>
      </c>
      <c r="G779" s="28" t="s">
        <v>35</v>
      </c>
      <c r="H779" s="27" t="s">
        <v>560</v>
      </c>
      <c r="I779" s="27" t="s">
        <v>560</v>
      </c>
      <c r="J779" s="27" t="s">
        <v>1694</v>
      </c>
      <c r="K779" s="27" t="s">
        <v>1694</v>
      </c>
      <c r="L779" s="29" t="s">
        <v>1723</v>
      </c>
      <c r="M779" s="29" t="s">
        <v>1730</v>
      </c>
      <c r="N779" s="29" t="s">
        <v>1518</v>
      </c>
      <c r="O779" s="29" t="s">
        <v>594</v>
      </c>
    </row>
    <row r="780" spans="1:15">
      <c r="A780" s="25">
        <v>11610</v>
      </c>
      <c r="B780" s="26" t="s">
        <v>1731</v>
      </c>
      <c r="C780" s="27" t="s">
        <v>521</v>
      </c>
      <c r="D780" s="27" t="s">
        <v>841</v>
      </c>
      <c r="E780" s="28">
        <v>40707</v>
      </c>
      <c r="F780" s="28" t="s">
        <v>35</v>
      </c>
      <c r="G780" s="28" t="s">
        <v>35</v>
      </c>
      <c r="H780" s="27" t="s">
        <v>560</v>
      </c>
      <c r="I780" s="27" t="s">
        <v>560</v>
      </c>
      <c r="J780" s="27" t="s">
        <v>1694</v>
      </c>
      <c r="K780" s="27" t="s">
        <v>1694</v>
      </c>
      <c r="L780" s="29" t="s">
        <v>1723</v>
      </c>
      <c r="M780" s="29" t="s">
        <v>1732</v>
      </c>
      <c r="N780" s="29" t="s">
        <v>1518</v>
      </c>
      <c r="O780" s="29" t="s">
        <v>594</v>
      </c>
    </row>
    <row r="781" spans="1:15">
      <c r="A781" s="25">
        <v>187</v>
      </c>
      <c r="B781" s="26" t="s">
        <v>1733</v>
      </c>
      <c r="C781" s="27" t="s">
        <v>521</v>
      </c>
      <c r="D781" s="27" t="s">
        <v>1033</v>
      </c>
      <c r="E781" s="28">
        <v>37679</v>
      </c>
      <c r="F781" s="28" t="s">
        <v>35</v>
      </c>
      <c r="G781" s="28" t="s">
        <v>35</v>
      </c>
      <c r="H781" s="27" t="s">
        <v>560</v>
      </c>
      <c r="I781" s="27" t="s">
        <v>560</v>
      </c>
      <c r="J781" s="27" t="s">
        <v>1694</v>
      </c>
      <c r="K781" s="27" t="s">
        <v>1694</v>
      </c>
      <c r="L781" s="29" t="s">
        <v>1723</v>
      </c>
      <c r="M781" s="29" t="s">
        <v>1550</v>
      </c>
      <c r="N781" s="29" t="s">
        <v>1045</v>
      </c>
      <c r="O781" s="29" t="s">
        <v>590</v>
      </c>
    </row>
    <row r="782" spans="1:15">
      <c r="A782" s="25">
        <v>1315</v>
      </c>
      <c r="B782" s="26" t="s">
        <v>1734</v>
      </c>
      <c r="C782" s="27" t="s">
        <v>521</v>
      </c>
      <c r="D782" s="27" t="s">
        <v>831</v>
      </c>
      <c r="E782" s="28">
        <v>37928</v>
      </c>
      <c r="F782" s="28" t="s">
        <v>35</v>
      </c>
      <c r="G782" s="28" t="s">
        <v>35</v>
      </c>
      <c r="H782" s="27" t="s">
        <v>560</v>
      </c>
      <c r="I782" s="27" t="s">
        <v>560</v>
      </c>
      <c r="J782" s="27" t="s">
        <v>1694</v>
      </c>
      <c r="K782" s="27" t="s">
        <v>1694</v>
      </c>
      <c r="L782" s="29" t="s">
        <v>1723</v>
      </c>
      <c r="M782" s="29" t="s">
        <v>1730</v>
      </c>
      <c r="N782" s="29" t="s">
        <v>1518</v>
      </c>
      <c r="O782" s="29" t="s">
        <v>590</v>
      </c>
    </row>
    <row r="783" spans="1:15">
      <c r="A783" s="25">
        <v>9716</v>
      </c>
      <c r="B783" s="26" t="s">
        <v>1735</v>
      </c>
      <c r="C783" s="27" t="s">
        <v>521</v>
      </c>
      <c r="D783" s="27" t="s">
        <v>1736</v>
      </c>
      <c r="E783" s="28">
        <v>40299</v>
      </c>
      <c r="F783" s="28" t="s">
        <v>35</v>
      </c>
      <c r="G783" s="28" t="s">
        <v>35</v>
      </c>
      <c r="H783" s="27" t="s">
        <v>560</v>
      </c>
      <c r="I783" s="27" t="s">
        <v>560</v>
      </c>
      <c r="J783" s="27" t="s">
        <v>1694</v>
      </c>
      <c r="K783" s="27" t="s">
        <v>1694</v>
      </c>
      <c r="L783" s="29" t="s">
        <v>1723</v>
      </c>
      <c r="M783" s="29" t="s">
        <v>1732</v>
      </c>
      <c r="N783" s="29" t="s">
        <v>1518</v>
      </c>
      <c r="O783" s="29" t="s">
        <v>590</v>
      </c>
    </row>
    <row r="784" spans="1:15">
      <c r="A784" s="25">
        <v>10540</v>
      </c>
      <c r="B784" s="26" t="s">
        <v>1737</v>
      </c>
      <c r="C784" s="27" t="s">
        <v>521</v>
      </c>
      <c r="D784" s="27" t="s">
        <v>1672</v>
      </c>
      <c r="E784" s="28">
        <v>40542</v>
      </c>
      <c r="F784" s="28" t="s">
        <v>35</v>
      </c>
      <c r="G784" s="28" t="s">
        <v>35</v>
      </c>
      <c r="H784" s="27" t="s">
        <v>560</v>
      </c>
      <c r="I784" s="27" t="s">
        <v>560</v>
      </c>
      <c r="J784" s="29" t="s">
        <v>1694</v>
      </c>
      <c r="K784" s="29" t="s">
        <v>1694</v>
      </c>
      <c r="L784" s="29" t="s">
        <v>1723</v>
      </c>
      <c r="M784" s="29" t="s">
        <v>1726</v>
      </c>
      <c r="N784" s="29" t="s">
        <v>1518</v>
      </c>
      <c r="O784" s="29" t="s">
        <v>590</v>
      </c>
    </row>
    <row r="785" spans="1:15">
      <c r="A785" s="25">
        <v>12683</v>
      </c>
      <c r="B785" s="26" t="s">
        <v>1738</v>
      </c>
      <c r="C785" s="27" t="s">
        <v>521</v>
      </c>
      <c r="D785" s="27" t="s">
        <v>1739</v>
      </c>
      <c r="E785" s="28">
        <v>40819</v>
      </c>
      <c r="F785" s="28" t="s">
        <v>35</v>
      </c>
      <c r="G785" s="28" t="s">
        <v>35</v>
      </c>
      <c r="H785" s="27" t="s">
        <v>560</v>
      </c>
      <c r="I785" s="27" t="s">
        <v>560</v>
      </c>
      <c r="J785" s="27" t="s">
        <v>1694</v>
      </c>
      <c r="K785" s="27" t="s">
        <v>1694</v>
      </c>
      <c r="L785" s="29" t="s">
        <v>1723</v>
      </c>
      <c r="M785" s="29" t="s">
        <v>1740</v>
      </c>
      <c r="N785" s="29" t="s">
        <v>1518</v>
      </c>
      <c r="O785" s="29" t="s">
        <v>590</v>
      </c>
    </row>
    <row r="786" spans="1:15">
      <c r="A786" s="25">
        <v>12743</v>
      </c>
      <c r="B786" s="26" t="s">
        <v>1741</v>
      </c>
      <c r="C786" s="27" t="s">
        <v>521</v>
      </c>
      <c r="D786" s="27" t="s">
        <v>1739</v>
      </c>
      <c r="E786" s="28">
        <v>40819</v>
      </c>
      <c r="F786" s="28" t="s">
        <v>35</v>
      </c>
      <c r="G786" s="28" t="s">
        <v>35</v>
      </c>
      <c r="H786" s="27" t="s">
        <v>560</v>
      </c>
      <c r="I786" s="27" t="s">
        <v>560</v>
      </c>
      <c r="J786" s="27" t="s">
        <v>1694</v>
      </c>
      <c r="K786" s="27" t="s">
        <v>1694</v>
      </c>
      <c r="L786" s="27" t="s">
        <v>1723</v>
      </c>
      <c r="M786" s="29" t="s">
        <v>1724</v>
      </c>
      <c r="N786" s="29" t="s">
        <v>1518</v>
      </c>
      <c r="O786" s="29" t="s">
        <v>590</v>
      </c>
    </row>
    <row r="787" spans="1:15">
      <c r="A787" s="25">
        <v>12757</v>
      </c>
      <c r="B787" s="26" t="s">
        <v>1742</v>
      </c>
      <c r="C787" s="27" t="s">
        <v>521</v>
      </c>
      <c r="D787" s="27" t="s">
        <v>1739</v>
      </c>
      <c r="E787" s="28">
        <v>40819</v>
      </c>
      <c r="F787" s="28" t="s">
        <v>35</v>
      </c>
      <c r="G787" s="28" t="s">
        <v>35</v>
      </c>
      <c r="H787" s="27" t="s">
        <v>560</v>
      </c>
      <c r="I787" s="27" t="s">
        <v>560</v>
      </c>
      <c r="J787" s="27" t="s">
        <v>1694</v>
      </c>
      <c r="K787" s="27" t="s">
        <v>1694</v>
      </c>
      <c r="L787" s="27" t="s">
        <v>1723</v>
      </c>
      <c r="M787" s="29" t="s">
        <v>1743</v>
      </c>
      <c r="N787" s="29" t="s">
        <v>1518</v>
      </c>
      <c r="O787" s="29" t="s">
        <v>590</v>
      </c>
    </row>
    <row r="788" spans="1:15">
      <c r="A788" s="25">
        <v>5733</v>
      </c>
      <c r="B788" s="26" t="s">
        <v>1744</v>
      </c>
      <c r="C788" s="27" t="s">
        <v>521</v>
      </c>
      <c r="D788" s="27" t="s">
        <v>790</v>
      </c>
      <c r="E788" s="28">
        <v>39098</v>
      </c>
      <c r="F788" s="28" t="s">
        <v>35</v>
      </c>
      <c r="G788" s="28" t="s">
        <v>35</v>
      </c>
      <c r="H788" s="27" t="s">
        <v>560</v>
      </c>
      <c r="I788" s="27" t="s">
        <v>560</v>
      </c>
      <c r="J788" s="27" t="s">
        <v>1694</v>
      </c>
      <c r="K788" s="27" t="s">
        <v>1694</v>
      </c>
      <c r="L788" s="27" t="s">
        <v>1745</v>
      </c>
      <c r="M788" s="27" t="s">
        <v>1746</v>
      </c>
      <c r="N788" s="27" t="s">
        <v>1518</v>
      </c>
      <c r="O788" s="27" t="s">
        <v>594</v>
      </c>
    </row>
    <row r="789" spans="1:15">
      <c r="A789" s="25">
        <v>9890</v>
      </c>
      <c r="B789" s="26" t="s">
        <v>1747</v>
      </c>
      <c r="C789" s="27" t="s">
        <v>521</v>
      </c>
      <c r="D789" s="27" t="s">
        <v>1748</v>
      </c>
      <c r="E789" s="28">
        <v>40424</v>
      </c>
      <c r="F789" s="28" t="s">
        <v>35</v>
      </c>
      <c r="G789" s="28" t="s">
        <v>35</v>
      </c>
      <c r="H789" s="27" t="s">
        <v>560</v>
      </c>
      <c r="I789" s="27" t="s">
        <v>560</v>
      </c>
      <c r="J789" s="27" t="s">
        <v>1694</v>
      </c>
      <c r="K789" s="27" t="s">
        <v>1694</v>
      </c>
      <c r="L789" s="27" t="s">
        <v>1745</v>
      </c>
      <c r="M789" s="27" t="s">
        <v>1749</v>
      </c>
      <c r="N789" s="27" t="s">
        <v>1518</v>
      </c>
      <c r="O789" s="27" t="s">
        <v>594</v>
      </c>
    </row>
    <row r="790" spans="1:15">
      <c r="A790" s="25">
        <v>10228</v>
      </c>
      <c r="B790" s="26" t="s">
        <v>1750</v>
      </c>
      <c r="C790" s="27" t="s">
        <v>521</v>
      </c>
      <c r="D790" s="27" t="s">
        <v>736</v>
      </c>
      <c r="E790" s="28">
        <v>40489</v>
      </c>
      <c r="F790" s="28" t="s">
        <v>35</v>
      </c>
      <c r="G790" s="28" t="s">
        <v>35</v>
      </c>
      <c r="H790" s="27" t="s">
        <v>560</v>
      </c>
      <c r="I790" s="27" t="s">
        <v>560</v>
      </c>
      <c r="J790" s="27" t="s">
        <v>1694</v>
      </c>
      <c r="K790" s="27" t="s">
        <v>1694</v>
      </c>
      <c r="L790" s="29" t="s">
        <v>1745</v>
      </c>
      <c r="M790" s="29" t="s">
        <v>1751</v>
      </c>
      <c r="N790" s="29" t="s">
        <v>1518</v>
      </c>
      <c r="O790" s="29" t="s">
        <v>594</v>
      </c>
    </row>
    <row r="791" spans="1:15">
      <c r="A791" s="25">
        <v>10316</v>
      </c>
      <c r="B791" s="34" t="s">
        <v>1752</v>
      </c>
      <c r="C791" s="31" t="s">
        <v>521</v>
      </c>
      <c r="D791" s="31" t="s">
        <v>825</v>
      </c>
      <c r="E791" s="28">
        <v>40511</v>
      </c>
      <c r="F791" s="28" t="s">
        <v>35</v>
      </c>
      <c r="G791" s="28" t="s">
        <v>35</v>
      </c>
      <c r="H791" s="27" t="s">
        <v>560</v>
      </c>
      <c r="I791" s="27" t="s">
        <v>560</v>
      </c>
      <c r="J791" s="27" t="s">
        <v>1694</v>
      </c>
      <c r="K791" s="27" t="s">
        <v>1694</v>
      </c>
      <c r="L791" s="27" t="s">
        <v>1745</v>
      </c>
      <c r="M791" s="29" t="s">
        <v>1753</v>
      </c>
      <c r="N791" s="29" t="s">
        <v>1518</v>
      </c>
      <c r="O791" s="29" t="s">
        <v>594</v>
      </c>
    </row>
    <row r="792" spans="1:15">
      <c r="A792" s="25">
        <v>11881</v>
      </c>
      <c r="B792" s="26" t="s">
        <v>1754</v>
      </c>
      <c r="C792" s="27" t="s">
        <v>521</v>
      </c>
      <c r="D792" s="27" t="s">
        <v>701</v>
      </c>
      <c r="E792" s="28">
        <v>40735</v>
      </c>
      <c r="F792" s="28" t="s">
        <v>35</v>
      </c>
      <c r="G792" s="28" t="s">
        <v>35</v>
      </c>
      <c r="H792" s="27" t="s">
        <v>560</v>
      </c>
      <c r="I792" s="27" t="s">
        <v>560</v>
      </c>
      <c r="J792" s="27" t="s">
        <v>1694</v>
      </c>
      <c r="K792" s="27" t="s">
        <v>1694</v>
      </c>
      <c r="L792" s="29" t="s">
        <v>1745</v>
      </c>
      <c r="M792" s="29" t="s">
        <v>1755</v>
      </c>
      <c r="N792" s="29" t="s">
        <v>1518</v>
      </c>
      <c r="O792" s="29" t="s">
        <v>594</v>
      </c>
    </row>
    <row r="793" spans="1:15">
      <c r="A793" s="25">
        <v>12714</v>
      </c>
      <c r="B793" s="26" t="s">
        <v>1680</v>
      </c>
      <c r="C793" s="27" t="s">
        <v>521</v>
      </c>
      <c r="D793" s="27" t="s">
        <v>1739</v>
      </c>
      <c r="E793" s="28">
        <v>40819</v>
      </c>
      <c r="F793" s="28" t="s">
        <v>35</v>
      </c>
      <c r="G793" s="28" t="s">
        <v>35</v>
      </c>
      <c r="H793" s="27" t="s">
        <v>560</v>
      </c>
      <c r="I793" s="27" t="s">
        <v>560</v>
      </c>
      <c r="J793" s="27" t="s">
        <v>1694</v>
      </c>
      <c r="K793" s="27" t="s">
        <v>1694</v>
      </c>
      <c r="L793" s="27" t="s">
        <v>1745</v>
      </c>
      <c r="M793" s="27" t="s">
        <v>1756</v>
      </c>
      <c r="N793" s="27" t="s">
        <v>1518</v>
      </c>
      <c r="O793" s="27" t="s">
        <v>594</v>
      </c>
    </row>
    <row r="794" spans="1:15">
      <c r="A794" s="25">
        <v>20919</v>
      </c>
      <c r="B794" s="26" t="s">
        <v>1757</v>
      </c>
      <c r="C794" s="27" t="s">
        <v>521</v>
      </c>
      <c r="D794" s="27" t="s">
        <v>807</v>
      </c>
      <c r="E794" s="28">
        <v>42660</v>
      </c>
      <c r="F794" s="28">
        <v>43160</v>
      </c>
      <c r="G794" s="28">
        <v>43524</v>
      </c>
      <c r="H794" s="27" t="s">
        <v>560</v>
      </c>
      <c r="I794" s="27" t="s">
        <v>560</v>
      </c>
      <c r="J794" s="27" t="s">
        <v>1694</v>
      </c>
      <c r="K794" s="27" t="s">
        <v>1694</v>
      </c>
      <c r="L794" s="29" t="s">
        <v>1745</v>
      </c>
      <c r="M794" s="29" t="s">
        <v>1520</v>
      </c>
      <c r="N794" s="29" t="s">
        <v>1541</v>
      </c>
      <c r="O794" s="29" t="s">
        <v>594</v>
      </c>
    </row>
    <row r="795" spans="1:15">
      <c r="A795" s="25">
        <v>20924</v>
      </c>
      <c r="B795" s="33" t="s">
        <v>1758</v>
      </c>
      <c r="C795" s="27" t="s">
        <v>521</v>
      </c>
      <c r="D795" s="27" t="s">
        <v>1149</v>
      </c>
      <c r="E795" s="28">
        <v>42667</v>
      </c>
      <c r="F795" s="28">
        <v>43160</v>
      </c>
      <c r="G795" s="28">
        <v>43524</v>
      </c>
      <c r="H795" s="31" t="s">
        <v>560</v>
      </c>
      <c r="I795" s="31" t="s">
        <v>560</v>
      </c>
      <c r="J795" s="27" t="s">
        <v>1694</v>
      </c>
      <c r="K795" s="27" t="s">
        <v>1694</v>
      </c>
      <c r="L795" s="27" t="s">
        <v>1745</v>
      </c>
      <c r="M795" s="27" t="s">
        <v>1520</v>
      </c>
      <c r="N795" s="27" t="s">
        <v>1541</v>
      </c>
      <c r="O795" s="27" t="s">
        <v>594</v>
      </c>
    </row>
    <row r="796" spans="1:15">
      <c r="A796" s="25">
        <v>21541</v>
      </c>
      <c r="B796" s="34" t="s">
        <v>1759</v>
      </c>
      <c r="C796" s="31" t="s">
        <v>521</v>
      </c>
      <c r="D796" s="31" t="s">
        <v>1760</v>
      </c>
      <c r="E796" s="28">
        <v>43045</v>
      </c>
      <c r="F796" s="28">
        <v>43435</v>
      </c>
      <c r="G796" s="28">
        <v>43799</v>
      </c>
      <c r="H796" s="29" t="s">
        <v>560</v>
      </c>
      <c r="I796" s="29" t="s">
        <v>560</v>
      </c>
      <c r="J796" s="29" t="s">
        <v>1694</v>
      </c>
      <c r="K796" s="29" t="s">
        <v>1694</v>
      </c>
      <c r="L796" s="29" t="s">
        <v>1745</v>
      </c>
      <c r="M796" s="29" t="s">
        <v>1520</v>
      </c>
      <c r="N796" s="29" t="s">
        <v>1541</v>
      </c>
      <c r="O796" s="29" t="s">
        <v>594</v>
      </c>
    </row>
    <row r="797" spans="1:15">
      <c r="A797" s="25">
        <v>21753</v>
      </c>
      <c r="B797" s="34" t="s">
        <v>1761</v>
      </c>
      <c r="C797" s="31" t="s">
        <v>521</v>
      </c>
      <c r="D797" s="31" t="s">
        <v>663</v>
      </c>
      <c r="E797" s="28">
        <v>43087</v>
      </c>
      <c r="F797" s="28">
        <v>43118</v>
      </c>
      <c r="G797" s="28">
        <v>43496</v>
      </c>
      <c r="H797" s="27" t="s">
        <v>560</v>
      </c>
      <c r="I797" s="27" t="s">
        <v>560</v>
      </c>
      <c r="J797" s="27" t="s">
        <v>1694</v>
      </c>
      <c r="K797" s="27" t="s">
        <v>1694</v>
      </c>
      <c r="L797" s="29" t="s">
        <v>1745</v>
      </c>
      <c r="M797" s="29" t="s">
        <v>1520</v>
      </c>
      <c r="N797" s="29" t="s">
        <v>1541</v>
      </c>
      <c r="O797" s="29" t="s">
        <v>594</v>
      </c>
    </row>
    <row r="798" spans="1:15">
      <c r="A798" s="25">
        <v>22061</v>
      </c>
      <c r="B798" s="34" t="s">
        <v>1762</v>
      </c>
      <c r="C798" s="31" t="s">
        <v>521</v>
      </c>
      <c r="D798" s="31" t="s">
        <v>769</v>
      </c>
      <c r="E798" s="28">
        <v>43150</v>
      </c>
      <c r="F798" s="28">
        <v>43178</v>
      </c>
      <c r="G798" s="28">
        <v>43555</v>
      </c>
      <c r="H798" s="29" t="s">
        <v>560</v>
      </c>
      <c r="I798" s="29" t="s">
        <v>560</v>
      </c>
      <c r="J798" s="29" t="s">
        <v>1694</v>
      </c>
      <c r="K798" s="29" t="s">
        <v>1694</v>
      </c>
      <c r="L798" s="29" t="s">
        <v>1745</v>
      </c>
      <c r="M798" s="29" t="s">
        <v>1520</v>
      </c>
      <c r="N798" s="29" t="s">
        <v>1541</v>
      </c>
      <c r="O798" s="29" t="s">
        <v>594</v>
      </c>
    </row>
    <row r="799" spans="1:15">
      <c r="A799" s="25">
        <v>1045</v>
      </c>
      <c r="B799" s="26" t="s">
        <v>1763</v>
      </c>
      <c r="C799" s="27" t="s">
        <v>521</v>
      </c>
      <c r="D799" s="27" t="s">
        <v>1139</v>
      </c>
      <c r="E799" s="28">
        <v>37879</v>
      </c>
      <c r="F799" s="28" t="s">
        <v>35</v>
      </c>
      <c r="G799" s="28" t="s">
        <v>35</v>
      </c>
      <c r="H799" s="27" t="s">
        <v>560</v>
      </c>
      <c r="I799" s="27" t="s">
        <v>560</v>
      </c>
      <c r="J799" s="29" t="s">
        <v>1694</v>
      </c>
      <c r="K799" s="29" t="s">
        <v>1694</v>
      </c>
      <c r="L799" s="29" t="s">
        <v>1745</v>
      </c>
      <c r="M799" s="29" t="s">
        <v>1749</v>
      </c>
      <c r="N799" s="29" t="s">
        <v>1518</v>
      </c>
      <c r="O799" s="29" t="s">
        <v>590</v>
      </c>
    </row>
    <row r="800" spans="1:15">
      <c r="A800" s="25">
        <v>1086</v>
      </c>
      <c r="B800" s="26" t="s">
        <v>1764</v>
      </c>
      <c r="C800" s="27" t="s">
        <v>521</v>
      </c>
      <c r="D800" s="27" t="s">
        <v>1411</v>
      </c>
      <c r="E800" s="28">
        <v>37887</v>
      </c>
      <c r="F800" s="28" t="s">
        <v>35</v>
      </c>
      <c r="G800" s="28" t="s">
        <v>35</v>
      </c>
      <c r="H800" s="27" t="s">
        <v>560</v>
      </c>
      <c r="I800" s="27" t="s">
        <v>560</v>
      </c>
      <c r="J800" s="27" t="s">
        <v>1694</v>
      </c>
      <c r="K800" s="27" t="s">
        <v>1694</v>
      </c>
      <c r="L800" s="27" t="s">
        <v>1745</v>
      </c>
      <c r="M800" s="29" t="s">
        <v>1756</v>
      </c>
      <c r="N800" s="29" t="s">
        <v>1518</v>
      </c>
      <c r="O800" s="29" t="s">
        <v>590</v>
      </c>
    </row>
    <row r="801" spans="1:15">
      <c r="A801" s="25">
        <v>8864</v>
      </c>
      <c r="B801" s="26" t="s">
        <v>1765</v>
      </c>
      <c r="C801" s="27" t="s">
        <v>521</v>
      </c>
      <c r="D801" s="27" t="s">
        <v>813</v>
      </c>
      <c r="E801" s="28">
        <v>39937</v>
      </c>
      <c r="F801" s="28" t="s">
        <v>35</v>
      </c>
      <c r="G801" s="28" t="s">
        <v>35</v>
      </c>
      <c r="H801" s="27" t="s">
        <v>560</v>
      </c>
      <c r="I801" s="27" t="s">
        <v>560</v>
      </c>
      <c r="J801" s="29" t="s">
        <v>1694</v>
      </c>
      <c r="K801" s="29" t="s">
        <v>1694</v>
      </c>
      <c r="L801" s="29" t="s">
        <v>1745</v>
      </c>
      <c r="M801" s="29" t="s">
        <v>1753</v>
      </c>
      <c r="N801" s="29" t="s">
        <v>1518</v>
      </c>
      <c r="O801" s="29" t="s">
        <v>590</v>
      </c>
    </row>
    <row r="802" spans="1:15">
      <c r="A802" s="25">
        <v>9305</v>
      </c>
      <c r="B802" s="26" t="s">
        <v>1766</v>
      </c>
      <c r="C802" s="27" t="s">
        <v>521</v>
      </c>
      <c r="D802" s="27" t="s">
        <v>658</v>
      </c>
      <c r="E802" s="28">
        <v>40148</v>
      </c>
      <c r="F802" s="28" t="s">
        <v>35</v>
      </c>
      <c r="G802" s="28" t="s">
        <v>35</v>
      </c>
      <c r="H802" s="27" t="s">
        <v>560</v>
      </c>
      <c r="I802" s="27" t="s">
        <v>560</v>
      </c>
      <c r="J802" s="29" t="s">
        <v>1694</v>
      </c>
      <c r="K802" s="29" t="s">
        <v>1694</v>
      </c>
      <c r="L802" s="29" t="s">
        <v>1745</v>
      </c>
      <c r="M802" s="29" t="s">
        <v>1751</v>
      </c>
      <c r="N802" s="29" t="s">
        <v>1518</v>
      </c>
      <c r="O802" s="29" t="s">
        <v>590</v>
      </c>
    </row>
    <row r="803" spans="1:15">
      <c r="A803" s="25">
        <v>10156</v>
      </c>
      <c r="B803" s="26" t="s">
        <v>1767</v>
      </c>
      <c r="C803" s="27" t="s">
        <v>521</v>
      </c>
      <c r="D803" s="27" t="s">
        <v>1768</v>
      </c>
      <c r="E803" s="28">
        <v>40452</v>
      </c>
      <c r="F803" s="28" t="s">
        <v>35</v>
      </c>
      <c r="G803" s="28" t="s">
        <v>35</v>
      </c>
      <c r="H803" s="27" t="s">
        <v>560</v>
      </c>
      <c r="I803" s="27" t="s">
        <v>560</v>
      </c>
      <c r="J803" s="27" t="s">
        <v>1694</v>
      </c>
      <c r="K803" s="27" t="s">
        <v>1694</v>
      </c>
      <c r="L803" s="27" t="s">
        <v>1745</v>
      </c>
      <c r="M803" s="27" t="s">
        <v>1746</v>
      </c>
      <c r="N803" s="27" t="s">
        <v>1518</v>
      </c>
      <c r="O803" s="27" t="s">
        <v>590</v>
      </c>
    </row>
    <row r="804" spans="1:15">
      <c r="A804" s="25">
        <v>11046</v>
      </c>
      <c r="B804" s="26" t="s">
        <v>1769</v>
      </c>
      <c r="C804" s="27" t="s">
        <v>521</v>
      </c>
      <c r="D804" s="27" t="s">
        <v>1770</v>
      </c>
      <c r="E804" s="28">
        <v>40592</v>
      </c>
      <c r="F804" s="28" t="s">
        <v>35</v>
      </c>
      <c r="G804" s="28" t="s">
        <v>35</v>
      </c>
      <c r="H804" s="27" t="s">
        <v>560</v>
      </c>
      <c r="I804" s="27" t="s">
        <v>560</v>
      </c>
      <c r="J804" s="27" t="s">
        <v>1694</v>
      </c>
      <c r="K804" s="27" t="s">
        <v>1694</v>
      </c>
      <c r="L804" s="27" t="s">
        <v>1745</v>
      </c>
      <c r="M804" s="27" t="s">
        <v>1771</v>
      </c>
      <c r="N804" s="27" t="s">
        <v>1518</v>
      </c>
      <c r="O804" s="27" t="s">
        <v>590</v>
      </c>
    </row>
    <row r="805" spans="1:15">
      <c r="A805" s="25">
        <v>678</v>
      </c>
      <c r="B805" s="26" t="s">
        <v>1772</v>
      </c>
      <c r="C805" s="27" t="s">
        <v>521</v>
      </c>
      <c r="D805" s="27" t="s">
        <v>1773</v>
      </c>
      <c r="E805" s="28">
        <v>37795</v>
      </c>
      <c r="F805" s="28" t="s">
        <v>35</v>
      </c>
      <c r="G805" s="28" t="s">
        <v>35</v>
      </c>
      <c r="H805" s="27" t="s">
        <v>560</v>
      </c>
      <c r="I805" s="27" t="s">
        <v>560</v>
      </c>
      <c r="J805" s="29" t="s">
        <v>1694</v>
      </c>
      <c r="K805" s="29" t="s">
        <v>1694</v>
      </c>
      <c r="L805" s="29" t="s">
        <v>1774</v>
      </c>
      <c r="M805" s="29" t="s">
        <v>1775</v>
      </c>
      <c r="N805" s="29" t="s">
        <v>1518</v>
      </c>
      <c r="O805" s="29" t="s">
        <v>594</v>
      </c>
    </row>
    <row r="806" spans="1:15">
      <c r="A806" s="25">
        <v>1229</v>
      </c>
      <c r="B806" s="26" t="s">
        <v>1776</v>
      </c>
      <c r="C806" s="27" t="s">
        <v>521</v>
      </c>
      <c r="D806" s="27" t="s">
        <v>1487</v>
      </c>
      <c r="E806" s="28">
        <v>37914</v>
      </c>
      <c r="F806" s="28" t="s">
        <v>35</v>
      </c>
      <c r="G806" s="28" t="s">
        <v>35</v>
      </c>
      <c r="H806" s="27" t="s">
        <v>560</v>
      </c>
      <c r="I806" s="27" t="s">
        <v>560</v>
      </c>
      <c r="J806" s="27" t="s">
        <v>1694</v>
      </c>
      <c r="K806" s="27" t="s">
        <v>1694</v>
      </c>
      <c r="L806" s="27" t="s">
        <v>1774</v>
      </c>
      <c r="M806" s="27" t="s">
        <v>1777</v>
      </c>
      <c r="N806" s="27" t="s">
        <v>1518</v>
      </c>
      <c r="O806" s="27" t="s">
        <v>594</v>
      </c>
    </row>
    <row r="807" spans="1:15">
      <c r="A807" s="25">
        <v>4531</v>
      </c>
      <c r="B807" s="26" t="s">
        <v>1778</v>
      </c>
      <c r="C807" s="27" t="s">
        <v>521</v>
      </c>
      <c r="D807" s="27" t="s">
        <v>1722</v>
      </c>
      <c r="E807" s="28">
        <v>38789</v>
      </c>
      <c r="F807" s="28" t="s">
        <v>35</v>
      </c>
      <c r="G807" s="28" t="s">
        <v>35</v>
      </c>
      <c r="H807" s="27" t="s">
        <v>560</v>
      </c>
      <c r="I807" s="27" t="s">
        <v>560</v>
      </c>
      <c r="J807" s="27" t="s">
        <v>1694</v>
      </c>
      <c r="K807" s="27" t="s">
        <v>1694</v>
      </c>
      <c r="L807" s="27" t="s">
        <v>1774</v>
      </c>
      <c r="M807" s="29" t="s">
        <v>1779</v>
      </c>
      <c r="N807" s="29" t="s">
        <v>1518</v>
      </c>
      <c r="O807" s="29" t="s">
        <v>594</v>
      </c>
    </row>
    <row r="808" spans="1:15">
      <c r="A808" s="25">
        <v>5737</v>
      </c>
      <c r="B808" s="26" t="s">
        <v>1780</v>
      </c>
      <c r="C808" s="27" t="s">
        <v>521</v>
      </c>
      <c r="D808" s="27" t="s">
        <v>790</v>
      </c>
      <c r="E808" s="28">
        <v>39098</v>
      </c>
      <c r="F808" s="28" t="s">
        <v>35</v>
      </c>
      <c r="G808" s="28" t="s">
        <v>35</v>
      </c>
      <c r="H808" s="27" t="s">
        <v>560</v>
      </c>
      <c r="I808" s="27" t="s">
        <v>560</v>
      </c>
      <c r="J808" s="27" t="s">
        <v>1694</v>
      </c>
      <c r="K808" s="27" t="s">
        <v>1694</v>
      </c>
      <c r="L808" s="29" t="s">
        <v>1774</v>
      </c>
      <c r="M808" s="29" t="s">
        <v>1781</v>
      </c>
      <c r="N808" s="29" t="s">
        <v>1518</v>
      </c>
      <c r="O808" s="29" t="s">
        <v>594</v>
      </c>
    </row>
    <row r="809" spans="1:15">
      <c r="A809" s="25">
        <v>9679</v>
      </c>
      <c r="B809" s="26" t="s">
        <v>1782</v>
      </c>
      <c r="C809" s="27" t="s">
        <v>521</v>
      </c>
      <c r="D809" s="27" t="s">
        <v>677</v>
      </c>
      <c r="E809" s="28">
        <v>40297</v>
      </c>
      <c r="F809" s="28" t="s">
        <v>35</v>
      </c>
      <c r="G809" s="28" t="s">
        <v>35</v>
      </c>
      <c r="H809" s="27" t="s">
        <v>560</v>
      </c>
      <c r="I809" s="27" t="s">
        <v>560</v>
      </c>
      <c r="J809" s="27" t="s">
        <v>1694</v>
      </c>
      <c r="K809" s="27" t="s">
        <v>1694</v>
      </c>
      <c r="L809" s="29" t="s">
        <v>1774</v>
      </c>
      <c r="M809" s="29" t="s">
        <v>1783</v>
      </c>
      <c r="N809" s="29" t="s">
        <v>1518</v>
      </c>
      <c r="O809" s="29" t="s">
        <v>594</v>
      </c>
    </row>
    <row r="810" spans="1:15">
      <c r="A810" s="25">
        <v>10390</v>
      </c>
      <c r="B810" s="26" t="s">
        <v>1784</v>
      </c>
      <c r="C810" s="27" t="s">
        <v>521</v>
      </c>
      <c r="D810" s="27" t="s">
        <v>1497</v>
      </c>
      <c r="E810" s="28">
        <v>40513</v>
      </c>
      <c r="F810" s="28" t="s">
        <v>35</v>
      </c>
      <c r="G810" s="28" t="s">
        <v>35</v>
      </c>
      <c r="H810" s="27" t="s">
        <v>560</v>
      </c>
      <c r="I810" s="27" t="s">
        <v>560</v>
      </c>
      <c r="J810" s="27" t="s">
        <v>1694</v>
      </c>
      <c r="K810" s="27" t="s">
        <v>1694</v>
      </c>
      <c r="L810" s="29" t="s">
        <v>1774</v>
      </c>
      <c r="M810" s="29" t="s">
        <v>1785</v>
      </c>
      <c r="N810" s="29" t="s">
        <v>1518</v>
      </c>
      <c r="O810" s="29" t="s">
        <v>594</v>
      </c>
    </row>
    <row r="811" spans="1:15">
      <c r="A811" s="25">
        <v>204</v>
      </c>
      <c r="B811" s="26" t="s">
        <v>1786</v>
      </c>
      <c r="C811" s="27" t="s">
        <v>521</v>
      </c>
      <c r="D811" s="27" t="s">
        <v>679</v>
      </c>
      <c r="E811" s="28">
        <v>37697</v>
      </c>
      <c r="F811" s="28" t="s">
        <v>35</v>
      </c>
      <c r="G811" s="28" t="s">
        <v>35</v>
      </c>
      <c r="H811" s="27" t="s">
        <v>560</v>
      </c>
      <c r="I811" s="27" t="s">
        <v>560</v>
      </c>
      <c r="J811" s="27" t="s">
        <v>1694</v>
      </c>
      <c r="K811" s="27" t="s">
        <v>1694</v>
      </c>
      <c r="L811" s="27" t="s">
        <v>1774</v>
      </c>
      <c r="M811" s="27" t="s">
        <v>1781</v>
      </c>
      <c r="N811" s="27" t="s">
        <v>1518</v>
      </c>
      <c r="O811" s="27" t="s">
        <v>590</v>
      </c>
    </row>
    <row r="812" spans="1:15">
      <c r="A812" s="25">
        <v>439</v>
      </c>
      <c r="B812" s="26" t="s">
        <v>1787</v>
      </c>
      <c r="C812" s="27" t="s">
        <v>521</v>
      </c>
      <c r="D812" s="27" t="s">
        <v>1661</v>
      </c>
      <c r="E812" s="28">
        <v>37746</v>
      </c>
      <c r="F812" s="28" t="s">
        <v>35</v>
      </c>
      <c r="G812" s="28" t="s">
        <v>35</v>
      </c>
      <c r="H812" s="27" t="s">
        <v>560</v>
      </c>
      <c r="I812" s="27" t="s">
        <v>560</v>
      </c>
      <c r="J812" s="27" t="s">
        <v>1694</v>
      </c>
      <c r="K812" s="27" t="s">
        <v>1694</v>
      </c>
      <c r="L812" s="27" t="s">
        <v>1774</v>
      </c>
      <c r="M812" s="27" t="s">
        <v>1785</v>
      </c>
      <c r="N812" s="27" t="s">
        <v>1518</v>
      </c>
      <c r="O812" s="27" t="s">
        <v>590</v>
      </c>
    </row>
    <row r="813" spans="1:15">
      <c r="A813" s="25">
        <v>1058</v>
      </c>
      <c r="B813" s="26" t="s">
        <v>1788</v>
      </c>
      <c r="C813" s="27" t="s">
        <v>521</v>
      </c>
      <c r="D813" s="27" t="s">
        <v>1139</v>
      </c>
      <c r="E813" s="28">
        <v>37879</v>
      </c>
      <c r="F813" s="28" t="s">
        <v>35</v>
      </c>
      <c r="G813" s="28" t="s">
        <v>35</v>
      </c>
      <c r="H813" s="27" t="s">
        <v>560</v>
      </c>
      <c r="I813" s="27" t="s">
        <v>560</v>
      </c>
      <c r="J813" s="27" t="s">
        <v>1694</v>
      </c>
      <c r="K813" s="27" t="s">
        <v>1694</v>
      </c>
      <c r="L813" s="29" t="s">
        <v>1774</v>
      </c>
      <c r="M813" s="29" t="s">
        <v>1775</v>
      </c>
      <c r="N813" s="29" t="s">
        <v>1518</v>
      </c>
      <c r="O813" s="29" t="s">
        <v>590</v>
      </c>
    </row>
    <row r="814" spans="1:15">
      <c r="A814" s="25">
        <v>1098</v>
      </c>
      <c r="B814" s="26" t="s">
        <v>1789</v>
      </c>
      <c r="C814" s="27" t="s">
        <v>521</v>
      </c>
      <c r="D814" s="27" t="s">
        <v>1411</v>
      </c>
      <c r="E814" s="28">
        <v>37887</v>
      </c>
      <c r="F814" s="28" t="s">
        <v>35</v>
      </c>
      <c r="G814" s="28" t="s">
        <v>35</v>
      </c>
      <c r="H814" s="27" t="s">
        <v>560</v>
      </c>
      <c r="I814" s="27" t="s">
        <v>560</v>
      </c>
      <c r="J814" s="29" t="s">
        <v>1694</v>
      </c>
      <c r="K814" s="29" t="s">
        <v>1694</v>
      </c>
      <c r="L814" s="29" t="s">
        <v>1774</v>
      </c>
      <c r="M814" s="29" t="s">
        <v>1779</v>
      </c>
      <c r="N814" s="29" t="s">
        <v>1518</v>
      </c>
      <c r="O814" s="29" t="s">
        <v>590</v>
      </c>
    </row>
    <row r="815" spans="1:15">
      <c r="A815" s="25">
        <v>1205</v>
      </c>
      <c r="B815" s="26" t="s">
        <v>1790</v>
      </c>
      <c r="C815" s="27" t="s">
        <v>521</v>
      </c>
      <c r="D815" s="27" t="s">
        <v>1468</v>
      </c>
      <c r="E815" s="28">
        <v>37907</v>
      </c>
      <c r="F815" s="28" t="s">
        <v>35</v>
      </c>
      <c r="G815" s="28" t="s">
        <v>35</v>
      </c>
      <c r="H815" s="27" t="s">
        <v>560</v>
      </c>
      <c r="I815" s="27" t="s">
        <v>560</v>
      </c>
      <c r="J815" s="29" t="s">
        <v>1694</v>
      </c>
      <c r="K815" s="29" t="s">
        <v>1694</v>
      </c>
      <c r="L815" s="29" t="s">
        <v>1774</v>
      </c>
      <c r="M815" s="29" t="s">
        <v>1520</v>
      </c>
      <c r="N815" s="29" t="s">
        <v>1541</v>
      </c>
      <c r="O815" s="29" t="s">
        <v>590</v>
      </c>
    </row>
    <row r="816" spans="1:15">
      <c r="A816" s="25">
        <v>10974</v>
      </c>
      <c r="B816" s="26" t="s">
        <v>1791</v>
      </c>
      <c r="C816" s="27" t="s">
        <v>521</v>
      </c>
      <c r="D816" s="27" t="s">
        <v>1792</v>
      </c>
      <c r="E816" s="28">
        <v>40582</v>
      </c>
      <c r="F816" s="28" t="s">
        <v>35</v>
      </c>
      <c r="G816" s="28" t="s">
        <v>35</v>
      </c>
      <c r="H816" s="27" t="s">
        <v>560</v>
      </c>
      <c r="I816" s="27" t="s">
        <v>560</v>
      </c>
      <c r="J816" s="27" t="s">
        <v>1694</v>
      </c>
      <c r="K816" s="27" t="s">
        <v>1694</v>
      </c>
      <c r="L816" s="27" t="s">
        <v>1774</v>
      </c>
      <c r="M816" s="29" t="s">
        <v>1783</v>
      </c>
      <c r="N816" s="29" t="s">
        <v>1518</v>
      </c>
      <c r="O816" s="29" t="s">
        <v>590</v>
      </c>
    </row>
    <row r="817" spans="1:15">
      <c r="A817" s="25">
        <v>21539</v>
      </c>
      <c r="B817" s="34" t="s">
        <v>1793</v>
      </c>
      <c r="C817" s="31" t="s">
        <v>521</v>
      </c>
      <c r="D817" s="31" t="s">
        <v>1760</v>
      </c>
      <c r="E817" s="28">
        <v>43045</v>
      </c>
      <c r="F817" s="28">
        <v>43435</v>
      </c>
      <c r="G817" s="28">
        <v>43799</v>
      </c>
      <c r="H817" s="29" t="s">
        <v>560</v>
      </c>
      <c r="I817" s="29" t="s">
        <v>560</v>
      </c>
      <c r="J817" s="29" t="s">
        <v>1694</v>
      </c>
      <c r="K817" s="29" t="s">
        <v>1694</v>
      </c>
      <c r="L817" s="29" t="s">
        <v>1774</v>
      </c>
      <c r="M817" s="29" t="s">
        <v>1520</v>
      </c>
      <c r="N817" s="29" t="s">
        <v>1541</v>
      </c>
      <c r="O817" s="29" t="s">
        <v>590</v>
      </c>
    </row>
    <row r="818" spans="1:15">
      <c r="A818" s="25">
        <v>21737</v>
      </c>
      <c r="B818" s="34" t="s">
        <v>1794</v>
      </c>
      <c r="C818" s="31" t="s">
        <v>521</v>
      </c>
      <c r="D818" s="31" t="s">
        <v>663</v>
      </c>
      <c r="E818" s="28">
        <v>43087</v>
      </c>
      <c r="F818" s="28">
        <v>43118</v>
      </c>
      <c r="G818" s="28">
        <v>43496</v>
      </c>
      <c r="H818" s="27" t="s">
        <v>560</v>
      </c>
      <c r="I818" s="27" t="s">
        <v>560</v>
      </c>
      <c r="J818" s="27" t="s">
        <v>1694</v>
      </c>
      <c r="K818" s="27" t="s">
        <v>1694</v>
      </c>
      <c r="L818" s="29" t="s">
        <v>1774</v>
      </c>
      <c r="M818" s="29" t="s">
        <v>1520</v>
      </c>
      <c r="N818" s="29" t="s">
        <v>1541</v>
      </c>
      <c r="O818" s="29" t="s">
        <v>590</v>
      </c>
    </row>
    <row r="819" spans="1:15">
      <c r="A819" s="25">
        <v>22226</v>
      </c>
      <c r="B819" s="34" t="s">
        <v>1795</v>
      </c>
      <c r="C819" s="31" t="s">
        <v>521</v>
      </c>
      <c r="D819" s="31" t="s">
        <v>1796</v>
      </c>
      <c r="E819" s="28">
        <v>43161</v>
      </c>
      <c r="F819" s="28">
        <v>43192</v>
      </c>
      <c r="G819" s="28">
        <v>43555</v>
      </c>
      <c r="H819" s="29" t="s">
        <v>560</v>
      </c>
      <c r="I819" s="29" t="s">
        <v>560</v>
      </c>
      <c r="J819" s="29" t="s">
        <v>1694</v>
      </c>
      <c r="K819" s="29" t="s">
        <v>1694</v>
      </c>
      <c r="L819" s="29" t="s">
        <v>1774</v>
      </c>
      <c r="M819" s="29" t="s">
        <v>1777</v>
      </c>
      <c r="N819" s="29" t="s">
        <v>1518</v>
      </c>
      <c r="O819" s="29" t="s">
        <v>590</v>
      </c>
    </row>
    <row r="820" spans="1:15">
      <c r="A820" s="25">
        <v>22798</v>
      </c>
      <c r="B820" s="34" t="s">
        <v>1797</v>
      </c>
      <c r="C820" s="31" t="s">
        <v>521</v>
      </c>
      <c r="D820" s="31" t="s">
        <v>1615</v>
      </c>
      <c r="E820" s="28">
        <v>43283</v>
      </c>
      <c r="F820" s="28">
        <v>43314</v>
      </c>
      <c r="G820" s="28">
        <v>43677</v>
      </c>
      <c r="H820" s="29" t="s">
        <v>560</v>
      </c>
      <c r="I820" s="29" t="s">
        <v>560</v>
      </c>
      <c r="J820" s="29" t="s">
        <v>1694</v>
      </c>
      <c r="K820" s="29" t="s">
        <v>1694</v>
      </c>
      <c r="L820" s="29" t="s">
        <v>1774</v>
      </c>
      <c r="M820" s="29" t="s">
        <v>1520</v>
      </c>
      <c r="N820" s="29" t="s">
        <v>1541</v>
      </c>
      <c r="O820" s="29" t="s">
        <v>590</v>
      </c>
    </row>
    <row r="821" spans="1:15">
      <c r="A821" s="25">
        <v>1455</v>
      </c>
      <c r="B821" s="26" t="s">
        <v>1798</v>
      </c>
      <c r="C821" s="27" t="s">
        <v>521</v>
      </c>
      <c r="D821" s="27" t="s">
        <v>1799</v>
      </c>
      <c r="E821" s="28">
        <v>37977</v>
      </c>
      <c r="F821" s="28" t="s">
        <v>35</v>
      </c>
      <c r="G821" s="28" t="s">
        <v>35</v>
      </c>
      <c r="H821" s="27" t="s">
        <v>560</v>
      </c>
      <c r="I821" s="27" t="s">
        <v>560</v>
      </c>
      <c r="J821" s="29" t="s">
        <v>1654</v>
      </c>
      <c r="K821" s="29" t="s">
        <v>1800</v>
      </c>
      <c r="L821" s="29" t="s">
        <v>1801</v>
      </c>
      <c r="M821" s="29" t="s">
        <v>1802</v>
      </c>
      <c r="N821" s="29" t="s">
        <v>1518</v>
      </c>
      <c r="O821" s="29" t="s">
        <v>594</v>
      </c>
    </row>
    <row r="822" spans="1:15">
      <c r="A822" s="25">
        <v>21490</v>
      </c>
      <c r="B822" s="34" t="s">
        <v>1803</v>
      </c>
      <c r="C822" s="31" t="s">
        <v>521</v>
      </c>
      <c r="D822" s="31" t="s">
        <v>1804</v>
      </c>
      <c r="E822" s="28">
        <v>43031</v>
      </c>
      <c r="F822" s="28">
        <v>43435</v>
      </c>
      <c r="G822" s="28">
        <v>43799</v>
      </c>
      <c r="H822" s="29" t="s">
        <v>560</v>
      </c>
      <c r="I822" s="29" t="s">
        <v>560</v>
      </c>
      <c r="J822" s="29" t="s">
        <v>1654</v>
      </c>
      <c r="K822" s="29" t="s">
        <v>1800</v>
      </c>
      <c r="L822" s="29" t="s">
        <v>1801</v>
      </c>
      <c r="M822" s="29" t="s">
        <v>1805</v>
      </c>
      <c r="N822" s="29" t="s">
        <v>1518</v>
      </c>
      <c r="O822" s="29" t="s">
        <v>594</v>
      </c>
    </row>
    <row r="823" spans="1:15">
      <c r="A823" s="25">
        <v>21665</v>
      </c>
      <c r="B823" s="34" t="s">
        <v>1806</v>
      </c>
      <c r="C823" s="31" t="s">
        <v>521</v>
      </c>
      <c r="D823" s="31" t="s">
        <v>1053</v>
      </c>
      <c r="E823" s="28">
        <v>43055</v>
      </c>
      <c r="F823" s="28">
        <v>43466</v>
      </c>
      <c r="G823" s="28">
        <v>43830</v>
      </c>
      <c r="H823" s="29" t="s">
        <v>560</v>
      </c>
      <c r="I823" s="29" t="s">
        <v>560</v>
      </c>
      <c r="J823" s="29" t="s">
        <v>1654</v>
      </c>
      <c r="K823" s="29" t="s">
        <v>1800</v>
      </c>
      <c r="L823" s="29" t="s">
        <v>1801</v>
      </c>
      <c r="M823" s="29" t="s">
        <v>1807</v>
      </c>
      <c r="N823" s="29" t="s">
        <v>1518</v>
      </c>
      <c r="O823" s="29" t="s">
        <v>594</v>
      </c>
    </row>
    <row r="824" spans="1:15">
      <c r="A824" s="25">
        <v>1235</v>
      </c>
      <c r="B824" s="26" t="s">
        <v>1808</v>
      </c>
      <c r="C824" s="27" t="s">
        <v>521</v>
      </c>
      <c r="D824" s="27" t="s">
        <v>1487</v>
      </c>
      <c r="E824" s="28">
        <v>37914</v>
      </c>
      <c r="F824" s="28" t="s">
        <v>35</v>
      </c>
      <c r="G824" s="28" t="s">
        <v>35</v>
      </c>
      <c r="H824" s="27" t="s">
        <v>560</v>
      </c>
      <c r="I824" s="27" t="s">
        <v>560</v>
      </c>
      <c r="J824" s="27" t="s">
        <v>1654</v>
      </c>
      <c r="K824" s="27" t="s">
        <v>1800</v>
      </c>
      <c r="L824" s="27" t="s">
        <v>1801</v>
      </c>
      <c r="M824" s="29" t="s">
        <v>1809</v>
      </c>
      <c r="N824" s="29" t="s">
        <v>1518</v>
      </c>
      <c r="O824" s="29" t="s">
        <v>590</v>
      </c>
    </row>
    <row r="825" spans="1:15">
      <c r="A825" s="25">
        <v>10192</v>
      </c>
      <c r="B825" s="26" t="s">
        <v>488</v>
      </c>
      <c r="C825" s="27" t="s">
        <v>521</v>
      </c>
      <c r="D825" s="27" t="s">
        <v>787</v>
      </c>
      <c r="E825" s="28">
        <v>40458</v>
      </c>
      <c r="F825" s="28" t="s">
        <v>35</v>
      </c>
      <c r="G825" s="28" t="s">
        <v>35</v>
      </c>
      <c r="H825" s="27" t="s">
        <v>560</v>
      </c>
      <c r="I825" s="27" t="s">
        <v>560</v>
      </c>
      <c r="J825" s="27" t="s">
        <v>1654</v>
      </c>
      <c r="K825" s="27" t="s">
        <v>1800</v>
      </c>
      <c r="L825" s="29" t="s">
        <v>1801</v>
      </c>
      <c r="M825" s="29" t="s">
        <v>1810</v>
      </c>
      <c r="N825" s="29" t="s">
        <v>1518</v>
      </c>
      <c r="O825" s="29" t="s">
        <v>590</v>
      </c>
    </row>
    <row r="826" spans="1:15">
      <c r="A826" s="25">
        <v>20828</v>
      </c>
      <c r="B826" s="26" t="s">
        <v>1811</v>
      </c>
      <c r="C826" s="27" t="s">
        <v>521</v>
      </c>
      <c r="D826" s="27" t="s">
        <v>1684</v>
      </c>
      <c r="E826" s="28">
        <v>42649</v>
      </c>
      <c r="F826" s="28">
        <v>43132</v>
      </c>
      <c r="G826" s="28">
        <v>43496</v>
      </c>
      <c r="H826" s="29" t="s">
        <v>560</v>
      </c>
      <c r="I826" s="29" t="s">
        <v>560</v>
      </c>
      <c r="J826" s="29" t="s">
        <v>1654</v>
      </c>
      <c r="K826" s="29" t="s">
        <v>1800</v>
      </c>
      <c r="L826" s="29" t="s">
        <v>1801</v>
      </c>
      <c r="M826" s="29" t="s">
        <v>1513</v>
      </c>
      <c r="N826" s="29" t="s">
        <v>1514</v>
      </c>
      <c r="O826" s="29" t="s">
        <v>590</v>
      </c>
    </row>
    <row r="827" spans="1:15">
      <c r="A827" s="25">
        <v>10059</v>
      </c>
      <c r="B827" s="26" t="s">
        <v>1812</v>
      </c>
      <c r="C827" s="27" t="s">
        <v>521</v>
      </c>
      <c r="D827" s="27" t="s">
        <v>762</v>
      </c>
      <c r="E827" s="28">
        <v>40438</v>
      </c>
      <c r="F827" s="28" t="s">
        <v>35</v>
      </c>
      <c r="G827" s="28" t="s">
        <v>35</v>
      </c>
      <c r="H827" s="27" t="s">
        <v>560</v>
      </c>
      <c r="I827" s="27" t="s">
        <v>560</v>
      </c>
      <c r="J827" s="29" t="s">
        <v>1813</v>
      </c>
      <c r="K827" s="29" t="s">
        <v>1813</v>
      </c>
      <c r="L827" s="29" t="s">
        <v>1814</v>
      </c>
      <c r="M827" s="29" t="s">
        <v>1815</v>
      </c>
      <c r="N827" s="29" t="s">
        <v>1518</v>
      </c>
      <c r="O827" s="29" t="s">
        <v>594</v>
      </c>
    </row>
    <row r="828" spans="1:15">
      <c r="A828" s="25">
        <v>21545</v>
      </c>
      <c r="B828" s="34" t="s">
        <v>1816</v>
      </c>
      <c r="C828" s="31" t="s">
        <v>521</v>
      </c>
      <c r="D828" s="31" t="s">
        <v>1760</v>
      </c>
      <c r="E828" s="28">
        <v>43045</v>
      </c>
      <c r="F828" s="28">
        <v>43435</v>
      </c>
      <c r="G828" s="28">
        <v>43799</v>
      </c>
      <c r="H828" s="29" t="s">
        <v>560</v>
      </c>
      <c r="I828" s="29" t="s">
        <v>560</v>
      </c>
      <c r="J828" s="29" t="s">
        <v>1813</v>
      </c>
      <c r="K828" s="29" t="s">
        <v>1813</v>
      </c>
      <c r="L828" s="29" t="s">
        <v>1814</v>
      </c>
      <c r="M828" s="29" t="s">
        <v>1513</v>
      </c>
      <c r="N828" s="29" t="s">
        <v>1514</v>
      </c>
      <c r="O828" s="29" t="s">
        <v>594</v>
      </c>
    </row>
    <row r="829" spans="1:15">
      <c r="A829" s="25">
        <v>21796</v>
      </c>
      <c r="B829" s="34" t="s">
        <v>1817</v>
      </c>
      <c r="C829" s="31" t="s">
        <v>521</v>
      </c>
      <c r="D829" s="31" t="s">
        <v>1609</v>
      </c>
      <c r="E829" s="28">
        <v>43090</v>
      </c>
      <c r="F829" s="28">
        <v>43121</v>
      </c>
      <c r="G829" s="28">
        <v>43496</v>
      </c>
      <c r="H829" s="29" t="s">
        <v>560</v>
      </c>
      <c r="I829" s="29" t="s">
        <v>560</v>
      </c>
      <c r="J829" s="29" t="s">
        <v>1813</v>
      </c>
      <c r="K829" s="29" t="s">
        <v>1813</v>
      </c>
      <c r="L829" s="29" t="s">
        <v>1814</v>
      </c>
      <c r="M829" s="29" t="s">
        <v>1513</v>
      </c>
      <c r="N829" s="29" t="s">
        <v>1514</v>
      </c>
      <c r="O829" s="29" t="s">
        <v>594</v>
      </c>
    </row>
    <row r="830" spans="1:15">
      <c r="A830" s="25">
        <v>22593</v>
      </c>
      <c r="B830" s="34" t="s">
        <v>1818</v>
      </c>
      <c r="C830" s="31" t="s">
        <v>521</v>
      </c>
      <c r="D830" s="31" t="s">
        <v>745</v>
      </c>
      <c r="E830" s="28">
        <v>43236</v>
      </c>
      <c r="F830" s="28">
        <v>43267</v>
      </c>
      <c r="G830" s="28">
        <v>43646</v>
      </c>
      <c r="H830" s="29" t="s">
        <v>560</v>
      </c>
      <c r="I830" s="29" t="s">
        <v>560</v>
      </c>
      <c r="J830" s="29" t="s">
        <v>1813</v>
      </c>
      <c r="K830" s="29" t="s">
        <v>1813</v>
      </c>
      <c r="L830" s="29" t="s">
        <v>1814</v>
      </c>
      <c r="M830" s="29" t="s">
        <v>1819</v>
      </c>
      <c r="N830" s="29" t="s">
        <v>1518</v>
      </c>
      <c r="O830" s="29" t="s">
        <v>594</v>
      </c>
    </row>
    <row r="831" spans="1:15">
      <c r="A831" s="25">
        <v>8682</v>
      </c>
      <c r="B831" s="33" t="s">
        <v>1820</v>
      </c>
      <c r="C831" s="27" t="s">
        <v>521</v>
      </c>
      <c r="D831" s="27" t="s">
        <v>692</v>
      </c>
      <c r="E831" s="28">
        <v>39888</v>
      </c>
      <c r="F831" s="28" t="s">
        <v>35</v>
      </c>
      <c r="G831" s="28" t="s">
        <v>35</v>
      </c>
      <c r="H831" s="29" t="s">
        <v>560</v>
      </c>
      <c r="I831" s="29" t="s">
        <v>560</v>
      </c>
      <c r="J831" s="29" t="s">
        <v>1813</v>
      </c>
      <c r="K831" s="29" t="s">
        <v>1813</v>
      </c>
      <c r="L831" s="29" t="s">
        <v>1814</v>
      </c>
      <c r="M831" s="29" t="s">
        <v>1513</v>
      </c>
      <c r="N831" s="29" t="s">
        <v>1514</v>
      </c>
      <c r="O831" s="29" t="s">
        <v>590</v>
      </c>
    </row>
    <row r="832" spans="1:15">
      <c r="A832" s="25">
        <v>12460</v>
      </c>
      <c r="B832" s="26" t="s">
        <v>1821</v>
      </c>
      <c r="C832" s="27" t="s">
        <v>521</v>
      </c>
      <c r="D832" s="27" t="s">
        <v>722</v>
      </c>
      <c r="E832" s="28">
        <v>40812</v>
      </c>
      <c r="F832" s="28" t="s">
        <v>35</v>
      </c>
      <c r="G832" s="28" t="s">
        <v>35</v>
      </c>
      <c r="H832" s="27" t="s">
        <v>560</v>
      </c>
      <c r="I832" s="27" t="s">
        <v>560</v>
      </c>
      <c r="J832" s="29" t="s">
        <v>1813</v>
      </c>
      <c r="K832" s="29" t="s">
        <v>1813</v>
      </c>
      <c r="L832" s="29" t="s">
        <v>1814</v>
      </c>
      <c r="M832" s="29" t="s">
        <v>1513</v>
      </c>
      <c r="N832" s="29" t="s">
        <v>1514</v>
      </c>
      <c r="O832" s="29" t="s">
        <v>590</v>
      </c>
    </row>
    <row r="833" spans="1:15">
      <c r="A833" s="25">
        <v>22204</v>
      </c>
      <c r="B833" s="34" t="s">
        <v>1822</v>
      </c>
      <c r="C833" s="31" t="s">
        <v>521</v>
      </c>
      <c r="D833" s="31" t="s">
        <v>1201</v>
      </c>
      <c r="E833" s="28">
        <v>43158</v>
      </c>
      <c r="F833" s="28">
        <v>43186</v>
      </c>
      <c r="G833" s="28">
        <v>43555</v>
      </c>
      <c r="H833" s="29" t="s">
        <v>560</v>
      </c>
      <c r="I833" s="29" t="s">
        <v>560</v>
      </c>
      <c r="J833" s="29" t="s">
        <v>1813</v>
      </c>
      <c r="K833" s="29" t="s">
        <v>1813</v>
      </c>
      <c r="L833" s="29" t="s">
        <v>1814</v>
      </c>
      <c r="M833" s="29" t="s">
        <v>1823</v>
      </c>
      <c r="N833" s="29" t="s">
        <v>1586</v>
      </c>
      <c r="O833" s="29" t="s">
        <v>590</v>
      </c>
    </row>
    <row r="834" spans="1:15">
      <c r="A834" s="25">
        <v>22804</v>
      </c>
      <c r="B834" s="34" t="s">
        <v>1824</v>
      </c>
      <c r="C834" s="31" t="s">
        <v>521</v>
      </c>
      <c r="D834" s="31" t="s">
        <v>775</v>
      </c>
      <c r="E834" s="28">
        <v>43333</v>
      </c>
      <c r="F834" s="28">
        <v>43364</v>
      </c>
      <c r="G834" s="28">
        <v>43738</v>
      </c>
      <c r="H834" s="29" t="s">
        <v>560</v>
      </c>
      <c r="I834" s="29" t="s">
        <v>560</v>
      </c>
      <c r="J834" s="29" t="s">
        <v>1813</v>
      </c>
      <c r="K834" s="29" t="s">
        <v>1813</v>
      </c>
      <c r="L834" s="29" t="s">
        <v>1814</v>
      </c>
      <c r="M834" s="29" t="s">
        <v>1819</v>
      </c>
      <c r="N834" s="29" t="s">
        <v>1518</v>
      </c>
      <c r="O834" s="29" t="s">
        <v>590</v>
      </c>
    </row>
    <row r="835" spans="1:15">
      <c r="A835" s="25">
        <v>1226</v>
      </c>
      <c r="B835" s="26" t="s">
        <v>416</v>
      </c>
      <c r="C835" s="27" t="s">
        <v>521</v>
      </c>
      <c r="D835" s="27" t="s">
        <v>1487</v>
      </c>
      <c r="E835" s="28">
        <v>37914</v>
      </c>
      <c r="F835" s="28" t="s">
        <v>35</v>
      </c>
      <c r="G835" s="28" t="s">
        <v>35</v>
      </c>
      <c r="H835" s="29" t="s">
        <v>560</v>
      </c>
      <c r="I835" s="29" t="s">
        <v>560</v>
      </c>
      <c r="J835" s="29" t="s">
        <v>1825</v>
      </c>
      <c r="K835" s="29" t="s">
        <v>1825</v>
      </c>
      <c r="L835" s="29" t="s">
        <v>1826</v>
      </c>
      <c r="M835" s="29" t="s">
        <v>1827</v>
      </c>
      <c r="N835" s="29" t="s">
        <v>1518</v>
      </c>
      <c r="O835" s="29" t="s">
        <v>594</v>
      </c>
    </row>
    <row r="836" spans="1:15">
      <c r="A836" s="25">
        <v>1498</v>
      </c>
      <c r="B836" s="26" t="s">
        <v>1828</v>
      </c>
      <c r="C836" s="27" t="s">
        <v>521</v>
      </c>
      <c r="D836" s="27" t="s">
        <v>1829</v>
      </c>
      <c r="E836" s="28">
        <v>37984</v>
      </c>
      <c r="F836" s="28" t="s">
        <v>35</v>
      </c>
      <c r="G836" s="28" t="s">
        <v>35</v>
      </c>
      <c r="H836" s="27" t="s">
        <v>560</v>
      </c>
      <c r="I836" s="27" t="s">
        <v>560</v>
      </c>
      <c r="J836" s="29" t="s">
        <v>1825</v>
      </c>
      <c r="K836" s="29" t="s">
        <v>1825</v>
      </c>
      <c r="L836" s="29" t="s">
        <v>1826</v>
      </c>
      <c r="M836" s="29" t="s">
        <v>1830</v>
      </c>
      <c r="N836" s="29" t="s">
        <v>1518</v>
      </c>
      <c r="O836" s="29" t="s">
        <v>594</v>
      </c>
    </row>
    <row r="837" spans="1:15">
      <c r="A837" s="25">
        <v>5233</v>
      </c>
      <c r="B837" s="34" t="s">
        <v>194</v>
      </c>
      <c r="C837" s="31" t="s">
        <v>521</v>
      </c>
      <c r="D837" s="31" t="s">
        <v>1130</v>
      </c>
      <c r="E837" s="28">
        <v>38961</v>
      </c>
      <c r="F837" s="28" t="s">
        <v>35</v>
      </c>
      <c r="G837" s="28" t="s">
        <v>35</v>
      </c>
      <c r="H837" s="29" t="s">
        <v>560</v>
      </c>
      <c r="I837" s="29" t="s">
        <v>560</v>
      </c>
      <c r="J837" s="29" t="s">
        <v>1825</v>
      </c>
      <c r="K837" s="29" t="s">
        <v>1825</v>
      </c>
      <c r="L837" s="29" t="s">
        <v>1826</v>
      </c>
      <c r="M837" s="29" t="s">
        <v>1513</v>
      </c>
      <c r="N837" s="29" t="s">
        <v>1514</v>
      </c>
      <c r="O837" s="29" t="s">
        <v>594</v>
      </c>
    </row>
    <row r="838" spans="1:15">
      <c r="A838" s="25">
        <v>5698</v>
      </c>
      <c r="B838" s="34" t="s">
        <v>1831</v>
      </c>
      <c r="C838" s="31" t="s">
        <v>521</v>
      </c>
      <c r="D838" s="31" t="s">
        <v>790</v>
      </c>
      <c r="E838" s="28">
        <v>39098</v>
      </c>
      <c r="F838" s="28" t="s">
        <v>35</v>
      </c>
      <c r="G838" s="28" t="s">
        <v>35</v>
      </c>
      <c r="H838" s="29" t="s">
        <v>560</v>
      </c>
      <c r="I838" s="29" t="s">
        <v>560</v>
      </c>
      <c r="J838" s="29" t="s">
        <v>1825</v>
      </c>
      <c r="K838" s="29" t="s">
        <v>1825</v>
      </c>
      <c r="L838" s="29" t="s">
        <v>1826</v>
      </c>
      <c r="M838" s="29" t="s">
        <v>1832</v>
      </c>
      <c r="N838" s="29" t="s">
        <v>1518</v>
      </c>
      <c r="O838" s="29" t="s">
        <v>594</v>
      </c>
    </row>
    <row r="839" spans="1:15">
      <c r="A839" s="25">
        <v>8845</v>
      </c>
      <c r="B839" s="26" t="s">
        <v>1833</v>
      </c>
      <c r="C839" s="27" t="s">
        <v>521</v>
      </c>
      <c r="D839" s="27" t="s">
        <v>813</v>
      </c>
      <c r="E839" s="28">
        <v>39937</v>
      </c>
      <c r="F839" s="28" t="s">
        <v>35</v>
      </c>
      <c r="G839" s="28" t="s">
        <v>35</v>
      </c>
      <c r="H839" s="27" t="s">
        <v>560</v>
      </c>
      <c r="I839" s="27" t="s">
        <v>560</v>
      </c>
      <c r="J839" s="29" t="s">
        <v>1825</v>
      </c>
      <c r="K839" s="29" t="s">
        <v>1825</v>
      </c>
      <c r="L839" s="29" t="s">
        <v>1826</v>
      </c>
      <c r="M839" s="29" t="s">
        <v>1834</v>
      </c>
      <c r="N839" s="29" t="s">
        <v>1518</v>
      </c>
      <c r="O839" s="29" t="s">
        <v>594</v>
      </c>
    </row>
    <row r="840" spans="1:15">
      <c r="A840" s="25">
        <v>9693</v>
      </c>
      <c r="B840" s="26" t="s">
        <v>1835</v>
      </c>
      <c r="C840" s="27" t="s">
        <v>521</v>
      </c>
      <c r="D840" s="27" t="s">
        <v>677</v>
      </c>
      <c r="E840" s="28">
        <v>40297</v>
      </c>
      <c r="F840" s="28" t="s">
        <v>35</v>
      </c>
      <c r="G840" s="28" t="s">
        <v>35</v>
      </c>
      <c r="H840" s="29" t="s">
        <v>560</v>
      </c>
      <c r="I840" s="29" t="s">
        <v>560</v>
      </c>
      <c r="J840" s="29" t="s">
        <v>1825</v>
      </c>
      <c r="K840" s="29" t="s">
        <v>1825</v>
      </c>
      <c r="L840" s="29" t="s">
        <v>1826</v>
      </c>
      <c r="M840" s="29" t="s">
        <v>1513</v>
      </c>
      <c r="N840" s="29" t="s">
        <v>1514</v>
      </c>
      <c r="O840" s="29" t="s">
        <v>594</v>
      </c>
    </row>
    <row r="841" spans="1:15">
      <c r="A841" s="25">
        <v>21001</v>
      </c>
      <c r="B841" s="33" t="s">
        <v>1836</v>
      </c>
      <c r="C841" s="27" t="s">
        <v>521</v>
      </c>
      <c r="D841" s="27" t="s">
        <v>1184</v>
      </c>
      <c r="E841" s="28">
        <v>42674</v>
      </c>
      <c r="F841" s="28">
        <v>43160</v>
      </c>
      <c r="G841" s="28">
        <v>43524</v>
      </c>
      <c r="H841" s="31" t="s">
        <v>560</v>
      </c>
      <c r="I841" s="31" t="s">
        <v>560</v>
      </c>
      <c r="J841" s="29" t="s">
        <v>1825</v>
      </c>
      <c r="K841" s="29" t="s">
        <v>1825</v>
      </c>
      <c r="L841" s="29" t="s">
        <v>1826</v>
      </c>
      <c r="M841" s="29" t="s">
        <v>1837</v>
      </c>
      <c r="N841" s="29" t="s">
        <v>1518</v>
      </c>
      <c r="O841" s="29" t="s">
        <v>594</v>
      </c>
    </row>
    <row r="842" spans="1:15">
      <c r="A842" s="25">
        <v>21290</v>
      </c>
      <c r="B842" s="34" t="s">
        <v>1838</v>
      </c>
      <c r="C842" s="31" t="s">
        <v>521</v>
      </c>
      <c r="D842" s="31" t="s">
        <v>1595</v>
      </c>
      <c r="E842" s="28">
        <v>43010</v>
      </c>
      <c r="F842" s="28">
        <v>43405</v>
      </c>
      <c r="G842" s="28">
        <v>43769</v>
      </c>
      <c r="H842" s="29" t="s">
        <v>560</v>
      </c>
      <c r="I842" s="29" t="s">
        <v>560</v>
      </c>
      <c r="J842" s="29" t="s">
        <v>1825</v>
      </c>
      <c r="K842" s="29" t="s">
        <v>1825</v>
      </c>
      <c r="L842" s="29" t="s">
        <v>1826</v>
      </c>
      <c r="M842" s="29" t="s">
        <v>1839</v>
      </c>
      <c r="N842" s="29" t="s">
        <v>1518</v>
      </c>
      <c r="O842" s="29" t="s">
        <v>594</v>
      </c>
    </row>
    <row r="843" spans="1:15">
      <c r="A843" s="25">
        <v>22332</v>
      </c>
      <c r="B843" s="34" t="s">
        <v>1840</v>
      </c>
      <c r="C843" s="31" t="s">
        <v>521</v>
      </c>
      <c r="D843" s="31" t="s">
        <v>694</v>
      </c>
      <c r="E843" s="28">
        <v>43195</v>
      </c>
      <c r="F843" s="28">
        <v>43225</v>
      </c>
      <c r="G843" s="28">
        <v>43585</v>
      </c>
      <c r="H843" s="29" t="s">
        <v>560</v>
      </c>
      <c r="I843" s="29" t="s">
        <v>560</v>
      </c>
      <c r="J843" s="29" t="s">
        <v>1825</v>
      </c>
      <c r="K843" s="29" t="s">
        <v>1825</v>
      </c>
      <c r="L843" s="29" t="s">
        <v>1826</v>
      </c>
      <c r="M843" s="29" t="s">
        <v>1513</v>
      </c>
      <c r="N843" s="29" t="s">
        <v>1514</v>
      </c>
      <c r="O843" s="29" t="s">
        <v>594</v>
      </c>
    </row>
    <row r="844" spans="1:15">
      <c r="A844" s="25">
        <v>22377</v>
      </c>
      <c r="B844" s="34" t="s">
        <v>1841</v>
      </c>
      <c r="C844" s="31" t="s">
        <v>521</v>
      </c>
      <c r="D844" s="31" t="s">
        <v>805</v>
      </c>
      <c r="E844" s="28">
        <v>43213</v>
      </c>
      <c r="F844" s="28">
        <v>43243</v>
      </c>
      <c r="G844" s="28">
        <v>43616</v>
      </c>
      <c r="H844" s="29" t="s">
        <v>560</v>
      </c>
      <c r="I844" s="29" t="s">
        <v>560</v>
      </c>
      <c r="J844" s="29" t="s">
        <v>1825</v>
      </c>
      <c r="K844" s="29" t="s">
        <v>1825</v>
      </c>
      <c r="L844" s="29" t="s">
        <v>1826</v>
      </c>
      <c r="M844" s="29" t="s">
        <v>1520</v>
      </c>
      <c r="N844" s="29" t="s">
        <v>1541</v>
      </c>
      <c r="O844" s="29" t="s">
        <v>594</v>
      </c>
    </row>
    <row r="845" spans="1:15">
      <c r="A845" s="25">
        <v>22428</v>
      </c>
      <c r="B845" s="34" t="s">
        <v>1842</v>
      </c>
      <c r="C845" s="31" t="s">
        <v>521</v>
      </c>
      <c r="D845" s="31" t="s">
        <v>805</v>
      </c>
      <c r="E845" s="28">
        <v>43213</v>
      </c>
      <c r="F845" s="28">
        <v>43243</v>
      </c>
      <c r="G845" s="28">
        <v>43616</v>
      </c>
      <c r="H845" s="29" t="s">
        <v>560</v>
      </c>
      <c r="I845" s="29" t="s">
        <v>560</v>
      </c>
      <c r="J845" s="29" t="s">
        <v>1825</v>
      </c>
      <c r="K845" s="29" t="s">
        <v>1825</v>
      </c>
      <c r="L845" s="29" t="s">
        <v>1826</v>
      </c>
      <c r="M845" s="29" t="s">
        <v>1513</v>
      </c>
      <c r="N845" s="29" t="s">
        <v>1514</v>
      </c>
      <c r="O845" s="29" t="s">
        <v>594</v>
      </c>
    </row>
    <row r="846" spans="1:15">
      <c r="A846" s="25">
        <v>23145</v>
      </c>
      <c r="B846" s="34" t="s">
        <v>1843</v>
      </c>
      <c r="C846" s="31" t="s">
        <v>521</v>
      </c>
      <c r="D846" s="31" t="s">
        <v>1523</v>
      </c>
      <c r="E846" s="28">
        <v>43369</v>
      </c>
      <c r="F846" s="28">
        <v>43399</v>
      </c>
      <c r="G846" s="28">
        <v>43769</v>
      </c>
      <c r="H846" s="29" t="s">
        <v>560</v>
      </c>
      <c r="I846" s="29" t="s">
        <v>560</v>
      </c>
      <c r="J846" s="29" t="s">
        <v>1825</v>
      </c>
      <c r="K846" s="29" t="s">
        <v>1825</v>
      </c>
      <c r="L846" s="29" t="s">
        <v>1826</v>
      </c>
      <c r="M846" s="29" t="s">
        <v>1520</v>
      </c>
      <c r="N846" s="29" t="s">
        <v>1541</v>
      </c>
      <c r="O846" s="29" t="s">
        <v>594</v>
      </c>
    </row>
    <row r="847" spans="1:15">
      <c r="A847" s="25" t="s">
        <v>1844</v>
      </c>
      <c r="B847" s="26" t="s">
        <v>1845</v>
      </c>
      <c r="C847" s="27" t="s">
        <v>521</v>
      </c>
      <c r="D847" s="27" t="s">
        <v>1846</v>
      </c>
      <c r="E847" s="28">
        <v>40840</v>
      </c>
      <c r="F847" s="28" t="s">
        <v>35</v>
      </c>
      <c r="G847" s="28" t="s">
        <v>35</v>
      </c>
      <c r="H847" s="27" t="s">
        <v>560</v>
      </c>
      <c r="I847" s="27" t="s">
        <v>560</v>
      </c>
      <c r="J847" s="29" t="s">
        <v>1825</v>
      </c>
      <c r="K847" s="29" t="s">
        <v>1825</v>
      </c>
      <c r="L847" s="29" t="s">
        <v>1826</v>
      </c>
      <c r="M847" s="29" t="s">
        <v>1847</v>
      </c>
      <c r="N847" s="29" t="s">
        <v>1518</v>
      </c>
      <c r="O847" s="29" t="s">
        <v>594</v>
      </c>
    </row>
    <row r="848" spans="1:15">
      <c r="A848" s="25" t="s">
        <v>1848</v>
      </c>
      <c r="B848" s="26" t="s">
        <v>1849</v>
      </c>
      <c r="C848" s="27" t="s">
        <v>521</v>
      </c>
      <c r="D848" s="27" t="s">
        <v>1846</v>
      </c>
      <c r="E848" s="28">
        <v>40840</v>
      </c>
      <c r="F848" s="28" t="s">
        <v>35</v>
      </c>
      <c r="G848" s="28" t="s">
        <v>35</v>
      </c>
      <c r="H848" s="27" t="s">
        <v>560</v>
      </c>
      <c r="I848" s="27" t="s">
        <v>560</v>
      </c>
      <c r="J848" s="29" t="s">
        <v>1825</v>
      </c>
      <c r="K848" s="29" t="s">
        <v>1825</v>
      </c>
      <c r="L848" s="29" t="s">
        <v>1826</v>
      </c>
      <c r="M848" s="29" t="s">
        <v>1850</v>
      </c>
      <c r="N848" s="29" t="s">
        <v>1518</v>
      </c>
      <c r="O848" s="29" t="s">
        <v>594</v>
      </c>
    </row>
    <row r="849" spans="1:15">
      <c r="A849" s="25" t="s">
        <v>1851</v>
      </c>
      <c r="B849" s="26" t="s">
        <v>1852</v>
      </c>
      <c r="C849" s="27" t="s">
        <v>521</v>
      </c>
      <c r="D849" s="27" t="s">
        <v>1853</v>
      </c>
      <c r="E849" s="28">
        <v>40896</v>
      </c>
      <c r="F849" s="28" t="s">
        <v>35</v>
      </c>
      <c r="G849" s="28" t="s">
        <v>35</v>
      </c>
      <c r="H849" s="27" t="s">
        <v>560</v>
      </c>
      <c r="I849" s="27" t="s">
        <v>560</v>
      </c>
      <c r="J849" s="29" t="s">
        <v>1825</v>
      </c>
      <c r="K849" s="29" t="s">
        <v>1825</v>
      </c>
      <c r="L849" s="29" t="s">
        <v>1826</v>
      </c>
      <c r="M849" s="29" t="s">
        <v>1854</v>
      </c>
      <c r="N849" s="29" t="s">
        <v>1518</v>
      </c>
      <c r="O849" s="29" t="s">
        <v>594</v>
      </c>
    </row>
    <row r="850" spans="1:15">
      <c r="A850" s="25" t="s">
        <v>1855</v>
      </c>
      <c r="B850" s="32" t="s">
        <v>284</v>
      </c>
      <c r="C850" s="27" t="s">
        <v>521</v>
      </c>
      <c r="D850" s="27" t="s">
        <v>1856</v>
      </c>
      <c r="E850" s="28">
        <v>40955</v>
      </c>
      <c r="F850" s="28" t="s">
        <v>35</v>
      </c>
      <c r="G850" s="28" t="s">
        <v>35</v>
      </c>
      <c r="H850" s="29" t="s">
        <v>560</v>
      </c>
      <c r="I850" s="29" t="s">
        <v>560</v>
      </c>
      <c r="J850" s="29" t="s">
        <v>1825</v>
      </c>
      <c r="K850" s="29" t="s">
        <v>1825</v>
      </c>
      <c r="L850" s="29" t="s">
        <v>1826</v>
      </c>
      <c r="M850" s="29" t="s">
        <v>1513</v>
      </c>
      <c r="N850" s="29" t="s">
        <v>1514</v>
      </c>
      <c r="O850" s="29" t="s">
        <v>594</v>
      </c>
    </row>
    <row r="851" spans="1:15">
      <c r="A851" s="25" t="s">
        <v>1857</v>
      </c>
      <c r="B851" s="34" t="s">
        <v>1858</v>
      </c>
      <c r="C851" s="31" t="s">
        <v>521</v>
      </c>
      <c r="D851" s="31" t="s">
        <v>1859</v>
      </c>
      <c r="E851" s="28">
        <v>41015</v>
      </c>
      <c r="F851" s="28" t="s">
        <v>35</v>
      </c>
      <c r="G851" s="28" t="s">
        <v>35</v>
      </c>
      <c r="H851" s="29" t="s">
        <v>560</v>
      </c>
      <c r="I851" s="29" t="s">
        <v>560</v>
      </c>
      <c r="J851" s="29" t="s">
        <v>1825</v>
      </c>
      <c r="K851" s="29" t="s">
        <v>1825</v>
      </c>
      <c r="L851" s="29" t="s">
        <v>1826</v>
      </c>
      <c r="M851" s="29" t="s">
        <v>1513</v>
      </c>
      <c r="N851" s="29" t="s">
        <v>1514</v>
      </c>
      <c r="O851" s="29" t="s">
        <v>594</v>
      </c>
    </row>
    <row r="852" spans="1:15">
      <c r="A852" s="25" t="s">
        <v>1860</v>
      </c>
      <c r="B852" s="26" t="s">
        <v>1861</v>
      </c>
      <c r="C852" s="27" t="s">
        <v>521</v>
      </c>
      <c r="D852" s="27" t="s">
        <v>1862</v>
      </c>
      <c r="E852" s="28">
        <v>41205</v>
      </c>
      <c r="F852" s="28" t="s">
        <v>35</v>
      </c>
      <c r="G852" s="28" t="s">
        <v>35</v>
      </c>
      <c r="H852" s="27" t="s">
        <v>560</v>
      </c>
      <c r="I852" s="27" t="s">
        <v>560</v>
      </c>
      <c r="J852" s="29" t="s">
        <v>1825</v>
      </c>
      <c r="K852" s="29" t="s">
        <v>1825</v>
      </c>
      <c r="L852" s="29" t="s">
        <v>1826</v>
      </c>
      <c r="M852" s="29" t="s">
        <v>1863</v>
      </c>
      <c r="N852" s="29" t="s">
        <v>1518</v>
      </c>
      <c r="O852" s="29" t="s">
        <v>594</v>
      </c>
    </row>
    <row r="853" spans="1:15">
      <c r="A853" s="25" t="s">
        <v>1864</v>
      </c>
      <c r="B853" s="26" t="s">
        <v>1865</v>
      </c>
      <c r="C853" s="27" t="s">
        <v>521</v>
      </c>
      <c r="D853" s="27" t="s">
        <v>1866</v>
      </c>
      <c r="E853" s="28">
        <v>41295</v>
      </c>
      <c r="F853" s="28" t="s">
        <v>35</v>
      </c>
      <c r="G853" s="28" t="s">
        <v>35</v>
      </c>
      <c r="H853" s="29" t="s">
        <v>560</v>
      </c>
      <c r="I853" s="29" t="s">
        <v>560</v>
      </c>
      <c r="J853" s="29" t="s">
        <v>1825</v>
      </c>
      <c r="K853" s="29" t="s">
        <v>1825</v>
      </c>
      <c r="L853" s="29" t="s">
        <v>1826</v>
      </c>
      <c r="M853" s="29" t="s">
        <v>1867</v>
      </c>
      <c r="N853" s="29" t="s">
        <v>1518</v>
      </c>
      <c r="O853" s="29" t="s">
        <v>594</v>
      </c>
    </row>
    <row r="854" spans="1:15">
      <c r="A854" s="25">
        <v>21274</v>
      </c>
      <c r="B854" s="34" t="s">
        <v>1868</v>
      </c>
      <c r="C854" s="31" t="s">
        <v>521</v>
      </c>
      <c r="D854" s="31" t="s">
        <v>1595</v>
      </c>
      <c r="E854" s="28">
        <v>43010</v>
      </c>
      <c r="F854" s="28">
        <v>43405</v>
      </c>
      <c r="G854" s="28">
        <v>43769</v>
      </c>
      <c r="H854" s="29" t="s">
        <v>560</v>
      </c>
      <c r="I854" s="29" t="s">
        <v>560</v>
      </c>
      <c r="J854" s="29" t="s">
        <v>1825</v>
      </c>
      <c r="K854" s="29" t="s">
        <v>1825</v>
      </c>
      <c r="L854" s="29" t="s">
        <v>1826</v>
      </c>
      <c r="M854" s="29" t="s">
        <v>1513</v>
      </c>
      <c r="N854" s="29" t="s">
        <v>1514</v>
      </c>
      <c r="O854" s="29" t="s">
        <v>528</v>
      </c>
    </row>
    <row r="855" spans="1:15">
      <c r="A855" s="25">
        <v>21880</v>
      </c>
      <c r="B855" s="34" t="s">
        <v>1869</v>
      </c>
      <c r="C855" s="31" t="s">
        <v>521</v>
      </c>
      <c r="D855" s="31" t="s">
        <v>1870</v>
      </c>
      <c r="E855" s="28">
        <v>43103</v>
      </c>
      <c r="F855" s="28">
        <v>43134</v>
      </c>
      <c r="G855" s="28">
        <v>43496</v>
      </c>
      <c r="H855" s="29" t="s">
        <v>560</v>
      </c>
      <c r="I855" s="29" t="s">
        <v>560</v>
      </c>
      <c r="J855" s="29" t="s">
        <v>1825</v>
      </c>
      <c r="K855" s="29" t="s">
        <v>1825</v>
      </c>
      <c r="L855" s="29" t="s">
        <v>1826</v>
      </c>
      <c r="M855" s="29" t="s">
        <v>1520</v>
      </c>
      <c r="N855" s="29" t="s">
        <v>1541</v>
      </c>
      <c r="O855" s="29" t="s">
        <v>528</v>
      </c>
    </row>
    <row r="856" spans="1:15">
      <c r="A856" s="25">
        <v>23032</v>
      </c>
      <c r="B856" s="34" t="s">
        <v>1871</v>
      </c>
      <c r="C856" s="31" t="s">
        <v>521</v>
      </c>
      <c r="D856" s="31" t="s">
        <v>1872</v>
      </c>
      <c r="E856" s="28">
        <v>43361</v>
      </c>
      <c r="F856" s="28">
        <v>43391</v>
      </c>
      <c r="G856" s="28">
        <v>43769</v>
      </c>
      <c r="H856" s="29" t="s">
        <v>560</v>
      </c>
      <c r="I856" s="29" t="s">
        <v>560</v>
      </c>
      <c r="J856" s="29" t="s">
        <v>1825</v>
      </c>
      <c r="K856" s="29" t="s">
        <v>1825</v>
      </c>
      <c r="L856" s="29" t="s">
        <v>1826</v>
      </c>
      <c r="M856" s="29" t="s">
        <v>1873</v>
      </c>
      <c r="N856" s="29" t="s">
        <v>1518</v>
      </c>
      <c r="O856" s="29" t="s">
        <v>528</v>
      </c>
    </row>
    <row r="857" spans="1:15">
      <c r="A857" s="25">
        <v>466</v>
      </c>
      <c r="B857" s="26" t="s">
        <v>1874</v>
      </c>
      <c r="C857" s="27" t="s">
        <v>521</v>
      </c>
      <c r="D857" s="27" t="s">
        <v>1043</v>
      </c>
      <c r="E857" s="28">
        <v>37760</v>
      </c>
      <c r="F857" s="28" t="s">
        <v>35</v>
      </c>
      <c r="G857" s="28" t="s">
        <v>35</v>
      </c>
      <c r="H857" s="27" t="s">
        <v>560</v>
      </c>
      <c r="I857" s="27" t="s">
        <v>560</v>
      </c>
      <c r="J857" s="29" t="s">
        <v>1825</v>
      </c>
      <c r="K857" s="29" t="s">
        <v>1825</v>
      </c>
      <c r="L857" s="29" t="s">
        <v>1826</v>
      </c>
      <c r="M857" s="29" t="s">
        <v>1830</v>
      </c>
      <c r="N857" s="29" t="s">
        <v>1518</v>
      </c>
      <c r="O857" s="29" t="s">
        <v>590</v>
      </c>
    </row>
    <row r="858" spans="1:15">
      <c r="A858" s="25">
        <v>5764</v>
      </c>
      <c r="B858" s="26" t="s">
        <v>1875</v>
      </c>
      <c r="C858" s="27" t="s">
        <v>521</v>
      </c>
      <c r="D858" s="27" t="s">
        <v>794</v>
      </c>
      <c r="E858" s="28">
        <v>39114</v>
      </c>
      <c r="F858" s="28" t="s">
        <v>35</v>
      </c>
      <c r="G858" s="28" t="s">
        <v>35</v>
      </c>
      <c r="H858" s="27" t="s">
        <v>560</v>
      </c>
      <c r="I858" s="27" t="s">
        <v>560</v>
      </c>
      <c r="J858" s="29" t="s">
        <v>1825</v>
      </c>
      <c r="K858" s="29" t="s">
        <v>1825</v>
      </c>
      <c r="L858" s="29" t="s">
        <v>1826</v>
      </c>
      <c r="M858" s="29" t="s">
        <v>1850</v>
      </c>
      <c r="N858" s="29" t="s">
        <v>1518</v>
      </c>
      <c r="O858" s="29" t="s">
        <v>590</v>
      </c>
    </row>
    <row r="859" spans="1:15">
      <c r="A859" s="25">
        <v>5923</v>
      </c>
      <c r="B859" s="26" t="s">
        <v>1876</v>
      </c>
      <c r="C859" s="27" t="s">
        <v>521</v>
      </c>
      <c r="D859" s="27" t="s">
        <v>713</v>
      </c>
      <c r="E859" s="28">
        <v>39129</v>
      </c>
      <c r="F859" s="28" t="s">
        <v>35</v>
      </c>
      <c r="G859" s="28" t="s">
        <v>35</v>
      </c>
      <c r="H859" s="27" t="s">
        <v>560</v>
      </c>
      <c r="I859" s="27" t="s">
        <v>560</v>
      </c>
      <c r="J859" s="29" t="s">
        <v>1825</v>
      </c>
      <c r="K859" s="29" t="s">
        <v>1825</v>
      </c>
      <c r="L859" s="29" t="s">
        <v>1826</v>
      </c>
      <c r="M859" s="29" t="s">
        <v>1839</v>
      </c>
      <c r="N859" s="29" t="s">
        <v>1518</v>
      </c>
      <c r="O859" s="29" t="s">
        <v>590</v>
      </c>
    </row>
    <row r="860" spans="1:15">
      <c r="A860" s="25">
        <v>10934</v>
      </c>
      <c r="B860" s="26" t="s">
        <v>1877</v>
      </c>
      <c r="C860" s="27" t="s">
        <v>521</v>
      </c>
      <c r="D860" s="27" t="s">
        <v>670</v>
      </c>
      <c r="E860" s="28">
        <v>40578</v>
      </c>
      <c r="F860" s="28" t="s">
        <v>35</v>
      </c>
      <c r="G860" s="28" t="s">
        <v>35</v>
      </c>
      <c r="H860" s="29" t="s">
        <v>560</v>
      </c>
      <c r="I860" s="29" t="s">
        <v>560</v>
      </c>
      <c r="J860" s="29" t="s">
        <v>1825</v>
      </c>
      <c r="K860" s="29" t="s">
        <v>1825</v>
      </c>
      <c r="L860" s="29" t="s">
        <v>1826</v>
      </c>
      <c r="M860" s="29" t="s">
        <v>1863</v>
      </c>
      <c r="N860" s="29" t="s">
        <v>1518</v>
      </c>
      <c r="O860" s="29" t="s">
        <v>590</v>
      </c>
    </row>
    <row r="861" spans="1:15">
      <c r="A861" s="25">
        <v>11645</v>
      </c>
      <c r="B861" s="26" t="s">
        <v>1878</v>
      </c>
      <c r="C861" s="27" t="s">
        <v>521</v>
      </c>
      <c r="D861" s="27" t="s">
        <v>841</v>
      </c>
      <c r="E861" s="28">
        <v>40707</v>
      </c>
      <c r="F861" s="28" t="s">
        <v>35</v>
      </c>
      <c r="G861" s="28" t="s">
        <v>35</v>
      </c>
      <c r="H861" s="27" t="s">
        <v>560</v>
      </c>
      <c r="I861" s="27" t="s">
        <v>560</v>
      </c>
      <c r="J861" s="29" t="s">
        <v>1825</v>
      </c>
      <c r="K861" s="29" t="s">
        <v>1825</v>
      </c>
      <c r="L861" s="29" t="s">
        <v>1826</v>
      </c>
      <c r="M861" s="29" t="s">
        <v>1854</v>
      </c>
      <c r="N861" s="29" t="s">
        <v>1518</v>
      </c>
      <c r="O861" s="29" t="s">
        <v>590</v>
      </c>
    </row>
    <row r="862" spans="1:15">
      <c r="A862" s="25">
        <v>11947</v>
      </c>
      <c r="B862" s="26" t="s">
        <v>1879</v>
      </c>
      <c r="C862" s="27" t="s">
        <v>521</v>
      </c>
      <c r="D862" s="27" t="s">
        <v>699</v>
      </c>
      <c r="E862" s="28">
        <v>40770</v>
      </c>
      <c r="F862" s="28" t="s">
        <v>35</v>
      </c>
      <c r="G862" s="28" t="s">
        <v>35</v>
      </c>
      <c r="H862" s="29" t="s">
        <v>560</v>
      </c>
      <c r="I862" s="29" t="s">
        <v>560</v>
      </c>
      <c r="J862" s="29" t="s">
        <v>1825</v>
      </c>
      <c r="K862" s="29" t="s">
        <v>1825</v>
      </c>
      <c r="L862" s="29" t="s">
        <v>1826</v>
      </c>
      <c r="M862" s="29" t="s">
        <v>1827</v>
      </c>
      <c r="N862" s="29" t="s">
        <v>1518</v>
      </c>
      <c r="O862" s="29" t="s">
        <v>590</v>
      </c>
    </row>
    <row r="863" spans="1:15">
      <c r="A863" s="25">
        <v>20676</v>
      </c>
      <c r="B863" s="26" t="s">
        <v>1880</v>
      </c>
      <c r="C863" s="27" t="s">
        <v>521</v>
      </c>
      <c r="D863" s="27" t="s">
        <v>673</v>
      </c>
      <c r="E863" s="28">
        <v>42639</v>
      </c>
      <c r="F863" s="28">
        <v>43132</v>
      </c>
      <c r="G863" s="28">
        <v>43496</v>
      </c>
      <c r="H863" s="25" t="s">
        <v>560</v>
      </c>
      <c r="I863" s="25" t="s">
        <v>560</v>
      </c>
      <c r="J863" s="29" t="s">
        <v>1825</v>
      </c>
      <c r="K863" s="29" t="s">
        <v>1825</v>
      </c>
      <c r="L863" s="29" t="s">
        <v>1826</v>
      </c>
      <c r="M863" s="29" t="s">
        <v>1520</v>
      </c>
      <c r="N863" s="29" t="s">
        <v>1541</v>
      </c>
      <c r="O863" s="29" t="s">
        <v>590</v>
      </c>
    </row>
    <row r="864" spans="1:15">
      <c r="A864" s="25">
        <v>22214</v>
      </c>
      <c r="B864" s="34" t="s">
        <v>1881</v>
      </c>
      <c r="C864" s="31" t="s">
        <v>521</v>
      </c>
      <c r="D864" s="31" t="s">
        <v>1796</v>
      </c>
      <c r="E864" s="28">
        <v>43161</v>
      </c>
      <c r="F864" s="28">
        <v>43192</v>
      </c>
      <c r="G864" s="28">
        <v>43555</v>
      </c>
      <c r="H864" s="29" t="s">
        <v>560</v>
      </c>
      <c r="I864" s="29" t="s">
        <v>560</v>
      </c>
      <c r="J864" s="29" t="s">
        <v>1825</v>
      </c>
      <c r="K864" s="29" t="s">
        <v>1825</v>
      </c>
      <c r="L864" s="29" t="s">
        <v>1826</v>
      </c>
      <c r="M864" s="29" t="s">
        <v>1513</v>
      </c>
      <c r="N864" s="29" t="s">
        <v>1514</v>
      </c>
      <c r="O864" s="29" t="s">
        <v>590</v>
      </c>
    </row>
    <row r="865" spans="1:15">
      <c r="A865" s="25">
        <v>22810</v>
      </c>
      <c r="B865" s="26" t="s">
        <v>1882</v>
      </c>
      <c r="C865" s="27" t="s">
        <v>521</v>
      </c>
      <c r="D865" s="27" t="s">
        <v>775</v>
      </c>
      <c r="E865" s="28">
        <v>43333</v>
      </c>
      <c r="F865" s="28">
        <v>43364</v>
      </c>
      <c r="G865" s="28">
        <v>43738</v>
      </c>
      <c r="H865" s="27" t="s">
        <v>560</v>
      </c>
      <c r="I865" s="27" t="s">
        <v>560</v>
      </c>
      <c r="J865" s="29" t="s">
        <v>1825</v>
      </c>
      <c r="K865" s="29" t="s">
        <v>1825</v>
      </c>
      <c r="L865" s="29" t="s">
        <v>1826</v>
      </c>
      <c r="M865" s="29" t="s">
        <v>1883</v>
      </c>
      <c r="N865" s="29" t="s">
        <v>1518</v>
      </c>
      <c r="O865" s="29" t="s">
        <v>590</v>
      </c>
    </row>
    <row r="866" spans="1:15">
      <c r="A866" s="25">
        <v>23268</v>
      </c>
      <c r="B866" s="34" t="s">
        <v>1884</v>
      </c>
      <c r="C866" s="31" t="s">
        <v>521</v>
      </c>
      <c r="D866" s="31" t="s">
        <v>1582</v>
      </c>
      <c r="E866" s="28">
        <v>43421</v>
      </c>
      <c r="F866" s="28">
        <v>43451</v>
      </c>
      <c r="G866" s="28">
        <v>43830</v>
      </c>
      <c r="H866" s="29" t="s">
        <v>560</v>
      </c>
      <c r="I866" s="29" t="s">
        <v>560</v>
      </c>
      <c r="J866" s="29" t="s">
        <v>1825</v>
      </c>
      <c r="K866" s="29" t="s">
        <v>1825</v>
      </c>
      <c r="L866" s="29" t="s">
        <v>1826</v>
      </c>
      <c r="M866" s="29" t="s">
        <v>1520</v>
      </c>
      <c r="N866" s="29" t="s">
        <v>1541</v>
      </c>
      <c r="O866" s="29" t="s">
        <v>590</v>
      </c>
    </row>
    <row r="867" spans="1:15">
      <c r="A867" s="25">
        <v>23402</v>
      </c>
      <c r="B867" s="34" t="s">
        <v>1885</v>
      </c>
      <c r="C867" s="31" t="s">
        <v>521</v>
      </c>
      <c r="D867" s="31" t="s">
        <v>882</v>
      </c>
      <c r="E867" s="28">
        <v>43434</v>
      </c>
      <c r="F867" s="28">
        <v>43464</v>
      </c>
      <c r="G867" s="28">
        <v>43830</v>
      </c>
      <c r="H867" s="29" t="s">
        <v>560</v>
      </c>
      <c r="I867" s="29" t="s">
        <v>560</v>
      </c>
      <c r="J867" s="29" t="s">
        <v>1825</v>
      </c>
      <c r="K867" s="29" t="s">
        <v>1825</v>
      </c>
      <c r="L867" s="29" t="s">
        <v>1826</v>
      </c>
      <c r="M867" s="29" t="s">
        <v>1886</v>
      </c>
      <c r="N867" s="29" t="s">
        <v>1586</v>
      </c>
      <c r="O867" s="29" t="s">
        <v>590</v>
      </c>
    </row>
    <row r="868" spans="1:15">
      <c r="A868" s="25" t="s">
        <v>1887</v>
      </c>
      <c r="B868" s="34" t="s">
        <v>1888</v>
      </c>
      <c r="C868" s="31" t="s">
        <v>521</v>
      </c>
      <c r="D868" s="31" t="s">
        <v>1853</v>
      </c>
      <c r="E868" s="28">
        <v>40896</v>
      </c>
      <c r="F868" s="28" t="s">
        <v>35</v>
      </c>
      <c r="G868" s="28" t="s">
        <v>35</v>
      </c>
      <c r="H868" s="29" t="s">
        <v>560</v>
      </c>
      <c r="I868" s="29" t="s">
        <v>560</v>
      </c>
      <c r="J868" s="29" t="s">
        <v>1825</v>
      </c>
      <c r="K868" s="29" t="s">
        <v>1825</v>
      </c>
      <c r="L868" s="29" t="s">
        <v>1826</v>
      </c>
      <c r="M868" s="29" t="s">
        <v>1513</v>
      </c>
      <c r="N868" s="29" t="s">
        <v>1514</v>
      </c>
      <c r="O868" s="29" t="s">
        <v>590</v>
      </c>
    </row>
    <row r="869" spans="1:15">
      <c r="A869" s="25" t="s">
        <v>1889</v>
      </c>
      <c r="B869" s="26" t="s">
        <v>99</v>
      </c>
      <c r="C869" s="27" t="s">
        <v>521</v>
      </c>
      <c r="D869" s="27" t="s">
        <v>1890</v>
      </c>
      <c r="E869" s="28">
        <v>40904</v>
      </c>
      <c r="F869" s="28" t="s">
        <v>35</v>
      </c>
      <c r="G869" s="28" t="s">
        <v>35</v>
      </c>
      <c r="H869" s="29" t="s">
        <v>560</v>
      </c>
      <c r="I869" s="29" t="s">
        <v>560</v>
      </c>
      <c r="J869" s="29" t="s">
        <v>1825</v>
      </c>
      <c r="K869" s="29" t="s">
        <v>1825</v>
      </c>
      <c r="L869" s="29" t="s">
        <v>1826</v>
      </c>
      <c r="M869" s="29" t="s">
        <v>1867</v>
      </c>
      <c r="N869" s="29" t="s">
        <v>1518</v>
      </c>
      <c r="O869" s="29" t="s">
        <v>590</v>
      </c>
    </row>
    <row r="870" spans="1:15">
      <c r="A870" s="25" t="s">
        <v>1891</v>
      </c>
      <c r="B870" s="33" t="s">
        <v>1892</v>
      </c>
      <c r="C870" s="27" t="s">
        <v>521</v>
      </c>
      <c r="D870" s="27" t="s">
        <v>1893</v>
      </c>
      <c r="E870" s="28">
        <v>40910</v>
      </c>
      <c r="F870" s="28" t="s">
        <v>35</v>
      </c>
      <c r="G870" s="28" t="s">
        <v>35</v>
      </c>
      <c r="H870" s="29" t="s">
        <v>560</v>
      </c>
      <c r="I870" s="29" t="s">
        <v>560</v>
      </c>
      <c r="J870" s="29" t="s">
        <v>1825</v>
      </c>
      <c r="K870" s="29" t="s">
        <v>1825</v>
      </c>
      <c r="L870" s="29" t="s">
        <v>1826</v>
      </c>
      <c r="M870" s="29" t="s">
        <v>1513</v>
      </c>
      <c r="N870" s="29" t="s">
        <v>1514</v>
      </c>
      <c r="O870" s="29" t="s">
        <v>590</v>
      </c>
    </row>
    <row r="871" spans="1:15">
      <c r="A871" s="25">
        <v>1104</v>
      </c>
      <c r="B871" s="26" t="s">
        <v>1894</v>
      </c>
      <c r="C871" s="27" t="s">
        <v>521</v>
      </c>
      <c r="D871" s="27" t="s">
        <v>1411</v>
      </c>
      <c r="E871" s="28">
        <v>37887</v>
      </c>
      <c r="F871" s="28" t="s">
        <v>35</v>
      </c>
      <c r="G871" s="28" t="s">
        <v>35</v>
      </c>
      <c r="H871" s="29" t="s">
        <v>560</v>
      </c>
      <c r="I871" s="29" t="s">
        <v>560</v>
      </c>
      <c r="J871" s="29" t="s">
        <v>1825</v>
      </c>
      <c r="K871" s="29" t="s">
        <v>1825</v>
      </c>
      <c r="L871" s="29" t="s">
        <v>1895</v>
      </c>
      <c r="M871" s="29" t="s">
        <v>1837</v>
      </c>
      <c r="N871" s="29" t="s">
        <v>1518</v>
      </c>
      <c r="O871" s="29" t="s">
        <v>590</v>
      </c>
    </row>
    <row r="872" spans="1:15">
      <c r="A872" s="25">
        <v>1106</v>
      </c>
      <c r="B872" s="26" t="s">
        <v>1896</v>
      </c>
      <c r="C872" s="27" t="s">
        <v>521</v>
      </c>
      <c r="D872" s="27" t="s">
        <v>1411</v>
      </c>
      <c r="E872" s="28">
        <v>37887</v>
      </c>
      <c r="F872" s="28" t="s">
        <v>35</v>
      </c>
      <c r="G872" s="28" t="s">
        <v>35</v>
      </c>
      <c r="H872" s="29" t="s">
        <v>560</v>
      </c>
      <c r="I872" s="29" t="s">
        <v>560</v>
      </c>
      <c r="J872" s="29" t="s">
        <v>1825</v>
      </c>
      <c r="K872" s="29" t="s">
        <v>1825</v>
      </c>
      <c r="L872" s="29" t="s">
        <v>1895</v>
      </c>
      <c r="M872" s="29" t="s">
        <v>1513</v>
      </c>
      <c r="N872" s="29" t="s">
        <v>1514</v>
      </c>
      <c r="O872" s="29" t="s">
        <v>590</v>
      </c>
    </row>
    <row r="873" spans="1:15">
      <c r="A873" s="25">
        <v>5463</v>
      </c>
      <c r="B873" s="33" t="s">
        <v>1897</v>
      </c>
      <c r="C873" s="27" t="s">
        <v>521</v>
      </c>
      <c r="D873" s="27" t="s">
        <v>760</v>
      </c>
      <c r="E873" s="28">
        <v>38991</v>
      </c>
      <c r="F873" s="28" t="s">
        <v>35</v>
      </c>
      <c r="G873" s="28" t="s">
        <v>35</v>
      </c>
      <c r="H873" s="29" t="s">
        <v>560</v>
      </c>
      <c r="I873" s="29" t="s">
        <v>560</v>
      </c>
      <c r="J873" s="29" t="s">
        <v>1825</v>
      </c>
      <c r="K873" s="29" t="s">
        <v>1825</v>
      </c>
      <c r="L873" s="29" t="s">
        <v>1895</v>
      </c>
      <c r="M873" s="29" t="s">
        <v>1513</v>
      </c>
      <c r="N873" s="29" t="s">
        <v>1514</v>
      </c>
      <c r="O873" s="29" t="s">
        <v>590</v>
      </c>
    </row>
    <row r="874" spans="1:15">
      <c r="A874" s="25">
        <v>11942</v>
      </c>
      <c r="B874" s="26" t="s">
        <v>1898</v>
      </c>
      <c r="C874" s="27" t="s">
        <v>521</v>
      </c>
      <c r="D874" s="27" t="s">
        <v>699</v>
      </c>
      <c r="E874" s="28">
        <v>40770</v>
      </c>
      <c r="F874" s="28" t="s">
        <v>35</v>
      </c>
      <c r="G874" s="28" t="s">
        <v>35</v>
      </c>
      <c r="H874" s="29" t="s">
        <v>560</v>
      </c>
      <c r="I874" s="29" t="s">
        <v>560</v>
      </c>
      <c r="J874" s="29" t="s">
        <v>1825</v>
      </c>
      <c r="K874" s="29" t="s">
        <v>1825</v>
      </c>
      <c r="L874" s="29" t="s">
        <v>1895</v>
      </c>
      <c r="M874" s="29" t="s">
        <v>1832</v>
      </c>
      <c r="N874" s="29" t="s">
        <v>1518</v>
      </c>
      <c r="O874" s="29" t="s">
        <v>590</v>
      </c>
    </row>
    <row r="875" spans="1:15">
      <c r="A875" s="25">
        <v>22454</v>
      </c>
      <c r="B875" s="26" t="s">
        <v>1899</v>
      </c>
      <c r="C875" s="27" t="s">
        <v>521</v>
      </c>
      <c r="D875" s="27" t="s">
        <v>1577</v>
      </c>
      <c r="E875" s="28">
        <v>43220</v>
      </c>
      <c r="F875" s="28">
        <v>43250</v>
      </c>
      <c r="G875" s="28">
        <v>43616</v>
      </c>
      <c r="H875" s="27" t="s">
        <v>560</v>
      </c>
      <c r="I875" s="27" t="s">
        <v>560</v>
      </c>
      <c r="J875" s="29" t="s">
        <v>1825</v>
      </c>
      <c r="K875" s="29" t="s">
        <v>1825</v>
      </c>
      <c r="L875" s="29" t="s">
        <v>1895</v>
      </c>
      <c r="M875" s="29" t="s">
        <v>1520</v>
      </c>
      <c r="N875" s="29" t="s">
        <v>1541</v>
      </c>
      <c r="O875" s="29" t="s">
        <v>590</v>
      </c>
    </row>
    <row r="876" spans="1:15">
      <c r="A876" s="25">
        <v>22552</v>
      </c>
      <c r="B876" s="34" t="s">
        <v>1900</v>
      </c>
      <c r="C876" s="31" t="s">
        <v>521</v>
      </c>
      <c r="D876" s="31" t="s">
        <v>773</v>
      </c>
      <c r="E876" s="28">
        <v>43224</v>
      </c>
      <c r="F876" s="28">
        <v>43255</v>
      </c>
      <c r="G876" s="28">
        <v>43616</v>
      </c>
      <c r="H876" s="29" t="s">
        <v>560</v>
      </c>
      <c r="I876" s="29" t="s">
        <v>560</v>
      </c>
      <c r="J876" s="29" t="s">
        <v>1825</v>
      </c>
      <c r="K876" s="29" t="s">
        <v>1825</v>
      </c>
      <c r="L876" s="29" t="s">
        <v>1895</v>
      </c>
      <c r="M876" s="29" t="s">
        <v>1834</v>
      </c>
      <c r="N876" s="29" t="s">
        <v>1518</v>
      </c>
      <c r="O876" s="29" t="s">
        <v>590</v>
      </c>
    </row>
    <row r="877" spans="1:15">
      <c r="A877" s="25">
        <v>4530</v>
      </c>
      <c r="B877" s="26" t="s">
        <v>1744</v>
      </c>
      <c r="C877" s="27" t="s">
        <v>521</v>
      </c>
      <c r="D877" s="27" t="s">
        <v>1722</v>
      </c>
      <c r="E877" s="28">
        <v>38789</v>
      </c>
      <c r="F877" s="28" t="s">
        <v>35</v>
      </c>
      <c r="G877" s="28" t="s">
        <v>35</v>
      </c>
      <c r="H877" s="29" t="s">
        <v>560</v>
      </c>
      <c r="I877" s="29" t="s">
        <v>560</v>
      </c>
      <c r="J877" s="29" t="s">
        <v>1901</v>
      </c>
      <c r="K877" s="29" t="s">
        <v>1902</v>
      </c>
      <c r="L877" s="29" t="s">
        <v>1903</v>
      </c>
      <c r="M877" s="29" t="s">
        <v>1513</v>
      </c>
      <c r="N877" s="29" t="s">
        <v>1514</v>
      </c>
      <c r="O877" s="29" t="s">
        <v>594</v>
      </c>
    </row>
    <row r="878" spans="1:15">
      <c r="A878" s="25">
        <v>8885</v>
      </c>
      <c r="B878" s="26" t="s">
        <v>1904</v>
      </c>
      <c r="C878" s="27" t="s">
        <v>521</v>
      </c>
      <c r="D878" s="27" t="s">
        <v>1905</v>
      </c>
      <c r="E878" s="28">
        <v>39961</v>
      </c>
      <c r="F878" s="28" t="s">
        <v>35</v>
      </c>
      <c r="G878" s="28" t="s">
        <v>35</v>
      </c>
      <c r="H878" s="27" t="s">
        <v>560</v>
      </c>
      <c r="I878" s="27" t="s">
        <v>560</v>
      </c>
      <c r="J878" s="27" t="s">
        <v>1901</v>
      </c>
      <c r="K878" s="27" t="s">
        <v>1902</v>
      </c>
      <c r="L878" s="27" t="s">
        <v>1903</v>
      </c>
      <c r="M878" s="29" t="s">
        <v>1906</v>
      </c>
      <c r="N878" s="29" t="s">
        <v>1518</v>
      </c>
      <c r="O878" s="29" t="s">
        <v>594</v>
      </c>
    </row>
    <row r="879" spans="1:15">
      <c r="A879" s="25">
        <v>9074</v>
      </c>
      <c r="B879" s="26" t="s">
        <v>1907</v>
      </c>
      <c r="C879" s="27" t="s">
        <v>521</v>
      </c>
      <c r="D879" s="27" t="s">
        <v>1908</v>
      </c>
      <c r="E879" s="28">
        <v>39993</v>
      </c>
      <c r="F879" s="28" t="s">
        <v>35</v>
      </c>
      <c r="G879" s="28" t="s">
        <v>35</v>
      </c>
      <c r="H879" s="29" t="s">
        <v>560</v>
      </c>
      <c r="I879" s="29" t="s">
        <v>560</v>
      </c>
      <c r="J879" s="29" t="s">
        <v>1901</v>
      </c>
      <c r="K879" s="29" t="s">
        <v>1902</v>
      </c>
      <c r="L879" s="29" t="s">
        <v>1903</v>
      </c>
      <c r="M879" s="29" t="s">
        <v>1513</v>
      </c>
      <c r="N879" s="29" t="s">
        <v>1514</v>
      </c>
      <c r="O879" s="29" t="s">
        <v>594</v>
      </c>
    </row>
    <row r="880" spans="1:15">
      <c r="A880" s="25">
        <v>9646</v>
      </c>
      <c r="B880" s="26" t="s">
        <v>1109</v>
      </c>
      <c r="C880" s="27" t="s">
        <v>521</v>
      </c>
      <c r="D880" s="27" t="s">
        <v>1598</v>
      </c>
      <c r="E880" s="28">
        <v>40179</v>
      </c>
      <c r="F880" s="28" t="s">
        <v>35</v>
      </c>
      <c r="G880" s="28" t="s">
        <v>35</v>
      </c>
      <c r="H880" s="27" t="s">
        <v>560</v>
      </c>
      <c r="I880" s="27" t="s">
        <v>560</v>
      </c>
      <c r="J880" s="29" t="s">
        <v>1901</v>
      </c>
      <c r="K880" s="29" t="s">
        <v>1902</v>
      </c>
      <c r="L880" s="29" t="s">
        <v>1903</v>
      </c>
      <c r="M880" s="29" t="s">
        <v>1909</v>
      </c>
      <c r="N880" s="29" t="s">
        <v>1518</v>
      </c>
      <c r="O880" s="29" t="s">
        <v>594</v>
      </c>
    </row>
    <row r="881" spans="1:15">
      <c r="A881" s="25">
        <v>10096</v>
      </c>
      <c r="B881" s="26" t="s">
        <v>1910</v>
      </c>
      <c r="C881" s="27" t="s">
        <v>521</v>
      </c>
      <c r="D881" s="27" t="s">
        <v>601</v>
      </c>
      <c r="E881" s="28">
        <v>40444</v>
      </c>
      <c r="F881" s="28" t="s">
        <v>35</v>
      </c>
      <c r="G881" s="28" t="s">
        <v>35</v>
      </c>
      <c r="H881" s="27" t="s">
        <v>560</v>
      </c>
      <c r="I881" s="27" t="s">
        <v>560</v>
      </c>
      <c r="J881" s="29" t="s">
        <v>1901</v>
      </c>
      <c r="K881" s="29" t="s">
        <v>1902</v>
      </c>
      <c r="L881" s="29" t="s">
        <v>1903</v>
      </c>
      <c r="M881" s="29" t="s">
        <v>1911</v>
      </c>
      <c r="N881" s="29" t="s">
        <v>1518</v>
      </c>
      <c r="O881" s="29" t="s">
        <v>594</v>
      </c>
    </row>
    <row r="882" spans="1:15">
      <c r="A882" s="25">
        <v>10496</v>
      </c>
      <c r="B882" s="26" t="s">
        <v>1912</v>
      </c>
      <c r="C882" s="27" t="s">
        <v>521</v>
      </c>
      <c r="D882" s="27" t="s">
        <v>738</v>
      </c>
      <c r="E882" s="28">
        <v>40535</v>
      </c>
      <c r="F882" s="28" t="s">
        <v>35</v>
      </c>
      <c r="G882" s="28" t="s">
        <v>35</v>
      </c>
      <c r="H882" s="27" t="s">
        <v>560</v>
      </c>
      <c r="I882" s="27" t="s">
        <v>560</v>
      </c>
      <c r="J882" s="29" t="s">
        <v>1901</v>
      </c>
      <c r="K882" s="29" t="s">
        <v>1902</v>
      </c>
      <c r="L882" s="29" t="s">
        <v>1903</v>
      </c>
      <c r="M882" s="29" t="s">
        <v>1913</v>
      </c>
      <c r="N882" s="29" t="s">
        <v>1518</v>
      </c>
      <c r="O882" s="29" t="s">
        <v>594</v>
      </c>
    </row>
    <row r="883" spans="1:15">
      <c r="A883" s="25">
        <v>11095</v>
      </c>
      <c r="B883" s="26" t="s">
        <v>1914</v>
      </c>
      <c r="C883" s="27" t="s">
        <v>521</v>
      </c>
      <c r="D883" s="27" t="s">
        <v>1423</v>
      </c>
      <c r="E883" s="28">
        <v>40603</v>
      </c>
      <c r="F883" s="28" t="s">
        <v>35</v>
      </c>
      <c r="G883" s="28" t="s">
        <v>35</v>
      </c>
      <c r="H883" s="27" t="s">
        <v>560</v>
      </c>
      <c r="I883" s="27" t="s">
        <v>560</v>
      </c>
      <c r="J883" s="29" t="s">
        <v>1901</v>
      </c>
      <c r="K883" s="29" t="s">
        <v>1902</v>
      </c>
      <c r="L883" s="29" t="s">
        <v>1903</v>
      </c>
      <c r="M883" s="29" t="s">
        <v>1915</v>
      </c>
      <c r="N883" s="29" t="s">
        <v>1518</v>
      </c>
      <c r="O883" s="29" t="s">
        <v>594</v>
      </c>
    </row>
    <row r="884" spans="1:15">
      <c r="A884" s="25">
        <v>11905</v>
      </c>
      <c r="B884" s="26" t="s">
        <v>1916</v>
      </c>
      <c r="C884" s="27" t="s">
        <v>521</v>
      </c>
      <c r="D884" s="27" t="s">
        <v>701</v>
      </c>
      <c r="E884" s="28">
        <v>40735</v>
      </c>
      <c r="F884" s="28" t="s">
        <v>35</v>
      </c>
      <c r="G884" s="28" t="s">
        <v>35</v>
      </c>
      <c r="H884" s="27" t="s">
        <v>560</v>
      </c>
      <c r="I884" s="27" t="s">
        <v>560</v>
      </c>
      <c r="J884" s="29" t="s">
        <v>1901</v>
      </c>
      <c r="K884" s="29" t="s">
        <v>1902</v>
      </c>
      <c r="L884" s="29" t="s">
        <v>1903</v>
      </c>
      <c r="M884" s="29" t="s">
        <v>1917</v>
      </c>
      <c r="N884" s="29" t="s">
        <v>1518</v>
      </c>
      <c r="O884" s="29" t="s">
        <v>594</v>
      </c>
    </row>
    <row r="885" spans="1:15">
      <c r="A885" s="25">
        <v>22730</v>
      </c>
      <c r="B885" s="34" t="s">
        <v>1918</v>
      </c>
      <c r="C885" s="31" t="s">
        <v>521</v>
      </c>
      <c r="D885" s="31" t="s">
        <v>771</v>
      </c>
      <c r="E885" s="28">
        <v>43255</v>
      </c>
      <c r="F885" s="28">
        <v>43285</v>
      </c>
      <c r="G885" s="28">
        <v>43646</v>
      </c>
      <c r="H885" s="29" t="s">
        <v>560</v>
      </c>
      <c r="I885" s="29" t="s">
        <v>560</v>
      </c>
      <c r="J885" s="29" t="s">
        <v>1901</v>
      </c>
      <c r="K885" s="29" t="s">
        <v>1902</v>
      </c>
      <c r="L885" s="29" t="s">
        <v>1903</v>
      </c>
      <c r="M885" s="29" t="s">
        <v>1513</v>
      </c>
      <c r="N885" s="29" t="s">
        <v>1514</v>
      </c>
      <c r="O885" s="29" t="s">
        <v>594</v>
      </c>
    </row>
    <row r="886" spans="1:15">
      <c r="A886" s="25">
        <v>23049</v>
      </c>
      <c r="B886" s="34" t="s">
        <v>1919</v>
      </c>
      <c r="C886" s="31" t="s">
        <v>521</v>
      </c>
      <c r="D886" s="31" t="s">
        <v>1872</v>
      </c>
      <c r="E886" s="28">
        <v>43361</v>
      </c>
      <c r="F886" s="28">
        <v>43391</v>
      </c>
      <c r="G886" s="28">
        <v>43769</v>
      </c>
      <c r="H886" s="29" t="s">
        <v>560</v>
      </c>
      <c r="I886" s="29" t="s">
        <v>560</v>
      </c>
      <c r="J886" s="29" t="s">
        <v>1901</v>
      </c>
      <c r="K886" s="29" t="s">
        <v>1902</v>
      </c>
      <c r="L886" s="29" t="s">
        <v>1903</v>
      </c>
      <c r="M886" s="29" t="s">
        <v>1520</v>
      </c>
      <c r="N886" s="29" t="s">
        <v>1541</v>
      </c>
      <c r="O886" s="29" t="s">
        <v>594</v>
      </c>
    </row>
    <row r="887" spans="1:15">
      <c r="A887" s="25">
        <v>939</v>
      </c>
      <c r="B887" s="26" t="s">
        <v>104</v>
      </c>
      <c r="C887" s="27" t="s">
        <v>521</v>
      </c>
      <c r="D887" s="27" t="s">
        <v>827</v>
      </c>
      <c r="E887" s="28">
        <v>37865</v>
      </c>
      <c r="F887" s="28" t="s">
        <v>35</v>
      </c>
      <c r="G887" s="28" t="s">
        <v>35</v>
      </c>
      <c r="H887" s="29" t="s">
        <v>560</v>
      </c>
      <c r="I887" s="29" t="s">
        <v>560</v>
      </c>
      <c r="J887" s="29" t="s">
        <v>1901</v>
      </c>
      <c r="K887" s="29" t="s">
        <v>1902</v>
      </c>
      <c r="L887" s="29" t="s">
        <v>1903</v>
      </c>
      <c r="M887" s="29" t="s">
        <v>1913</v>
      </c>
      <c r="N887" s="29" t="s">
        <v>1518</v>
      </c>
      <c r="O887" s="29" t="s">
        <v>590</v>
      </c>
    </row>
    <row r="888" spans="1:15">
      <c r="A888" s="25">
        <v>9021</v>
      </c>
      <c r="B888" s="26" t="s">
        <v>1920</v>
      </c>
      <c r="C888" s="27" t="s">
        <v>521</v>
      </c>
      <c r="D888" s="27" t="s">
        <v>715</v>
      </c>
      <c r="E888" s="28">
        <v>39975</v>
      </c>
      <c r="F888" s="28" t="s">
        <v>35</v>
      </c>
      <c r="G888" s="28" t="s">
        <v>35</v>
      </c>
      <c r="H888" s="27" t="s">
        <v>560</v>
      </c>
      <c r="I888" s="27" t="s">
        <v>560</v>
      </c>
      <c r="J888" s="27" t="s">
        <v>1901</v>
      </c>
      <c r="K888" s="27" t="s">
        <v>1902</v>
      </c>
      <c r="L888" s="29" t="s">
        <v>1903</v>
      </c>
      <c r="M888" s="29" t="s">
        <v>1915</v>
      </c>
      <c r="N888" s="29" t="s">
        <v>1518</v>
      </c>
      <c r="O888" s="29" t="s">
        <v>590</v>
      </c>
    </row>
    <row r="889" spans="1:15">
      <c r="A889" s="25">
        <v>9560</v>
      </c>
      <c r="B889" s="26" t="s">
        <v>1921</v>
      </c>
      <c r="C889" s="27" t="s">
        <v>521</v>
      </c>
      <c r="D889" s="27" t="s">
        <v>810</v>
      </c>
      <c r="E889" s="28">
        <v>40179</v>
      </c>
      <c r="F889" s="28" t="s">
        <v>35</v>
      </c>
      <c r="G889" s="28" t="s">
        <v>35</v>
      </c>
      <c r="H889" s="27" t="s">
        <v>560</v>
      </c>
      <c r="I889" s="27" t="s">
        <v>560</v>
      </c>
      <c r="J889" s="27" t="s">
        <v>1901</v>
      </c>
      <c r="K889" s="27" t="s">
        <v>1902</v>
      </c>
      <c r="L889" s="27" t="s">
        <v>1903</v>
      </c>
      <c r="M889" s="29" t="s">
        <v>1922</v>
      </c>
      <c r="N889" s="29" t="s">
        <v>1518</v>
      </c>
      <c r="O889" s="29" t="s">
        <v>590</v>
      </c>
    </row>
    <row r="890" spans="1:15">
      <c r="A890" s="25">
        <v>9615</v>
      </c>
      <c r="B890" s="32" t="s">
        <v>1923</v>
      </c>
      <c r="C890" s="27" t="s">
        <v>521</v>
      </c>
      <c r="D890" s="27" t="s">
        <v>1598</v>
      </c>
      <c r="E890" s="28">
        <v>40179</v>
      </c>
      <c r="F890" s="28" t="s">
        <v>35</v>
      </c>
      <c r="G890" s="28" t="s">
        <v>35</v>
      </c>
      <c r="H890" s="29" t="s">
        <v>560</v>
      </c>
      <c r="I890" s="29" t="s">
        <v>560</v>
      </c>
      <c r="J890" s="29" t="s">
        <v>1901</v>
      </c>
      <c r="K890" s="29" t="s">
        <v>1902</v>
      </c>
      <c r="L890" s="29" t="s">
        <v>1903</v>
      </c>
      <c r="M890" s="29" t="s">
        <v>1513</v>
      </c>
      <c r="N890" s="29" t="s">
        <v>1514</v>
      </c>
      <c r="O890" s="29" t="s">
        <v>590</v>
      </c>
    </row>
    <row r="891" spans="1:15">
      <c r="A891" s="25">
        <v>9683</v>
      </c>
      <c r="B891" s="26" t="s">
        <v>1924</v>
      </c>
      <c r="C891" s="27" t="s">
        <v>521</v>
      </c>
      <c r="D891" s="27" t="s">
        <v>677</v>
      </c>
      <c r="E891" s="28">
        <v>40297</v>
      </c>
      <c r="F891" s="28" t="s">
        <v>35</v>
      </c>
      <c r="G891" s="28" t="s">
        <v>35</v>
      </c>
      <c r="H891" s="27" t="s">
        <v>560</v>
      </c>
      <c r="I891" s="27" t="s">
        <v>560</v>
      </c>
      <c r="J891" s="29" t="s">
        <v>1901</v>
      </c>
      <c r="K891" s="29" t="s">
        <v>1902</v>
      </c>
      <c r="L891" s="29" t="s">
        <v>1903</v>
      </c>
      <c r="M891" s="29" t="s">
        <v>1911</v>
      </c>
      <c r="N891" s="29" t="s">
        <v>1518</v>
      </c>
      <c r="O891" s="29" t="s">
        <v>590</v>
      </c>
    </row>
    <row r="892" spans="1:15">
      <c r="A892" s="25">
        <v>10077</v>
      </c>
      <c r="B892" s="26" t="s">
        <v>1925</v>
      </c>
      <c r="C892" s="27" t="s">
        <v>521</v>
      </c>
      <c r="D892" s="27" t="s">
        <v>601</v>
      </c>
      <c r="E892" s="28">
        <v>40444</v>
      </c>
      <c r="F892" s="28" t="s">
        <v>35</v>
      </c>
      <c r="G892" s="28" t="s">
        <v>35</v>
      </c>
      <c r="H892" s="27" t="s">
        <v>560</v>
      </c>
      <c r="I892" s="27" t="s">
        <v>560</v>
      </c>
      <c r="J892" s="27" t="s">
        <v>1901</v>
      </c>
      <c r="K892" s="27" t="s">
        <v>1902</v>
      </c>
      <c r="L892" s="27" t="s">
        <v>1903</v>
      </c>
      <c r="M892" s="29" t="s">
        <v>1917</v>
      </c>
      <c r="N892" s="29" t="s">
        <v>1518</v>
      </c>
      <c r="O892" s="29" t="s">
        <v>590</v>
      </c>
    </row>
    <row r="893" spans="1:15">
      <c r="A893" s="25">
        <v>20629</v>
      </c>
      <c r="B893" s="26" t="s">
        <v>1926</v>
      </c>
      <c r="C893" s="27" t="s">
        <v>521</v>
      </c>
      <c r="D893" s="27" t="s">
        <v>673</v>
      </c>
      <c r="E893" s="28">
        <v>42639</v>
      </c>
      <c r="F893" s="28">
        <v>43132</v>
      </c>
      <c r="G893" s="28">
        <v>43496</v>
      </c>
      <c r="H893" s="25" t="s">
        <v>560</v>
      </c>
      <c r="I893" s="25" t="s">
        <v>560</v>
      </c>
      <c r="J893" s="27" t="s">
        <v>1901</v>
      </c>
      <c r="K893" s="27" t="s">
        <v>1902</v>
      </c>
      <c r="L893" s="29" t="s">
        <v>1903</v>
      </c>
      <c r="M893" s="29" t="s">
        <v>1906</v>
      </c>
      <c r="N893" s="29" t="s">
        <v>1518</v>
      </c>
      <c r="O893" s="29" t="s">
        <v>590</v>
      </c>
    </row>
    <row r="894" spans="1:15">
      <c r="A894" s="25">
        <v>20697</v>
      </c>
      <c r="B894" s="26" t="s">
        <v>1927</v>
      </c>
      <c r="C894" s="27" t="s">
        <v>521</v>
      </c>
      <c r="D894" s="27" t="s">
        <v>815</v>
      </c>
      <c r="E894" s="28">
        <v>42642</v>
      </c>
      <c r="F894" s="28">
        <v>43132</v>
      </c>
      <c r="G894" s="28">
        <v>43496</v>
      </c>
      <c r="H894" s="27" t="s">
        <v>560</v>
      </c>
      <c r="I894" s="27" t="s">
        <v>560</v>
      </c>
      <c r="J894" s="27" t="s">
        <v>1901</v>
      </c>
      <c r="K894" s="27" t="s">
        <v>1902</v>
      </c>
      <c r="L894" s="29" t="s">
        <v>1903</v>
      </c>
      <c r="M894" s="29" t="s">
        <v>1513</v>
      </c>
      <c r="N894" s="29" t="s">
        <v>1514</v>
      </c>
      <c r="O894" s="29" t="s">
        <v>590</v>
      </c>
    </row>
    <row r="895" spans="1:15">
      <c r="A895" s="25">
        <v>21702</v>
      </c>
      <c r="B895" s="34" t="s">
        <v>1928</v>
      </c>
      <c r="C895" s="31" t="s">
        <v>521</v>
      </c>
      <c r="D895" s="31" t="s">
        <v>663</v>
      </c>
      <c r="E895" s="28">
        <v>43087</v>
      </c>
      <c r="F895" s="28">
        <v>43118</v>
      </c>
      <c r="G895" s="28">
        <v>43496</v>
      </c>
      <c r="H895" s="29" t="s">
        <v>560</v>
      </c>
      <c r="I895" s="29" t="s">
        <v>560</v>
      </c>
      <c r="J895" s="29" t="s">
        <v>1901</v>
      </c>
      <c r="K895" s="29" t="s">
        <v>1902</v>
      </c>
      <c r="L895" s="29" t="s">
        <v>1903</v>
      </c>
      <c r="M895" s="29" t="s">
        <v>1520</v>
      </c>
      <c r="N895" s="29" t="s">
        <v>1541</v>
      </c>
      <c r="O895" s="29" t="s">
        <v>590</v>
      </c>
    </row>
    <row r="896" spans="1:15">
      <c r="A896" s="25">
        <v>23025</v>
      </c>
      <c r="B896" s="34" t="s">
        <v>1929</v>
      </c>
      <c r="C896" s="31" t="s">
        <v>521</v>
      </c>
      <c r="D896" s="31" t="s">
        <v>1872</v>
      </c>
      <c r="E896" s="28">
        <v>43361</v>
      </c>
      <c r="F896" s="28">
        <v>43391</v>
      </c>
      <c r="G896" s="28">
        <v>43769</v>
      </c>
      <c r="H896" s="29" t="s">
        <v>560</v>
      </c>
      <c r="I896" s="29" t="s">
        <v>560</v>
      </c>
      <c r="J896" s="29" t="s">
        <v>1901</v>
      </c>
      <c r="K896" s="29" t="s">
        <v>1902</v>
      </c>
      <c r="L896" s="29" t="s">
        <v>1903</v>
      </c>
      <c r="M896" s="29" t="s">
        <v>1520</v>
      </c>
      <c r="N896" s="29" t="s">
        <v>1541</v>
      </c>
      <c r="O896" s="29" t="s">
        <v>590</v>
      </c>
    </row>
    <row r="897" spans="1:15">
      <c r="A897" s="25">
        <v>328</v>
      </c>
      <c r="B897" s="33" t="s">
        <v>206</v>
      </c>
      <c r="C897" s="27" t="s">
        <v>521</v>
      </c>
      <c r="D897" s="27" t="s">
        <v>705</v>
      </c>
      <c r="E897" s="28">
        <v>37725</v>
      </c>
      <c r="F897" s="28" t="s">
        <v>35</v>
      </c>
      <c r="G897" s="28" t="s">
        <v>35</v>
      </c>
      <c r="H897" s="29" t="s">
        <v>560</v>
      </c>
      <c r="I897" s="29" t="s">
        <v>560</v>
      </c>
      <c r="J897" s="29" t="s">
        <v>1930</v>
      </c>
      <c r="K897" s="29" t="s">
        <v>1930</v>
      </c>
      <c r="L897" s="29" t="s">
        <v>1931</v>
      </c>
      <c r="M897" s="29" t="s">
        <v>1513</v>
      </c>
      <c r="N897" s="29" t="s">
        <v>1514</v>
      </c>
      <c r="O897" s="29" t="s">
        <v>594</v>
      </c>
    </row>
    <row r="898" spans="1:15">
      <c r="A898" s="25">
        <v>9899</v>
      </c>
      <c r="B898" s="26" t="s">
        <v>1932</v>
      </c>
      <c r="C898" s="27" t="s">
        <v>521</v>
      </c>
      <c r="D898" s="27" t="s">
        <v>1748</v>
      </c>
      <c r="E898" s="28">
        <v>40424</v>
      </c>
      <c r="F898" s="28" t="s">
        <v>35</v>
      </c>
      <c r="G898" s="28" t="s">
        <v>35</v>
      </c>
      <c r="H898" s="27" t="s">
        <v>560</v>
      </c>
      <c r="I898" s="27" t="s">
        <v>560</v>
      </c>
      <c r="J898" s="29" t="s">
        <v>1930</v>
      </c>
      <c r="K898" s="29" t="s">
        <v>1930</v>
      </c>
      <c r="L898" s="29" t="s">
        <v>1931</v>
      </c>
      <c r="M898" s="29" t="s">
        <v>1933</v>
      </c>
      <c r="N898" s="29" t="s">
        <v>1518</v>
      </c>
      <c r="O898" s="29" t="s">
        <v>594</v>
      </c>
    </row>
    <row r="899" spans="1:15">
      <c r="A899" s="25">
        <v>10512</v>
      </c>
      <c r="B899" s="26" t="s">
        <v>1934</v>
      </c>
      <c r="C899" s="27" t="s">
        <v>521</v>
      </c>
      <c r="D899" s="27" t="s">
        <v>738</v>
      </c>
      <c r="E899" s="28">
        <v>40535</v>
      </c>
      <c r="F899" s="28" t="s">
        <v>35</v>
      </c>
      <c r="G899" s="28" t="s">
        <v>35</v>
      </c>
      <c r="H899" s="27" t="s">
        <v>560</v>
      </c>
      <c r="I899" s="27" t="s">
        <v>560</v>
      </c>
      <c r="J899" s="29" t="s">
        <v>1930</v>
      </c>
      <c r="K899" s="29" t="s">
        <v>1930</v>
      </c>
      <c r="L899" s="29" t="s">
        <v>1931</v>
      </c>
      <c r="M899" s="29" t="s">
        <v>1935</v>
      </c>
      <c r="N899" s="29" t="s">
        <v>1518</v>
      </c>
      <c r="O899" s="29" t="s">
        <v>594</v>
      </c>
    </row>
    <row r="900" spans="1:15">
      <c r="A900" s="25">
        <v>12641</v>
      </c>
      <c r="B900" s="34" t="s">
        <v>1936</v>
      </c>
      <c r="C900" s="31" t="s">
        <v>521</v>
      </c>
      <c r="D900" s="31" t="s">
        <v>1739</v>
      </c>
      <c r="E900" s="28">
        <v>40819</v>
      </c>
      <c r="F900" s="28" t="s">
        <v>35</v>
      </c>
      <c r="G900" s="28" t="s">
        <v>35</v>
      </c>
      <c r="H900" s="29" t="s">
        <v>560</v>
      </c>
      <c r="I900" s="29" t="s">
        <v>560</v>
      </c>
      <c r="J900" s="29" t="s">
        <v>1930</v>
      </c>
      <c r="K900" s="29" t="s">
        <v>1930</v>
      </c>
      <c r="L900" s="29" t="s">
        <v>1931</v>
      </c>
      <c r="M900" s="29" t="s">
        <v>1513</v>
      </c>
      <c r="N900" s="29" t="s">
        <v>1514</v>
      </c>
      <c r="O900" s="29" t="s">
        <v>594</v>
      </c>
    </row>
    <row r="901" spans="1:15">
      <c r="A901" s="25">
        <v>20876</v>
      </c>
      <c r="B901" s="26" t="s">
        <v>1937</v>
      </c>
      <c r="C901" s="27" t="s">
        <v>521</v>
      </c>
      <c r="D901" s="27" t="s">
        <v>807</v>
      </c>
      <c r="E901" s="28">
        <v>42660</v>
      </c>
      <c r="F901" s="28">
        <v>43160</v>
      </c>
      <c r="G901" s="28">
        <v>43524</v>
      </c>
      <c r="H901" s="29" t="s">
        <v>560</v>
      </c>
      <c r="I901" s="29" t="s">
        <v>560</v>
      </c>
      <c r="J901" s="29" t="s">
        <v>1930</v>
      </c>
      <c r="K901" s="29" t="s">
        <v>1930</v>
      </c>
      <c r="L901" s="29" t="s">
        <v>1931</v>
      </c>
      <c r="M901" s="29" t="s">
        <v>1520</v>
      </c>
      <c r="N901" s="29" t="s">
        <v>1541</v>
      </c>
      <c r="O901" s="29" t="s">
        <v>594</v>
      </c>
    </row>
    <row r="902" spans="1:15">
      <c r="A902" s="25">
        <v>21859</v>
      </c>
      <c r="B902" s="34" t="s">
        <v>1938</v>
      </c>
      <c r="C902" s="31" t="s">
        <v>521</v>
      </c>
      <c r="D902" s="31" t="s">
        <v>732</v>
      </c>
      <c r="E902" s="28">
        <v>43098</v>
      </c>
      <c r="F902" s="28">
        <v>43129</v>
      </c>
      <c r="G902" s="28">
        <v>43496</v>
      </c>
      <c r="H902" s="29" t="s">
        <v>560</v>
      </c>
      <c r="I902" s="29" t="s">
        <v>560</v>
      </c>
      <c r="J902" s="29" t="s">
        <v>1930</v>
      </c>
      <c r="K902" s="29" t="s">
        <v>1930</v>
      </c>
      <c r="L902" s="29" t="s">
        <v>1931</v>
      </c>
      <c r="M902" s="29" t="s">
        <v>1939</v>
      </c>
      <c r="N902" s="29" t="s">
        <v>1518</v>
      </c>
      <c r="O902" s="29" t="s">
        <v>594</v>
      </c>
    </row>
    <row r="903" spans="1:15">
      <c r="A903" s="25">
        <v>22304</v>
      </c>
      <c r="B903" s="34" t="s">
        <v>1940</v>
      </c>
      <c r="C903" s="31" t="s">
        <v>521</v>
      </c>
      <c r="D903" s="31" t="s">
        <v>1191</v>
      </c>
      <c r="E903" s="28">
        <v>43192</v>
      </c>
      <c r="F903" s="28">
        <v>43222</v>
      </c>
      <c r="G903" s="28">
        <v>43585</v>
      </c>
      <c r="H903" s="29" t="s">
        <v>560</v>
      </c>
      <c r="I903" s="29" t="s">
        <v>560</v>
      </c>
      <c r="J903" s="29" t="s">
        <v>1930</v>
      </c>
      <c r="K903" s="29" t="s">
        <v>1930</v>
      </c>
      <c r="L903" s="29" t="s">
        <v>1931</v>
      </c>
      <c r="M903" s="29" t="s">
        <v>1513</v>
      </c>
      <c r="N903" s="29" t="s">
        <v>1514</v>
      </c>
      <c r="O903" s="29" t="s">
        <v>594</v>
      </c>
    </row>
    <row r="904" spans="1:15">
      <c r="A904" s="25">
        <v>23227</v>
      </c>
      <c r="B904" s="34" t="s">
        <v>1941</v>
      </c>
      <c r="C904" s="31" t="s">
        <v>521</v>
      </c>
      <c r="D904" s="31" t="s">
        <v>1582</v>
      </c>
      <c r="E904" s="28">
        <v>43421</v>
      </c>
      <c r="F904" s="28">
        <v>43451</v>
      </c>
      <c r="G904" s="28">
        <v>43830</v>
      </c>
      <c r="H904" s="29" t="s">
        <v>560</v>
      </c>
      <c r="I904" s="29" t="s">
        <v>560</v>
      </c>
      <c r="J904" s="29" t="s">
        <v>1930</v>
      </c>
      <c r="K904" s="29" t="s">
        <v>1930</v>
      </c>
      <c r="L904" s="29" t="s">
        <v>1931</v>
      </c>
      <c r="M904" s="29" t="s">
        <v>1942</v>
      </c>
      <c r="N904" s="29" t="s">
        <v>1511</v>
      </c>
      <c r="O904" s="29" t="s">
        <v>594</v>
      </c>
    </row>
    <row r="905" spans="1:15">
      <c r="A905" s="25">
        <v>1090</v>
      </c>
      <c r="B905" s="26" t="s">
        <v>1943</v>
      </c>
      <c r="C905" s="27" t="s">
        <v>521</v>
      </c>
      <c r="D905" s="27" t="s">
        <v>1411</v>
      </c>
      <c r="E905" s="28">
        <v>37887</v>
      </c>
      <c r="F905" s="28" t="s">
        <v>35</v>
      </c>
      <c r="G905" s="28" t="s">
        <v>35</v>
      </c>
      <c r="H905" s="29" t="s">
        <v>560</v>
      </c>
      <c r="I905" s="29" t="s">
        <v>560</v>
      </c>
      <c r="J905" s="29" t="s">
        <v>1930</v>
      </c>
      <c r="K905" s="29" t="s">
        <v>1930</v>
      </c>
      <c r="L905" s="29" t="s">
        <v>1931</v>
      </c>
      <c r="M905" s="29" t="s">
        <v>1513</v>
      </c>
      <c r="N905" s="29" t="s">
        <v>1514</v>
      </c>
      <c r="O905" s="29" t="s">
        <v>590</v>
      </c>
    </row>
    <row r="906" spans="1:15">
      <c r="A906" s="25">
        <v>5695</v>
      </c>
      <c r="B906" s="26" t="s">
        <v>1944</v>
      </c>
      <c r="C906" s="27" t="s">
        <v>521</v>
      </c>
      <c r="D906" s="27" t="s">
        <v>790</v>
      </c>
      <c r="E906" s="28">
        <v>39098</v>
      </c>
      <c r="F906" s="28" t="s">
        <v>35</v>
      </c>
      <c r="G906" s="28" t="s">
        <v>35</v>
      </c>
      <c r="H906" s="29" t="s">
        <v>560</v>
      </c>
      <c r="I906" s="29" t="s">
        <v>560</v>
      </c>
      <c r="J906" s="29" t="s">
        <v>1930</v>
      </c>
      <c r="K906" s="29" t="s">
        <v>1930</v>
      </c>
      <c r="L906" s="29" t="s">
        <v>1931</v>
      </c>
      <c r="M906" s="29" t="s">
        <v>1945</v>
      </c>
      <c r="N906" s="29" t="s">
        <v>1518</v>
      </c>
      <c r="O906" s="29" t="s">
        <v>590</v>
      </c>
    </row>
    <row r="907" spans="1:15">
      <c r="A907" s="25">
        <v>8988</v>
      </c>
      <c r="B907" s="26" t="s">
        <v>1946</v>
      </c>
      <c r="C907" s="27" t="s">
        <v>521</v>
      </c>
      <c r="D907" s="27" t="s">
        <v>715</v>
      </c>
      <c r="E907" s="28">
        <v>39975</v>
      </c>
      <c r="F907" s="28" t="s">
        <v>35</v>
      </c>
      <c r="G907" s="28" t="s">
        <v>35</v>
      </c>
      <c r="H907" s="27" t="s">
        <v>560</v>
      </c>
      <c r="I907" s="27" t="s">
        <v>560</v>
      </c>
      <c r="J907" s="29" t="s">
        <v>1930</v>
      </c>
      <c r="K907" s="29" t="s">
        <v>1930</v>
      </c>
      <c r="L907" s="29" t="s">
        <v>1931</v>
      </c>
      <c r="M907" s="29" t="s">
        <v>1947</v>
      </c>
      <c r="N907" s="29" t="s">
        <v>1518</v>
      </c>
      <c r="O907" s="29" t="s">
        <v>590</v>
      </c>
    </row>
    <row r="908" spans="1:15">
      <c r="A908" s="25">
        <v>13268</v>
      </c>
      <c r="B908" s="26" t="s">
        <v>1948</v>
      </c>
      <c r="C908" s="27" t="s">
        <v>521</v>
      </c>
      <c r="D908" s="27" t="s">
        <v>1949</v>
      </c>
      <c r="E908" s="28">
        <v>40917</v>
      </c>
      <c r="F908" s="28" t="s">
        <v>35</v>
      </c>
      <c r="G908" s="28" t="s">
        <v>35</v>
      </c>
      <c r="H908" s="29" t="s">
        <v>560</v>
      </c>
      <c r="I908" s="29" t="s">
        <v>560</v>
      </c>
      <c r="J908" s="29" t="s">
        <v>1930</v>
      </c>
      <c r="K908" s="29" t="s">
        <v>1930</v>
      </c>
      <c r="L908" s="29" t="s">
        <v>1931</v>
      </c>
      <c r="M908" s="29" t="s">
        <v>1513</v>
      </c>
      <c r="N908" s="29" t="s">
        <v>1514</v>
      </c>
      <c r="O908" s="29" t="s">
        <v>590</v>
      </c>
    </row>
    <row r="909" spans="1:15">
      <c r="A909" s="25">
        <v>20569</v>
      </c>
      <c r="B909" s="34" t="s">
        <v>1950</v>
      </c>
      <c r="C909" s="31" t="s">
        <v>521</v>
      </c>
      <c r="D909" s="27" t="s">
        <v>673</v>
      </c>
      <c r="E909" s="28">
        <v>42639</v>
      </c>
      <c r="F909" s="28">
        <v>43132</v>
      </c>
      <c r="G909" s="28">
        <v>43496</v>
      </c>
      <c r="H909" s="29" t="s">
        <v>560</v>
      </c>
      <c r="I909" s="29" t="s">
        <v>560</v>
      </c>
      <c r="J909" s="29" t="s">
        <v>1930</v>
      </c>
      <c r="K909" s="29" t="s">
        <v>1930</v>
      </c>
      <c r="L909" s="29" t="s">
        <v>1931</v>
      </c>
      <c r="M909" s="29" t="s">
        <v>1513</v>
      </c>
      <c r="N909" s="29" t="s">
        <v>1514</v>
      </c>
      <c r="O909" s="29" t="s">
        <v>590</v>
      </c>
    </row>
    <row r="910" spans="1:15">
      <c r="A910" s="25">
        <v>20701</v>
      </c>
      <c r="B910" s="26" t="s">
        <v>1951</v>
      </c>
      <c r="C910" s="27" t="s">
        <v>521</v>
      </c>
      <c r="D910" s="27" t="s">
        <v>815</v>
      </c>
      <c r="E910" s="28">
        <v>42642</v>
      </c>
      <c r="F910" s="28">
        <v>43132</v>
      </c>
      <c r="G910" s="28">
        <v>43496</v>
      </c>
      <c r="H910" s="31" t="s">
        <v>560</v>
      </c>
      <c r="I910" s="31" t="s">
        <v>560</v>
      </c>
      <c r="J910" s="29" t="s">
        <v>1930</v>
      </c>
      <c r="K910" s="29" t="s">
        <v>1930</v>
      </c>
      <c r="L910" s="29" t="s">
        <v>1931</v>
      </c>
      <c r="M910" s="29" t="s">
        <v>1952</v>
      </c>
      <c r="N910" s="29" t="s">
        <v>1518</v>
      </c>
      <c r="O910" s="29" t="s">
        <v>590</v>
      </c>
    </row>
    <row r="911" spans="1:15">
      <c r="A911" s="25">
        <v>20846</v>
      </c>
      <c r="B911" s="26" t="s">
        <v>1953</v>
      </c>
      <c r="C911" s="27" t="s">
        <v>521</v>
      </c>
      <c r="D911" s="27" t="s">
        <v>807</v>
      </c>
      <c r="E911" s="28">
        <v>42660</v>
      </c>
      <c r="F911" s="28">
        <v>43160</v>
      </c>
      <c r="G911" s="28">
        <v>43524</v>
      </c>
      <c r="H911" s="29" t="s">
        <v>560</v>
      </c>
      <c r="I911" s="29" t="s">
        <v>560</v>
      </c>
      <c r="J911" s="29" t="s">
        <v>1930</v>
      </c>
      <c r="K911" s="29" t="s">
        <v>1930</v>
      </c>
      <c r="L911" s="29" t="s">
        <v>1931</v>
      </c>
      <c r="M911" s="29" t="s">
        <v>1513</v>
      </c>
      <c r="N911" s="29" t="s">
        <v>1514</v>
      </c>
      <c r="O911" s="29" t="s">
        <v>590</v>
      </c>
    </row>
    <row r="912" spans="1:15">
      <c r="A912" s="25">
        <v>21745</v>
      </c>
      <c r="B912" s="34" t="s">
        <v>1954</v>
      </c>
      <c r="C912" s="31" t="s">
        <v>521</v>
      </c>
      <c r="D912" s="31" t="s">
        <v>663</v>
      </c>
      <c r="E912" s="28">
        <v>43087</v>
      </c>
      <c r="F912" s="28">
        <v>43118</v>
      </c>
      <c r="G912" s="28">
        <v>43496</v>
      </c>
      <c r="H912" s="29" t="s">
        <v>560</v>
      </c>
      <c r="I912" s="29" t="s">
        <v>560</v>
      </c>
      <c r="J912" s="29" t="s">
        <v>1930</v>
      </c>
      <c r="K912" s="29" t="s">
        <v>1930</v>
      </c>
      <c r="L912" s="29" t="s">
        <v>1931</v>
      </c>
      <c r="M912" s="29" t="s">
        <v>1520</v>
      </c>
      <c r="N912" s="29" t="s">
        <v>1541</v>
      </c>
      <c r="O912" s="29" t="s">
        <v>590</v>
      </c>
    </row>
    <row r="913" spans="1:15">
      <c r="A913" s="25">
        <v>5835</v>
      </c>
      <c r="B913" s="26" t="s">
        <v>1955</v>
      </c>
      <c r="C913" s="27" t="s">
        <v>521</v>
      </c>
      <c r="D913" s="27" t="s">
        <v>794</v>
      </c>
      <c r="E913" s="28">
        <v>39114</v>
      </c>
      <c r="F913" s="28" t="s">
        <v>35</v>
      </c>
      <c r="G913" s="28" t="s">
        <v>35</v>
      </c>
      <c r="H913" s="27" t="s">
        <v>560</v>
      </c>
      <c r="I913" s="27" t="s">
        <v>560</v>
      </c>
      <c r="J913" s="29" t="s">
        <v>1930</v>
      </c>
      <c r="K913" s="29" t="s">
        <v>1930</v>
      </c>
      <c r="L913" s="29" t="s">
        <v>1956</v>
      </c>
      <c r="M913" s="29" t="s">
        <v>1957</v>
      </c>
      <c r="N913" s="29" t="s">
        <v>1518</v>
      </c>
      <c r="O913" s="29" t="s">
        <v>594</v>
      </c>
    </row>
    <row r="914" spans="1:15">
      <c r="A914" s="25">
        <v>13871</v>
      </c>
      <c r="B914" s="26" t="s">
        <v>1958</v>
      </c>
      <c r="C914" s="27" t="s">
        <v>521</v>
      </c>
      <c r="D914" s="27" t="s">
        <v>1959</v>
      </c>
      <c r="E914" s="28">
        <v>41250</v>
      </c>
      <c r="F914" s="28" t="s">
        <v>35</v>
      </c>
      <c r="G914" s="28" t="s">
        <v>35</v>
      </c>
      <c r="H914" s="27" t="s">
        <v>560</v>
      </c>
      <c r="I914" s="27" t="s">
        <v>560</v>
      </c>
      <c r="J914" s="29" t="s">
        <v>1930</v>
      </c>
      <c r="K914" s="29" t="s">
        <v>1930</v>
      </c>
      <c r="L914" s="29" t="s">
        <v>1956</v>
      </c>
      <c r="M914" s="29" t="s">
        <v>1513</v>
      </c>
      <c r="N914" s="29" t="s">
        <v>1514</v>
      </c>
      <c r="O914" s="29" t="s">
        <v>594</v>
      </c>
    </row>
    <row r="915" spans="1:15">
      <c r="A915" s="25">
        <v>22402</v>
      </c>
      <c r="B915" s="34" t="s">
        <v>1960</v>
      </c>
      <c r="C915" s="31" t="s">
        <v>521</v>
      </c>
      <c r="D915" s="31" t="s">
        <v>805</v>
      </c>
      <c r="E915" s="28">
        <v>43213</v>
      </c>
      <c r="F915" s="28">
        <v>43243</v>
      </c>
      <c r="G915" s="28">
        <v>43616</v>
      </c>
      <c r="H915" s="29" t="s">
        <v>560</v>
      </c>
      <c r="I915" s="29" t="s">
        <v>560</v>
      </c>
      <c r="J915" s="29" t="s">
        <v>1930</v>
      </c>
      <c r="K915" s="29" t="s">
        <v>1930</v>
      </c>
      <c r="L915" s="29" t="s">
        <v>1956</v>
      </c>
      <c r="M915" s="29" t="s">
        <v>1520</v>
      </c>
      <c r="N915" s="29" t="s">
        <v>1541</v>
      </c>
      <c r="O915" s="29" t="s">
        <v>594</v>
      </c>
    </row>
    <row r="916" spans="1:15">
      <c r="A916" s="25">
        <v>22946</v>
      </c>
      <c r="B916" s="34" t="s">
        <v>1961</v>
      </c>
      <c r="C916" s="31" t="s">
        <v>521</v>
      </c>
      <c r="D916" s="31" t="s">
        <v>1962</v>
      </c>
      <c r="E916" s="28">
        <v>43343</v>
      </c>
      <c r="F916" s="28">
        <v>43374</v>
      </c>
      <c r="G916" s="28">
        <v>43738</v>
      </c>
      <c r="H916" s="29" t="s">
        <v>560</v>
      </c>
      <c r="I916" s="29" t="s">
        <v>560</v>
      </c>
      <c r="J916" s="29" t="s">
        <v>1930</v>
      </c>
      <c r="K916" s="29" t="s">
        <v>1930</v>
      </c>
      <c r="L916" s="29" t="s">
        <v>1956</v>
      </c>
      <c r="M916" s="29" t="s">
        <v>1963</v>
      </c>
      <c r="N916" s="29" t="s">
        <v>1518</v>
      </c>
      <c r="O916" s="29" t="s">
        <v>594</v>
      </c>
    </row>
    <row r="917" spans="1:15">
      <c r="A917" s="25">
        <v>22956</v>
      </c>
      <c r="B917" s="34" t="s">
        <v>1964</v>
      </c>
      <c r="C917" s="31" t="s">
        <v>521</v>
      </c>
      <c r="D917" s="31" t="s">
        <v>1962</v>
      </c>
      <c r="E917" s="28">
        <v>43343</v>
      </c>
      <c r="F917" s="28">
        <v>43374</v>
      </c>
      <c r="G917" s="28">
        <v>43738</v>
      </c>
      <c r="H917" s="29" t="s">
        <v>560</v>
      </c>
      <c r="I917" s="29" t="s">
        <v>560</v>
      </c>
      <c r="J917" s="29" t="s">
        <v>1930</v>
      </c>
      <c r="K917" s="29" t="s">
        <v>1930</v>
      </c>
      <c r="L917" s="29" t="s">
        <v>1956</v>
      </c>
      <c r="M917" s="29" t="s">
        <v>1965</v>
      </c>
      <c r="N917" s="29" t="s">
        <v>1518</v>
      </c>
      <c r="O917" s="29" t="s">
        <v>594</v>
      </c>
    </row>
    <row r="918" spans="1:15">
      <c r="A918" s="25">
        <v>13249</v>
      </c>
      <c r="B918" s="26" t="s">
        <v>1966</v>
      </c>
      <c r="C918" s="27" t="s">
        <v>521</v>
      </c>
      <c r="D918" s="27" t="s">
        <v>1949</v>
      </c>
      <c r="E918" s="28">
        <v>40917</v>
      </c>
      <c r="F918" s="28" t="s">
        <v>35</v>
      </c>
      <c r="G918" s="28" t="s">
        <v>35</v>
      </c>
      <c r="H918" s="27" t="s">
        <v>560</v>
      </c>
      <c r="I918" s="27" t="s">
        <v>560</v>
      </c>
      <c r="J918" s="29" t="s">
        <v>1930</v>
      </c>
      <c r="K918" s="29" t="s">
        <v>1930</v>
      </c>
      <c r="L918" s="29" t="s">
        <v>1956</v>
      </c>
      <c r="M918" s="29" t="s">
        <v>1963</v>
      </c>
      <c r="N918" s="29" t="s">
        <v>1518</v>
      </c>
      <c r="O918" s="29" t="s">
        <v>590</v>
      </c>
    </row>
    <row r="919" spans="1:15">
      <c r="A919" s="25">
        <v>22461</v>
      </c>
      <c r="B919" s="34" t="s">
        <v>1967</v>
      </c>
      <c r="C919" s="31" t="s">
        <v>521</v>
      </c>
      <c r="D919" s="31" t="s">
        <v>1577</v>
      </c>
      <c r="E919" s="28">
        <v>43220</v>
      </c>
      <c r="F919" s="28">
        <v>43250</v>
      </c>
      <c r="G919" s="28">
        <v>43616</v>
      </c>
      <c r="H919" s="29" t="s">
        <v>560</v>
      </c>
      <c r="I919" s="29" t="s">
        <v>560</v>
      </c>
      <c r="J919" s="29" t="s">
        <v>1930</v>
      </c>
      <c r="K919" s="29" t="s">
        <v>1930</v>
      </c>
      <c r="L919" s="29" t="s">
        <v>1956</v>
      </c>
      <c r="M919" s="29" t="s">
        <v>1968</v>
      </c>
      <c r="N919" s="29" t="s">
        <v>1518</v>
      </c>
      <c r="O919" s="29" t="s">
        <v>590</v>
      </c>
    </row>
    <row r="920" spans="1:15">
      <c r="A920" s="25">
        <v>22962</v>
      </c>
      <c r="B920" s="34" t="s">
        <v>1969</v>
      </c>
      <c r="C920" s="31" t="s">
        <v>521</v>
      </c>
      <c r="D920" s="31" t="s">
        <v>1962</v>
      </c>
      <c r="E920" s="28">
        <v>43343</v>
      </c>
      <c r="F920" s="28">
        <v>43374</v>
      </c>
      <c r="G920" s="28">
        <v>43738</v>
      </c>
      <c r="H920" s="29" t="s">
        <v>560</v>
      </c>
      <c r="I920" s="29" t="s">
        <v>560</v>
      </c>
      <c r="J920" s="29" t="s">
        <v>1930</v>
      </c>
      <c r="K920" s="29" t="s">
        <v>1930</v>
      </c>
      <c r="L920" s="29" t="s">
        <v>1956</v>
      </c>
      <c r="M920" s="29" t="s">
        <v>1520</v>
      </c>
      <c r="N920" s="29" t="s">
        <v>1541</v>
      </c>
      <c r="O920" s="29" t="s">
        <v>590</v>
      </c>
    </row>
    <row r="921" spans="1:15">
      <c r="A921" s="25">
        <v>22967</v>
      </c>
      <c r="B921" s="34" t="s">
        <v>1900</v>
      </c>
      <c r="C921" s="31" t="s">
        <v>521</v>
      </c>
      <c r="D921" s="31" t="s">
        <v>1962</v>
      </c>
      <c r="E921" s="28">
        <v>43343</v>
      </c>
      <c r="F921" s="28">
        <v>43374</v>
      </c>
      <c r="G921" s="28">
        <v>43738</v>
      </c>
      <c r="H921" s="29" t="s">
        <v>560</v>
      </c>
      <c r="I921" s="29" t="s">
        <v>560</v>
      </c>
      <c r="J921" s="29" t="s">
        <v>1930</v>
      </c>
      <c r="K921" s="29" t="s">
        <v>1930</v>
      </c>
      <c r="L921" s="29" t="s">
        <v>1956</v>
      </c>
      <c r="M921" s="29" t="s">
        <v>1965</v>
      </c>
      <c r="N921" s="29" t="s">
        <v>1518</v>
      </c>
      <c r="O921" s="29" t="s">
        <v>590</v>
      </c>
    </row>
    <row r="922" spans="1:15">
      <c r="A922" s="25">
        <v>9050</v>
      </c>
      <c r="B922" s="26" t="s">
        <v>1970</v>
      </c>
      <c r="C922" s="27" t="s">
        <v>521</v>
      </c>
      <c r="D922" s="27" t="s">
        <v>1971</v>
      </c>
      <c r="E922" s="28">
        <v>39979</v>
      </c>
      <c r="F922" s="28" t="s">
        <v>35</v>
      </c>
      <c r="G922" s="28" t="s">
        <v>35</v>
      </c>
      <c r="H922" s="29" t="s">
        <v>560</v>
      </c>
      <c r="I922" s="29" t="s">
        <v>560</v>
      </c>
      <c r="J922" s="29" t="s">
        <v>1972</v>
      </c>
      <c r="K922" s="29" t="s">
        <v>1972</v>
      </c>
      <c r="L922" s="29" t="s">
        <v>1972</v>
      </c>
      <c r="M922" s="29" t="s">
        <v>1550</v>
      </c>
      <c r="N922" s="29" t="s">
        <v>1045</v>
      </c>
      <c r="O922" s="29" t="s">
        <v>594</v>
      </c>
    </row>
    <row r="923" spans="1:15">
      <c r="A923" s="25">
        <v>12878</v>
      </c>
      <c r="B923" s="26" t="s">
        <v>1973</v>
      </c>
      <c r="C923" s="27" t="s">
        <v>521</v>
      </c>
      <c r="D923" s="27" t="s">
        <v>688</v>
      </c>
      <c r="E923" s="28">
        <v>40833</v>
      </c>
      <c r="F923" s="28" t="s">
        <v>35</v>
      </c>
      <c r="G923" s="28" t="s">
        <v>35</v>
      </c>
      <c r="H923" s="27" t="s">
        <v>560</v>
      </c>
      <c r="I923" s="27" t="s">
        <v>560</v>
      </c>
      <c r="J923" s="29" t="s">
        <v>1972</v>
      </c>
      <c r="K923" s="29" t="s">
        <v>1972</v>
      </c>
      <c r="L923" s="29" t="s">
        <v>1972</v>
      </c>
      <c r="M923" s="29" t="s">
        <v>1974</v>
      </c>
      <c r="N923" s="29" t="s">
        <v>1972</v>
      </c>
      <c r="O923" s="29" t="s">
        <v>594</v>
      </c>
    </row>
    <row r="924" spans="1:15">
      <c r="A924" s="25">
        <v>20584</v>
      </c>
      <c r="B924" s="26" t="s">
        <v>1975</v>
      </c>
      <c r="C924" s="27" t="s">
        <v>521</v>
      </c>
      <c r="D924" s="27" t="s">
        <v>673</v>
      </c>
      <c r="E924" s="28">
        <v>42639</v>
      </c>
      <c r="F924" s="28">
        <v>43132</v>
      </c>
      <c r="G924" s="28">
        <v>43496</v>
      </c>
      <c r="H924" s="25" t="s">
        <v>560</v>
      </c>
      <c r="I924" s="25" t="s">
        <v>560</v>
      </c>
      <c r="J924" s="29" t="s">
        <v>1972</v>
      </c>
      <c r="K924" s="29" t="s">
        <v>1972</v>
      </c>
      <c r="L924" s="29" t="s">
        <v>1972</v>
      </c>
      <c r="M924" s="29" t="s">
        <v>1976</v>
      </c>
      <c r="N924" s="29" t="s">
        <v>1541</v>
      </c>
      <c r="O924" s="29" t="s">
        <v>594</v>
      </c>
    </row>
    <row r="925" spans="1:15">
      <c r="A925" s="25">
        <v>21019</v>
      </c>
      <c r="B925" s="26" t="s">
        <v>1977</v>
      </c>
      <c r="C925" s="27" t="s">
        <v>521</v>
      </c>
      <c r="D925" s="27" t="s">
        <v>766</v>
      </c>
      <c r="E925" s="28">
        <v>42702</v>
      </c>
      <c r="F925" s="28">
        <v>43191</v>
      </c>
      <c r="G925" s="28">
        <v>43555</v>
      </c>
      <c r="H925" s="27" t="s">
        <v>560</v>
      </c>
      <c r="I925" s="27" t="s">
        <v>560</v>
      </c>
      <c r="J925" s="29" t="s">
        <v>1972</v>
      </c>
      <c r="K925" s="29" t="s">
        <v>1972</v>
      </c>
      <c r="L925" s="29" t="s">
        <v>1972</v>
      </c>
      <c r="M925" s="29" t="s">
        <v>1978</v>
      </c>
      <c r="N925" s="29" t="s">
        <v>659</v>
      </c>
      <c r="O925" s="29" t="s">
        <v>594</v>
      </c>
    </row>
    <row r="926" spans="1:15">
      <c r="A926" s="25">
        <v>21704</v>
      </c>
      <c r="B926" s="34" t="s">
        <v>1979</v>
      </c>
      <c r="C926" s="31" t="s">
        <v>521</v>
      </c>
      <c r="D926" s="31" t="s">
        <v>663</v>
      </c>
      <c r="E926" s="28">
        <v>43087</v>
      </c>
      <c r="F926" s="28">
        <v>43118</v>
      </c>
      <c r="G926" s="28">
        <v>43496</v>
      </c>
      <c r="H926" s="27" t="s">
        <v>560</v>
      </c>
      <c r="I926" s="27" t="s">
        <v>560</v>
      </c>
      <c r="J926" s="27" t="s">
        <v>1972</v>
      </c>
      <c r="K926" s="27" t="s">
        <v>1972</v>
      </c>
      <c r="L926" s="27" t="s">
        <v>1972</v>
      </c>
      <c r="M926" s="29" t="s">
        <v>1980</v>
      </c>
      <c r="N926" s="29" t="s">
        <v>1972</v>
      </c>
      <c r="O926" s="29" t="s">
        <v>594</v>
      </c>
    </row>
    <row r="927" spans="1:15">
      <c r="A927" s="25">
        <v>21893</v>
      </c>
      <c r="B927" s="34" t="s">
        <v>1981</v>
      </c>
      <c r="C927" s="31" t="s">
        <v>521</v>
      </c>
      <c r="D927" s="31" t="s">
        <v>1870</v>
      </c>
      <c r="E927" s="28">
        <v>43103</v>
      </c>
      <c r="F927" s="28">
        <v>43134</v>
      </c>
      <c r="G927" s="28">
        <v>43496</v>
      </c>
      <c r="H927" s="29" t="s">
        <v>560</v>
      </c>
      <c r="I927" s="29" t="s">
        <v>560</v>
      </c>
      <c r="J927" s="29" t="s">
        <v>1972</v>
      </c>
      <c r="K927" s="29" t="s">
        <v>1972</v>
      </c>
      <c r="L927" s="29" t="s">
        <v>1972</v>
      </c>
      <c r="M927" s="29" t="s">
        <v>1976</v>
      </c>
      <c r="N927" s="29" t="s">
        <v>1541</v>
      </c>
      <c r="O927" s="29" t="s">
        <v>594</v>
      </c>
    </row>
    <row r="928" spans="1:15">
      <c r="A928" s="25">
        <v>21966</v>
      </c>
      <c r="B928" s="34" t="s">
        <v>1982</v>
      </c>
      <c r="C928" s="31" t="s">
        <v>521</v>
      </c>
      <c r="D928" s="31" t="s">
        <v>1573</v>
      </c>
      <c r="E928" s="28">
        <v>43116</v>
      </c>
      <c r="F928" s="28">
        <v>43147</v>
      </c>
      <c r="G928" s="28">
        <v>43524</v>
      </c>
      <c r="H928" s="29" t="s">
        <v>560</v>
      </c>
      <c r="I928" s="29" t="s">
        <v>560</v>
      </c>
      <c r="J928" s="29" t="s">
        <v>1972</v>
      </c>
      <c r="K928" s="29" t="s">
        <v>1972</v>
      </c>
      <c r="L928" s="29" t="s">
        <v>1972</v>
      </c>
      <c r="M928" s="29" t="s">
        <v>1534</v>
      </c>
      <c r="N928" s="29" t="s">
        <v>1514</v>
      </c>
      <c r="O928" s="29" t="s">
        <v>594</v>
      </c>
    </row>
    <row r="929" spans="1:15">
      <c r="A929" s="25">
        <v>22066</v>
      </c>
      <c r="B929" s="34" t="s">
        <v>1983</v>
      </c>
      <c r="C929" s="31" t="s">
        <v>521</v>
      </c>
      <c r="D929" s="31" t="s">
        <v>769</v>
      </c>
      <c r="E929" s="28">
        <v>43150</v>
      </c>
      <c r="F929" s="28">
        <v>43178</v>
      </c>
      <c r="G929" s="28">
        <v>43555</v>
      </c>
      <c r="H929" s="29" t="s">
        <v>560</v>
      </c>
      <c r="I929" s="29" t="s">
        <v>560</v>
      </c>
      <c r="J929" s="29" t="s">
        <v>1972</v>
      </c>
      <c r="K929" s="29" t="s">
        <v>1972</v>
      </c>
      <c r="L929" s="29" t="s">
        <v>1972</v>
      </c>
      <c r="M929" s="29" t="s">
        <v>1976</v>
      </c>
      <c r="N929" s="29" t="s">
        <v>1541</v>
      </c>
      <c r="O929" s="29" t="s">
        <v>594</v>
      </c>
    </row>
    <row r="930" spans="1:15">
      <c r="A930" s="25">
        <v>22391</v>
      </c>
      <c r="B930" s="34" t="s">
        <v>1984</v>
      </c>
      <c r="C930" s="31" t="s">
        <v>521</v>
      </c>
      <c r="D930" s="31" t="s">
        <v>805</v>
      </c>
      <c r="E930" s="28">
        <v>43213</v>
      </c>
      <c r="F930" s="28">
        <v>43243</v>
      </c>
      <c r="G930" s="28">
        <v>43616</v>
      </c>
      <c r="H930" s="29" t="s">
        <v>560</v>
      </c>
      <c r="I930" s="29" t="s">
        <v>560</v>
      </c>
      <c r="J930" s="29" t="s">
        <v>1972</v>
      </c>
      <c r="K930" s="29" t="s">
        <v>1972</v>
      </c>
      <c r="L930" s="29" t="s">
        <v>1972</v>
      </c>
      <c r="M930" s="29" t="s">
        <v>1985</v>
      </c>
      <c r="N930" s="29" t="s">
        <v>1972</v>
      </c>
      <c r="O930" s="29" t="s">
        <v>594</v>
      </c>
    </row>
    <row r="931" spans="1:15">
      <c r="A931" s="25">
        <v>22446</v>
      </c>
      <c r="B931" s="34" t="s">
        <v>1986</v>
      </c>
      <c r="C931" s="31" t="s">
        <v>521</v>
      </c>
      <c r="D931" s="31" t="s">
        <v>1577</v>
      </c>
      <c r="E931" s="28">
        <v>43220</v>
      </c>
      <c r="F931" s="28">
        <v>43250</v>
      </c>
      <c r="G931" s="28">
        <v>43616</v>
      </c>
      <c r="H931" s="29" t="s">
        <v>560</v>
      </c>
      <c r="I931" s="29" t="s">
        <v>560</v>
      </c>
      <c r="J931" s="29" t="s">
        <v>1972</v>
      </c>
      <c r="K931" s="29" t="s">
        <v>1972</v>
      </c>
      <c r="L931" s="29" t="s">
        <v>1972</v>
      </c>
      <c r="M931" s="29" t="s">
        <v>1976</v>
      </c>
      <c r="N931" s="29" t="s">
        <v>1541</v>
      </c>
      <c r="O931" s="29" t="s">
        <v>594</v>
      </c>
    </row>
    <row r="932" spans="1:15">
      <c r="A932" s="25">
        <v>22513</v>
      </c>
      <c r="B932" s="34" t="s">
        <v>1987</v>
      </c>
      <c r="C932" s="31" t="s">
        <v>521</v>
      </c>
      <c r="D932" s="31" t="s">
        <v>773</v>
      </c>
      <c r="E932" s="28">
        <v>43224</v>
      </c>
      <c r="F932" s="28">
        <v>43255</v>
      </c>
      <c r="G932" s="28">
        <v>43616</v>
      </c>
      <c r="H932" s="29" t="s">
        <v>560</v>
      </c>
      <c r="I932" s="29" t="s">
        <v>560</v>
      </c>
      <c r="J932" s="29" t="s">
        <v>1972</v>
      </c>
      <c r="K932" s="29" t="s">
        <v>1972</v>
      </c>
      <c r="L932" s="29" t="s">
        <v>1972</v>
      </c>
      <c r="M932" s="29" t="s">
        <v>1988</v>
      </c>
      <c r="N932" s="29" t="s">
        <v>1972</v>
      </c>
      <c r="O932" s="29" t="s">
        <v>594</v>
      </c>
    </row>
    <row r="933" spans="1:15">
      <c r="A933" s="25">
        <v>22645</v>
      </c>
      <c r="B933" s="34" t="s">
        <v>1989</v>
      </c>
      <c r="C933" s="31" t="s">
        <v>521</v>
      </c>
      <c r="D933" s="31" t="s">
        <v>1199</v>
      </c>
      <c r="E933" s="28">
        <v>43241</v>
      </c>
      <c r="F933" s="28">
        <v>43272</v>
      </c>
      <c r="G933" s="28">
        <v>43646</v>
      </c>
      <c r="H933" s="29" t="s">
        <v>560</v>
      </c>
      <c r="I933" s="29" t="s">
        <v>560</v>
      </c>
      <c r="J933" s="29" t="s">
        <v>1972</v>
      </c>
      <c r="K933" s="29" t="s">
        <v>1972</v>
      </c>
      <c r="L933" s="29" t="s">
        <v>1972</v>
      </c>
      <c r="M933" s="29" t="s">
        <v>1976</v>
      </c>
      <c r="N933" s="29" t="s">
        <v>1541</v>
      </c>
      <c r="O933" s="29" t="s">
        <v>594</v>
      </c>
    </row>
    <row r="934" spans="1:15">
      <c r="A934" s="25">
        <v>22789</v>
      </c>
      <c r="B934" s="34" t="s">
        <v>1990</v>
      </c>
      <c r="C934" s="31" t="s">
        <v>521</v>
      </c>
      <c r="D934" s="31" t="s">
        <v>1615</v>
      </c>
      <c r="E934" s="28">
        <v>43283</v>
      </c>
      <c r="F934" s="28">
        <v>43314</v>
      </c>
      <c r="G934" s="28">
        <v>43677</v>
      </c>
      <c r="H934" s="29" t="s">
        <v>560</v>
      </c>
      <c r="I934" s="29" t="s">
        <v>560</v>
      </c>
      <c r="J934" s="29" t="s">
        <v>1972</v>
      </c>
      <c r="K934" s="29" t="s">
        <v>1972</v>
      </c>
      <c r="L934" s="29" t="s">
        <v>1972</v>
      </c>
      <c r="M934" s="29" t="s">
        <v>1976</v>
      </c>
      <c r="N934" s="29" t="s">
        <v>1541</v>
      </c>
      <c r="O934" s="29" t="s">
        <v>594</v>
      </c>
    </row>
    <row r="935" spans="1:15">
      <c r="A935" s="25">
        <v>22820</v>
      </c>
      <c r="B935" s="34" t="s">
        <v>1991</v>
      </c>
      <c r="C935" s="31" t="s">
        <v>521</v>
      </c>
      <c r="D935" s="31" t="s">
        <v>775</v>
      </c>
      <c r="E935" s="28">
        <v>43333</v>
      </c>
      <c r="F935" s="28">
        <v>43364</v>
      </c>
      <c r="G935" s="28">
        <v>43738</v>
      </c>
      <c r="H935" s="29" t="s">
        <v>560</v>
      </c>
      <c r="I935" s="29" t="s">
        <v>560</v>
      </c>
      <c r="J935" s="29" t="s">
        <v>1972</v>
      </c>
      <c r="K935" s="29" t="s">
        <v>1972</v>
      </c>
      <c r="L935" s="29" t="s">
        <v>1972</v>
      </c>
      <c r="M935" s="29" t="s">
        <v>1992</v>
      </c>
      <c r="N935" s="29" t="s">
        <v>1518</v>
      </c>
      <c r="O935" s="29" t="s">
        <v>594</v>
      </c>
    </row>
    <row r="936" spans="1:15">
      <c r="A936" s="25">
        <v>22839</v>
      </c>
      <c r="B936" s="34" t="s">
        <v>1993</v>
      </c>
      <c r="C936" s="31" t="s">
        <v>521</v>
      </c>
      <c r="D936" s="31" t="s">
        <v>775</v>
      </c>
      <c r="E936" s="28">
        <v>43333</v>
      </c>
      <c r="F936" s="28">
        <v>43364</v>
      </c>
      <c r="G936" s="28">
        <v>43738</v>
      </c>
      <c r="H936" s="29" t="s">
        <v>560</v>
      </c>
      <c r="I936" s="29" t="s">
        <v>560</v>
      </c>
      <c r="J936" s="29" t="s">
        <v>1972</v>
      </c>
      <c r="K936" s="29" t="s">
        <v>1972</v>
      </c>
      <c r="L936" s="29" t="s">
        <v>1972</v>
      </c>
      <c r="M936" s="29" t="s">
        <v>1994</v>
      </c>
      <c r="N936" s="29" t="s">
        <v>1586</v>
      </c>
      <c r="O936" s="29" t="s">
        <v>594</v>
      </c>
    </row>
    <row r="937" spans="1:15">
      <c r="A937" s="25">
        <v>23203</v>
      </c>
      <c r="B937" s="34" t="s">
        <v>1995</v>
      </c>
      <c r="C937" s="31" t="s">
        <v>521</v>
      </c>
      <c r="D937" s="31" t="s">
        <v>1582</v>
      </c>
      <c r="E937" s="28">
        <v>43421</v>
      </c>
      <c r="F937" s="28">
        <v>43451</v>
      </c>
      <c r="G937" s="28">
        <v>43830</v>
      </c>
      <c r="H937" s="29" t="s">
        <v>560</v>
      </c>
      <c r="I937" s="29" t="s">
        <v>560</v>
      </c>
      <c r="J937" s="29" t="s">
        <v>1972</v>
      </c>
      <c r="K937" s="29" t="s">
        <v>1972</v>
      </c>
      <c r="L937" s="29" t="s">
        <v>1972</v>
      </c>
      <c r="M937" s="29" t="s">
        <v>1996</v>
      </c>
      <c r="N937" s="29" t="s">
        <v>1518</v>
      </c>
      <c r="O937" s="29" t="s">
        <v>594</v>
      </c>
    </row>
    <row r="938" spans="1:15">
      <c r="A938" s="25">
        <v>23537</v>
      </c>
      <c r="B938" s="34" t="s">
        <v>1997</v>
      </c>
      <c r="C938" s="31" t="s">
        <v>521</v>
      </c>
      <c r="D938" s="31" t="s">
        <v>884</v>
      </c>
      <c r="E938" s="28">
        <v>43452</v>
      </c>
      <c r="F938" s="28">
        <v>43483</v>
      </c>
      <c r="G938" s="28">
        <v>43861</v>
      </c>
      <c r="H938" s="29" t="s">
        <v>560</v>
      </c>
      <c r="I938" s="29" t="s">
        <v>560</v>
      </c>
      <c r="J938" s="29" t="s">
        <v>1972</v>
      </c>
      <c r="K938" s="29" t="s">
        <v>1972</v>
      </c>
      <c r="L938" s="29" t="s">
        <v>1972</v>
      </c>
      <c r="M938" s="29" t="s">
        <v>1998</v>
      </c>
      <c r="N938" s="29" t="s">
        <v>1586</v>
      </c>
      <c r="O938" s="29" t="s">
        <v>594</v>
      </c>
    </row>
    <row r="939" spans="1:15">
      <c r="A939" s="25">
        <v>9624</v>
      </c>
      <c r="B939" s="26" t="s">
        <v>1999</v>
      </c>
      <c r="C939" s="27" t="s">
        <v>521</v>
      </c>
      <c r="D939" s="27" t="s">
        <v>1598</v>
      </c>
      <c r="E939" s="28">
        <v>40179</v>
      </c>
      <c r="F939" s="28" t="s">
        <v>35</v>
      </c>
      <c r="G939" s="28" t="s">
        <v>35</v>
      </c>
      <c r="H939" s="27" t="s">
        <v>560</v>
      </c>
      <c r="I939" s="27" t="s">
        <v>560</v>
      </c>
      <c r="J939" s="29" t="s">
        <v>1972</v>
      </c>
      <c r="K939" s="29" t="s">
        <v>1972</v>
      </c>
      <c r="L939" s="29" t="s">
        <v>1972</v>
      </c>
      <c r="M939" s="29" t="s">
        <v>1550</v>
      </c>
      <c r="N939" s="29" t="s">
        <v>1045</v>
      </c>
      <c r="O939" s="29" t="s">
        <v>590</v>
      </c>
    </row>
    <row r="940" spans="1:15">
      <c r="A940" s="25">
        <v>21029</v>
      </c>
      <c r="B940" s="26" t="s">
        <v>2000</v>
      </c>
      <c r="C940" s="27" t="s">
        <v>521</v>
      </c>
      <c r="D940" s="27" t="s">
        <v>1051</v>
      </c>
      <c r="E940" s="28">
        <v>42724</v>
      </c>
      <c r="F940" s="28">
        <v>43221</v>
      </c>
      <c r="G940" s="28">
        <v>43585</v>
      </c>
      <c r="H940" s="31" t="s">
        <v>560</v>
      </c>
      <c r="I940" s="31" t="s">
        <v>560</v>
      </c>
      <c r="J940" s="29" t="s">
        <v>1972</v>
      </c>
      <c r="K940" s="29" t="s">
        <v>1972</v>
      </c>
      <c r="L940" s="29" t="s">
        <v>1972</v>
      </c>
      <c r="M940" s="29" t="s">
        <v>1978</v>
      </c>
      <c r="N940" s="29" t="s">
        <v>659</v>
      </c>
      <c r="O940" s="29" t="s">
        <v>590</v>
      </c>
    </row>
    <row r="941" spans="1:15">
      <c r="A941" s="25">
        <v>21295</v>
      </c>
      <c r="B941" s="34" t="s">
        <v>2001</v>
      </c>
      <c r="C941" s="31" t="s">
        <v>521</v>
      </c>
      <c r="D941" s="31" t="s">
        <v>1595</v>
      </c>
      <c r="E941" s="28">
        <v>43010</v>
      </c>
      <c r="F941" s="28">
        <v>43405</v>
      </c>
      <c r="G941" s="28">
        <v>43769</v>
      </c>
      <c r="H941" s="29" t="s">
        <v>560</v>
      </c>
      <c r="I941" s="29" t="s">
        <v>560</v>
      </c>
      <c r="J941" s="29" t="s">
        <v>1972</v>
      </c>
      <c r="K941" s="29" t="s">
        <v>1972</v>
      </c>
      <c r="L941" s="29" t="s">
        <v>1972</v>
      </c>
      <c r="M941" s="29" t="s">
        <v>1992</v>
      </c>
      <c r="N941" s="29" t="s">
        <v>1972</v>
      </c>
      <c r="O941" s="29" t="s">
        <v>590</v>
      </c>
    </row>
    <row r="942" spans="1:15">
      <c r="A942" s="25">
        <v>22073</v>
      </c>
      <c r="B942" s="34" t="s">
        <v>2002</v>
      </c>
      <c r="C942" s="31" t="s">
        <v>521</v>
      </c>
      <c r="D942" s="31" t="s">
        <v>769</v>
      </c>
      <c r="E942" s="28">
        <v>43150</v>
      </c>
      <c r="F942" s="28">
        <v>43178</v>
      </c>
      <c r="G942" s="28">
        <v>43555</v>
      </c>
      <c r="H942" s="29" t="s">
        <v>560</v>
      </c>
      <c r="I942" s="29" t="s">
        <v>560</v>
      </c>
      <c r="J942" s="29" t="s">
        <v>1972</v>
      </c>
      <c r="K942" s="29" t="s">
        <v>1972</v>
      </c>
      <c r="L942" s="29" t="s">
        <v>1972</v>
      </c>
      <c r="M942" s="29" t="s">
        <v>1976</v>
      </c>
      <c r="N942" s="29" t="s">
        <v>1541</v>
      </c>
      <c r="O942" s="29" t="s">
        <v>590</v>
      </c>
    </row>
    <row r="943" spans="1:15">
      <c r="A943" s="25">
        <v>22212</v>
      </c>
      <c r="B943" s="34" t="s">
        <v>2003</v>
      </c>
      <c r="C943" s="31" t="s">
        <v>521</v>
      </c>
      <c r="D943" s="31" t="s">
        <v>1796</v>
      </c>
      <c r="E943" s="28">
        <v>43161</v>
      </c>
      <c r="F943" s="28">
        <v>43192</v>
      </c>
      <c r="G943" s="28">
        <v>43555</v>
      </c>
      <c r="H943" s="29" t="s">
        <v>560</v>
      </c>
      <c r="I943" s="29" t="s">
        <v>560</v>
      </c>
      <c r="J943" s="29" t="s">
        <v>1972</v>
      </c>
      <c r="K943" s="29" t="s">
        <v>1972</v>
      </c>
      <c r="L943" s="29" t="s">
        <v>1972</v>
      </c>
      <c r="M943" s="29" t="s">
        <v>1988</v>
      </c>
      <c r="N943" s="29" t="s">
        <v>1972</v>
      </c>
      <c r="O943" s="29" t="s">
        <v>590</v>
      </c>
    </row>
    <row r="944" spans="1:15">
      <c r="A944" s="25">
        <v>22306</v>
      </c>
      <c r="B944" s="34" t="s">
        <v>2004</v>
      </c>
      <c r="C944" s="31" t="s">
        <v>521</v>
      </c>
      <c r="D944" s="31" t="s">
        <v>1191</v>
      </c>
      <c r="E944" s="28">
        <v>43192</v>
      </c>
      <c r="F944" s="28">
        <v>43222</v>
      </c>
      <c r="G944" s="28">
        <v>43585</v>
      </c>
      <c r="H944" s="29" t="s">
        <v>560</v>
      </c>
      <c r="I944" s="29" t="s">
        <v>560</v>
      </c>
      <c r="J944" s="29" t="s">
        <v>1972</v>
      </c>
      <c r="K944" s="29" t="s">
        <v>1972</v>
      </c>
      <c r="L944" s="29" t="s">
        <v>1972</v>
      </c>
      <c r="M944" s="29" t="s">
        <v>2005</v>
      </c>
      <c r="N944" s="29" t="s">
        <v>1972</v>
      </c>
      <c r="O944" s="29" t="s">
        <v>590</v>
      </c>
    </row>
    <row r="945" spans="1:15">
      <c r="A945" s="25">
        <v>22433</v>
      </c>
      <c r="B945" s="34" t="s">
        <v>2006</v>
      </c>
      <c r="C945" s="31" t="s">
        <v>521</v>
      </c>
      <c r="D945" s="31" t="s">
        <v>805</v>
      </c>
      <c r="E945" s="28">
        <v>43213</v>
      </c>
      <c r="F945" s="28">
        <v>43243</v>
      </c>
      <c r="G945" s="28">
        <v>43616</v>
      </c>
      <c r="H945" s="29" t="s">
        <v>560</v>
      </c>
      <c r="I945" s="29" t="s">
        <v>560</v>
      </c>
      <c r="J945" s="29" t="s">
        <v>1972</v>
      </c>
      <c r="K945" s="29" t="s">
        <v>1972</v>
      </c>
      <c r="L945" s="29" t="s">
        <v>1972</v>
      </c>
      <c r="M945" s="29" t="s">
        <v>2007</v>
      </c>
      <c r="N945" s="29" t="s">
        <v>1514</v>
      </c>
      <c r="O945" s="29" t="s">
        <v>590</v>
      </c>
    </row>
    <row r="946" spans="1:15">
      <c r="A946" s="25">
        <v>22450</v>
      </c>
      <c r="B946" s="34" t="s">
        <v>2008</v>
      </c>
      <c r="C946" s="31" t="s">
        <v>521</v>
      </c>
      <c r="D946" s="31" t="s">
        <v>1577</v>
      </c>
      <c r="E946" s="28">
        <v>43220</v>
      </c>
      <c r="F946" s="28">
        <v>43250</v>
      </c>
      <c r="G946" s="28">
        <v>43616</v>
      </c>
      <c r="H946" s="29" t="s">
        <v>560</v>
      </c>
      <c r="I946" s="29" t="s">
        <v>560</v>
      </c>
      <c r="J946" s="29" t="s">
        <v>1972</v>
      </c>
      <c r="K946" s="29" t="s">
        <v>1972</v>
      </c>
      <c r="L946" s="29" t="s">
        <v>1972</v>
      </c>
      <c r="M946" s="29" t="s">
        <v>1976</v>
      </c>
      <c r="N946" s="29" t="s">
        <v>1541</v>
      </c>
      <c r="O946" s="29" t="s">
        <v>590</v>
      </c>
    </row>
    <row r="947" spans="1:15">
      <c r="A947" s="25">
        <v>22643</v>
      </c>
      <c r="B947" s="34" t="s">
        <v>2009</v>
      </c>
      <c r="C947" s="31" t="s">
        <v>521</v>
      </c>
      <c r="D947" s="31" t="s">
        <v>1199</v>
      </c>
      <c r="E947" s="28">
        <v>43241</v>
      </c>
      <c r="F947" s="28">
        <v>43272</v>
      </c>
      <c r="G947" s="28">
        <v>43646</v>
      </c>
      <c r="H947" s="29" t="s">
        <v>560</v>
      </c>
      <c r="I947" s="29" t="s">
        <v>560</v>
      </c>
      <c r="J947" s="29" t="s">
        <v>1972</v>
      </c>
      <c r="K947" s="29" t="s">
        <v>1972</v>
      </c>
      <c r="L947" s="29" t="s">
        <v>1972</v>
      </c>
      <c r="M947" s="29" t="s">
        <v>1976</v>
      </c>
      <c r="N947" s="29" t="s">
        <v>1541</v>
      </c>
      <c r="O947" s="29" t="s">
        <v>590</v>
      </c>
    </row>
    <row r="948" spans="1:15">
      <c r="A948" s="25">
        <v>22686</v>
      </c>
      <c r="B948" s="34" t="s">
        <v>2010</v>
      </c>
      <c r="C948" s="31" t="s">
        <v>521</v>
      </c>
      <c r="D948" s="31" t="s">
        <v>1199</v>
      </c>
      <c r="E948" s="28">
        <v>43241</v>
      </c>
      <c r="F948" s="28">
        <v>43272</v>
      </c>
      <c r="G948" s="28">
        <v>43646</v>
      </c>
      <c r="H948" s="29" t="s">
        <v>560</v>
      </c>
      <c r="I948" s="29" t="s">
        <v>560</v>
      </c>
      <c r="J948" s="29" t="s">
        <v>1972</v>
      </c>
      <c r="K948" s="29" t="s">
        <v>1972</v>
      </c>
      <c r="L948" s="29" t="s">
        <v>1972</v>
      </c>
      <c r="M948" s="29" t="s">
        <v>2011</v>
      </c>
      <c r="N948" s="29" t="s">
        <v>1972</v>
      </c>
      <c r="O948" s="29" t="s">
        <v>590</v>
      </c>
    </row>
    <row r="949" spans="1:15">
      <c r="A949" s="25">
        <v>22913</v>
      </c>
      <c r="B949" s="34" t="s">
        <v>2012</v>
      </c>
      <c r="C949" s="31" t="s">
        <v>521</v>
      </c>
      <c r="D949" s="31" t="s">
        <v>1962</v>
      </c>
      <c r="E949" s="28">
        <v>43343</v>
      </c>
      <c r="F949" s="28">
        <v>43374</v>
      </c>
      <c r="G949" s="28">
        <v>43738</v>
      </c>
      <c r="H949" s="29" t="s">
        <v>560</v>
      </c>
      <c r="I949" s="29" t="s">
        <v>560</v>
      </c>
      <c r="J949" s="29" t="s">
        <v>1972</v>
      </c>
      <c r="K949" s="29" t="s">
        <v>1972</v>
      </c>
      <c r="L949" s="29" t="s">
        <v>1972</v>
      </c>
      <c r="M949" s="29" t="s">
        <v>1974</v>
      </c>
      <c r="N949" s="29" t="s">
        <v>1972</v>
      </c>
      <c r="O949" s="29" t="s">
        <v>590</v>
      </c>
    </row>
    <row r="950" spans="1:15">
      <c r="A950" s="25">
        <v>23022</v>
      </c>
      <c r="B950" s="34" t="s">
        <v>2013</v>
      </c>
      <c r="C950" s="31" t="s">
        <v>521</v>
      </c>
      <c r="D950" s="31" t="s">
        <v>1872</v>
      </c>
      <c r="E950" s="28">
        <v>43361</v>
      </c>
      <c r="F950" s="28">
        <v>43391</v>
      </c>
      <c r="G950" s="28">
        <v>43769</v>
      </c>
      <c r="H950" s="29" t="s">
        <v>560</v>
      </c>
      <c r="I950" s="29" t="s">
        <v>560</v>
      </c>
      <c r="J950" s="29" t="s">
        <v>1972</v>
      </c>
      <c r="K950" s="29" t="s">
        <v>1972</v>
      </c>
      <c r="L950" s="29" t="s">
        <v>1972</v>
      </c>
      <c r="M950" s="29" t="s">
        <v>1976</v>
      </c>
      <c r="N950" s="29" t="s">
        <v>1541</v>
      </c>
      <c r="O950" s="29" t="s">
        <v>590</v>
      </c>
    </row>
    <row r="951" spans="1:15">
      <c r="A951" s="25">
        <v>23205</v>
      </c>
      <c r="B951" s="34" t="s">
        <v>2014</v>
      </c>
      <c r="C951" s="31" t="s">
        <v>521</v>
      </c>
      <c r="D951" s="31" t="s">
        <v>1582</v>
      </c>
      <c r="E951" s="28">
        <v>43421</v>
      </c>
      <c r="F951" s="28">
        <v>43451</v>
      </c>
      <c r="G951" s="28">
        <v>43830</v>
      </c>
      <c r="H951" s="29" t="s">
        <v>560</v>
      </c>
      <c r="I951" s="29" t="s">
        <v>560</v>
      </c>
      <c r="J951" s="29" t="s">
        <v>1972</v>
      </c>
      <c r="K951" s="29" t="s">
        <v>1972</v>
      </c>
      <c r="L951" s="29" t="s">
        <v>1972</v>
      </c>
      <c r="M951" s="29" t="s">
        <v>1985</v>
      </c>
      <c r="N951" s="29" t="s">
        <v>1972</v>
      </c>
      <c r="O951" s="29" t="s">
        <v>590</v>
      </c>
    </row>
    <row r="952" spans="1:15">
      <c r="A952" s="25">
        <v>23257</v>
      </c>
      <c r="B952" s="34" t="s">
        <v>2015</v>
      </c>
      <c r="C952" s="31" t="s">
        <v>521</v>
      </c>
      <c r="D952" s="31" t="s">
        <v>1582</v>
      </c>
      <c r="E952" s="28">
        <v>43421</v>
      </c>
      <c r="F952" s="28">
        <v>43451</v>
      </c>
      <c r="G952" s="28">
        <v>43830</v>
      </c>
      <c r="H952" s="29" t="s">
        <v>560</v>
      </c>
      <c r="I952" s="29" t="s">
        <v>560</v>
      </c>
      <c r="J952" s="29" t="s">
        <v>1972</v>
      </c>
      <c r="K952" s="29" t="s">
        <v>1972</v>
      </c>
      <c r="L952" s="29" t="s">
        <v>1972</v>
      </c>
      <c r="M952" s="29" t="s">
        <v>1976</v>
      </c>
      <c r="N952" s="29" t="s">
        <v>1541</v>
      </c>
      <c r="O952" s="29" t="s">
        <v>590</v>
      </c>
    </row>
    <row r="953" spans="1:15">
      <c r="A953" s="25">
        <v>23434</v>
      </c>
      <c r="B953" s="34" t="s">
        <v>2016</v>
      </c>
      <c r="C953" s="31" t="s">
        <v>521</v>
      </c>
      <c r="D953" s="31" t="s">
        <v>882</v>
      </c>
      <c r="E953" s="28">
        <v>43434</v>
      </c>
      <c r="F953" s="28">
        <v>43464</v>
      </c>
      <c r="G953" s="28">
        <v>43830</v>
      </c>
      <c r="H953" s="29" t="s">
        <v>560</v>
      </c>
      <c r="I953" s="29" t="s">
        <v>560</v>
      </c>
      <c r="J953" s="29" t="s">
        <v>1972</v>
      </c>
      <c r="K953" s="29" t="s">
        <v>1972</v>
      </c>
      <c r="L953" s="29" t="s">
        <v>1972</v>
      </c>
      <c r="M953" s="29" t="s">
        <v>1996</v>
      </c>
      <c r="N953" s="29" t="s">
        <v>1518</v>
      </c>
      <c r="O953" s="29" t="s">
        <v>590</v>
      </c>
    </row>
    <row r="954" spans="1:15">
      <c r="A954" s="25">
        <v>23438</v>
      </c>
      <c r="B954" s="34" t="s">
        <v>2017</v>
      </c>
      <c r="C954" s="31" t="s">
        <v>521</v>
      </c>
      <c r="D954" s="31" t="s">
        <v>882</v>
      </c>
      <c r="E954" s="28">
        <v>43434</v>
      </c>
      <c r="F954" s="28">
        <v>43464</v>
      </c>
      <c r="G954" s="28">
        <v>43830</v>
      </c>
      <c r="H954" s="29" t="s">
        <v>560</v>
      </c>
      <c r="I954" s="29" t="s">
        <v>560</v>
      </c>
      <c r="J954" s="29" t="s">
        <v>1972</v>
      </c>
      <c r="K954" s="29" t="s">
        <v>1972</v>
      </c>
      <c r="L954" s="29" t="s">
        <v>1972</v>
      </c>
      <c r="M954" s="29" t="s">
        <v>1976</v>
      </c>
      <c r="N954" s="29" t="s">
        <v>1541</v>
      </c>
      <c r="O954" s="29" t="s">
        <v>590</v>
      </c>
    </row>
    <row r="955" spans="1:15">
      <c r="A955" s="25" t="s">
        <v>2018</v>
      </c>
      <c r="B955" s="34" t="s">
        <v>2019</v>
      </c>
      <c r="C955" s="31" t="s">
        <v>521</v>
      </c>
      <c r="D955" s="31" t="s">
        <v>892</v>
      </c>
      <c r="E955" s="28">
        <v>43467</v>
      </c>
      <c r="F955" s="28">
        <v>43467</v>
      </c>
      <c r="G955" s="28">
        <v>43497</v>
      </c>
      <c r="H955" s="29" t="s">
        <v>560</v>
      </c>
      <c r="I955" s="29" t="s">
        <v>560</v>
      </c>
      <c r="J955" s="29" t="s">
        <v>1972</v>
      </c>
      <c r="K955" s="29" t="s">
        <v>1972</v>
      </c>
      <c r="L955" s="29" t="s">
        <v>1972</v>
      </c>
      <c r="M955" s="29" t="s">
        <v>1593</v>
      </c>
      <c r="N955" s="29" t="s">
        <v>1586</v>
      </c>
      <c r="O955" s="29" t="s">
        <v>590</v>
      </c>
    </row>
    <row r="956" spans="1:15">
      <c r="A956" s="25">
        <v>5772</v>
      </c>
      <c r="B956" s="26" t="s">
        <v>2020</v>
      </c>
      <c r="C956" s="27" t="s">
        <v>521</v>
      </c>
      <c r="D956" s="27" t="s">
        <v>794</v>
      </c>
      <c r="E956" s="28">
        <v>39114</v>
      </c>
      <c r="F956" s="28" t="s">
        <v>35</v>
      </c>
      <c r="G956" s="28" t="s">
        <v>35</v>
      </c>
      <c r="H956" s="29" t="s">
        <v>560</v>
      </c>
      <c r="I956" s="29" t="s">
        <v>560</v>
      </c>
      <c r="J956" s="29" t="s">
        <v>1901</v>
      </c>
      <c r="K956" s="29" t="s">
        <v>1902</v>
      </c>
      <c r="L956" s="29" t="s">
        <v>2021</v>
      </c>
      <c r="M956" s="29" t="s">
        <v>2022</v>
      </c>
      <c r="N956" s="29" t="s">
        <v>2023</v>
      </c>
      <c r="O956" s="29" t="s">
        <v>594</v>
      </c>
    </row>
    <row r="957" spans="1:15">
      <c r="A957" s="25">
        <v>8638</v>
      </c>
      <c r="B957" s="26" t="s">
        <v>2024</v>
      </c>
      <c r="C957" s="27" t="s">
        <v>521</v>
      </c>
      <c r="D957" s="27" t="s">
        <v>1493</v>
      </c>
      <c r="E957" s="28">
        <v>39878</v>
      </c>
      <c r="F957" s="28" t="s">
        <v>35</v>
      </c>
      <c r="G957" s="28" t="s">
        <v>35</v>
      </c>
      <c r="H957" s="27" t="s">
        <v>560</v>
      </c>
      <c r="I957" s="27" t="s">
        <v>560</v>
      </c>
      <c r="J957" s="29" t="s">
        <v>1901</v>
      </c>
      <c r="K957" s="29" t="s">
        <v>1902</v>
      </c>
      <c r="L957" s="29" t="s">
        <v>2021</v>
      </c>
      <c r="M957" s="29" t="s">
        <v>2025</v>
      </c>
      <c r="N957" s="29" t="s">
        <v>2026</v>
      </c>
      <c r="O957" s="29" t="s">
        <v>594</v>
      </c>
    </row>
    <row r="958" spans="1:15">
      <c r="A958" s="25">
        <v>9895</v>
      </c>
      <c r="B958" s="26" t="s">
        <v>2027</v>
      </c>
      <c r="C958" s="27" t="s">
        <v>521</v>
      </c>
      <c r="D958" s="27" t="s">
        <v>1748</v>
      </c>
      <c r="E958" s="28">
        <v>40424</v>
      </c>
      <c r="F958" s="28" t="s">
        <v>35</v>
      </c>
      <c r="G958" s="28" t="s">
        <v>35</v>
      </c>
      <c r="H958" s="31" t="s">
        <v>560</v>
      </c>
      <c r="I958" s="31" t="s">
        <v>560</v>
      </c>
      <c r="J958" s="27" t="s">
        <v>1901</v>
      </c>
      <c r="K958" s="27" t="s">
        <v>1902</v>
      </c>
      <c r="L958" s="29" t="s">
        <v>2021</v>
      </c>
      <c r="M958" s="29" t="s">
        <v>2028</v>
      </c>
      <c r="N958" s="29" t="s">
        <v>1434</v>
      </c>
      <c r="O958" s="29" t="s">
        <v>594</v>
      </c>
    </row>
    <row r="959" spans="1:15">
      <c r="A959" s="25">
        <v>10604</v>
      </c>
      <c r="B959" s="26" t="s">
        <v>2029</v>
      </c>
      <c r="C959" s="27" t="s">
        <v>521</v>
      </c>
      <c r="D959" s="27" t="s">
        <v>602</v>
      </c>
      <c r="E959" s="28">
        <v>40544</v>
      </c>
      <c r="F959" s="28" t="s">
        <v>35</v>
      </c>
      <c r="G959" s="28" t="s">
        <v>35</v>
      </c>
      <c r="H959" s="29" t="s">
        <v>560</v>
      </c>
      <c r="I959" s="29" t="s">
        <v>560</v>
      </c>
      <c r="J959" s="29" t="s">
        <v>1901</v>
      </c>
      <c r="K959" s="29" t="s">
        <v>1902</v>
      </c>
      <c r="L959" s="29" t="s">
        <v>2021</v>
      </c>
      <c r="M959" s="29" t="s">
        <v>2030</v>
      </c>
      <c r="N959" s="29" t="s">
        <v>2031</v>
      </c>
      <c r="O959" s="29" t="s">
        <v>594</v>
      </c>
    </row>
    <row r="960" spans="1:15">
      <c r="A960" s="25">
        <v>10986</v>
      </c>
      <c r="B960" s="34" t="s">
        <v>2032</v>
      </c>
      <c r="C960" s="31" t="s">
        <v>521</v>
      </c>
      <c r="D960" s="31" t="s">
        <v>1792</v>
      </c>
      <c r="E960" s="28">
        <v>40582</v>
      </c>
      <c r="F960" s="28" t="s">
        <v>35</v>
      </c>
      <c r="G960" s="28" t="s">
        <v>35</v>
      </c>
      <c r="H960" s="29" t="s">
        <v>560</v>
      </c>
      <c r="I960" s="29" t="s">
        <v>560</v>
      </c>
      <c r="J960" s="29" t="s">
        <v>1901</v>
      </c>
      <c r="K960" s="29" t="s">
        <v>1902</v>
      </c>
      <c r="L960" s="29" t="s">
        <v>2021</v>
      </c>
      <c r="M960" s="29" t="s">
        <v>2033</v>
      </c>
      <c r="N960" s="29" t="s">
        <v>2023</v>
      </c>
      <c r="O960" s="29" t="s">
        <v>594</v>
      </c>
    </row>
    <row r="961" spans="1:15">
      <c r="A961" s="25">
        <v>11113</v>
      </c>
      <c r="B961" s="26" t="s">
        <v>2034</v>
      </c>
      <c r="C961" s="27" t="s">
        <v>521</v>
      </c>
      <c r="D961" s="27" t="s">
        <v>1423</v>
      </c>
      <c r="E961" s="28">
        <v>40603</v>
      </c>
      <c r="F961" s="28" t="s">
        <v>35</v>
      </c>
      <c r="G961" s="28" t="s">
        <v>35</v>
      </c>
      <c r="H961" s="29" t="s">
        <v>560</v>
      </c>
      <c r="I961" s="29" t="s">
        <v>560</v>
      </c>
      <c r="J961" s="29" t="s">
        <v>1901</v>
      </c>
      <c r="K961" s="29" t="s">
        <v>1902</v>
      </c>
      <c r="L961" s="29" t="s">
        <v>2021</v>
      </c>
      <c r="M961" s="29" t="s">
        <v>2035</v>
      </c>
      <c r="N961" s="29" t="s">
        <v>1434</v>
      </c>
      <c r="O961" s="29" t="s">
        <v>594</v>
      </c>
    </row>
    <row r="962" spans="1:15">
      <c r="A962" s="25">
        <v>11191</v>
      </c>
      <c r="B962" s="83" t="s">
        <v>2036</v>
      </c>
      <c r="C962" s="25" t="s">
        <v>521</v>
      </c>
      <c r="D962" s="25" t="s">
        <v>2037</v>
      </c>
      <c r="E962" s="28">
        <v>40609</v>
      </c>
      <c r="F962" s="28" t="s">
        <v>35</v>
      </c>
      <c r="G962" s="28" t="s">
        <v>35</v>
      </c>
      <c r="H962" s="29" t="s">
        <v>560</v>
      </c>
      <c r="I962" s="29" t="s">
        <v>560</v>
      </c>
      <c r="J962" s="29" t="s">
        <v>1901</v>
      </c>
      <c r="K962" s="29" t="s">
        <v>1902</v>
      </c>
      <c r="L962" s="29" t="s">
        <v>2021</v>
      </c>
      <c r="M962" s="29" t="s">
        <v>2038</v>
      </c>
      <c r="N962" s="29" t="s">
        <v>2023</v>
      </c>
      <c r="O962" s="29" t="s">
        <v>594</v>
      </c>
    </row>
    <row r="963" spans="1:15">
      <c r="A963" s="25">
        <v>12080</v>
      </c>
      <c r="B963" s="26" t="s">
        <v>2039</v>
      </c>
      <c r="C963" s="27" t="s">
        <v>521</v>
      </c>
      <c r="D963" s="27" t="s">
        <v>665</v>
      </c>
      <c r="E963" s="28">
        <v>40798</v>
      </c>
      <c r="F963" s="28" t="s">
        <v>35</v>
      </c>
      <c r="G963" s="28" t="s">
        <v>35</v>
      </c>
      <c r="H963" s="29" t="s">
        <v>560</v>
      </c>
      <c r="I963" s="29" t="s">
        <v>560</v>
      </c>
      <c r="J963" s="29" t="s">
        <v>1901</v>
      </c>
      <c r="K963" s="29" t="s">
        <v>1902</v>
      </c>
      <c r="L963" s="29" t="s">
        <v>2021</v>
      </c>
      <c r="M963" s="29" t="s">
        <v>2040</v>
      </c>
      <c r="N963" s="29" t="s">
        <v>2041</v>
      </c>
      <c r="O963" s="29" t="s">
        <v>594</v>
      </c>
    </row>
    <row r="964" spans="1:15">
      <c r="A964" s="25">
        <v>12549</v>
      </c>
      <c r="B964" s="26" t="s">
        <v>2042</v>
      </c>
      <c r="C964" s="27" t="s">
        <v>521</v>
      </c>
      <c r="D964" s="27" t="s">
        <v>722</v>
      </c>
      <c r="E964" s="28">
        <v>40812</v>
      </c>
      <c r="F964" s="28" t="s">
        <v>35</v>
      </c>
      <c r="G964" s="28" t="s">
        <v>35</v>
      </c>
      <c r="H964" s="27" t="s">
        <v>560</v>
      </c>
      <c r="I964" s="27" t="s">
        <v>560</v>
      </c>
      <c r="J964" s="29" t="s">
        <v>1901</v>
      </c>
      <c r="K964" s="29" t="s">
        <v>1902</v>
      </c>
      <c r="L964" s="29" t="s">
        <v>2021</v>
      </c>
      <c r="M964" s="29" t="s">
        <v>2043</v>
      </c>
      <c r="N964" s="29" t="s">
        <v>2041</v>
      </c>
      <c r="O964" s="29" t="s">
        <v>594</v>
      </c>
    </row>
    <row r="965" spans="1:15">
      <c r="A965" s="25">
        <v>12580</v>
      </c>
      <c r="B965" s="34" t="s">
        <v>2044</v>
      </c>
      <c r="C965" s="31" t="s">
        <v>521</v>
      </c>
      <c r="D965" s="31" t="s">
        <v>722</v>
      </c>
      <c r="E965" s="28">
        <v>40812</v>
      </c>
      <c r="F965" s="28" t="s">
        <v>35</v>
      </c>
      <c r="G965" s="28" t="s">
        <v>35</v>
      </c>
      <c r="H965" s="29" t="s">
        <v>560</v>
      </c>
      <c r="I965" s="29" t="s">
        <v>560</v>
      </c>
      <c r="J965" s="29" t="s">
        <v>1901</v>
      </c>
      <c r="K965" s="29" t="s">
        <v>1902</v>
      </c>
      <c r="L965" s="29" t="s">
        <v>2021</v>
      </c>
      <c r="M965" s="29" t="s">
        <v>1550</v>
      </c>
      <c r="N965" s="29" t="s">
        <v>1045</v>
      </c>
      <c r="O965" s="29" t="s">
        <v>594</v>
      </c>
    </row>
    <row r="966" spans="1:15">
      <c r="A966" s="25">
        <v>12969</v>
      </c>
      <c r="B966" s="34" t="s">
        <v>2045</v>
      </c>
      <c r="C966" s="31" t="s">
        <v>521</v>
      </c>
      <c r="D966" s="31" t="s">
        <v>717</v>
      </c>
      <c r="E966" s="28">
        <v>40840</v>
      </c>
      <c r="F966" s="28" t="s">
        <v>35</v>
      </c>
      <c r="G966" s="28" t="s">
        <v>35</v>
      </c>
      <c r="H966" s="29" t="s">
        <v>560</v>
      </c>
      <c r="I966" s="29" t="s">
        <v>560</v>
      </c>
      <c r="J966" s="29" t="s">
        <v>1901</v>
      </c>
      <c r="K966" s="29" t="s">
        <v>1902</v>
      </c>
      <c r="L966" s="29" t="s">
        <v>2021</v>
      </c>
      <c r="M966" s="29" t="s">
        <v>2030</v>
      </c>
      <c r="N966" s="29" t="s">
        <v>2031</v>
      </c>
      <c r="O966" s="29" t="s">
        <v>594</v>
      </c>
    </row>
    <row r="967" spans="1:15">
      <c r="A967" s="25">
        <v>17846</v>
      </c>
      <c r="B967" s="26" t="s">
        <v>2046</v>
      </c>
      <c r="C967" s="27" t="s">
        <v>521</v>
      </c>
      <c r="D967" s="27" t="s">
        <v>2047</v>
      </c>
      <c r="E967" s="28">
        <v>41820</v>
      </c>
      <c r="F967" s="28" t="s">
        <v>35</v>
      </c>
      <c r="G967" s="28" t="s">
        <v>35</v>
      </c>
      <c r="H967" s="27" t="s">
        <v>560</v>
      </c>
      <c r="I967" s="27" t="s">
        <v>560</v>
      </c>
      <c r="J967" s="27" t="s">
        <v>1901</v>
      </c>
      <c r="K967" s="27" t="s">
        <v>1902</v>
      </c>
      <c r="L967" s="29" t="s">
        <v>2021</v>
      </c>
      <c r="M967" s="29" t="s">
        <v>2048</v>
      </c>
      <c r="N967" s="29" t="s">
        <v>1434</v>
      </c>
      <c r="O967" s="29" t="s">
        <v>594</v>
      </c>
    </row>
    <row r="968" spans="1:15">
      <c r="A968" s="25">
        <v>18681</v>
      </c>
      <c r="B968" s="26" t="s">
        <v>2049</v>
      </c>
      <c r="C968" s="27" t="s">
        <v>521</v>
      </c>
      <c r="D968" s="27" t="s">
        <v>623</v>
      </c>
      <c r="E968" s="28">
        <v>42142</v>
      </c>
      <c r="F968" s="28" t="s">
        <v>35</v>
      </c>
      <c r="G968" s="28" t="s">
        <v>35</v>
      </c>
      <c r="H968" s="27" t="s">
        <v>560</v>
      </c>
      <c r="I968" s="27" t="s">
        <v>560</v>
      </c>
      <c r="J968" s="29" t="s">
        <v>1901</v>
      </c>
      <c r="K968" s="29" t="s">
        <v>1902</v>
      </c>
      <c r="L968" s="29" t="s">
        <v>2021</v>
      </c>
      <c r="M968" s="29" t="s">
        <v>2050</v>
      </c>
      <c r="N968" s="29" t="s">
        <v>1434</v>
      </c>
      <c r="O968" s="29" t="s">
        <v>594</v>
      </c>
    </row>
    <row r="969" spans="1:15">
      <c r="A969" s="25">
        <v>19643</v>
      </c>
      <c r="B969" s="26" t="s">
        <v>2051</v>
      </c>
      <c r="C969" s="27" t="s">
        <v>521</v>
      </c>
      <c r="D969" s="27" t="s">
        <v>1464</v>
      </c>
      <c r="E969" s="28">
        <v>42475</v>
      </c>
      <c r="F969" s="28" t="s">
        <v>35</v>
      </c>
      <c r="G969" s="28" t="s">
        <v>35</v>
      </c>
      <c r="H969" s="27" t="s">
        <v>560</v>
      </c>
      <c r="I969" s="27" t="s">
        <v>560</v>
      </c>
      <c r="J969" s="27" t="s">
        <v>1901</v>
      </c>
      <c r="K969" s="27" t="s">
        <v>1902</v>
      </c>
      <c r="L969" s="29" t="s">
        <v>2021</v>
      </c>
      <c r="M969" s="29" t="s">
        <v>2052</v>
      </c>
      <c r="N969" s="29" t="s">
        <v>2041</v>
      </c>
      <c r="O969" s="29" t="s">
        <v>594</v>
      </c>
    </row>
    <row r="970" spans="1:15">
      <c r="A970" s="25">
        <v>20015</v>
      </c>
      <c r="B970" s="26" t="s">
        <v>2053</v>
      </c>
      <c r="C970" s="27" t="s">
        <v>521</v>
      </c>
      <c r="D970" s="27" t="s">
        <v>2054</v>
      </c>
      <c r="E970" s="28">
        <v>42506</v>
      </c>
      <c r="F970" s="28" t="s">
        <v>35</v>
      </c>
      <c r="G970" s="28" t="s">
        <v>35</v>
      </c>
      <c r="H970" s="27" t="s">
        <v>560</v>
      </c>
      <c r="I970" s="27" t="s">
        <v>560</v>
      </c>
      <c r="J970" s="29" t="s">
        <v>1901</v>
      </c>
      <c r="K970" s="29" t="s">
        <v>1902</v>
      </c>
      <c r="L970" s="29" t="s">
        <v>2021</v>
      </c>
      <c r="M970" s="29" t="s">
        <v>2055</v>
      </c>
      <c r="N970" s="29" t="s">
        <v>1434</v>
      </c>
      <c r="O970" s="29" t="s">
        <v>594</v>
      </c>
    </row>
    <row r="971" spans="1:15">
      <c r="A971" s="25">
        <v>20625</v>
      </c>
      <c r="B971" s="26" t="s">
        <v>2056</v>
      </c>
      <c r="C971" s="27" t="s">
        <v>521</v>
      </c>
      <c r="D971" s="27" t="s">
        <v>673</v>
      </c>
      <c r="E971" s="28">
        <v>42639</v>
      </c>
      <c r="F971" s="28">
        <v>43132</v>
      </c>
      <c r="G971" s="28">
        <v>43496</v>
      </c>
      <c r="H971" s="25" t="s">
        <v>560</v>
      </c>
      <c r="I971" s="25" t="s">
        <v>560</v>
      </c>
      <c r="J971" s="29" t="s">
        <v>1901</v>
      </c>
      <c r="K971" s="29" t="s">
        <v>1902</v>
      </c>
      <c r="L971" s="29" t="s">
        <v>2021</v>
      </c>
      <c r="M971" s="29" t="s">
        <v>2057</v>
      </c>
      <c r="N971" s="29" t="s">
        <v>2041</v>
      </c>
      <c r="O971" s="29" t="s">
        <v>594</v>
      </c>
    </row>
    <row r="972" spans="1:15">
      <c r="A972" s="25">
        <v>20632</v>
      </c>
      <c r="B972" s="26" t="s">
        <v>2058</v>
      </c>
      <c r="C972" s="27" t="s">
        <v>521</v>
      </c>
      <c r="D972" s="27" t="s">
        <v>673</v>
      </c>
      <c r="E972" s="28">
        <v>42639</v>
      </c>
      <c r="F972" s="28">
        <v>43132</v>
      </c>
      <c r="G972" s="28">
        <v>43496</v>
      </c>
      <c r="H972" s="25" t="s">
        <v>560</v>
      </c>
      <c r="I972" s="25" t="s">
        <v>560</v>
      </c>
      <c r="J972" s="29" t="s">
        <v>1901</v>
      </c>
      <c r="K972" s="29" t="s">
        <v>1902</v>
      </c>
      <c r="L972" s="29" t="s">
        <v>2021</v>
      </c>
      <c r="M972" s="29" t="s">
        <v>2059</v>
      </c>
      <c r="N972" s="29" t="s">
        <v>1434</v>
      </c>
      <c r="O972" s="29" t="s">
        <v>594</v>
      </c>
    </row>
    <row r="973" spans="1:15">
      <c r="A973" s="25">
        <v>20633</v>
      </c>
      <c r="B973" s="26" t="s">
        <v>2060</v>
      </c>
      <c r="C973" s="27" t="s">
        <v>521</v>
      </c>
      <c r="D973" s="27" t="s">
        <v>673</v>
      </c>
      <c r="E973" s="28">
        <v>42639</v>
      </c>
      <c r="F973" s="28">
        <v>43132</v>
      </c>
      <c r="G973" s="28">
        <v>43496</v>
      </c>
      <c r="H973" s="25" t="s">
        <v>560</v>
      </c>
      <c r="I973" s="25" t="s">
        <v>560</v>
      </c>
      <c r="J973" s="29" t="s">
        <v>1901</v>
      </c>
      <c r="K973" s="29" t="s">
        <v>1902</v>
      </c>
      <c r="L973" s="29" t="s">
        <v>2021</v>
      </c>
      <c r="M973" s="29" t="s">
        <v>2061</v>
      </c>
      <c r="N973" s="29" t="s">
        <v>2041</v>
      </c>
      <c r="O973" s="29" t="s">
        <v>594</v>
      </c>
    </row>
    <row r="974" spans="1:15">
      <c r="A974" s="25">
        <v>20673</v>
      </c>
      <c r="B974" s="26" t="s">
        <v>2062</v>
      </c>
      <c r="C974" s="27" t="s">
        <v>521</v>
      </c>
      <c r="D974" s="27" t="s">
        <v>673</v>
      </c>
      <c r="E974" s="28">
        <v>42639</v>
      </c>
      <c r="F974" s="28">
        <v>43132</v>
      </c>
      <c r="G974" s="28">
        <v>43496</v>
      </c>
      <c r="H974" s="25" t="s">
        <v>560</v>
      </c>
      <c r="I974" s="25" t="s">
        <v>560</v>
      </c>
      <c r="J974" s="29" t="s">
        <v>1901</v>
      </c>
      <c r="K974" s="29" t="s">
        <v>1902</v>
      </c>
      <c r="L974" s="29" t="s">
        <v>2021</v>
      </c>
      <c r="M974" s="29" t="s">
        <v>2063</v>
      </c>
      <c r="N974" s="29" t="s">
        <v>2041</v>
      </c>
      <c r="O974" s="29" t="s">
        <v>594</v>
      </c>
    </row>
    <row r="975" spans="1:15">
      <c r="A975" s="25">
        <v>20785</v>
      </c>
      <c r="B975" s="26" t="s">
        <v>2064</v>
      </c>
      <c r="C975" s="27" t="s">
        <v>521</v>
      </c>
      <c r="D975" s="27" t="s">
        <v>815</v>
      </c>
      <c r="E975" s="28">
        <v>42642</v>
      </c>
      <c r="F975" s="28">
        <v>43132</v>
      </c>
      <c r="G975" s="28">
        <v>43496</v>
      </c>
      <c r="H975" s="25" t="s">
        <v>560</v>
      </c>
      <c r="I975" s="27" t="s">
        <v>560</v>
      </c>
      <c r="J975" s="29" t="s">
        <v>1901</v>
      </c>
      <c r="K975" s="29" t="s">
        <v>1902</v>
      </c>
      <c r="L975" s="29" t="s">
        <v>2021</v>
      </c>
      <c r="M975" s="29" t="s">
        <v>2065</v>
      </c>
      <c r="N975" s="29" t="s">
        <v>2041</v>
      </c>
      <c r="O975" s="29" t="s">
        <v>594</v>
      </c>
    </row>
    <row r="976" spans="1:15">
      <c r="A976" s="25">
        <v>20843</v>
      </c>
      <c r="B976" s="26" t="s">
        <v>2066</v>
      </c>
      <c r="C976" s="27" t="s">
        <v>521</v>
      </c>
      <c r="D976" s="27" t="s">
        <v>807</v>
      </c>
      <c r="E976" s="28">
        <v>42660</v>
      </c>
      <c r="F976" s="28">
        <v>43160</v>
      </c>
      <c r="G976" s="28">
        <v>43524</v>
      </c>
      <c r="H976" s="29" t="s">
        <v>560</v>
      </c>
      <c r="I976" s="29" t="s">
        <v>560</v>
      </c>
      <c r="J976" s="29" t="s">
        <v>1901</v>
      </c>
      <c r="K976" s="29" t="s">
        <v>1902</v>
      </c>
      <c r="L976" s="29" t="s">
        <v>2021</v>
      </c>
      <c r="M976" s="29" t="s">
        <v>2030</v>
      </c>
      <c r="N976" s="29" t="s">
        <v>2031</v>
      </c>
      <c r="O976" s="29" t="s">
        <v>594</v>
      </c>
    </row>
    <row r="977" spans="1:15">
      <c r="A977" s="25">
        <v>21531</v>
      </c>
      <c r="B977" s="34" t="s">
        <v>2067</v>
      </c>
      <c r="C977" s="31" t="s">
        <v>521</v>
      </c>
      <c r="D977" s="31" t="s">
        <v>1760</v>
      </c>
      <c r="E977" s="28">
        <v>43045</v>
      </c>
      <c r="F977" s="28">
        <v>43435</v>
      </c>
      <c r="G977" s="28">
        <v>43799</v>
      </c>
      <c r="H977" s="29" t="s">
        <v>560</v>
      </c>
      <c r="I977" s="29" t="s">
        <v>560</v>
      </c>
      <c r="J977" s="29" t="s">
        <v>1901</v>
      </c>
      <c r="K977" s="29" t="s">
        <v>1902</v>
      </c>
      <c r="L977" s="29" t="s">
        <v>2021</v>
      </c>
      <c r="M977" s="29" t="s">
        <v>2068</v>
      </c>
      <c r="N977" s="29" t="s">
        <v>1434</v>
      </c>
      <c r="O977" s="29" t="s">
        <v>594</v>
      </c>
    </row>
    <row r="978" spans="1:15">
      <c r="A978" s="25">
        <v>21538</v>
      </c>
      <c r="B978" s="34" t="s">
        <v>2069</v>
      </c>
      <c r="C978" s="31" t="s">
        <v>521</v>
      </c>
      <c r="D978" s="31" t="s">
        <v>1760</v>
      </c>
      <c r="E978" s="28">
        <v>43045</v>
      </c>
      <c r="F978" s="28">
        <v>43435</v>
      </c>
      <c r="G978" s="28">
        <v>43799</v>
      </c>
      <c r="H978" s="29" t="s">
        <v>560</v>
      </c>
      <c r="I978" s="29" t="s">
        <v>560</v>
      </c>
      <c r="J978" s="29" t="s">
        <v>1901</v>
      </c>
      <c r="K978" s="29" t="s">
        <v>1902</v>
      </c>
      <c r="L978" s="29" t="s">
        <v>2021</v>
      </c>
      <c r="M978" s="29" t="s">
        <v>2070</v>
      </c>
      <c r="N978" s="29" t="s">
        <v>1434</v>
      </c>
      <c r="O978" s="29" t="s">
        <v>594</v>
      </c>
    </row>
    <row r="979" spans="1:15">
      <c r="A979" s="25">
        <v>21694</v>
      </c>
      <c r="B979" s="34" t="s">
        <v>2071</v>
      </c>
      <c r="C979" s="31" t="s">
        <v>521</v>
      </c>
      <c r="D979" s="31" t="s">
        <v>1169</v>
      </c>
      <c r="E979" s="28">
        <v>43073</v>
      </c>
      <c r="F979" s="28">
        <v>43466</v>
      </c>
      <c r="G979" s="28">
        <v>43830</v>
      </c>
      <c r="H979" s="29" t="s">
        <v>560</v>
      </c>
      <c r="I979" s="29" t="s">
        <v>560</v>
      </c>
      <c r="J979" s="29" t="s">
        <v>1901</v>
      </c>
      <c r="K979" s="29" t="s">
        <v>1902</v>
      </c>
      <c r="L979" s="29" t="s">
        <v>2021</v>
      </c>
      <c r="M979" s="29" t="s">
        <v>2072</v>
      </c>
      <c r="N979" s="29" t="s">
        <v>1434</v>
      </c>
      <c r="O979" s="29" t="s">
        <v>594</v>
      </c>
    </row>
    <row r="980" spans="1:15">
      <c r="A980" s="25">
        <v>21742</v>
      </c>
      <c r="B980" s="34" t="s">
        <v>2073</v>
      </c>
      <c r="C980" s="31" t="s">
        <v>521</v>
      </c>
      <c r="D980" s="31" t="s">
        <v>663</v>
      </c>
      <c r="E980" s="28">
        <v>43087</v>
      </c>
      <c r="F980" s="28">
        <v>43118</v>
      </c>
      <c r="G980" s="28">
        <v>43496</v>
      </c>
      <c r="H980" s="29" t="s">
        <v>560</v>
      </c>
      <c r="I980" s="29" t="s">
        <v>560</v>
      </c>
      <c r="J980" s="29" t="s">
        <v>1901</v>
      </c>
      <c r="K980" s="29" t="s">
        <v>1902</v>
      </c>
      <c r="L980" s="29" t="s">
        <v>2021</v>
      </c>
      <c r="M980" s="29" t="s">
        <v>2074</v>
      </c>
      <c r="N980" s="29" t="s">
        <v>1434</v>
      </c>
      <c r="O980" s="29" t="s">
        <v>594</v>
      </c>
    </row>
    <row r="981" spans="1:15">
      <c r="A981" s="25">
        <v>21767</v>
      </c>
      <c r="B981" s="34" t="s">
        <v>2075</v>
      </c>
      <c r="C981" s="31" t="s">
        <v>521</v>
      </c>
      <c r="D981" s="31" t="s">
        <v>1609</v>
      </c>
      <c r="E981" s="28">
        <v>43090</v>
      </c>
      <c r="F981" s="28">
        <v>43121</v>
      </c>
      <c r="G981" s="28">
        <v>43496</v>
      </c>
      <c r="H981" s="29" t="s">
        <v>560</v>
      </c>
      <c r="I981" s="29" t="s">
        <v>560</v>
      </c>
      <c r="J981" s="29" t="s">
        <v>1901</v>
      </c>
      <c r="K981" s="29" t="s">
        <v>1902</v>
      </c>
      <c r="L981" s="29" t="s">
        <v>2021</v>
      </c>
      <c r="M981" s="29" t="s">
        <v>2033</v>
      </c>
      <c r="N981" s="29" t="s">
        <v>2023</v>
      </c>
      <c r="O981" s="29" t="s">
        <v>594</v>
      </c>
    </row>
    <row r="982" spans="1:15">
      <c r="A982" s="25">
        <v>21854</v>
      </c>
      <c r="B982" s="34" t="s">
        <v>2076</v>
      </c>
      <c r="C982" s="31" t="s">
        <v>521</v>
      </c>
      <c r="D982" s="31" t="s">
        <v>732</v>
      </c>
      <c r="E982" s="28">
        <v>43098</v>
      </c>
      <c r="F982" s="28">
        <v>43129</v>
      </c>
      <c r="G982" s="28">
        <v>43496</v>
      </c>
      <c r="H982" s="29" t="s">
        <v>560</v>
      </c>
      <c r="I982" s="29" t="s">
        <v>560</v>
      </c>
      <c r="J982" s="29" t="s">
        <v>1901</v>
      </c>
      <c r="K982" s="29" t="s">
        <v>1902</v>
      </c>
      <c r="L982" s="29" t="s">
        <v>2021</v>
      </c>
      <c r="M982" s="29" t="s">
        <v>2077</v>
      </c>
      <c r="N982" s="29" t="s">
        <v>2077</v>
      </c>
      <c r="O982" s="29" t="s">
        <v>594</v>
      </c>
    </row>
    <row r="983" spans="1:15">
      <c r="A983" s="25">
        <v>21863</v>
      </c>
      <c r="B983" s="34" t="s">
        <v>2078</v>
      </c>
      <c r="C983" s="31" t="s">
        <v>521</v>
      </c>
      <c r="D983" s="31" t="s">
        <v>732</v>
      </c>
      <c r="E983" s="28">
        <v>43098</v>
      </c>
      <c r="F983" s="28">
        <v>43129</v>
      </c>
      <c r="G983" s="28">
        <v>43496</v>
      </c>
      <c r="H983" s="29" t="s">
        <v>560</v>
      </c>
      <c r="I983" s="29" t="s">
        <v>560</v>
      </c>
      <c r="J983" s="29" t="s">
        <v>1901</v>
      </c>
      <c r="K983" s="29" t="s">
        <v>1902</v>
      </c>
      <c r="L983" s="29" t="s">
        <v>2021</v>
      </c>
      <c r="M983" s="29" t="s">
        <v>2079</v>
      </c>
      <c r="N983" s="29" t="s">
        <v>2080</v>
      </c>
      <c r="O983" s="29" t="s">
        <v>594</v>
      </c>
    </row>
    <row r="984" spans="1:15">
      <c r="A984" s="25">
        <v>21947</v>
      </c>
      <c r="B984" s="34" t="s">
        <v>2081</v>
      </c>
      <c r="C984" s="31" t="s">
        <v>521</v>
      </c>
      <c r="D984" s="31" t="s">
        <v>1573</v>
      </c>
      <c r="E984" s="28">
        <v>43116</v>
      </c>
      <c r="F984" s="28">
        <v>43147</v>
      </c>
      <c r="G984" s="28">
        <v>43524</v>
      </c>
      <c r="H984" s="29" t="s">
        <v>560</v>
      </c>
      <c r="I984" s="29" t="s">
        <v>560</v>
      </c>
      <c r="J984" s="29" t="s">
        <v>1901</v>
      </c>
      <c r="K984" s="29" t="s">
        <v>1902</v>
      </c>
      <c r="L984" s="29" t="s">
        <v>2021</v>
      </c>
      <c r="M984" s="29" t="s">
        <v>2082</v>
      </c>
      <c r="N984" s="29" t="s">
        <v>1434</v>
      </c>
      <c r="O984" s="29" t="s">
        <v>594</v>
      </c>
    </row>
    <row r="985" spans="1:15">
      <c r="A985" s="25">
        <v>22020</v>
      </c>
      <c r="B985" s="34" t="s">
        <v>2083</v>
      </c>
      <c r="C985" s="31" t="s">
        <v>521</v>
      </c>
      <c r="D985" s="31" t="s">
        <v>631</v>
      </c>
      <c r="E985" s="28">
        <v>43144</v>
      </c>
      <c r="F985" s="28">
        <v>43172</v>
      </c>
      <c r="G985" s="28">
        <v>43524</v>
      </c>
      <c r="H985" s="29" t="s">
        <v>560</v>
      </c>
      <c r="I985" s="29" t="s">
        <v>560</v>
      </c>
      <c r="J985" s="29" t="s">
        <v>1901</v>
      </c>
      <c r="K985" s="29" t="s">
        <v>1902</v>
      </c>
      <c r="L985" s="29" t="s">
        <v>2021</v>
      </c>
      <c r="M985" s="29" t="s">
        <v>2084</v>
      </c>
      <c r="N985" s="29" t="s">
        <v>1434</v>
      </c>
      <c r="O985" s="29" t="s">
        <v>594</v>
      </c>
    </row>
    <row r="986" spans="1:15">
      <c r="A986" s="25">
        <v>22142</v>
      </c>
      <c r="B986" s="34" t="s">
        <v>939</v>
      </c>
      <c r="C986" s="31" t="s">
        <v>521</v>
      </c>
      <c r="D986" s="31" t="s">
        <v>758</v>
      </c>
      <c r="E986" s="28">
        <v>43153</v>
      </c>
      <c r="F986" s="28">
        <v>43181</v>
      </c>
      <c r="G986" s="28">
        <v>43555</v>
      </c>
      <c r="H986" s="29" t="s">
        <v>560</v>
      </c>
      <c r="I986" s="29" t="s">
        <v>560</v>
      </c>
      <c r="J986" s="29" t="s">
        <v>1901</v>
      </c>
      <c r="K986" s="29" t="s">
        <v>1902</v>
      </c>
      <c r="L986" s="29" t="s">
        <v>2021</v>
      </c>
      <c r="M986" s="29" t="s">
        <v>2085</v>
      </c>
      <c r="N986" s="29" t="s">
        <v>1434</v>
      </c>
      <c r="O986" s="29" t="s">
        <v>594</v>
      </c>
    </row>
    <row r="987" spans="1:15">
      <c r="A987" s="25">
        <v>22194</v>
      </c>
      <c r="B987" s="34" t="s">
        <v>2086</v>
      </c>
      <c r="C987" s="31" t="s">
        <v>521</v>
      </c>
      <c r="D987" s="31" t="s">
        <v>1201</v>
      </c>
      <c r="E987" s="28">
        <v>43158</v>
      </c>
      <c r="F987" s="28">
        <v>43186</v>
      </c>
      <c r="G987" s="28">
        <v>43555</v>
      </c>
      <c r="H987" s="29" t="s">
        <v>560</v>
      </c>
      <c r="I987" s="29" t="s">
        <v>560</v>
      </c>
      <c r="J987" s="29" t="s">
        <v>1901</v>
      </c>
      <c r="K987" s="29" t="s">
        <v>1902</v>
      </c>
      <c r="L987" s="29" t="s">
        <v>2021</v>
      </c>
      <c r="M987" s="29" t="s">
        <v>2087</v>
      </c>
      <c r="N987" s="29" t="s">
        <v>1434</v>
      </c>
      <c r="O987" s="29" t="s">
        <v>594</v>
      </c>
    </row>
    <row r="988" spans="1:15">
      <c r="A988" s="25">
        <v>22291</v>
      </c>
      <c r="B988" s="34" t="s">
        <v>2088</v>
      </c>
      <c r="C988" s="31" t="s">
        <v>521</v>
      </c>
      <c r="D988" s="31" t="s">
        <v>1191</v>
      </c>
      <c r="E988" s="28">
        <v>43192</v>
      </c>
      <c r="F988" s="28">
        <v>43222</v>
      </c>
      <c r="G988" s="28">
        <v>43585</v>
      </c>
      <c r="H988" s="29" t="s">
        <v>560</v>
      </c>
      <c r="I988" s="29" t="s">
        <v>560</v>
      </c>
      <c r="J988" s="29" t="s">
        <v>1901</v>
      </c>
      <c r="K988" s="29" t="s">
        <v>1902</v>
      </c>
      <c r="L988" s="29" t="s">
        <v>2021</v>
      </c>
      <c r="M988" s="29" t="s">
        <v>2089</v>
      </c>
      <c r="N988" s="29" t="s">
        <v>2090</v>
      </c>
      <c r="O988" s="29" t="s">
        <v>594</v>
      </c>
    </row>
    <row r="989" spans="1:15">
      <c r="A989" s="25">
        <v>22359</v>
      </c>
      <c r="B989" s="34" t="s">
        <v>2091</v>
      </c>
      <c r="C989" s="31" t="s">
        <v>521</v>
      </c>
      <c r="D989" s="31" t="s">
        <v>694</v>
      </c>
      <c r="E989" s="28">
        <v>43195</v>
      </c>
      <c r="F989" s="28">
        <v>43225</v>
      </c>
      <c r="G989" s="28">
        <v>43585</v>
      </c>
      <c r="H989" s="29" t="s">
        <v>560</v>
      </c>
      <c r="I989" s="29" t="s">
        <v>560</v>
      </c>
      <c r="J989" s="29" t="s">
        <v>1901</v>
      </c>
      <c r="K989" s="29" t="s">
        <v>1902</v>
      </c>
      <c r="L989" s="29" t="s">
        <v>2021</v>
      </c>
      <c r="M989" s="29" t="s">
        <v>2092</v>
      </c>
      <c r="N989" s="29" t="s">
        <v>2041</v>
      </c>
      <c r="O989" s="29" t="s">
        <v>594</v>
      </c>
    </row>
    <row r="990" spans="1:15">
      <c r="A990" s="25">
        <v>22420</v>
      </c>
      <c r="B990" s="34" t="s">
        <v>2093</v>
      </c>
      <c r="C990" s="31" t="s">
        <v>521</v>
      </c>
      <c r="D990" s="31" t="s">
        <v>805</v>
      </c>
      <c r="E990" s="28">
        <v>43213</v>
      </c>
      <c r="F990" s="28">
        <v>43243</v>
      </c>
      <c r="G990" s="28">
        <v>43616</v>
      </c>
      <c r="H990" s="29" t="s">
        <v>560</v>
      </c>
      <c r="I990" s="29" t="s">
        <v>560</v>
      </c>
      <c r="J990" s="29" t="s">
        <v>1901</v>
      </c>
      <c r="K990" s="29" t="s">
        <v>1902</v>
      </c>
      <c r="L990" s="29" t="s">
        <v>2021</v>
      </c>
      <c r="M990" s="29" t="s">
        <v>2094</v>
      </c>
      <c r="N990" s="29" t="s">
        <v>1434</v>
      </c>
      <c r="O990" s="29" t="s">
        <v>594</v>
      </c>
    </row>
    <row r="991" spans="1:15">
      <c r="A991" s="25">
        <v>22517</v>
      </c>
      <c r="B991" s="34" t="s">
        <v>2095</v>
      </c>
      <c r="C991" s="31" t="s">
        <v>521</v>
      </c>
      <c r="D991" s="31" t="s">
        <v>773</v>
      </c>
      <c r="E991" s="28">
        <v>43224</v>
      </c>
      <c r="F991" s="28">
        <v>43255</v>
      </c>
      <c r="G991" s="28">
        <v>43616</v>
      </c>
      <c r="H991" s="29" t="s">
        <v>560</v>
      </c>
      <c r="I991" s="29" t="s">
        <v>560</v>
      </c>
      <c r="J991" s="29" t="s">
        <v>1901</v>
      </c>
      <c r="K991" s="29" t="s">
        <v>1902</v>
      </c>
      <c r="L991" s="29" t="s">
        <v>2021</v>
      </c>
      <c r="M991" s="29" t="s">
        <v>2096</v>
      </c>
      <c r="N991" s="29" t="s">
        <v>1434</v>
      </c>
      <c r="O991" s="29" t="s">
        <v>594</v>
      </c>
    </row>
    <row r="992" spans="1:15">
      <c r="A992" s="25">
        <v>22526</v>
      </c>
      <c r="B992" s="26" t="s">
        <v>2097</v>
      </c>
      <c r="C992" s="27" t="s">
        <v>521</v>
      </c>
      <c r="D992" s="27" t="s">
        <v>773</v>
      </c>
      <c r="E992" s="28">
        <v>43224</v>
      </c>
      <c r="F992" s="28">
        <v>43255</v>
      </c>
      <c r="G992" s="28">
        <v>43616</v>
      </c>
      <c r="H992" s="27" t="s">
        <v>560</v>
      </c>
      <c r="I992" s="27" t="s">
        <v>560</v>
      </c>
      <c r="J992" s="29" t="s">
        <v>1901</v>
      </c>
      <c r="K992" s="29" t="s">
        <v>1902</v>
      </c>
      <c r="L992" s="29" t="s">
        <v>2021</v>
      </c>
      <c r="M992" s="29" t="s">
        <v>2098</v>
      </c>
      <c r="N992" s="29" t="s">
        <v>2080</v>
      </c>
      <c r="O992" s="29" t="s">
        <v>594</v>
      </c>
    </row>
    <row r="993" spans="1:15">
      <c r="A993" s="25">
        <v>22535</v>
      </c>
      <c r="B993" s="34" t="s">
        <v>2099</v>
      </c>
      <c r="C993" s="31" t="s">
        <v>521</v>
      </c>
      <c r="D993" s="31" t="s">
        <v>773</v>
      </c>
      <c r="E993" s="28">
        <v>43224</v>
      </c>
      <c r="F993" s="28">
        <v>43255</v>
      </c>
      <c r="G993" s="28">
        <v>43616</v>
      </c>
      <c r="H993" s="29" t="s">
        <v>560</v>
      </c>
      <c r="I993" s="29" t="s">
        <v>560</v>
      </c>
      <c r="J993" s="29" t="s">
        <v>1901</v>
      </c>
      <c r="K993" s="29" t="s">
        <v>1902</v>
      </c>
      <c r="L993" s="29" t="s">
        <v>2021</v>
      </c>
      <c r="M993" s="29" t="s">
        <v>2100</v>
      </c>
      <c r="N993" s="29" t="s">
        <v>2031</v>
      </c>
      <c r="O993" s="29" t="s">
        <v>594</v>
      </c>
    </row>
    <row r="994" spans="1:15">
      <c r="A994" s="25">
        <v>22601</v>
      </c>
      <c r="B994" s="34" t="s">
        <v>2101</v>
      </c>
      <c r="C994" s="31" t="s">
        <v>521</v>
      </c>
      <c r="D994" s="31" t="s">
        <v>745</v>
      </c>
      <c r="E994" s="28">
        <v>43236</v>
      </c>
      <c r="F994" s="28">
        <v>43267</v>
      </c>
      <c r="G994" s="28">
        <v>43646</v>
      </c>
      <c r="H994" s="29" t="s">
        <v>560</v>
      </c>
      <c r="I994" s="29" t="s">
        <v>560</v>
      </c>
      <c r="J994" s="29" t="s">
        <v>1901</v>
      </c>
      <c r="K994" s="29" t="s">
        <v>1902</v>
      </c>
      <c r="L994" s="29" t="s">
        <v>2021</v>
      </c>
      <c r="M994" s="29" t="s">
        <v>2102</v>
      </c>
      <c r="N994" s="29" t="s">
        <v>1434</v>
      </c>
      <c r="O994" s="29" t="s">
        <v>594</v>
      </c>
    </row>
    <row r="995" spans="1:15">
      <c r="A995" s="25">
        <v>22612</v>
      </c>
      <c r="B995" s="34" t="s">
        <v>2103</v>
      </c>
      <c r="C995" s="31" t="s">
        <v>521</v>
      </c>
      <c r="D995" s="31" t="s">
        <v>745</v>
      </c>
      <c r="E995" s="28">
        <v>43236</v>
      </c>
      <c r="F995" s="28">
        <v>43267</v>
      </c>
      <c r="G995" s="28">
        <v>43646</v>
      </c>
      <c r="H995" s="29" t="s">
        <v>560</v>
      </c>
      <c r="I995" s="29" t="s">
        <v>560</v>
      </c>
      <c r="J995" s="29" t="s">
        <v>1901</v>
      </c>
      <c r="K995" s="29" t="s">
        <v>1902</v>
      </c>
      <c r="L995" s="29" t="s">
        <v>2021</v>
      </c>
      <c r="M995" s="29" t="s">
        <v>2104</v>
      </c>
      <c r="N995" s="29" t="s">
        <v>1434</v>
      </c>
      <c r="O995" s="29" t="s">
        <v>594</v>
      </c>
    </row>
    <row r="996" spans="1:15">
      <c r="A996" s="25">
        <v>22631</v>
      </c>
      <c r="B996" s="34" t="s">
        <v>2105</v>
      </c>
      <c r="C996" s="31" t="s">
        <v>521</v>
      </c>
      <c r="D996" s="31" t="s">
        <v>745</v>
      </c>
      <c r="E996" s="28">
        <v>43236</v>
      </c>
      <c r="F996" s="28">
        <v>43267</v>
      </c>
      <c r="G996" s="28">
        <v>43646</v>
      </c>
      <c r="H996" s="29" t="s">
        <v>560</v>
      </c>
      <c r="I996" s="29" t="s">
        <v>560</v>
      </c>
      <c r="J996" s="29" t="s">
        <v>1901</v>
      </c>
      <c r="K996" s="29" t="s">
        <v>1902</v>
      </c>
      <c r="L996" s="29" t="s">
        <v>2021</v>
      </c>
      <c r="M996" s="29" t="s">
        <v>2106</v>
      </c>
      <c r="N996" s="29" t="s">
        <v>1434</v>
      </c>
      <c r="O996" s="29" t="s">
        <v>594</v>
      </c>
    </row>
    <row r="997" spans="1:15">
      <c r="A997" s="25">
        <v>22656</v>
      </c>
      <c r="B997" s="34" t="s">
        <v>2107</v>
      </c>
      <c r="C997" s="31" t="s">
        <v>521</v>
      </c>
      <c r="D997" s="31" t="s">
        <v>1199</v>
      </c>
      <c r="E997" s="28">
        <v>43241</v>
      </c>
      <c r="F997" s="28">
        <v>43272</v>
      </c>
      <c r="G997" s="28">
        <v>43646</v>
      </c>
      <c r="H997" s="29" t="s">
        <v>560</v>
      </c>
      <c r="I997" s="29" t="s">
        <v>560</v>
      </c>
      <c r="J997" s="29" t="s">
        <v>1901</v>
      </c>
      <c r="K997" s="29" t="s">
        <v>1902</v>
      </c>
      <c r="L997" s="29" t="s">
        <v>2021</v>
      </c>
      <c r="M997" s="29" t="s">
        <v>2108</v>
      </c>
      <c r="N997" s="29" t="s">
        <v>2041</v>
      </c>
      <c r="O997" s="29" t="s">
        <v>594</v>
      </c>
    </row>
    <row r="998" spans="1:15">
      <c r="A998" s="25">
        <v>22691</v>
      </c>
      <c r="B998" s="34" t="s">
        <v>2109</v>
      </c>
      <c r="C998" s="31" t="s">
        <v>521</v>
      </c>
      <c r="D998" s="31" t="s">
        <v>1195</v>
      </c>
      <c r="E998" s="28">
        <v>43244</v>
      </c>
      <c r="F998" s="28">
        <v>43275</v>
      </c>
      <c r="G998" s="28">
        <v>43646</v>
      </c>
      <c r="H998" s="31" t="s">
        <v>560</v>
      </c>
      <c r="I998" s="31" t="s">
        <v>560</v>
      </c>
      <c r="J998" s="29" t="s">
        <v>1901</v>
      </c>
      <c r="K998" s="29" t="s">
        <v>1902</v>
      </c>
      <c r="L998" s="29" t="s">
        <v>2021</v>
      </c>
      <c r="M998" s="29" t="s">
        <v>2110</v>
      </c>
      <c r="N998" s="29" t="s">
        <v>1434</v>
      </c>
      <c r="O998" s="29" t="s">
        <v>594</v>
      </c>
    </row>
    <row r="999" spans="1:15">
      <c r="A999" s="25">
        <v>22711</v>
      </c>
      <c r="B999" s="34" t="s">
        <v>2111</v>
      </c>
      <c r="C999" s="31" t="s">
        <v>521</v>
      </c>
      <c r="D999" s="31" t="s">
        <v>1195</v>
      </c>
      <c r="E999" s="28">
        <v>43244</v>
      </c>
      <c r="F999" s="28">
        <v>43275</v>
      </c>
      <c r="G999" s="28">
        <v>43646</v>
      </c>
      <c r="H999" s="29" t="s">
        <v>560</v>
      </c>
      <c r="I999" s="29" t="s">
        <v>560</v>
      </c>
      <c r="J999" s="29" t="s">
        <v>1901</v>
      </c>
      <c r="K999" s="29" t="s">
        <v>1902</v>
      </c>
      <c r="L999" s="29" t="s">
        <v>2021</v>
      </c>
      <c r="M999" s="29" t="s">
        <v>2112</v>
      </c>
      <c r="N999" s="29" t="s">
        <v>1586</v>
      </c>
      <c r="O999" s="29" t="s">
        <v>594</v>
      </c>
    </row>
    <row r="1000" spans="1:15">
      <c r="A1000" s="25">
        <v>22731</v>
      </c>
      <c r="B1000" s="34" t="s">
        <v>2113</v>
      </c>
      <c r="C1000" s="31" t="s">
        <v>521</v>
      </c>
      <c r="D1000" s="31" t="s">
        <v>771</v>
      </c>
      <c r="E1000" s="28">
        <v>43255</v>
      </c>
      <c r="F1000" s="28">
        <v>43285</v>
      </c>
      <c r="G1000" s="28">
        <v>43646</v>
      </c>
      <c r="H1000" s="29" t="s">
        <v>560</v>
      </c>
      <c r="I1000" s="29" t="s">
        <v>560</v>
      </c>
      <c r="J1000" s="29" t="s">
        <v>1901</v>
      </c>
      <c r="K1000" s="29" t="s">
        <v>1902</v>
      </c>
      <c r="L1000" s="29" t="s">
        <v>2021</v>
      </c>
      <c r="M1000" s="29" t="s">
        <v>2114</v>
      </c>
      <c r="N1000" s="29" t="s">
        <v>2023</v>
      </c>
      <c r="O1000" s="29" t="s">
        <v>594</v>
      </c>
    </row>
    <row r="1001" spans="1:15">
      <c r="A1001" s="25">
        <v>22744</v>
      </c>
      <c r="B1001" s="34" t="s">
        <v>2115</v>
      </c>
      <c r="C1001" s="31" t="s">
        <v>521</v>
      </c>
      <c r="D1001" s="31" t="s">
        <v>771</v>
      </c>
      <c r="E1001" s="28">
        <v>43255</v>
      </c>
      <c r="F1001" s="28">
        <v>43285</v>
      </c>
      <c r="G1001" s="28">
        <v>43646</v>
      </c>
      <c r="H1001" s="29" t="s">
        <v>560</v>
      </c>
      <c r="I1001" s="29" t="s">
        <v>560</v>
      </c>
      <c r="J1001" s="29" t="s">
        <v>1901</v>
      </c>
      <c r="K1001" s="29" t="s">
        <v>1902</v>
      </c>
      <c r="L1001" s="29" t="s">
        <v>2021</v>
      </c>
      <c r="M1001" s="29" t="s">
        <v>2116</v>
      </c>
      <c r="N1001" s="29" t="s">
        <v>1586</v>
      </c>
      <c r="O1001" s="29" t="s">
        <v>594</v>
      </c>
    </row>
    <row r="1002" spans="1:15">
      <c r="A1002" s="25">
        <v>22757</v>
      </c>
      <c r="B1002" s="34" t="s">
        <v>2117</v>
      </c>
      <c r="C1002" s="31" t="s">
        <v>521</v>
      </c>
      <c r="D1002" s="31" t="s">
        <v>771</v>
      </c>
      <c r="E1002" s="28">
        <v>43255</v>
      </c>
      <c r="F1002" s="28">
        <v>43285</v>
      </c>
      <c r="G1002" s="28">
        <v>43646</v>
      </c>
      <c r="H1002" s="29" t="s">
        <v>560</v>
      </c>
      <c r="I1002" s="29" t="s">
        <v>560</v>
      </c>
      <c r="J1002" s="29" t="s">
        <v>1901</v>
      </c>
      <c r="K1002" s="29" t="s">
        <v>1902</v>
      </c>
      <c r="L1002" s="29" t="s">
        <v>2021</v>
      </c>
      <c r="M1002" s="29" t="s">
        <v>2118</v>
      </c>
      <c r="N1002" s="29" t="s">
        <v>2041</v>
      </c>
      <c r="O1002" s="29" t="s">
        <v>594</v>
      </c>
    </row>
    <row r="1003" spans="1:15">
      <c r="A1003" s="25">
        <v>22894</v>
      </c>
      <c r="B1003" s="34" t="s">
        <v>2119</v>
      </c>
      <c r="C1003" s="31" t="s">
        <v>521</v>
      </c>
      <c r="D1003" s="31" t="s">
        <v>775</v>
      </c>
      <c r="E1003" s="28">
        <v>43333</v>
      </c>
      <c r="F1003" s="28">
        <v>43364</v>
      </c>
      <c r="G1003" s="28">
        <v>43738</v>
      </c>
      <c r="H1003" s="29" t="s">
        <v>560</v>
      </c>
      <c r="I1003" s="29" t="s">
        <v>560</v>
      </c>
      <c r="J1003" s="29" t="s">
        <v>1901</v>
      </c>
      <c r="K1003" s="29" t="s">
        <v>1902</v>
      </c>
      <c r="L1003" s="29" t="s">
        <v>2021</v>
      </c>
      <c r="M1003" s="29" t="s">
        <v>2120</v>
      </c>
      <c r="N1003" s="29" t="s">
        <v>1434</v>
      </c>
      <c r="O1003" s="29" t="s">
        <v>594</v>
      </c>
    </row>
    <row r="1004" spans="1:15">
      <c r="A1004" s="25">
        <v>23053</v>
      </c>
      <c r="B1004" s="34" t="s">
        <v>2121</v>
      </c>
      <c r="C1004" s="31" t="s">
        <v>521</v>
      </c>
      <c r="D1004" s="31" t="s">
        <v>1872</v>
      </c>
      <c r="E1004" s="28">
        <v>43361</v>
      </c>
      <c r="F1004" s="28">
        <v>43391</v>
      </c>
      <c r="G1004" s="28">
        <v>43769</v>
      </c>
      <c r="H1004" s="29" t="s">
        <v>560</v>
      </c>
      <c r="I1004" s="29" t="s">
        <v>560</v>
      </c>
      <c r="J1004" s="29" t="s">
        <v>1901</v>
      </c>
      <c r="K1004" s="29" t="s">
        <v>1902</v>
      </c>
      <c r="L1004" s="29" t="s">
        <v>2021</v>
      </c>
      <c r="M1004" s="29" t="s">
        <v>2122</v>
      </c>
      <c r="N1004" s="29" t="s">
        <v>2023</v>
      </c>
      <c r="O1004" s="29" t="s">
        <v>594</v>
      </c>
    </row>
    <row r="1005" spans="1:15">
      <c r="A1005" s="25">
        <v>23292</v>
      </c>
      <c r="B1005" s="34" t="s">
        <v>2123</v>
      </c>
      <c r="C1005" s="31" t="s">
        <v>521</v>
      </c>
      <c r="D1005" s="31" t="s">
        <v>1527</v>
      </c>
      <c r="E1005" s="28">
        <v>43427</v>
      </c>
      <c r="F1005" s="28">
        <v>43457</v>
      </c>
      <c r="G1005" s="28">
        <v>43830</v>
      </c>
      <c r="H1005" s="29" t="s">
        <v>560</v>
      </c>
      <c r="I1005" s="29" t="s">
        <v>560</v>
      </c>
      <c r="J1005" s="29" t="s">
        <v>1901</v>
      </c>
      <c r="K1005" s="29" t="s">
        <v>1902</v>
      </c>
      <c r="L1005" s="29" t="s">
        <v>2021</v>
      </c>
      <c r="M1005" s="29" t="s">
        <v>2124</v>
      </c>
      <c r="N1005" s="29" t="s">
        <v>1586</v>
      </c>
      <c r="O1005" s="29" t="s">
        <v>594</v>
      </c>
    </row>
    <row r="1006" spans="1:15">
      <c r="A1006" s="25">
        <v>23357</v>
      </c>
      <c r="B1006" s="34" t="s">
        <v>2125</v>
      </c>
      <c r="C1006" s="31" t="s">
        <v>521</v>
      </c>
      <c r="D1006" s="31" t="s">
        <v>1527</v>
      </c>
      <c r="E1006" s="28">
        <v>43427</v>
      </c>
      <c r="F1006" s="28">
        <v>43457</v>
      </c>
      <c r="G1006" s="28">
        <v>43830</v>
      </c>
      <c r="H1006" s="29" t="s">
        <v>560</v>
      </c>
      <c r="I1006" s="29" t="s">
        <v>560</v>
      </c>
      <c r="J1006" s="29" t="s">
        <v>1901</v>
      </c>
      <c r="K1006" s="29" t="s">
        <v>1902</v>
      </c>
      <c r="L1006" s="29" t="s">
        <v>2021</v>
      </c>
      <c r="M1006" s="29" t="s">
        <v>2126</v>
      </c>
      <c r="N1006" s="29" t="s">
        <v>1586</v>
      </c>
      <c r="O1006" s="29" t="s">
        <v>594</v>
      </c>
    </row>
    <row r="1007" spans="1:15">
      <c r="A1007" s="25">
        <v>23380</v>
      </c>
      <c r="B1007" s="34" t="s">
        <v>2127</v>
      </c>
      <c r="C1007" s="31" t="s">
        <v>521</v>
      </c>
      <c r="D1007" s="31" t="s">
        <v>1527</v>
      </c>
      <c r="E1007" s="28">
        <v>43427</v>
      </c>
      <c r="F1007" s="28">
        <v>43457</v>
      </c>
      <c r="G1007" s="28">
        <v>43830</v>
      </c>
      <c r="H1007" s="29" t="s">
        <v>560</v>
      </c>
      <c r="I1007" s="29" t="s">
        <v>560</v>
      </c>
      <c r="J1007" s="29" t="s">
        <v>1901</v>
      </c>
      <c r="K1007" s="29" t="s">
        <v>1902</v>
      </c>
      <c r="L1007" s="29" t="s">
        <v>2021</v>
      </c>
      <c r="M1007" s="29" t="s">
        <v>2128</v>
      </c>
      <c r="N1007" s="29" t="s">
        <v>1586</v>
      </c>
      <c r="O1007" s="29" t="s">
        <v>594</v>
      </c>
    </row>
    <row r="1008" spans="1:15">
      <c r="A1008" s="25">
        <v>23416</v>
      </c>
      <c r="B1008" s="34" t="s">
        <v>2129</v>
      </c>
      <c r="C1008" s="31" t="s">
        <v>521</v>
      </c>
      <c r="D1008" s="31" t="s">
        <v>882</v>
      </c>
      <c r="E1008" s="28">
        <v>43434</v>
      </c>
      <c r="F1008" s="28">
        <v>43464</v>
      </c>
      <c r="G1008" s="28">
        <v>43830</v>
      </c>
      <c r="H1008" s="29" t="s">
        <v>560</v>
      </c>
      <c r="I1008" s="29" t="s">
        <v>560</v>
      </c>
      <c r="J1008" s="29" t="s">
        <v>2130</v>
      </c>
      <c r="K1008" s="29" t="s">
        <v>2131</v>
      </c>
      <c r="L1008" s="29" t="s">
        <v>2021</v>
      </c>
      <c r="M1008" s="29" t="s">
        <v>2077</v>
      </c>
      <c r="N1008" s="29" t="s">
        <v>2077</v>
      </c>
      <c r="O1008" s="29" t="s">
        <v>594</v>
      </c>
    </row>
    <row r="1009" spans="1:15">
      <c r="A1009" s="25">
        <v>23505</v>
      </c>
      <c r="B1009" s="34" t="s">
        <v>2132</v>
      </c>
      <c r="C1009" s="31" t="s">
        <v>521</v>
      </c>
      <c r="D1009" s="31" t="s">
        <v>1588</v>
      </c>
      <c r="E1009" s="28">
        <v>43441</v>
      </c>
      <c r="F1009" s="28">
        <v>43472</v>
      </c>
      <c r="G1009" s="28">
        <v>43830</v>
      </c>
      <c r="H1009" s="29" t="s">
        <v>560</v>
      </c>
      <c r="I1009" s="29" t="s">
        <v>560</v>
      </c>
      <c r="J1009" s="29" t="s">
        <v>1901</v>
      </c>
      <c r="K1009" s="29" t="s">
        <v>1902</v>
      </c>
      <c r="L1009" s="29" t="s">
        <v>2021</v>
      </c>
      <c r="M1009" s="29" t="s">
        <v>2133</v>
      </c>
      <c r="N1009" s="29" t="s">
        <v>1586</v>
      </c>
      <c r="O1009" s="29" t="s">
        <v>594</v>
      </c>
    </row>
    <row r="1010" spans="1:15">
      <c r="A1010" s="25">
        <v>23559</v>
      </c>
      <c r="B1010" s="34" t="s">
        <v>2134</v>
      </c>
      <c r="C1010" s="31" t="s">
        <v>521</v>
      </c>
      <c r="D1010" s="31" t="s">
        <v>884</v>
      </c>
      <c r="E1010" s="28">
        <v>43452</v>
      </c>
      <c r="F1010" s="28">
        <v>43483</v>
      </c>
      <c r="G1010" s="28">
        <v>43861</v>
      </c>
      <c r="H1010" s="29" t="s">
        <v>560</v>
      </c>
      <c r="I1010" s="29" t="s">
        <v>560</v>
      </c>
      <c r="J1010" s="29" t="s">
        <v>1901</v>
      </c>
      <c r="K1010" s="29" t="s">
        <v>1902</v>
      </c>
      <c r="L1010" s="29" t="s">
        <v>2021</v>
      </c>
      <c r="M1010" s="29" t="s">
        <v>2135</v>
      </c>
      <c r="N1010" s="29" t="s">
        <v>1586</v>
      </c>
      <c r="O1010" s="29" t="s">
        <v>594</v>
      </c>
    </row>
    <row r="1011" spans="1:15">
      <c r="A1011" s="25">
        <v>4651</v>
      </c>
      <c r="B1011" s="26" t="s">
        <v>2136</v>
      </c>
      <c r="C1011" s="27" t="s">
        <v>521</v>
      </c>
      <c r="D1011" s="27" t="s">
        <v>1475</v>
      </c>
      <c r="E1011" s="28">
        <v>38901</v>
      </c>
      <c r="F1011" s="28" t="s">
        <v>35</v>
      </c>
      <c r="G1011" s="28" t="s">
        <v>35</v>
      </c>
      <c r="H1011" s="27" t="s">
        <v>560</v>
      </c>
      <c r="I1011" s="27" t="s">
        <v>560</v>
      </c>
      <c r="J1011" s="27" t="s">
        <v>1901</v>
      </c>
      <c r="K1011" s="27" t="s">
        <v>1902</v>
      </c>
      <c r="L1011" s="29" t="s">
        <v>2021</v>
      </c>
      <c r="M1011" s="29" t="s">
        <v>2025</v>
      </c>
      <c r="N1011" s="29" t="s">
        <v>2026</v>
      </c>
      <c r="O1011" s="29" t="s">
        <v>590</v>
      </c>
    </row>
    <row r="1012" spans="1:15">
      <c r="A1012" s="25">
        <v>9591</v>
      </c>
      <c r="B1012" s="26" t="s">
        <v>2137</v>
      </c>
      <c r="C1012" s="27" t="s">
        <v>521</v>
      </c>
      <c r="D1012" s="27" t="s">
        <v>1598</v>
      </c>
      <c r="E1012" s="28">
        <v>40179</v>
      </c>
      <c r="F1012" s="28" t="s">
        <v>35</v>
      </c>
      <c r="G1012" s="28" t="s">
        <v>35</v>
      </c>
      <c r="H1012" s="27" t="s">
        <v>560</v>
      </c>
      <c r="I1012" s="27" t="s">
        <v>560</v>
      </c>
      <c r="J1012" s="29" t="s">
        <v>1901</v>
      </c>
      <c r="K1012" s="29" t="s">
        <v>1902</v>
      </c>
      <c r="L1012" s="29" t="s">
        <v>2021</v>
      </c>
      <c r="M1012" s="29" t="s">
        <v>2094</v>
      </c>
      <c r="N1012" s="29" t="s">
        <v>1434</v>
      </c>
      <c r="O1012" s="29" t="s">
        <v>590</v>
      </c>
    </row>
    <row r="1013" spans="1:15">
      <c r="A1013" s="25">
        <v>10361</v>
      </c>
      <c r="B1013" s="26" t="s">
        <v>2138</v>
      </c>
      <c r="C1013" s="27" t="s">
        <v>521</v>
      </c>
      <c r="D1013" s="27" t="s">
        <v>1497</v>
      </c>
      <c r="E1013" s="28">
        <v>40513</v>
      </c>
      <c r="F1013" s="28" t="s">
        <v>35</v>
      </c>
      <c r="G1013" s="28" t="s">
        <v>35</v>
      </c>
      <c r="H1013" s="27" t="s">
        <v>560</v>
      </c>
      <c r="I1013" s="27" t="s">
        <v>560</v>
      </c>
      <c r="J1013" s="29" t="s">
        <v>1901</v>
      </c>
      <c r="K1013" s="29" t="s">
        <v>1902</v>
      </c>
      <c r="L1013" s="29" t="s">
        <v>2021</v>
      </c>
      <c r="M1013" s="29" t="s">
        <v>1550</v>
      </c>
      <c r="N1013" s="29" t="s">
        <v>1045</v>
      </c>
      <c r="O1013" s="29" t="s">
        <v>590</v>
      </c>
    </row>
    <row r="1014" spans="1:15">
      <c r="A1014" s="25">
        <v>11036</v>
      </c>
      <c r="B1014" s="26" t="s">
        <v>2139</v>
      </c>
      <c r="C1014" s="27" t="s">
        <v>521</v>
      </c>
      <c r="D1014" s="27" t="s">
        <v>1516</v>
      </c>
      <c r="E1014" s="28">
        <v>40585</v>
      </c>
      <c r="F1014" s="28" t="s">
        <v>35</v>
      </c>
      <c r="G1014" s="28" t="s">
        <v>35</v>
      </c>
      <c r="H1014" s="29" t="s">
        <v>560</v>
      </c>
      <c r="I1014" s="29" t="s">
        <v>560</v>
      </c>
      <c r="J1014" s="29" t="s">
        <v>1901</v>
      </c>
      <c r="K1014" s="29" t="s">
        <v>1902</v>
      </c>
      <c r="L1014" s="29" t="s">
        <v>2021</v>
      </c>
      <c r="M1014" s="29" t="s">
        <v>2072</v>
      </c>
      <c r="N1014" s="29" t="s">
        <v>1434</v>
      </c>
      <c r="O1014" s="29" t="s">
        <v>590</v>
      </c>
    </row>
    <row r="1015" spans="1:15">
      <c r="A1015" s="25">
        <v>11633</v>
      </c>
      <c r="B1015" s="26" t="s">
        <v>2140</v>
      </c>
      <c r="C1015" s="27" t="s">
        <v>521</v>
      </c>
      <c r="D1015" s="25" t="s">
        <v>841</v>
      </c>
      <c r="E1015" s="28">
        <v>40707</v>
      </c>
      <c r="F1015" s="28" t="s">
        <v>35</v>
      </c>
      <c r="G1015" s="28" t="s">
        <v>35</v>
      </c>
      <c r="H1015" s="29" t="s">
        <v>560</v>
      </c>
      <c r="I1015" s="29" t="s">
        <v>560</v>
      </c>
      <c r="J1015" s="29" t="s">
        <v>1901</v>
      </c>
      <c r="K1015" s="29" t="s">
        <v>1902</v>
      </c>
      <c r="L1015" s="29" t="s">
        <v>2021</v>
      </c>
      <c r="M1015" s="29" t="s">
        <v>2141</v>
      </c>
      <c r="N1015" s="29" t="s">
        <v>2031</v>
      </c>
      <c r="O1015" s="29" t="s">
        <v>590</v>
      </c>
    </row>
    <row r="1016" spans="1:15">
      <c r="A1016" s="25">
        <v>11647</v>
      </c>
      <c r="B1016" s="26" t="s">
        <v>2142</v>
      </c>
      <c r="C1016" s="27" t="s">
        <v>521</v>
      </c>
      <c r="D1016" s="27" t="s">
        <v>841</v>
      </c>
      <c r="E1016" s="28">
        <v>40707</v>
      </c>
      <c r="F1016" s="28" t="s">
        <v>35</v>
      </c>
      <c r="G1016" s="28" t="s">
        <v>35</v>
      </c>
      <c r="H1016" s="27" t="s">
        <v>560</v>
      </c>
      <c r="I1016" s="27" t="s">
        <v>560</v>
      </c>
      <c r="J1016" s="27" t="s">
        <v>1901</v>
      </c>
      <c r="K1016" s="27" t="s">
        <v>1902</v>
      </c>
      <c r="L1016" s="29" t="s">
        <v>2021</v>
      </c>
      <c r="M1016" s="29" t="s">
        <v>2063</v>
      </c>
      <c r="N1016" s="29" t="s">
        <v>2041</v>
      </c>
      <c r="O1016" s="29" t="s">
        <v>590</v>
      </c>
    </row>
    <row r="1017" spans="1:15">
      <c r="A1017" s="25">
        <v>12514</v>
      </c>
      <c r="B1017" s="26" t="s">
        <v>2143</v>
      </c>
      <c r="C1017" s="27" t="s">
        <v>521</v>
      </c>
      <c r="D1017" s="27" t="s">
        <v>722</v>
      </c>
      <c r="E1017" s="28">
        <v>40812</v>
      </c>
      <c r="F1017" s="28" t="s">
        <v>35</v>
      </c>
      <c r="G1017" s="28" t="s">
        <v>35</v>
      </c>
      <c r="H1017" s="27" t="s">
        <v>560</v>
      </c>
      <c r="I1017" s="27" t="s">
        <v>560</v>
      </c>
      <c r="J1017" s="29" t="s">
        <v>1901</v>
      </c>
      <c r="K1017" s="29" t="s">
        <v>1902</v>
      </c>
      <c r="L1017" s="29" t="s">
        <v>2021</v>
      </c>
      <c r="M1017" s="29" t="s">
        <v>2106</v>
      </c>
      <c r="N1017" s="29" t="s">
        <v>1434</v>
      </c>
      <c r="O1017" s="29" t="s">
        <v>590</v>
      </c>
    </row>
    <row r="1018" spans="1:15">
      <c r="A1018" s="25">
        <v>12769</v>
      </c>
      <c r="B1018" s="33" t="s">
        <v>2144</v>
      </c>
      <c r="C1018" s="27" t="s">
        <v>521</v>
      </c>
      <c r="D1018" s="27" t="s">
        <v>1739</v>
      </c>
      <c r="E1018" s="28">
        <v>40819</v>
      </c>
      <c r="F1018" s="28" t="s">
        <v>35</v>
      </c>
      <c r="G1018" s="28" t="s">
        <v>35</v>
      </c>
      <c r="H1018" s="31" t="s">
        <v>560</v>
      </c>
      <c r="I1018" s="31" t="s">
        <v>560</v>
      </c>
      <c r="J1018" s="29" t="s">
        <v>1901</v>
      </c>
      <c r="K1018" s="29" t="s">
        <v>1902</v>
      </c>
      <c r="L1018" s="29" t="s">
        <v>2021</v>
      </c>
      <c r="M1018" s="29" t="s">
        <v>2035</v>
      </c>
      <c r="N1018" s="29" t="s">
        <v>1434</v>
      </c>
      <c r="O1018" s="29" t="s">
        <v>590</v>
      </c>
    </row>
    <row r="1019" spans="1:15">
      <c r="A1019" s="25">
        <v>12972</v>
      </c>
      <c r="B1019" s="26" t="s">
        <v>2145</v>
      </c>
      <c r="C1019" s="27" t="s">
        <v>521</v>
      </c>
      <c r="D1019" s="27" t="s">
        <v>717</v>
      </c>
      <c r="E1019" s="28">
        <v>40840</v>
      </c>
      <c r="F1019" s="28" t="s">
        <v>35</v>
      </c>
      <c r="G1019" s="28" t="s">
        <v>35</v>
      </c>
      <c r="H1019" s="27" t="s">
        <v>560</v>
      </c>
      <c r="I1019" s="27" t="s">
        <v>560</v>
      </c>
      <c r="J1019" s="29" t="s">
        <v>1901</v>
      </c>
      <c r="K1019" s="29" t="s">
        <v>1902</v>
      </c>
      <c r="L1019" s="29" t="s">
        <v>2021</v>
      </c>
      <c r="M1019" s="29" t="s">
        <v>2048</v>
      </c>
      <c r="N1019" s="29" t="s">
        <v>1434</v>
      </c>
      <c r="O1019" s="29" t="s">
        <v>590</v>
      </c>
    </row>
    <row r="1020" spans="1:15">
      <c r="A1020" s="25">
        <v>19661</v>
      </c>
      <c r="B1020" s="26" t="s">
        <v>2146</v>
      </c>
      <c r="C1020" s="27" t="s">
        <v>521</v>
      </c>
      <c r="D1020" s="27" t="s">
        <v>1464</v>
      </c>
      <c r="E1020" s="28">
        <v>42475</v>
      </c>
      <c r="F1020" s="28" t="s">
        <v>35</v>
      </c>
      <c r="G1020" s="28" t="s">
        <v>35</v>
      </c>
      <c r="H1020" s="27" t="s">
        <v>560</v>
      </c>
      <c r="I1020" s="27" t="s">
        <v>560</v>
      </c>
      <c r="J1020" s="29" t="s">
        <v>1901</v>
      </c>
      <c r="K1020" s="29" t="s">
        <v>1902</v>
      </c>
      <c r="L1020" s="29" t="s">
        <v>2021</v>
      </c>
      <c r="M1020" s="29" t="s">
        <v>2068</v>
      </c>
      <c r="N1020" s="29" t="s">
        <v>1434</v>
      </c>
      <c r="O1020" s="29" t="s">
        <v>590</v>
      </c>
    </row>
    <row r="1021" spans="1:15">
      <c r="A1021" s="25">
        <v>19762</v>
      </c>
      <c r="B1021" s="26" t="s">
        <v>2147</v>
      </c>
      <c r="C1021" s="27" t="s">
        <v>521</v>
      </c>
      <c r="D1021" s="27" t="s">
        <v>2148</v>
      </c>
      <c r="E1021" s="28">
        <v>42499</v>
      </c>
      <c r="F1021" s="28" t="s">
        <v>35</v>
      </c>
      <c r="G1021" s="28" t="s">
        <v>35</v>
      </c>
      <c r="H1021" s="27" t="s">
        <v>560</v>
      </c>
      <c r="I1021" s="29" t="s">
        <v>560</v>
      </c>
      <c r="J1021" s="29" t="s">
        <v>1901</v>
      </c>
      <c r="K1021" s="29" t="s">
        <v>1902</v>
      </c>
      <c r="L1021" s="29" t="s">
        <v>2021</v>
      </c>
      <c r="M1021" s="29" t="s">
        <v>2096</v>
      </c>
      <c r="N1021" s="29" t="s">
        <v>1434</v>
      </c>
      <c r="O1021" s="29" t="s">
        <v>590</v>
      </c>
    </row>
    <row r="1022" spans="1:15">
      <c r="A1022" s="25">
        <v>20434</v>
      </c>
      <c r="B1022" s="26" t="s">
        <v>2149</v>
      </c>
      <c r="C1022" s="27" t="s">
        <v>521</v>
      </c>
      <c r="D1022" s="27" t="s">
        <v>1644</v>
      </c>
      <c r="E1022" s="28">
        <v>42634</v>
      </c>
      <c r="F1022" s="28">
        <v>43132</v>
      </c>
      <c r="G1022" s="28">
        <v>43496</v>
      </c>
      <c r="H1022" s="25" t="s">
        <v>560</v>
      </c>
      <c r="I1022" s="27" t="s">
        <v>560</v>
      </c>
      <c r="J1022" s="31" t="s">
        <v>1901</v>
      </c>
      <c r="K1022" s="31" t="s">
        <v>1902</v>
      </c>
      <c r="L1022" s="29" t="s">
        <v>2021</v>
      </c>
      <c r="M1022" s="29" t="s">
        <v>2052</v>
      </c>
      <c r="N1022" s="29" t="s">
        <v>2041</v>
      </c>
      <c r="O1022" s="29" t="s">
        <v>590</v>
      </c>
    </row>
    <row r="1023" spans="1:15">
      <c r="A1023" s="25">
        <v>20531</v>
      </c>
      <c r="B1023" s="26" t="s">
        <v>2150</v>
      </c>
      <c r="C1023" s="27" t="s">
        <v>521</v>
      </c>
      <c r="D1023" s="27" t="s">
        <v>1644</v>
      </c>
      <c r="E1023" s="28">
        <v>42634</v>
      </c>
      <c r="F1023" s="28">
        <v>43132</v>
      </c>
      <c r="G1023" s="28">
        <v>43496</v>
      </c>
      <c r="H1023" s="25" t="s">
        <v>560</v>
      </c>
      <c r="I1023" s="27" t="s">
        <v>560</v>
      </c>
      <c r="J1023" s="31" t="s">
        <v>1901</v>
      </c>
      <c r="K1023" s="31" t="s">
        <v>1902</v>
      </c>
      <c r="L1023" s="29" t="s">
        <v>2021</v>
      </c>
      <c r="M1023" s="29" t="s">
        <v>2108</v>
      </c>
      <c r="N1023" s="29" t="s">
        <v>2041</v>
      </c>
      <c r="O1023" s="29" t="s">
        <v>590</v>
      </c>
    </row>
    <row r="1024" spans="1:15">
      <c r="A1024" s="25">
        <v>20641</v>
      </c>
      <c r="B1024" s="26" t="s">
        <v>2151</v>
      </c>
      <c r="C1024" s="27" t="s">
        <v>521</v>
      </c>
      <c r="D1024" s="27" t="s">
        <v>673</v>
      </c>
      <c r="E1024" s="28">
        <v>42639</v>
      </c>
      <c r="F1024" s="28">
        <v>43132</v>
      </c>
      <c r="G1024" s="28">
        <v>43496</v>
      </c>
      <c r="H1024" s="25" t="s">
        <v>560</v>
      </c>
      <c r="I1024" s="25" t="s">
        <v>560</v>
      </c>
      <c r="J1024" s="27" t="s">
        <v>1901</v>
      </c>
      <c r="K1024" s="27" t="s">
        <v>1902</v>
      </c>
      <c r="L1024" s="29" t="s">
        <v>2021</v>
      </c>
      <c r="M1024" s="29" t="s">
        <v>2065</v>
      </c>
      <c r="N1024" s="29" t="s">
        <v>2041</v>
      </c>
      <c r="O1024" s="29" t="s">
        <v>590</v>
      </c>
    </row>
    <row r="1025" spans="1:15">
      <c r="A1025" s="25">
        <v>20654</v>
      </c>
      <c r="B1025" s="26" t="s">
        <v>2152</v>
      </c>
      <c r="C1025" s="27" t="s">
        <v>521</v>
      </c>
      <c r="D1025" s="27" t="s">
        <v>673</v>
      </c>
      <c r="E1025" s="28">
        <v>42639</v>
      </c>
      <c r="F1025" s="28">
        <v>43132</v>
      </c>
      <c r="G1025" s="28">
        <v>43496</v>
      </c>
      <c r="H1025" s="25" t="s">
        <v>560</v>
      </c>
      <c r="I1025" s="25" t="s">
        <v>560</v>
      </c>
      <c r="J1025" s="29" t="s">
        <v>1901</v>
      </c>
      <c r="K1025" s="29" t="s">
        <v>1902</v>
      </c>
      <c r="L1025" s="29" t="s">
        <v>2021</v>
      </c>
      <c r="M1025" s="29" t="s">
        <v>2120</v>
      </c>
      <c r="N1025" s="29" t="s">
        <v>1434</v>
      </c>
      <c r="O1025" s="29" t="s">
        <v>590</v>
      </c>
    </row>
    <row r="1026" spans="1:15">
      <c r="A1026" s="25">
        <v>20695</v>
      </c>
      <c r="B1026" s="26" t="s">
        <v>2153</v>
      </c>
      <c r="C1026" s="27" t="s">
        <v>521</v>
      </c>
      <c r="D1026" s="27" t="s">
        <v>815</v>
      </c>
      <c r="E1026" s="28">
        <v>42642</v>
      </c>
      <c r="F1026" s="28">
        <v>43132</v>
      </c>
      <c r="G1026" s="28">
        <v>43496</v>
      </c>
      <c r="H1026" s="27" t="s">
        <v>560</v>
      </c>
      <c r="I1026" s="27" t="s">
        <v>560</v>
      </c>
      <c r="J1026" s="27" t="s">
        <v>1901</v>
      </c>
      <c r="K1026" s="27" t="s">
        <v>1902</v>
      </c>
      <c r="L1026" s="29" t="s">
        <v>2021</v>
      </c>
      <c r="M1026" s="29" t="s">
        <v>2061</v>
      </c>
      <c r="N1026" s="29" t="s">
        <v>2041</v>
      </c>
      <c r="O1026" s="29" t="s">
        <v>590</v>
      </c>
    </row>
    <row r="1027" spans="1:15">
      <c r="A1027" s="25">
        <v>20745</v>
      </c>
      <c r="B1027" s="26" t="s">
        <v>2154</v>
      </c>
      <c r="C1027" s="27" t="s">
        <v>521</v>
      </c>
      <c r="D1027" s="27" t="s">
        <v>815</v>
      </c>
      <c r="E1027" s="28">
        <v>42642</v>
      </c>
      <c r="F1027" s="28">
        <v>43132</v>
      </c>
      <c r="G1027" s="28">
        <v>43496</v>
      </c>
      <c r="H1027" s="25" t="s">
        <v>560</v>
      </c>
      <c r="I1027" s="25" t="s">
        <v>560</v>
      </c>
      <c r="J1027" s="27" t="s">
        <v>1901</v>
      </c>
      <c r="K1027" s="27" t="s">
        <v>1902</v>
      </c>
      <c r="L1027" s="29" t="s">
        <v>2021</v>
      </c>
      <c r="M1027" s="29" t="s">
        <v>2055</v>
      </c>
      <c r="N1027" s="29" t="s">
        <v>1434</v>
      </c>
      <c r="O1027" s="29" t="s">
        <v>590</v>
      </c>
    </row>
    <row r="1028" spans="1:15">
      <c r="A1028" s="25">
        <v>20761</v>
      </c>
      <c r="B1028" s="26" t="s">
        <v>2155</v>
      </c>
      <c r="C1028" s="27" t="s">
        <v>521</v>
      </c>
      <c r="D1028" s="27" t="s">
        <v>815</v>
      </c>
      <c r="E1028" s="28">
        <v>42642</v>
      </c>
      <c r="F1028" s="28">
        <v>43132</v>
      </c>
      <c r="G1028" s="28">
        <v>43496</v>
      </c>
      <c r="H1028" s="25" t="s">
        <v>560</v>
      </c>
      <c r="I1028" s="27" t="s">
        <v>560</v>
      </c>
      <c r="J1028" s="27" t="s">
        <v>1901</v>
      </c>
      <c r="K1028" s="27" t="s">
        <v>1902</v>
      </c>
      <c r="L1028" s="29" t="s">
        <v>2021</v>
      </c>
      <c r="M1028" s="29" t="s">
        <v>2092</v>
      </c>
      <c r="N1028" s="29" t="s">
        <v>2041</v>
      </c>
      <c r="O1028" s="29" t="s">
        <v>590</v>
      </c>
    </row>
    <row r="1029" spans="1:15">
      <c r="A1029" s="25">
        <v>20847</v>
      </c>
      <c r="B1029" s="26" t="s">
        <v>2156</v>
      </c>
      <c r="C1029" s="27" t="s">
        <v>521</v>
      </c>
      <c r="D1029" s="27" t="s">
        <v>807</v>
      </c>
      <c r="E1029" s="28">
        <v>42660</v>
      </c>
      <c r="F1029" s="28">
        <v>43160</v>
      </c>
      <c r="G1029" s="28">
        <v>43524</v>
      </c>
      <c r="H1029" s="29" t="s">
        <v>560</v>
      </c>
      <c r="I1029" s="29" t="s">
        <v>560</v>
      </c>
      <c r="J1029" s="29" t="s">
        <v>1901</v>
      </c>
      <c r="K1029" s="29" t="s">
        <v>1902</v>
      </c>
      <c r="L1029" s="29" t="s">
        <v>2021</v>
      </c>
      <c r="M1029" s="29" t="s">
        <v>2157</v>
      </c>
      <c r="N1029" s="29" t="s">
        <v>2023</v>
      </c>
      <c r="O1029" s="29" t="s">
        <v>590</v>
      </c>
    </row>
    <row r="1030" spans="1:15">
      <c r="A1030" s="25">
        <v>20964</v>
      </c>
      <c r="B1030" s="26" t="s">
        <v>2158</v>
      </c>
      <c r="C1030" s="27" t="s">
        <v>521</v>
      </c>
      <c r="D1030" s="27" t="s">
        <v>1149</v>
      </c>
      <c r="E1030" s="28">
        <v>42667</v>
      </c>
      <c r="F1030" s="28">
        <v>43160</v>
      </c>
      <c r="G1030" s="28">
        <v>43524</v>
      </c>
      <c r="H1030" s="27" t="s">
        <v>560</v>
      </c>
      <c r="I1030" s="27" t="s">
        <v>560</v>
      </c>
      <c r="J1030" s="27" t="s">
        <v>1901</v>
      </c>
      <c r="K1030" s="27" t="s">
        <v>1902</v>
      </c>
      <c r="L1030" s="29" t="s">
        <v>2021</v>
      </c>
      <c r="M1030" s="29" t="s">
        <v>2050</v>
      </c>
      <c r="N1030" s="29" t="s">
        <v>1434</v>
      </c>
      <c r="O1030" s="29" t="s">
        <v>590</v>
      </c>
    </row>
    <row r="1031" spans="1:15">
      <c r="A1031" s="25">
        <v>21104</v>
      </c>
      <c r="B1031" s="26" t="s">
        <v>2159</v>
      </c>
      <c r="C1031" s="27" t="s">
        <v>521</v>
      </c>
      <c r="D1031" s="27" t="s">
        <v>1686</v>
      </c>
      <c r="E1031" s="28">
        <v>42867</v>
      </c>
      <c r="F1031" s="28">
        <v>43344</v>
      </c>
      <c r="G1031" s="28">
        <v>43708</v>
      </c>
      <c r="H1031" s="25" t="s">
        <v>560</v>
      </c>
      <c r="I1031" s="29" t="s">
        <v>560</v>
      </c>
      <c r="J1031" s="29" t="s">
        <v>1901</v>
      </c>
      <c r="K1031" s="29" t="s">
        <v>1902</v>
      </c>
      <c r="L1031" s="29" t="s">
        <v>2021</v>
      </c>
      <c r="M1031" s="29" t="s">
        <v>2082</v>
      </c>
      <c r="N1031" s="29" t="s">
        <v>1434</v>
      </c>
      <c r="O1031" s="29" t="s">
        <v>590</v>
      </c>
    </row>
    <row r="1032" spans="1:15">
      <c r="A1032" s="25">
        <v>21153</v>
      </c>
      <c r="B1032" s="26" t="s">
        <v>2160</v>
      </c>
      <c r="C1032" s="27" t="s">
        <v>521</v>
      </c>
      <c r="D1032" s="27" t="s">
        <v>1676</v>
      </c>
      <c r="E1032" s="28">
        <v>42871</v>
      </c>
      <c r="F1032" s="28">
        <v>43374</v>
      </c>
      <c r="G1032" s="28">
        <v>43738</v>
      </c>
      <c r="H1032" s="25" t="s">
        <v>560</v>
      </c>
      <c r="I1032" s="29" t="s">
        <v>560</v>
      </c>
      <c r="J1032" s="29" t="s">
        <v>1901</v>
      </c>
      <c r="K1032" s="29" t="s">
        <v>1902</v>
      </c>
      <c r="L1032" s="29" t="s">
        <v>2021</v>
      </c>
      <c r="M1032" s="29" t="s">
        <v>2052</v>
      </c>
      <c r="N1032" s="29" t="s">
        <v>2041</v>
      </c>
      <c r="O1032" s="29" t="s">
        <v>590</v>
      </c>
    </row>
    <row r="1033" spans="1:15">
      <c r="A1033" s="25">
        <v>21366</v>
      </c>
      <c r="B1033" s="34" t="s">
        <v>2161</v>
      </c>
      <c r="C1033" s="31" t="s">
        <v>521</v>
      </c>
      <c r="D1033" s="31" t="s">
        <v>2162</v>
      </c>
      <c r="E1033" s="28">
        <v>43013</v>
      </c>
      <c r="F1033" s="28">
        <v>43405</v>
      </c>
      <c r="G1033" s="28">
        <v>43769</v>
      </c>
      <c r="H1033" s="29" t="s">
        <v>560</v>
      </c>
      <c r="I1033" s="29" t="s">
        <v>560</v>
      </c>
      <c r="J1033" s="29" t="s">
        <v>1901</v>
      </c>
      <c r="K1033" s="29" t="s">
        <v>1902</v>
      </c>
      <c r="L1033" s="29" t="s">
        <v>2021</v>
      </c>
      <c r="M1033" s="29" t="s">
        <v>2163</v>
      </c>
      <c r="N1033" s="29" t="s">
        <v>2080</v>
      </c>
      <c r="O1033" s="29" t="s">
        <v>590</v>
      </c>
    </row>
    <row r="1034" spans="1:15">
      <c r="A1034" s="25">
        <v>21371</v>
      </c>
      <c r="B1034" s="34" t="s">
        <v>2164</v>
      </c>
      <c r="C1034" s="31" t="s">
        <v>521</v>
      </c>
      <c r="D1034" s="31" t="s">
        <v>2162</v>
      </c>
      <c r="E1034" s="28">
        <v>43013</v>
      </c>
      <c r="F1034" s="28">
        <v>43405</v>
      </c>
      <c r="G1034" s="28">
        <v>43769</v>
      </c>
      <c r="H1034" s="29" t="s">
        <v>560</v>
      </c>
      <c r="I1034" s="29" t="s">
        <v>560</v>
      </c>
      <c r="J1034" s="29" t="s">
        <v>1901</v>
      </c>
      <c r="K1034" s="29" t="s">
        <v>1902</v>
      </c>
      <c r="L1034" s="29" t="s">
        <v>2021</v>
      </c>
      <c r="M1034" s="29" t="s">
        <v>2084</v>
      </c>
      <c r="N1034" s="29" t="s">
        <v>1434</v>
      </c>
      <c r="O1034" s="29" t="s">
        <v>590</v>
      </c>
    </row>
    <row r="1035" spans="1:15">
      <c r="A1035" s="25">
        <v>21429</v>
      </c>
      <c r="B1035" s="34" t="s">
        <v>2165</v>
      </c>
      <c r="C1035" s="31" t="s">
        <v>521</v>
      </c>
      <c r="D1035" s="31" t="s">
        <v>2166</v>
      </c>
      <c r="E1035" s="28">
        <v>43024</v>
      </c>
      <c r="F1035" s="28">
        <v>43435</v>
      </c>
      <c r="G1035" s="28">
        <v>43799</v>
      </c>
      <c r="H1035" s="29" t="s">
        <v>560</v>
      </c>
      <c r="I1035" s="29" t="s">
        <v>560</v>
      </c>
      <c r="J1035" s="29" t="s">
        <v>1901</v>
      </c>
      <c r="K1035" s="29" t="s">
        <v>1902</v>
      </c>
      <c r="L1035" s="29" t="s">
        <v>2021</v>
      </c>
      <c r="M1035" s="29" t="s">
        <v>2167</v>
      </c>
      <c r="N1035" s="29" t="s">
        <v>1586</v>
      </c>
      <c r="O1035" s="29" t="s">
        <v>590</v>
      </c>
    </row>
    <row r="1036" spans="1:15">
      <c r="A1036" s="25">
        <v>21466</v>
      </c>
      <c r="B1036" s="34" t="s">
        <v>2168</v>
      </c>
      <c r="C1036" s="31" t="s">
        <v>521</v>
      </c>
      <c r="D1036" s="31" t="s">
        <v>2166</v>
      </c>
      <c r="E1036" s="28">
        <v>43024</v>
      </c>
      <c r="F1036" s="28">
        <v>43435</v>
      </c>
      <c r="G1036" s="28">
        <v>43799</v>
      </c>
      <c r="H1036" s="29" t="s">
        <v>560</v>
      </c>
      <c r="I1036" s="29" t="s">
        <v>560</v>
      </c>
      <c r="J1036" s="29" t="s">
        <v>1901</v>
      </c>
      <c r="K1036" s="29" t="s">
        <v>1902</v>
      </c>
      <c r="L1036" s="29" t="s">
        <v>2021</v>
      </c>
      <c r="M1036" s="29" t="s">
        <v>2028</v>
      </c>
      <c r="N1036" s="29" t="s">
        <v>1434</v>
      </c>
      <c r="O1036" s="29" t="s">
        <v>590</v>
      </c>
    </row>
    <row r="1037" spans="1:15">
      <c r="A1037" s="25">
        <v>21514</v>
      </c>
      <c r="B1037" s="34" t="s">
        <v>2169</v>
      </c>
      <c r="C1037" s="31" t="s">
        <v>521</v>
      </c>
      <c r="D1037" s="31" t="s">
        <v>1760</v>
      </c>
      <c r="E1037" s="28">
        <v>43045</v>
      </c>
      <c r="F1037" s="28">
        <v>43435</v>
      </c>
      <c r="G1037" s="28">
        <v>43799</v>
      </c>
      <c r="H1037" s="29" t="s">
        <v>560</v>
      </c>
      <c r="I1037" s="29" t="s">
        <v>560</v>
      </c>
      <c r="J1037" s="29" t="s">
        <v>1901</v>
      </c>
      <c r="K1037" s="29" t="s">
        <v>1902</v>
      </c>
      <c r="L1037" s="29" t="s">
        <v>2021</v>
      </c>
      <c r="M1037" s="29" t="s">
        <v>2070</v>
      </c>
      <c r="N1037" s="29" t="s">
        <v>1434</v>
      </c>
      <c r="O1037" s="29" t="s">
        <v>590</v>
      </c>
    </row>
    <row r="1038" spans="1:15">
      <c r="A1038" s="25">
        <v>21530</v>
      </c>
      <c r="B1038" s="34" t="s">
        <v>2170</v>
      </c>
      <c r="C1038" s="31" t="s">
        <v>521</v>
      </c>
      <c r="D1038" s="31" t="s">
        <v>1760</v>
      </c>
      <c r="E1038" s="28">
        <v>43045</v>
      </c>
      <c r="F1038" s="28">
        <v>43435</v>
      </c>
      <c r="G1038" s="28">
        <v>43799</v>
      </c>
      <c r="H1038" s="29" t="s">
        <v>560</v>
      </c>
      <c r="I1038" s="29" t="s">
        <v>560</v>
      </c>
      <c r="J1038" s="29" t="s">
        <v>1901</v>
      </c>
      <c r="K1038" s="29" t="s">
        <v>1902</v>
      </c>
      <c r="L1038" s="29" t="s">
        <v>2021</v>
      </c>
      <c r="M1038" s="29" t="s">
        <v>2171</v>
      </c>
      <c r="N1038" s="29" t="s">
        <v>2023</v>
      </c>
      <c r="O1038" s="29" t="s">
        <v>590</v>
      </c>
    </row>
    <row r="1039" spans="1:15">
      <c r="A1039" s="25">
        <v>21578</v>
      </c>
      <c r="B1039" s="34" t="s">
        <v>2172</v>
      </c>
      <c r="C1039" s="31" t="s">
        <v>521</v>
      </c>
      <c r="D1039" s="31" t="s">
        <v>1603</v>
      </c>
      <c r="E1039" s="28">
        <v>43048</v>
      </c>
      <c r="F1039" s="28">
        <v>43435</v>
      </c>
      <c r="G1039" s="28">
        <v>43799</v>
      </c>
      <c r="H1039" s="29" t="s">
        <v>560</v>
      </c>
      <c r="I1039" s="29" t="s">
        <v>560</v>
      </c>
      <c r="J1039" s="29" t="s">
        <v>1901</v>
      </c>
      <c r="K1039" s="29" t="s">
        <v>1902</v>
      </c>
      <c r="L1039" s="29" t="s">
        <v>2021</v>
      </c>
      <c r="M1039" s="29" t="s">
        <v>2040</v>
      </c>
      <c r="N1039" s="29" t="s">
        <v>2041</v>
      </c>
      <c r="O1039" s="29" t="s">
        <v>590</v>
      </c>
    </row>
    <row r="1040" spans="1:15">
      <c r="A1040" s="25">
        <v>21785</v>
      </c>
      <c r="B1040" s="34" t="s">
        <v>2173</v>
      </c>
      <c r="C1040" s="31" t="s">
        <v>521</v>
      </c>
      <c r="D1040" s="31" t="s">
        <v>1609</v>
      </c>
      <c r="E1040" s="28">
        <v>43090</v>
      </c>
      <c r="F1040" s="28">
        <v>43121</v>
      </c>
      <c r="G1040" s="28">
        <v>43496</v>
      </c>
      <c r="H1040" s="29" t="s">
        <v>560</v>
      </c>
      <c r="I1040" s="29" t="s">
        <v>560</v>
      </c>
      <c r="J1040" s="29" t="s">
        <v>1901</v>
      </c>
      <c r="K1040" s="29" t="s">
        <v>1902</v>
      </c>
      <c r="L1040" s="29" t="s">
        <v>2021</v>
      </c>
      <c r="M1040" s="29" t="s">
        <v>2174</v>
      </c>
      <c r="N1040" s="29" t="s">
        <v>2023</v>
      </c>
      <c r="O1040" s="29" t="s">
        <v>590</v>
      </c>
    </row>
    <row r="1041" spans="1:15">
      <c r="A1041" s="25">
        <v>21842</v>
      </c>
      <c r="B1041" s="34" t="s">
        <v>2175</v>
      </c>
      <c r="C1041" s="31" t="s">
        <v>521</v>
      </c>
      <c r="D1041" s="31" t="s">
        <v>732</v>
      </c>
      <c r="E1041" s="28">
        <v>43098</v>
      </c>
      <c r="F1041" s="28">
        <v>43129</v>
      </c>
      <c r="G1041" s="28">
        <v>43496</v>
      </c>
      <c r="H1041" s="29" t="s">
        <v>560</v>
      </c>
      <c r="I1041" s="29" t="s">
        <v>560</v>
      </c>
      <c r="J1041" s="29" t="s">
        <v>1901</v>
      </c>
      <c r="K1041" s="29" t="s">
        <v>1902</v>
      </c>
      <c r="L1041" s="29" t="s">
        <v>2021</v>
      </c>
      <c r="M1041" s="29" t="s">
        <v>2087</v>
      </c>
      <c r="N1041" s="29" t="s">
        <v>1434</v>
      </c>
      <c r="O1041" s="29" t="s">
        <v>590</v>
      </c>
    </row>
    <row r="1042" spans="1:15">
      <c r="A1042" s="25">
        <v>21916</v>
      </c>
      <c r="B1042" s="34" t="s">
        <v>2176</v>
      </c>
      <c r="C1042" s="31" t="s">
        <v>521</v>
      </c>
      <c r="D1042" s="31" t="s">
        <v>1061</v>
      </c>
      <c r="E1042" s="28">
        <v>43108</v>
      </c>
      <c r="F1042" s="28">
        <v>43139</v>
      </c>
      <c r="G1042" s="28">
        <v>43496</v>
      </c>
      <c r="H1042" s="29" t="s">
        <v>560</v>
      </c>
      <c r="I1042" s="29" t="s">
        <v>560</v>
      </c>
      <c r="J1042" s="29" t="s">
        <v>1901</v>
      </c>
      <c r="K1042" s="29" t="s">
        <v>1902</v>
      </c>
      <c r="L1042" s="29" t="s">
        <v>2021</v>
      </c>
      <c r="M1042" s="29" t="s">
        <v>2085</v>
      </c>
      <c r="N1042" s="29" t="s">
        <v>1434</v>
      </c>
      <c r="O1042" s="29" t="s">
        <v>590</v>
      </c>
    </row>
    <row r="1043" spans="1:15">
      <c r="A1043" s="25">
        <v>22059</v>
      </c>
      <c r="B1043" s="34" t="s">
        <v>2177</v>
      </c>
      <c r="C1043" s="31" t="s">
        <v>521</v>
      </c>
      <c r="D1043" s="31" t="s">
        <v>631</v>
      </c>
      <c r="E1043" s="28">
        <v>43144</v>
      </c>
      <c r="F1043" s="28">
        <v>43172</v>
      </c>
      <c r="G1043" s="28">
        <v>43524</v>
      </c>
      <c r="H1043" s="29" t="s">
        <v>560</v>
      </c>
      <c r="I1043" s="29" t="s">
        <v>560</v>
      </c>
      <c r="J1043" s="29" t="s">
        <v>1901</v>
      </c>
      <c r="K1043" s="29" t="s">
        <v>1902</v>
      </c>
      <c r="L1043" s="29" t="s">
        <v>2021</v>
      </c>
      <c r="M1043" s="29" t="s">
        <v>2089</v>
      </c>
      <c r="N1043" s="29" t="s">
        <v>2090</v>
      </c>
      <c r="O1043" s="29" t="s">
        <v>590</v>
      </c>
    </row>
    <row r="1044" spans="1:15">
      <c r="A1044" s="25">
        <v>22074</v>
      </c>
      <c r="B1044" s="34" t="s">
        <v>2178</v>
      </c>
      <c r="C1044" s="31" t="s">
        <v>521</v>
      </c>
      <c r="D1044" s="31" t="s">
        <v>769</v>
      </c>
      <c r="E1044" s="28">
        <v>43150</v>
      </c>
      <c r="F1044" s="28">
        <v>43178</v>
      </c>
      <c r="G1044" s="28">
        <v>43555</v>
      </c>
      <c r="H1044" s="29" t="s">
        <v>560</v>
      </c>
      <c r="I1044" s="29" t="s">
        <v>560</v>
      </c>
      <c r="J1044" s="29" t="s">
        <v>1901</v>
      </c>
      <c r="K1044" s="29" t="s">
        <v>1902</v>
      </c>
      <c r="L1044" s="29" t="s">
        <v>2021</v>
      </c>
      <c r="M1044" s="29" t="s">
        <v>2043</v>
      </c>
      <c r="N1044" s="29" t="s">
        <v>2041</v>
      </c>
      <c r="O1044" s="29" t="s">
        <v>590</v>
      </c>
    </row>
    <row r="1045" spans="1:15">
      <c r="A1045" s="25">
        <v>22079</v>
      </c>
      <c r="B1045" s="34" t="s">
        <v>2179</v>
      </c>
      <c r="C1045" s="31" t="s">
        <v>521</v>
      </c>
      <c r="D1045" s="31" t="s">
        <v>769</v>
      </c>
      <c r="E1045" s="28">
        <v>43150</v>
      </c>
      <c r="F1045" s="28">
        <v>43178</v>
      </c>
      <c r="G1045" s="28">
        <v>43555</v>
      </c>
      <c r="H1045" s="29" t="s">
        <v>560</v>
      </c>
      <c r="I1045" s="29" t="s">
        <v>560</v>
      </c>
      <c r="J1045" s="29" t="s">
        <v>1901</v>
      </c>
      <c r="K1045" s="29" t="s">
        <v>1902</v>
      </c>
      <c r="L1045" s="29" t="s">
        <v>2021</v>
      </c>
      <c r="M1045" s="29" t="s">
        <v>2118</v>
      </c>
      <c r="N1045" s="29" t="s">
        <v>2041</v>
      </c>
      <c r="O1045" s="29" t="s">
        <v>590</v>
      </c>
    </row>
    <row r="1046" spans="1:15">
      <c r="A1046" s="25">
        <v>22089</v>
      </c>
      <c r="B1046" s="34" t="s">
        <v>2180</v>
      </c>
      <c r="C1046" s="31" t="s">
        <v>521</v>
      </c>
      <c r="D1046" s="31" t="s">
        <v>769</v>
      </c>
      <c r="E1046" s="28">
        <v>43150</v>
      </c>
      <c r="F1046" s="28">
        <v>43178</v>
      </c>
      <c r="G1046" s="28">
        <v>43555</v>
      </c>
      <c r="H1046" s="29" t="s">
        <v>560</v>
      </c>
      <c r="I1046" s="29" t="s">
        <v>560</v>
      </c>
      <c r="J1046" s="29" t="s">
        <v>1901</v>
      </c>
      <c r="K1046" s="29" t="s">
        <v>1902</v>
      </c>
      <c r="L1046" s="29" t="s">
        <v>2021</v>
      </c>
      <c r="M1046" s="29" t="s">
        <v>2181</v>
      </c>
      <c r="N1046" s="29" t="s">
        <v>2080</v>
      </c>
      <c r="O1046" s="29" t="s">
        <v>590</v>
      </c>
    </row>
    <row r="1047" spans="1:15">
      <c r="A1047" s="25">
        <v>22207</v>
      </c>
      <c r="B1047" s="34" t="s">
        <v>2182</v>
      </c>
      <c r="C1047" s="31" t="s">
        <v>521</v>
      </c>
      <c r="D1047" s="31" t="s">
        <v>1201</v>
      </c>
      <c r="E1047" s="28">
        <v>43158</v>
      </c>
      <c r="F1047" s="28">
        <v>43186</v>
      </c>
      <c r="G1047" s="28">
        <v>43555</v>
      </c>
      <c r="H1047" s="29" t="s">
        <v>560</v>
      </c>
      <c r="I1047" s="29" t="s">
        <v>560</v>
      </c>
      <c r="J1047" s="29" t="s">
        <v>1901</v>
      </c>
      <c r="K1047" s="29" t="s">
        <v>1902</v>
      </c>
      <c r="L1047" s="29" t="s">
        <v>2021</v>
      </c>
      <c r="M1047" s="29" t="s">
        <v>2183</v>
      </c>
      <c r="N1047" s="29" t="s">
        <v>1434</v>
      </c>
      <c r="O1047" s="29" t="s">
        <v>590</v>
      </c>
    </row>
    <row r="1048" spans="1:15">
      <c r="A1048" s="25">
        <v>22211</v>
      </c>
      <c r="B1048" s="34" t="s">
        <v>2184</v>
      </c>
      <c r="C1048" s="31" t="s">
        <v>521</v>
      </c>
      <c r="D1048" s="31" t="s">
        <v>1201</v>
      </c>
      <c r="E1048" s="28">
        <v>43158</v>
      </c>
      <c r="F1048" s="28">
        <v>43186</v>
      </c>
      <c r="G1048" s="28">
        <v>43555</v>
      </c>
      <c r="H1048" s="29" t="s">
        <v>560</v>
      </c>
      <c r="I1048" s="29" t="s">
        <v>560</v>
      </c>
      <c r="J1048" s="29" t="s">
        <v>1901</v>
      </c>
      <c r="K1048" s="29" t="s">
        <v>1902</v>
      </c>
      <c r="L1048" s="29" t="s">
        <v>2021</v>
      </c>
      <c r="M1048" s="29" t="s">
        <v>2059</v>
      </c>
      <c r="N1048" s="29" t="s">
        <v>1434</v>
      </c>
      <c r="O1048" s="29" t="s">
        <v>590</v>
      </c>
    </row>
    <row r="1049" spans="1:15">
      <c r="A1049" s="25">
        <v>22246</v>
      </c>
      <c r="B1049" s="34" t="s">
        <v>2185</v>
      </c>
      <c r="C1049" s="31" t="s">
        <v>521</v>
      </c>
      <c r="D1049" s="31" t="s">
        <v>1796</v>
      </c>
      <c r="E1049" s="28">
        <v>43161</v>
      </c>
      <c r="F1049" s="28">
        <v>43192</v>
      </c>
      <c r="G1049" s="28">
        <v>43555</v>
      </c>
      <c r="H1049" s="29" t="s">
        <v>560</v>
      </c>
      <c r="I1049" s="29" t="s">
        <v>560</v>
      </c>
      <c r="J1049" s="29" t="s">
        <v>1901</v>
      </c>
      <c r="K1049" s="29" t="s">
        <v>1902</v>
      </c>
      <c r="L1049" s="29" t="s">
        <v>2021</v>
      </c>
      <c r="M1049" s="29" t="s">
        <v>2022</v>
      </c>
      <c r="N1049" s="29" t="s">
        <v>2023</v>
      </c>
      <c r="O1049" s="29" t="s">
        <v>590</v>
      </c>
    </row>
    <row r="1050" spans="1:15">
      <c r="A1050" s="25">
        <v>22367</v>
      </c>
      <c r="B1050" s="34" t="s">
        <v>2186</v>
      </c>
      <c r="C1050" s="31" t="s">
        <v>521</v>
      </c>
      <c r="D1050" s="31" t="s">
        <v>805</v>
      </c>
      <c r="E1050" s="28">
        <v>43213</v>
      </c>
      <c r="F1050" s="28">
        <v>43243</v>
      </c>
      <c r="G1050" s="28">
        <v>43616</v>
      </c>
      <c r="H1050" s="29" t="s">
        <v>560</v>
      </c>
      <c r="I1050" s="29" t="s">
        <v>560</v>
      </c>
      <c r="J1050" s="29" t="s">
        <v>1901</v>
      </c>
      <c r="K1050" s="29" t="s">
        <v>1902</v>
      </c>
      <c r="L1050" s="29" t="s">
        <v>2021</v>
      </c>
      <c r="M1050" s="29" t="s">
        <v>2187</v>
      </c>
      <c r="N1050" s="29" t="s">
        <v>2023</v>
      </c>
      <c r="O1050" s="29" t="s">
        <v>590</v>
      </c>
    </row>
    <row r="1051" spans="1:15">
      <c r="A1051" s="25">
        <v>22415</v>
      </c>
      <c r="B1051" s="34" t="s">
        <v>2188</v>
      </c>
      <c r="C1051" s="31" t="s">
        <v>521</v>
      </c>
      <c r="D1051" s="31" t="s">
        <v>805</v>
      </c>
      <c r="E1051" s="28">
        <v>43213</v>
      </c>
      <c r="F1051" s="28">
        <v>43243</v>
      </c>
      <c r="G1051" s="28">
        <v>43616</v>
      </c>
      <c r="H1051" s="29" t="s">
        <v>560</v>
      </c>
      <c r="I1051" s="29" t="s">
        <v>560</v>
      </c>
      <c r="J1051" s="29" t="s">
        <v>1901</v>
      </c>
      <c r="K1051" s="29" t="s">
        <v>1902</v>
      </c>
      <c r="L1051" s="29" t="s">
        <v>2021</v>
      </c>
      <c r="M1051" s="29" t="s">
        <v>2189</v>
      </c>
      <c r="N1051" s="29" t="s">
        <v>1586</v>
      </c>
      <c r="O1051" s="29" t="s">
        <v>590</v>
      </c>
    </row>
    <row r="1052" spans="1:15">
      <c r="A1052" s="25">
        <v>22452</v>
      </c>
      <c r="B1052" s="34" t="s">
        <v>2190</v>
      </c>
      <c r="C1052" s="31" t="s">
        <v>521</v>
      </c>
      <c r="D1052" s="31" t="s">
        <v>1577</v>
      </c>
      <c r="E1052" s="28">
        <v>43220</v>
      </c>
      <c r="F1052" s="28">
        <v>43250</v>
      </c>
      <c r="G1052" s="28">
        <v>43616</v>
      </c>
      <c r="H1052" s="29" t="s">
        <v>560</v>
      </c>
      <c r="I1052" s="29" t="s">
        <v>560</v>
      </c>
      <c r="J1052" s="29" t="s">
        <v>1901</v>
      </c>
      <c r="K1052" s="29" t="s">
        <v>1902</v>
      </c>
      <c r="L1052" s="29" t="s">
        <v>2021</v>
      </c>
      <c r="M1052" s="29" t="s">
        <v>2077</v>
      </c>
      <c r="N1052" s="29" t="s">
        <v>2077</v>
      </c>
      <c r="O1052" s="29" t="s">
        <v>590</v>
      </c>
    </row>
    <row r="1053" spans="1:15">
      <c r="A1053" s="25">
        <v>22563</v>
      </c>
      <c r="B1053" s="34" t="s">
        <v>2191</v>
      </c>
      <c r="C1053" s="31" t="s">
        <v>521</v>
      </c>
      <c r="D1053" s="31" t="s">
        <v>773</v>
      </c>
      <c r="E1053" s="28">
        <v>43224</v>
      </c>
      <c r="F1053" s="28">
        <v>43255</v>
      </c>
      <c r="G1053" s="28">
        <v>43616</v>
      </c>
      <c r="H1053" s="29" t="s">
        <v>560</v>
      </c>
      <c r="I1053" s="29" t="s">
        <v>560</v>
      </c>
      <c r="J1053" s="29" t="s">
        <v>1901</v>
      </c>
      <c r="K1053" s="29" t="s">
        <v>1902</v>
      </c>
      <c r="L1053" s="29" t="s">
        <v>2021</v>
      </c>
      <c r="M1053" s="29" t="s">
        <v>2192</v>
      </c>
      <c r="N1053" s="29" t="s">
        <v>2031</v>
      </c>
      <c r="O1053" s="29" t="s">
        <v>590</v>
      </c>
    </row>
    <row r="1054" spans="1:15">
      <c r="A1054" s="25">
        <v>22623</v>
      </c>
      <c r="B1054" s="34" t="s">
        <v>2193</v>
      </c>
      <c r="C1054" s="31" t="s">
        <v>521</v>
      </c>
      <c r="D1054" s="31" t="s">
        <v>745</v>
      </c>
      <c r="E1054" s="28">
        <v>43236</v>
      </c>
      <c r="F1054" s="28">
        <v>43267</v>
      </c>
      <c r="G1054" s="28">
        <v>43646</v>
      </c>
      <c r="H1054" s="29" t="s">
        <v>560</v>
      </c>
      <c r="I1054" s="29" t="s">
        <v>560</v>
      </c>
      <c r="J1054" s="29" t="s">
        <v>1901</v>
      </c>
      <c r="K1054" s="29" t="s">
        <v>1902</v>
      </c>
      <c r="L1054" s="29" t="s">
        <v>2021</v>
      </c>
      <c r="M1054" s="29" t="s">
        <v>2194</v>
      </c>
      <c r="N1054" s="29" t="s">
        <v>1586</v>
      </c>
      <c r="O1054" s="29" t="s">
        <v>590</v>
      </c>
    </row>
    <row r="1055" spans="1:15">
      <c r="A1055" s="25">
        <v>22651</v>
      </c>
      <c r="B1055" s="34" t="s">
        <v>2195</v>
      </c>
      <c r="C1055" s="31" t="s">
        <v>521</v>
      </c>
      <c r="D1055" s="31" t="s">
        <v>1199</v>
      </c>
      <c r="E1055" s="28">
        <v>43241</v>
      </c>
      <c r="F1055" s="28">
        <v>43272</v>
      </c>
      <c r="G1055" s="28">
        <v>43646</v>
      </c>
      <c r="H1055" s="29" t="s">
        <v>560</v>
      </c>
      <c r="I1055" s="29" t="s">
        <v>560</v>
      </c>
      <c r="J1055" s="29" t="s">
        <v>1901</v>
      </c>
      <c r="K1055" s="29" t="s">
        <v>1902</v>
      </c>
      <c r="L1055" s="29" t="s">
        <v>2021</v>
      </c>
      <c r="M1055" s="29" t="s">
        <v>2110</v>
      </c>
      <c r="N1055" s="29" t="s">
        <v>1434</v>
      </c>
      <c r="O1055" s="29" t="s">
        <v>590</v>
      </c>
    </row>
    <row r="1056" spans="1:15">
      <c r="A1056" s="25">
        <v>22689</v>
      </c>
      <c r="B1056" s="34" t="s">
        <v>2196</v>
      </c>
      <c r="C1056" s="31" t="s">
        <v>521</v>
      </c>
      <c r="D1056" s="31" t="s">
        <v>1195</v>
      </c>
      <c r="E1056" s="28">
        <v>43244</v>
      </c>
      <c r="F1056" s="28">
        <v>43275</v>
      </c>
      <c r="G1056" s="28">
        <v>43646</v>
      </c>
      <c r="H1056" s="29" t="s">
        <v>560</v>
      </c>
      <c r="I1056" s="29" t="s">
        <v>560</v>
      </c>
      <c r="J1056" s="29" t="s">
        <v>1901</v>
      </c>
      <c r="K1056" s="29" t="s">
        <v>1902</v>
      </c>
      <c r="L1056" s="29" t="s">
        <v>2021</v>
      </c>
      <c r="M1056" s="29" t="s">
        <v>2197</v>
      </c>
      <c r="N1056" s="29" t="s">
        <v>2031</v>
      </c>
      <c r="O1056" s="29" t="s">
        <v>590</v>
      </c>
    </row>
    <row r="1057" spans="1:15">
      <c r="A1057" s="25">
        <v>22764</v>
      </c>
      <c r="B1057" s="34" t="s">
        <v>2198</v>
      </c>
      <c r="C1057" s="31" t="s">
        <v>521</v>
      </c>
      <c r="D1057" s="31" t="s">
        <v>771</v>
      </c>
      <c r="E1057" s="28">
        <v>43255</v>
      </c>
      <c r="F1057" s="28">
        <v>43285</v>
      </c>
      <c r="G1057" s="28">
        <v>43646</v>
      </c>
      <c r="H1057" s="29" t="s">
        <v>560</v>
      </c>
      <c r="I1057" s="29" t="s">
        <v>560</v>
      </c>
      <c r="J1057" s="29" t="s">
        <v>1901</v>
      </c>
      <c r="K1057" s="29" t="s">
        <v>1902</v>
      </c>
      <c r="L1057" s="29" t="s">
        <v>2021</v>
      </c>
      <c r="M1057" s="29" t="s">
        <v>2199</v>
      </c>
      <c r="N1057" s="29" t="s">
        <v>2023</v>
      </c>
      <c r="O1057" s="29" t="s">
        <v>590</v>
      </c>
    </row>
    <row r="1058" spans="1:15">
      <c r="A1058" s="25">
        <v>22936</v>
      </c>
      <c r="B1058" s="34" t="s">
        <v>2200</v>
      </c>
      <c r="C1058" s="31" t="s">
        <v>521</v>
      </c>
      <c r="D1058" s="31" t="s">
        <v>1962</v>
      </c>
      <c r="E1058" s="28">
        <v>43343</v>
      </c>
      <c r="F1058" s="28">
        <v>43374</v>
      </c>
      <c r="G1058" s="28">
        <v>43738</v>
      </c>
      <c r="H1058" s="29" t="s">
        <v>560</v>
      </c>
      <c r="I1058" s="29" t="s">
        <v>560</v>
      </c>
      <c r="J1058" s="29" t="s">
        <v>1901</v>
      </c>
      <c r="K1058" s="29" t="s">
        <v>1902</v>
      </c>
      <c r="L1058" s="29" t="s">
        <v>2021</v>
      </c>
      <c r="M1058" s="29" t="s">
        <v>2104</v>
      </c>
      <c r="N1058" s="29" t="s">
        <v>1434</v>
      </c>
      <c r="O1058" s="29" t="s">
        <v>590</v>
      </c>
    </row>
    <row r="1059" spans="1:15">
      <c r="A1059" s="25">
        <v>23206</v>
      </c>
      <c r="B1059" s="34" t="s">
        <v>2201</v>
      </c>
      <c r="C1059" s="31" t="s">
        <v>521</v>
      </c>
      <c r="D1059" s="31" t="s">
        <v>1582</v>
      </c>
      <c r="E1059" s="28">
        <v>43421</v>
      </c>
      <c r="F1059" s="28">
        <v>43451</v>
      </c>
      <c r="G1059" s="28">
        <v>43830</v>
      </c>
      <c r="H1059" s="29" t="s">
        <v>560</v>
      </c>
      <c r="I1059" s="29" t="s">
        <v>560</v>
      </c>
      <c r="J1059" s="29" t="s">
        <v>1901</v>
      </c>
      <c r="K1059" s="29" t="s">
        <v>1902</v>
      </c>
      <c r="L1059" s="29" t="s">
        <v>2021</v>
      </c>
      <c r="M1059" s="29" t="s">
        <v>2057</v>
      </c>
      <c r="N1059" s="29" t="s">
        <v>2041</v>
      </c>
      <c r="O1059" s="29" t="s">
        <v>590</v>
      </c>
    </row>
    <row r="1060" spans="1:15">
      <c r="A1060" s="25">
        <v>23314</v>
      </c>
      <c r="B1060" s="34" t="s">
        <v>2202</v>
      </c>
      <c r="C1060" s="31" t="s">
        <v>521</v>
      </c>
      <c r="D1060" s="31" t="s">
        <v>1527</v>
      </c>
      <c r="E1060" s="28">
        <v>43427</v>
      </c>
      <c r="F1060" s="28">
        <v>43457</v>
      </c>
      <c r="G1060" s="28">
        <v>43830</v>
      </c>
      <c r="H1060" s="29" t="s">
        <v>560</v>
      </c>
      <c r="I1060" s="29" t="s">
        <v>560</v>
      </c>
      <c r="J1060" s="29" t="s">
        <v>1901</v>
      </c>
      <c r="K1060" s="29" t="s">
        <v>1902</v>
      </c>
      <c r="L1060" s="29" t="s">
        <v>2021</v>
      </c>
      <c r="M1060" s="29" t="s">
        <v>2074</v>
      </c>
      <c r="N1060" s="29" t="s">
        <v>1434</v>
      </c>
      <c r="O1060" s="29" t="s">
        <v>590</v>
      </c>
    </row>
    <row r="1061" spans="1:15">
      <c r="A1061" s="25">
        <v>23459</v>
      </c>
      <c r="B1061" s="34" t="s">
        <v>2203</v>
      </c>
      <c r="C1061" s="31" t="s">
        <v>521</v>
      </c>
      <c r="D1061" s="31" t="s">
        <v>882</v>
      </c>
      <c r="E1061" s="28">
        <v>43434</v>
      </c>
      <c r="F1061" s="28">
        <v>43464</v>
      </c>
      <c r="G1061" s="28">
        <v>43830</v>
      </c>
      <c r="H1061" s="29" t="s">
        <v>560</v>
      </c>
      <c r="I1061" s="29" t="s">
        <v>560</v>
      </c>
      <c r="J1061" s="29" t="s">
        <v>1901</v>
      </c>
      <c r="K1061" s="29" t="s">
        <v>1902</v>
      </c>
      <c r="L1061" s="29" t="s">
        <v>2021</v>
      </c>
      <c r="M1061" s="29" t="s">
        <v>2077</v>
      </c>
      <c r="N1061" s="29" t="s">
        <v>2077</v>
      </c>
      <c r="O1061" s="29" t="s">
        <v>590</v>
      </c>
    </row>
    <row r="1062" spans="1:15">
      <c r="A1062" s="25">
        <v>23473</v>
      </c>
      <c r="B1062" s="34" t="s">
        <v>2204</v>
      </c>
      <c r="C1062" s="31" t="s">
        <v>521</v>
      </c>
      <c r="D1062" s="31" t="s">
        <v>882</v>
      </c>
      <c r="E1062" s="28">
        <v>43434</v>
      </c>
      <c r="F1062" s="28">
        <v>43464</v>
      </c>
      <c r="G1062" s="28">
        <v>43830</v>
      </c>
      <c r="H1062" s="29" t="s">
        <v>560</v>
      </c>
      <c r="I1062" s="29" t="s">
        <v>560</v>
      </c>
      <c r="J1062" s="29" t="s">
        <v>1901</v>
      </c>
      <c r="K1062" s="29" t="s">
        <v>1902</v>
      </c>
      <c r="L1062" s="29" t="s">
        <v>2021</v>
      </c>
      <c r="M1062" s="29" t="s">
        <v>2063</v>
      </c>
      <c r="N1062" s="29" t="s">
        <v>2041</v>
      </c>
      <c r="O1062" s="29" t="s">
        <v>590</v>
      </c>
    </row>
    <row r="1063" spans="1:15">
      <c r="A1063" s="25">
        <v>23474</v>
      </c>
      <c r="B1063" s="34" t="s">
        <v>2205</v>
      </c>
      <c r="C1063" s="31" t="s">
        <v>521</v>
      </c>
      <c r="D1063" s="31" t="s">
        <v>882</v>
      </c>
      <c r="E1063" s="28">
        <v>43434</v>
      </c>
      <c r="F1063" s="28">
        <v>43464</v>
      </c>
      <c r="G1063" s="28">
        <v>43830</v>
      </c>
      <c r="H1063" s="29" t="s">
        <v>560</v>
      </c>
      <c r="I1063" s="29" t="s">
        <v>560</v>
      </c>
      <c r="J1063" s="29" t="s">
        <v>1901</v>
      </c>
      <c r="K1063" s="29" t="s">
        <v>1902</v>
      </c>
      <c r="L1063" s="29" t="s">
        <v>2021</v>
      </c>
      <c r="M1063" s="29" t="s">
        <v>2206</v>
      </c>
      <c r="N1063" s="29" t="s">
        <v>1586</v>
      </c>
      <c r="O1063" s="29" t="s">
        <v>590</v>
      </c>
    </row>
    <row r="1064" spans="1:15">
      <c r="A1064" s="25">
        <v>1126</v>
      </c>
      <c r="B1064" s="26" t="s">
        <v>2207</v>
      </c>
      <c r="C1064" s="27" t="s">
        <v>521</v>
      </c>
      <c r="D1064" s="27" t="s">
        <v>1247</v>
      </c>
      <c r="E1064" s="28">
        <v>37900</v>
      </c>
      <c r="F1064" s="28" t="s">
        <v>35</v>
      </c>
      <c r="G1064" s="28" t="s">
        <v>35</v>
      </c>
      <c r="H1064" s="27" t="s">
        <v>560</v>
      </c>
      <c r="I1064" s="27" t="s">
        <v>560</v>
      </c>
      <c r="J1064" s="27" t="s">
        <v>2208</v>
      </c>
      <c r="K1064" s="27" t="s">
        <v>2209</v>
      </c>
      <c r="L1064" s="29" t="s">
        <v>2210</v>
      </c>
      <c r="M1064" s="29" t="s">
        <v>1550</v>
      </c>
      <c r="N1064" s="29" t="s">
        <v>1045</v>
      </c>
      <c r="O1064" s="29" t="s">
        <v>594</v>
      </c>
    </row>
    <row r="1065" spans="1:15">
      <c r="A1065" s="25">
        <v>8643</v>
      </c>
      <c r="B1065" s="26" t="s">
        <v>2211</v>
      </c>
      <c r="C1065" s="27" t="s">
        <v>521</v>
      </c>
      <c r="D1065" s="27" t="s">
        <v>1493</v>
      </c>
      <c r="E1065" s="28">
        <v>39878</v>
      </c>
      <c r="F1065" s="28" t="s">
        <v>35</v>
      </c>
      <c r="G1065" s="28" t="s">
        <v>35</v>
      </c>
      <c r="H1065" s="27" t="s">
        <v>560</v>
      </c>
      <c r="I1065" s="27" t="s">
        <v>560</v>
      </c>
      <c r="J1065" s="27" t="s">
        <v>2208</v>
      </c>
      <c r="K1065" s="27" t="s">
        <v>2209</v>
      </c>
      <c r="L1065" s="29" t="s">
        <v>2210</v>
      </c>
      <c r="M1065" s="29" t="s">
        <v>2025</v>
      </c>
      <c r="N1065" s="29" t="s">
        <v>2026</v>
      </c>
      <c r="O1065" s="29" t="s">
        <v>594</v>
      </c>
    </row>
    <row r="1066" spans="1:15">
      <c r="A1066" s="25">
        <v>9455</v>
      </c>
      <c r="B1066" s="26" t="s">
        <v>2212</v>
      </c>
      <c r="C1066" s="27" t="s">
        <v>521</v>
      </c>
      <c r="D1066" s="27" t="s">
        <v>658</v>
      </c>
      <c r="E1066" s="28">
        <v>40148</v>
      </c>
      <c r="F1066" s="28" t="s">
        <v>35</v>
      </c>
      <c r="G1066" s="28" t="s">
        <v>35</v>
      </c>
      <c r="H1066" s="29" t="s">
        <v>560</v>
      </c>
      <c r="I1066" s="29" t="s">
        <v>560</v>
      </c>
      <c r="J1066" s="29" t="s">
        <v>2208</v>
      </c>
      <c r="K1066" s="29" t="s">
        <v>2209</v>
      </c>
      <c r="L1066" s="29" t="s">
        <v>2210</v>
      </c>
      <c r="M1066" s="29" t="s">
        <v>2030</v>
      </c>
      <c r="N1066" s="29" t="s">
        <v>2031</v>
      </c>
      <c r="O1066" s="29" t="s">
        <v>594</v>
      </c>
    </row>
    <row r="1067" spans="1:15">
      <c r="A1067" s="25">
        <v>9618</v>
      </c>
      <c r="B1067" s="26" t="s">
        <v>2213</v>
      </c>
      <c r="C1067" s="27" t="s">
        <v>521</v>
      </c>
      <c r="D1067" s="27" t="s">
        <v>1598</v>
      </c>
      <c r="E1067" s="28">
        <v>40179</v>
      </c>
      <c r="F1067" s="28" t="s">
        <v>35</v>
      </c>
      <c r="G1067" s="28" t="s">
        <v>35</v>
      </c>
      <c r="H1067" s="27" t="s">
        <v>560</v>
      </c>
      <c r="I1067" s="27" t="s">
        <v>560</v>
      </c>
      <c r="J1067" s="27" t="s">
        <v>2208</v>
      </c>
      <c r="K1067" s="27" t="s">
        <v>2209</v>
      </c>
      <c r="L1067" s="27" t="s">
        <v>2210</v>
      </c>
      <c r="M1067" s="29" t="s">
        <v>2048</v>
      </c>
      <c r="N1067" s="29" t="s">
        <v>1434</v>
      </c>
      <c r="O1067" s="29" t="s">
        <v>594</v>
      </c>
    </row>
    <row r="1068" spans="1:15">
      <c r="A1068" s="25">
        <v>9917</v>
      </c>
      <c r="B1068" s="26" t="s">
        <v>2214</v>
      </c>
      <c r="C1068" s="27" t="s">
        <v>521</v>
      </c>
      <c r="D1068" s="27" t="s">
        <v>803</v>
      </c>
      <c r="E1068" s="28">
        <v>40431</v>
      </c>
      <c r="F1068" s="28" t="s">
        <v>35</v>
      </c>
      <c r="G1068" s="28" t="s">
        <v>35</v>
      </c>
      <c r="H1068" s="27" t="s">
        <v>560</v>
      </c>
      <c r="I1068" s="27" t="s">
        <v>560</v>
      </c>
      <c r="J1068" s="27" t="s">
        <v>2208</v>
      </c>
      <c r="K1068" s="27" t="s">
        <v>2209</v>
      </c>
      <c r="L1068" s="27" t="s">
        <v>2210</v>
      </c>
      <c r="M1068" s="29" t="s">
        <v>2215</v>
      </c>
      <c r="N1068" s="29" t="s">
        <v>1434</v>
      </c>
      <c r="O1068" s="29" t="s">
        <v>594</v>
      </c>
    </row>
    <row r="1069" spans="1:15">
      <c r="A1069" s="25">
        <v>9942</v>
      </c>
      <c r="B1069" s="26" t="s">
        <v>2216</v>
      </c>
      <c r="C1069" s="27" t="s">
        <v>521</v>
      </c>
      <c r="D1069" s="27" t="s">
        <v>803</v>
      </c>
      <c r="E1069" s="28">
        <v>40431</v>
      </c>
      <c r="F1069" s="28" t="s">
        <v>35</v>
      </c>
      <c r="G1069" s="28" t="s">
        <v>35</v>
      </c>
      <c r="H1069" s="27" t="s">
        <v>560</v>
      </c>
      <c r="I1069" s="27" t="s">
        <v>560</v>
      </c>
      <c r="J1069" s="29" t="s">
        <v>2208</v>
      </c>
      <c r="K1069" s="29" t="s">
        <v>2209</v>
      </c>
      <c r="L1069" s="29" t="s">
        <v>2210</v>
      </c>
      <c r="M1069" s="29" t="s">
        <v>2183</v>
      </c>
      <c r="N1069" s="29" t="s">
        <v>1434</v>
      </c>
      <c r="O1069" s="29" t="s">
        <v>594</v>
      </c>
    </row>
    <row r="1070" spans="1:15">
      <c r="A1070" s="25">
        <v>10118</v>
      </c>
      <c r="B1070" s="26" t="s">
        <v>2217</v>
      </c>
      <c r="C1070" s="27" t="s">
        <v>521</v>
      </c>
      <c r="D1070" s="27" t="s">
        <v>601</v>
      </c>
      <c r="E1070" s="28">
        <v>40444</v>
      </c>
      <c r="F1070" s="28" t="s">
        <v>35</v>
      </c>
      <c r="G1070" s="28" t="s">
        <v>35</v>
      </c>
      <c r="H1070" s="27" t="s">
        <v>560</v>
      </c>
      <c r="I1070" s="27" t="s">
        <v>560</v>
      </c>
      <c r="J1070" s="27" t="s">
        <v>2208</v>
      </c>
      <c r="K1070" s="27" t="s">
        <v>2209</v>
      </c>
      <c r="L1070" s="27" t="s">
        <v>2210</v>
      </c>
      <c r="M1070" s="29" t="s">
        <v>2061</v>
      </c>
      <c r="N1070" s="29" t="s">
        <v>2041</v>
      </c>
      <c r="O1070" s="29" t="s">
        <v>594</v>
      </c>
    </row>
    <row r="1071" spans="1:15">
      <c r="A1071" s="25">
        <v>10326</v>
      </c>
      <c r="B1071" s="26" t="s">
        <v>2218</v>
      </c>
      <c r="C1071" s="27" t="s">
        <v>521</v>
      </c>
      <c r="D1071" s="27" t="s">
        <v>825</v>
      </c>
      <c r="E1071" s="28">
        <v>40511</v>
      </c>
      <c r="F1071" s="28" t="s">
        <v>35</v>
      </c>
      <c r="G1071" s="28" t="s">
        <v>35</v>
      </c>
      <c r="H1071" s="27" t="s">
        <v>560</v>
      </c>
      <c r="I1071" s="29" t="s">
        <v>560</v>
      </c>
      <c r="J1071" s="29" t="s">
        <v>2208</v>
      </c>
      <c r="K1071" s="29" t="s">
        <v>2209</v>
      </c>
      <c r="L1071" s="29" t="s">
        <v>2210</v>
      </c>
      <c r="M1071" s="29" t="s">
        <v>2028</v>
      </c>
      <c r="N1071" s="29" t="s">
        <v>1434</v>
      </c>
      <c r="O1071" s="29" t="s">
        <v>594</v>
      </c>
    </row>
    <row r="1072" spans="1:15">
      <c r="A1072" s="25">
        <v>11090</v>
      </c>
      <c r="B1072" s="26" t="s">
        <v>2219</v>
      </c>
      <c r="C1072" s="27" t="s">
        <v>521</v>
      </c>
      <c r="D1072" s="27" t="s">
        <v>1420</v>
      </c>
      <c r="E1072" s="28">
        <v>40595</v>
      </c>
      <c r="F1072" s="28" t="s">
        <v>35</v>
      </c>
      <c r="G1072" s="28" t="s">
        <v>35</v>
      </c>
      <c r="H1072" s="27" t="s">
        <v>560</v>
      </c>
      <c r="I1072" s="27" t="s">
        <v>560</v>
      </c>
      <c r="J1072" s="27" t="s">
        <v>2208</v>
      </c>
      <c r="K1072" s="27" t="s">
        <v>2209</v>
      </c>
      <c r="L1072" s="27" t="s">
        <v>2210</v>
      </c>
      <c r="M1072" s="29" t="s">
        <v>2220</v>
      </c>
      <c r="N1072" s="29" t="s">
        <v>1434</v>
      </c>
      <c r="O1072" s="29" t="s">
        <v>594</v>
      </c>
    </row>
    <row r="1073" spans="1:15">
      <c r="A1073" s="25">
        <v>11295</v>
      </c>
      <c r="B1073" s="26" t="s">
        <v>2221</v>
      </c>
      <c r="C1073" s="27" t="s">
        <v>521</v>
      </c>
      <c r="D1073" s="27" t="s">
        <v>811</v>
      </c>
      <c r="E1073" s="28">
        <v>40646</v>
      </c>
      <c r="F1073" s="28" t="s">
        <v>35</v>
      </c>
      <c r="G1073" s="28" t="s">
        <v>35</v>
      </c>
      <c r="H1073" s="29" t="s">
        <v>560</v>
      </c>
      <c r="I1073" s="29" t="s">
        <v>560</v>
      </c>
      <c r="J1073" s="29" t="s">
        <v>2208</v>
      </c>
      <c r="K1073" s="29" t="s">
        <v>2209</v>
      </c>
      <c r="L1073" s="29" t="s">
        <v>2210</v>
      </c>
      <c r="M1073" s="29" t="s">
        <v>2222</v>
      </c>
      <c r="N1073" s="29" t="s">
        <v>2023</v>
      </c>
      <c r="O1073" s="29" t="s">
        <v>594</v>
      </c>
    </row>
    <row r="1074" spans="1:15">
      <c r="A1074" s="25">
        <v>12447</v>
      </c>
      <c r="B1074" s="26" t="s">
        <v>2223</v>
      </c>
      <c r="C1074" s="27" t="s">
        <v>521</v>
      </c>
      <c r="D1074" s="27" t="s">
        <v>722</v>
      </c>
      <c r="E1074" s="28">
        <v>40812</v>
      </c>
      <c r="F1074" s="28" t="s">
        <v>35</v>
      </c>
      <c r="G1074" s="28" t="s">
        <v>35</v>
      </c>
      <c r="H1074" s="27" t="s">
        <v>560</v>
      </c>
      <c r="I1074" s="27" t="s">
        <v>560</v>
      </c>
      <c r="J1074" s="27" t="s">
        <v>2208</v>
      </c>
      <c r="K1074" s="27" t="s">
        <v>2209</v>
      </c>
      <c r="L1074" s="27" t="s">
        <v>2210</v>
      </c>
      <c r="M1074" s="27" t="s">
        <v>2057</v>
      </c>
      <c r="N1074" s="27" t="s">
        <v>2041</v>
      </c>
      <c r="O1074" s="29" t="s">
        <v>594</v>
      </c>
    </row>
    <row r="1075" spans="1:15">
      <c r="A1075" s="25">
        <v>12632</v>
      </c>
      <c r="B1075" s="26" t="s">
        <v>2224</v>
      </c>
      <c r="C1075" s="27" t="s">
        <v>521</v>
      </c>
      <c r="D1075" s="27" t="s">
        <v>1739</v>
      </c>
      <c r="E1075" s="28">
        <v>40819</v>
      </c>
      <c r="F1075" s="28" t="s">
        <v>35</v>
      </c>
      <c r="G1075" s="28" t="s">
        <v>35</v>
      </c>
      <c r="H1075" s="31" t="s">
        <v>560</v>
      </c>
      <c r="I1075" s="31" t="s">
        <v>560</v>
      </c>
      <c r="J1075" s="29" t="s">
        <v>2208</v>
      </c>
      <c r="K1075" s="29" t="s">
        <v>2209</v>
      </c>
      <c r="L1075" s="29" t="s">
        <v>2210</v>
      </c>
      <c r="M1075" s="29" t="s">
        <v>2110</v>
      </c>
      <c r="N1075" s="29" t="s">
        <v>1434</v>
      </c>
      <c r="O1075" s="29" t="s">
        <v>594</v>
      </c>
    </row>
    <row r="1076" spans="1:15">
      <c r="A1076" s="25">
        <v>19303</v>
      </c>
      <c r="B1076" s="26" t="s">
        <v>2225</v>
      </c>
      <c r="C1076" s="27" t="s">
        <v>521</v>
      </c>
      <c r="D1076" s="27" t="s">
        <v>2226</v>
      </c>
      <c r="E1076" s="28">
        <v>42282</v>
      </c>
      <c r="F1076" s="28" t="s">
        <v>35</v>
      </c>
      <c r="G1076" s="28" t="s">
        <v>35</v>
      </c>
      <c r="H1076" s="27" t="s">
        <v>560</v>
      </c>
      <c r="I1076" s="27" t="s">
        <v>560</v>
      </c>
      <c r="J1076" s="27" t="s">
        <v>2208</v>
      </c>
      <c r="K1076" s="27" t="s">
        <v>2209</v>
      </c>
      <c r="L1076" s="27" t="s">
        <v>2210</v>
      </c>
      <c r="M1076" s="29" t="s">
        <v>2227</v>
      </c>
      <c r="N1076" s="29" t="s">
        <v>1434</v>
      </c>
      <c r="O1076" s="29" t="s">
        <v>594</v>
      </c>
    </row>
    <row r="1077" spans="1:15">
      <c r="A1077" s="25">
        <v>19430</v>
      </c>
      <c r="B1077" s="26" t="s">
        <v>2228</v>
      </c>
      <c r="C1077" s="27" t="s">
        <v>521</v>
      </c>
      <c r="D1077" s="27" t="s">
        <v>2229</v>
      </c>
      <c r="E1077" s="28">
        <v>42296</v>
      </c>
      <c r="F1077" s="28" t="s">
        <v>35</v>
      </c>
      <c r="G1077" s="28" t="s">
        <v>35</v>
      </c>
      <c r="H1077" s="27" t="s">
        <v>560</v>
      </c>
      <c r="I1077" s="27" t="s">
        <v>560</v>
      </c>
      <c r="J1077" s="27" t="s">
        <v>2208</v>
      </c>
      <c r="K1077" s="27" t="s">
        <v>2209</v>
      </c>
      <c r="L1077" s="27" t="s">
        <v>2210</v>
      </c>
      <c r="M1077" s="29" t="s">
        <v>2230</v>
      </c>
      <c r="N1077" s="29" t="s">
        <v>1434</v>
      </c>
      <c r="O1077" s="29" t="s">
        <v>594</v>
      </c>
    </row>
    <row r="1078" spans="1:15">
      <c r="A1078" s="25">
        <v>20626</v>
      </c>
      <c r="B1078" s="26" t="s">
        <v>2231</v>
      </c>
      <c r="C1078" s="27" t="s">
        <v>521</v>
      </c>
      <c r="D1078" s="27" t="s">
        <v>673</v>
      </c>
      <c r="E1078" s="28">
        <v>42639</v>
      </c>
      <c r="F1078" s="28">
        <v>43132</v>
      </c>
      <c r="G1078" s="28">
        <v>43496</v>
      </c>
      <c r="H1078" s="25" t="s">
        <v>560</v>
      </c>
      <c r="I1078" s="25" t="s">
        <v>560</v>
      </c>
      <c r="J1078" s="29" t="s">
        <v>2208</v>
      </c>
      <c r="K1078" s="29" t="s">
        <v>2209</v>
      </c>
      <c r="L1078" s="29" t="s">
        <v>2210</v>
      </c>
      <c r="M1078" s="29" t="s">
        <v>2120</v>
      </c>
      <c r="N1078" s="29" t="s">
        <v>1434</v>
      </c>
      <c r="O1078" s="29" t="s">
        <v>594</v>
      </c>
    </row>
    <row r="1079" spans="1:15">
      <c r="A1079" s="25">
        <v>20666</v>
      </c>
      <c r="B1079" s="26" t="s">
        <v>2232</v>
      </c>
      <c r="C1079" s="27" t="s">
        <v>521</v>
      </c>
      <c r="D1079" s="27" t="s">
        <v>673</v>
      </c>
      <c r="E1079" s="28">
        <v>42639</v>
      </c>
      <c r="F1079" s="28">
        <v>43132</v>
      </c>
      <c r="G1079" s="28">
        <v>43496</v>
      </c>
      <c r="H1079" s="29" t="s">
        <v>560</v>
      </c>
      <c r="I1079" s="29" t="s">
        <v>560</v>
      </c>
      <c r="J1079" s="29" t="s">
        <v>2208</v>
      </c>
      <c r="K1079" s="29" t="s">
        <v>2209</v>
      </c>
      <c r="L1079" s="29" t="s">
        <v>2210</v>
      </c>
      <c r="M1079" s="29" t="s">
        <v>2222</v>
      </c>
      <c r="N1079" s="29" t="s">
        <v>2023</v>
      </c>
      <c r="O1079" s="29" t="s">
        <v>594</v>
      </c>
    </row>
    <row r="1080" spans="1:15">
      <c r="A1080" s="25">
        <v>20953</v>
      </c>
      <c r="B1080" s="26" t="s">
        <v>2233</v>
      </c>
      <c r="C1080" s="27" t="s">
        <v>521</v>
      </c>
      <c r="D1080" s="27" t="s">
        <v>1149</v>
      </c>
      <c r="E1080" s="28">
        <v>42667</v>
      </c>
      <c r="F1080" s="28">
        <v>43160</v>
      </c>
      <c r="G1080" s="28">
        <v>43524</v>
      </c>
      <c r="H1080" s="29" t="s">
        <v>560</v>
      </c>
      <c r="I1080" s="29" t="s">
        <v>560</v>
      </c>
      <c r="J1080" s="29" t="s">
        <v>2208</v>
      </c>
      <c r="K1080" s="29" t="s">
        <v>2209</v>
      </c>
      <c r="L1080" s="29" t="s">
        <v>2210</v>
      </c>
      <c r="M1080" s="29" t="s">
        <v>2222</v>
      </c>
      <c r="N1080" s="29" t="s">
        <v>2023</v>
      </c>
      <c r="O1080" s="29" t="s">
        <v>594</v>
      </c>
    </row>
    <row r="1081" spans="1:15">
      <c r="A1081" s="25">
        <v>21316</v>
      </c>
      <c r="B1081" s="34" t="s">
        <v>2234</v>
      </c>
      <c r="C1081" s="31" t="s">
        <v>521</v>
      </c>
      <c r="D1081" s="31" t="s">
        <v>1595</v>
      </c>
      <c r="E1081" s="28">
        <v>43010</v>
      </c>
      <c r="F1081" s="28">
        <v>43405</v>
      </c>
      <c r="G1081" s="28">
        <v>43769</v>
      </c>
      <c r="H1081" s="29" t="s">
        <v>560</v>
      </c>
      <c r="I1081" s="29" t="s">
        <v>560</v>
      </c>
      <c r="J1081" s="29" t="s">
        <v>2208</v>
      </c>
      <c r="K1081" s="29" t="s">
        <v>2209</v>
      </c>
      <c r="L1081" s="29" t="s">
        <v>2210</v>
      </c>
      <c r="M1081" s="29" t="s">
        <v>2235</v>
      </c>
      <c r="N1081" s="29" t="s">
        <v>2080</v>
      </c>
      <c r="O1081" s="29" t="s">
        <v>594</v>
      </c>
    </row>
    <row r="1082" spans="1:15">
      <c r="A1082" s="25">
        <v>21652</v>
      </c>
      <c r="B1082" s="34" t="s">
        <v>2236</v>
      </c>
      <c r="C1082" s="31" t="s">
        <v>521</v>
      </c>
      <c r="D1082" s="31" t="s">
        <v>1053</v>
      </c>
      <c r="E1082" s="28">
        <v>43055</v>
      </c>
      <c r="F1082" s="28">
        <v>43466</v>
      </c>
      <c r="G1082" s="28">
        <v>43830</v>
      </c>
      <c r="H1082" s="29" t="s">
        <v>560</v>
      </c>
      <c r="I1082" s="29" t="s">
        <v>560</v>
      </c>
      <c r="J1082" s="29" t="s">
        <v>2208</v>
      </c>
      <c r="K1082" s="29" t="s">
        <v>2209</v>
      </c>
      <c r="L1082" s="29" t="s">
        <v>2210</v>
      </c>
      <c r="M1082" s="29" t="s">
        <v>2072</v>
      </c>
      <c r="N1082" s="29" t="s">
        <v>1434</v>
      </c>
      <c r="O1082" s="29" t="s">
        <v>594</v>
      </c>
    </row>
    <row r="1083" spans="1:15">
      <c r="A1083" s="25">
        <v>21661</v>
      </c>
      <c r="B1083" s="34" t="s">
        <v>2237</v>
      </c>
      <c r="C1083" s="31" t="s">
        <v>521</v>
      </c>
      <c r="D1083" s="31" t="s">
        <v>1053</v>
      </c>
      <c r="E1083" s="28">
        <v>43055</v>
      </c>
      <c r="F1083" s="28">
        <v>43466</v>
      </c>
      <c r="G1083" s="28">
        <v>43830</v>
      </c>
      <c r="H1083" s="29" t="s">
        <v>560</v>
      </c>
      <c r="I1083" s="29" t="s">
        <v>560</v>
      </c>
      <c r="J1083" s="29" t="s">
        <v>2208</v>
      </c>
      <c r="K1083" s="29" t="s">
        <v>2209</v>
      </c>
      <c r="L1083" s="29" t="s">
        <v>2210</v>
      </c>
      <c r="M1083" s="29" t="s">
        <v>2238</v>
      </c>
      <c r="N1083" s="29" t="s">
        <v>1434</v>
      </c>
      <c r="O1083" s="29" t="s">
        <v>594</v>
      </c>
    </row>
    <row r="1084" spans="1:15">
      <c r="A1084" s="25">
        <v>21672</v>
      </c>
      <c r="B1084" s="34" t="s">
        <v>2239</v>
      </c>
      <c r="C1084" s="31" t="s">
        <v>521</v>
      </c>
      <c r="D1084" s="31" t="s">
        <v>1053</v>
      </c>
      <c r="E1084" s="28">
        <v>43055</v>
      </c>
      <c r="F1084" s="28">
        <v>43466</v>
      </c>
      <c r="G1084" s="28">
        <v>43830</v>
      </c>
      <c r="H1084" s="29" t="s">
        <v>560</v>
      </c>
      <c r="I1084" s="29" t="s">
        <v>560</v>
      </c>
      <c r="J1084" s="29" t="s">
        <v>2208</v>
      </c>
      <c r="K1084" s="29" t="s">
        <v>2209</v>
      </c>
      <c r="L1084" s="29" t="s">
        <v>2210</v>
      </c>
      <c r="M1084" s="29" t="s">
        <v>2092</v>
      </c>
      <c r="N1084" s="29" t="s">
        <v>2041</v>
      </c>
      <c r="O1084" s="29" t="s">
        <v>594</v>
      </c>
    </row>
    <row r="1085" spans="1:15">
      <c r="A1085" s="25">
        <v>21725</v>
      </c>
      <c r="B1085" s="34" t="s">
        <v>2240</v>
      </c>
      <c r="C1085" s="31" t="s">
        <v>521</v>
      </c>
      <c r="D1085" s="31" t="s">
        <v>663</v>
      </c>
      <c r="E1085" s="28">
        <v>43087</v>
      </c>
      <c r="F1085" s="28">
        <v>43118</v>
      </c>
      <c r="G1085" s="28">
        <v>43496</v>
      </c>
      <c r="H1085" s="29" t="s">
        <v>560</v>
      </c>
      <c r="I1085" s="29" t="s">
        <v>560</v>
      </c>
      <c r="J1085" s="29" t="s">
        <v>2208</v>
      </c>
      <c r="K1085" s="29" t="s">
        <v>2209</v>
      </c>
      <c r="L1085" s="29" t="s">
        <v>2210</v>
      </c>
      <c r="M1085" s="29" t="s">
        <v>2241</v>
      </c>
      <c r="N1085" s="29" t="s">
        <v>1434</v>
      </c>
      <c r="O1085" s="29" t="s">
        <v>594</v>
      </c>
    </row>
    <row r="1086" spans="1:15">
      <c r="A1086" s="25">
        <v>21736</v>
      </c>
      <c r="B1086" s="34" t="s">
        <v>2242</v>
      </c>
      <c r="C1086" s="31" t="s">
        <v>521</v>
      </c>
      <c r="D1086" s="31" t="s">
        <v>663</v>
      </c>
      <c r="E1086" s="28">
        <v>43087</v>
      </c>
      <c r="F1086" s="28">
        <v>43118</v>
      </c>
      <c r="G1086" s="28">
        <v>43496</v>
      </c>
      <c r="H1086" s="29" t="s">
        <v>560</v>
      </c>
      <c r="I1086" s="29" t="s">
        <v>560</v>
      </c>
      <c r="J1086" s="29" t="s">
        <v>2208</v>
      </c>
      <c r="K1086" s="29" t="s">
        <v>2209</v>
      </c>
      <c r="L1086" s="29" t="s">
        <v>2210</v>
      </c>
      <c r="M1086" s="29" t="s">
        <v>2082</v>
      </c>
      <c r="N1086" s="29" t="s">
        <v>1434</v>
      </c>
      <c r="O1086" s="29" t="s">
        <v>594</v>
      </c>
    </row>
    <row r="1087" spans="1:15">
      <c r="A1087" s="25">
        <v>21807</v>
      </c>
      <c r="B1087" s="34" t="s">
        <v>2243</v>
      </c>
      <c r="C1087" s="31" t="s">
        <v>521</v>
      </c>
      <c r="D1087" s="31" t="s">
        <v>1609</v>
      </c>
      <c r="E1087" s="28">
        <v>43090</v>
      </c>
      <c r="F1087" s="28">
        <v>43121</v>
      </c>
      <c r="G1087" s="28">
        <v>43496</v>
      </c>
      <c r="H1087" s="29" t="s">
        <v>560</v>
      </c>
      <c r="I1087" s="29" t="s">
        <v>560</v>
      </c>
      <c r="J1087" s="29" t="s">
        <v>2208</v>
      </c>
      <c r="K1087" s="29" t="s">
        <v>2209</v>
      </c>
      <c r="L1087" s="29" t="s">
        <v>2210</v>
      </c>
      <c r="M1087" s="29" t="s">
        <v>2244</v>
      </c>
      <c r="N1087" s="29" t="s">
        <v>2023</v>
      </c>
      <c r="O1087" s="29" t="s">
        <v>594</v>
      </c>
    </row>
    <row r="1088" spans="1:15">
      <c r="A1088" s="25">
        <v>22102</v>
      </c>
      <c r="B1088" s="34" t="s">
        <v>2245</v>
      </c>
      <c r="C1088" s="31" t="s">
        <v>521</v>
      </c>
      <c r="D1088" s="31" t="s">
        <v>769</v>
      </c>
      <c r="E1088" s="28">
        <v>43150</v>
      </c>
      <c r="F1088" s="28">
        <v>43178</v>
      </c>
      <c r="G1088" s="28">
        <v>43555</v>
      </c>
      <c r="H1088" s="29" t="s">
        <v>560</v>
      </c>
      <c r="I1088" s="29" t="s">
        <v>560</v>
      </c>
      <c r="J1088" s="29" t="s">
        <v>2208</v>
      </c>
      <c r="K1088" s="29" t="s">
        <v>2209</v>
      </c>
      <c r="L1088" s="29" t="s">
        <v>2210</v>
      </c>
      <c r="M1088" s="29" t="s">
        <v>2118</v>
      </c>
      <c r="N1088" s="29" t="s">
        <v>2041</v>
      </c>
      <c r="O1088" s="29" t="s">
        <v>594</v>
      </c>
    </row>
    <row r="1089" spans="1:15">
      <c r="A1089" s="25">
        <v>22581</v>
      </c>
      <c r="B1089" s="34" t="s">
        <v>2246</v>
      </c>
      <c r="C1089" s="31" t="s">
        <v>521</v>
      </c>
      <c r="D1089" s="31" t="s">
        <v>745</v>
      </c>
      <c r="E1089" s="28">
        <v>43236</v>
      </c>
      <c r="F1089" s="28">
        <v>43267</v>
      </c>
      <c r="G1089" s="28">
        <v>43646</v>
      </c>
      <c r="H1089" s="29" t="s">
        <v>560</v>
      </c>
      <c r="I1089" s="29" t="s">
        <v>560</v>
      </c>
      <c r="J1089" s="29" t="s">
        <v>2208</v>
      </c>
      <c r="K1089" s="29" t="s">
        <v>2209</v>
      </c>
      <c r="L1089" s="29" t="s">
        <v>2210</v>
      </c>
      <c r="M1089" s="29" t="s">
        <v>2077</v>
      </c>
      <c r="N1089" s="29" t="s">
        <v>2077</v>
      </c>
      <c r="O1089" s="29" t="s">
        <v>594</v>
      </c>
    </row>
    <row r="1090" spans="1:15">
      <c r="A1090" s="25">
        <v>22615</v>
      </c>
      <c r="B1090" s="34" t="s">
        <v>2247</v>
      </c>
      <c r="C1090" s="31" t="s">
        <v>521</v>
      </c>
      <c r="D1090" s="31" t="s">
        <v>745</v>
      </c>
      <c r="E1090" s="28">
        <v>43236</v>
      </c>
      <c r="F1090" s="28">
        <v>43267</v>
      </c>
      <c r="G1090" s="28">
        <v>43646</v>
      </c>
      <c r="H1090" s="29" t="s">
        <v>560</v>
      </c>
      <c r="I1090" s="29" t="s">
        <v>560</v>
      </c>
      <c r="J1090" s="29" t="s">
        <v>2208</v>
      </c>
      <c r="K1090" s="29" t="s">
        <v>2209</v>
      </c>
      <c r="L1090" s="29" t="s">
        <v>2210</v>
      </c>
      <c r="M1090" s="29" t="s">
        <v>2096</v>
      </c>
      <c r="N1090" s="29" t="s">
        <v>1434</v>
      </c>
      <c r="O1090" s="29" t="s">
        <v>594</v>
      </c>
    </row>
    <row r="1091" spans="1:15">
      <c r="A1091" s="25">
        <v>22884</v>
      </c>
      <c r="B1091" s="34" t="s">
        <v>2248</v>
      </c>
      <c r="C1091" s="31" t="s">
        <v>521</v>
      </c>
      <c r="D1091" s="31" t="s">
        <v>775</v>
      </c>
      <c r="E1091" s="28">
        <v>43333</v>
      </c>
      <c r="F1091" s="28">
        <v>43364</v>
      </c>
      <c r="G1091" s="28">
        <v>43738</v>
      </c>
      <c r="H1091" s="29" t="s">
        <v>560</v>
      </c>
      <c r="I1091" s="29" t="s">
        <v>560</v>
      </c>
      <c r="J1091" s="29" t="s">
        <v>2208</v>
      </c>
      <c r="K1091" s="29" t="s">
        <v>2209</v>
      </c>
      <c r="L1091" s="29" t="s">
        <v>2210</v>
      </c>
      <c r="M1091" s="29" t="s">
        <v>2249</v>
      </c>
      <c r="N1091" s="29" t="s">
        <v>2077</v>
      </c>
      <c r="O1091" s="29" t="s">
        <v>594</v>
      </c>
    </row>
    <row r="1092" spans="1:15">
      <c r="A1092" s="25">
        <v>23004</v>
      </c>
      <c r="B1092" s="34" t="s">
        <v>2250</v>
      </c>
      <c r="C1092" s="31" t="s">
        <v>521</v>
      </c>
      <c r="D1092" s="31" t="s">
        <v>1872</v>
      </c>
      <c r="E1092" s="28">
        <v>43361</v>
      </c>
      <c r="F1092" s="28">
        <v>43391</v>
      </c>
      <c r="G1092" s="28">
        <v>43769</v>
      </c>
      <c r="H1092" s="29" t="s">
        <v>560</v>
      </c>
      <c r="I1092" s="29" t="s">
        <v>560</v>
      </c>
      <c r="J1092" s="29" t="s">
        <v>2208</v>
      </c>
      <c r="K1092" s="29" t="s">
        <v>2209</v>
      </c>
      <c r="L1092" s="29" t="s">
        <v>2210</v>
      </c>
      <c r="M1092" s="29" t="s">
        <v>2079</v>
      </c>
      <c r="N1092" s="29" t="s">
        <v>2080</v>
      </c>
      <c r="O1092" s="29" t="s">
        <v>594</v>
      </c>
    </row>
    <row r="1093" spans="1:15">
      <c r="A1093" s="25">
        <v>23039</v>
      </c>
      <c r="B1093" s="34" t="s">
        <v>2251</v>
      </c>
      <c r="C1093" s="31" t="s">
        <v>521</v>
      </c>
      <c r="D1093" s="31" t="s">
        <v>1872</v>
      </c>
      <c r="E1093" s="28">
        <v>43361</v>
      </c>
      <c r="F1093" s="28">
        <v>43391</v>
      </c>
      <c r="G1093" s="28">
        <v>43769</v>
      </c>
      <c r="H1093" s="29" t="s">
        <v>560</v>
      </c>
      <c r="I1093" s="29" t="s">
        <v>560</v>
      </c>
      <c r="J1093" s="29" t="s">
        <v>2208</v>
      </c>
      <c r="K1093" s="29" t="s">
        <v>2209</v>
      </c>
      <c r="L1093" s="29" t="s">
        <v>2210</v>
      </c>
      <c r="M1093" s="29" t="s">
        <v>2065</v>
      </c>
      <c r="N1093" s="29" t="s">
        <v>2041</v>
      </c>
      <c r="O1093" s="29" t="s">
        <v>594</v>
      </c>
    </row>
    <row r="1094" spans="1:15">
      <c r="A1094" s="25">
        <v>23450</v>
      </c>
      <c r="B1094" s="34" t="s">
        <v>2252</v>
      </c>
      <c r="C1094" s="31" t="s">
        <v>521</v>
      </c>
      <c r="D1094" s="31" t="s">
        <v>882</v>
      </c>
      <c r="E1094" s="28">
        <v>43434</v>
      </c>
      <c r="F1094" s="28">
        <v>43464</v>
      </c>
      <c r="G1094" s="28">
        <v>43830</v>
      </c>
      <c r="H1094" s="29" t="s">
        <v>560</v>
      </c>
      <c r="I1094" s="29" t="s">
        <v>560</v>
      </c>
      <c r="J1094" s="29" t="s">
        <v>2208</v>
      </c>
      <c r="K1094" s="29" t="s">
        <v>2209</v>
      </c>
      <c r="L1094" s="29" t="s">
        <v>2210</v>
      </c>
      <c r="M1094" s="29" t="s">
        <v>2052</v>
      </c>
      <c r="N1094" s="29" t="s">
        <v>2041</v>
      </c>
      <c r="O1094" s="29" t="s">
        <v>594</v>
      </c>
    </row>
    <row r="1095" spans="1:15">
      <c r="A1095" s="25">
        <v>23506</v>
      </c>
      <c r="B1095" s="34" t="s">
        <v>2253</v>
      </c>
      <c r="C1095" s="31" t="s">
        <v>521</v>
      </c>
      <c r="D1095" s="31" t="s">
        <v>1588</v>
      </c>
      <c r="E1095" s="28">
        <v>43441</v>
      </c>
      <c r="F1095" s="28">
        <v>43472</v>
      </c>
      <c r="G1095" s="28">
        <v>43830</v>
      </c>
      <c r="H1095" s="29" t="s">
        <v>560</v>
      </c>
      <c r="I1095" s="29" t="s">
        <v>560</v>
      </c>
      <c r="J1095" s="29" t="s">
        <v>2208</v>
      </c>
      <c r="K1095" s="29" t="s">
        <v>2209</v>
      </c>
      <c r="L1095" s="29" t="s">
        <v>2210</v>
      </c>
      <c r="M1095" s="29" t="s">
        <v>2254</v>
      </c>
      <c r="N1095" s="29" t="s">
        <v>1586</v>
      </c>
      <c r="O1095" s="29" t="s">
        <v>594</v>
      </c>
    </row>
    <row r="1096" spans="1:15">
      <c r="A1096" s="25" t="s">
        <v>2255</v>
      </c>
      <c r="B1096" s="26" t="s">
        <v>2256</v>
      </c>
      <c r="C1096" s="27" t="s">
        <v>521</v>
      </c>
      <c r="D1096" s="27" t="s">
        <v>1846</v>
      </c>
      <c r="E1096" s="28">
        <v>40840</v>
      </c>
      <c r="F1096" s="28" t="s">
        <v>35</v>
      </c>
      <c r="G1096" s="28" t="s">
        <v>35</v>
      </c>
      <c r="H1096" s="27" t="s">
        <v>560</v>
      </c>
      <c r="I1096" s="27" t="s">
        <v>560</v>
      </c>
      <c r="J1096" s="29" t="s">
        <v>2208</v>
      </c>
      <c r="K1096" s="29" t="s">
        <v>2209</v>
      </c>
      <c r="L1096" s="29" t="s">
        <v>2210</v>
      </c>
      <c r="M1096" s="29" t="s">
        <v>2084</v>
      </c>
      <c r="N1096" s="29" t="s">
        <v>1434</v>
      </c>
      <c r="O1096" s="29" t="s">
        <v>594</v>
      </c>
    </row>
    <row r="1097" spans="1:15">
      <c r="A1097" s="25" t="s">
        <v>2257</v>
      </c>
      <c r="B1097" s="26" t="s">
        <v>2258</v>
      </c>
      <c r="C1097" s="27" t="s">
        <v>521</v>
      </c>
      <c r="D1097" s="27" t="s">
        <v>809</v>
      </c>
      <c r="E1097" s="28">
        <v>41099</v>
      </c>
      <c r="F1097" s="28" t="s">
        <v>35</v>
      </c>
      <c r="G1097" s="28" t="s">
        <v>35</v>
      </c>
      <c r="H1097" s="27" t="s">
        <v>560</v>
      </c>
      <c r="I1097" s="27" t="s">
        <v>560</v>
      </c>
      <c r="J1097" s="29" t="s">
        <v>2208</v>
      </c>
      <c r="K1097" s="29" t="s">
        <v>2209</v>
      </c>
      <c r="L1097" s="29" t="s">
        <v>2210</v>
      </c>
      <c r="M1097" s="29" t="s">
        <v>2074</v>
      </c>
      <c r="N1097" s="29" t="s">
        <v>1434</v>
      </c>
      <c r="O1097" s="29" t="s">
        <v>594</v>
      </c>
    </row>
    <row r="1098" spans="1:15">
      <c r="A1098" s="25" t="s">
        <v>2259</v>
      </c>
      <c r="B1098" s="26" t="s">
        <v>2260</v>
      </c>
      <c r="C1098" s="27" t="s">
        <v>521</v>
      </c>
      <c r="D1098" s="27" t="s">
        <v>2261</v>
      </c>
      <c r="E1098" s="28">
        <v>41165</v>
      </c>
      <c r="F1098" s="28" t="s">
        <v>35</v>
      </c>
      <c r="G1098" s="28" t="s">
        <v>35</v>
      </c>
      <c r="H1098" s="29" t="s">
        <v>560</v>
      </c>
      <c r="I1098" s="29" t="s">
        <v>560</v>
      </c>
      <c r="J1098" s="29" t="s">
        <v>2208</v>
      </c>
      <c r="K1098" s="29" t="s">
        <v>2209</v>
      </c>
      <c r="L1098" s="29" t="s">
        <v>2210</v>
      </c>
      <c r="M1098" s="29" t="s">
        <v>2030</v>
      </c>
      <c r="N1098" s="29" t="s">
        <v>2031</v>
      </c>
      <c r="O1098" s="29" t="s">
        <v>594</v>
      </c>
    </row>
    <row r="1099" spans="1:15">
      <c r="A1099" s="25" t="s">
        <v>2262</v>
      </c>
      <c r="B1099" s="26" t="s">
        <v>2263</v>
      </c>
      <c r="C1099" s="27" t="s">
        <v>521</v>
      </c>
      <c r="D1099" s="27" t="s">
        <v>2264</v>
      </c>
      <c r="E1099" s="28">
        <v>42282</v>
      </c>
      <c r="F1099" s="28" t="s">
        <v>35</v>
      </c>
      <c r="G1099" s="28" t="s">
        <v>35</v>
      </c>
      <c r="H1099" s="27" t="s">
        <v>560</v>
      </c>
      <c r="I1099" s="27" t="s">
        <v>560</v>
      </c>
      <c r="J1099" s="29" t="s">
        <v>2208</v>
      </c>
      <c r="K1099" s="29" t="s">
        <v>2209</v>
      </c>
      <c r="L1099" s="29" t="s">
        <v>2210</v>
      </c>
      <c r="M1099" s="29" t="s">
        <v>2085</v>
      </c>
      <c r="N1099" s="29" t="s">
        <v>1434</v>
      </c>
      <c r="O1099" s="29" t="s">
        <v>594</v>
      </c>
    </row>
    <row r="1100" spans="1:15">
      <c r="A1100" s="25">
        <v>23560</v>
      </c>
      <c r="B1100" s="34" t="s">
        <v>2265</v>
      </c>
      <c r="C1100" s="31" t="s">
        <v>521</v>
      </c>
      <c r="D1100" s="31" t="s">
        <v>884</v>
      </c>
      <c r="E1100" s="28">
        <v>43452</v>
      </c>
      <c r="F1100" s="28">
        <v>43483</v>
      </c>
      <c r="G1100" s="28">
        <v>43861</v>
      </c>
      <c r="H1100" s="29" t="s">
        <v>560</v>
      </c>
      <c r="I1100" s="29" t="s">
        <v>560</v>
      </c>
      <c r="J1100" s="29" t="s">
        <v>2208</v>
      </c>
      <c r="K1100" s="29" t="s">
        <v>2209</v>
      </c>
      <c r="L1100" s="29" t="s">
        <v>2210</v>
      </c>
      <c r="M1100" s="29" t="s">
        <v>2167</v>
      </c>
      <c r="N1100" s="29" t="s">
        <v>1586</v>
      </c>
      <c r="O1100" s="29" t="s">
        <v>594</v>
      </c>
    </row>
    <row r="1101" spans="1:15">
      <c r="A1101" s="25" t="s">
        <v>2266</v>
      </c>
      <c r="B1101" s="34" t="s">
        <v>2267</v>
      </c>
      <c r="C1101" s="31" t="s">
        <v>521</v>
      </c>
      <c r="D1101" s="31" t="s">
        <v>892</v>
      </c>
      <c r="E1101" s="28">
        <v>43467</v>
      </c>
      <c r="F1101" s="28">
        <v>43467</v>
      </c>
      <c r="G1101" s="28">
        <v>43497</v>
      </c>
      <c r="H1101" s="29" t="s">
        <v>560</v>
      </c>
      <c r="I1101" s="29" t="s">
        <v>560</v>
      </c>
      <c r="J1101" s="29" t="s">
        <v>2208</v>
      </c>
      <c r="K1101" s="29" t="s">
        <v>2209</v>
      </c>
      <c r="L1101" s="29" t="s">
        <v>2210</v>
      </c>
      <c r="M1101" s="29" t="s">
        <v>2268</v>
      </c>
      <c r="N1101" s="29" t="s">
        <v>1434</v>
      </c>
      <c r="O1101" s="29" t="s">
        <v>528</v>
      </c>
    </row>
    <row r="1102" spans="1:15">
      <c r="A1102" s="25">
        <v>163</v>
      </c>
      <c r="B1102" s="34" t="s">
        <v>2269</v>
      </c>
      <c r="C1102" s="31" t="s">
        <v>521</v>
      </c>
      <c r="D1102" s="31" t="s">
        <v>1033</v>
      </c>
      <c r="E1102" s="28">
        <v>37679</v>
      </c>
      <c r="F1102" s="28" t="s">
        <v>35</v>
      </c>
      <c r="G1102" s="28" t="s">
        <v>35</v>
      </c>
      <c r="H1102" s="29" t="s">
        <v>560</v>
      </c>
      <c r="I1102" s="29" t="s">
        <v>560</v>
      </c>
      <c r="J1102" s="29" t="s">
        <v>2270</v>
      </c>
      <c r="K1102" s="29" t="s">
        <v>2271</v>
      </c>
      <c r="L1102" s="29" t="s">
        <v>2272</v>
      </c>
      <c r="M1102" s="29" t="s">
        <v>1550</v>
      </c>
      <c r="N1102" s="29" t="s">
        <v>1045</v>
      </c>
      <c r="O1102" s="29" t="s">
        <v>590</v>
      </c>
    </row>
    <row r="1103" spans="1:15">
      <c r="A1103" s="25">
        <v>9995</v>
      </c>
      <c r="B1103" s="26" t="s">
        <v>2273</v>
      </c>
      <c r="C1103" s="27" t="s">
        <v>521</v>
      </c>
      <c r="D1103" s="27" t="s">
        <v>762</v>
      </c>
      <c r="E1103" s="28">
        <v>40438</v>
      </c>
      <c r="F1103" s="28" t="s">
        <v>35</v>
      </c>
      <c r="G1103" s="28" t="s">
        <v>35</v>
      </c>
      <c r="H1103" s="27" t="s">
        <v>560</v>
      </c>
      <c r="I1103" s="27" t="s">
        <v>560</v>
      </c>
      <c r="J1103" s="27" t="s">
        <v>2270</v>
      </c>
      <c r="K1103" s="27" t="s">
        <v>2271</v>
      </c>
      <c r="L1103" s="27" t="s">
        <v>2272</v>
      </c>
      <c r="M1103" s="29" t="s">
        <v>2227</v>
      </c>
      <c r="N1103" s="29" t="s">
        <v>1434</v>
      </c>
      <c r="O1103" s="29" t="s">
        <v>590</v>
      </c>
    </row>
    <row r="1104" spans="1:15">
      <c r="A1104" s="25">
        <v>11825</v>
      </c>
      <c r="B1104" s="26" t="s">
        <v>2274</v>
      </c>
      <c r="C1104" s="27" t="s">
        <v>521</v>
      </c>
      <c r="D1104" s="27" t="s">
        <v>799</v>
      </c>
      <c r="E1104" s="28">
        <v>40721</v>
      </c>
      <c r="F1104" s="28" t="s">
        <v>35</v>
      </c>
      <c r="G1104" s="28" t="s">
        <v>35</v>
      </c>
      <c r="H1104" s="27" t="s">
        <v>560</v>
      </c>
      <c r="I1104" s="27" t="s">
        <v>560</v>
      </c>
      <c r="J1104" s="27" t="s">
        <v>2270</v>
      </c>
      <c r="K1104" s="27" t="s">
        <v>2271</v>
      </c>
      <c r="L1104" s="27" t="s">
        <v>2272</v>
      </c>
      <c r="M1104" s="29" t="s">
        <v>2065</v>
      </c>
      <c r="N1104" s="29" t="s">
        <v>2041</v>
      </c>
      <c r="O1104" s="29" t="s">
        <v>590</v>
      </c>
    </row>
    <row r="1105" spans="1:15">
      <c r="A1105" s="25">
        <v>11930</v>
      </c>
      <c r="B1105" s="33" t="s">
        <v>2275</v>
      </c>
      <c r="C1105" s="27" t="s">
        <v>521</v>
      </c>
      <c r="D1105" s="27" t="s">
        <v>699</v>
      </c>
      <c r="E1105" s="28">
        <v>40770</v>
      </c>
      <c r="F1105" s="28" t="s">
        <v>35</v>
      </c>
      <c r="G1105" s="28" t="s">
        <v>35</v>
      </c>
      <c r="H1105" s="29" t="s">
        <v>560</v>
      </c>
      <c r="I1105" s="29" t="s">
        <v>560</v>
      </c>
      <c r="J1105" s="29" t="s">
        <v>2270</v>
      </c>
      <c r="K1105" s="29" t="s">
        <v>2271</v>
      </c>
      <c r="L1105" s="29" t="s">
        <v>2272</v>
      </c>
      <c r="M1105" s="29" t="s">
        <v>2025</v>
      </c>
      <c r="N1105" s="29" t="s">
        <v>2026</v>
      </c>
      <c r="O1105" s="29" t="s">
        <v>590</v>
      </c>
    </row>
    <row r="1106" spans="1:15">
      <c r="A1106" s="25">
        <v>12766</v>
      </c>
      <c r="B1106" s="26" t="s">
        <v>2276</v>
      </c>
      <c r="C1106" s="27" t="s">
        <v>521</v>
      </c>
      <c r="D1106" s="27" t="s">
        <v>1739</v>
      </c>
      <c r="E1106" s="28">
        <v>40819</v>
      </c>
      <c r="F1106" s="28" t="s">
        <v>35</v>
      </c>
      <c r="G1106" s="28" t="s">
        <v>35</v>
      </c>
      <c r="H1106" s="27" t="s">
        <v>560</v>
      </c>
      <c r="I1106" s="27" t="s">
        <v>560</v>
      </c>
      <c r="J1106" s="27" t="s">
        <v>2270</v>
      </c>
      <c r="K1106" s="27" t="s">
        <v>2271</v>
      </c>
      <c r="L1106" s="27" t="s">
        <v>2272</v>
      </c>
      <c r="M1106" s="29" t="s">
        <v>2092</v>
      </c>
      <c r="N1106" s="29" t="s">
        <v>2041</v>
      </c>
      <c r="O1106" s="29" t="s">
        <v>590</v>
      </c>
    </row>
    <row r="1107" spans="1:15">
      <c r="A1107" s="25">
        <v>12923</v>
      </c>
      <c r="B1107" s="26" t="s">
        <v>2277</v>
      </c>
      <c r="C1107" s="27" t="s">
        <v>521</v>
      </c>
      <c r="D1107" s="27" t="s">
        <v>688</v>
      </c>
      <c r="E1107" s="28">
        <v>40833</v>
      </c>
      <c r="F1107" s="28" t="s">
        <v>35</v>
      </c>
      <c r="G1107" s="28" t="s">
        <v>35</v>
      </c>
      <c r="H1107" s="27" t="s">
        <v>560</v>
      </c>
      <c r="I1107" s="27" t="s">
        <v>560</v>
      </c>
      <c r="J1107" s="27" t="s">
        <v>2270</v>
      </c>
      <c r="K1107" s="27" t="s">
        <v>2271</v>
      </c>
      <c r="L1107" s="27" t="s">
        <v>2272</v>
      </c>
      <c r="M1107" s="29" t="s">
        <v>2043</v>
      </c>
      <c r="N1107" s="29" t="s">
        <v>2041</v>
      </c>
      <c r="O1107" s="29" t="s">
        <v>590</v>
      </c>
    </row>
    <row r="1108" spans="1:15">
      <c r="A1108" s="25">
        <v>20621</v>
      </c>
      <c r="B1108" s="26" t="s">
        <v>2278</v>
      </c>
      <c r="C1108" s="27" t="s">
        <v>521</v>
      </c>
      <c r="D1108" s="27" t="s">
        <v>673</v>
      </c>
      <c r="E1108" s="28">
        <v>42639</v>
      </c>
      <c r="F1108" s="28">
        <v>43132</v>
      </c>
      <c r="G1108" s="28">
        <v>43496</v>
      </c>
      <c r="H1108" s="25" t="s">
        <v>560</v>
      </c>
      <c r="I1108" s="25" t="s">
        <v>560</v>
      </c>
      <c r="J1108" s="27" t="s">
        <v>2270</v>
      </c>
      <c r="K1108" s="27" t="s">
        <v>2271</v>
      </c>
      <c r="L1108" s="27" t="s">
        <v>2272</v>
      </c>
      <c r="M1108" s="29" t="s">
        <v>2057</v>
      </c>
      <c r="N1108" s="29" t="s">
        <v>2041</v>
      </c>
      <c r="O1108" s="29" t="s">
        <v>590</v>
      </c>
    </row>
    <row r="1109" spans="1:15">
      <c r="A1109" s="25">
        <v>20728</v>
      </c>
      <c r="B1109" s="26" t="s">
        <v>2279</v>
      </c>
      <c r="C1109" s="27" t="s">
        <v>521</v>
      </c>
      <c r="D1109" s="27" t="s">
        <v>815</v>
      </c>
      <c r="E1109" s="28">
        <v>42642</v>
      </c>
      <c r="F1109" s="28">
        <v>43132</v>
      </c>
      <c r="G1109" s="28">
        <v>43496</v>
      </c>
      <c r="H1109" s="27" t="s">
        <v>560</v>
      </c>
      <c r="I1109" s="27" t="s">
        <v>560</v>
      </c>
      <c r="J1109" s="29" t="s">
        <v>2270</v>
      </c>
      <c r="K1109" s="29" t="s">
        <v>2271</v>
      </c>
      <c r="L1109" s="29" t="s">
        <v>2272</v>
      </c>
      <c r="M1109" s="29" t="s">
        <v>2280</v>
      </c>
      <c r="N1109" s="29" t="s">
        <v>1434</v>
      </c>
      <c r="O1109" s="29" t="s">
        <v>590</v>
      </c>
    </row>
    <row r="1110" spans="1:15">
      <c r="A1110" s="25">
        <v>21278</v>
      </c>
      <c r="B1110" s="34" t="s">
        <v>2281</v>
      </c>
      <c r="C1110" s="31" t="s">
        <v>521</v>
      </c>
      <c r="D1110" s="31" t="s">
        <v>1595</v>
      </c>
      <c r="E1110" s="28">
        <v>43010</v>
      </c>
      <c r="F1110" s="28">
        <v>43405</v>
      </c>
      <c r="G1110" s="28">
        <v>43769</v>
      </c>
      <c r="H1110" s="29" t="s">
        <v>560</v>
      </c>
      <c r="I1110" s="29" t="s">
        <v>560</v>
      </c>
      <c r="J1110" s="29" t="s">
        <v>2270</v>
      </c>
      <c r="K1110" s="29" t="s">
        <v>2271</v>
      </c>
      <c r="L1110" s="29" t="s">
        <v>2272</v>
      </c>
      <c r="M1110" s="29" t="s">
        <v>2061</v>
      </c>
      <c r="N1110" s="29" t="s">
        <v>2041</v>
      </c>
      <c r="O1110" s="29" t="s">
        <v>590</v>
      </c>
    </row>
    <row r="1111" spans="1:15">
      <c r="A1111" s="25">
        <v>21384</v>
      </c>
      <c r="B1111" s="34" t="s">
        <v>2282</v>
      </c>
      <c r="C1111" s="31" t="s">
        <v>521</v>
      </c>
      <c r="D1111" s="31" t="s">
        <v>2283</v>
      </c>
      <c r="E1111" s="28">
        <v>43018</v>
      </c>
      <c r="F1111" s="28">
        <v>43405</v>
      </c>
      <c r="G1111" s="28">
        <v>43769</v>
      </c>
      <c r="H1111" s="29" t="s">
        <v>560</v>
      </c>
      <c r="I1111" s="29" t="s">
        <v>560</v>
      </c>
      <c r="J1111" s="29" t="s">
        <v>2270</v>
      </c>
      <c r="K1111" s="29" t="s">
        <v>2271</v>
      </c>
      <c r="L1111" s="29" t="s">
        <v>2272</v>
      </c>
      <c r="M1111" s="29" t="s">
        <v>2215</v>
      </c>
      <c r="N1111" s="29" t="s">
        <v>1434</v>
      </c>
      <c r="O1111" s="29" t="s">
        <v>590</v>
      </c>
    </row>
    <row r="1112" spans="1:15">
      <c r="A1112" s="25">
        <v>21925</v>
      </c>
      <c r="B1112" s="34" t="s">
        <v>2284</v>
      </c>
      <c r="C1112" s="31" t="s">
        <v>521</v>
      </c>
      <c r="D1112" s="31" t="s">
        <v>1061</v>
      </c>
      <c r="E1112" s="28">
        <v>43108</v>
      </c>
      <c r="F1112" s="28">
        <v>43139</v>
      </c>
      <c r="G1112" s="28">
        <v>43496</v>
      </c>
      <c r="H1112" s="29" t="s">
        <v>560</v>
      </c>
      <c r="I1112" s="29" t="s">
        <v>560</v>
      </c>
      <c r="J1112" s="29" t="s">
        <v>2270</v>
      </c>
      <c r="K1112" s="29" t="s">
        <v>2271</v>
      </c>
      <c r="L1112" s="29" t="s">
        <v>2272</v>
      </c>
      <c r="M1112" s="29" t="s">
        <v>2222</v>
      </c>
      <c r="N1112" s="29" t="s">
        <v>2023</v>
      </c>
      <c r="O1112" s="29" t="s">
        <v>590</v>
      </c>
    </row>
    <row r="1113" spans="1:15">
      <c r="A1113" s="25">
        <v>22155</v>
      </c>
      <c r="B1113" s="34" t="s">
        <v>2285</v>
      </c>
      <c r="C1113" s="31" t="s">
        <v>521</v>
      </c>
      <c r="D1113" s="31" t="s">
        <v>758</v>
      </c>
      <c r="E1113" s="28">
        <v>43153</v>
      </c>
      <c r="F1113" s="28">
        <v>43181</v>
      </c>
      <c r="G1113" s="28">
        <v>43555</v>
      </c>
      <c r="H1113" s="29" t="s">
        <v>560</v>
      </c>
      <c r="I1113" s="29" t="s">
        <v>560</v>
      </c>
      <c r="J1113" s="29" t="s">
        <v>2270</v>
      </c>
      <c r="K1113" s="29" t="s">
        <v>2271</v>
      </c>
      <c r="L1113" s="29" t="s">
        <v>2272</v>
      </c>
      <c r="M1113" s="29" t="s">
        <v>2079</v>
      </c>
      <c r="N1113" s="29" t="s">
        <v>2080</v>
      </c>
      <c r="O1113" s="29" t="s">
        <v>590</v>
      </c>
    </row>
    <row r="1114" spans="1:15">
      <c r="A1114" s="25">
        <v>22202</v>
      </c>
      <c r="B1114" s="34" t="s">
        <v>695</v>
      </c>
      <c r="C1114" s="31" t="s">
        <v>521</v>
      </c>
      <c r="D1114" s="31" t="s">
        <v>1201</v>
      </c>
      <c r="E1114" s="28">
        <v>43158</v>
      </c>
      <c r="F1114" s="28">
        <v>43186</v>
      </c>
      <c r="G1114" s="28">
        <v>43555</v>
      </c>
      <c r="H1114" s="29" t="s">
        <v>560</v>
      </c>
      <c r="I1114" s="29" t="s">
        <v>560</v>
      </c>
      <c r="J1114" s="29" t="s">
        <v>2270</v>
      </c>
      <c r="K1114" s="29" t="s">
        <v>2271</v>
      </c>
      <c r="L1114" s="29" t="s">
        <v>2272</v>
      </c>
      <c r="M1114" s="29" t="s">
        <v>2238</v>
      </c>
      <c r="N1114" s="29" t="s">
        <v>1434</v>
      </c>
      <c r="O1114" s="29" t="s">
        <v>590</v>
      </c>
    </row>
    <row r="1115" spans="1:15">
      <c r="A1115" s="25">
        <v>22262</v>
      </c>
      <c r="B1115" s="34" t="s">
        <v>2286</v>
      </c>
      <c r="C1115" s="31" t="s">
        <v>521</v>
      </c>
      <c r="D1115" s="31" t="s">
        <v>2287</v>
      </c>
      <c r="E1115" s="28">
        <v>43175</v>
      </c>
      <c r="F1115" s="28">
        <v>43206</v>
      </c>
      <c r="G1115" s="28">
        <v>43585</v>
      </c>
      <c r="H1115" s="29" t="s">
        <v>560</v>
      </c>
      <c r="I1115" s="29" t="s">
        <v>560</v>
      </c>
      <c r="J1115" s="29" t="s">
        <v>2270</v>
      </c>
      <c r="K1115" s="29" t="s">
        <v>2271</v>
      </c>
      <c r="L1115" s="29" t="s">
        <v>2272</v>
      </c>
      <c r="M1115" s="29" t="s">
        <v>2118</v>
      </c>
      <c r="N1115" s="29" t="s">
        <v>2041</v>
      </c>
      <c r="O1115" s="29" t="s">
        <v>590</v>
      </c>
    </row>
    <row r="1116" spans="1:15">
      <c r="A1116" s="25">
        <v>22329</v>
      </c>
      <c r="B1116" s="34" t="s">
        <v>2288</v>
      </c>
      <c r="C1116" s="31" t="s">
        <v>521</v>
      </c>
      <c r="D1116" s="31" t="s">
        <v>694</v>
      </c>
      <c r="E1116" s="28">
        <v>43195</v>
      </c>
      <c r="F1116" s="28">
        <v>43225</v>
      </c>
      <c r="G1116" s="28">
        <v>43585</v>
      </c>
      <c r="H1116" s="29" t="s">
        <v>560</v>
      </c>
      <c r="I1116" s="29" t="s">
        <v>560</v>
      </c>
      <c r="J1116" s="29" t="s">
        <v>2270</v>
      </c>
      <c r="K1116" s="29" t="s">
        <v>2271</v>
      </c>
      <c r="L1116" s="29" t="s">
        <v>2272</v>
      </c>
      <c r="M1116" s="29" t="s">
        <v>2040</v>
      </c>
      <c r="N1116" s="29" t="s">
        <v>2041</v>
      </c>
      <c r="O1116" s="29" t="s">
        <v>590</v>
      </c>
    </row>
    <row r="1117" spans="1:15">
      <c r="A1117" s="25">
        <v>22892</v>
      </c>
      <c r="B1117" s="26" t="s">
        <v>2289</v>
      </c>
      <c r="C1117" s="27" t="s">
        <v>521</v>
      </c>
      <c r="D1117" s="27" t="s">
        <v>775</v>
      </c>
      <c r="E1117" s="28">
        <v>43333</v>
      </c>
      <c r="F1117" s="28">
        <v>43364</v>
      </c>
      <c r="G1117" s="28">
        <v>43738</v>
      </c>
      <c r="H1117" s="27" t="s">
        <v>560</v>
      </c>
      <c r="I1117" s="27" t="s">
        <v>560</v>
      </c>
      <c r="J1117" s="29" t="s">
        <v>2270</v>
      </c>
      <c r="K1117" s="29" t="s">
        <v>2271</v>
      </c>
      <c r="L1117" s="29" t="s">
        <v>2272</v>
      </c>
      <c r="M1117" s="29" t="s">
        <v>2077</v>
      </c>
      <c r="N1117" s="29" t="s">
        <v>2077</v>
      </c>
      <c r="O1117" s="29" t="s">
        <v>590</v>
      </c>
    </row>
    <row r="1118" spans="1:15">
      <c r="A1118" s="25">
        <v>23058</v>
      </c>
      <c r="B1118" s="34" t="s">
        <v>2290</v>
      </c>
      <c r="C1118" s="31" t="s">
        <v>521</v>
      </c>
      <c r="D1118" s="31" t="s">
        <v>1872</v>
      </c>
      <c r="E1118" s="28">
        <v>43361</v>
      </c>
      <c r="F1118" s="28">
        <v>43391</v>
      </c>
      <c r="G1118" s="28">
        <v>43769</v>
      </c>
      <c r="H1118" s="29" t="s">
        <v>560</v>
      </c>
      <c r="I1118" s="29" t="s">
        <v>560</v>
      </c>
      <c r="J1118" s="29" t="s">
        <v>2270</v>
      </c>
      <c r="K1118" s="29" t="s">
        <v>2271</v>
      </c>
      <c r="L1118" s="29" t="s">
        <v>2272</v>
      </c>
      <c r="M1118" s="29" t="s">
        <v>2222</v>
      </c>
      <c r="N1118" s="29" t="s">
        <v>2023</v>
      </c>
      <c r="O1118" s="29" t="s">
        <v>590</v>
      </c>
    </row>
    <row r="1119" spans="1:15">
      <c r="A1119" s="25">
        <v>23115</v>
      </c>
      <c r="B1119" s="34" t="s">
        <v>2291</v>
      </c>
      <c r="C1119" s="31" t="s">
        <v>521</v>
      </c>
      <c r="D1119" s="31" t="s">
        <v>1523</v>
      </c>
      <c r="E1119" s="28">
        <v>43369</v>
      </c>
      <c r="F1119" s="28">
        <v>43399</v>
      </c>
      <c r="G1119" s="28">
        <v>43769</v>
      </c>
      <c r="H1119" s="29" t="s">
        <v>560</v>
      </c>
      <c r="I1119" s="29" t="s">
        <v>560</v>
      </c>
      <c r="J1119" s="29" t="s">
        <v>2270</v>
      </c>
      <c r="K1119" s="29" t="s">
        <v>2271</v>
      </c>
      <c r="L1119" s="29" t="s">
        <v>2272</v>
      </c>
      <c r="M1119" s="29" t="s">
        <v>2063</v>
      </c>
      <c r="N1119" s="29" t="s">
        <v>2041</v>
      </c>
      <c r="O1119" s="29" t="s">
        <v>590</v>
      </c>
    </row>
    <row r="1120" spans="1:15">
      <c r="A1120" s="25">
        <v>23232</v>
      </c>
      <c r="B1120" s="34" t="s">
        <v>2292</v>
      </c>
      <c r="C1120" s="31" t="s">
        <v>521</v>
      </c>
      <c r="D1120" s="31" t="s">
        <v>1582</v>
      </c>
      <c r="E1120" s="28">
        <v>43421</v>
      </c>
      <c r="F1120" s="28">
        <v>43451</v>
      </c>
      <c r="G1120" s="28">
        <v>43830</v>
      </c>
      <c r="H1120" s="29" t="s">
        <v>560</v>
      </c>
      <c r="I1120" s="29" t="s">
        <v>560</v>
      </c>
      <c r="J1120" s="29" t="s">
        <v>2270</v>
      </c>
      <c r="K1120" s="29" t="s">
        <v>2271</v>
      </c>
      <c r="L1120" s="29" t="s">
        <v>2272</v>
      </c>
      <c r="M1120" s="29" t="s">
        <v>2293</v>
      </c>
      <c r="N1120" s="29" t="s">
        <v>1434</v>
      </c>
      <c r="O1120" s="29" t="s">
        <v>590</v>
      </c>
    </row>
    <row r="1121" spans="1:15">
      <c r="A1121" s="25">
        <v>23233</v>
      </c>
      <c r="B1121" s="34" t="s">
        <v>2294</v>
      </c>
      <c r="C1121" s="31" t="s">
        <v>521</v>
      </c>
      <c r="D1121" s="31" t="s">
        <v>1582</v>
      </c>
      <c r="E1121" s="28">
        <v>43421</v>
      </c>
      <c r="F1121" s="28">
        <v>43451</v>
      </c>
      <c r="G1121" s="28">
        <v>43830</v>
      </c>
      <c r="H1121" s="29" t="s">
        <v>560</v>
      </c>
      <c r="I1121" s="29" t="s">
        <v>560</v>
      </c>
      <c r="J1121" s="29" t="s">
        <v>2270</v>
      </c>
      <c r="K1121" s="29" t="s">
        <v>2271</v>
      </c>
      <c r="L1121" s="29" t="s">
        <v>2272</v>
      </c>
      <c r="M1121" s="29" t="s">
        <v>2052</v>
      </c>
      <c r="N1121" s="29" t="s">
        <v>2041</v>
      </c>
      <c r="O1121" s="29" t="s">
        <v>590</v>
      </c>
    </row>
    <row r="1122" spans="1:15">
      <c r="A1122" s="25">
        <v>23507</v>
      </c>
      <c r="B1122" s="34" t="s">
        <v>2295</v>
      </c>
      <c r="C1122" s="31" t="s">
        <v>521</v>
      </c>
      <c r="D1122" s="31" t="s">
        <v>1588</v>
      </c>
      <c r="E1122" s="28">
        <v>43441</v>
      </c>
      <c r="F1122" s="28">
        <v>43472</v>
      </c>
      <c r="G1122" s="28">
        <v>43830</v>
      </c>
      <c r="H1122" s="29" t="s">
        <v>560</v>
      </c>
      <c r="I1122" s="29" t="s">
        <v>560</v>
      </c>
      <c r="J1122" s="29" t="s">
        <v>2270</v>
      </c>
      <c r="K1122" s="29" t="s">
        <v>2271</v>
      </c>
      <c r="L1122" s="29" t="s">
        <v>2272</v>
      </c>
      <c r="M1122" s="29" t="s">
        <v>2296</v>
      </c>
      <c r="N1122" s="29" t="s">
        <v>1586</v>
      </c>
      <c r="O1122" s="29" t="s">
        <v>590</v>
      </c>
    </row>
    <row r="1123" spans="1:15">
      <c r="A1123" s="25" t="s">
        <v>2297</v>
      </c>
      <c r="B1123" s="26" t="s">
        <v>2298</v>
      </c>
      <c r="C1123" s="27" t="s">
        <v>521</v>
      </c>
      <c r="D1123" s="27" t="s">
        <v>2299</v>
      </c>
      <c r="E1123" s="28">
        <v>42226</v>
      </c>
      <c r="F1123" s="28" t="s">
        <v>35</v>
      </c>
      <c r="G1123" s="28" t="s">
        <v>35</v>
      </c>
      <c r="H1123" s="27" t="s">
        <v>560</v>
      </c>
      <c r="I1123" s="27" t="s">
        <v>560</v>
      </c>
      <c r="J1123" s="29" t="s">
        <v>2270</v>
      </c>
      <c r="K1123" s="29" t="s">
        <v>2271</v>
      </c>
      <c r="L1123" s="29" t="s">
        <v>2272</v>
      </c>
      <c r="M1123" s="29" t="s">
        <v>2050</v>
      </c>
      <c r="N1123" s="29" t="s">
        <v>1434</v>
      </c>
      <c r="O1123" s="29" t="s">
        <v>590</v>
      </c>
    </row>
    <row r="1124" spans="1:15">
      <c r="A1124" s="25">
        <v>23562</v>
      </c>
      <c r="B1124" s="34" t="s">
        <v>2300</v>
      </c>
      <c r="C1124" s="31" t="s">
        <v>521</v>
      </c>
      <c r="D1124" s="31" t="s">
        <v>884</v>
      </c>
      <c r="E1124" s="28">
        <v>43452</v>
      </c>
      <c r="F1124" s="28">
        <v>43483</v>
      </c>
      <c r="G1124" s="28">
        <v>43861</v>
      </c>
      <c r="H1124" s="29" t="s">
        <v>560</v>
      </c>
      <c r="I1124" s="29" t="s">
        <v>560</v>
      </c>
      <c r="J1124" s="29" t="s">
        <v>2270</v>
      </c>
      <c r="K1124" s="29" t="s">
        <v>2271</v>
      </c>
      <c r="L1124" s="29" t="s">
        <v>2272</v>
      </c>
      <c r="M1124" s="29" t="s">
        <v>2189</v>
      </c>
      <c r="N1124" s="29" t="s">
        <v>1586</v>
      </c>
      <c r="O1124" s="29" t="s">
        <v>590</v>
      </c>
    </row>
    <row r="1125" spans="1:15">
      <c r="A1125" s="25">
        <v>23493</v>
      </c>
      <c r="B1125" s="34" t="s">
        <v>2301</v>
      </c>
      <c r="C1125" s="31" t="s">
        <v>521</v>
      </c>
      <c r="D1125" s="31" t="s">
        <v>1588</v>
      </c>
      <c r="E1125" s="28">
        <v>43441</v>
      </c>
      <c r="F1125" s="28">
        <v>43472</v>
      </c>
      <c r="G1125" s="28">
        <v>43830</v>
      </c>
      <c r="H1125" s="29" t="s">
        <v>560</v>
      </c>
      <c r="I1125" s="29" t="s">
        <v>560</v>
      </c>
      <c r="J1125" s="29" t="s">
        <v>2270</v>
      </c>
      <c r="K1125" s="29" t="s">
        <v>2271</v>
      </c>
      <c r="L1125" s="29" t="s">
        <v>2302</v>
      </c>
      <c r="M1125" s="29" t="s">
        <v>1593</v>
      </c>
      <c r="N1125" s="29" t="s">
        <v>1586</v>
      </c>
      <c r="O1125" s="29" t="s">
        <v>590</v>
      </c>
    </row>
    <row r="1126" spans="1:15">
      <c r="A1126" s="25">
        <v>1273</v>
      </c>
      <c r="B1126" s="26" t="s">
        <v>2303</v>
      </c>
      <c r="C1126" s="27" t="s">
        <v>521</v>
      </c>
      <c r="D1126" s="27" t="s">
        <v>1458</v>
      </c>
      <c r="E1126" s="28">
        <v>37921</v>
      </c>
      <c r="F1126" s="28" t="s">
        <v>35</v>
      </c>
      <c r="G1126" s="28" t="s">
        <v>35</v>
      </c>
      <c r="H1126" s="27" t="s">
        <v>560</v>
      </c>
      <c r="I1126" s="27" t="s">
        <v>560</v>
      </c>
      <c r="J1126" s="29" t="s">
        <v>2304</v>
      </c>
      <c r="K1126" s="29" t="s">
        <v>2305</v>
      </c>
      <c r="L1126" s="29" t="s">
        <v>2306</v>
      </c>
      <c r="M1126" s="29" t="s">
        <v>2094</v>
      </c>
      <c r="N1126" s="29" t="s">
        <v>1434</v>
      </c>
      <c r="O1126" s="29" t="s">
        <v>594</v>
      </c>
    </row>
    <row r="1127" spans="1:15">
      <c r="A1127" s="25">
        <v>5747</v>
      </c>
      <c r="B1127" s="26" t="s">
        <v>2307</v>
      </c>
      <c r="C1127" s="27" t="s">
        <v>521</v>
      </c>
      <c r="D1127" s="27" t="s">
        <v>790</v>
      </c>
      <c r="E1127" s="28">
        <v>39098</v>
      </c>
      <c r="F1127" s="28" t="s">
        <v>35</v>
      </c>
      <c r="G1127" s="28" t="s">
        <v>35</v>
      </c>
      <c r="H1127" s="27" t="s">
        <v>560</v>
      </c>
      <c r="I1127" s="31" t="s">
        <v>560</v>
      </c>
      <c r="J1127" s="29" t="s">
        <v>2304</v>
      </c>
      <c r="K1127" s="29" t="s">
        <v>2305</v>
      </c>
      <c r="L1127" s="29" t="s">
        <v>2306</v>
      </c>
      <c r="M1127" s="29" t="s">
        <v>2308</v>
      </c>
      <c r="N1127" s="29" t="s">
        <v>2041</v>
      </c>
      <c r="O1127" s="29" t="s">
        <v>594</v>
      </c>
    </row>
    <row r="1128" spans="1:15">
      <c r="A1128" s="25">
        <v>6139</v>
      </c>
      <c r="B1128" s="26" t="s">
        <v>2309</v>
      </c>
      <c r="C1128" s="27" t="s">
        <v>521</v>
      </c>
      <c r="D1128" s="27" t="s">
        <v>576</v>
      </c>
      <c r="E1128" s="28">
        <v>39157</v>
      </c>
      <c r="F1128" s="28" t="s">
        <v>35</v>
      </c>
      <c r="G1128" s="28" t="s">
        <v>35</v>
      </c>
      <c r="H1128" s="27" t="s">
        <v>560</v>
      </c>
      <c r="I1128" s="27" t="s">
        <v>560</v>
      </c>
      <c r="J1128" s="27" t="s">
        <v>2304</v>
      </c>
      <c r="K1128" s="29" t="s">
        <v>2305</v>
      </c>
      <c r="L1128" s="29" t="s">
        <v>2306</v>
      </c>
      <c r="M1128" s="29" t="s">
        <v>2310</v>
      </c>
      <c r="N1128" s="29" t="s">
        <v>1434</v>
      </c>
      <c r="O1128" s="29" t="s">
        <v>594</v>
      </c>
    </row>
    <row r="1129" spans="1:15">
      <c r="A1129" s="25">
        <v>9005</v>
      </c>
      <c r="B1129" s="26" t="s">
        <v>112</v>
      </c>
      <c r="C1129" s="27" t="s">
        <v>521</v>
      </c>
      <c r="D1129" s="27" t="s">
        <v>715</v>
      </c>
      <c r="E1129" s="28">
        <v>39975</v>
      </c>
      <c r="F1129" s="28" t="s">
        <v>35</v>
      </c>
      <c r="G1129" s="28" t="s">
        <v>35</v>
      </c>
      <c r="H1129" s="27" t="s">
        <v>560</v>
      </c>
      <c r="I1129" s="27" t="s">
        <v>560</v>
      </c>
      <c r="J1129" s="29" t="s">
        <v>2304</v>
      </c>
      <c r="K1129" s="29" t="s">
        <v>2305</v>
      </c>
      <c r="L1129" s="29" t="s">
        <v>2306</v>
      </c>
      <c r="M1129" s="29" t="s">
        <v>2310</v>
      </c>
      <c r="N1129" s="29" t="s">
        <v>1434</v>
      </c>
      <c r="O1129" s="29" t="s">
        <v>594</v>
      </c>
    </row>
    <row r="1130" spans="1:15">
      <c r="A1130" s="25">
        <v>9801</v>
      </c>
      <c r="B1130" s="33" t="s">
        <v>2311</v>
      </c>
      <c r="C1130" s="27" t="s">
        <v>521</v>
      </c>
      <c r="D1130" s="27" t="s">
        <v>2312</v>
      </c>
      <c r="E1130" s="28">
        <v>40360</v>
      </c>
      <c r="F1130" s="28" t="s">
        <v>35</v>
      </c>
      <c r="G1130" s="28" t="s">
        <v>35</v>
      </c>
      <c r="H1130" s="31" t="s">
        <v>560</v>
      </c>
      <c r="I1130" s="31" t="s">
        <v>560</v>
      </c>
      <c r="J1130" s="29" t="s">
        <v>2304</v>
      </c>
      <c r="K1130" s="29" t="s">
        <v>2305</v>
      </c>
      <c r="L1130" s="29" t="s">
        <v>2306</v>
      </c>
      <c r="M1130" s="29" t="s">
        <v>1550</v>
      </c>
      <c r="N1130" s="29" t="s">
        <v>1045</v>
      </c>
      <c r="O1130" s="29" t="s">
        <v>594</v>
      </c>
    </row>
    <row r="1131" spans="1:15">
      <c r="A1131" s="25">
        <v>10177</v>
      </c>
      <c r="B1131" s="26" t="s">
        <v>2313</v>
      </c>
      <c r="C1131" s="27" t="s">
        <v>521</v>
      </c>
      <c r="D1131" s="27" t="s">
        <v>787</v>
      </c>
      <c r="E1131" s="28">
        <v>40458</v>
      </c>
      <c r="F1131" s="28" t="s">
        <v>35</v>
      </c>
      <c r="G1131" s="28" t="s">
        <v>35</v>
      </c>
      <c r="H1131" s="27" t="s">
        <v>560</v>
      </c>
      <c r="I1131" s="27" t="s">
        <v>560</v>
      </c>
      <c r="J1131" s="29" t="s">
        <v>2304</v>
      </c>
      <c r="K1131" s="29" t="s">
        <v>2305</v>
      </c>
      <c r="L1131" s="29" t="s">
        <v>2306</v>
      </c>
      <c r="M1131" s="29" t="s">
        <v>2061</v>
      </c>
      <c r="N1131" s="29" t="s">
        <v>2041</v>
      </c>
      <c r="O1131" s="29" t="s">
        <v>594</v>
      </c>
    </row>
    <row r="1132" spans="1:15">
      <c r="A1132" s="25">
        <v>11567</v>
      </c>
      <c r="B1132" s="26" t="s">
        <v>2314</v>
      </c>
      <c r="C1132" s="27" t="s">
        <v>521</v>
      </c>
      <c r="D1132" s="27" t="s">
        <v>841</v>
      </c>
      <c r="E1132" s="28">
        <v>40707</v>
      </c>
      <c r="F1132" s="28" t="s">
        <v>35</v>
      </c>
      <c r="G1132" s="28" t="s">
        <v>35</v>
      </c>
      <c r="H1132" s="27" t="s">
        <v>560</v>
      </c>
      <c r="I1132" s="27" t="s">
        <v>560</v>
      </c>
      <c r="J1132" s="29" t="s">
        <v>2304</v>
      </c>
      <c r="K1132" s="29" t="s">
        <v>2305</v>
      </c>
      <c r="L1132" s="29" t="s">
        <v>2306</v>
      </c>
      <c r="M1132" s="29" t="s">
        <v>2025</v>
      </c>
      <c r="N1132" s="29" t="s">
        <v>2026</v>
      </c>
      <c r="O1132" s="29" t="s">
        <v>594</v>
      </c>
    </row>
    <row r="1133" spans="1:15">
      <c r="A1133" s="25">
        <v>11574</v>
      </c>
      <c r="B1133" s="26" t="s">
        <v>2315</v>
      </c>
      <c r="C1133" s="27" t="s">
        <v>521</v>
      </c>
      <c r="D1133" s="27" t="s">
        <v>841</v>
      </c>
      <c r="E1133" s="28">
        <v>40707</v>
      </c>
      <c r="F1133" s="28" t="s">
        <v>35</v>
      </c>
      <c r="G1133" s="28" t="s">
        <v>35</v>
      </c>
      <c r="H1133" s="29" t="s">
        <v>560</v>
      </c>
      <c r="I1133" s="29" t="s">
        <v>560</v>
      </c>
      <c r="J1133" s="29" t="s">
        <v>2304</v>
      </c>
      <c r="K1133" s="29" t="s">
        <v>2305</v>
      </c>
      <c r="L1133" s="29" t="s">
        <v>2306</v>
      </c>
      <c r="M1133" s="29" t="s">
        <v>2197</v>
      </c>
      <c r="N1133" s="29" t="s">
        <v>2031</v>
      </c>
      <c r="O1133" s="29" t="s">
        <v>594</v>
      </c>
    </row>
    <row r="1134" spans="1:15">
      <c r="A1134" s="25">
        <v>12052</v>
      </c>
      <c r="B1134" s="26" t="s">
        <v>2316</v>
      </c>
      <c r="C1134" s="27" t="s">
        <v>521</v>
      </c>
      <c r="D1134" s="27" t="s">
        <v>2317</v>
      </c>
      <c r="E1134" s="28">
        <v>40792</v>
      </c>
      <c r="F1134" s="28" t="s">
        <v>35</v>
      </c>
      <c r="G1134" s="28" t="s">
        <v>35</v>
      </c>
      <c r="H1134" s="29" t="s">
        <v>560</v>
      </c>
      <c r="I1134" s="29" t="s">
        <v>560</v>
      </c>
      <c r="J1134" s="29" t="s">
        <v>2304</v>
      </c>
      <c r="K1134" s="29" t="s">
        <v>2305</v>
      </c>
      <c r="L1134" s="29" t="s">
        <v>2306</v>
      </c>
      <c r="M1134" s="29" t="s">
        <v>2084</v>
      </c>
      <c r="N1134" s="29" t="s">
        <v>1434</v>
      </c>
      <c r="O1134" s="29" t="s">
        <v>594</v>
      </c>
    </row>
    <row r="1135" spans="1:15">
      <c r="A1135" s="25">
        <v>12109</v>
      </c>
      <c r="B1135" s="26" t="s">
        <v>2318</v>
      </c>
      <c r="C1135" s="27" t="s">
        <v>521</v>
      </c>
      <c r="D1135" s="27" t="s">
        <v>665</v>
      </c>
      <c r="E1135" s="28">
        <v>40798</v>
      </c>
      <c r="F1135" s="28" t="s">
        <v>35</v>
      </c>
      <c r="G1135" s="28" t="s">
        <v>35</v>
      </c>
      <c r="H1135" s="29" t="s">
        <v>560</v>
      </c>
      <c r="I1135" s="29" t="s">
        <v>560</v>
      </c>
      <c r="J1135" s="29" t="s">
        <v>2304</v>
      </c>
      <c r="K1135" s="29" t="s">
        <v>2305</v>
      </c>
      <c r="L1135" s="29" t="s">
        <v>2306</v>
      </c>
      <c r="M1135" s="29" t="s">
        <v>2141</v>
      </c>
      <c r="N1135" s="29" t="s">
        <v>2031</v>
      </c>
      <c r="O1135" s="29" t="s">
        <v>594</v>
      </c>
    </row>
    <row r="1136" spans="1:15">
      <c r="A1136" s="25">
        <v>12470</v>
      </c>
      <c r="B1136" s="26" t="s">
        <v>2319</v>
      </c>
      <c r="C1136" s="27" t="s">
        <v>521</v>
      </c>
      <c r="D1136" s="27" t="s">
        <v>722</v>
      </c>
      <c r="E1136" s="28">
        <v>40812</v>
      </c>
      <c r="F1136" s="28" t="s">
        <v>35</v>
      </c>
      <c r="G1136" s="28" t="s">
        <v>35</v>
      </c>
      <c r="H1136" s="27" t="s">
        <v>560</v>
      </c>
      <c r="I1136" s="27" t="s">
        <v>560</v>
      </c>
      <c r="J1136" s="29" t="s">
        <v>2304</v>
      </c>
      <c r="K1136" s="29" t="s">
        <v>2305</v>
      </c>
      <c r="L1136" s="29" t="s">
        <v>2306</v>
      </c>
      <c r="M1136" s="29" t="s">
        <v>2215</v>
      </c>
      <c r="N1136" s="29" t="s">
        <v>1434</v>
      </c>
      <c r="O1136" s="29" t="s">
        <v>594</v>
      </c>
    </row>
    <row r="1137" spans="1:15">
      <c r="A1137" s="25">
        <v>19027</v>
      </c>
      <c r="B1137" s="26" t="s">
        <v>2320</v>
      </c>
      <c r="C1137" s="27" t="s">
        <v>521</v>
      </c>
      <c r="D1137" s="27" t="s">
        <v>855</v>
      </c>
      <c r="E1137" s="28">
        <v>42214</v>
      </c>
      <c r="F1137" s="28" t="s">
        <v>35</v>
      </c>
      <c r="G1137" s="28" t="s">
        <v>35</v>
      </c>
      <c r="H1137" s="27" t="s">
        <v>560</v>
      </c>
      <c r="I1137" s="27" t="s">
        <v>560</v>
      </c>
      <c r="J1137" s="29" t="s">
        <v>2304</v>
      </c>
      <c r="K1137" s="29" t="s">
        <v>2305</v>
      </c>
      <c r="L1137" s="29" t="s">
        <v>2306</v>
      </c>
      <c r="M1137" s="29" t="s">
        <v>2120</v>
      </c>
      <c r="N1137" s="29" t="s">
        <v>1434</v>
      </c>
      <c r="O1137" s="29" t="s">
        <v>594</v>
      </c>
    </row>
    <row r="1138" spans="1:15">
      <c r="A1138" s="25">
        <v>20480</v>
      </c>
      <c r="B1138" s="26" t="s">
        <v>2265</v>
      </c>
      <c r="C1138" s="27" t="s">
        <v>521</v>
      </c>
      <c r="D1138" s="27" t="s">
        <v>1644</v>
      </c>
      <c r="E1138" s="28">
        <v>42634</v>
      </c>
      <c r="F1138" s="28">
        <v>43132</v>
      </c>
      <c r="G1138" s="28">
        <v>43496</v>
      </c>
      <c r="H1138" s="25" t="s">
        <v>560</v>
      </c>
      <c r="I1138" s="27" t="s">
        <v>560</v>
      </c>
      <c r="J1138" s="29" t="s">
        <v>2304</v>
      </c>
      <c r="K1138" s="29" t="s">
        <v>2305</v>
      </c>
      <c r="L1138" s="29" t="s">
        <v>2306</v>
      </c>
      <c r="M1138" s="29" t="s">
        <v>2048</v>
      </c>
      <c r="N1138" s="29" t="s">
        <v>1434</v>
      </c>
      <c r="O1138" s="29" t="s">
        <v>594</v>
      </c>
    </row>
    <row r="1139" spans="1:15">
      <c r="A1139" s="25">
        <v>20517</v>
      </c>
      <c r="B1139" s="26" t="s">
        <v>2321</v>
      </c>
      <c r="C1139" s="27" t="s">
        <v>521</v>
      </c>
      <c r="D1139" s="27" t="s">
        <v>1644</v>
      </c>
      <c r="E1139" s="28">
        <v>42634</v>
      </c>
      <c r="F1139" s="28">
        <v>43132</v>
      </c>
      <c r="G1139" s="28">
        <v>43496</v>
      </c>
      <c r="H1139" s="27" t="s">
        <v>560</v>
      </c>
      <c r="I1139" s="29" t="s">
        <v>560</v>
      </c>
      <c r="J1139" s="29" t="s">
        <v>2304</v>
      </c>
      <c r="K1139" s="29" t="s">
        <v>2305</v>
      </c>
      <c r="L1139" s="29" t="s">
        <v>2306</v>
      </c>
      <c r="M1139" s="29" t="s">
        <v>2057</v>
      </c>
      <c r="N1139" s="29" t="s">
        <v>2041</v>
      </c>
      <c r="O1139" s="29" t="s">
        <v>594</v>
      </c>
    </row>
    <row r="1140" spans="1:15">
      <c r="A1140" s="25">
        <v>20634</v>
      </c>
      <c r="B1140" s="26" t="s">
        <v>2322</v>
      </c>
      <c r="C1140" s="27" t="s">
        <v>521</v>
      </c>
      <c r="D1140" s="27" t="s">
        <v>673</v>
      </c>
      <c r="E1140" s="28">
        <v>42639</v>
      </c>
      <c r="F1140" s="28">
        <v>43132</v>
      </c>
      <c r="G1140" s="28">
        <v>43496</v>
      </c>
      <c r="H1140" s="25" t="s">
        <v>560</v>
      </c>
      <c r="I1140" s="25" t="s">
        <v>560</v>
      </c>
      <c r="J1140" s="29" t="s">
        <v>2304</v>
      </c>
      <c r="K1140" s="29" t="s">
        <v>2305</v>
      </c>
      <c r="L1140" s="29" t="s">
        <v>2306</v>
      </c>
      <c r="M1140" s="29" t="s">
        <v>2028</v>
      </c>
      <c r="N1140" s="29" t="s">
        <v>1434</v>
      </c>
      <c r="O1140" s="29" t="s">
        <v>594</v>
      </c>
    </row>
    <row r="1141" spans="1:15">
      <c r="A1141" s="25">
        <v>20947</v>
      </c>
      <c r="B1141" s="26" t="s">
        <v>2323</v>
      </c>
      <c r="C1141" s="27" t="s">
        <v>521</v>
      </c>
      <c r="D1141" s="27" t="s">
        <v>1149</v>
      </c>
      <c r="E1141" s="28">
        <v>42667</v>
      </c>
      <c r="F1141" s="28">
        <v>43160</v>
      </c>
      <c r="G1141" s="28">
        <v>43524</v>
      </c>
      <c r="H1141" s="27" t="s">
        <v>560</v>
      </c>
      <c r="I1141" s="27" t="s">
        <v>560</v>
      </c>
      <c r="J1141" s="29" t="s">
        <v>2304</v>
      </c>
      <c r="K1141" s="29" t="s">
        <v>2305</v>
      </c>
      <c r="L1141" s="29" t="s">
        <v>2306</v>
      </c>
      <c r="M1141" s="29" t="s">
        <v>2324</v>
      </c>
      <c r="N1141" s="29" t="s">
        <v>2080</v>
      </c>
      <c r="O1141" s="29" t="s">
        <v>594</v>
      </c>
    </row>
    <row r="1142" spans="1:15">
      <c r="A1142" s="25">
        <v>20978</v>
      </c>
      <c r="B1142" s="34" t="s">
        <v>209</v>
      </c>
      <c r="C1142" s="31" t="s">
        <v>521</v>
      </c>
      <c r="D1142" s="27" t="s">
        <v>1184</v>
      </c>
      <c r="E1142" s="28">
        <v>42674</v>
      </c>
      <c r="F1142" s="28">
        <v>43160</v>
      </c>
      <c r="G1142" s="28">
        <v>43524</v>
      </c>
      <c r="H1142" s="31" t="s">
        <v>560</v>
      </c>
      <c r="I1142" s="31" t="s">
        <v>560</v>
      </c>
      <c r="J1142" s="29" t="s">
        <v>2304</v>
      </c>
      <c r="K1142" s="29" t="s">
        <v>2305</v>
      </c>
      <c r="L1142" s="29" t="s">
        <v>2306</v>
      </c>
      <c r="M1142" s="29" t="s">
        <v>2238</v>
      </c>
      <c r="N1142" s="29" t="s">
        <v>1434</v>
      </c>
      <c r="O1142" s="29" t="s">
        <v>594</v>
      </c>
    </row>
    <row r="1143" spans="1:15">
      <c r="A1143" s="25">
        <v>21624</v>
      </c>
      <c r="B1143" s="34" t="s">
        <v>2325</v>
      </c>
      <c r="C1143" s="31" t="s">
        <v>521</v>
      </c>
      <c r="D1143" s="31" t="s">
        <v>1603</v>
      </c>
      <c r="E1143" s="28">
        <v>43048</v>
      </c>
      <c r="F1143" s="28">
        <v>43435</v>
      </c>
      <c r="G1143" s="28">
        <v>43799</v>
      </c>
      <c r="H1143" s="29" t="s">
        <v>560</v>
      </c>
      <c r="I1143" s="29" t="s">
        <v>560</v>
      </c>
      <c r="J1143" s="29" t="s">
        <v>2304</v>
      </c>
      <c r="K1143" s="29" t="s">
        <v>2305</v>
      </c>
      <c r="L1143" s="29" t="s">
        <v>2306</v>
      </c>
      <c r="M1143" s="29" t="s">
        <v>2244</v>
      </c>
      <c r="N1143" s="29" t="s">
        <v>2023</v>
      </c>
      <c r="O1143" s="29" t="s">
        <v>594</v>
      </c>
    </row>
    <row r="1144" spans="1:15">
      <c r="A1144" s="25">
        <v>21996</v>
      </c>
      <c r="B1144" s="34" t="s">
        <v>2326</v>
      </c>
      <c r="C1144" s="31" t="s">
        <v>521</v>
      </c>
      <c r="D1144" s="31" t="s">
        <v>1171</v>
      </c>
      <c r="E1144" s="28">
        <v>43139</v>
      </c>
      <c r="F1144" s="28">
        <v>43167</v>
      </c>
      <c r="G1144" s="28">
        <v>43524</v>
      </c>
      <c r="H1144" s="29" t="s">
        <v>560</v>
      </c>
      <c r="I1144" s="29" t="s">
        <v>560</v>
      </c>
      <c r="J1144" s="29" t="s">
        <v>2304</v>
      </c>
      <c r="K1144" s="29" t="s">
        <v>2305</v>
      </c>
      <c r="L1144" s="29" t="s">
        <v>2306</v>
      </c>
      <c r="M1144" s="29" t="s">
        <v>2082</v>
      </c>
      <c r="N1144" s="29" t="s">
        <v>1434</v>
      </c>
      <c r="O1144" s="29" t="s">
        <v>594</v>
      </c>
    </row>
    <row r="1145" spans="1:15">
      <c r="A1145" s="25">
        <v>22250</v>
      </c>
      <c r="B1145" s="34" t="s">
        <v>2327</v>
      </c>
      <c r="C1145" s="31" t="s">
        <v>521</v>
      </c>
      <c r="D1145" s="31" t="s">
        <v>1189</v>
      </c>
      <c r="E1145" s="28">
        <v>43171</v>
      </c>
      <c r="F1145" s="28">
        <v>43202</v>
      </c>
      <c r="G1145" s="28">
        <v>43555</v>
      </c>
      <c r="H1145" s="29" t="s">
        <v>560</v>
      </c>
      <c r="I1145" s="29" t="s">
        <v>560</v>
      </c>
      <c r="J1145" s="29" t="s">
        <v>2304</v>
      </c>
      <c r="K1145" s="29" t="s">
        <v>2305</v>
      </c>
      <c r="L1145" s="29" t="s">
        <v>2306</v>
      </c>
      <c r="M1145" s="29" t="s">
        <v>2328</v>
      </c>
      <c r="N1145" s="29" t="s">
        <v>2080</v>
      </c>
      <c r="O1145" s="29" t="s">
        <v>594</v>
      </c>
    </row>
    <row r="1146" spans="1:15">
      <c r="A1146" s="25">
        <v>22355</v>
      </c>
      <c r="B1146" s="34" t="s">
        <v>2329</v>
      </c>
      <c r="C1146" s="31" t="s">
        <v>521</v>
      </c>
      <c r="D1146" s="31" t="s">
        <v>694</v>
      </c>
      <c r="E1146" s="28">
        <v>43195</v>
      </c>
      <c r="F1146" s="28">
        <v>43225</v>
      </c>
      <c r="G1146" s="28">
        <v>43585</v>
      </c>
      <c r="H1146" s="29" t="s">
        <v>560</v>
      </c>
      <c r="I1146" s="29" t="s">
        <v>560</v>
      </c>
      <c r="J1146" s="29" t="s">
        <v>2304</v>
      </c>
      <c r="K1146" s="29" t="s">
        <v>2305</v>
      </c>
      <c r="L1146" s="29" t="s">
        <v>2306</v>
      </c>
      <c r="M1146" s="29" t="s">
        <v>2096</v>
      </c>
      <c r="N1146" s="29" t="s">
        <v>1434</v>
      </c>
      <c r="O1146" s="29" t="s">
        <v>594</v>
      </c>
    </row>
    <row r="1147" spans="1:15">
      <c r="A1147" s="25">
        <v>22369</v>
      </c>
      <c r="B1147" s="34" t="s">
        <v>2330</v>
      </c>
      <c r="C1147" s="31" t="s">
        <v>521</v>
      </c>
      <c r="D1147" s="31" t="s">
        <v>805</v>
      </c>
      <c r="E1147" s="28">
        <v>43213</v>
      </c>
      <c r="F1147" s="28">
        <v>43243</v>
      </c>
      <c r="G1147" s="28">
        <v>43616</v>
      </c>
      <c r="H1147" s="29" t="s">
        <v>560</v>
      </c>
      <c r="I1147" s="29" t="s">
        <v>560</v>
      </c>
      <c r="J1147" s="29" t="s">
        <v>2304</v>
      </c>
      <c r="K1147" s="29" t="s">
        <v>2305</v>
      </c>
      <c r="L1147" s="29" t="s">
        <v>2306</v>
      </c>
      <c r="M1147" s="29" t="s">
        <v>2331</v>
      </c>
      <c r="N1147" s="29" t="s">
        <v>2023</v>
      </c>
      <c r="O1147" s="29" t="s">
        <v>594</v>
      </c>
    </row>
    <row r="1148" spans="1:15">
      <c r="A1148" s="25">
        <v>22399</v>
      </c>
      <c r="B1148" s="34" t="s">
        <v>2332</v>
      </c>
      <c r="C1148" s="31" t="s">
        <v>521</v>
      </c>
      <c r="D1148" s="31" t="s">
        <v>805</v>
      </c>
      <c r="E1148" s="28">
        <v>43213</v>
      </c>
      <c r="F1148" s="28">
        <v>43243</v>
      </c>
      <c r="G1148" s="28">
        <v>43616</v>
      </c>
      <c r="H1148" s="29" t="s">
        <v>560</v>
      </c>
      <c r="I1148" s="29" t="s">
        <v>560</v>
      </c>
      <c r="J1148" s="29" t="s">
        <v>2304</v>
      </c>
      <c r="K1148" s="29" t="s">
        <v>2305</v>
      </c>
      <c r="L1148" s="29" t="s">
        <v>2306</v>
      </c>
      <c r="M1148" s="29" t="s">
        <v>2333</v>
      </c>
      <c r="N1148" s="29" t="s">
        <v>2041</v>
      </c>
      <c r="O1148" s="29" t="s">
        <v>594</v>
      </c>
    </row>
    <row r="1149" spans="1:15">
      <c r="A1149" s="25">
        <v>22401</v>
      </c>
      <c r="B1149" s="34" t="s">
        <v>2334</v>
      </c>
      <c r="C1149" s="31" t="s">
        <v>521</v>
      </c>
      <c r="D1149" s="31" t="s">
        <v>805</v>
      </c>
      <c r="E1149" s="28">
        <v>43213</v>
      </c>
      <c r="F1149" s="28">
        <v>43243</v>
      </c>
      <c r="G1149" s="28">
        <v>43616</v>
      </c>
      <c r="H1149" s="29" t="s">
        <v>560</v>
      </c>
      <c r="I1149" s="29" t="s">
        <v>560</v>
      </c>
      <c r="J1149" s="29" t="s">
        <v>2304</v>
      </c>
      <c r="K1149" s="29" t="s">
        <v>2305</v>
      </c>
      <c r="L1149" s="29" t="s">
        <v>2306</v>
      </c>
      <c r="M1149" s="29" t="s">
        <v>2089</v>
      </c>
      <c r="N1149" s="29" t="s">
        <v>2090</v>
      </c>
      <c r="O1149" s="29" t="s">
        <v>594</v>
      </c>
    </row>
    <row r="1150" spans="1:15">
      <c r="A1150" s="25">
        <v>22404</v>
      </c>
      <c r="B1150" s="34" t="s">
        <v>2335</v>
      </c>
      <c r="C1150" s="31" t="s">
        <v>521</v>
      </c>
      <c r="D1150" s="31" t="s">
        <v>805</v>
      </c>
      <c r="E1150" s="28">
        <v>43213</v>
      </c>
      <c r="F1150" s="28">
        <v>43243</v>
      </c>
      <c r="G1150" s="28">
        <v>43616</v>
      </c>
      <c r="H1150" s="29" t="s">
        <v>560</v>
      </c>
      <c r="I1150" s="29" t="s">
        <v>560</v>
      </c>
      <c r="J1150" s="29" t="s">
        <v>2304</v>
      </c>
      <c r="K1150" s="29" t="s">
        <v>2305</v>
      </c>
      <c r="L1150" s="29" t="s">
        <v>2306</v>
      </c>
      <c r="M1150" s="29" t="s">
        <v>2065</v>
      </c>
      <c r="N1150" s="29" t="s">
        <v>2041</v>
      </c>
      <c r="O1150" s="29" t="s">
        <v>594</v>
      </c>
    </row>
    <row r="1151" spans="1:15">
      <c r="A1151" s="25">
        <v>22412</v>
      </c>
      <c r="B1151" s="34" t="s">
        <v>2336</v>
      </c>
      <c r="C1151" s="31" t="s">
        <v>521</v>
      </c>
      <c r="D1151" s="31" t="s">
        <v>805</v>
      </c>
      <c r="E1151" s="28">
        <v>43213</v>
      </c>
      <c r="F1151" s="28">
        <v>43243</v>
      </c>
      <c r="G1151" s="28">
        <v>43616</v>
      </c>
      <c r="H1151" s="29" t="s">
        <v>560</v>
      </c>
      <c r="I1151" s="29" t="s">
        <v>560</v>
      </c>
      <c r="J1151" s="29" t="s">
        <v>2304</v>
      </c>
      <c r="K1151" s="29" t="s">
        <v>2305</v>
      </c>
      <c r="L1151" s="29" t="s">
        <v>2306</v>
      </c>
      <c r="M1151" s="29" t="s">
        <v>2085</v>
      </c>
      <c r="N1151" s="29" t="s">
        <v>1434</v>
      </c>
      <c r="O1151" s="29" t="s">
        <v>594</v>
      </c>
    </row>
    <row r="1152" spans="1:15">
      <c r="A1152" s="25">
        <v>22447</v>
      </c>
      <c r="B1152" s="26" t="s">
        <v>2337</v>
      </c>
      <c r="C1152" s="27" t="s">
        <v>521</v>
      </c>
      <c r="D1152" s="27" t="s">
        <v>1577</v>
      </c>
      <c r="E1152" s="28">
        <v>43220</v>
      </c>
      <c r="F1152" s="28">
        <v>43250</v>
      </c>
      <c r="G1152" s="28">
        <v>43616</v>
      </c>
      <c r="H1152" s="29" t="s">
        <v>560</v>
      </c>
      <c r="I1152" s="29" t="s">
        <v>560</v>
      </c>
      <c r="J1152" s="29" t="s">
        <v>2304</v>
      </c>
      <c r="K1152" s="29" t="s">
        <v>2305</v>
      </c>
      <c r="L1152" s="29" t="s">
        <v>2306</v>
      </c>
      <c r="M1152" s="29" t="s">
        <v>2338</v>
      </c>
      <c r="N1152" s="29" t="s">
        <v>1434</v>
      </c>
      <c r="O1152" s="29" t="s">
        <v>594</v>
      </c>
    </row>
    <row r="1153" spans="1:15">
      <c r="A1153" s="25">
        <v>22553</v>
      </c>
      <c r="B1153" s="34" t="s">
        <v>2339</v>
      </c>
      <c r="C1153" s="31" t="s">
        <v>521</v>
      </c>
      <c r="D1153" s="31" t="s">
        <v>773</v>
      </c>
      <c r="E1153" s="28">
        <v>43224</v>
      </c>
      <c r="F1153" s="28">
        <v>43255</v>
      </c>
      <c r="G1153" s="28">
        <v>43616</v>
      </c>
      <c r="H1153" s="29" t="s">
        <v>560</v>
      </c>
      <c r="I1153" s="29" t="s">
        <v>560</v>
      </c>
      <c r="J1153" s="29" t="s">
        <v>2304</v>
      </c>
      <c r="K1153" s="29" t="s">
        <v>2305</v>
      </c>
      <c r="L1153" s="29" t="s">
        <v>2306</v>
      </c>
      <c r="M1153" s="29" t="s">
        <v>2050</v>
      </c>
      <c r="N1153" s="29" t="s">
        <v>1434</v>
      </c>
      <c r="O1153" s="29" t="s">
        <v>594</v>
      </c>
    </row>
    <row r="1154" spans="1:15">
      <c r="A1154" s="25">
        <v>22560</v>
      </c>
      <c r="B1154" s="34" t="s">
        <v>2340</v>
      </c>
      <c r="C1154" s="31" t="s">
        <v>521</v>
      </c>
      <c r="D1154" s="31" t="s">
        <v>773</v>
      </c>
      <c r="E1154" s="28">
        <v>43224</v>
      </c>
      <c r="F1154" s="28">
        <v>43255</v>
      </c>
      <c r="G1154" s="28">
        <v>43616</v>
      </c>
      <c r="H1154" s="29" t="s">
        <v>560</v>
      </c>
      <c r="I1154" s="29" t="s">
        <v>560</v>
      </c>
      <c r="J1154" s="29" t="s">
        <v>2304</v>
      </c>
      <c r="K1154" s="29" t="s">
        <v>2305</v>
      </c>
      <c r="L1154" s="29" t="s">
        <v>2306</v>
      </c>
      <c r="M1154" s="29" t="s">
        <v>2074</v>
      </c>
      <c r="N1154" s="29" t="s">
        <v>1434</v>
      </c>
      <c r="O1154" s="29" t="s">
        <v>594</v>
      </c>
    </row>
    <row r="1155" spans="1:15">
      <c r="A1155" s="25">
        <v>22561</v>
      </c>
      <c r="B1155" s="34" t="s">
        <v>2341</v>
      </c>
      <c r="C1155" s="31" t="s">
        <v>521</v>
      </c>
      <c r="D1155" s="31" t="s">
        <v>773</v>
      </c>
      <c r="E1155" s="28">
        <v>43224</v>
      </c>
      <c r="F1155" s="28">
        <v>43255</v>
      </c>
      <c r="G1155" s="28">
        <v>43616</v>
      </c>
      <c r="H1155" s="29" t="s">
        <v>560</v>
      </c>
      <c r="I1155" s="29" t="s">
        <v>560</v>
      </c>
      <c r="J1155" s="29" t="s">
        <v>2304</v>
      </c>
      <c r="K1155" s="29" t="s">
        <v>2305</v>
      </c>
      <c r="L1155" s="29" t="s">
        <v>2306</v>
      </c>
      <c r="M1155" s="29" t="s">
        <v>2342</v>
      </c>
      <c r="N1155" s="29" t="s">
        <v>2041</v>
      </c>
      <c r="O1155" s="29" t="s">
        <v>594</v>
      </c>
    </row>
    <row r="1156" spans="1:15">
      <c r="A1156" s="25">
        <v>22596</v>
      </c>
      <c r="B1156" s="34" t="s">
        <v>2343</v>
      </c>
      <c r="C1156" s="31" t="s">
        <v>521</v>
      </c>
      <c r="D1156" s="31" t="s">
        <v>745</v>
      </c>
      <c r="E1156" s="28">
        <v>43236</v>
      </c>
      <c r="F1156" s="28">
        <v>43267</v>
      </c>
      <c r="G1156" s="28">
        <v>43646</v>
      </c>
      <c r="H1156" s="29" t="s">
        <v>560</v>
      </c>
      <c r="I1156" s="29" t="s">
        <v>560</v>
      </c>
      <c r="J1156" s="29" t="s">
        <v>2304</v>
      </c>
      <c r="K1156" s="29" t="s">
        <v>2305</v>
      </c>
      <c r="L1156" s="29" t="s">
        <v>2306</v>
      </c>
      <c r="M1156" s="29" t="s">
        <v>2183</v>
      </c>
      <c r="N1156" s="29" t="s">
        <v>1434</v>
      </c>
      <c r="O1156" s="29" t="s">
        <v>594</v>
      </c>
    </row>
    <row r="1157" spans="1:15">
      <c r="A1157" s="25">
        <v>22652</v>
      </c>
      <c r="B1157" s="34" t="s">
        <v>2344</v>
      </c>
      <c r="C1157" s="31" t="s">
        <v>521</v>
      </c>
      <c r="D1157" s="31" t="s">
        <v>1199</v>
      </c>
      <c r="E1157" s="28">
        <v>43241</v>
      </c>
      <c r="F1157" s="28">
        <v>43272</v>
      </c>
      <c r="G1157" s="28">
        <v>43646</v>
      </c>
      <c r="H1157" s="29" t="s">
        <v>560</v>
      </c>
      <c r="I1157" s="29" t="s">
        <v>560</v>
      </c>
      <c r="J1157" s="29" t="s">
        <v>2304</v>
      </c>
      <c r="K1157" s="29" t="s">
        <v>2305</v>
      </c>
      <c r="L1157" s="29" t="s">
        <v>2306</v>
      </c>
      <c r="M1157" s="29" t="s">
        <v>2345</v>
      </c>
      <c r="N1157" s="29" t="s">
        <v>1434</v>
      </c>
      <c r="O1157" s="29" t="s">
        <v>594</v>
      </c>
    </row>
    <row r="1158" spans="1:15">
      <c r="A1158" s="25">
        <v>22762</v>
      </c>
      <c r="B1158" s="34" t="s">
        <v>2346</v>
      </c>
      <c r="C1158" s="31" t="s">
        <v>521</v>
      </c>
      <c r="D1158" s="31" t="s">
        <v>771</v>
      </c>
      <c r="E1158" s="28">
        <v>43255</v>
      </c>
      <c r="F1158" s="28">
        <v>43285</v>
      </c>
      <c r="G1158" s="28">
        <v>43646</v>
      </c>
      <c r="H1158" s="29" t="s">
        <v>560</v>
      </c>
      <c r="I1158" s="29" t="s">
        <v>560</v>
      </c>
      <c r="J1158" s="29" t="s">
        <v>2304</v>
      </c>
      <c r="K1158" s="29" t="s">
        <v>2305</v>
      </c>
      <c r="L1158" s="29" t="s">
        <v>2306</v>
      </c>
      <c r="M1158" s="29" t="s">
        <v>2087</v>
      </c>
      <c r="N1158" s="29" t="s">
        <v>1434</v>
      </c>
      <c r="O1158" s="29" t="s">
        <v>594</v>
      </c>
    </row>
    <row r="1159" spans="1:15">
      <c r="A1159" s="25">
        <v>22785</v>
      </c>
      <c r="B1159" s="34" t="s">
        <v>2347</v>
      </c>
      <c r="C1159" s="31" t="s">
        <v>521</v>
      </c>
      <c r="D1159" s="31" t="s">
        <v>1615</v>
      </c>
      <c r="E1159" s="28">
        <v>43283</v>
      </c>
      <c r="F1159" s="28">
        <v>43314</v>
      </c>
      <c r="G1159" s="28">
        <v>43677</v>
      </c>
      <c r="H1159" s="29" t="s">
        <v>560</v>
      </c>
      <c r="I1159" s="29" t="s">
        <v>560</v>
      </c>
      <c r="J1159" s="29" t="s">
        <v>2304</v>
      </c>
      <c r="K1159" s="29" t="s">
        <v>2305</v>
      </c>
      <c r="L1159" s="29" t="s">
        <v>2306</v>
      </c>
      <c r="M1159" s="29" t="s">
        <v>2072</v>
      </c>
      <c r="N1159" s="29" t="s">
        <v>1434</v>
      </c>
      <c r="O1159" s="29" t="s">
        <v>594</v>
      </c>
    </row>
    <row r="1160" spans="1:15">
      <c r="A1160" s="25">
        <v>22808</v>
      </c>
      <c r="B1160" s="34" t="s">
        <v>2348</v>
      </c>
      <c r="C1160" s="31" t="s">
        <v>521</v>
      </c>
      <c r="D1160" s="31" t="s">
        <v>775</v>
      </c>
      <c r="E1160" s="28">
        <v>43333</v>
      </c>
      <c r="F1160" s="28">
        <v>43364</v>
      </c>
      <c r="G1160" s="28">
        <v>43738</v>
      </c>
      <c r="H1160" s="29" t="s">
        <v>560</v>
      </c>
      <c r="I1160" s="29" t="s">
        <v>560</v>
      </c>
      <c r="J1160" s="29" t="s">
        <v>2304</v>
      </c>
      <c r="K1160" s="29" t="s">
        <v>2305</v>
      </c>
      <c r="L1160" s="29" t="s">
        <v>2306</v>
      </c>
      <c r="M1160" s="29" t="s">
        <v>2118</v>
      </c>
      <c r="N1160" s="29" t="s">
        <v>2041</v>
      </c>
      <c r="O1160" s="29" t="s">
        <v>594</v>
      </c>
    </row>
    <row r="1161" spans="1:15">
      <c r="A1161" s="25">
        <v>22814</v>
      </c>
      <c r="B1161" s="34" t="s">
        <v>2349</v>
      </c>
      <c r="C1161" s="31" t="s">
        <v>521</v>
      </c>
      <c r="D1161" s="31" t="s">
        <v>775</v>
      </c>
      <c r="E1161" s="28">
        <v>43333</v>
      </c>
      <c r="F1161" s="28">
        <v>43364</v>
      </c>
      <c r="G1161" s="28">
        <v>43738</v>
      </c>
      <c r="H1161" s="29" t="s">
        <v>560</v>
      </c>
      <c r="I1161" s="29" t="s">
        <v>560</v>
      </c>
      <c r="J1161" s="29" t="s">
        <v>2304</v>
      </c>
      <c r="K1161" s="29" t="s">
        <v>2305</v>
      </c>
      <c r="L1161" s="29" t="s">
        <v>2306</v>
      </c>
      <c r="M1161" s="29" t="s">
        <v>2350</v>
      </c>
      <c r="N1161" s="29" t="s">
        <v>2077</v>
      </c>
      <c r="O1161" s="29" t="s">
        <v>594</v>
      </c>
    </row>
    <row r="1162" spans="1:15">
      <c r="A1162" s="25">
        <v>22861</v>
      </c>
      <c r="B1162" s="34" t="s">
        <v>2351</v>
      </c>
      <c r="C1162" s="31" t="s">
        <v>521</v>
      </c>
      <c r="D1162" s="31" t="s">
        <v>775</v>
      </c>
      <c r="E1162" s="28">
        <v>43333</v>
      </c>
      <c r="F1162" s="28">
        <v>43364</v>
      </c>
      <c r="G1162" s="28">
        <v>43738</v>
      </c>
      <c r="H1162" s="29" t="s">
        <v>560</v>
      </c>
      <c r="I1162" s="29" t="s">
        <v>560</v>
      </c>
      <c r="J1162" s="29" t="s">
        <v>2304</v>
      </c>
      <c r="K1162" s="29" t="s">
        <v>2305</v>
      </c>
      <c r="L1162" s="29" t="s">
        <v>2306</v>
      </c>
      <c r="M1162" s="29" t="s">
        <v>2352</v>
      </c>
      <c r="N1162" s="29" t="s">
        <v>2023</v>
      </c>
      <c r="O1162" s="29" t="s">
        <v>594</v>
      </c>
    </row>
    <row r="1163" spans="1:15">
      <c r="A1163" s="25">
        <v>22873</v>
      </c>
      <c r="B1163" s="34" t="s">
        <v>2353</v>
      </c>
      <c r="C1163" s="31" t="s">
        <v>521</v>
      </c>
      <c r="D1163" s="31" t="s">
        <v>775</v>
      </c>
      <c r="E1163" s="28">
        <v>43333</v>
      </c>
      <c r="F1163" s="28">
        <v>43364</v>
      </c>
      <c r="G1163" s="28">
        <v>43738</v>
      </c>
      <c r="H1163" s="29" t="s">
        <v>560</v>
      </c>
      <c r="I1163" s="29" t="s">
        <v>560</v>
      </c>
      <c r="J1163" s="29" t="s">
        <v>2304</v>
      </c>
      <c r="K1163" s="29" t="s">
        <v>2305</v>
      </c>
      <c r="L1163" s="29" t="s">
        <v>2306</v>
      </c>
      <c r="M1163" s="29" t="s">
        <v>2354</v>
      </c>
      <c r="N1163" s="29" t="s">
        <v>1434</v>
      </c>
      <c r="O1163" s="29" t="s">
        <v>594</v>
      </c>
    </row>
    <row r="1164" spans="1:15">
      <c r="A1164" s="25">
        <v>22938</v>
      </c>
      <c r="B1164" s="34" t="s">
        <v>2355</v>
      </c>
      <c r="C1164" s="31" t="s">
        <v>521</v>
      </c>
      <c r="D1164" s="31" t="s">
        <v>1962</v>
      </c>
      <c r="E1164" s="28">
        <v>43343</v>
      </c>
      <c r="F1164" s="28">
        <v>43374</v>
      </c>
      <c r="G1164" s="28">
        <v>43738</v>
      </c>
      <c r="H1164" s="29" t="s">
        <v>560</v>
      </c>
      <c r="I1164" s="29" t="s">
        <v>560</v>
      </c>
      <c r="J1164" s="29" t="s">
        <v>2304</v>
      </c>
      <c r="K1164" s="29" t="s">
        <v>2305</v>
      </c>
      <c r="L1164" s="29" t="s">
        <v>2306</v>
      </c>
      <c r="M1164" s="29" t="s">
        <v>2041</v>
      </c>
      <c r="N1164" s="29" t="s">
        <v>2041</v>
      </c>
      <c r="O1164" s="29" t="s">
        <v>594</v>
      </c>
    </row>
    <row r="1165" spans="1:15">
      <c r="A1165" s="25">
        <v>22989</v>
      </c>
      <c r="B1165" s="34" t="s">
        <v>2356</v>
      </c>
      <c r="C1165" s="31" t="s">
        <v>521</v>
      </c>
      <c r="D1165" s="31" t="s">
        <v>1962</v>
      </c>
      <c r="E1165" s="28">
        <v>43343</v>
      </c>
      <c r="F1165" s="28">
        <v>43374</v>
      </c>
      <c r="G1165" s="28">
        <v>43738</v>
      </c>
      <c r="H1165" s="29" t="s">
        <v>560</v>
      </c>
      <c r="I1165" s="29" t="s">
        <v>560</v>
      </c>
      <c r="J1165" s="29" t="s">
        <v>2304</v>
      </c>
      <c r="K1165" s="29" t="s">
        <v>2305</v>
      </c>
      <c r="L1165" s="29" t="s">
        <v>2306</v>
      </c>
      <c r="M1165" s="29" t="s">
        <v>2357</v>
      </c>
      <c r="N1165" s="29" t="s">
        <v>2077</v>
      </c>
      <c r="O1165" s="29" t="s">
        <v>594</v>
      </c>
    </row>
    <row r="1166" spans="1:15">
      <c r="A1166" s="25">
        <v>23297</v>
      </c>
      <c r="B1166" s="34" t="s">
        <v>2358</v>
      </c>
      <c r="C1166" s="31" t="s">
        <v>521</v>
      </c>
      <c r="D1166" s="31" t="s">
        <v>1527</v>
      </c>
      <c r="E1166" s="28">
        <v>43427</v>
      </c>
      <c r="F1166" s="28">
        <v>43457</v>
      </c>
      <c r="G1166" s="28">
        <v>43830</v>
      </c>
      <c r="H1166" s="29" t="s">
        <v>560</v>
      </c>
      <c r="I1166" s="29" t="s">
        <v>560</v>
      </c>
      <c r="J1166" s="29" t="s">
        <v>2304</v>
      </c>
      <c r="K1166" s="29" t="s">
        <v>2305</v>
      </c>
      <c r="L1166" s="29" t="s">
        <v>2306</v>
      </c>
      <c r="M1166" s="29" t="s">
        <v>2359</v>
      </c>
      <c r="N1166" s="29" t="s">
        <v>1586</v>
      </c>
      <c r="O1166" s="29" t="s">
        <v>594</v>
      </c>
    </row>
    <row r="1167" spans="1:15">
      <c r="A1167" s="25">
        <v>23464</v>
      </c>
      <c r="B1167" s="34" t="s">
        <v>2360</v>
      </c>
      <c r="C1167" s="31" t="s">
        <v>521</v>
      </c>
      <c r="D1167" s="31" t="s">
        <v>882</v>
      </c>
      <c r="E1167" s="28">
        <v>43434</v>
      </c>
      <c r="F1167" s="28">
        <v>43464</v>
      </c>
      <c r="G1167" s="28">
        <v>43830</v>
      </c>
      <c r="H1167" s="29" t="s">
        <v>560</v>
      </c>
      <c r="I1167" s="29" t="s">
        <v>560</v>
      </c>
      <c r="J1167" s="29" t="s">
        <v>2304</v>
      </c>
      <c r="K1167" s="29" t="s">
        <v>2305</v>
      </c>
      <c r="L1167" s="29" t="s">
        <v>2306</v>
      </c>
      <c r="M1167" s="29" t="s">
        <v>2361</v>
      </c>
      <c r="N1167" s="29" t="s">
        <v>1586</v>
      </c>
      <c r="O1167" s="29" t="s">
        <v>594</v>
      </c>
    </row>
    <row r="1168" spans="1:15">
      <c r="A1168" s="25" t="s">
        <v>2362</v>
      </c>
      <c r="B1168" s="26" t="s">
        <v>2363</v>
      </c>
      <c r="C1168" s="27" t="s">
        <v>521</v>
      </c>
      <c r="D1168" s="27" t="s">
        <v>788</v>
      </c>
      <c r="E1168" s="28">
        <v>40847</v>
      </c>
      <c r="F1168" s="28" t="s">
        <v>35</v>
      </c>
      <c r="G1168" s="28" t="s">
        <v>35</v>
      </c>
      <c r="H1168" s="27" t="s">
        <v>560</v>
      </c>
      <c r="I1168" s="27" t="s">
        <v>560</v>
      </c>
      <c r="J1168" s="29" t="s">
        <v>2304</v>
      </c>
      <c r="K1168" s="29" t="s">
        <v>2305</v>
      </c>
      <c r="L1168" s="29" t="s">
        <v>2306</v>
      </c>
      <c r="M1168" s="29" t="s">
        <v>2092</v>
      </c>
      <c r="N1168" s="29" t="s">
        <v>2041</v>
      </c>
      <c r="O1168" s="29" t="s">
        <v>594</v>
      </c>
    </row>
    <row r="1169" spans="1:15">
      <c r="A1169" s="25" t="s">
        <v>2364</v>
      </c>
      <c r="B1169" s="34" t="s">
        <v>2365</v>
      </c>
      <c r="C1169" s="31" t="s">
        <v>521</v>
      </c>
      <c r="D1169" s="31" t="s">
        <v>873</v>
      </c>
      <c r="E1169" s="28">
        <v>40948</v>
      </c>
      <c r="F1169" s="28" t="s">
        <v>35</v>
      </c>
      <c r="G1169" s="28" t="s">
        <v>35</v>
      </c>
      <c r="H1169" s="29" t="s">
        <v>560</v>
      </c>
      <c r="I1169" s="29" t="s">
        <v>560</v>
      </c>
      <c r="J1169" s="29" t="s">
        <v>2304</v>
      </c>
      <c r="K1169" s="29" t="s">
        <v>2305</v>
      </c>
      <c r="L1169" s="29" t="s">
        <v>2306</v>
      </c>
      <c r="M1169" s="29" t="s">
        <v>2366</v>
      </c>
      <c r="N1169" s="29" t="s">
        <v>2023</v>
      </c>
      <c r="O1169" s="29" t="s">
        <v>594</v>
      </c>
    </row>
    <row r="1170" spans="1:15">
      <c r="A1170" s="25">
        <v>23563</v>
      </c>
      <c r="B1170" s="34" t="s">
        <v>2367</v>
      </c>
      <c r="C1170" s="31" t="s">
        <v>521</v>
      </c>
      <c r="D1170" s="31" t="s">
        <v>884</v>
      </c>
      <c r="E1170" s="28">
        <v>43452</v>
      </c>
      <c r="F1170" s="28">
        <v>43483</v>
      </c>
      <c r="G1170" s="28">
        <v>43861</v>
      </c>
      <c r="H1170" s="29" t="s">
        <v>560</v>
      </c>
      <c r="I1170" s="29" t="s">
        <v>560</v>
      </c>
      <c r="J1170" s="29" t="s">
        <v>2304</v>
      </c>
      <c r="K1170" s="29" t="s">
        <v>2305</v>
      </c>
      <c r="L1170" s="29" t="s">
        <v>2306</v>
      </c>
      <c r="M1170" s="29" t="s">
        <v>2128</v>
      </c>
      <c r="N1170" s="29" t="s">
        <v>1586</v>
      </c>
      <c r="O1170" s="29" t="s">
        <v>594</v>
      </c>
    </row>
    <row r="1171" spans="1:15">
      <c r="A1171" s="25">
        <v>890</v>
      </c>
      <c r="B1171" s="33" t="s">
        <v>2368</v>
      </c>
      <c r="C1171" s="27" t="s">
        <v>521</v>
      </c>
      <c r="D1171" s="27" t="s">
        <v>754</v>
      </c>
      <c r="E1171" s="28">
        <v>37858</v>
      </c>
      <c r="F1171" s="28" t="s">
        <v>35</v>
      </c>
      <c r="G1171" s="28" t="s">
        <v>35</v>
      </c>
      <c r="H1171" s="29" t="s">
        <v>560</v>
      </c>
      <c r="I1171" s="29" t="s">
        <v>560</v>
      </c>
      <c r="J1171" s="29" t="s">
        <v>2304</v>
      </c>
      <c r="K1171" s="29" t="s">
        <v>2369</v>
      </c>
      <c r="L1171" s="29" t="s">
        <v>2370</v>
      </c>
      <c r="M1171" s="29" t="s">
        <v>2030</v>
      </c>
      <c r="N1171" s="29" t="s">
        <v>2031</v>
      </c>
      <c r="O1171" s="29" t="s">
        <v>590</v>
      </c>
    </row>
    <row r="1172" spans="1:15">
      <c r="A1172" s="25">
        <v>1128</v>
      </c>
      <c r="B1172" s="26" t="s">
        <v>2371</v>
      </c>
      <c r="C1172" s="27" t="s">
        <v>521</v>
      </c>
      <c r="D1172" s="27" t="s">
        <v>1247</v>
      </c>
      <c r="E1172" s="28">
        <v>37900</v>
      </c>
      <c r="F1172" s="28" t="s">
        <v>35</v>
      </c>
      <c r="G1172" s="28" t="s">
        <v>35</v>
      </c>
      <c r="H1172" s="29" t="s">
        <v>560</v>
      </c>
      <c r="I1172" s="29" t="s">
        <v>560</v>
      </c>
      <c r="J1172" s="29" t="s">
        <v>2304</v>
      </c>
      <c r="K1172" s="29" t="s">
        <v>2369</v>
      </c>
      <c r="L1172" s="29" t="s">
        <v>2370</v>
      </c>
      <c r="M1172" s="29" t="s">
        <v>2244</v>
      </c>
      <c r="N1172" s="29" t="s">
        <v>2023</v>
      </c>
      <c r="O1172" s="29" t="s">
        <v>590</v>
      </c>
    </row>
    <row r="1173" spans="1:15">
      <c r="A1173" s="25">
        <v>5545</v>
      </c>
      <c r="B1173" s="26" t="s">
        <v>2372</v>
      </c>
      <c r="C1173" s="27" t="s">
        <v>521</v>
      </c>
      <c r="D1173" s="27" t="s">
        <v>1064</v>
      </c>
      <c r="E1173" s="28">
        <v>39052</v>
      </c>
      <c r="F1173" s="28" t="s">
        <v>35</v>
      </c>
      <c r="G1173" s="28" t="s">
        <v>35</v>
      </c>
      <c r="H1173" s="27" t="s">
        <v>560</v>
      </c>
      <c r="I1173" s="27" t="s">
        <v>560</v>
      </c>
      <c r="J1173" s="27" t="s">
        <v>2304</v>
      </c>
      <c r="K1173" s="29" t="s">
        <v>2369</v>
      </c>
      <c r="L1173" s="29" t="s">
        <v>2370</v>
      </c>
      <c r="M1173" s="29" t="s">
        <v>2025</v>
      </c>
      <c r="N1173" s="29" t="s">
        <v>2026</v>
      </c>
      <c r="O1173" s="29" t="s">
        <v>590</v>
      </c>
    </row>
    <row r="1174" spans="1:15">
      <c r="A1174" s="25">
        <v>8645</v>
      </c>
      <c r="B1174" s="26" t="s">
        <v>2373</v>
      </c>
      <c r="C1174" s="27" t="s">
        <v>521</v>
      </c>
      <c r="D1174" s="27" t="s">
        <v>1493</v>
      </c>
      <c r="E1174" s="28">
        <v>39878</v>
      </c>
      <c r="F1174" s="28" t="s">
        <v>35</v>
      </c>
      <c r="G1174" s="28" t="s">
        <v>35</v>
      </c>
      <c r="H1174" s="27" t="s">
        <v>560</v>
      </c>
      <c r="I1174" s="27" t="s">
        <v>560</v>
      </c>
      <c r="J1174" s="29" t="s">
        <v>2304</v>
      </c>
      <c r="K1174" s="29" t="s">
        <v>2369</v>
      </c>
      <c r="L1174" s="29" t="s">
        <v>2370</v>
      </c>
      <c r="M1174" s="29" t="s">
        <v>1550</v>
      </c>
      <c r="N1174" s="29" t="s">
        <v>1045</v>
      </c>
      <c r="O1174" s="29" t="s">
        <v>590</v>
      </c>
    </row>
    <row r="1175" spans="1:15">
      <c r="A1175" s="25">
        <v>9084</v>
      </c>
      <c r="B1175" s="26" t="s">
        <v>2374</v>
      </c>
      <c r="C1175" s="27" t="s">
        <v>521</v>
      </c>
      <c r="D1175" s="27" t="s">
        <v>1908</v>
      </c>
      <c r="E1175" s="28">
        <v>39993</v>
      </c>
      <c r="F1175" s="28" t="s">
        <v>35</v>
      </c>
      <c r="G1175" s="28" t="s">
        <v>35</v>
      </c>
      <c r="H1175" s="27" t="s">
        <v>560</v>
      </c>
      <c r="I1175" s="27" t="s">
        <v>560</v>
      </c>
      <c r="J1175" s="29" t="s">
        <v>2304</v>
      </c>
      <c r="K1175" s="29" t="s">
        <v>2369</v>
      </c>
      <c r="L1175" s="29" t="s">
        <v>2370</v>
      </c>
      <c r="M1175" s="29" t="s">
        <v>2035</v>
      </c>
      <c r="N1175" s="29" t="s">
        <v>1434</v>
      </c>
      <c r="O1175" s="29" t="s">
        <v>590</v>
      </c>
    </row>
    <row r="1176" spans="1:15">
      <c r="A1176" s="25">
        <v>9928</v>
      </c>
      <c r="B1176" s="34" t="s">
        <v>2375</v>
      </c>
      <c r="C1176" s="31" t="s">
        <v>521</v>
      </c>
      <c r="D1176" s="31" t="s">
        <v>803</v>
      </c>
      <c r="E1176" s="28">
        <v>40431</v>
      </c>
      <c r="F1176" s="28" t="s">
        <v>35</v>
      </c>
      <c r="G1176" s="28" t="s">
        <v>35</v>
      </c>
      <c r="H1176" s="29" t="s">
        <v>560</v>
      </c>
      <c r="I1176" s="29" t="s">
        <v>560</v>
      </c>
      <c r="J1176" s="29" t="s">
        <v>2304</v>
      </c>
      <c r="K1176" s="29" t="s">
        <v>2369</v>
      </c>
      <c r="L1176" s="29" t="s">
        <v>2370</v>
      </c>
      <c r="M1176" s="29" t="s">
        <v>2197</v>
      </c>
      <c r="N1176" s="29" t="s">
        <v>2031</v>
      </c>
      <c r="O1176" s="29" t="s">
        <v>590</v>
      </c>
    </row>
    <row r="1177" spans="1:15">
      <c r="A1177" s="25">
        <v>10124</v>
      </c>
      <c r="B1177" s="26" t="s">
        <v>2376</v>
      </c>
      <c r="C1177" s="27" t="s">
        <v>521</v>
      </c>
      <c r="D1177" s="27" t="s">
        <v>601</v>
      </c>
      <c r="E1177" s="28">
        <v>40444</v>
      </c>
      <c r="F1177" s="28" t="s">
        <v>35</v>
      </c>
      <c r="G1177" s="28" t="s">
        <v>35</v>
      </c>
      <c r="H1177" s="29" t="s">
        <v>560</v>
      </c>
      <c r="I1177" s="29" t="s">
        <v>560</v>
      </c>
      <c r="J1177" s="29" t="s">
        <v>2304</v>
      </c>
      <c r="K1177" s="29" t="s">
        <v>2369</v>
      </c>
      <c r="L1177" s="29" t="s">
        <v>2370</v>
      </c>
      <c r="M1177" s="29" t="s">
        <v>1550</v>
      </c>
      <c r="N1177" s="29" t="s">
        <v>1045</v>
      </c>
      <c r="O1177" s="29" t="s">
        <v>590</v>
      </c>
    </row>
    <row r="1178" spans="1:15">
      <c r="A1178" s="25">
        <v>10178</v>
      </c>
      <c r="B1178" s="26" t="s">
        <v>2377</v>
      </c>
      <c r="C1178" s="27" t="s">
        <v>521</v>
      </c>
      <c r="D1178" s="27" t="s">
        <v>787</v>
      </c>
      <c r="E1178" s="28">
        <v>40458</v>
      </c>
      <c r="F1178" s="28" t="s">
        <v>35</v>
      </c>
      <c r="G1178" s="28" t="s">
        <v>35</v>
      </c>
      <c r="H1178" s="27" t="s">
        <v>560</v>
      </c>
      <c r="I1178" s="27" t="s">
        <v>560</v>
      </c>
      <c r="J1178" s="29" t="s">
        <v>2304</v>
      </c>
      <c r="K1178" s="29" t="s">
        <v>2369</v>
      </c>
      <c r="L1178" s="29" t="s">
        <v>2370</v>
      </c>
      <c r="M1178" s="29" t="s">
        <v>2072</v>
      </c>
      <c r="N1178" s="29" t="s">
        <v>1434</v>
      </c>
      <c r="O1178" s="29" t="s">
        <v>590</v>
      </c>
    </row>
    <row r="1179" spans="1:15">
      <c r="A1179" s="25">
        <v>10884</v>
      </c>
      <c r="B1179" s="26" t="s">
        <v>2378</v>
      </c>
      <c r="C1179" s="27" t="s">
        <v>521</v>
      </c>
      <c r="D1179" s="27" t="s">
        <v>808</v>
      </c>
      <c r="E1179" s="28">
        <v>40574</v>
      </c>
      <c r="F1179" s="28" t="s">
        <v>35</v>
      </c>
      <c r="G1179" s="28" t="s">
        <v>35</v>
      </c>
      <c r="H1179" s="27" t="s">
        <v>560</v>
      </c>
      <c r="I1179" s="27" t="s">
        <v>560</v>
      </c>
      <c r="J1179" s="27" t="s">
        <v>2304</v>
      </c>
      <c r="K1179" s="29" t="s">
        <v>2369</v>
      </c>
      <c r="L1179" s="29" t="s">
        <v>2370</v>
      </c>
      <c r="M1179" s="29" t="s">
        <v>2308</v>
      </c>
      <c r="N1179" s="29" t="s">
        <v>2041</v>
      </c>
      <c r="O1179" s="29" t="s">
        <v>590</v>
      </c>
    </row>
    <row r="1180" spans="1:15">
      <c r="A1180" s="25">
        <v>11521</v>
      </c>
      <c r="B1180" s="26" t="s">
        <v>2379</v>
      </c>
      <c r="C1180" s="27" t="s">
        <v>521</v>
      </c>
      <c r="D1180" s="27" t="s">
        <v>841</v>
      </c>
      <c r="E1180" s="28">
        <v>40707</v>
      </c>
      <c r="F1180" s="28" t="s">
        <v>35</v>
      </c>
      <c r="G1180" s="28" t="s">
        <v>35</v>
      </c>
      <c r="H1180" s="27" t="s">
        <v>560</v>
      </c>
      <c r="I1180" s="27" t="s">
        <v>560</v>
      </c>
      <c r="J1180" s="29" t="s">
        <v>2304</v>
      </c>
      <c r="K1180" s="29" t="s">
        <v>2369</v>
      </c>
      <c r="L1180" s="29" t="s">
        <v>2370</v>
      </c>
      <c r="M1180" s="29" t="s">
        <v>2094</v>
      </c>
      <c r="N1180" s="29" t="s">
        <v>1434</v>
      </c>
      <c r="O1180" s="29" t="s">
        <v>590</v>
      </c>
    </row>
    <row r="1181" spans="1:15">
      <c r="A1181" s="25">
        <v>11721</v>
      </c>
      <c r="B1181" s="26" t="s">
        <v>2380</v>
      </c>
      <c r="C1181" s="27" t="s">
        <v>521</v>
      </c>
      <c r="D1181" s="27" t="s">
        <v>675</v>
      </c>
      <c r="E1181" s="28">
        <v>40714</v>
      </c>
      <c r="F1181" s="28" t="s">
        <v>35</v>
      </c>
      <c r="G1181" s="28" t="s">
        <v>35</v>
      </c>
      <c r="H1181" s="27" t="s">
        <v>560</v>
      </c>
      <c r="I1181" s="27" t="s">
        <v>560</v>
      </c>
      <c r="J1181" s="27" t="s">
        <v>2304</v>
      </c>
      <c r="K1181" s="29" t="s">
        <v>2369</v>
      </c>
      <c r="L1181" s="29" t="s">
        <v>2370</v>
      </c>
      <c r="M1181" s="29" t="s">
        <v>2342</v>
      </c>
      <c r="N1181" s="29" t="s">
        <v>2041</v>
      </c>
      <c r="O1181" s="29" t="s">
        <v>590</v>
      </c>
    </row>
    <row r="1182" spans="1:15">
      <c r="A1182" s="25">
        <v>12092</v>
      </c>
      <c r="B1182" s="33" t="s">
        <v>2381</v>
      </c>
      <c r="C1182" s="27" t="s">
        <v>521</v>
      </c>
      <c r="D1182" s="27" t="s">
        <v>665</v>
      </c>
      <c r="E1182" s="28">
        <v>40798</v>
      </c>
      <c r="F1182" s="28" t="s">
        <v>35</v>
      </c>
      <c r="G1182" s="28" t="s">
        <v>35</v>
      </c>
      <c r="H1182" s="31" t="s">
        <v>560</v>
      </c>
      <c r="I1182" s="29" t="s">
        <v>560</v>
      </c>
      <c r="J1182" s="29" t="s">
        <v>2304</v>
      </c>
      <c r="K1182" s="29" t="s">
        <v>2369</v>
      </c>
      <c r="L1182" s="29" t="s">
        <v>2370</v>
      </c>
      <c r="M1182" s="29" t="s">
        <v>2310</v>
      </c>
      <c r="N1182" s="29" t="s">
        <v>1434</v>
      </c>
      <c r="O1182" s="29" t="s">
        <v>590</v>
      </c>
    </row>
    <row r="1183" spans="1:15">
      <c r="A1183" s="25">
        <v>12209</v>
      </c>
      <c r="B1183" s="26" t="s">
        <v>2382</v>
      </c>
      <c r="C1183" s="27" t="s">
        <v>521</v>
      </c>
      <c r="D1183" s="27" t="s">
        <v>750</v>
      </c>
      <c r="E1183" s="28">
        <v>40802</v>
      </c>
      <c r="F1183" s="28" t="s">
        <v>35</v>
      </c>
      <c r="G1183" s="28" t="s">
        <v>35</v>
      </c>
      <c r="H1183" s="27" t="s">
        <v>560</v>
      </c>
      <c r="I1183" s="27" t="s">
        <v>560</v>
      </c>
      <c r="J1183" s="27" t="s">
        <v>2304</v>
      </c>
      <c r="K1183" s="29" t="s">
        <v>2369</v>
      </c>
      <c r="L1183" s="29" t="s">
        <v>2370</v>
      </c>
      <c r="M1183" s="29" t="s">
        <v>2028</v>
      </c>
      <c r="N1183" s="29" t="s">
        <v>1434</v>
      </c>
      <c r="O1183" s="29" t="s">
        <v>590</v>
      </c>
    </row>
    <row r="1184" spans="1:15">
      <c r="A1184" s="25">
        <v>19696</v>
      </c>
      <c r="B1184" s="26" t="s">
        <v>2383</v>
      </c>
      <c r="C1184" s="27" t="s">
        <v>521</v>
      </c>
      <c r="D1184" s="27" t="s">
        <v>2384</v>
      </c>
      <c r="E1184" s="28">
        <v>42481</v>
      </c>
      <c r="F1184" s="28" t="s">
        <v>35</v>
      </c>
      <c r="G1184" s="28" t="s">
        <v>35</v>
      </c>
      <c r="H1184" s="27" t="s">
        <v>560</v>
      </c>
      <c r="I1184" s="27" t="s">
        <v>560</v>
      </c>
      <c r="J1184" s="27" t="s">
        <v>2304</v>
      </c>
      <c r="K1184" s="29" t="s">
        <v>2369</v>
      </c>
      <c r="L1184" s="29" t="s">
        <v>2370</v>
      </c>
      <c r="M1184" s="29" t="s">
        <v>2338</v>
      </c>
      <c r="N1184" s="29" t="s">
        <v>1434</v>
      </c>
      <c r="O1184" s="29" t="s">
        <v>590</v>
      </c>
    </row>
    <row r="1185" spans="1:15">
      <c r="A1185" s="25">
        <v>19796</v>
      </c>
      <c r="B1185" s="26" t="s">
        <v>2385</v>
      </c>
      <c r="C1185" s="27" t="s">
        <v>521</v>
      </c>
      <c r="D1185" s="27" t="s">
        <v>2148</v>
      </c>
      <c r="E1185" s="28">
        <v>42499</v>
      </c>
      <c r="F1185" s="28" t="s">
        <v>35</v>
      </c>
      <c r="G1185" s="28" t="s">
        <v>35</v>
      </c>
      <c r="H1185" s="27" t="s">
        <v>560</v>
      </c>
      <c r="I1185" s="27" t="s">
        <v>560</v>
      </c>
      <c r="J1185" s="29" t="s">
        <v>2304</v>
      </c>
      <c r="K1185" s="29" t="s">
        <v>2369</v>
      </c>
      <c r="L1185" s="29" t="s">
        <v>2370</v>
      </c>
      <c r="M1185" s="29" t="s">
        <v>2089</v>
      </c>
      <c r="N1185" s="29" t="s">
        <v>2090</v>
      </c>
      <c r="O1185" s="29" t="s">
        <v>590</v>
      </c>
    </row>
    <row r="1186" spans="1:15">
      <c r="A1186" s="25">
        <v>19866</v>
      </c>
      <c r="B1186" s="26" t="s">
        <v>2386</v>
      </c>
      <c r="C1186" s="27" t="s">
        <v>521</v>
      </c>
      <c r="D1186" s="27" t="s">
        <v>2054</v>
      </c>
      <c r="E1186" s="28">
        <v>42506</v>
      </c>
      <c r="F1186" s="28" t="s">
        <v>35</v>
      </c>
      <c r="G1186" s="28" t="s">
        <v>35</v>
      </c>
      <c r="H1186" s="27" t="s">
        <v>560</v>
      </c>
      <c r="I1186" s="27" t="s">
        <v>560</v>
      </c>
      <c r="J1186" s="29" t="s">
        <v>2304</v>
      </c>
      <c r="K1186" s="29" t="s">
        <v>2369</v>
      </c>
      <c r="L1186" s="29" t="s">
        <v>2370</v>
      </c>
      <c r="M1186" s="29" t="s">
        <v>2050</v>
      </c>
      <c r="N1186" s="29" t="s">
        <v>1434</v>
      </c>
      <c r="O1186" s="29" t="s">
        <v>590</v>
      </c>
    </row>
    <row r="1187" spans="1:15">
      <c r="A1187" s="25">
        <v>20450</v>
      </c>
      <c r="B1187" s="26" t="s">
        <v>2387</v>
      </c>
      <c r="C1187" s="27" t="s">
        <v>521</v>
      </c>
      <c r="D1187" s="27" t="s">
        <v>1644</v>
      </c>
      <c r="E1187" s="28">
        <v>42634</v>
      </c>
      <c r="F1187" s="28">
        <v>43132</v>
      </c>
      <c r="G1187" s="28">
        <v>43496</v>
      </c>
      <c r="H1187" s="25" t="s">
        <v>560</v>
      </c>
      <c r="I1187" s="27" t="s">
        <v>560</v>
      </c>
      <c r="J1187" s="29" t="s">
        <v>2304</v>
      </c>
      <c r="K1187" s="29" t="s">
        <v>2369</v>
      </c>
      <c r="L1187" s="29" t="s">
        <v>2370</v>
      </c>
      <c r="M1187" s="29" t="s">
        <v>2092</v>
      </c>
      <c r="N1187" s="29" t="s">
        <v>2041</v>
      </c>
      <c r="O1187" s="29" t="s">
        <v>590</v>
      </c>
    </row>
    <row r="1188" spans="1:15">
      <c r="A1188" s="25">
        <v>20565</v>
      </c>
      <c r="B1188" s="26" t="s">
        <v>2388</v>
      </c>
      <c r="C1188" s="27" t="s">
        <v>521</v>
      </c>
      <c r="D1188" s="27" t="s">
        <v>673</v>
      </c>
      <c r="E1188" s="28">
        <v>42639</v>
      </c>
      <c r="F1188" s="28">
        <v>43132</v>
      </c>
      <c r="G1188" s="28">
        <v>43496</v>
      </c>
      <c r="H1188" s="29" t="s">
        <v>560</v>
      </c>
      <c r="I1188" s="29" t="s">
        <v>560</v>
      </c>
      <c r="J1188" s="29" t="s">
        <v>2304</v>
      </c>
      <c r="K1188" s="29" t="s">
        <v>2369</v>
      </c>
      <c r="L1188" s="29" t="s">
        <v>2370</v>
      </c>
      <c r="M1188" s="29" t="s">
        <v>2333</v>
      </c>
      <c r="N1188" s="29" t="s">
        <v>2041</v>
      </c>
      <c r="O1188" s="29" t="s">
        <v>590</v>
      </c>
    </row>
    <row r="1189" spans="1:15">
      <c r="A1189" s="25">
        <v>20672</v>
      </c>
      <c r="B1189" s="26" t="s">
        <v>429</v>
      </c>
      <c r="C1189" s="27" t="s">
        <v>521</v>
      </c>
      <c r="D1189" s="27" t="s">
        <v>673</v>
      </c>
      <c r="E1189" s="28">
        <v>42639</v>
      </c>
      <c r="F1189" s="28">
        <v>43132</v>
      </c>
      <c r="G1189" s="28">
        <v>43496</v>
      </c>
      <c r="H1189" s="25" t="s">
        <v>560</v>
      </c>
      <c r="I1189" s="25" t="s">
        <v>560</v>
      </c>
      <c r="J1189" s="29" t="s">
        <v>2304</v>
      </c>
      <c r="K1189" s="29" t="s">
        <v>2369</v>
      </c>
      <c r="L1189" s="29" t="s">
        <v>2370</v>
      </c>
      <c r="M1189" s="29" t="s">
        <v>2055</v>
      </c>
      <c r="N1189" s="29" t="s">
        <v>1434</v>
      </c>
      <c r="O1189" s="29" t="s">
        <v>590</v>
      </c>
    </row>
    <row r="1190" spans="1:15">
      <c r="A1190" s="25">
        <v>21292</v>
      </c>
      <c r="B1190" s="34" t="s">
        <v>2389</v>
      </c>
      <c r="C1190" s="31" t="s">
        <v>521</v>
      </c>
      <c r="D1190" s="31" t="s">
        <v>1595</v>
      </c>
      <c r="E1190" s="28">
        <v>43010</v>
      </c>
      <c r="F1190" s="28">
        <v>43405</v>
      </c>
      <c r="G1190" s="28">
        <v>43769</v>
      </c>
      <c r="H1190" s="29" t="s">
        <v>560</v>
      </c>
      <c r="I1190" s="29" t="s">
        <v>560</v>
      </c>
      <c r="J1190" s="29" t="s">
        <v>2304</v>
      </c>
      <c r="K1190" s="29" t="s">
        <v>2369</v>
      </c>
      <c r="L1190" s="29" t="s">
        <v>2370</v>
      </c>
      <c r="M1190" s="29" t="s">
        <v>2084</v>
      </c>
      <c r="N1190" s="29" t="s">
        <v>1434</v>
      </c>
      <c r="O1190" s="29" t="s">
        <v>590</v>
      </c>
    </row>
    <row r="1191" spans="1:15">
      <c r="A1191" s="25">
        <v>21332</v>
      </c>
      <c r="B1191" s="34" t="s">
        <v>2390</v>
      </c>
      <c r="C1191" s="31" t="s">
        <v>521</v>
      </c>
      <c r="D1191" s="31" t="s">
        <v>2162</v>
      </c>
      <c r="E1191" s="28">
        <v>43013</v>
      </c>
      <c r="F1191" s="28">
        <v>43405</v>
      </c>
      <c r="G1191" s="28">
        <v>43769</v>
      </c>
      <c r="H1191" s="29" t="s">
        <v>560</v>
      </c>
      <c r="I1191" s="29" t="s">
        <v>560</v>
      </c>
      <c r="J1191" s="29" t="s">
        <v>2304</v>
      </c>
      <c r="K1191" s="29" t="s">
        <v>2369</v>
      </c>
      <c r="L1191" s="29" t="s">
        <v>2370</v>
      </c>
      <c r="M1191" s="29" t="s">
        <v>2085</v>
      </c>
      <c r="N1191" s="29" t="s">
        <v>1434</v>
      </c>
      <c r="O1191" s="29" t="s">
        <v>590</v>
      </c>
    </row>
    <row r="1192" spans="1:15">
      <c r="A1192" s="25">
        <v>21369</v>
      </c>
      <c r="B1192" s="34" t="s">
        <v>2391</v>
      </c>
      <c r="C1192" s="31" t="s">
        <v>521</v>
      </c>
      <c r="D1192" s="31" t="s">
        <v>2162</v>
      </c>
      <c r="E1192" s="28">
        <v>43013</v>
      </c>
      <c r="F1192" s="28">
        <v>43405</v>
      </c>
      <c r="G1192" s="28">
        <v>43769</v>
      </c>
      <c r="H1192" s="29" t="s">
        <v>560</v>
      </c>
      <c r="I1192" s="29" t="s">
        <v>560</v>
      </c>
      <c r="J1192" s="29" t="s">
        <v>2304</v>
      </c>
      <c r="K1192" s="29" t="s">
        <v>2369</v>
      </c>
      <c r="L1192" s="29" t="s">
        <v>2370</v>
      </c>
      <c r="M1192" s="29" t="s">
        <v>2082</v>
      </c>
      <c r="N1192" s="29" t="s">
        <v>1434</v>
      </c>
      <c r="O1192" s="29" t="s">
        <v>590</v>
      </c>
    </row>
    <row r="1193" spans="1:15">
      <c r="A1193" s="25">
        <v>21498</v>
      </c>
      <c r="B1193" s="34" t="s">
        <v>2392</v>
      </c>
      <c r="C1193" s="31" t="s">
        <v>521</v>
      </c>
      <c r="D1193" s="31" t="s">
        <v>1804</v>
      </c>
      <c r="E1193" s="28">
        <v>43031</v>
      </c>
      <c r="F1193" s="28">
        <v>43435</v>
      </c>
      <c r="G1193" s="28">
        <v>43799</v>
      </c>
      <c r="H1193" s="29" t="s">
        <v>560</v>
      </c>
      <c r="I1193" s="29" t="s">
        <v>560</v>
      </c>
      <c r="J1193" s="29" t="s">
        <v>2304</v>
      </c>
      <c r="K1193" s="29" t="s">
        <v>2369</v>
      </c>
      <c r="L1193" s="29" t="s">
        <v>2370</v>
      </c>
      <c r="M1193" s="29" t="s">
        <v>2070</v>
      </c>
      <c r="N1193" s="29" t="s">
        <v>1434</v>
      </c>
      <c r="O1193" s="29" t="s">
        <v>590</v>
      </c>
    </row>
    <row r="1194" spans="1:15">
      <c r="A1194" s="25">
        <v>21609</v>
      </c>
      <c r="B1194" s="34" t="s">
        <v>2339</v>
      </c>
      <c r="C1194" s="31" t="s">
        <v>521</v>
      </c>
      <c r="D1194" s="31" t="s">
        <v>1603</v>
      </c>
      <c r="E1194" s="28">
        <v>43048</v>
      </c>
      <c r="F1194" s="28">
        <v>43435</v>
      </c>
      <c r="G1194" s="28">
        <v>43799</v>
      </c>
      <c r="H1194" s="29" t="s">
        <v>560</v>
      </c>
      <c r="I1194" s="29" t="s">
        <v>560</v>
      </c>
      <c r="J1194" s="29" t="s">
        <v>2304</v>
      </c>
      <c r="K1194" s="29" t="s">
        <v>2369</v>
      </c>
      <c r="L1194" s="29" t="s">
        <v>2370</v>
      </c>
      <c r="M1194" s="29" t="s">
        <v>2331</v>
      </c>
      <c r="N1194" s="29" t="s">
        <v>2023</v>
      </c>
      <c r="O1194" s="29" t="s">
        <v>590</v>
      </c>
    </row>
    <row r="1195" spans="1:15">
      <c r="A1195" s="25">
        <v>21623</v>
      </c>
      <c r="B1195" s="34" t="s">
        <v>2393</v>
      </c>
      <c r="C1195" s="31" t="s">
        <v>521</v>
      </c>
      <c r="D1195" s="31" t="s">
        <v>1603</v>
      </c>
      <c r="E1195" s="28">
        <v>43048</v>
      </c>
      <c r="F1195" s="28">
        <v>43435</v>
      </c>
      <c r="G1195" s="28">
        <v>43799</v>
      </c>
      <c r="H1195" s="29" t="s">
        <v>560</v>
      </c>
      <c r="I1195" s="29" t="s">
        <v>560</v>
      </c>
      <c r="J1195" s="29" t="s">
        <v>2304</v>
      </c>
      <c r="K1195" s="29" t="s">
        <v>2369</v>
      </c>
      <c r="L1195" s="29" t="s">
        <v>2370</v>
      </c>
      <c r="M1195" s="29" t="s">
        <v>2068</v>
      </c>
      <c r="N1195" s="29" t="s">
        <v>1434</v>
      </c>
      <c r="O1195" s="29" t="s">
        <v>590</v>
      </c>
    </row>
    <row r="1196" spans="1:15">
      <c r="A1196" s="25">
        <v>21719</v>
      </c>
      <c r="B1196" s="34" t="s">
        <v>2394</v>
      </c>
      <c r="C1196" s="31" t="s">
        <v>521</v>
      </c>
      <c r="D1196" s="31" t="s">
        <v>663</v>
      </c>
      <c r="E1196" s="28">
        <v>43087</v>
      </c>
      <c r="F1196" s="28">
        <v>43118</v>
      </c>
      <c r="G1196" s="28">
        <v>43496</v>
      </c>
      <c r="H1196" s="29" t="s">
        <v>560</v>
      </c>
      <c r="I1196" s="29" t="s">
        <v>560</v>
      </c>
      <c r="J1196" s="29" t="s">
        <v>2304</v>
      </c>
      <c r="K1196" s="29" t="s">
        <v>2369</v>
      </c>
      <c r="L1196" s="29" t="s">
        <v>2370</v>
      </c>
      <c r="M1196" s="29" t="s">
        <v>2120</v>
      </c>
      <c r="N1196" s="29" t="s">
        <v>1434</v>
      </c>
      <c r="O1196" s="29" t="s">
        <v>590</v>
      </c>
    </row>
    <row r="1197" spans="1:15">
      <c r="A1197" s="25">
        <v>21726</v>
      </c>
      <c r="B1197" s="34" t="s">
        <v>2395</v>
      </c>
      <c r="C1197" s="31" t="s">
        <v>521</v>
      </c>
      <c r="D1197" s="31" t="s">
        <v>663</v>
      </c>
      <c r="E1197" s="28">
        <v>43087</v>
      </c>
      <c r="F1197" s="28">
        <v>43118</v>
      </c>
      <c r="G1197" s="28">
        <v>43496</v>
      </c>
      <c r="H1197" s="29" t="s">
        <v>560</v>
      </c>
      <c r="I1197" s="29" t="s">
        <v>560</v>
      </c>
      <c r="J1197" s="29" t="s">
        <v>2304</v>
      </c>
      <c r="K1197" s="29" t="s">
        <v>2369</v>
      </c>
      <c r="L1197" s="29" t="s">
        <v>2370</v>
      </c>
      <c r="M1197" s="29" t="s">
        <v>2366</v>
      </c>
      <c r="N1197" s="29" t="s">
        <v>2023</v>
      </c>
      <c r="O1197" s="29" t="s">
        <v>590</v>
      </c>
    </row>
    <row r="1198" spans="1:15">
      <c r="A1198" s="25">
        <v>21828</v>
      </c>
      <c r="B1198" s="34" t="s">
        <v>2396</v>
      </c>
      <c r="C1198" s="31" t="s">
        <v>521</v>
      </c>
      <c r="D1198" s="31" t="s">
        <v>732</v>
      </c>
      <c r="E1198" s="28">
        <v>43098</v>
      </c>
      <c r="F1198" s="28">
        <v>43129</v>
      </c>
      <c r="G1198" s="28">
        <v>43496</v>
      </c>
      <c r="H1198" s="29" t="s">
        <v>560</v>
      </c>
      <c r="I1198" s="29" t="s">
        <v>560</v>
      </c>
      <c r="J1198" s="29" t="s">
        <v>2304</v>
      </c>
      <c r="K1198" s="29" t="s">
        <v>2369</v>
      </c>
      <c r="L1198" s="29" t="s">
        <v>2370</v>
      </c>
      <c r="M1198" s="29" t="s">
        <v>2087</v>
      </c>
      <c r="N1198" s="29" t="s">
        <v>1434</v>
      </c>
      <c r="O1198" s="29" t="s">
        <v>590</v>
      </c>
    </row>
    <row r="1199" spans="1:15">
      <c r="A1199" s="25">
        <v>21906</v>
      </c>
      <c r="B1199" s="34" t="s">
        <v>1744</v>
      </c>
      <c r="C1199" s="31" t="s">
        <v>521</v>
      </c>
      <c r="D1199" s="31" t="s">
        <v>1870</v>
      </c>
      <c r="E1199" s="28">
        <v>43103</v>
      </c>
      <c r="F1199" s="28">
        <v>43134</v>
      </c>
      <c r="G1199" s="28">
        <v>43496</v>
      </c>
      <c r="H1199" s="29" t="s">
        <v>560</v>
      </c>
      <c r="I1199" s="29" t="s">
        <v>560</v>
      </c>
      <c r="J1199" s="29" t="s">
        <v>2304</v>
      </c>
      <c r="K1199" s="29" t="s">
        <v>2369</v>
      </c>
      <c r="L1199" s="29" t="s">
        <v>2370</v>
      </c>
      <c r="M1199" s="29" t="s">
        <v>2352</v>
      </c>
      <c r="N1199" s="29" t="s">
        <v>2023</v>
      </c>
      <c r="O1199" s="29" t="s">
        <v>590</v>
      </c>
    </row>
    <row r="1200" spans="1:15">
      <c r="A1200" s="25">
        <v>21951</v>
      </c>
      <c r="B1200" s="34" t="s">
        <v>2397</v>
      </c>
      <c r="C1200" s="31" t="s">
        <v>521</v>
      </c>
      <c r="D1200" s="31" t="s">
        <v>1573</v>
      </c>
      <c r="E1200" s="28">
        <v>43116</v>
      </c>
      <c r="F1200" s="28">
        <v>43147</v>
      </c>
      <c r="G1200" s="28">
        <v>43524</v>
      </c>
      <c r="H1200" s="29" t="s">
        <v>560</v>
      </c>
      <c r="I1200" s="29" t="s">
        <v>560</v>
      </c>
      <c r="J1200" s="29" t="s">
        <v>2304</v>
      </c>
      <c r="K1200" s="29" t="s">
        <v>2369</v>
      </c>
      <c r="L1200" s="29" t="s">
        <v>2370</v>
      </c>
      <c r="M1200" s="29" t="s">
        <v>2077</v>
      </c>
      <c r="N1200" s="29" t="s">
        <v>2077</v>
      </c>
      <c r="O1200" s="29" t="s">
        <v>590</v>
      </c>
    </row>
    <row r="1201" spans="1:15">
      <c r="A1201" s="25">
        <v>21955</v>
      </c>
      <c r="B1201" s="34" t="s">
        <v>2398</v>
      </c>
      <c r="C1201" s="31" t="s">
        <v>521</v>
      </c>
      <c r="D1201" s="31" t="s">
        <v>1573</v>
      </c>
      <c r="E1201" s="28">
        <v>43116</v>
      </c>
      <c r="F1201" s="28">
        <v>43147</v>
      </c>
      <c r="G1201" s="28">
        <v>43524</v>
      </c>
      <c r="H1201" s="29" t="s">
        <v>560</v>
      </c>
      <c r="I1201" s="29" t="s">
        <v>560</v>
      </c>
      <c r="J1201" s="29" t="s">
        <v>2304</v>
      </c>
      <c r="K1201" s="29" t="s">
        <v>2369</v>
      </c>
      <c r="L1201" s="29" t="s">
        <v>2370</v>
      </c>
      <c r="M1201" s="29" t="s">
        <v>2077</v>
      </c>
      <c r="N1201" s="29" t="s">
        <v>2077</v>
      </c>
      <c r="O1201" s="29" t="s">
        <v>590</v>
      </c>
    </row>
    <row r="1202" spans="1:15">
      <c r="A1202" s="25">
        <v>22023</v>
      </c>
      <c r="B1202" s="34" t="s">
        <v>2399</v>
      </c>
      <c r="C1202" s="31" t="s">
        <v>521</v>
      </c>
      <c r="D1202" s="31" t="s">
        <v>631</v>
      </c>
      <c r="E1202" s="28">
        <v>43144</v>
      </c>
      <c r="F1202" s="28">
        <v>43172</v>
      </c>
      <c r="G1202" s="28">
        <v>43524</v>
      </c>
      <c r="H1202" s="29" t="s">
        <v>560</v>
      </c>
      <c r="I1202" s="29" t="s">
        <v>560</v>
      </c>
      <c r="J1202" s="29" t="s">
        <v>2304</v>
      </c>
      <c r="K1202" s="29" t="s">
        <v>2369</v>
      </c>
      <c r="L1202" s="29" t="s">
        <v>2370</v>
      </c>
      <c r="M1202" s="29" t="s">
        <v>2074</v>
      </c>
      <c r="N1202" s="29" t="s">
        <v>1434</v>
      </c>
      <c r="O1202" s="29" t="s">
        <v>590</v>
      </c>
    </row>
    <row r="1203" spans="1:15">
      <c r="A1203" s="25">
        <v>22186</v>
      </c>
      <c r="B1203" s="34" t="s">
        <v>2400</v>
      </c>
      <c r="C1203" s="31" t="s">
        <v>521</v>
      </c>
      <c r="D1203" s="31" t="s">
        <v>1201</v>
      </c>
      <c r="E1203" s="28">
        <v>43158</v>
      </c>
      <c r="F1203" s="28">
        <v>43186</v>
      </c>
      <c r="G1203" s="28">
        <v>43555</v>
      </c>
      <c r="H1203" s="29" t="s">
        <v>560</v>
      </c>
      <c r="I1203" s="29" t="s">
        <v>560</v>
      </c>
      <c r="J1203" s="29" t="s">
        <v>2304</v>
      </c>
      <c r="K1203" s="29" t="s">
        <v>2369</v>
      </c>
      <c r="L1203" s="29" t="s">
        <v>2370</v>
      </c>
      <c r="M1203" s="29" t="s">
        <v>2052</v>
      </c>
      <c r="N1203" s="29" t="s">
        <v>2041</v>
      </c>
      <c r="O1203" s="29" t="s">
        <v>590</v>
      </c>
    </row>
    <row r="1204" spans="1:15">
      <c r="A1204" s="25">
        <v>22373</v>
      </c>
      <c r="B1204" s="34" t="s">
        <v>2401</v>
      </c>
      <c r="C1204" s="31" t="s">
        <v>521</v>
      </c>
      <c r="D1204" s="31" t="s">
        <v>805</v>
      </c>
      <c r="E1204" s="28">
        <v>43213</v>
      </c>
      <c r="F1204" s="28">
        <v>43243</v>
      </c>
      <c r="G1204" s="28">
        <v>43616</v>
      </c>
      <c r="H1204" s="29" t="s">
        <v>560</v>
      </c>
      <c r="I1204" s="29" t="s">
        <v>560</v>
      </c>
      <c r="J1204" s="29" t="s">
        <v>2304</v>
      </c>
      <c r="K1204" s="29" t="s">
        <v>2369</v>
      </c>
      <c r="L1204" s="29" t="s">
        <v>2370</v>
      </c>
      <c r="M1204" s="29" t="s">
        <v>2402</v>
      </c>
      <c r="N1204" s="29" t="s">
        <v>1521</v>
      </c>
      <c r="O1204" s="29" t="s">
        <v>590</v>
      </c>
    </row>
    <row r="1205" spans="1:15">
      <c r="A1205" s="25">
        <v>22374</v>
      </c>
      <c r="B1205" s="34" t="s">
        <v>2403</v>
      </c>
      <c r="C1205" s="31" t="s">
        <v>521</v>
      </c>
      <c r="D1205" s="31" t="s">
        <v>805</v>
      </c>
      <c r="E1205" s="28">
        <v>43213</v>
      </c>
      <c r="F1205" s="28">
        <v>43243</v>
      </c>
      <c r="G1205" s="28">
        <v>43616</v>
      </c>
      <c r="H1205" s="29" t="s">
        <v>560</v>
      </c>
      <c r="I1205" s="29" t="s">
        <v>560</v>
      </c>
      <c r="J1205" s="29" t="s">
        <v>2304</v>
      </c>
      <c r="K1205" s="29" t="s">
        <v>2369</v>
      </c>
      <c r="L1205" s="29" t="s">
        <v>2370</v>
      </c>
      <c r="M1205" s="29" t="s">
        <v>2106</v>
      </c>
      <c r="N1205" s="29" t="s">
        <v>1434</v>
      </c>
      <c r="O1205" s="29" t="s">
        <v>590</v>
      </c>
    </row>
    <row r="1206" spans="1:15">
      <c r="A1206" s="25">
        <v>22504</v>
      </c>
      <c r="B1206" s="34" t="s">
        <v>2404</v>
      </c>
      <c r="C1206" s="31" t="s">
        <v>521</v>
      </c>
      <c r="D1206" s="31" t="s">
        <v>773</v>
      </c>
      <c r="E1206" s="28">
        <v>43224</v>
      </c>
      <c r="F1206" s="28">
        <v>43255</v>
      </c>
      <c r="G1206" s="28">
        <v>43616</v>
      </c>
      <c r="H1206" s="29" t="s">
        <v>560</v>
      </c>
      <c r="I1206" s="29" t="s">
        <v>560</v>
      </c>
      <c r="J1206" s="29" t="s">
        <v>2304</v>
      </c>
      <c r="K1206" s="29" t="s">
        <v>2369</v>
      </c>
      <c r="L1206" s="29" t="s">
        <v>2370</v>
      </c>
      <c r="M1206" s="29" t="s">
        <v>2057</v>
      </c>
      <c r="N1206" s="29" t="s">
        <v>2041</v>
      </c>
      <c r="O1206" s="29" t="s">
        <v>590</v>
      </c>
    </row>
    <row r="1207" spans="1:15">
      <c r="A1207" s="25">
        <v>22788</v>
      </c>
      <c r="B1207" s="34" t="s">
        <v>2405</v>
      </c>
      <c r="C1207" s="31" t="s">
        <v>521</v>
      </c>
      <c r="D1207" s="31" t="s">
        <v>1615</v>
      </c>
      <c r="E1207" s="28">
        <v>43283</v>
      </c>
      <c r="F1207" s="28">
        <v>43314</v>
      </c>
      <c r="G1207" s="28">
        <v>43677</v>
      </c>
      <c r="H1207" s="29" t="s">
        <v>560</v>
      </c>
      <c r="I1207" s="29" t="s">
        <v>560</v>
      </c>
      <c r="J1207" s="29" t="s">
        <v>2304</v>
      </c>
      <c r="K1207" s="29" t="s">
        <v>2369</v>
      </c>
      <c r="L1207" s="29" t="s">
        <v>2370</v>
      </c>
      <c r="M1207" s="29" t="s">
        <v>2406</v>
      </c>
      <c r="N1207" s="29" t="s">
        <v>1434</v>
      </c>
      <c r="O1207" s="29" t="s">
        <v>590</v>
      </c>
    </row>
    <row r="1208" spans="1:15">
      <c r="A1208" s="25">
        <v>23078</v>
      </c>
      <c r="B1208" s="34" t="s">
        <v>2407</v>
      </c>
      <c r="C1208" s="31" t="s">
        <v>521</v>
      </c>
      <c r="D1208" s="31" t="s">
        <v>1872</v>
      </c>
      <c r="E1208" s="28">
        <v>43361</v>
      </c>
      <c r="F1208" s="28">
        <v>43391</v>
      </c>
      <c r="G1208" s="28">
        <v>43769</v>
      </c>
      <c r="H1208" s="29" t="s">
        <v>560</v>
      </c>
      <c r="I1208" s="29" t="s">
        <v>560</v>
      </c>
      <c r="J1208" s="29" t="s">
        <v>2304</v>
      </c>
      <c r="K1208" s="29" t="s">
        <v>2369</v>
      </c>
      <c r="L1208" s="29" t="s">
        <v>2370</v>
      </c>
      <c r="M1208" s="29" t="s">
        <v>2079</v>
      </c>
      <c r="N1208" s="29" t="s">
        <v>2080</v>
      </c>
      <c r="O1208" s="29" t="s">
        <v>590</v>
      </c>
    </row>
    <row r="1209" spans="1:15">
      <c r="A1209" s="25">
        <v>23098</v>
      </c>
      <c r="B1209" s="34" t="s">
        <v>2408</v>
      </c>
      <c r="C1209" s="31" t="s">
        <v>521</v>
      </c>
      <c r="D1209" s="31" t="s">
        <v>1523</v>
      </c>
      <c r="E1209" s="28">
        <v>43369</v>
      </c>
      <c r="F1209" s="28">
        <v>43399</v>
      </c>
      <c r="G1209" s="28">
        <v>43769</v>
      </c>
      <c r="H1209" s="29" t="s">
        <v>560</v>
      </c>
      <c r="I1209" s="29" t="s">
        <v>560</v>
      </c>
      <c r="J1209" s="29" t="s">
        <v>2304</v>
      </c>
      <c r="K1209" s="29" t="s">
        <v>2369</v>
      </c>
      <c r="L1209" s="29" t="s">
        <v>2370</v>
      </c>
      <c r="M1209" s="29" t="s">
        <v>2409</v>
      </c>
      <c r="N1209" s="29" t="s">
        <v>1434</v>
      </c>
      <c r="O1209" s="29" t="s">
        <v>590</v>
      </c>
    </row>
    <row r="1210" spans="1:15">
      <c r="A1210" s="25">
        <v>23114</v>
      </c>
      <c r="B1210" s="34" t="s">
        <v>2410</v>
      </c>
      <c r="C1210" s="31" t="s">
        <v>521</v>
      </c>
      <c r="D1210" s="31" t="s">
        <v>1523</v>
      </c>
      <c r="E1210" s="28">
        <v>43369</v>
      </c>
      <c r="F1210" s="28">
        <v>43399</v>
      </c>
      <c r="G1210" s="28">
        <v>43769</v>
      </c>
      <c r="H1210" s="29" t="s">
        <v>560</v>
      </c>
      <c r="I1210" s="29" t="s">
        <v>560</v>
      </c>
      <c r="J1210" s="29" t="s">
        <v>2304</v>
      </c>
      <c r="K1210" s="29" t="s">
        <v>2369</v>
      </c>
      <c r="L1210" s="29" t="s">
        <v>2370</v>
      </c>
      <c r="M1210" s="29" t="s">
        <v>2040</v>
      </c>
      <c r="N1210" s="29" t="s">
        <v>2041</v>
      </c>
      <c r="O1210" s="29" t="s">
        <v>590</v>
      </c>
    </row>
    <row r="1211" spans="1:15">
      <c r="A1211" s="25">
        <v>23177</v>
      </c>
      <c r="B1211" s="34" t="s">
        <v>2411</v>
      </c>
      <c r="C1211" s="31" t="s">
        <v>521</v>
      </c>
      <c r="D1211" s="31" t="s">
        <v>1523</v>
      </c>
      <c r="E1211" s="28">
        <v>43369</v>
      </c>
      <c r="F1211" s="28">
        <v>43399</v>
      </c>
      <c r="G1211" s="28">
        <v>43769</v>
      </c>
      <c r="H1211" s="29" t="s">
        <v>560</v>
      </c>
      <c r="I1211" s="29" t="s">
        <v>560</v>
      </c>
      <c r="J1211" s="29" t="s">
        <v>2304</v>
      </c>
      <c r="K1211" s="29" t="s">
        <v>2369</v>
      </c>
      <c r="L1211" s="29" t="s">
        <v>2370</v>
      </c>
      <c r="M1211" s="29" t="s">
        <v>2118</v>
      </c>
      <c r="N1211" s="29" t="s">
        <v>2041</v>
      </c>
      <c r="O1211" s="29" t="s">
        <v>590</v>
      </c>
    </row>
    <row r="1212" spans="1:15">
      <c r="A1212" s="25">
        <v>23178</v>
      </c>
      <c r="B1212" s="34" t="s">
        <v>2412</v>
      </c>
      <c r="C1212" s="31" t="s">
        <v>521</v>
      </c>
      <c r="D1212" s="31" t="s">
        <v>1523</v>
      </c>
      <c r="E1212" s="28">
        <v>43369</v>
      </c>
      <c r="F1212" s="28">
        <v>43399</v>
      </c>
      <c r="G1212" s="28">
        <v>43769</v>
      </c>
      <c r="H1212" s="29" t="s">
        <v>560</v>
      </c>
      <c r="I1212" s="29" t="s">
        <v>560</v>
      </c>
      <c r="J1212" s="29" t="s">
        <v>2304</v>
      </c>
      <c r="K1212" s="29" t="s">
        <v>2369</v>
      </c>
      <c r="L1212" s="29" t="s">
        <v>2370</v>
      </c>
      <c r="M1212" s="29" t="s">
        <v>2104</v>
      </c>
      <c r="N1212" s="29" t="s">
        <v>1434</v>
      </c>
      <c r="O1212" s="29" t="s">
        <v>590</v>
      </c>
    </row>
    <row r="1213" spans="1:15">
      <c r="A1213" s="25">
        <v>23221</v>
      </c>
      <c r="B1213" s="34" t="s">
        <v>2413</v>
      </c>
      <c r="C1213" s="31" t="s">
        <v>521</v>
      </c>
      <c r="D1213" s="31" t="s">
        <v>1582</v>
      </c>
      <c r="E1213" s="28">
        <v>43421</v>
      </c>
      <c r="F1213" s="28">
        <v>43451</v>
      </c>
      <c r="G1213" s="28">
        <v>43830</v>
      </c>
      <c r="H1213" s="29" t="s">
        <v>560</v>
      </c>
      <c r="I1213" s="29" t="s">
        <v>560</v>
      </c>
      <c r="J1213" s="29" t="s">
        <v>2304</v>
      </c>
      <c r="K1213" s="29" t="s">
        <v>2369</v>
      </c>
      <c r="L1213" s="29" t="s">
        <v>2370</v>
      </c>
      <c r="M1213" s="29" t="s">
        <v>2104</v>
      </c>
      <c r="N1213" s="29" t="s">
        <v>2041</v>
      </c>
      <c r="O1213" s="29" t="s">
        <v>590</v>
      </c>
    </row>
    <row r="1214" spans="1:15">
      <c r="A1214" s="25">
        <v>23222</v>
      </c>
      <c r="B1214" s="34" t="s">
        <v>2414</v>
      </c>
      <c r="C1214" s="31" t="s">
        <v>521</v>
      </c>
      <c r="D1214" s="31" t="s">
        <v>1582</v>
      </c>
      <c r="E1214" s="28">
        <v>43421</v>
      </c>
      <c r="F1214" s="28">
        <v>43451</v>
      </c>
      <c r="G1214" s="28">
        <v>43830</v>
      </c>
      <c r="H1214" s="29" t="s">
        <v>560</v>
      </c>
      <c r="I1214" s="29" t="s">
        <v>560</v>
      </c>
      <c r="J1214" s="29" t="s">
        <v>2304</v>
      </c>
      <c r="K1214" s="29" t="s">
        <v>2369</v>
      </c>
      <c r="L1214" s="29" t="s">
        <v>2370</v>
      </c>
      <c r="M1214" s="29" t="s">
        <v>2061</v>
      </c>
      <c r="N1214" s="29" t="s">
        <v>2041</v>
      </c>
      <c r="O1214" s="29" t="s">
        <v>590</v>
      </c>
    </row>
    <row r="1215" spans="1:15">
      <c r="A1215" s="25">
        <v>23341</v>
      </c>
      <c r="B1215" s="34" t="s">
        <v>2415</v>
      </c>
      <c r="C1215" s="31" t="s">
        <v>521</v>
      </c>
      <c r="D1215" s="31" t="s">
        <v>1527</v>
      </c>
      <c r="E1215" s="28">
        <v>43427</v>
      </c>
      <c r="F1215" s="28">
        <v>43457</v>
      </c>
      <c r="G1215" s="28">
        <v>43830</v>
      </c>
      <c r="H1215" s="29" t="s">
        <v>560</v>
      </c>
      <c r="I1215" s="29" t="s">
        <v>560</v>
      </c>
      <c r="J1215" s="29" t="s">
        <v>2304</v>
      </c>
      <c r="K1215" s="29" t="s">
        <v>2369</v>
      </c>
      <c r="L1215" s="29" t="s">
        <v>2370</v>
      </c>
      <c r="M1215" s="29" t="s">
        <v>2416</v>
      </c>
      <c r="N1215" s="29" t="s">
        <v>1586</v>
      </c>
      <c r="O1215" s="29" t="s">
        <v>590</v>
      </c>
    </row>
    <row r="1216" spans="1:15">
      <c r="A1216" s="25">
        <v>23345</v>
      </c>
      <c r="B1216" s="34" t="s">
        <v>2417</v>
      </c>
      <c r="C1216" s="31" t="s">
        <v>521</v>
      </c>
      <c r="D1216" s="31" t="s">
        <v>1527</v>
      </c>
      <c r="E1216" s="28">
        <v>43427</v>
      </c>
      <c r="F1216" s="28">
        <v>43457</v>
      </c>
      <c r="G1216" s="28">
        <v>43830</v>
      </c>
      <c r="H1216" s="29" t="s">
        <v>560</v>
      </c>
      <c r="I1216" s="29" t="s">
        <v>560</v>
      </c>
      <c r="J1216" s="29" t="s">
        <v>2304</v>
      </c>
      <c r="K1216" s="29" t="s">
        <v>2369</v>
      </c>
      <c r="L1216" s="29" t="s">
        <v>2370</v>
      </c>
      <c r="M1216" s="29" t="s">
        <v>2418</v>
      </c>
      <c r="N1216" s="29" t="s">
        <v>1586</v>
      </c>
      <c r="O1216" s="29" t="s">
        <v>590</v>
      </c>
    </row>
    <row r="1217" spans="1:15">
      <c r="A1217" s="25">
        <v>23371</v>
      </c>
      <c r="B1217" s="34" t="s">
        <v>2419</v>
      </c>
      <c r="C1217" s="31" t="s">
        <v>521</v>
      </c>
      <c r="D1217" s="31" t="s">
        <v>1527</v>
      </c>
      <c r="E1217" s="28">
        <v>43427</v>
      </c>
      <c r="F1217" s="28">
        <v>43457</v>
      </c>
      <c r="G1217" s="28">
        <v>43830</v>
      </c>
      <c r="H1217" s="29" t="s">
        <v>560</v>
      </c>
      <c r="I1217" s="29" t="s">
        <v>560</v>
      </c>
      <c r="J1217" s="29" t="s">
        <v>2304</v>
      </c>
      <c r="K1217" s="29" t="s">
        <v>2369</v>
      </c>
      <c r="L1217" s="29" t="s">
        <v>2370</v>
      </c>
      <c r="M1217" s="29" t="s">
        <v>2079</v>
      </c>
      <c r="N1217" s="29" t="s">
        <v>2080</v>
      </c>
      <c r="O1217" s="29" t="s">
        <v>590</v>
      </c>
    </row>
    <row r="1218" spans="1:15">
      <c r="A1218" s="25">
        <v>23388</v>
      </c>
      <c r="B1218" s="34" t="s">
        <v>2420</v>
      </c>
      <c r="C1218" s="31" t="s">
        <v>521</v>
      </c>
      <c r="D1218" s="31" t="s">
        <v>882</v>
      </c>
      <c r="E1218" s="28">
        <v>43434</v>
      </c>
      <c r="F1218" s="28">
        <v>43464</v>
      </c>
      <c r="G1218" s="28">
        <v>43830</v>
      </c>
      <c r="H1218" s="29" t="s">
        <v>560</v>
      </c>
      <c r="I1218" s="29" t="s">
        <v>560</v>
      </c>
      <c r="J1218" s="29" t="s">
        <v>2304</v>
      </c>
      <c r="K1218" s="29" t="s">
        <v>2369</v>
      </c>
      <c r="L1218" s="29" t="s">
        <v>2370</v>
      </c>
      <c r="M1218" s="29" t="s">
        <v>1593</v>
      </c>
      <c r="N1218" s="29" t="s">
        <v>1586</v>
      </c>
      <c r="O1218" s="29" t="s">
        <v>590</v>
      </c>
    </row>
    <row r="1219" spans="1:15">
      <c r="A1219" s="25">
        <v>23592</v>
      </c>
      <c r="B1219" s="34" t="s">
        <v>2421</v>
      </c>
      <c r="C1219" s="31" t="s">
        <v>521</v>
      </c>
      <c r="D1219" s="31" t="s">
        <v>884</v>
      </c>
      <c r="E1219" s="28">
        <v>43452</v>
      </c>
      <c r="F1219" s="28">
        <v>43483</v>
      </c>
      <c r="G1219" s="28">
        <v>43861</v>
      </c>
      <c r="H1219" s="29" t="s">
        <v>560</v>
      </c>
      <c r="I1219" s="29" t="s">
        <v>560</v>
      </c>
      <c r="J1219" s="29" t="s">
        <v>2304</v>
      </c>
      <c r="K1219" s="29" t="s">
        <v>2369</v>
      </c>
      <c r="L1219" s="29" t="s">
        <v>2370</v>
      </c>
      <c r="M1219" s="29" t="s">
        <v>2357</v>
      </c>
      <c r="N1219" s="29" t="s">
        <v>2077</v>
      </c>
      <c r="O1219" s="29" t="s">
        <v>590</v>
      </c>
    </row>
    <row r="1220" spans="1:15">
      <c r="A1220" s="25" t="s">
        <v>2422</v>
      </c>
      <c r="B1220" s="34" t="s">
        <v>2423</v>
      </c>
      <c r="C1220" s="31" t="s">
        <v>521</v>
      </c>
      <c r="D1220" s="31" t="s">
        <v>892</v>
      </c>
      <c r="E1220" s="28">
        <v>43467</v>
      </c>
      <c r="F1220" s="28">
        <v>43467</v>
      </c>
      <c r="G1220" s="28">
        <v>43497</v>
      </c>
      <c r="H1220" s="29" t="s">
        <v>560</v>
      </c>
      <c r="I1220" s="29" t="s">
        <v>560</v>
      </c>
      <c r="J1220" s="29" t="s">
        <v>2304</v>
      </c>
      <c r="K1220" s="29" t="s">
        <v>2369</v>
      </c>
      <c r="L1220" s="29" t="s">
        <v>2370</v>
      </c>
      <c r="M1220" s="29" t="s">
        <v>1593</v>
      </c>
      <c r="N1220" s="29" t="s">
        <v>1586</v>
      </c>
      <c r="O1220" s="29" t="s">
        <v>590</v>
      </c>
    </row>
    <row r="1221" spans="1:15">
      <c r="A1221" s="25">
        <v>8665</v>
      </c>
      <c r="B1221" s="34" t="s">
        <v>126</v>
      </c>
      <c r="C1221" s="31" t="s">
        <v>521</v>
      </c>
      <c r="D1221" s="29" t="s">
        <v>1493</v>
      </c>
      <c r="E1221" s="28">
        <v>39878</v>
      </c>
      <c r="F1221" s="28" t="s">
        <v>35</v>
      </c>
      <c r="G1221" s="28" t="s">
        <v>35</v>
      </c>
      <c r="H1221" s="29" t="s">
        <v>560</v>
      </c>
      <c r="I1221" s="29" t="s">
        <v>560</v>
      </c>
      <c r="J1221" s="29" t="s">
        <v>1508</v>
      </c>
      <c r="K1221" s="29" t="s">
        <v>1508</v>
      </c>
      <c r="L1221" s="29" t="s">
        <v>2424</v>
      </c>
      <c r="M1221" s="29" t="s">
        <v>2030</v>
      </c>
      <c r="N1221" s="29" t="s">
        <v>2031</v>
      </c>
      <c r="O1221" s="29" t="s">
        <v>594</v>
      </c>
    </row>
    <row r="1222" spans="1:15">
      <c r="A1222" s="25">
        <v>9596</v>
      </c>
      <c r="B1222" s="26" t="s">
        <v>2425</v>
      </c>
      <c r="C1222" s="27" t="s">
        <v>521</v>
      </c>
      <c r="D1222" s="27" t="s">
        <v>1598</v>
      </c>
      <c r="E1222" s="28">
        <v>40179</v>
      </c>
      <c r="F1222" s="28" t="s">
        <v>35</v>
      </c>
      <c r="G1222" s="28" t="s">
        <v>35</v>
      </c>
      <c r="H1222" s="27" t="s">
        <v>560</v>
      </c>
      <c r="I1222" s="27" t="s">
        <v>560</v>
      </c>
      <c r="J1222" s="29" t="s">
        <v>1508</v>
      </c>
      <c r="K1222" s="29" t="s">
        <v>1508</v>
      </c>
      <c r="L1222" s="29" t="s">
        <v>2424</v>
      </c>
      <c r="M1222" s="29" t="s">
        <v>2061</v>
      </c>
      <c r="N1222" s="29" t="s">
        <v>2041</v>
      </c>
      <c r="O1222" s="29" t="s">
        <v>594</v>
      </c>
    </row>
    <row r="1223" spans="1:15">
      <c r="A1223" s="25">
        <v>9684</v>
      </c>
      <c r="B1223" s="26" t="s">
        <v>96</v>
      </c>
      <c r="C1223" s="27" t="s">
        <v>521</v>
      </c>
      <c r="D1223" s="27" t="s">
        <v>677</v>
      </c>
      <c r="E1223" s="28">
        <v>40297</v>
      </c>
      <c r="F1223" s="28" t="s">
        <v>35</v>
      </c>
      <c r="G1223" s="28" t="s">
        <v>35</v>
      </c>
      <c r="H1223" s="29" t="s">
        <v>560</v>
      </c>
      <c r="I1223" s="29" t="s">
        <v>560</v>
      </c>
      <c r="J1223" s="29" t="s">
        <v>1508</v>
      </c>
      <c r="K1223" s="29" t="s">
        <v>1508</v>
      </c>
      <c r="L1223" s="29" t="s">
        <v>2424</v>
      </c>
      <c r="M1223" s="29" t="s">
        <v>2030</v>
      </c>
      <c r="N1223" s="29" t="s">
        <v>2031</v>
      </c>
      <c r="O1223" s="29" t="s">
        <v>594</v>
      </c>
    </row>
    <row r="1224" spans="1:15">
      <c r="A1224" s="25">
        <v>10637</v>
      </c>
      <c r="B1224" s="26" t="s">
        <v>2076</v>
      </c>
      <c r="C1224" s="27" t="s">
        <v>521</v>
      </c>
      <c r="D1224" s="27" t="s">
        <v>2426</v>
      </c>
      <c r="E1224" s="28">
        <v>40549</v>
      </c>
      <c r="F1224" s="28" t="s">
        <v>35</v>
      </c>
      <c r="G1224" s="28" t="s">
        <v>35</v>
      </c>
      <c r="H1224" s="27" t="s">
        <v>560</v>
      </c>
      <c r="I1224" s="27" t="s">
        <v>560</v>
      </c>
      <c r="J1224" s="29" t="s">
        <v>1508</v>
      </c>
      <c r="K1224" s="29" t="s">
        <v>1508</v>
      </c>
      <c r="L1224" s="29" t="s">
        <v>2424</v>
      </c>
      <c r="M1224" s="29" t="s">
        <v>2427</v>
      </c>
      <c r="N1224" s="29" t="s">
        <v>1434</v>
      </c>
      <c r="O1224" s="29" t="s">
        <v>594</v>
      </c>
    </row>
    <row r="1225" spans="1:15">
      <c r="A1225" s="25">
        <v>11324</v>
      </c>
      <c r="B1225" s="26" t="s">
        <v>2428</v>
      </c>
      <c r="C1225" s="27" t="s">
        <v>521</v>
      </c>
      <c r="D1225" s="27" t="s">
        <v>781</v>
      </c>
      <c r="E1225" s="28">
        <v>40666</v>
      </c>
      <c r="F1225" s="28" t="s">
        <v>35</v>
      </c>
      <c r="G1225" s="28" t="s">
        <v>35</v>
      </c>
      <c r="H1225" s="27" t="s">
        <v>560</v>
      </c>
      <c r="I1225" s="27" t="s">
        <v>560</v>
      </c>
      <c r="J1225" s="29" t="s">
        <v>1508</v>
      </c>
      <c r="K1225" s="29" t="s">
        <v>1508</v>
      </c>
      <c r="L1225" s="29" t="s">
        <v>2424</v>
      </c>
      <c r="M1225" s="29" t="s">
        <v>2354</v>
      </c>
      <c r="N1225" s="29" t="s">
        <v>1434</v>
      </c>
      <c r="O1225" s="29" t="s">
        <v>594</v>
      </c>
    </row>
    <row r="1226" spans="1:15">
      <c r="A1226" s="25">
        <v>11976</v>
      </c>
      <c r="B1226" s="84" t="s">
        <v>426</v>
      </c>
      <c r="C1226" s="85" t="s">
        <v>521</v>
      </c>
      <c r="D1226" s="27" t="s">
        <v>2429</v>
      </c>
      <c r="E1226" s="28">
        <v>40777</v>
      </c>
      <c r="F1226" s="28" t="s">
        <v>35</v>
      </c>
      <c r="G1226" s="28" t="s">
        <v>35</v>
      </c>
      <c r="H1226" s="29" t="s">
        <v>560</v>
      </c>
      <c r="I1226" s="29" t="s">
        <v>560</v>
      </c>
      <c r="J1226" s="29" t="s">
        <v>1508</v>
      </c>
      <c r="K1226" s="29" t="s">
        <v>1508</v>
      </c>
      <c r="L1226" s="29" t="s">
        <v>2424</v>
      </c>
      <c r="M1226" s="29" t="s">
        <v>2030</v>
      </c>
      <c r="N1226" s="29" t="s">
        <v>2031</v>
      </c>
      <c r="O1226" s="29" t="s">
        <v>594</v>
      </c>
    </row>
    <row r="1227" spans="1:15">
      <c r="A1227" s="25">
        <v>12370</v>
      </c>
      <c r="B1227" s="34" t="s">
        <v>2430</v>
      </c>
      <c r="C1227" s="31" t="s">
        <v>521</v>
      </c>
      <c r="D1227" s="31" t="s">
        <v>724</v>
      </c>
      <c r="E1227" s="28">
        <v>40809</v>
      </c>
      <c r="F1227" s="28" t="s">
        <v>35</v>
      </c>
      <c r="G1227" s="28" t="s">
        <v>35</v>
      </c>
      <c r="H1227" s="29" t="s">
        <v>560</v>
      </c>
      <c r="I1227" s="29" t="s">
        <v>560</v>
      </c>
      <c r="J1227" s="29" t="s">
        <v>1508</v>
      </c>
      <c r="K1227" s="29" t="s">
        <v>1508</v>
      </c>
      <c r="L1227" s="29" t="s">
        <v>2424</v>
      </c>
      <c r="M1227" s="29" t="s">
        <v>2030</v>
      </c>
      <c r="N1227" s="29" t="s">
        <v>2031</v>
      </c>
      <c r="O1227" s="29" t="s">
        <v>594</v>
      </c>
    </row>
    <row r="1228" spans="1:15">
      <c r="A1228" s="25">
        <v>12922</v>
      </c>
      <c r="B1228" s="26" t="s">
        <v>2431</v>
      </c>
      <c r="C1228" s="27" t="s">
        <v>521</v>
      </c>
      <c r="D1228" s="27" t="s">
        <v>688</v>
      </c>
      <c r="E1228" s="28">
        <v>40833</v>
      </c>
      <c r="F1228" s="28" t="s">
        <v>35</v>
      </c>
      <c r="G1228" s="28" t="s">
        <v>35</v>
      </c>
      <c r="H1228" s="27" t="s">
        <v>560</v>
      </c>
      <c r="I1228" s="27" t="s">
        <v>560</v>
      </c>
      <c r="J1228" s="29" t="s">
        <v>1508</v>
      </c>
      <c r="K1228" s="29" t="s">
        <v>1508</v>
      </c>
      <c r="L1228" s="29" t="s">
        <v>2424</v>
      </c>
      <c r="M1228" s="29" t="s">
        <v>1550</v>
      </c>
      <c r="N1228" s="29" t="s">
        <v>1045</v>
      </c>
      <c r="O1228" s="29" t="s">
        <v>594</v>
      </c>
    </row>
    <row r="1229" spans="1:15">
      <c r="A1229" s="25">
        <v>12979</v>
      </c>
      <c r="B1229" s="26" t="s">
        <v>2432</v>
      </c>
      <c r="C1229" s="27" t="s">
        <v>521</v>
      </c>
      <c r="D1229" s="27" t="s">
        <v>717</v>
      </c>
      <c r="E1229" s="28">
        <v>40840</v>
      </c>
      <c r="F1229" s="28" t="s">
        <v>35</v>
      </c>
      <c r="G1229" s="28" t="s">
        <v>35</v>
      </c>
      <c r="H1229" s="27" t="s">
        <v>560</v>
      </c>
      <c r="I1229" s="27" t="s">
        <v>560</v>
      </c>
      <c r="J1229" s="29" t="s">
        <v>1508</v>
      </c>
      <c r="K1229" s="29" t="s">
        <v>1508</v>
      </c>
      <c r="L1229" s="29" t="s">
        <v>2424</v>
      </c>
      <c r="M1229" s="29" t="s">
        <v>2025</v>
      </c>
      <c r="N1229" s="29" t="s">
        <v>2026</v>
      </c>
      <c r="O1229" s="29" t="s">
        <v>594</v>
      </c>
    </row>
    <row r="1230" spans="1:15">
      <c r="A1230" s="25">
        <v>19778</v>
      </c>
      <c r="B1230" s="26" t="s">
        <v>2433</v>
      </c>
      <c r="C1230" s="27" t="s">
        <v>521</v>
      </c>
      <c r="D1230" s="27" t="s">
        <v>2148</v>
      </c>
      <c r="E1230" s="28">
        <v>42499</v>
      </c>
      <c r="F1230" s="28" t="s">
        <v>35</v>
      </c>
      <c r="G1230" s="28" t="s">
        <v>35</v>
      </c>
      <c r="H1230" s="27" t="s">
        <v>560</v>
      </c>
      <c r="I1230" s="27" t="s">
        <v>560</v>
      </c>
      <c r="J1230" s="29" t="s">
        <v>1508</v>
      </c>
      <c r="K1230" s="29" t="s">
        <v>1508</v>
      </c>
      <c r="L1230" s="29" t="s">
        <v>2424</v>
      </c>
      <c r="M1230" s="29" t="s">
        <v>2089</v>
      </c>
      <c r="N1230" s="27" t="s">
        <v>2090</v>
      </c>
      <c r="O1230" s="29" t="s">
        <v>594</v>
      </c>
    </row>
    <row r="1231" spans="1:15">
      <c r="A1231" s="25">
        <v>20982</v>
      </c>
      <c r="B1231" s="33" t="s">
        <v>2434</v>
      </c>
      <c r="C1231" s="27" t="s">
        <v>521</v>
      </c>
      <c r="D1231" s="27" t="s">
        <v>1184</v>
      </c>
      <c r="E1231" s="28">
        <v>42674</v>
      </c>
      <c r="F1231" s="28">
        <v>43160</v>
      </c>
      <c r="G1231" s="28">
        <v>43524</v>
      </c>
      <c r="H1231" s="31" t="s">
        <v>560</v>
      </c>
      <c r="I1231" s="31" t="s">
        <v>560</v>
      </c>
      <c r="J1231" s="29" t="s">
        <v>1508</v>
      </c>
      <c r="K1231" s="29" t="s">
        <v>1508</v>
      </c>
      <c r="L1231" s="29" t="s">
        <v>2424</v>
      </c>
      <c r="M1231" s="29" t="s">
        <v>2057</v>
      </c>
      <c r="N1231" s="29" t="s">
        <v>2041</v>
      </c>
      <c r="O1231" s="29" t="s">
        <v>594</v>
      </c>
    </row>
    <row r="1232" spans="1:15">
      <c r="A1232" s="25">
        <v>21307</v>
      </c>
      <c r="B1232" s="34" t="s">
        <v>2435</v>
      </c>
      <c r="C1232" s="31" t="s">
        <v>521</v>
      </c>
      <c r="D1232" s="31" t="s">
        <v>1595</v>
      </c>
      <c r="E1232" s="28">
        <v>43010</v>
      </c>
      <c r="F1232" s="28">
        <v>43405</v>
      </c>
      <c r="G1232" s="28">
        <v>43769</v>
      </c>
      <c r="H1232" s="29" t="s">
        <v>560</v>
      </c>
      <c r="I1232" s="29" t="s">
        <v>560</v>
      </c>
      <c r="J1232" s="29" t="s">
        <v>1508</v>
      </c>
      <c r="K1232" s="29" t="s">
        <v>1508</v>
      </c>
      <c r="L1232" s="29" t="s">
        <v>2424</v>
      </c>
      <c r="M1232" s="29" t="s">
        <v>2084</v>
      </c>
      <c r="N1232" s="29" t="s">
        <v>1434</v>
      </c>
      <c r="O1232" s="29" t="s">
        <v>594</v>
      </c>
    </row>
    <row r="1233" spans="1:15">
      <c r="A1233" s="25">
        <v>21412</v>
      </c>
      <c r="B1233" s="34" t="s">
        <v>2436</v>
      </c>
      <c r="C1233" s="31" t="s">
        <v>521</v>
      </c>
      <c r="D1233" s="31" t="s">
        <v>2283</v>
      </c>
      <c r="E1233" s="28">
        <v>43018</v>
      </c>
      <c r="F1233" s="28">
        <v>43405</v>
      </c>
      <c r="G1233" s="28">
        <v>43769</v>
      </c>
      <c r="H1233" s="29" t="s">
        <v>560</v>
      </c>
      <c r="I1233" s="29" t="s">
        <v>560</v>
      </c>
      <c r="J1233" s="29" t="s">
        <v>1508</v>
      </c>
      <c r="K1233" s="29" t="s">
        <v>1508</v>
      </c>
      <c r="L1233" s="29" t="s">
        <v>2424</v>
      </c>
      <c r="M1233" s="29" t="s">
        <v>2050</v>
      </c>
      <c r="N1233" s="29" t="s">
        <v>1434</v>
      </c>
      <c r="O1233" s="29" t="s">
        <v>594</v>
      </c>
    </row>
    <row r="1234" spans="1:15">
      <c r="A1234" s="25">
        <v>21556</v>
      </c>
      <c r="B1234" s="34" t="s">
        <v>2437</v>
      </c>
      <c r="C1234" s="31" t="s">
        <v>521</v>
      </c>
      <c r="D1234" s="31" t="s">
        <v>1760</v>
      </c>
      <c r="E1234" s="28">
        <v>43045</v>
      </c>
      <c r="F1234" s="28">
        <v>43435</v>
      </c>
      <c r="G1234" s="28">
        <v>43799</v>
      </c>
      <c r="H1234" s="29" t="s">
        <v>560</v>
      </c>
      <c r="I1234" s="29" t="s">
        <v>560</v>
      </c>
      <c r="J1234" s="29" t="s">
        <v>1508</v>
      </c>
      <c r="K1234" s="29" t="s">
        <v>1508</v>
      </c>
      <c r="L1234" s="29" t="s">
        <v>2424</v>
      </c>
      <c r="M1234" s="29" t="s">
        <v>2085</v>
      </c>
      <c r="N1234" s="29" t="s">
        <v>1434</v>
      </c>
      <c r="O1234" s="29" t="s">
        <v>594</v>
      </c>
    </row>
    <row r="1235" spans="1:15">
      <c r="A1235" s="25">
        <v>21843</v>
      </c>
      <c r="B1235" s="34" t="s">
        <v>2438</v>
      </c>
      <c r="C1235" s="31" t="s">
        <v>521</v>
      </c>
      <c r="D1235" s="31" t="s">
        <v>732</v>
      </c>
      <c r="E1235" s="28">
        <v>43098</v>
      </c>
      <c r="F1235" s="28">
        <v>43129</v>
      </c>
      <c r="G1235" s="28">
        <v>43496</v>
      </c>
      <c r="H1235" s="29" t="s">
        <v>560</v>
      </c>
      <c r="I1235" s="29" t="s">
        <v>560</v>
      </c>
      <c r="J1235" s="29" t="s">
        <v>1508</v>
      </c>
      <c r="K1235" s="29" t="s">
        <v>1508</v>
      </c>
      <c r="L1235" s="29" t="s">
        <v>2424</v>
      </c>
      <c r="M1235" s="29" t="s">
        <v>2106</v>
      </c>
      <c r="N1235" s="29" t="s">
        <v>1434</v>
      </c>
      <c r="O1235" s="29" t="s">
        <v>594</v>
      </c>
    </row>
    <row r="1236" spans="1:15">
      <c r="A1236" s="25">
        <v>21846</v>
      </c>
      <c r="B1236" s="34" t="s">
        <v>2439</v>
      </c>
      <c r="C1236" s="31" t="s">
        <v>521</v>
      </c>
      <c r="D1236" s="31" t="s">
        <v>732</v>
      </c>
      <c r="E1236" s="28">
        <v>43098</v>
      </c>
      <c r="F1236" s="28">
        <v>43129</v>
      </c>
      <c r="G1236" s="28">
        <v>43496</v>
      </c>
      <c r="H1236" s="29" t="s">
        <v>560</v>
      </c>
      <c r="I1236" s="29" t="s">
        <v>560</v>
      </c>
      <c r="J1236" s="29" t="s">
        <v>1508</v>
      </c>
      <c r="K1236" s="29" t="s">
        <v>1508</v>
      </c>
      <c r="L1236" s="29" t="s">
        <v>2424</v>
      </c>
      <c r="M1236" s="29" t="s">
        <v>2087</v>
      </c>
      <c r="N1236" s="29" t="s">
        <v>1434</v>
      </c>
      <c r="O1236" s="29" t="s">
        <v>594</v>
      </c>
    </row>
    <row r="1237" spans="1:15">
      <c r="A1237" s="25">
        <v>22247</v>
      </c>
      <c r="B1237" s="34" t="s">
        <v>2440</v>
      </c>
      <c r="C1237" s="31" t="s">
        <v>521</v>
      </c>
      <c r="D1237" s="31" t="s">
        <v>1796</v>
      </c>
      <c r="E1237" s="28">
        <v>43161</v>
      </c>
      <c r="F1237" s="28">
        <v>43192</v>
      </c>
      <c r="G1237" s="28">
        <v>43555</v>
      </c>
      <c r="H1237" s="29" t="s">
        <v>560</v>
      </c>
      <c r="I1237" s="29" t="s">
        <v>560</v>
      </c>
      <c r="J1237" s="29" t="s">
        <v>1508</v>
      </c>
      <c r="K1237" s="29" t="s">
        <v>1508</v>
      </c>
      <c r="L1237" s="29" t="s">
        <v>2424</v>
      </c>
      <c r="M1237" s="29" t="s">
        <v>2072</v>
      </c>
      <c r="N1237" s="29" t="s">
        <v>1434</v>
      </c>
      <c r="O1237" s="29" t="s">
        <v>594</v>
      </c>
    </row>
    <row r="1238" spans="1:15">
      <c r="A1238" s="25">
        <v>22326</v>
      </c>
      <c r="B1238" s="34" t="s">
        <v>2441</v>
      </c>
      <c r="C1238" s="31" t="s">
        <v>521</v>
      </c>
      <c r="D1238" s="31" t="s">
        <v>694</v>
      </c>
      <c r="E1238" s="28">
        <v>43195</v>
      </c>
      <c r="F1238" s="28">
        <v>43225</v>
      </c>
      <c r="G1238" s="28">
        <v>43585</v>
      </c>
      <c r="H1238" s="29" t="s">
        <v>560</v>
      </c>
      <c r="I1238" s="29" t="s">
        <v>560</v>
      </c>
      <c r="J1238" s="29" t="s">
        <v>1508</v>
      </c>
      <c r="K1238" s="29" t="s">
        <v>1508</v>
      </c>
      <c r="L1238" s="29" t="s">
        <v>2424</v>
      </c>
      <c r="M1238" s="29" t="s">
        <v>2052</v>
      </c>
      <c r="N1238" s="29" t="s">
        <v>2041</v>
      </c>
      <c r="O1238" s="29" t="s">
        <v>594</v>
      </c>
    </row>
    <row r="1239" spans="1:15">
      <c r="A1239" s="25">
        <v>22379</v>
      </c>
      <c r="B1239" s="34" t="s">
        <v>2442</v>
      </c>
      <c r="C1239" s="31" t="s">
        <v>521</v>
      </c>
      <c r="D1239" s="31" t="s">
        <v>805</v>
      </c>
      <c r="E1239" s="28">
        <v>43213</v>
      </c>
      <c r="F1239" s="28">
        <v>43243</v>
      </c>
      <c r="G1239" s="28">
        <v>43616</v>
      </c>
      <c r="H1239" s="29" t="s">
        <v>560</v>
      </c>
      <c r="I1239" s="29" t="s">
        <v>560</v>
      </c>
      <c r="J1239" s="29" t="s">
        <v>1508</v>
      </c>
      <c r="K1239" s="29" t="s">
        <v>1508</v>
      </c>
      <c r="L1239" s="29" t="s">
        <v>2424</v>
      </c>
      <c r="M1239" s="29" t="s">
        <v>2222</v>
      </c>
      <c r="N1239" s="29" t="s">
        <v>2023</v>
      </c>
      <c r="O1239" s="29" t="s">
        <v>594</v>
      </c>
    </row>
    <row r="1240" spans="1:15">
      <c r="A1240" s="25">
        <v>22407</v>
      </c>
      <c r="B1240" s="34" t="s">
        <v>1900</v>
      </c>
      <c r="C1240" s="31" t="s">
        <v>521</v>
      </c>
      <c r="D1240" s="31" t="s">
        <v>805</v>
      </c>
      <c r="E1240" s="28">
        <v>43213</v>
      </c>
      <c r="F1240" s="28">
        <v>43243</v>
      </c>
      <c r="G1240" s="28">
        <v>43616</v>
      </c>
      <c r="H1240" s="29" t="s">
        <v>560</v>
      </c>
      <c r="I1240" s="29" t="s">
        <v>560</v>
      </c>
      <c r="J1240" s="29" t="s">
        <v>1508</v>
      </c>
      <c r="K1240" s="29" t="s">
        <v>1508</v>
      </c>
      <c r="L1240" s="29" t="s">
        <v>2424</v>
      </c>
      <c r="M1240" s="29" t="s">
        <v>2048</v>
      </c>
      <c r="N1240" s="29" t="s">
        <v>1434</v>
      </c>
      <c r="O1240" s="29" t="s">
        <v>594</v>
      </c>
    </row>
    <row r="1241" spans="1:15">
      <c r="A1241" s="25">
        <v>22557</v>
      </c>
      <c r="B1241" s="34" t="s">
        <v>2443</v>
      </c>
      <c r="C1241" s="31" t="s">
        <v>521</v>
      </c>
      <c r="D1241" s="31" t="s">
        <v>773</v>
      </c>
      <c r="E1241" s="28">
        <v>43224</v>
      </c>
      <c r="F1241" s="28">
        <v>43255</v>
      </c>
      <c r="G1241" s="28">
        <v>43616</v>
      </c>
      <c r="H1241" s="29" t="s">
        <v>560</v>
      </c>
      <c r="I1241" s="29" t="s">
        <v>560</v>
      </c>
      <c r="J1241" s="29" t="s">
        <v>1508</v>
      </c>
      <c r="K1241" s="29" t="s">
        <v>1508</v>
      </c>
      <c r="L1241" s="29" t="s">
        <v>2424</v>
      </c>
      <c r="M1241" s="29" t="s">
        <v>2444</v>
      </c>
      <c r="N1241" s="29" t="s">
        <v>1434</v>
      </c>
      <c r="O1241" s="29" t="s">
        <v>594</v>
      </c>
    </row>
    <row r="1242" spans="1:15">
      <c r="A1242" s="25">
        <v>22621</v>
      </c>
      <c r="B1242" s="34" t="s">
        <v>2445</v>
      </c>
      <c r="C1242" s="31" t="s">
        <v>521</v>
      </c>
      <c r="D1242" s="31" t="s">
        <v>745</v>
      </c>
      <c r="E1242" s="28">
        <v>43236</v>
      </c>
      <c r="F1242" s="28">
        <v>43267</v>
      </c>
      <c r="G1242" s="28">
        <v>43646</v>
      </c>
      <c r="H1242" s="29" t="s">
        <v>560</v>
      </c>
      <c r="I1242" s="29" t="s">
        <v>560</v>
      </c>
      <c r="J1242" s="29" t="s">
        <v>1508</v>
      </c>
      <c r="K1242" s="29" t="s">
        <v>1508</v>
      </c>
      <c r="L1242" s="29" t="s">
        <v>2424</v>
      </c>
      <c r="M1242" s="29" t="s">
        <v>2227</v>
      </c>
      <c r="N1242" s="29" t="s">
        <v>1434</v>
      </c>
      <c r="O1242" s="29" t="s">
        <v>594</v>
      </c>
    </row>
    <row r="1243" spans="1:15">
      <c r="A1243" s="25">
        <v>22676</v>
      </c>
      <c r="B1243" s="34" t="s">
        <v>2446</v>
      </c>
      <c r="C1243" s="31" t="s">
        <v>521</v>
      </c>
      <c r="D1243" s="31" t="s">
        <v>1199</v>
      </c>
      <c r="E1243" s="28">
        <v>43241</v>
      </c>
      <c r="F1243" s="28">
        <v>43272</v>
      </c>
      <c r="G1243" s="28">
        <v>43646</v>
      </c>
      <c r="H1243" s="29" t="s">
        <v>560</v>
      </c>
      <c r="I1243" s="29" t="s">
        <v>560</v>
      </c>
      <c r="J1243" s="29" t="s">
        <v>1508</v>
      </c>
      <c r="K1243" s="29" t="s">
        <v>1508</v>
      </c>
      <c r="L1243" s="29" t="s">
        <v>2424</v>
      </c>
      <c r="M1243" s="29" t="s">
        <v>2079</v>
      </c>
      <c r="N1243" s="29" t="s">
        <v>2080</v>
      </c>
      <c r="O1243" s="29" t="s">
        <v>594</v>
      </c>
    </row>
    <row r="1244" spans="1:15">
      <c r="A1244" s="25">
        <v>22716</v>
      </c>
      <c r="B1244" s="34" t="s">
        <v>2447</v>
      </c>
      <c r="C1244" s="31" t="s">
        <v>521</v>
      </c>
      <c r="D1244" s="31" t="s">
        <v>1195</v>
      </c>
      <c r="E1244" s="28">
        <v>43244</v>
      </c>
      <c r="F1244" s="28">
        <v>43275</v>
      </c>
      <c r="G1244" s="28">
        <v>43646</v>
      </c>
      <c r="H1244" s="29" t="s">
        <v>560</v>
      </c>
      <c r="I1244" s="29" t="s">
        <v>560</v>
      </c>
      <c r="J1244" s="29" t="s">
        <v>1508</v>
      </c>
      <c r="K1244" s="29" t="s">
        <v>1508</v>
      </c>
      <c r="L1244" s="29" t="s">
        <v>2424</v>
      </c>
      <c r="M1244" s="29" t="s">
        <v>2035</v>
      </c>
      <c r="N1244" s="29" t="s">
        <v>1434</v>
      </c>
      <c r="O1244" s="29" t="s">
        <v>594</v>
      </c>
    </row>
    <row r="1245" spans="1:15">
      <c r="A1245" s="25">
        <v>22726</v>
      </c>
      <c r="B1245" s="34" t="s">
        <v>2448</v>
      </c>
      <c r="C1245" s="31" t="s">
        <v>521</v>
      </c>
      <c r="D1245" s="31" t="s">
        <v>771</v>
      </c>
      <c r="E1245" s="28">
        <v>43255</v>
      </c>
      <c r="F1245" s="28">
        <v>43285</v>
      </c>
      <c r="G1245" s="28">
        <v>43646</v>
      </c>
      <c r="H1245" s="29" t="s">
        <v>560</v>
      </c>
      <c r="I1245" s="29" t="s">
        <v>560</v>
      </c>
      <c r="J1245" s="29" t="s">
        <v>1508</v>
      </c>
      <c r="K1245" s="29" t="s">
        <v>1508</v>
      </c>
      <c r="L1245" s="29" t="s">
        <v>2424</v>
      </c>
      <c r="M1245" s="29" t="s">
        <v>2079</v>
      </c>
      <c r="N1245" s="29" t="s">
        <v>2080</v>
      </c>
      <c r="O1245" s="29" t="s">
        <v>594</v>
      </c>
    </row>
    <row r="1246" spans="1:15">
      <c r="A1246" s="25">
        <v>22752</v>
      </c>
      <c r="B1246" s="34" t="s">
        <v>2449</v>
      </c>
      <c r="C1246" s="31" t="s">
        <v>521</v>
      </c>
      <c r="D1246" s="31" t="s">
        <v>771</v>
      </c>
      <c r="E1246" s="28">
        <v>43255</v>
      </c>
      <c r="F1246" s="28">
        <v>43285</v>
      </c>
      <c r="G1246" s="28">
        <v>43646</v>
      </c>
      <c r="H1246" s="29" t="s">
        <v>560</v>
      </c>
      <c r="I1246" s="29" t="s">
        <v>560</v>
      </c>
      <c r="J1246" s="29" t="s">
        <v>1508</v>
      </c>
      <c r="K1246" s="29" t="s">
        <v>1508</v>
      </c>
      <c r="L1246" s="29" t="s">
        <v>2424</v>
      </c>
      <c r="M1246" s="29" t="s">
        <v>2450</v>
      </c>
      <c r="N1246" s="29" t="s">
        <v>1434</v>
      </c>
      <c r="O1246" s="29" t="s">
        <v>594</v>
      </c>
    </row>
    <row r="1247" spans="1:15">
      <c r="A1247" s="25">
        <v>22756</v>
      </c>
      <c r="B1247" s="34" t="s">
        <v>2451</v>
      </c>
      <c r="C1247" s="31" t="s">
        <v>521</v>
      </c>
      <c r="D1247" s="31" t="s">
        <v>771</v>
      </c>
      <c r="E1247" s="28">
        <v>43255</v>
      </c>
      <c r="F1247" s="28">
        <v>43285</v>
      </c>
      <c r="G1247" s="28">
        <v>43646</v>
      </c>
      <c r="H1247" s="29" t="s">
        <v>560</v>
      </c>
      <c r="I1247" s="29" t="s">
        <v>560</v>
      </c>
      <c r="J1247" s="29" t="s">
        <v>1508</v>
      </c>
      <c r="K1247" s="29" t="s">
        <v>1508</v>
      </c>
      <c r="L1247" s="29" t="s">
        <v>2424</v>
      </c>
      <c r="M1247" s="29" t="s">
        <v>2094</v>
      </c>
      <c r="N1247" s="29" t="s">
        <v>1434</v>
      </c>
      <c r="O1247" s="29" t="s">
        <v>594</v>
      </c>
    </row>
    <row r="1248" spans="1:15">
      <c r="A1248" s="25">
        <v>22907</v>
      </c>
      <c r="B1248" s="34" t="s">
        <v>2452</v>
      </c>
      <c r="C1248" s="31" t="s">
        <v>521</v>
      </c>
      <c r="D1248" s="31" t="s">
        <v>1962</v>
      </c>
      <c r="E1248" s="28">
        <v>43343</v>
      </c>
      <c r="F1248" s="28">
        <v>43374</v>
      </c>
      <c r="G1248" s="28">
        <v>43738</v>
      </c>
      <c r="H1248" s="29" t="s">
        <v>560</v>
      </c>
      <c r="I1248" s="29" t="s">
        <v>560</v>
      </c>
      <c r="J1248" s="29" t="s">
        <v>1508</v>
      </c>
      <c r="K1248" s="29" t="s">
        <v>1508</v>
      </c>
      <c r="L1248" s="29" t="s">
        <v>2424</v>
      </c>
      <c r="M1248" s="29" t="s">
        <v>2328</v>
      </c>
      <c r="N1248" s="29" t="s">
        <v>2080</v>
      </c>
      <c r="O1248" s="29" t="s">
        <v>594</v>
      </c>
    </row>
    <row r="1249" spans="1:15">
      <c r="A1249" s="25">
        <v>22917</v>
      </c>
      <c r="B1249" s="34" t="s">
        <v>2453</v>
      </c>
      <c r="C1249" s="31" t="s">
        <v>521</v>
      </c>
      <c r="D1249" s="31" t="s">
        <v>1962</v>
      </c>
      <c r="E1249" s="28">
        <v>43343</v>
      </c>
      <c r="F1249" s="28">
        <v>43374</v>
      </c>
      <c r="G1249" s="28">
        <v>43738</v>
      </c>
      <c r="H1249" s="29" t="s">
        <v>560</v>
      </c>
      <c r="I1249" s="29" t="s">
        <v>560</v>
      </c>
      <c r="J1249" s="29" t="s">
        <v>1508</v>
      </c>
      <c r="K1249" s="29" t="s">
        <v>1508</v>
      </c>
      <c r="L1249" s="29" t="s">
        <v>2424</v>
      </c>
      <c r="M1249" s="29" t="s">
        <v>2454</v>
      </c>
      <c r="N1249" s="29" t="s">
        <v>2041</v>
      </c>
      <c r="O1249" s="29" t="s">
        <v>594</v>
      </c>
    </row>
    <row r="1250" spans="1:15">
      <c r="A1250" s="25">
        <v>23021</v>
      </c>
      <c r="B1250" s="34" t="s">
        <v>2455</v>
      </c>
      <c r="C1250" s="31" t="s">
        <v>521</v>
      </c>
      <c r="D1250" s="31" t="s">
        <v>1872</v>
      </c>
      <c r="E1250" s="28">
        <v>43361</v>
      </c>
      <c r="F1250" s="28">
        <v>43391</v>
      </c>
      <c r="G1250" s="28">
        <v>43769</v>
      </c>
      <c r="H1250" s="29" t="s">
        <v>560</v>
      </c>
      <c r="I1250" s="29" t="s">
        <v>560</v>
      </c>
      <c r="J1250" s="29" t="s">
        <v>1508</v>
      </c>
      <c r="K1250" s="29" t="s">
        <v>1508</v>
      </c>
      <c r="L1250" s="29" t="s">
        <v>2424</v>
      </c>
      <c r="M1250" s="29" t="s">
        <v>2065</v>
      </c>
      <c r="N1250" s="29" t="s">
        <v>2041</v>
      </c>
      <c r="O1250" s="29" t="s">
        <v>594</v>
      </c>
    </row>
    <row r="1251" spans="1:15">
      <c r="A1251" s="25">
        <v>23036</v>
      </c>
      <c r="B1251" s="34" t="s">
        <v>2456</v>
      </c>
      <c r="C1251" s="31" t="s">
        <v>521</v>
      </c>
      <c r="D1251" s="31" t="s">
        <v>1872</v>
      </c>
      <c r="E1251" s="28">
        <v>43361</v>
      </c>
      <c r="F1251" s="28">
        <v>43391</v>
      </c>
      <c r="G1251" s="28">
        <v>43769</v>
      </c>
      <c r="H1251" s="29" t="s">
        <v>560</v>
      </c>
      <c r="I1251" s="29" t="s">
        <v>560</v>
      </c>
      <c r="J1251" s="29" t="s">
        <v>1508</v>
      </c>
      <c r="K1251" s="29" t="s">
        <v>1508</v>
      </c>
      <c r="L1251" s="29" t="s">
        <v>2424</v>
      </c>
      <c r="M1251" s="29" t="s">
        <v>2096</v>
      </c>
      <c r="N1251" s="29" t="s">
        <v>1434</v>
      </c>
      <c r="O1251" s="29" t="s">
        <v>594</v>
      </c>
    </row>
    <row r="1252" spans="1:15">
      <c r="A1252" s="25">
        <v>23040</v>
      </c>
      <c r="B1252" s="34" t="s">
        <v>2457</v>
      </c>
      <c r="C1252" s="31" t="s">
        <v>521</v>
      </c>
      <c r="D1252" s="31" t="s">
        <v>1872</v>
      </c>
      <c r="E1252" s="28">
        <v>43361</v>
      </c>
      <c r="F1252" s="28">
        <v>43391</v>
      </c>
      <c r="G1252" s="28">
        <v>43769</v>
      </c>
      <c r="H1252" s="29" t="s">
        <v>560</v>
      </c>
      <c r="I1252" s="29" t="s">
        <v>560</v>
      </c>
      <c r="J1252" s="29" t="s">
        <v>1508</v>
      </c>
      <c r="K1252" s="29" t="s">
        <v>1508</v>
      </c>
      <c r="L1252" s="29" t="s">
        <v>2424</v>
      </c>
      <c r="M1252" s="29" t="s">
        <v>2222</v>
      </c>
      <c r="N1252" s="29" t="s">
        <v>2023</v>
      </c>
      <c r="O1252" s="29" t="s">
        <v>594</v>
      </c>
    </row>
    <row r="1253" spans="1:15">
      <c r="A1253" s="25">
        <v>23093</v>
      </c>
      <c r="B1253" s="34" t="s">
        <v>2458</v>
      </c>
      <c r="C1253" s="31" t="s">
        <v>521</v>
      </c>
      <c r="D1253" s="31" t="s">
        <v>1523</v>
      </c>
      <c r="E1253" s="28">
        <v>43369</v>
      </c>
      <c r="F1253" s="28">
        <v>43399</v>
      </c>
      <c r="G1253" s="28">
        <v>43769</v>
      </c>
      <c r="H1253" s="29" t="s">
        <v>560</v>
      </c>
      <c r="I1253" s="29" t="s">
        <v>560</v>
      </c>
      <c r="J1253" s="29" t="s">
        <v>1508</v>
      </c>
      <c r="K1253" s="29" t="s">
        <v>1508</v>
      </c>
      <c r="L1253" s="29" t="s">
        <v>2424</v>
      </c>
      <c r="M1253" s="29" t="s">
        <v>2238</v>
      </c>
      <c r="N1253" s="29" t="s">
        <v>1434</v>
      </c>
      <c r="O1253" s="29" t="s">
        <v>594</v>
      </c>
    </row>
    <row r="1254" spans="1:15">
      <c r="A1254" s="25">
        <v>23109</v>
      </c>
      <c r="B1254" s="34" t="s">
        <v>2459</v>
      </c>
      <c r="C1254" s="31" t="s">
        <v>521</v>
      </c>
      <c r="D1254" s="31" t="s">
        <v>1523</v>
      </c>
      <c r="E1254" s="28">
        <v>43369</v>
      </c>
      <c r="F1254" s="28">
        <v>43399</v>
      </c>
      <c r="G1254" s="28">
        <v>43769</v>
      </c>
      <c r="H1254" s="29" t="s">
        <v>560</v>
      </c>
      <c r="I1254" s="29" t="s">
        <v>560</v>
      </c>
      <c r="J1254" s="29" t="s">
        <v>1508</v>
      </c>
      <c r="K1254" s="29" t="s">
        <v>1508</v>
      </c>
      <c r="L1254" s="29" t="s">
        <v>2424</v>
      </c>
      <c r="M1254" s="29" t="s">
        <v>2077</v>
      </c>
      <c r="N1254" s="29" t="s">
        <v>2077</v>
      </c>
      <c r="O1254" s="29" t="s">
        <v>594</v>
      </c>
    </row>
    <row r="1255" spans="1:15">
      <c r="A1255" s="25">
        <v>23179</v>
      </c>
      <c r="B1255" s="34" t="s">
        <v>2460</v>
      </c>
      <c r="C1255" s="31" t="s">
        <v>521</v>
      </c>
      <c r="D1255" s="31" t="s">
        <v>1523</v>
      </c>
      <c r="E1255" s="28">
        <v>43369</v>
      </c>
      <c r="F1255" s="28">
        <v>43399</v>
      </c>
      <c r="G1255" s="28">
        <v>43769</v>
      </c>
      <c r="H1255" s="29" t="s">
        <v>560</v>
      </c>
      <c r="I1255" s="29" t="s">
        <v>560</v>
      </c>
      <c r="J1255" s="29" t="s">
        <v>1508</v>
      </c>
      <c r="K1255" s="29" t="s">
        <v>1508</v>
      </c>
      <c r="L1255" s="29" t="s">
        <v>2424</v>
      </c>
      <c r="M1255" s="29" t="s">
        <v>2222</v>
      </c>
      <c r="N1255" s="29" t="s">
        <v>2023</v>
      </c>
      <c r="O1255" s="29" t="s">
        <v>594</v>
      </c>
    </row>
    <row r="1256" spans="1:15">
      <c r="A1256" s="25">
        <v>23192</v>
      </c>
      <c r="B1256" s="34" t="s">
        <v>2461</v>
      </c>
      <c r="C1256" s="31" t="s">
        <v>521</v>
      </c>
      <c r="D1256" s="31" t="s">
        <v>1582</v>
      </c>
      <c r="E1256" s="28">
        <v>43421</v>
      </c>
      <c r="F1256" s="28">
        <v>43451</v>
      </c>
      <c r="G1256" s="28">
        <v>43830</v>
      </c>
      <c r="H1256" s="29" t="s">
        <v>560</v>
      </c>
      <c r="I1256" s="29" t="s">
        <v>560</v>
      </c>
      <c r="J1256" s="29" t="s">
        <v>1508</v>
      </c>
      <c r="K1256" s="29" t="s">
        <v>1508</v>
      </c>
      <c r="L1256" s="29" t="s">
        <v>2424</v>
      </c>
      <c r="M1256" s="29" t="s">
        <v>2462</v>
      </c>
      <c r="N1256" s="29" t="s">
        <v>2077</v>
      </c>
      <c r="O1256" s="29" t="s">
        <v>594</v>
      </c>
    </row>
    <row r="1257" spans="1:15">
      <c r="A1257" s="25">
        <v>23193</v>
      </c>
      <c r="B1257" s="34" t="s">
        <v>2463</v>
      </c>
      <c r="C1257" s="31" t="s">
        <v>521</v>
      </c>
      <c r="D1257" s="31" t="s">
        <v>1582</v>
      </c>
      <c r="E1257" s="28">
        <v>43421</v>
      </c>
      <c r="F1257" s="28">
        <v>43451</v>
      </c>
      <c r="G1257" s="28">
        <v>43830</v>
      </c>
      <c r="H1257" s="29" t="s">
        <v>560</v>
      </c>
      <c r="I1257" s="29" t="s">
        <v>560</v>
      </c>
      <c r="J1257" s="29" t="s">
        <v>1508</v>
      </c>
      <c r="K1257" s="29" t="s">
        <v>1508</v>
      </c>
      <c r="L1257" s="29" t="s">
        <v>2424</v>
      </c>
      <c r="M1257" s="29" t="s">
        <v>2222</v>
      </c>
      <c r="N1257" s="29" t="s">
        <v>2023</v>
      </c>
      <c r="O1257" s="29" t="s">
        <v>594</v>
      </c>
    </row>
    <row r="1258" spans="1:15">
      <c r="A1258" s="25">
        <v>23463</v>
      </c>
      <c r="B1258" s="34" t="s">
        <v>2464</v>
      </c>
      <c r="C1258" s="31" t="s">
        <v>521</v>
      </c>
      <c r="D1258" s="31" t="s">
        <v>882</v>
      </c>
      <c r="E1258" s="28">
        <v>43434</v>
      </c>
      <c r="F1258" s="28">
        <v>43464</v>
      </c>
      <c r="G1258" s="28">
        <v>43830</v>
      </c>
      <c r="H1258" s="29" t="s">
        <v>560</v>
      </c>
      <c r="I1258" s="29" t="s">
        <v>560</v>
      </c>
      <c r="J1258" s="29" t="s">
        <v>1508</v>
      </c>
      <c r="K1258" s="29" t="s">
        <v>1508</v>
      </c>
      <c r="L1258" s="29" t="s">
        <v>2424</v>
      </c>
      <c r="M1258" s="29" t="s">
        <v>2222</v>
      </c>
      <c r="N1258" s="29" t="s">
        <v>2023</v>
      </c>
      <c r="O1258" s="29" t="s">
        <v>594</v>
      </c>
    </row>
    <row r="1259" spans="1:15">
      <c r="A1259" s="25">
        <v>11416</v>
      </c>
      <c r="B1259" s="26" t="s">
        <v>449</v>
      </c>
      <c r="C1259" s="27" t="s">
        <v>521</v>
      </c>
      <c r="D1259" s="27" t="s">
        <v>711</v>
      </c>
      <c r="E1259" s="28">
        <v>40701</v>
      </c>
      <c r="F1259" s="28" t="s">
        <v>35</v>
      </c>
      <c r="G1259" s="28" t="s">
        <v>35</v>
      </c>
      <c r="H1259" s="29" t="s">
        <v>560</v>
      </c>
      <c r="I1259" s="29" t="s">
        <v>560</v>
      </c>
      <c r="J1259" s="29" t="s">
        <v>1508</v>
      </c>
      <c r="K1259" s="29" t="s">
        <v>1508</v>
      </c>
      <c r="L1259" s="29" t="s">
        <v>2424</v>
      </c>
      <c r="M1259" s="29" t="s">
        <v>2465</v>
      </c>
      <c r="N1259" s="29" t="s">
        <v>659</v>
      </c>
      <c r="O1259" s="29" t="s">
        <v>528</v>
      </c>
    </row>
    <row r="1260" spans="1:15">
      <c r="A1260" s="25">
        <v>20596</v>
      </c>
      <c r="B1260" s="26" t="s">
        <v>2466</v>
      </c>
      <c r="C1260" s="27" t="s">
        <v>521</v>
      </c>
      <c r="D1260" s="27" t="s">
        <v>673</v>
      </c>
      <c r="E1260" s="28">
        <v>42639</v>
      </c>
      <c r="F1260" s="28">
        <v>43132</v>
      </c>
      <c r="G1260" s="28">
        <v>43496</v>
      </c>
      <c r="H1260" s="25" t="s">
        <v>560</v>
      </c>
      <c r="I1260" s="25" t="s">
        <v>560</v>
      </c>
      <c r="J1260" s="29" t="s">
        <v>1508</v>
      </c>
      <c r="K1260" s="29" t="s">
        <v>1508</v>
      </c>
      <c r="L1260" s="29" t="s">
        <v>2424</v>
      </c>
      <c r="M1260" s="29" t="s">
        <v>2308</v>
      </c>
      <c r="N1260" s="29" t="s">
        <v>2041</v>
      </c>
      <c r="O1260" s="29" t="s">
        <v>528</v>
      </c>
    </row>
    <row r="1261" spans="1:15">
      <c r="A1261" s="25">
        <v>23354</v>
      </c>
      <c r="B1261" s="34" t="s">
        <v>2467</v>
      </c>
      <c r="C1261" s="31" t="s">
        <v>521</v>
      </c>
      <c r="D1261" s="31" t="s">
        <v>1527</v>
      </c>
      <c r="E1261" s="28">
        <v>43427</v>
      </c>
      <c r="F1261" s="28">
        <v>43457</v>
      </c>
      <c r="G1261" s="28">
        <v>43830</v>
      </c>
      <c r="H1261" s="29" t="s">
        <v>560</v>
      </c>
      <c r="I1261" s="29" t="s">
        <v>560</v>
      </c>
      <c r="J1261" s="29" t="s">
        <v>1508</v>
      </c>
      <c r="K1261" s="29" t="s">
        <v>1508</v>
      </c>
      <c r="L1261" s="29" t="s">
        <v>2424</v>
      </c>
      <c r="M1261" s="29" t="s">
        <v>2468</v>
      </c>
      <c r="N1261" s="29" t="s">
        <v>2041</v>
      </c>
      <c r="O1261" s="29" t="s">
        <v>2469</v>
      </c>
    </row>
    <row r="1262" spans="1:15">
      <c r="A1262" s="25">
        <v>8726</v>
      </c>
      <c r="B1262" s="33" t="s">
        <v>2470</v>
      </c>
      <c r="C1262" s="27" t="s">
        <v>521</v>
      </c>
      <c r="D1262" s="27" t="s">
        <v>782</v>
      </c>
      <c r="E1262" s="28">
        <v>39904</v>
      </c>
      <c r="F1262" s="28" t="s">
        <v>35</v>
      </c>
      <c r="G1262" s="28" t="s">
        <v>35</v>
      </c>
      <c r="H1262" s="29" t="s">
        <v>560</v>
      </c>
      <c r="I1262" s="29" t="s">
        <v>560</v>
      </c>
      <c r="J1262" s="29" t="s">
        <v>1508</v>
      </c>
      <c r="K1262" s="29" t="s">
        <v>1508</v>
      </c>
      <c r="L1262" s="29" t="s">
        <v>2424</v>
      </c>
      <c r="M1262" s="29" t="s">
        <v>2030</v>
      </c>
      <c r="N1262" s="29" t="s">
        <v>2031</v>
      </c>
      <c r="O1262" s="29" t="s">
        <v>590</v>
      </c>
    </row>
    <row r="1263" spans="1:15">
      <c r="A1263" s="25">
        <v>9171</v>
      </c>
      <c r="B1263" s="26" t="s">
        <v>172</v>
      </c>
      <c r="C1263" s="27" t="s">
        <v>521</v>
      </c>
      <c r="D1263" s="27" t="s">
        <v>653</v>
      </c>
      <c r="E1263" s="28">
        <v>40000</v>
      </c>
      <c r="F1263" s="28" t="s">
        <v>35</v>
      </c>
      <c r="G1263" s="28" t="s">
        <v>35</v>
      </c>
      <c r="H1263" s="27" t="s">
        <v>560</v>
      </c>
      <c r="I1263" s="27" t="s">
        <v>560</v>
      </c>
      <c r="J1263" s="29" t="s">
        <v>1508</v>
      </c>
      <c r="K1263" s="29" t="s">
        <v>1508</v>
      </c>
      <c r="L1263" s="29" t="s">
        <v>2424</v>
      </c>
      <c r="M1263" s="29" t="s">
        <v>1550</v>
      </c>
      <c r="N1263" s="29" t="s">
        <v>1045</v>
      </c>
      <c r="O1263" s="29" t="s">
        <v>590</v>
      </c>
    </row>
    <row r="1264" spans="1:15">
      <c r="A1264" s="25">
        <v>10493</v>
      </c>
      <c r="B1264" s="26" t="s">
        <v>2471</v>
      </c>
      <c r="C1264" s="27" t="s">
        <v>521</v>
      </c>
      <c r="D1264" s="27" t="s">
        <v>738</v>
      </c>
      <c r="E1264" s="28">
        <v>40535</v>
      </c>
      <c r="F1264" s="28" t="s">
        <v>35</v>
      </c>
      <c r="G1264" s="28" t="s">
        <v>35</v>
      </c>
      <c r="H1264" s="29" t="s">
        <v>560</v>
      </c>
      <c r="I1264" s="29" t="s">
        <v>560</v>
      </c>
      <c r="J1264" s="29" t="s">
        <v>1508</v>
      </c>
      <c r="K1264" s="29" t="s">
        <v>1508</v>
      </c>
      <c r="L1264" s="29" t="s">
        <v>2424</v>
      </c>
      <c r="M1264" s="29" t="s">
        <v>2030</v>
      </c>
      <c r="N1264" s="29" t="s">
        <v>2031</v>
      </c>
      <c r="O1264" s="29" t="s">
        <v>590</v>
      </c>
    </row>
    <row r="1265" spans="1:15">
      <c r="A1265" s="25">
        <v>10964</v>
      </c>
      <c r="B1265" s="26" t="s">
        <v>2472</v>
      </c>
      <c r="C1265" s="27" t="s">
        <v>521</v>
      </c>
      <c r="D1265" s="27" t="s">
        <v>670</v>
      </c>
      <c r="E1265" s="28">
        <v>40578</v>
      </c>
      <c r="F1265" s="28" t="s">
        <v>35</v>
      </c>
      <c r="G1265" s="28" t="s">
        <v>35</v>
      </c>
      <c r="H1265" s="27" t="s">
        <v>560</v>
      </c>
      <c r="I1265" s="27" t="s">
        <v>560</v>
      </c>
      <c r="J1265" s="29" t="s">
        <v>1508</v>
      </c>
      <c r="K1265" s="29" t="s">
        <v>1508</v>
      </c>
      <c r="L1265" s="29" t="s">
        <v>2424</v>
      </c>
      <c r="M1265" s="29" t="s">
        <v>2025</v>
      </c>
      <c r="N1265" s="29" t="s">
        <v>2026</v>
      </c>
      <c r="O1265" s="29" t="s">
        <v>590</v>
      </c>
    </row>
    <row r="1266" spans="1:15">
      <c r="A1266" s="25">
        <v>11448</v>
      </c>
      <c r="B1266" s="84" t="s">
        <v>446</v>
      </c>
      <c r="C1266" s="85" t="s">
        <v>521</v>
      </c>
      <c r="D1266" s="27" t="s">
        <v>711</v>
      </c>
      <c r="E1266" s="28">
        <v>40701</v>
      </c>
      <c r="F1266" s="28" t="s">
        <v>35</v>
      </c>
      <c r="G1266" s="28" t="s">
        <v>35</v>
      </c>
      <c r="H1266" s="29" t="s">
        <v>560</v>
      </c>
      <c r="I1266" s="29" t="s">
        <v>560</v>
      </c>
      <c r="J1266" s="29" t="s">
        <v>1508</v>
      </c>
      <c r="K1266" s="29" t="s">
        <v>1508</v>
      </c>
      <c r="L1266" s="29" t="s">
        <v>2424</v>
      </c>
      <c r="M1266" s="29" t="s">
        <v>2030</v>
      </c>
      <c r="N1266" s="29" t="s">
        <v>2031</v>
      </c>
      <c r="O1266" s="29" t="s">
        <v>590</v>
      </c>
    </row>
    <row r="1267" spans="1:15">
      <c r="A1267" s="25">
        <v>11506</v>
      </c>
      <c r="B1267" s="26" t="s">
        <v>2473</v>
      </c>
      <c r="C1267" s="27" t="s">
        <v>521</v>
      </c>
      <c r="D1267" s="27" t="s">
        <v>711</v>
      </c>
      <c r="E1267" s="28">
        <v>40701</v>
      </c>
      <c r="F1267" s="28" t="s">
        <v>35</v>
      </c>
      <c r="G1267" s="28" t="s">
        <v>35</v>
      </c>
      <c r="H1267" s="27" t="s">
        <v>560</v>
      </c>
      <c r="I1267" s="27" t="s">
        <v>560</v>
      </c>
      <c r="J1267" s="29" t="s">
        <v>1508</v>
      </c>
      <c r="K1267" s="29" t="s">
        <v>1508</v>
      </c>
      <c r="L1267" s="29" t="s">
        <v>2424</v>
      </c>
      <c r="M1267" s="29" t="s">
        <v>2268</v>
      </c>
      <c r="N1267" s="29" t="s">
        <v>1434</v>
      </c>
      <c r="O1267" s="29" t="s">
        <v>590</v>
      </c>
    </row>
    <row r="1268" spans="1:15">
      <c r="A1268" s="25">
        <v>12483</v>
      </c>
      <c r="B1268" s="34" t="s">
        <v>412</v>
      </c>
      <c r="C1268" s="31" t="s">
        <v>521</v>
      </c>
      <c r="D1268" s="31" t="s">
        <v>722</v>
      </c>
      <c r="E1268" s="28">
        <v>40812</v>
      </c>
      <c r="F1268" s="28" t="s">
        <v>35</v>
      </c>
      <c r="G1268" s="28" t="s">
        <v>35</v>
      </c>
      <c r="H1268" s="29" t="s">
        <v>560</v>
      </c>
      <c r="I1268" s="29" t="s">
        <v>560</v>
      </c>
      <c r="J1268" s="29" t="s">
        <v>1508</v>
      </c>
      <c r="K1268" s="29" t="s">
        <v>1508</v>
      </c>
      <c r="L1268" s="29" t="s">
        <v>2424</v>
      </c>
      <c r="M1268" s="29" t="s">
        <v>2030</v>
      </c>
      <c r="N1268" s="29" t="s">
        <v>2031</v>
      </c>
      <c r="O1268" s="29" t="s">
        <v>590</v>
      </c>
    </row>
    <row r="1269" spans="1:15">
      <c r="A1269" s="25">
        <v>12737</v>
      </c>
      <c r="B1269" s="26" t="s">
        <v>2474</v>
      </c>
      <c r="C1269" s="27" t="s">
        <v>521</v>
      </c>
      <c r="D1269" s="27" t="s">
        <v>1739</v>
      </c>
      <c r="E1269" s="28">
        <v>40819</v>
      </c>
      <c r="F1269" s="28" t="s">
        <v>35</v>
      </c>
      <c r="G1269" s="28" t="s">
        <v>35</v>
      </c>
      <c r="H1269" s="27" t="s">
        <v>560</v>
      </c>
      <c r="I1269" s="27" t="s">
        <v>560</v>
      </c>
      <c r="J1269" s="29" t="s">
        <v>1508</v>
      </c>
      <c r="K1269" s="29" t="s">
        <v>1508</v>
      </c>
      <c r="L1269" s="29" t="s">
        <v>2424</v>
      </c>
      <c r="M1269" s="29" t="s">
        <v>2050</v>
      </c>
      <c r="N1269" s="29" t="s">
        <v>1434</v>
      </c>
      <c r="O1269" s="29" t="s">
        <v>590</v>
      </c>
    </row>
    <row r="1270" spans="1:15">
      <c r="A1270" s="25">
        <v>12856</v>
      </c>
      <c r="B1270" s="34" t="s">
        <v>2475</v>
      </c>
      <c r="C1270" s="31" t="s">
        <v>521</v>
      </c>
      <c r="D1270" s="31" t="s">
        <v>688</v>
      </c>
      <c r="E1270" s="28">
        <v>40833</v>
      </c>
      <c r="F1270" s="28" t="s">
        <v>35</v>
      </c>
      <c r="G1270" s="28" t="s">
        <v>35</v>
      </c>
      <c r="H1270" s="29" t="s">
        <v>560</v>
      </c>
      <c r="I1270" s="29" t="s">
        <v>560</v>
      </c>
      <c r="J1270" s="29" t="s">
        <v>1508</v>
      </c>
      <c r="K1270" s="29" t="s">
        <v>1508</v>
      </c>
      <c r="L1270" s="29" t="s">
        <v>2424</v>
      </c>
      <c r="M1270" s="29" t="s">
        <v>2238</v>
      </c>
      <c r="N1270" s="29" t="s">
        <v>1434</v>
      </c>
      <c r="O1270" s="29" t="s">
        <v>590</v>
      </c>
    </row>
    <row r="1271" spans="1:15">
      <c r="A1271" s="25">
        <v>20587</v>
      </c>
      <c r="B1271" s="26" t="s">
        <v>2476</v>
      </c>
      <c r="C1271" s="27" t="s">
        <v>521</v>
      </c>
      <c r="D1271" s="27" t="s">
        <v>673</v>
      </c>
      <c r="E1271" s="28">
        <v>42639</v>
      </c>
      <c r="F1271" s="28">
        <v>43132</v>
      </c>
      <c r="G1271" s="28">
        <v>43496</v>
      </c>
      <c r="H1271" s="25" t="s">
        <v>560</v>
      </c>
      <c r="I1271" s="25" t="s">
        <v>560</v>
      </c>
      <c r="J1271" s="29" t="s">
        <v>1508</v>
      </c>
      <c r="K1271" s="29" t="s">
        <v>1508</v>
      </c>
      <c r="L1271" s="29" t="s">
        <v>2424</v>
      </c>
      <c r="M1271" s="29" t="s">
        <v>2280</v>
      </c>
      <c r="N1271" s="29" t="s">
        <v>1434</v>
      </c>
      <c r="O1271" s="29" t="s">
        <v>590</v>
      </c>
    </row>
    <row r="1272" spans="1:15">
      <c r="A1272" s="25">
        <v>20608</v>
      </c>
      <c r="B1272" s="26" t="s">
        <v>2477</v>
      </c>
      <c r="C1272" s="27" t="s">
        <v>521</v>
      </c>
      <c r="D1272" s="27" t="s">
        <v>673</v>
      </c>
      <c r="E1272" s="28">
        <v>42639</v>
      </c>
      <c r="F1272" s="28">
        <v>43132</v>
      </c>
      <c r="G1272" s="28">
        <v>43496</v>
      </c>
      <c r="H1272" s="25" t="s">
        <v>560</v>
      </c>
      <c r="I1272" s="25" t="s">
        <v>560</v>
      </c>
      <c r="J1272" s="29" t="s">
        <v>1508</v>
      </c>
      <c r="K1272" s="29" t="s">
        <v>1508</v>
      </c>
      <c r="L1272" s="29" t="s">
        <v>2424</v>
      </c>
      <c r="M1272" s="29" t="s">
        <v>2280</v>
      </c>
      <c r="N1272" s="29" t="s">
        <v>1434</v>
      </c>
      <c r="O1272" s="29" t="s">
        <v>590</v>
      </c>
    </row>
    <row r="1273" spans="1:15">
      <c r="A1273" s="25">
        <v>20808</v>
      </c>
      <c r="B1273" s="26" t="s">
        <v>2478</v>
      </c>
      <c r="C1273" s="27" t="s">
        <v>521</v>
      </c>
      <c r="D1273" s="27" t="s">
        <v>1684</v>
      </c>
      <c r="E1273" s="28">
        <v>42649</v>
      </c>
      <c r="F1273" s="28">
        <v>43132</v>
      </c>
      <c r="G1273" s="28">
        <v>43496</v>
      </c>
      <c r="H1273" s="25" t="s">
        <v>560</v>
      </c>
      <c r="I1273" s="27" t="s">
        <v>560</v>
      </c>
      <c r="J1273" s="29" t="s">
        <v>1508</v>
      </c>
      <c r="K1273" s="29" t="s">
        <v>1508</v>
      </c>
      <c r="L1273" s="29" t="s">
        <v>2424</v>
      </c>
      <c r="M1273" s="29" t="s">
        <v>2035</v>
      </c>
      <c r="N1273" s="29" t="s">
        <v>1434</v>
      </c>
      <c r="O1273" s="29" t="s">
        <v>590</v>
      </c>
    </row>
    <row r="1274" spans="1:15">
      <c r="A1274" s="25">
        <v>21216</v>
      </c>
      <c r="B1274" s="26" t="s">
        <v>2479</v>
      </c>
      <c r="C1274" s="27" t="s">
        <v>521</v>
      </c>
      <c r="D1274" s="27" t="s">
        <v>2480</v>
      </c>
      <c r="E1274" s="28">
        <v>42877</v>
      </c>
      <c r="F1274" s="28">
        <v>43374</v>
      </c>
      <c r="G1274" s="28">
        <v>43738</v>
      </c>
      <c r="H1274" s="29" t="s">
        <v>560</v>
      </c>
      <c r="I1274" s="29" t="s">
        <v>560</v>
      </c>
      <c r="J1274" s="29" t="s">
        <v>1508</v>
      </c>
      <c r="K1274" s="29" t="s">
        <v>1508</v>
      </c>
      <c r="L1274" s="29" t="s">
        <v>2424</v>
      </c>
      <c r="M1274" s="29" t="s">
        <v>2089</v>
      </c>
      <c r="N1274" s="29" t="s">
        <v>2090</v>
      </c>
      <c r="O1274" s="29" t="s">
        <v>590</v>
      </c>
    </row>
    <row r="1275" spans="1:15">
      <c r="A1275" s="25">
        <v>21554</v>
      </c>
      <c r="B1275" s="34" t="s">
        <v>2481</v>
      </c>
      <c r="C1275" s="31" t="s">
        <v>521</v>
      </c>
      <c r="D1275" s="31" t="s">
        <v>1760</v>
      </c>
      <c r="E1275" s="28">
        <v>43045</v>
      </c>
      <c r="F1275" s="28">
        <v>43435</v>
      </c>
      <c r="G1275" s="28">
        <v>43799</v>
      </c>
      <c r="H1275" s="29" t="s">
        <v>560</v>
      </c>
      <c r="I1275" s="29" t="s">
        <v>560</v>
      </c>
      <c r="J1275" s="29" t="s">
        <v>1508</v>
      </c>
      <c r="K1275" s="29" t="s">
        <v>1508</v>
      </c>
      <c r="L1275" s="29" t="s">
        <v>2424</v>
      </c>
      <c r="M1275" s="29" t="s">
        <v>2227</v>
      </c>
      <c r="N1275" s="29" t="s">
        <v>1434</v>
      </c>
      <c r="O1275" s="29" t="s">
        <v>590</v>
      </c>
    </row>
    <row r="1276" spans="1:15">
      <c r="A1276" s="25">
        <v>21610</v>
      </c>
      <c r="B1276" s="34" t="s">
        <v>2321</v>
      </c>
      <c r="C1276" s="31" t="s">
        <v>521</v>
      </c>
      <c r="D1276" s="31" t="s">
        <v>1603</v>
      </c>
      <c r="E1276" s="28">
        <v>43048</v>
      </c>
      <c r="F1276" s="28">
        <v>43435</v>
      </c>
      <c r="G1276" s="28">
        <v>43799</v>
      </c>
      <c r="H1276" s="29" t="s">
        <v>560</v>
      </c>
      <c r="I1276" s="29" t="s">
        <v>560</v>
      </c>
      <c r="J1276" s="29" t="s">
        <v>1508</v>
      </c>
      <c r="K1276" s="29" t="s">
        <v>1508</v>
      </c>
      <c r="L1276" s="29" t="s">
        <v>2424</v>
      </c>
      <c r="M1276" s="29" t="s">
        <v>2057</v>
      </c>
      <c r="N1276" s="29" t="s">
        <v>2041</v>
      </c>
      <c r="O1276" s="29" t="s">
        <v>590</v>
      </c>
    </row>
    <row r="1277" spans="1:15">
      <c r="A1277" s="25">
        <v>21790</v>
      </c>
      <c r="B1277" s="34" t="s">
        <v>2482</v>
      </c>
      <c r="C1277" s="31" t="s">
        <v>521</v>
      </c>
      <c r="D1277" s="31" t="s">
        <v>1609</v>
      </c>
      <c r="E1277" s="28">
        <v>43090</v>
      </c>
      <c r="F1277" s="28">
        <v>43121</v>
      </c>
      <c r="G1277" s="28">
        <v>43496</v>
      </c>
      <c r="H1277" s="29" t="s">
        <v>560</v>
      </c>
      <c r="I1277" s="29" t="s">
        <v>560</v>
      </c>
      <c r="J1277" s="29" t="s">
        <v>1508</v>
      </c>
      <c r="K1277" s="29" t="s">
        <v>1508</v>
      </c>
      <c r="L1277" s="29" t="s">
        <v>2424</v>
      </c>
      <c r="M1277" s="29" t="s">
        <v>2106</v>
      </c>
      <c r="N1277" s="29" t="s">
        <v>1434</v>
      </c>
      <c r="O1277" s="29" t="s">
        <v>590</v>
      </c>
    </row>
    <row r="1278" spans="1:15">
      <c r="A1278" s="25">
        <v>21831</v>
      </c>
      <c r="B1278" s="34" t="s">
        <v>2483</v>
      </c>
      <c r="C1278" s="31" t="s">
        <v>521</v>
      </c>
      <c r="D1278" s="31" t="s">
        <v>732</v>
      </c>
      <c r="E1278" s="28">
        <v>43098</v>
      </c>
      <c r="F1278" s="28">
        <v>43129</v>
      </c>
      <c r="G1278" s="28">
        <v>43496</v>
      </c>
      <c r="H1278" s="29" t="s">
        <v>560</v>
      </c>
      <c r="I1278" s="29" t="s">
        <v>560</v>
      </c>
      <c r="J1278" s="29" t="s">
        <v>1508</v>
      </c>
      <c r="K1278" s="29" t="s">
        <v>1508</v>
      </c>
      <c r="L1278" s="29" t="s">
        <v>2424</v>
      </c>
      <c r="M1278" s="29" t="s">
        <v>2222</v>
      </c>
      <c r="N1278" s="29" t="s">
        <v>2023</v>
      </c>
      <c r="O1278" s="29" t="s">
        <v>590</v>
      </c>
    </row>
    <row r="1279" spans="1:15">
      <c r="A1279" s="25">
        <v>21860</v>
      </c>
      <c r="B1279" s="34" t="s">
        <v>429</v>
      </c>
      <c r="C1279" s="31" t="s">
        <v>521</v>
      </c>
      <c r="D1279" s="31" t="s">
        <v>732</v>
      </c>
      <c r="E1279" s="28">
        <v>43098</v>
      </c>
      <c r="F1279" s="28">
        <v>43129</v>
      </c>
      <c r="G1279" s="28">
        <v>43496</v>
      </c>
      <c r="H1279" s="29" t="s">
        <v>560</v>
      </c>
      <c r="I1279" s="29" t="s">
        <v>560</v>
      </c>
      <c r="J1279" s="29" t="s">
        <v>1508</v>
      </c>
      <c r="K1279" s="29" t="s">
        <v>1508</v>
      </c>
      <c r="L1279" s="29" t="s">
        <v>2424</v>
      </c>
      <c r="M1279" s="29" t="s">
        <v>2354</v>
      </c>
      <c r="N1279" s="29" t="s">
        <v>1434</v>
      </c>
      <c r="O1279" s="29" t="s">
        <v>590</v>
      </c>
    </row>
    <row r="1280" spans="1:15">
      <c r="A1280" s="25">
        <v>21913</v>
      </c>
      <c r="B1280" s="34" t="s">
        <v>2484</v>
      </c>
      <c r="C1280" s="31" t="s">
        <v>521</v>
      </c>
      <c r="D1280" s="31" t="s">
        <v>1061</v>
      </c>
      <c r="E1280" s="28">
        <v>43108</v>
      </c>
      <c r="F1280" s="28">
        <v>43139</v>
      </c>
      <c r="G1280" s="28">
        <v>43496</v>
      </c>
      <c r="H1280" s="29" t="s">
        <v>560</v>
      </c>
      <c r="I1280" s="29" t="s">
        <v>560</v>
      </c>
      <c r="J1280" s="29" t="s">
        <v>1508</v>
      </c>
      <c r="K1280" s="29" t="s">
        <v>1508</v>
      </c>
      <c r="L1280" s="29" t="s">
        <v>2424</v>
      </c>
      <c r="M1280" s="29" t="s">
        <v>2181</v>
      </c>
      <c r="N1280" s="29" t="s">
        <v>2080</v>
      </c>
      <c r="O1280" s="29" t="s">
        <v>590</v>
      </c>
    </row>
    <row r="1281" spans="1:15">
      <c r="A1281" s="25">
        <v>22045</v>
      </c>
      <c r="B1281" s="34" t="s">
        <v>2485</v>
      </c>
      <c r="C1281" s="31" t="s">
        <v>521</v>
      </c>
      <c r="D1281" s="31" t="s">
        <v>631</v>
      </c>
      <c r="E1281" s="28">
        <v>43144</v>
      </c>
      <c r="F1281" s="28">
        <v>43172</v>
      </c>
      <c r="G1281" s="28">
        <v>43524</v>
      </c>
      <c r="H1281" s="29" t="s">
        <v>560</v>
      </c>
      <c r="I1281" s="29" t="s">
        <v>560</v>
      </c>
      <c r="J1281" s="29" t="s">
        <v>1508</v>
      </c>
      <c r="K1281" s="29" t="s">
        <v>1508</v>
      </c>
      <c r="L1281" s="29" t="s">
        <v>2424</v>
      </c>
      <c r="M1281" s="29" t="s">
        <v>2087</v>
      </c>
      <c r="N1281" s="29" t="s">
        <v>1434</v>
      </c>
      <c r="O1281" s="29" t="s">
        <v>590</v>
      </c>
    </row>
    <row r="1282" spans="1:15">
      <c r="A1282" s="25">
        <v>22107</v>
      </c>
      <c r="B1282" s="34" t="s">
        <v>2486</v>
      </c>
      <c r="C1282" s="31" t="s">
        <v>521</v>
      </c>
      <c r="D1282" s="31" t="s">
        <v>769</v>
      </c>
      <c r="E1282" s="28">
        <v>43150</v>
      </c>
      <c r="F1282" s="28">
        <v>43178</v>
      </c>
      <c r="G1282" s="28">
        <v>43555</v>
      </c>
      <c r="H1282" s="29" t="s">
        <v>560</v>
      </c>
      <c r="I1282" s="29" t="s">
        <v>560</v>
      </c>
      <c r="J1282" s="29" t="s">
        <v>1508</v>
      </c>
      <c r="K1282" s="29" t="s">
        <v>1508</v>
      </c>
      <c r="L1282" s="29" t="s">
        <v>2424</v>
      </c>
      <c r="M1282" s="29" t="s">
        <v>2222</v>
      </c>
      <c r="N1282" s="29" t="s">
        <v>2023</v>
      </c>
      <c r="O1282" s="29" t="s">
        <v>590</v>
      </c>
    </row>
    <row r="1283" spans="1:15">
      <c r="A1283" s="25">
        <v>22111</v>
      </c>
      <c r="B1283" s="34" t="s">
        <v>2487</v>
      </c>
      <c r="C1283" s="31" t="s">
        <v>521</v>
      </c>
      <c r="D1283" s="31" t="s">
        <v>758</v>
      </c>
      <c r="E1283" s="28">
        <v>43153</v>
      </c>
      <c r="F1283" s="28">
        <v>43181</v>
      </c>
      <c r="G1283" s="28">
        <v>43555</v>
      </c>
      <c r="H1283" s="29" t="s">
        <v>560</v>
      </c>
      <c r="I1283" s="29" t="s">
        <v>560</v>
      </c>
      <c r="J1283" s="29" t="s">
        <v>1508</v>
      </c>
      <c r="K1283" s="29" t="s">
        <v>1508</v>
      </c>
      <c r="L1283" s="29" t="s">
        <v>2424</v>
      </c>
      <c r="M1283" s="29" t="s">
        <v>2048</v>
      </c>
      <c r="N1283" s="29" t="s">
        <v>1434</v>
      </c>
      <c r="O1283" s="29" t="s">
        <v>590</v>
      </c>
    </row>
    <row r="1284" spans="1:15">
      <c r="A1284" s="25">
        <v>22288</v>
      </c>
      <c r="B1284" s="34" t="s">
        <v>2488</v>
      </c>
      <c r="C1284" s="31" t="s">
        <v>521</v>
      </c>
      <c r="D1284" s="31" t="s">
        <v>1191</v>
      </c>
      <c r="E1284" s="28">
        <v>43192</v>
      </c>
      <c r="F1284" s="28">
        <v>43222</v>
      </c>
      <c r="G1284" s="28">
        <v>43585</v>
      </c>
      <c r="H1284" s="29" t="s">
        <v>560</v>
      </c>
      <c r="I1284" s="29" t="s">
        <v>560</v>
      </c>
      <c r="J1284" s="29" t="s">
        <v>1508</v>
      </c>
      <c r="K1284" s="29" t="s">
        <v>1508</v>
      </c>
      <c r="L1284" s="29" t="s">
        <v>2424</v>
      </c>
      <c r="M1284" s="29" t="s">
        <v>2427</v>
      </c>
      <c r="N1284" s="29" t="s">
        <v>1434</v>
      </c>
      <c r="O1284" s="29" t="s">
        <v>590</v>
      </c>
    </row>
    <row r="1285" spans="1:15">
      <c r="A1285" s="25">
        <v>22458</v>
      </c>
      <c r="B1285" s="34" t="s">
        <v>2489</v>
      </c>
      <c r="C1285" s="31" t="s">
        <v>521</v>
      </c>
      <c r="D1285" s="31" t="s">
        <v>1577</v>
      </c>
      <c r="E1285" s="28">
        <v>43220</v>
      </c>
      <c r="F1285" s="28">
        <v>43250</v>
      </c>
      <c r="G1285" s="28">
        <v>43616</v>
      </c>
      <c r="H1285" s="29" t="s">
        <v>560</v>
      </c>
      <c r="I1285" s="29" t="s">
        <v>560</v>
      </c>
      <c r="J1285" s="29" t="s">
        <v>1508</v>
      </c>
      <c r="K1285" s="29" t="s">
        <v>1508</v>
      </c>
      <c r="L1285" s="29" t="s">
        <v>2424</v>
      </c>
      <c r="M1285" s="29" t="s">
        <v>2454</v>
      </c>
      <c r="N1285" s="29" t="s">
        <v>2041</v>
      </c>
      <c r="O1285" s="29" t="s">
        <v>590</v>
      </c>
    </row>
    <row r="1286" spans="1:15">
      <c r="A1286" s="25">
        <v>22463</v>
      </c>
      <c r="B1286" s="34" t="s">
        <v>2490</v>
      </c>
      <c r="C1286" s="31" t="s">
        <v>521</v>
      </c>
      <c r="D1286" s="31" t="s">
        <v>1577</v>
      </c>
      <c r="E1286" s="28">
        <v>43220</v>
      </c>
      <c r="F1286" s="28">
        <v>43250</v>
      </c>
      <c r="G1286" s="28">
        <v>43616</v>
      </c>
      <c r="H1286" s="29" t="s">
        <v>560</v>
      </c>
      <c r="I1286" s="29" t="s">
        <v>560</v>
      </c>
      <c r="J1286" s="29" t="s">
        <v>1508</v>
      </c>
      <c r="K1286" s="29" t="s">
        <v>1508</v>
      </c>
      <c r="L1286" s="29" t="s">
        <v>2424</v>
      </c>
      <c r="M1286" s="29" t="s">
        <v>2222</v>
      </c>
      <c r="N1286" s="29" t="s">
        <v>2023</v>
      </c>
      <c r="O1286" s="29" t="s">
        <v>590</v>
      </c>
    </row>
    <row r="1287" spans="1:15">
      <c r="A1287" s="25">
        <v>22519</v>
      </c>
      <c r="B1287" s="34" t="s">
        <v>2491</v>
      </c>
      <c r="C1287" s="31" t="s">
        <v>521</v>
      </c>
      <c r="D1287" s="31" t="s">
        <v>773</v>
      </c>
      <c r="E1287" s="28">
        <v>43224</v>
      </c>
      <c r="F1287" s="28">
        <v>43255</v>
      </c>
      <c r="G1287" s="28">
        <v>43616</v>
      </c>
      <c r="H1287" s="29" t="s">
        <v>560</v>
      </c>
      <c r="I1287" s="29" t="s">
        <v>560</v>
      </c>
      <c r="J1287" s="29" t="s">
        <v>1508</v>
      </c>
      <c r="K1287" s="29" t="s">
        <v>1508</v>
      </c>
      <c r="L1287" s="29" t="s">
        <v>2424</v>
      </c>
      <c r="M1287" s="29" t="s">
        <v>2082</v>
      </c>
      <c r="N1287" s="29" t="s">
        <v>1434</v>
      </c>
      <c r="O1287" s="29" t="s">
        <v>590</v>
      </c>
    </row>
    <row r="1288" spans="1:15">
      <c r="A1288" s="25">
        <v>22584</v>
      </c>
      <c r="B1288" s="34" t="s">
        <v>2492</v>
      </c>
      <c r="C1288" s="31" t="s">
        <v>521</v>
      </c>
      <c r="D1288" s="31" t="s">
        <v>745</v>
      </c>
      <c r="E1288" s="28">
        <v>43236</v>
      </c>
      <c r="F1288" s="28">
        <v>43267</v>
      </c>
      <c r="G1288" s="28">
        <v>43646</v>
      </c>
      <c r="H1288" s="29" t="s">
        <v>560</v>
      </c>
      <c r="I1288" s="29" t="s">
        <v>560</v>
      </c>
      <c r="J1288" s="29" t="s">
        <v>1508</v>
      </c>
      <c r="K1288" s="29" t="s">
        <v>1508</v>
      </c>
      <c r="L1288" s="29" t="s">
        <v>2424</v>
      </c>
      <c r="M1288" s="29" t="s">
        <v>2052</v>
      </c>
      <c r="N1288" s="29" t="s">
        <v>2041</v>
      </c>
      <c r="O1288" s="29" t="s">
        <v>590</v>
      </c>
    </row>
    <row r="1289" spans="1:15">
      <c r="A1289" s="25">
        <v>22600</v>
      </c>
      <c r="B1289" s="34" t="s">
        <v>2493</v>
      </c>
      <c r="C1289" s="31" t="s">
        <v>521</v>
      </c>
      <c r="D1289" s="31" t="s">
        <v>745</v>
      </c>
      <c r="E1289" s="28">
        <v>43236</v>
      </c>
      <c r="F1289" s="28">
        <v>43267</v>
      </c>
      <c r="G1289" s="28">
        <v>43646</v>
      </c>
      <c r="H1289" s="29" t="s">
        <v>560</v>
      </c>
      <c r="I1289" s="29" t="s">
        <v>560</v>
      </c>
      <c r="J1289" s="29" t="s">
        <v>1508</v>
      </c>
      <c r="K1289" s="29" t="s">
        <v>1508</v>
      </c>
      <c r="L1289" s="29" t="s">
        <v>2424</v>
      </c>
      <c r="M1289" s="29" t="s">
        <v>2222</v>
      </c>
      <c r="N1289" s="29" t="s">
        <v>2023</v>
      </c>
      <c r="O1289" s="29" t="s">
        <v>590</v>
      </c>
    </row>
    <row r="1290" spans="1:15">
      <c r="A1290" s="25">
        <v>22633</v>
      </c>
      <c r="B1290" s="34" t="s">
        <v>2494</v>
      </c>
      <c r="C1290" s="31" t="s">
        <v>521</v>
      </c>
      <c r="D1290" s="31" t="s">
        <v>745</v>
      </c>
      <c r="E1290" s="28">
        <v>43236</v>
      </c>
      <c r="F1290" s="28">
        <v>43267</v>
      </c>
      <c r="G1290" s="28">
        <v>43646</v>
      </c>
      <c r="H1290" s="29" t="s">
        <v>560</v>
      </c>
      <c r="I1290" s="29" t="s">
        <v>560</v>
      </c>
      <c r="J1290" s="29" t="s">
        <v>1508</v>
      </c>
      <c r="K1290" s="29" t="s">
        <v>1508</v>
      </c>
      <c r="L1290" s="29" t="s">
        <v>2424</v>
      </c>
      <c r="M1290" s="29" t="s">
        <v>2096</v>
      </c>
      <c r="N1290" s="29" t="s">
        <v>1434</v>
      </c>
      <c r="O1290" s="29" t="s">
        <v>590</v>
      </c>
    </row>
    <row r="1291" spans="1:15">
      <c r="A1291" s="25">
        <v>22700</v>
      </c>
      <c r="B1291" s="34" t="s">
        <v>2495</v>
      </c>
      <c r="C1291" s="31" t="s">
        <v>521</v>
      </c>
      <c r="D1291" s="31" t="s">
        <v>1195</v>
      </c>
      <c r="E1291" s="28">
        <v>43244</v>
      </c>
      <c r="F1291" s="28">
        <v>43275</v>
      </c>
      <c r="G1291" s="28">
        <v>43646</v>
      </c>
      <c r="H1291" s="29" t="s">
        <v>560</v>
      </c>
      <c r="I1291" s="29" t="s">
        <v>560</v>
      </c>
      <c r="J1291" s="29" t="s">
        <v>1508</v>
      </c>
      <c r="K1291" s="29" t="s">
        <v>1508</v>
      </c>
      <c r="L1291" s="29" t="s">
        <v>2424</v>
      </c>
      <c r="M1291" s="29" t="s">
        <v>2496</v>
      </c>
      <c r="N1291" s="29" t="s">
        <v>2077</v>
      </c>
      <c r="O1291" s="29" t="s">
        <v>590</v>
      </c>
    </row>
    <row r="1292" spans="1:15">
      <c r="A1292" s="25">
        <v>22738</v>
      </c>
      <c r="B1292" s="34" t="s">
        <v>2497</v>
      </c>
      <c r="C1292" s="31" t="s">
        <v>521</v>
      </c>
      <c r="D1292" s="31" t="s">
        <v>771</v>
      </c>
      <c r="E1292" s="28">
        <v>43255</v>
      </c>
      <c r="F1292" s="28">
        <v>43285</v>
      </c>
      <c r="G1292" s="28">
        <v>43646</v>
      </c>
      <c r="H1292" s="29" t="s">
        <v>560</v>
      </c>
      <c r="I1292" s="29" t="s">
        <v>560</v>
      </c>
      <c r="J1292" s="29" t="s">
        <v>1508</v>
      </c>
      <c r="K1292" s="29" t="s">
        <v>1508</v>
      </c>
      <c r="L1292" s="29" t="s">
        <v>2424</v>
      </c>
      <c r="M1292" s="29" t="s">
        <v>2498</v>
      </c>
      <c r="N1292" s="29" t="s">
        <v>2041</v>
      </c>
      <c r="O1292" s="29" t="s">
        <v>590</v>
      </c>
    </row>
    <row r="1293" spans="1:15">
      <c r="A1293" s="25">
        <v>22823</v>
      </c>
      <c r="B1293" s="34" t="s">
        <v>2499</v>
      </c>
      <c r="C1293" s="31" t="s">
        <v>521</v>
      </c>
      <c r="D1293" s="31" t="s">
        <v>775</v>
      </c>
      <c r="E1293" s="28">
        <v>43333</v>
      </c>
      <c r="F1293" s="28">
        <v>43364</v>
      </c>
      <c r="G1293" s="28">
        <v>43738</v>
      </c>
      <c r="H1293" s="29" t="s">
        <v>560</v>
      </c>
      <c r="I1293" s="29" t="s">
        <v>560</v>
      </c>
      <c r="J1293" s="29" t="s">
        <v>1508</v>
      </c>
      <c r="K1293" s="29" t="s">
        <v>1508</v>
      </c>
      <c r="L1293" s="29" t="s">
        <v>2424</v>
      </c>
      <c r="M1293" s="29" t="s">
        <v>2450</v>
      </c>
      <c r="N1293" s="29" t="s">
        <v>1434</v>
      </c>
      <c r="O1293" s="29" t="s">
        <v>590</v>
      </c>
    </row>
    <row r="1294" spans="1:15">
      <c r="A1294" s="25">
        <v>22924</v>
      </c>
      <c r="B1294" s="34" t="s">
        <v>2500</v>
      </c>
      <c r="C1294" s="31" t="s">
        <v>521</v>
      </c>
      <c r="D1294" s="31" t="s">
        <v>1962</v>
      </c>
      <c r="E1294" s="28">
        <v>43343</v>
      </c>
      <c r="F1294" s="28">
        <v>43374</v>
      </c>
      <c r="G1294" s="28">
        <v>43738</v>
      </c>
      <c r="H1294" s="29" t="s">
        <v>560</v>
      </c>
      <c r="I1294" s="29" t="s">
        <v>560</v>
      </c>
      <c r="J1294" s="29" t="s">
        <v>1508</v>
      </c>
      <c r="K1294" s="29" t="s">
        <v>1508</v>
      </c>
      <c r="L1294" s="29" t="s">
        <v>2424</v>
      </c>
      <c r="M1294" s="29" t="s">
        <v>2222</v>
      </c>
      <c r="N1294" s="29" t="s">
        <v>2023</v>
      </c>
      <c r="O1294" s="29" t="s">
        <v>590</v>
      </c>
    </row>
    <row r="1295" spans="1:15">
      <c r="A1295" s="25">
        <v>22942</v>
      </c>
      <c r="B1295" s="34" t="s">
        <v>2501</v>
      </c>
      <c r="C1295" s="31" t="s">
        <v>521</v>
      </c>
      <c r="D1295" s="31" t="s">
        <v>1962</v>
      </c>
      <c r="E1295" s="28">
        <v>43343</v>
      </c>
      <c r="F1295" s="28">
        <v>43374</v>
      </c>
      <c r="G1295" s="28">
        <v>43738</v>
      </c>
      <c r="H1295" s="29" t="s">
        <v>560</v>
      </c>
      <c r="I1295" s="29" t="s">
        <v>560</v>
      </c>
      <c r="J1295" s="29" t="s">
        <v>1508</v>
      </c>
      <c r="K1295" s="29" t="s">
        <v>1508</v>
      </c>
      <c r="L1295" s="29" t="s">
        <v>2424</v>
      </c>
      <c r="M1295" s="29" t="s">
        <v>2502</v>
      </c>
      <c r="N1295" s="29" t="s">
        <v>1586</v>
      </c>
      <c r="O1295" s="29" t="s">
        <v>590</v>
      </c>
    </row>
    <row r="1296" spans="1:15">
      <c r="A1296" s="25">
        <v>22984</v>
      </c>
      <c r="B1296" s="34" t="s">
        <v>2503</v>
      </c>
      <c r="C1296" s="31" t="s">
        <v>521</v>
      </c>
      <c r="D1296" s="31" t="s">
        <v>1962</v>
      </c>
      <c r="E1296" s="28">
        <v>43343</v>
      </c>
      <c r="F1296" s="28">
        <v>43374</v>
      </c>
      <c r="G1296" s="28">
        <v>43738</v>
      </c>
      <c r="H1296" s="27" t="s">
        <v>560</v>
      </c>
      <c r="I1296" s="27" t="s">
        <v>560</v>
      </c>
      <c r="J1296" s="29" t="s">
        <v>1508</v>
      </c>
      <c r="K1296" s="29" t="s">
        <v>1508</v>
      </c>
      <c r="L1296" s="29" t="s">
        <v>2424</v>
      </c>
      <c r="M1296" s="29" t="s">
        <v>2444</v>
      </c>
      <c r="N1296" s="29" t="s">
        <v>1434</v>
      </c>
      <c r="O1296" s="29" t="s">
        <v>590</v>
      </c>
    </row>
    <row r="1297" spans="1:15">
      <c r="A1297" s="25">
        <v>23101</v>
      </c>
      <c r="B1297" s="34" t="s">
        <v>2504</v>
      </c>
      <c r="C1297" s="31" t="s">
        <v>521</v>
      </c>
      <c r="D1297" s="31" t="s">
        <v>1523</v>
      </c>
      <c r="E1297" s="28">
        <v>43369</v>
      </c>
      <c r="F1297" s="28">
        <v>43399</v>
      </c>
      <c r="G1297" s="28">
        <v>43769</v>
      </c>
      <c r="H1297" s="29" t="s">
        <v>560</v>
      </c>
      <c r="I1297" s="29" t="s">
        <v>560</v>
      </c>
      <c r="J1297" s="29" t="s">
        <v>1508</v>
      </c>
      <c r="K1297" s="29" t="s">
        <v>1508</v>
      </c>
      <c r="L1297" s="29" t="s">
        <v>2424</v>
      </c>
      <c r="M1297" s="29" t="s">
        <v>2065</v>
      </c>
      <c r="N1297" s="29" t="s">
        <v>1434</v>
      </c>
      <c r="O1297" s="29" t="s">
        <v>590</v>
      </c>
    </row>
    <row r="1298" spans="1:15">
      <c r="A1298" s="25">
        <v>23102</v>
      </c>
      <c r="B1298" s="34" t="s">
        <v>2505</v>
      </c>
      <c r="C1298" s="31" t="s">
        <v>521</v>
      </c>
      <c r="D1298" s="31" t="s">
        <v>1523</v>
      </c>
      <c r="E1298" s="28">
        <v>43369</v>
      </c>
      <c r="F1298" s="28">
        <v>43399</v>
      </c>
      <c r="G1298" s="28">
        <v>43769</v>
      </c>
      <c r="H1298" s="29" t="s">
        <v>560</v>
      </c>
      <c r="I1298" s="29" t="s">
        <v>560</v>
      </c>
      <c r="J1298" s="29" t="s">
        <v>1508</v>
      </c>
      <c r="K1298" s="29" t="s">
        <v>1508</v>
      </c>
      <c r="L1298" s="29" t="s">
        <v>2424</v>
      </c>
      <c r="M1298" s="29" t="s">
        <v>2506</v>
      </c>
      <c r="N1298" s="29" t="s">
        <v>2077</v>
      </c>
      <c r="O1298" s="29" t="s">
        <v>590</v>
      </c>
    </row>
    <row r="1299" spans="1:15">
      <c r="A1299" s="25">
        <v>23194</v>
      </c>
      <c r="B1299" s="34" t="s">
        <v>2507</v>
      </c>
      <c r="C1299" s="31" t="s">
        <v>521</v>
      </c>
      <c r="D1299" s="31" t="s">
        <v>1582</v>
      </c>
      <c r="E1299" s="28">
        <v>43421</v>
      </c>
      <c r="F1299" s="28">
        <v>43451</v>
      </c>
      <c r="G1299" s="28">
        <v>43830</v>
      </c>
      <c r="H1299" s="29" t="s">
        <v>560</v>
      </c>
      <c r="I1299" s="29" t="s">
        <v>560</v>
      </c>
      <c r="J1299" s="29" t="s">
        <v>1508</v>
      </c>
      <c r="K1299" s="29" t="s">
        <v>1508</v>
      </c>
      <c r="L1299" s="29" t="s">
        <v>2424</v>
      </c>
      <c r="M1299" s="29" t="s">
        <v>2163</v>
      </c>
      <c r="N1299" s="29" t="s">
        <v>2080</v>
      </c>
      <c r="O1299" s="29" t="s">
        <v>590</v>
      </c>
    </row>
    <row r="1300" spans="1:15">
      <c r="A1300" s="25">
        <v>23311</v>
      </c>
      <c r="B1300" s="34" t="s">
        <v>2508</v>
      </c>
      <c r="C1300" s="31" t="s">
        <v>521</v>
      </c>
      <c r="D1300" s="31" t="s">
        <v>1527</v>
      </c>
      <c r="E1300" s="28">
        <v>43427</v>
      </c>
      <c r="F1300" s="28">
        <v>43457</v>
      </c>
      <c r="G1300" s="28">
        <v>43830</v>
      </c>
      <c r="H1300" s="29" t="s">
        <v>560</v>
      </c>
      <c r="I1300" s="29" t="s">
        <v>560</v>
      </c>
      <c r="J1300" s="29" t="s">
        <v>1508</v>
      </c>
      <c r="K1300" s="29" t="s">
        <v>1508</v>
      </c>
      <c r="L1300" s="29" t="s">
        <v>2424</v>
      </c>
      <c r="M1300" s="29" t="s">
        <v>2028</v>
      </c>
      <c r="N1300" s="29" t="s">
        <v>1434</v>
      </c>
      <c r="O1300" s="29" t="s">
        <v>590</v>
      </c>
    </row>
    <row r="1301" spans="1:15">
      <c r="A1301" s="25">
        <v>23336</v>
      </c>
      <c r="B1301" s="34" t="s">
        <v>2509</v>
      </c>
      <c r="C1301" s="31" t="s">
        <v>521</v>
      </c>
      <c r="D1301" s="31" t="s">
        <v>1527</v>
      </c>
      <c r="E1301" s="28">
        <v>43427</v>
      </c>
      <c r="F1301" s="28">
        <v>43457</v>
      </c>
      <c r="G1301" s="28">
        <v>43830</v>
      </c>
      <c r="H1301" s="29" t="s">
        <v>560</v>
      </c>
      <c r="I1301" s="29" t="s">
        <v>560</v>
      </c>
      <c r="J1301" s="29" t="s">
        <v>1508</v>
      </c>
      <c r="K1301" s="29" t="s">
        <v>1508</v>
      </c>
      <c r="L1301" s="29" t="s">
        <v>2424</v>
      </c>
      <c r="M1301" s="29" t="s">
        <v>2502</v>
      </c>
      <c r="N1301" s="29" t="s">
        <v>1586</v>
      </c>
      <c r="O1301" s="29" t="s">
        <v>590</v>
      </c>
    </row>
    <row r="1302" spans="1:15">
      <c r="A1302" s="25">
        <v>23482</v>
      </c>
      <c r="B1302" s="34" t="s">
        <v>2510</v>
      </c>
      <c r="C1302" s="31" t="s">
        <v>521</v>
      </c>
      <c r="D1302" s="31" t="s">
        <v>882</v>
      </c>
      <c r="E1302" s="28">
        <v>43434</v>
      </c>
      <c r="F1302" s="28">
        <v>43464</v>
      </c>
      <c r="G1302" s="28">
        <v>43830</v>
      </c>
      <c r="H1302" s="29" t="s">
        <v>560</v>
      </c>
      <c r="I1302" s="29" t="s">
        <v>560</v>
      </c>
      <c r="J1302" s="29" t="s">
        <v>1508</v>
      </c>
      <c r="K1302" s="29" t="s">
        <v>1508</v>
      </c>
      <c r="L1302" s="29" t="s">
        <v>2424</v>
      </c>
      <c r="M1302" s="29" t="s">
        <v>2094</v>
      </c>
      <c r="N1302" s="29" t="s">
        <v>1434</v>
      </c>
      <c r="O1302" s="29" t="s">
        <v>590</v>
      </c>
    </row>
    <row r="1303" spans="1:15">
      <c r="A1303" s="25">
        <v>23538</v>
      </c>
      <c r="B1303" s="34" t="s">
        <v>2511</v>
      </c>
      <c r="C1303" s="31" t="s">
        <v>521</v>
      </c>
      <c r="D1303" s="31" t="s">
        <v>884</v>
      </c>
      <c r="E1303" s="28">
        <v>43452</v>
      </c>
      <c r="F1303" s="28">
        <v>43483</v>
      </c>
      <c r="G1303" s="28">
        <v>43861</v>
      </c>
      <c r="H1303" s="29" t="s">
        <v>560</v>
      </c>
      <c r="I1303" s="29" t="s">
        <v>560</v>
      </c>
      <c r="J1303" s="29" t="s">
        <v>1508</v>
      </c>
      <c r="K1303" s="29" t="s">
        <v>1508</v>
      </c>
      <c r="L1303" s="29" t="s">
        <v>2424</v>
      </c>
      <c r="M1303" s="29" t="s">
        <v>1593</v>
      </c>
      <c r="N1303" s="29" t="s">
        <v>1586</v>
      </c>
      <c r="O1303" s="29" t="s">
        <v>590</v>
      </c>
    </row>
    <row r="1304" spans="1:15">
      <c r="A1304" s="25">
        <v>23564</v>
      </c>
      <c r="B1304" s="34" t="s">
        <v>2512</v>
      </c>
      <c r="C1304" s="31" t="s">
        <v>521</v>
      </c>
      <c r="D1304" s="31" t="s">
        <v>884</v>
      </c>
      <c r="E1304" s="28">
        <v>43452</v>
      </c>
      <c r="F1304" s="28">
        <v>43483</v>
      </c>
      <c r="G1304" s="28">
        <v>43861</v>
      </c>
      <c r="H1304" s="29" t="s">
        <v>560</v>
      </c>
      <c r="I1304" s="29" t="s">
        <v>560</v>
      </c>
      <c r="J1304" s="29" t="s">
        <v>1508</v>
      </c>
      <c r="K1304" s="29" t="s">
        <v>1508</v>
      </c>
      <c r="L1304" s="29" t="s">
        <v>2424</v>
      </c>
      <c r="M1304" s="29" t="s">
        <v>1593</v>
      </c>
      <c r="N1304" s="29" t="s">
        <v>1586</v>
      </c>
      <c r="O1304" s="29" t="s">
        <v>590</v>
      </c>
    </row>
    <row r="1305" spans="1:15">
      <c r="A1305" s="25">
        <v>246</v>
      </c>
      <c r="B1305" s="26" t="s">
        <v>2513</v>
      </c>
      <c r="C1305" s="27" t="s">
        <v>521</v>
      </c>
      <c r="D1305" s="27" t="s">
        <v>644</v>
      </c>
      <c r="E1305" s="28">
        <v>37704</v>
      </c>
      <c r="F1305" s="28" t="s">
        <v>35</v>
      </c>
      <c r="G1305" s="28" t="s">
        <v>35</v>
      </c>
      <c r="H1305" s="27" t="s">
        <v>560</v>
      </c>
      <c r="I1305" s="27" t="s">
        <v>560</v>
      </c>
      <c r="J1305" s="29" t="s">
        <v>1508</v>
      </c>
      <c r="K1305" s="29" t="s">
        <v>1508</v>
      </c>
      <c r="L1305" s="29" t="s">
        <v>2514</v>
      </c>
      <c r="M1305" s="29" t="s">
        <v>2092</v>
      </c>
      <c r="N1305" s="29" t="s">
        <v>2041</v>
      </c>
      <c r="O1305" s="29" t="s">
        <v>594</v>
      </c>
    </row>
    <row r="1306" spans="1:15">
      <c r="A1306" s="25">
        <v>330</v>
      </c>
      <c r="B1306" s="26" t="s">
        <v>2515</v>
      </c>
      <c r="C1306" s="27" t="s">
        <v>521</v>
      </c>
      <c r="D1306" s="27" t="s">
        <v>705</v>
      </c>
      <c r="E1306" s="28">
        <v>37725</v>
      </c>
      <c r="F1306" s="28" t="s">
        <v>35</v>
      </c>
      <c r="G1306" s="28" t="s">
        <v>35</v>
      </c>
      <c r="H1306" s="27" t="s">
        <v>560</v>
      </c>
      <c r="I1306" s="27" t="s">
        <v>560</v>
      </c>
      <c r="J1306" s="29" t="s">
        <v>1508</v>
      </c>
      <c r="K1306" s="29" t="s">
        <v>1508</v>
      </c>
      <c r="L1306" s="29" t="s">
        <v>2514</v>
      </c>
      <c r="M1306" s="29" t="s">
        <v>2065</v>
      </c>
      <c r="N1306" s="29" t="s">
        <v>2041</v>
      </c>
      <c r="O1306" s="29" t="s">
        <v>594</v>
      </c>
    </row>
    <row r="1307" spans="1:15">
      <c r="A1307" s="25">
        <v>421</v>
      </c>
      <c r="B1307" s="33" t="s">
        <v>2516</v>
      </c>
      <c r="C1307" s="27" t="s">
        <v>521</v>
      </c>
      <c r="D1307" s="27" t="s">
        <v>1351</v>
      </c>
      <c r="E1307" s="28">
        <v>37739</v>
      </c>
      <c r="F1307" s="28" t="s">
        <v>35</v>
      </c>
      <c r="G1307" s="28" t="s">
        <v>35</v>
      </c>
      <c r="H1307" s="29" t="s">
        <v>560</v>
      </c>
      <c r="I1307" s="29" t="s">
        <v>560</v>
      </c>
      <c r="J1307" s="29" t="s">
        <v>1508</v>
      </c>
      <c r="K1307" s="29" t="s">
        <v>1508</v>
      </c>
      <c r="L1307" s="29" t="s">
        <v>2514</v>
      </c>
      <c r="M1307" s="29" t="s">
        <v>1550</v>
      </c>
      <c r="N1307" s="29" t="s">
        <v>1045</v>
      </c>
      <c r="O1307" s="29" t="s">
        <v>594</v>
      </c>
    </row>
    <row r="1308" spans="1:15">
      <c r="A1308" s="25">
        <v>1037</v>
      </c>
      <c r="B1308" s="26" t="s">
        <v>2517</v>
      </c>
      <c r="C1308" s="27" t="s">
        <v>521</v>
      </c>
      <c r="D1308" s="27" t="s">
        <v>1139</v>
      </c>
      <c r="E1308" s="28">
        <v>37879</v>
      </c>
      <c r="F1308" s="28" t="s">
        <v>35</v>
      </c>
      <c r="G1308" s="28" t="s">
        <v>35</v>
      </c>
      <c r="H1308" s="29" t="s">
        <v>560</v>
      </c>
      <c r="I1308" s="29" t="s">
        <v>560</v>
      </c>
      <c r="J1308" s="29" t="s">
        <v>1508</v>
      </c>
      <c r="K1308" s="29" t="s">
        <v>1508</v>
      </c>
      <c r="L1308" s="29" t="s">
        <v>2514</v>
      </c>
      <c r="M1308" s="29" t="s">
        <v>2030</v>
      </c>
      <c r="N1308" s="29" t="s">
        <v>2031</v>
      </c>
      <c r="O1308" s="29" t="s">
        <v>594</v>
      </c>
    </row>
    <row r="1309" spans="1:15">
      <c r="A1309" s="25">
        <v>5518</v>
      </c>
      <c r="B1309" s="26" t="s">
        <v>2518</v>
      </c>
      <c r="C1309" s="27" t="s">
        <v>521</v>
      </c>
      <c r="D1309" s="27" t="s">
        <v>792</v>
      </c>
      <c r="E1309" s="28">
        <v>39022</v>
      </c>
      <c r="F1309" s="28" t="s">
        <v>35</v>
      </c>
      <c r="G1309" s="28" t="s">
        <v>35</v>
      </c>
      <c r="H1309" s="27" t="s">
        <v>560</v>
      </c>
      <c r="I1309" s="27" t="s">
        <v>560</v>
      </c>
      <c r="J1309" s="29" t="s">
        <v>1508</v>
      </c>
      <c r="K1309" s="29" t="s">
        <v>1508</v>
      </c>
      <c r="L1309" s="29" t="s">
        <v>2514</v>
      </c>
      <c r="M1309" s="29" t="s">
        <v>2025</v>
      </c>
      <c r="N1309" s="29" t="s">
        <v>2026</v>
      </c>
      <c r="O1309" s="29" t="s">
        <v>594</v>
      </c>
    </row>
    <row r="1310" spans="1:15">
      <c r="A1310" s="25">
        <v>5546</v>
      </c>
      <c r="B1310" s="26" t="s">
        <v>2519</v>
      </c>
      <c r="C1310" s="27" t="s">
        <v>521</v>
      </c>
      <c r="D1310" s="27" t="s">
        <v>1064</v>
      </c>
      <c r="E1310" s="28">
        <v>39052</v>
      </c>
      <c r="F1310" s="28" t="s">
        <v>35</v>
      </c>
      <c r="G1310" s="28" t="s">
        <v>35</v>
      </c>
      <c r="H1310" s="27" t="s">
        <v>560</v>
      </c>
      <c r="I1310" s="27" t="s">
        <v>560</v>
      </c>
      <c r="J1310" s="29" t="s">
        <v>1508</v>
      </c>
      <c r="K1310" s="29" t="s">
        <v>1508</v>
      </c>
      <c r="L1310" s="29" t="s">
        <v>2514</v>
      </c>
      <c r="M1310" s="29" t="s">
        <v>1550</v>
      </c>
      <c r="N1310" s="29" t="s">
        <v>1045</v>
      </c>
      <c r="O1310" s="29" t="s">
        <v>594</v>
      </c>
    </row>
    <row r="1311" spans="1:15">
      <c r="A1311" s="25">
        <v>5962</v>
      </c>
      <c r="B1311" s="26" t="s">
        <v>2520</v>
      </c>
      <c r="C1311" s="27" t="s">
        <v>521</v>
      </c>
      <c r="D1311" s="27" t="s">
        <v>713</v>
      </c>
      <c r="E1311" s="28">
        <v>39129</v>
      </c>
      <c r="F1311" s="28" t="s">
        <v>35</v>
      </c>
      <c r="G1311" s="28" t="s">
        <v>35</v>
      </c>
      <c r="H1311" s="27" t="s">
        <v>560</v>
      </c>
      <c r="I1311" s="27" t="s">
        <v>560</v>
      </c>
      <c r="J1311" s="29" t="s">
        <v>1508</v>
      </c>
      <c r="K1311" s="29" t="s">
        <v>1508</v>
      </c>
      <c r="L1311" s="29" t="s">
        <v>2514</v>
      </c>
      <c r="M1311" s="29" t="s">
        <v>2092</v>
      </c>
      <c r="N1311" s="29" t="s">
        <v>2041</v>
      </c>
      <c r="O1311" s="29" t="s">
        <v>594</v>
      </c>
    </row>
    <row r="1312" spans="1:15">
      <c r="A1312" s="25">
        <v>6149</v>
      </c>
      <c r="B1312" s="26" t="s">
        <v>2521</v>
      </c>
      <c r="C1312" s="27" t="s">
        <v>521</v>
      </c>
      <c r="D1312" s="27" t="s">
        <v>576</v>
      </c>
      <c r="E1312" s="28">
        <v>39157</v>
      </c>
      <c r="F1312" s="28" t="s">
        <v>35</v>
      </c>
      <c r="G1312" s="28" t="s">
        <v>35</v>
      </c>
      <c r="H1312" s="29" t="s">
        <v>560</v>
      </c>
      <c r="I1312" s="29" t="s">
        <v>560</v>
      </c>
      <c r="J1312" s="29" t="s">
        <v>1508</v>
      </c>
      <c r="K1312" s="29" t="s">
        <v>1508</v>
      </c>
      <c r="L1312" s="29" t="s">
        <v>2514</v>
      </c>
      <c r="M1312" s="29" t="s">
        <v>2522</v>
      </c>
      <c r="N1312" s="29" t="s">
        <v>2090</v>
      </c>
      <c r="O1312" s="29" t="s">
        <v>594</v>
      </c>
    </row>
    <row r="1313" spans="1:15">
      <c r="A1313" s="25">
        <v>8644</v>
      </c>
      <c r="B1313" s="26" t="s">
        <v>2523</v>
      </c>
      <c r="C1313" s="27" t="s">
        <v>521</v>
      </c>
      <c r="D1313" s="27" t="s">
        <v>1493</v>
      </c>
      <c r="E1313" s="28">
        <v>39878</v>
      </c>
      <c r="F1313" s="28" t="s">
        <v>35</v>
      </c>
      <c r="G1313" s="28" t="s">
        <v>35</v>
      </c>
      <c r="H1313" s="27" t="s">
        <v>560</v>
      </c>
      <c r="I1313" s="27" t="s">
        <v>560</v>
      </c>
      <c r="J1313" s="29" t="s">
        <v>1508</v>
      </c>
      <c r="K1313" s="29" t="s">
        <v>1508</v>
      </c>
      <c r="L1313" s="29" t="s">
        <v>2514</v>
      </c>
      <c r="M1313" s="29" t="s">
        <v>2308</v>
      </c>
      <c r="N1313" s="29" t="s">
        <v>2041</v>
      </c>
      <c r="O1313" s="29" t="s">
        <v>594</v>
      </c>
    </row>
    <row r="1314" spans="1:15">
      <c r="A1314" s="25">
        <v>8763</v>
      </c>
      <c r="B1314" s="26" t="s">
        <v>2524</v>
      </c>
      <c r="C1314" s="27" t="s">
        <v>521</v>
      </c>
      <c r="D1314" s="27" t="s">
        <v>747</v>
      </c>
      <c r="E1314" s="28">
        <v>39931</v>
      </c>
      <c r="F1314" s="28" t="s">
        <v>35</v>
      </c>
      <c r="G1314" s="28" t="s">
        <v>35</v>
      </c>
      <c r="H1314" s="27" t="s">
        <v>560</v>
      </c>
      <c r="I1314" s="27" t="s">
        <v>560</v>
      </c>
      <c r="J1314" s="29" t="s">
        <v>1508</v>
      </c>
      <c r="K1314" s="29" t="s">
        <v>1508</v>
      </c>
      <c r="L1314" s="29" t="s">
        <v>2514</v>
      </c>
      <c r="M1314" s="29" t="s">
        <v>2052</v>
      </c>
      <c r="N1314" s="29" t="s">
        <v>2041</v>
      </c>
      <c r="O1314" s="29" t="s">
        <v>594</v>
      </c>
    </row>
    <row r="1315" spans="1:15">
      <c r="A1315" s="25">
        <v>9132</v>
      </c>
      <c r="B1315" s="26" t="s">
        <v>108</v>
      </c>
      <c r="C1315" s="27" t="s">
        <v>521</v>
      </c>
      <c r="D1315" s="27" t="s">
        <v>653</v>
      </c>
      <c r="E1315" s="28">
        <v>40000</v>
      </c>
      <c r="F1315" s="28" t="s">
        <v>35</v>
      </c>
      <c r="G1315" s="28" t="s">
        <v>35</v>
      </c>
      <c r="H1315" s="29" t="s">
        <v>560</v>
      </c>
      <c r="I1315" s="29" t="s">
        <v>560</v>
      </c>
      <c r="J1315" s="29" t="s">
        <v>1508</v>
      </c>
      <c r="K1315" s="29" t="s">
        <v>1508</v>
      </c>
      <c r="L1315" s="29" t="s">
        <v>2514</v>
      </c>
      <c r="M1315" s="29" t="s">
        <v>2522</v>
      </c>
      <c r="N1315" s="29" t="s">
        <v>2090</v>
      </c>
      <c r="O1315" s="29" t="s">
        <v>594</v>
      </c>
    </row>
    <row r="1316" spans="1:15">
      <c r="A1316" s="25">
        <v>9212</v>
      </c>
      <c r="B1316" s="26" t="s">
        <v>2525</v>
      </c>
      <c r="C1316" s="27" t="s">
        <v>521</v>
      </c>
      <c r="D1316" s="27" t="s">
        <v>658</v>
      </c>
      <c r="E1316" s="28">
        <v>40008</v>
      </c>
      <c r="F1316" s="28" t="s">
        <v>35</v>
      </c>
      <c r="G1316" s="28" t="s">
        <v>35</v>
      </c>
      <c r="H1316" s="27" t="s">
        <v>560</v>
      </c>
      <c r="I1316" s="27" t="s">
        <v>560</v>
      </c>
      <c r="J1316" s="29" t="s">
        <v>1508</v>
      </c>
      <c r="K1316" s="29" t="s">
        <v>1508</v>
      </c>
      <c r="L1316" s="29" t="s">
        <v>2514</v>
      </c>
      <c r="M1316" s="29" t="s">
        <v>2057</v>
      </c>
      <c r="N1316" s="29" t="s">
        <v>2041</v>
      </c>
      <c r="O1316" s="29" t="s">
        <v>594</v>
      </c>
    </row>
    <row r="1317" spans="1:15">
      <c r="A1317" s="25">
        <v>10295</v>
      </c>
      <c r="B1317" s="26" t="s">
        <v>2526</v>
      </c>
      <c r="C1317" s="27" t="s">
        <v>521</v>
      </c>
      <c r="D1317" s="27" t="s">
        <v>2527</v>
      </c>
      <c r="E1317" s="28">
        <v>40504</v>
      </c>
      <c r="F1317" s="28" t="s">
        <v>35</v>
      </c>
      <c r="G1317" s="28" t="s">
        <v>35</v>
      </c>
      <c r="H1317" s="29" t="s">
        <v>560</v>
      </c>
      <c r="I1317" s="29" t="s">
        <v>560</v>
      </c>
      <c r="J1317" s="29" t="s">
        <v>1508</v>
      </c>
      <c r="K1317" s="29" t="s">
        <v>1508</v>
      </c>
      <c r="L1317" s="29" t="s">
        <v>2514</v>
      </c>
      <c r="M1317" s="29" t="s">
        <v>2227</v>
      </c>
      <c r="N1317" s="29" t="s">
        <v>1434</v>
      </c>
      <c r="O1317" s="29" t="s">
        <v>594</v>
      </c>
    </row>
    <row r="1318" spans="1:15">
      <c r="A1318" s="25">
        <v>10329</v>
      </c>
      <c r="B1318" s="26" t="s">
        <v>2528</v>
      </c>
      <c r="C1318" s="27" t="s">
        <v>521</v>
      </c>
      <c r="D1318" s="27" t="s">
        <v>825</v>
      </c>
      <c r="E1318" s="28">
        <v>40511</v>
      </c>
      <c r="F1318" s="28" t="s">
        <v>35</v>
      </c>
      <c r="G1318" s="28" t="s">
        <v>35</v>
      </c>
      <c r="H1318" s="29" t="s">
        <v>560</v>
      </c>
      <c r="I1318" s="29" t="s">
        <v>560</v>
      </c>
      <c r="J1318" s="29" t="s">
        <v>1508</v>
      </c>
      <c r="K1318" s="29" t="s">
        <v>1508</v>
      </c>
      <c r="L1318" s="29" t="s">
        <v>2514</v>
      </c>
      <c r="M1318" s="29" t="s">
        <v>2052</v>
      </c>
      <c r="N1318" s="29" t="s">
        <v>2041</v>
      </c>
      <c r="O1318" s="29" t="s">
        <v>594</v>
      </c>
    </row>
    <row r="1319" spans="1:15">
      <c r="A1319" s="25">
        <v>10430</v>
      </c>
      <c r="B1319" s="26" t="s">
        <v>429</v>
      </c>
      <c r="C1319" s="27" t="s">
        <v>521</v>
      </c>
      <c r="D1319" s="27" t="s">
        <v>752</v>
      </c>
      <c r="E1319" s="28">
        <v>40518</v>
      </c>
      <c r="F1319" s="28" t="s">
        <v>35</v>
      </c>
      <c r="G1319" s="28" t="s">
        <v>35</v>
      </c>
      <c r="H1319" s="27" t="s">
        <v>560</v>
      </c>
      <c r="I1319" s="27" t="s">
        <v>560</v>
      </c>
      <c r="J1319" s="29" t="s">
        <v>1508</v>
      </c>
      <c r="K1319" s="29" t="s">
        <v>1508</v>
      </c>
      <c r="L1319" s="29" t="s">
        <v>2514</v>
      </c>
      <c r="M1319" s="29" t="s">
        <v>2065</v>
      </c>
      <c r="N1319" s="29" t="s">
        <v>2041</v>
      </c>
      <c r="O1319" s="29" t="s">
        <v>594</v>
      </c>
    </row>
    <row r="1320" spans="1:15">
      <c r="A1320" s="25">
        <v>10899</v>
      </c>
      <c r="B1320" s="34" t="s">
        <v>2529</v>
      </c>
      <c r="C1320" s="31" t="s">
        <v>521</v>
      </c>
      <c r="D1320" s="31" t="s">
        <v>808</v>
      </c>
      <c r="E1320" s="28">
        <v>40574</v>
      </c>
      <c r="F1320" s="28" t="s">
        <v>35</v>
      </c>
      <c r="G1320" s="28" t="s">
        <v>35</v>
      </c>
      <c r="H1320" s="29" t="s">
        <v>560</v>
      </c>
      <c r="I1320" s="29" t="s">
        <v>560</v>
      </c>
      <c r="J1320" s="29" t="s">
        <v>1508</v>
      </c>
      <c r="K1320" s="29" t="s">
        <v>1508</v>
      </c>
      <c r="L1320" s="29" t="s">
        <v>2514</v>
      </c>
      <c r="M1320" s="29" t="s">
        <v>2087</v>
      </c>
      <c r="N1320" s="29" t="s">
        <v>1434</v>
      </c>
      <c r="O1320" s="29" t="s">
        <v>594</v>
      </c>
    </row>
    <row r="1321" spans="1:15">
      <c r="A1321" s="25">
        <v>12312</v>
      </c>
      <c r="B1321" s="26" t="s">
        <v>2530</v>
      </c>
      <c r="C1321" s="27" t="s">
        <v>521</v>
      </c>
      <c r="D1321" s="27" t="s">
        <v>817</v>
      </c>
      <c r="E1321" s="28">
        <v>40805</v>
      </c>
      <c r="F1321" s="28" t="s">
        <v>35</v>
      </c>
      <c r="G1321" s="28" t="s">
        <v>35</v>
      </c>
      <c r="H1321" s="27" t="s">
        <v>560</v>
      </c>
      <c r="I1321" s="27" t="s">
        <v>560</v>
      </c>
      <c r="J1321" s="29" t="s">
        <v>1508</v>
      </c>
      <c r="K1321" s="29" t="s">
        <v>1508</v>
      </c>
      <c r="L1321" s="29" t="s">
        <v>2514</v>
      </c>
      <c r="M1321" s="29" t="s">
        <v>2043</v>
      </c>
      <c r="N1321" s="29" t="s">
        <v>2041</v>
      </c>
      <c r="O1321" s="29" t="s">
        <v>594</v>
      </c>
    </row>
    <row r="1322" spans="1:15">
      <c r="A1322" s="25">
        <v>12611</v>
      </c>
      <c r="B1322" s="26" t="s">
        <v>2531</v>
      </c>
      <c r="C1322" s="27" t="s">
        <v>521</v>
      </c>
      <c r="D1322" s="27" t="s">
        <v>858</v>
      </c>
      <c r="E1322" s="28">
        <v>40816</v>
      </c>
      <c r="F1322" s="28" t="s">
        <v>35</v>
      </c>
      <c r="G1322" s="28" t="s">
        <v>35</v>
      </c>
      <c r="H1322" s="27" t="s">
        <v>560</v>
      </c>
      <c r="I1322" s="27" t="s">
        <v>560</v>
      </c>
      <c r="J1322" s="29" t="s">
        <v>1508</v>
      </c>
      <c r="K1322" s="29" t="s">
        <v>1508</v>
      </c>
      <c r="L1322" s="29" t="s">
        <v>2514</v>
      </c>
      <c r="M1322" s="29" t="s">
        <v>2215</v>
      </c>
      <c r="N1322" s="29" t="s">
        <v>1434</v>
      </c>
      <c r="O1322" s="29" t="s">
        <v>594</v>
      </c>
    </row>
    <row r="1323" spans="1:15">
      <c r="A1323" s="25">
        <v>12728</v>
      </c>
      <c r="B1323" s="34" t="s">
        <v>2532</v>
      </c>
      <c r="C1323" s="31" t="s">
        <v>521</v>
      </c>
      <c r="D1323" s="31" t="s">
        <v>1739</v>
      </c>
      <c r="E1323" s="28">
        <v>40819</v>
      </c>
      <c r="F1323" s="28" t="s">
        <v>35</v>
      </c>
      <c r="G1323" s="28" t="s">
        <v>35</v>
      </c>
      <c r="H1323" s="29" t="s">
        <v>560</v>
      </c>
      <c r="I1323" s="29" t="s">
        <v>560</v>
      </c>
      <c r="J1323" s="29" t="s">
        <v>1508</v>
      </c>
      <c r="K1323" s="29" t="s">
        <v>1508</v>
      </c>
      <c r="L1323" s="29" t="s">
        <v>2514</v>
      </c>
      <c r="M1323" s="29" t="s">
        <v>2030</v>
      </c>
      <c r="N1323" s="29" t="s">
        <v>2031</v>
      </c>
      <c r="O1323" s="29" t="s">
        <v>594</v>
      </c>
    </row>
    <row r="1324" spans="1:15">
      <c r="A1324" s="25">
        <v>15672</v>
      </c>
      <c r="B1324" s="26" t="s">
        <v>2533</v>
      </c>
      <c r="C1324" s="27" t="s">
        <v>521</v>
      </c>
      <c r="D1324" s="27" t="s">
        <v>2534</v>
      </c>
      <c r="E1324" s="28">
        <v>41466</v>
      </c>
      <c r="F1324" s="28" t="s">
        <v>35</v>
      </c>
      <c r="G1324" s="28" t="s">
        <v>35</v>
      </c>
      <c r="H1324" s="27" t="s">
        <v>560</v>
      </c>
      <c r="I1324" s="27" t="s">
        <v>560</v>
      </c>
      <c r="J1324" s="29" t="s">
        <v>1508</v>
      </c>
      <c r="K1324" s="29" t="s">
        <v>1508</v>
      </c>
      <c r="L1324" s="29" t="s">
        <v>2514</v>
      </c>
      <c r="M1324" s="29" t="s">
        <v>2025</v>
      </c>
      <c r="N1324" s="29" t="s">
        <v>2026</v>
      </c>
      <c r="O1324" s="29" t="s">
        <v>594</v>
      </c>
    </row>
    <row r="1325" spans="1:15">
      <c r="A1325" s="25">
        <v>17432</v>
      </c>
      <c r="B1325" s="26" t="s">
        <v>2535</v>
      </c>
      <c r="C1325" s="27" t="s">
        <v>521</v>
      </c>
      <c r="D1325" s="27" t="s">
        <v>2536</v>
      </c>
      <c r="E1325" s="28">
        <v>41778</v>
      </c>
      <c r="F1325" s="28" t="s">
        <v>35</v>
      </c>
      <c r="G1325" s="28" t="s">
        <v>35</v>
      </c>
      <c r="H1325" s="27" t="s">
        <v>560</v>
      </c>
      <c r="I1325" s="27" t="s">
        <v>560</v>
      </c>
      <c r="J1325" s="29" t="s">
        <v>1508</v>
      </c>
      <c r="K1325" s="29" t="s">
        <v>1508</v>
      </c>
      <c r="L1325" s="29" t="s">
        <v>2514</v>
      </c>
      <c r="M1325" s="29" t="s">
        <v>2498</v>
      </c>
      <c r="N1325" s="29" t="s">
        <v>2041</v>
      </c>
      <c r="O1325" s="29" t="s">
        <v>594</v>
      </c>
    </row>
    <row r="1326" spans="1:15">
      <c r="A1326" s="25">
        <v>18974</v>
      </c>
      <c r="B1326" s="26" t="s">
        <v>2537</v>
      </c>
      <c r="C1326" s="27" t="s">
        <v>521</v>
      </c>
      <c r="D1326" s="27" t="s">
        <v>855</v>
      </c>
      <c r="E1326" s="28">
        <v>42214</v>
      </c>
      <c r="F1326" s="28" t="s">
        <v>35</v>
      </c>
      <c r="G1326" s="28" t="s">
        <v>35</v>
      </c>
      <c r="H1326" s="27" t="s">
        <v>560</v>
      </c>
      <c r="I1326" s="27" t="s">
        <v>560</v>
      </c>
      <c r="J1326" s="29" t="s">
        <v>1508</v>
      </c>
      <c r="K1326" s="29" t="s">
        <v>1508</v>
      </c>
      <c r="L1326" s="29" t="s">
        <v>2514</v>
      </c>
      <c r="M1326" s="29" t="s">
        <v>2280</v>
      </c>
      <c r="N1326" s="29" t="s">
        <v>1434</v>
      </c>
      <c r="O1326" s="29" t="s">
        <v>594</v>
      </c>
    </row>
    <row r="1327" spans="1:15">
      <c r="A1327" s="25">
        <v>20580</v>
      </c>
      <c r="B1327" s="26" t="s">
        <v>2538</v>
      </c>
      <c r="C1327" s="27" t="s">
        <v>521</v>
      </c>
      <c r="D1327" s="27" t="s">
        <v>673</v>
      </c>
      <c r="E1327" s="28">
        <v>42639</v>
      </c>
      <c r="F1327" s="28">
        <v>43132</v>
      </c>
      <c r="G1327" s="28">
        <v>43496</v>
      </c>
      <c r="H1327" s="25" t="s">
        <v>560</v>
      </c>
      <c r="I1327" s="25" t="s">
        <v>560</v>
      </c>
      <c r="J1327" s="29" t="s">
        <v>1508</v>
      </c>
      <c r="K1327" s="29" t="s">
        <v>1508</v>
      </c>
      <c r="L1327" s="29" t="s">
        <v>2514</v>
      </c>
      <c r="M1327" s="29" t="s">
        <v>2293</v>
      </c>
      <c r="N1327" s="29" t="s">
        <v>1434</v>
      </c>
      <c r="O1327" s="29" t="s">
        <v>594</v>
      </c>
    </row>
    <row r="1328" spans="1:15">
      <c r="A1328" s="25">
        <v>20599</v>
      </c>
      <c r="B1328" s="26" t="s">
        <v>2539</v>
      </c>
      <c r="C1328" s="27" t="s">
        <v>521</v>
      </c>
      <c r="D1328" s="27" t="s">
        <v>673</v>
      </c>
      <c r="E1328" s="28">
        <v>42639</v>
      </c>
      <c r="F1328" s="28">
        <v>43132</v>
      </c>
      <c r="G1328" s="28">
        <v>43496</v>
      </c>
      <c r="H1328" s="25" t="s">
        <v>560</v>
      </c>
      <c r="I1328" s="25" t="s">
        <v>560</v>
      </c>
      <c r="J1328" s="29" t="s">
        <v>1508</v>
      </c>
      <c r="K1328" s="29" t="s">
        <v>1508</v>
      </c>
      <c r="L1328" s="29" t="s">
        <v>2514</v>
      </c>
      <c r="M1328" s="29" t="s">
        <v>2540</v>
      </c>
      <c r="N1328" s="29" t="s">
        <v>2041</v>
      </c>
      <c r="O1328" s="29" t="s">
        <v>594</v>
      </c>
    </row>
    <row r="1329" spans="1:15">
      <c r="A1329" s="25">
        <v>20812</v>
      </c>
      <c r="B1329" s="26" t="s">
        <v>2541</v>
      </c>
      <c r="C1329" s="27" t="s">
        <v>521</v>
      </c>
      <c r="D1329" s="27" t="s">
        <v>1684</v>
      </c>
      <c r="E1329" s="28">
        <v>42649</v>
      </c>
      <c r="F1329" s="28">
        <v>43132</v>
      </c>
      <c r="G1329" s="28">
        <v>43496</v>
      </c>
      <c r="H1329" s="27" t="s">
        <v>560</v>
      </c>
      <c r="I1329" s="27" t="s">
        <v>560</v>
      </c>
      <c r="J1329" s="29" t="s">
        <v>1508</v>
      </c>
      <c r="K1329" s="29" t="s">
        <v>1508</v>
      </c>
      <c r="L1329" s="29" t="s">
        <v>2514</v>
      </c>
      <c r="M1329" s="29" t="s">
        <v>2061</v>
      </c>
      <c r="N1329" s="29" t="s">
        <v>2041</v>
      </c>
      <c r="O1329" s="29" t="s">
        <v>594</v>
      </c>
    </row>
    <row r="1330" spans="1:15">
      <c r="A1330" s="25">
        <v>20914</v>
      </c>
      <c r="B1330" s="26" t="s">
        <v>2542</v>
      </c>
      <c r="C1330" s="27" t="s">
        <v>521</v>
      </c>
      <c r="D1330" s="27" t="s">
        <v>807</v>
      </c>
      <c r="E1330" s="28">
        <v>42660</v>
      </c>
      <c r="F1330" s="28">
        <v>43160</v>
      </c>
      <c r="G1330" s="28">
        <v>43524</v>
      </c>
      <c r="H1330" s="27" t="s">
        <v>560</v>
      </c>
      <c r="I1330" s="27" t="s">
        <v>560</v>
      </c>
      <c r="J1330" s="29" t="s">
        <v>1508</v>
      </c>
      <c r="K1330" s="29" t="s">
        <v>1508</v>
      </c>
      <c r="L1330" s="29" t="s">
        <v>2514</v>
      </c>
      <c r="M1330" s="29" t="s">
        <v>2450</v>
      </c>
      <c r="N1330" s="29" t="s">
        <v>1434</v>
      </c>
      <c r="O1330" s="29" t="s">
        <v>594</v>
      </c>
    </row>
    <row r="1331" spans="1:15">
      <c r="A1331" s="25">
        <v>20984</v>
      </c>
      <c r="B1331" s="33" t="s">
        <v>2543</v>
      </c>
      <c r="C1331" s="27" t="s">
        <v>521</v>
      </c>
      <c r="D1331" s="27" t="s">
        <v>1184</v>
      </c>
      <c r="E1331" s="28">
        <v>42674</v>
      </c>
      <c r="F1331" s="28">
        <v>43160</v>
      </c>
      <c r="G1331" s="28">
        <v>43524</v>
      </c>
      <c r="H1331" s="31" t="s">
        <v>560</v>
      </c>
      <c r="I1331" s="31" t="s">
        <v>560</v>
      </c>
      <c r="J1331" s="29" t="s">
        <v>1508</v>
      </c>
      <c r="K1331" s="29" t="s">
        <v>1508</v>
      </c>
      <c r="L1331" s="29" t="s">
        <v>2514</v>
      </c>
      <c r="M1331" s="29" t="s">
        <v>2043</v>
      </c>
      <c r="N1331" s="29" t="s">
        <v>2041</v>
      </c>
      <c r="O1331" s="29" t="s">
        <v>594</v>
      </c>
    </row>
    <row r="1332" spans="1:15">
      <c r="A1332" s="25">
        <v>21008</v>
      </c>
      <c r="B1332" s="33" t="s">
        <v>2544</v>
      </c>
      <c r="C1332" s="27" t="s">
        <v>521</v>
      </c>
      <c r="D1332" s="27" t="s">
        <v>2545</v>
      </c>
      <c r="E1332" s="28">
        <v>42682</v>
      </c>
      <c r="F1332" s="28">
        <v>43160</v>
      </c>
      <c r="G1332" s="28">
        <v>43524</v>
      </c>
      <c r="H1332" s="31" t="s">
        <v>560</v>
      </c>
      <c r="I1332" s="31" t="s">
        <v>560</v>
      </c>
      <c r="J1332" s="29" t="s">
        <v>1508</v>
      </c>
      <c r="K1332" s="29" t="s">
        <v>1508</v>
      </c>
      <c r="L1332" s="29" t="s">
        <v>2514</v>
      </c>
      <c r="M1332" s="29" t="s">
        <v>2546</v>
      </c>
      <c r="N1332" s="29" t="s">
        <v>1434</v>
      </c>
      <c r="O1332" s="29" t="s">
        <v>594</v>
      </c>
    </row>
    <row r="1333" spans="1:15">
      <c r="A1333" s="25">
        <v>21177</v>
      </c>
      <c r="B1333" s="26" t="s">
        <v>2435</v>
      </c>
      <c r="C1333" s="27" t="s">
        <v>521</v>
      </c>
      <c r="D1333" s="27" t="s">
        <v>1676</v>
      </c>
      <c r="E1333" s="28">
        <v>42871</v>
      </c>
      <c r="F1333" s="28">
        <v>43374</v>
      </c>
      <c r="G1333" s="28">
        <v>43738</v>
      </c>
      <c r="H1333" s="25" t="s">
        <v>560</v>
      </c>
      <c r="I1333" s="27" t="s">
        <v>560</v>
      </c>
      <c r="J1333" s="29" t="s">
        <v>1508</v>
      </c>
      <c r="K1333" s="29" t="s">
        <v>1508</v>
      </c>
      <c r="L1333" s="29" t="s">
        <v>2514</v>
      </c>
      <c r="M1333" s="29" t="s">
        <v>2238</v>
      </c>
      <c r="N1333" s="29" t="s">
        <v>1434</v>
      </c>
      <c r="O1333" s="29" t="s">
        <v>594</v>
      </c>
    </row>
    <row r="1334" spans="1:15">
      <c r="A1334" s="25">
        <v>21537</v>
      </c>
      <c r="B1334" s="34" t="s">
        <v>2547</v>
      </c>
      <c r="C1334" s="31" t="s">
        <v>521</v>
      </c>
      <c r="D1334" s="31" t="s">
        <v>1760</v>
      </c>
      <c r="E1334" s="28">
        <v>43045</v>
      </c>
      <c r="F1334" s="28">
        <v>43435</v>
      </c>
      <c r="G1334" s="28">
        <v>43799</v>
      </c>
      <c r="H1334" s="29" t="s">
        <v>560</v>
      </c>
      <c r="I1334" s="29" t="s">
        <v>560</v>
      </c>
      <c r="J1334" s="29" t="s">
        <v>1508</v>
      </c>
      <c r="K1334" s="29" t="s">
        <v>1508</v>
      </c>
      <c r="L1334" s="29" t="s">
        <v>2514</v>
      </c>
      <c r="M1334" s="29" t="s">
        <v>2293</v>
      </c>
      <c r="N1334" s="29" t="s">
        <v>1434</v>
      </c>
      <c r="O1334" s="29" t="s">
        <v>594</v>
      </c>
    </row>
    <row r="1335" spans="1:15">
      <c r="A1335" s="25">
        <v>21876</v>
      </c>
      <c r="B1335" s="34" t="s">
        <v>2548</v>
      </c>
      <c r="C1335" s="31" t="s">
        <v>521</v>
      </c>
      <c r="D1335" s="31" t="s">
        <v>1870</v>
      </c>
      <c r="E1335" s="28">
        <v>43103</v>
      </c>
      <c r="F1335" s="28">
        <v>43134</v>
      </c>
      <c r="G1335" s="28">
        <v>43496</v>
      </c>
      <c r="H1335" s="29" t="s">
        <v>560</v>
      </c>
      <c r="I1335" s="29" t="s">
        <v>560</v>
      </c>
      <c r="J1335" s="29" t="s">
        <v>1508</v>
      </c>
      <c r="K1335" s="29" t="s">
        <v>1508</v>
      </c>
      <c r="L1335" s="29" t="s">
        <v>2514</v>
      </c>
      <c r="M1335" s="29" t="s">
        <v>2222</v>
      </c>
      <c r="N1335" s="29" t="s">
        <v>2023</v>
      </c>
      <c r="O1335" s="29" t="s">
        <v>594</v>
      </c>
    </row>
    <row r="1336" spans="1:15">
      <c r="A1336" s="25">
        <v>22082</v>
      </c>
      <c r="B1336" s="34" t="s">
        <v>2549</v>
      </c>
      <c r="C1336" s="31" t="s">
        <v>521</v>
      </c>
      <c r="D1336" s="31" t="s">
        <v>769</v>
      </c>
      <c r="E1336" s="28">
        <v>43150</v>
      </c>
      <c r="F1336" s="28">
        <v>43178</v>
      </c>
      <c r="G1336" s="28">
        <v>43555</v>
      </c>
      <c r="H1336" s="29" t="s">
        <v>560</v>
      </c>
      <c r="I1336" s="29" t="s">
        <v>560</v>
      </c>
      <c r="J1336" s="29" t="s">
        <v>1508</v>
      </c>
      <c r="K1336" s="29" t="s">
        <v>1508</v>
      </c>
      <c r="L1336" s="29" t="s">
        <v>2514</v>
      </c>
      <c r="M1336" s="29" t="s">
        <v>2268</v>
      </c>
      <c r="N1336" s="29" t="s">
        <v>1434</v>
      </c>
      <c r="O1336" s="29" t="s">
        <v>594</v>
      </c>
    </row>
    <row r="1337" spans="1:15">
      <c r="A1337" s="25">
        <v>22177</v>
      </c>
      <c r="B1337" s="34" t="s">
        <v>2550</v>
      </c>
      <c r="C1337" s="31" t="s">
        <v>521</v>
      </c>
      <c r="D1337" s="31" t="s">
        <v>1201</v>
      </c>
      <c r="E1337" s="28">
        <v>43158</v>
      </c>
      <c r="F1337" s="28">
        <v>43186</v>
      </c>
      <c r="G1337" s="28">
        <v>43555</v>
      </c>
      <c r="H1337" s="29" t="s">
        <v>560</v>
      </c>
      <c r="I1337" s="29" t="s">
        <v>560</v>
      </c>
      <c r="J1337" s="29" t="s">
        <v>1508</v>
      </c>
      <c r="K1337" s="29" t="s">
        <v>1508</v>
      </c>
      <c r="L1337" s="29" t="s">
        <v>2514</v>
      </c>
      <c r="M1337" s="29" t="s">
        <v>2079</v>
      </c>
      <c r="N1337" s="29" t="s">
        <v>2080</v>
      </c>
      <c r="O1337" s="29" t="s">
        <v>594</v>
      </c>
    </row>
    <row r="1338" spans="1:15">
      <c r="A1338" s="25">
        <v>22219</v>
      </c>
      <c r="B1338" s="34" t="s">
        <v>2551</v>
      </c>
      <c r="C1338" s="31" t="s">
        <v>521</v>
      </c>
      <c r="D1338" s="31" t="s">
        <v>1796</v>
      </c>
      <c r="E1338" s="28">
        <v>43161</v>
      </c>
      <c r="F1338" s="28">
        <v>43192</v>
      </c>
      <c r="G1338" s="28">
        <v>43555</v>
      </c>
      <c r="H1338" s="29" t="s">
        <v>560</v>
      </c>
      <c r="I1338" s="29" t="s">
        <v>560</v>
      </c>
      <c r="J1338" s="29" t="s">
        <v>1508</v>
      </c>
      <c r="K1338" s="29" t="s">
        <v>1508</v>
      </c>
      <c r="L1338" s="29" t="s">
        <v>2514</v>
      </c>
      <c r="M1338" s="29" t="s">
        <v>2552</v>
      </c>
      <c r="N1338" s="29" t="s">
        <v>2041</v>
      </c>
      <c r="O1338" s="29" t="s">
        <v>594</v>
      </c>
    </row>
    <row r="1339" spans="1:15">
      <c r="A1339" s="25">
        <v>22347</v>
      </c>
      <c r="B1339" s="34" t="s">
        <v>2553</v>
      </c>
      <c r="C1339" s="31" t="s">
        <v>521</v>
      </c>
      <c r="D1339" s="31" t="s">
        <v>694</v>
      </c>
      <c r="E1339" s="28">
        <v>43195</v>
      </c>
      <c r="F1339" s="28">
        <v>43225</v>
      </c>
      <c r="G1339" s="28">
        <v>43585</v>
      </c>
      <c r="H1339" s="29" t="s">
        <v>560</v>
      </c>
      <c r="I1339" s="29" t="s">
        <v>560</v>
      </c>
      <c r="J1339" s="29" t="s">
        <v>1508</v>
      </c>
      <c r="K1339" s="29" t="s">
        <v>1508</v>
      </c>
      <c r="L1339" s="29" t="s">
        <v>2514</v>
      </c>
      <c r="M1339" s="29" t="s">
        <v>2096</v>
      </c>
      <c r="N1339" s="29" t="s">
        <v>1434</v>
      </c>
      <c r="O1339" s="29" t="s">
        <v>594</v>
      </c>
    </row>
    <row r="1340" spans="1:15">
      <c r="A1340" s="25">
        <v>22384</v>
      </c>
      <c r="B1340" s="34" t="s">
        <v>2554</v>
      </c>
      <c r="C1340" s="31" t="s">
        <v>521</v>
      </c>
      <c r="D1340" s="31" t="s">
        <v>805</v>
      </c>
      <c r="E1340" s="28">
        <v>43213</v>
      </c>
      <c r="F1340" s="28">
        <v>43243</v>
      </c>
      <c r="G1340" s="28">
        <v>43616</v>
      </c>
      <c r="H1340" s="29" t="s">
        <v>560</v>
      </c>
      <c r="I1340" s="29" t="s">
        <v>560</v>
      </c>
      <c r="J1340" s="29" t="s">
        <v>1508</v>
      </c>
      <c r="K1340" s="29" t="s">
        <v>1508</v>
      </c>
      <c r="L1340" s="29" t="s">
        <v>2514</v>
      </c>
      <c r="M1340" s="29" t="s">
        <v>2222</v>
      </c>
      <c r="N1340" s="29" t="s">
        <v>2023</v>
      </c>
      <c r="O1340" s="29" t="s">
        <v>594</v>
      </c>
    </row>
    <row r="1341" spans="1:15">
      <c r="A1341" s="25">
        <v>22409</v>
      </c>
      <c r="B1341" s="34" t="s">
        <v>2555</v>
      </c>
      <c r="C1341" s="31" t="s">
        <v>521</v>
      </c>
      <c r="D1341" s="31" t="s">
        <v>805</v>
      </c>
      <c r="E1341" s="28">
        <v>43213</v>
      </c>
      <c r="F1341" s="28">
        <v>43243</v>
      </c>
      <c r="G1341" s="28">
        <v>43616</v>
      </c>
      <c r="H1341" s="29" t="s">
        <v>560</v>
      </c>
      <c r="I1341" s="29" t="s">
        <v>560</v>
      </c>
      <c r="J1341" s="29" t="s">
        <v>1508</v>
      </c>
      <c r="K1341" s="29" t="s">
        <v>1508</v>
      </c>
      <c r="L1341" s="29" t="s">
        <v>2514</v>
      </c>
      <c r="M1341" s="29" t="s">
        <v>2556</v>
      </c>
      <c r="N1341" s="29" t="s">
        <v>2041</v>
      </c>
      <c r="O1341" s="29" t="s">
        <v>594</v>
      </c>
    </row>
    <row r="1342" spans="1:15">
      <c r="A1342" s="25">
        <v>22501</v>
      </c>
      <c r="B1342" s="34" t="s">
        <v>2557</v>
      </c>
      <c r="C1342" s="31" t="s">
        <v>521</v>
      </c>
      <c r="D1342" s="31" t="s">
        <v>773</v>
      </c>
      <c r="E1342" s="28">
        <v>43224</v>
      </c>
      <c r="F1342" s="28">
        <v>43255</v>
      </c>
      <c r="G1342" s="28">
        <v>43616</v>
      </c>
      <c r="H1342" s="29" t="s">
        <v>560</v>
      </c>
      <c r="I1342" s="29" t="s">
        <v>560</v>
      </c>
      <c r="J1342" s="29" t="s">
        <v>1508</v>
      </c>
      <c r="K1342" s="29" t="s">
        <v>1508</v>
      </c>
      <c r="L1342" s="29" t="s">
        <v>2514</v>
      </c>
      <c r="M1342" s="29" t="s">
        <v>2079</v>
      </c>
      <c r="N1342" s="29" t="s">
        <v>2080</v>
      </c>
      <c r="O1342" s="29" t="s">
        <v>594</v>
      </c>
    </row>
    <row r="1343" spans="1:15">
      <c r="A1343" s="25">
        <v>22527</v>
      </c>
      <c r="B1343" s="34" t="s">
        <v>2558</v>
      </c>
      <c r="C1343" s="31" t="s">
        <v>521</v>
      </c>
      <c r="D1343" s="31" t="s">
        <v>773</v>
      </c>
      <c r="E1343" s="28">
        <v>43224</v>
      </c>
      <c r="F1343" s="28">
        <v>43255</v>
      </c>
      <c r="G1343" s="28">
        <v>43616</v>
      </c>
      <c r="H1343" s="29" t="s">
        <v>560</v>
      </c>
      <c r="I1343" s="29" t="s">
        <v>560</v>
      </c>
      <c r="J1343" s="29" t="s">
        <v>1508</v>
      </c>
      <c r="K1343" s="29" t="s">
        <v>1508</v>
      </c>
      <c r="L1343" s="29" t="s">
        <v>2514</v>
      </c>
      <c r="M1343" s="29" t="s">
        <v>2040</v>
      </c>
      <c r="N1343" s="29" t="s">
        <v>2041</v>
      </c>
      <c r="O1343" s="29" t="s">
        <v>594</v>
      </c>
    </row>
    <row r="1344" spans="1:15">
      <c r="A1344" s="25">
        <v>22551</v>
      </c>
      <c r="B1344" s="34" t="s">
        <v>2559</v>
      </c>
      <c r="C1344" s="31" t="s">
        <v>521</v>
      </c>
      <c r="D1344" s="31" t="s">
        <v>773</v>
      </c>
      <c r="E1344" s="28">
        <v>43224</v>
      </c>
      <c r="F1344" s="28">
        <v>43255</v>
      </c>
      <c r="G1344" s="28">
        <v>43616</v>
      </c>
      <c r="H1344" s="29" t="s">
        <v>560</v>
      </c>
      <c r="I1344" s="29" t="s">
        <v>560</v>
      </c>
      <c r="J1344" s="29" t="s">
        <v>1508</v>
      </c>
      <c r="K1344" s="29" t="s">
        <v>1508</v>
      </c>
      <c r="L1344" s="29" t="s">
        <v>2514</v>
      </c>
      <c r="M1344" s="29" t="s">
        <v>2120</v>
      </c>
      <c r="N1344" s="29" t="s">
        <v>1434</v>
      </c>
      <c r="O1344" s="29" t="s">
        <v>594</v>
      </c>
    </row>
    <row r="1345" spans="1:15">
      <c r="A1345" s="25">
        <v>22659</v>
      </c>
      <c r="B1345" s="34" t="s">
        <v>2560</v>
      </c>
      <c r="C1345" s="31" t="s">
        <v>521</v>
      </c>
      <c r="D1345" s="31" t="s">
        <v>1199</v>
      </c>
      <c r="E1345" s="28">
        <v>43241</v>
      </c>
      <c r="F1345" s="28">
        <v>43272</v>
      </c>
      <c r="G1345" s="28">
        <v>43646</v>
      </c>
      <c r="H1345" s="29" t="s">
        <v>560</v>
      </c>
      <c r="I1345" s="29" t="s">
        <v>560</v>
      </c>
      <c r="J1345" s="29" t="s">
        <v>1508</v>
      </c>
      <c r="K1345" s="29" t="s">
        <v>1508</v>
      </c>
      <c r="L1345" s="29" t="s">
        <v>2514</v>
      </c>
      <c r="M1345" s="29" t="s">
        <v>2354</v>
      </c>
      <c r="N1345" s="29" t="s">
        <v>1434</v>
      </c>
      <c r="O1345" s="29" t="s">
        <v>594</v>
      </c>
    </row>
    <row r="1346" spans="1:15">
      <c r="A1346" s="25">
        <v>22674</v>
      </c>
      <c r="B1346" s="34" t="s">
        <v>2561</v>
      </c>
      <c r="C1346" s="31" t="s">
        <v>521</v>
      </c>
      <c r="D1346" s="31" t="s">
        <v>1199</v>
      </c>
      <c r="E1346" s="28">
        <v>43241</v>
      </c>
      <c r="F1346" s="28">
        <v>43272</v>
      </c>
      <c r="G1346" s="28">
        <v>43646</v>
      </c>
      <c r="H1346" s="29" t="s">
        <v>560</v>
      </c>
      <c r="I1346" s="29" t="s">
        <v>560</v>
      </c>
      <c r="J1346" s="29" t="s">
        <v>1508</v>
      </c>
      <c r="K1346" s="29" t="s">
        <v>1508</v>
      </c>
      <c r="L1346" s="29" t="s">
        <v>2514</v>
      </c>
      <c r="M1346" s="29" t="s">
        <v>2077</v>
      </c>
      <c r="N1346" s="29" t="s">
        <v>2077</v>
      </c>
      <c r="O1346" s="29" t="s">
        <v>594</v>
      </c>
    </row>
    <row r="1347" spans="1:15">
      <c r="A1347" s="25">
        <v>22707</v>
      </c>
      <c r="B1347" s="34" t="s">
        <v>2562</v>
      </c>
      <c r="C1347" s="31" t="s">
        <v>521</v>
      </c>
      <c r="D1347" s="31" t="s">
        <v>1195</v>
      </c>
      <c r="E1347" s="28">
        <v>43244</v>
      </c>
      <c r="F1347" s="28">
        <v>43275</v>
      </c>
      <c r="G1347" s="28">
        <v>43646</v>
      </c>
      <c r="H1347" s="29" t="s">
        <v>560</v>
      </c>
      <c r="I1347" s="29" t="s">
        <v>560</v>
      </c>
      <c r="J1347" s="29" t="s">
        <v>1508</v>
      </c>
      <c r="K1347" s="29" t="s">
        <v>1508</v>
      </c>
      <c r="L1347" s="29" t="s">
        <v>2514</v>
      </c>
      <c r="M1347" s="29" t="s">
        <v>2563</v>
      </c>
      <c r="N1347" s="29" t="s">
        <v>2041</v>
      </c>
      <c r="O1347" s="29" t="s">
        <v>594</v>
      </c>
    </row>
    <row r="1348" spans="1:15">
      <c r="A1348" s="25">
        <v>22717</v>
      </c>
      <c r="B1348" s="34" t="s">
        <v>2564</v>
      </c>
      <c r="C1348" s="31" t="s">
        <v>521</v>
      </c>
      <c r="D1348" s="31" t="s">
        <v>1195</v>
      </c>
      <c r="E1348" s="28">
        <v>43244</v>
      </c>
      <c r="F1348" s="28">
        <v>43275</v>
      </c>
      <c r="G1348" s="28">
        <v>43646</v>
      </c>
      <c r="H1348" s="29" t="s">
        <v>560</v>
      </c>
      <c r="I1348" s="29" t="s">
        <v>560</v>
      </c>
      <c r="J1348" s="29" t="s">
        <v>1508</v>
      </c>
      <c r="K1348" s="29" t="s">
        <v>1508</v>
      </c>
      <c r="L1348" s="29" t="s">
        <v>2514</v>
      </c>
      <c r="M1348" s="29" t="s">
        <v>2238</v>
      </c>
      <c r="N1348" s="29" t="s">
        <v>1434</v>
      </c>
      <c r="O1348" s="29" t="s">
        <v>594</v>
      </c>
    </row>
    <row r="1349" spans="1:15">
      <c r="A1349" s="25">
        <v>22753</v>
      </c>
      <c r="B1349" s="34" t="s">
        <v>2565</v>
      </c>
      <c r="C1349" s="31" t="s">
        <v>521</v>
      </c>
      <c r="D1349" s="31" t="s">
        <v>771</v>
      </c>
      <c r="E1349" s="28">
        <v>43255</v>
      </c>
      <c r="F1349" s="28">
        <v>43285</v>
      </c>
      <c r="G1349" s="28">
        <v>43646</v>
      </c>
      <c r="H1349" s="29" t="s">
        <v>560</v>
      </c>
      <c r="I1349" s="29" t="s">
        <v>560</v>
      </c>
      <c r="J1349" s="29" t="s">
        <v>1508</v>
      </c>
      <c r="K1349" s="29" t="s">
        <v>1508</v>
      </c>
      <c r="L1349" s="29" t="s">
        <v>2514</v>
      </c>
      <c r="M1349" s="29" t="s">
        <v>2222</v>
      </c>
      <c r="N1349" s="29" t="s">
        <v>2023</v>
      </c>
      <c r="O1349" s="29" t="s">
        <v>594</v>
      </c>
    </row>
    <row r="1350" spans="1:15">
      <c r="A1350" s="25">
        <v>22860</v>
      </c>
      <c r="B1350" s="34" t="s">
        <v>2566</v>
      </c>
      <c r="C1350" s="31" t="s">
        <v>521</v>
      </c>
      <c r="D1350" s="31" t="s">
        <v>775</v>
      </c>
      <c r="E1350" s="28">
        <v>43333</v>
      </c>
      <c r="F1350" s="28">
        <v>43364</v>
      </c>
      <c r="G1350" s="28">
        <v>43738</v>
      </c>
      <c r="H1350" s="29" t="s">
        <v>560</v>
      </c>
      <c r="I1350" s="29" t="s">
        <v>560</v>
      </c>
      <c r="J1350" s="29" t="s">
        <v>1508</v>
      </c>
      <c r="K1350" s="29" t="s">
        <v>1508</v>
      </c>
      <c r="L1350" s="29" t="s">
        <v>2514</v>
      </c>
      <c r="M1350" s="29" t="s">
        <v>2079</v>
      </c>
      <c r="N1350" s="29" t="s">
        <v>2080</v>
      </c>
      <c r="O1350" s="29" t="s">
        <v>594</v>
      </c>
    </row>
    <row r="1351" spans="1:15">
      <c r="A1351" s="25">
        <v>22988</v>
      </c>
      <c r="B1351" s="34" t="s">
        <v>2567</v>
      </c>
      <c r="C1351" s="31" t="s">
        <v>521</v>
      </c>
      <c r="D1351" s="31" t="s">
        <v>1962</v>
      </c>
      <c r="E1351" s="28">
        <v>43343</v>
      </c>
      <c r="F1351" s="28">
        <v>43374</v>
      </c>
      <c r="G1351" s="28">
        <v>43738</v>
      </c>
      <c r="H1351" s="29" t="s">
        <v>560</v>
      </c>
      <c r="I1351" s="29" t="s">
        <v>560</v>
      </c>
      <c r="J1351" s="29" t="s">
        <v>1508</v>
      </c>
      <c r="K1351" s="29" t="s">
        <v>1508</v>
      </c>
      <c r="L1351" s="29" t="s">
        <v>2514</v>
      </c>
      <c r="M1351" s="29" t="s">
        <v>2082</v>
      </c>
      <c r="N1351" s="29" t="s">
        <v>1434</v>
      </c>
      <c r="O1351" s="29" t="s">
        <v>594</v>
      </c>
    </row>
    <row r="1352" spans="1:15">
      <c r="A1352" s="25">
        <v>22996</v>
      </c>
      <c r="B1352" s="34" t="s">
        <v>2568</v>
      </c>
      <c r="C1352" s="31" t="s">
        <v>521</v>
      </c>
      <c r="D1352" s="31" t="s">
        <v>1872</v>
      </c>
      <c r="E1352" s="28">
        <v>43361</v>
      </c>
      <c r="F1352" s="28">
        <v>43391</v>
      </c>
      <c r="G1352" s="28">
        <v>43769</v>
      </c>
      <c r="H1352" s="29" t="s">
        <v>560</v>
      </c>
      <c r="I1352" s="29" t="s">
        <v>560</v>
      </c>
      <c r="J1352" s="29" t="s">
        <v>1508</v>
      </c>
      <c r="K1352" s="29" t="s">
        <v>1508</v>
      </c>
      <c r="L1352" s="29" t="s">
        <v>2514</v>
      </c>
      <c r="M1352" s="29" t="s">
        <v>2222</v>
      </c>
      <c r="N1352" s="29" t="s">
        <v>2023</v>
      </c>
      <c r="O1352" s="29" t="s">
        <v>594</v>
      </c>
    </row>
    <row r="1353" spans="1:15">
      <c r="A1353" s="25">
        <v>23037</v>
      </c>
      <c r="B1353" s="34" t="s">
        <v>2569</v>
      </c>
      <c r="C1353" s="31" t="s">
        <v>521</v>
      </c>
      <c r="D1353" s="31" t="s">
        <v>1872</v>
      </c>
      <c r="E1353" s="28">
        <v>43361</v>
      </c>
      <c r="F1353" s="28">
        <v>43391</v>
      </c>
      <c r="G1353" s="28">
        <v>43769</v>
      </c>
      <c r="H1353" s="29" t="s">
        <v>560</v>
      </c>
      <c r="I1353" s="29" t="s">
        <v>560</v>
      </c>
      <c r="J1353" s="29" t="s">
        <v>1508</v>
      </c>
      <c r="K1353" s="29" t="s">
        <v>1508</v>
      </c>
      <c r="L1353" s="29" t="s">
        <v>2514</v>
      </c>
      <c r="M1353" s="29" t="s">
        <v>2028</v>
      </c>
      <c r="N1353" s="29" t="s">
        <v>1434</v>
      </c>
      <c r="O1353" s="29" t="s">
        <v>594</v>
      </c>
    </row>
    <row r="1354" spans="1:15">
      <c r="A1354" s="25">
        <v>23130</v>
      </c>
      <c r="B1354" s="34" t="s">
        <v>2570</v>
      </c>
      <c r="C1354" s="31" t="s">
        <v>521</v>
      </c>
      <c r="D1354" s="31" t="s">
        <v>1523</v>
      </c>
      <c r="E1354" s="28">
        <v>43369</v>
      </c>
      <c r="F1354" s="28">
        <v>43399</v>
      </c>
      <c r="G1354" s="28">
        <v>43769</v>
      </c>
      <c r="H1354" s="29" t="s">
        <v>560</v>
      </c>
      <c r="I1354" s="29" t="s">
        <v>560</v>
      </c>
      <c r="J1354" s="29" t="s">
        <v>1508</v>
      </c>
      <c r="K1354" s="29" t="s">
        <v>1508</v>
      </c>
      <c r="L1354" s="29" t="s">
        <v>2514</v>
      </c>
      <c r="M1354" s="29" t="s">
        <v>2571</v>
      </c>
      <c r="N1354" s="29" t="s">
        <v>2041</v>
      </c>
      <c r="O1354" s="29" t="s">
        <v>594</v>
      </c>
    </row>
    <row r="1355" spans="1:15">
      <c r="A1355" s="25">
        <v>23197</v>
      </c>
      <c r="B1355" s="34" t="s">
        <v>2572</v>
      </c>
      <c r="C1355" s="31" t="s">
        <v>521</v>
      </c>
      <c r="D1355" s="31" t="s">
        <v>1582</v>
      </c>
      <c r="E1355" s="28">
        <v>43421</v>
      </c>
      <c r="F1355" s="28">
        <v>43451</v>
      </c>
      <c r="G1355" s="28">
        <v>43830</v>
      </c>
      <c r="H1355" s="29" t="s">
        <v>560</v>
      </c>
      <c r="I1355" s="29" t="s">
        <v>560</v>
      </c>
      <c r="J1355" s="29" t="s">
        <v>1508</v>
      </c>
      <c r="K1355" s="29" t="s">
        <v>1508</v>
      </c>
      <c r="L1355" s="29" t="s">
        <v>2514</v>
      </c>
      <c r="M1355" s="29" t="s">
        <v>2573</v>
      </c>
      <c r="N1355" s="29" t="s">
        <v>2041</v>
      </c>
      <c r="O1355" s="29" t="s">
        <v>594</v>
      </c>
    </row>
    <row r="1356" spans="1:15">
      <c r="A1356" s="25">
        <v>23284</v>
      </c>
      <c r="B1356" s="34" t="s">
        <v>2574</v>
      </c>
      <c r="C1356" s="31" t="s">
        <v>521</v>
      </c>
      <c r="D1356" s="31" t="s">
        <v>1582</v>
      </c>
      <c r="E1356" s="28">
        <v>43421</v>
      </c>
      <c r="F1356" s="28">
        <v>43451</v>
      </c>
      <c r="G1356" s="28">
        <v>43830</v>
      </c>
      <c r="H1356" s="29" t="s">
        <v>560</v>
      </c>
      <c r="I1356" s="29" t="s">
        <v>560</v>
      </c>
      <c r="J1356" s="29" t="s">
        <v>1508</v>
      </c>
      <c r="K1356" s="29" t="s">
        <v>1508</v>
      </c>
      <c r="L1356" s="29" t="s">
        <v>2514</v>
      </c>
      <c r="M1356" s="29" t="s">
        <v>2050</v>
      </c>
      <c r="N1356" s="29" t="s">
        <v>1434</v>
      </c>
      <c r="O1356" s="29" t="s">
        <v>594</v>
      </c>
    </row>
    <row r="1357" spans="1:15">
      <c r="A1357" s="25">
        <v>23365</v>
      </c>
      <c r="B1357" s="34" t="s">
        <v>2575</v>
      </c>
      <c r="C1357" s="31" t="s">
        <v>521</v>
      </c>
      <c r="D1357" s="31" t="s">
        <v>1527</v>
      </c>
      <c r="E1357" s="28">
        <v>43427</v>
      </c>
      <c r="F1357" s="28">
        <v>43457</v>
      </c>
      <c r="G1357" s="28">
        <v>43830</v>
      </c>
      <c r="H1357" s="29" t="s">
        <v>560</v>
      </c>
      <c r="I1357" s="29" t="s">
        <v>560</v>
      </c>
      <c r="J1357" s="29" t="s">
        <v>1508</v>
      </c>
      <c r="K1357" s="29" t="s">
        <v>1508</v>
      </c>
      <c r="L1357" s="29" t="s">
        <v>2514</v>
      </c>
      <c r="M1357" s="29" t="s">
        <v>2189</v>
      </c>
      <c r="N1357" s="29" t="s">
        <v>1586</v>
      </c>
      <c r="O1357" s="29" t="s">
        <v>594</v>
      </c>
    </row>
    <row r="1358" spans="1:15">
      <c r="A1358" s="25">
        <v>23484</v>
      </c>
      <c r="B1358" s="34" t="s">
        <v>2576</v>
      </c>
      <c r="C1358" s="31" t="s">
        <v>521</v>
      </c>
      <c r="D1358" s="31" t="s">
        <v>882</v>
      </c>
      <c r="E1358" s="28">
        <v>43434</v>
      </c>
      <c r="F1358" s="28">
        <v>43464</v>
      </c>
      <c r="G1358" s="28">
        <v>43830</v>
      </c>
      <c r="H1358" s="29" t="s">
        <v>560</v>
      </c>
      <c r="I1358" s="29" t="s">
        <v>560</v>
      </c>
      <c r="J1358" s="29" t="s">
        <v>1508</v>
      </c>
      <c r="K1358" s="29" t="s">
        <v>1508</v>
      </c>
      <c r="L1358" s="29" t="s">
        <v>2514</v>
      </c>
      <c r="M1358" s="29" t="s">
        <v>2577</v>
      </c>
      <c r="N1358" s="29" t="s">
        <v>1586</v>
      </c>
      <c r="O1358" s="29" t="s">
        <v>594</v>
      </c>
    </row>
    <row r="1359" spans="1:15">
      <c r="A1359" s="25">
        <v>23508</v>
      </c>
      <c r="B1359" s="34" t="s">
        <v>2578</v>
      </c>
      <c r="C1359" s="31" t="s">
        <v>521</v>
      </c>
      <c r="D1359" s="31" t="s">
        <v>1588</v>
      </c>
      <c r="E1359" s="28">
        <v>43441</v>
      </c>
      <c r="F1359" s="28">
        <v>43472</v>
      </c>
      <c r="G1359" s="28">
        <v>43830</v>
      </c>
      <c r="H1359" s="29" t="s">
        <v>560</v>
      </c>
      <c r="I1359" s="29" t="s">
        <v>560</v>
      </c>
      <c r="J1359" s="29" t="s">
        <v>1508</v>
      </c>
      <c r="K1359" s="29" t="s">
        <v>1508</v>
      </c>
      <c r="L1359" s="29" t="s">
        <v>2514</v>
      </c>
      <c r="M1359" s="29" t="s">
        <v>2579</v>
      </c>
      <c r="N1359" s="29" t="s">
        <v>1586</v>
      </c>
      <c r="O1359" s="29" t="s">
        <v>594</v>
      </c>
    </row>
    <row r="1360" spans="1:15">
      <c r="A1360" s="25">
        <v>23509</v>
      </c>
      <c r="B1360" s="34" t="s">
        <v>2580</v>
      </c>
      <c r="C1360" s="31" t="s">
        <v>521</v>
      </c>
      <c r="D1360" s="31" t="s">
        <v>1588</v>
      </c>
      <c r="E1360" s="28">
        <v>43441</v>
      </c>
      <c r="F1360" s="28">
        <v>43472</v>
      </c>
      <c r="G1360" s="28">
        <v>43830</v>
      </c>
      <c r="H1360" s="29" t="s">
        <v>560</v>
      </c>
      <c r="I1360" s="29" t="s">
        <v>560</v>
      </c>
      <c r="J1360" s="29" t="s">
        <v>1508</v>
      </c>
      <c r="K1360" s="29" t="s">
        <v>1508</v>
      </c>
      <c r="L1360" s="29" t="s">
        <v>2514</v>
      </c>
      <c r="M1360" s="29" t="s">
        <v>2581</v>
      </c>
      <c r="N1360" s="29" t="s">
        <v>1586</v>
      </c>
      <c r="O1360" s="29" t="s">
        <v>594</v>
      </c>
    </row>
    <row r="1361" spans="1:15">
      <c r="A1361" s="25" t="s">
        <v>2582</v>
      </c>
      <c r="B1361" s="26" t="s">
        <v>2583</v>
      </c>
      <c r="C1361" s="27" t="s">
        <v>521</v>
      </c>
      <c r="D1361" s="27" t="s">
        <v>2584</v>
      </c>
      <c r="E1361" s="28">
        <v>42634</v>
      </c>
      <c r="F1361" s="28">
        <v>43132</v>
      </c>
      <c r="G1361" s="28">
        <v>43496</v>
      </c>
      <c r="H1361" s="31" t="s">
        <v>560</v>
      </c>
      <c r="I1361" s="31" t="s">
        <v>560</v>
      </c>
      <c r="J1361" s="29" t="s">
        <v>1508</v>
      </c>
      <c r="K1361" s="29" t="s">
        <v>1508</v>
      </c>
      <c r="L1361" s="29" t="s">
        <v>2514</v>
      </c>
      <c r="M1361" s="29" t="s">
        <v>2077</v>
      </c>
      <c r="N1361" s="29" t="s">
        <v>2077</v>
      </c>
      <c r="O1361" s="29" t="s">
        <v>594</v>
      </c>
    </row>
    <row r="1362" spans="1:15">
      <c r="A1362" s="25" t="s">
        <v>2585</v>
      </c>
      <c r="B1362" s="26" t="s">
        <v>2586</v>
      </c>
      <c r="C1362" s="27" t="s">
        <v>521</v>
      </c>
      <c r="D1362" s="27" t="s">
        <v>2587</v>
      </c>
      <c r="E1362" s="28">
        <v>40945</v>
      </c>
      <c r="F1362" s="28" t="s">
        <v>35</v>
      </c>
      <c r="G1362" s="28" t="s">
        <v>35</v>
      </c>
      <c r="H1362" s="29" t="s">
        <v>560</v>
      </c>
      <c r="I1362" s="29" t="s">
        <v>560</v>
      </c>
      <c r="J1362" s="29" t="s">
        <v>1508</v>
      </c>
      <c r="K1362" s="29" t="s">
        <v>1508</v>
      </c>
      <c r="L1362" s="29" t="s">
        <v>2514</v>
      </c>
      <c r="M1362" s="29" t="s">
        <v>1550</v>
      </c>
      <c r="N1362" s="29" t="s">
        <v>1045</v>
      </c>
      <c r="O1362" s="29" t="s">
        <v>528</v>
      </c>
    </row>
    <row r="1363" spans="1:15">
      <c r="A1363" s="25">
        <v>818</v>
      </c>
      <c r="B1363" s="26" t="s">
        <v>2588</v>
      </c>
      <c r="C1363" s="27" t="s">
        <v>521</v>
      </c>
      <c r="D1363" s="27" t="s">
        <v>734</v>
      </c>
      <c r="E1363" s="28">
        <v>37837</v>
      </c>
      <c r="F1363" s="28" t="s">
        <v>35</v>
      </c>
      <c r="G1363" s="28" t="s">
        <v>35</v>
      </c>
      <c r="H1363" s="27" t="s">
        <v>560</v>
      </c>
      <c r="I1363" s="27" t="s">
        <v>560</v>
      </c>
      <c r="J1363" s="29" t="s">
        <v>1508</v>
      </c>
      <c r="K1363" s="29" t="s">
        <v>1508</v>
      </c>
      <c r="L1363" s="29" t="s">
        <v>2514</v>
      </c>
      <c r="M1363" s="29" t="s">
        <v>2040</v>
      </c>
      <c r="N1363" s="29" t="s">
        <v>2041</v>
      </c>
      <c r="O1363" s="29" t="s">
        <v>590</v>
      </c>
    </row>
    <row r="1364" spans="1:15">
      <c r="A1364" s="25">
        <v>1313</v>
      </c>
      <c r="B1364" s="26" t="s">
        <v>2589</v>
      </c>
      <c r="C1364" s="27" t="s">
        <v>521</v>
      </c>
      <c r="D1364" s="27" t="s">
        <v>831</v>
      </c>
      <c r="E1364" s="28">
        <v>37928</v>
      </c>
      <c r="F1364" s="28" t="s">
        <v>35</v>
      </c>
      <c r="G1364" s="28" t="s">
        <v>35</v>
      </c>
      <c r="H1364" s="27" t="s">
        <v>560</v>
      </c>
      <c r="I1364" s="27" t="s">
        <v>560</v>
      </c>
      <c r="J1364" s="29" t="s">
        <v>1508</v>
      </c>
      <c r="K1364" s="29" t="s">
        <v>1508</v>
      </c>
      <c r="L1364" s="29" t="s">
        <v>2514</v>
      </c>
      <c r="M1364" s="29" t="s">
        <v>2043</v>
      </c>
      <c r="N1364" s="29" t="s">
        <v>2041</v>
      </c>
      <c r="O1364" s="29" t="s">
        <v>590</v>
      </c>
    </row>
    <row r="1365" spans="1:15">
      <c r="A1365" s="25">
        <v>5433</v>
      </c>
      <c r="B1365" s="26" t="s">
        <v>192</v>
      </c>
      <c r="C1365" s="27" t="s">
        <v>521</v>
      </c>
      <c r="D1365" s="27" t="s">
        <v>760</v>
      </c>
      <c r="E1365" s="28">
        <v>38991</v>
      </c>
      <c r="F1365" s="28" t="s">
        <v>35</v>
      </c>
      <c r="G1365" s="28" t="s">
        <v>35</v>
      </c>
      <c r="H1365" s="29" t="s">
        <v>560</v>
      </c>
      <c r="I1365" s="29" t="s">
        <v>560</v>
      </c>
      <c r="J1365" s="29" t="s">
        <v>1508</v>
      </c>
      <c r="K1365" s="29" t="s">
        <v>1508</v>
      </c>
      <c r="L1365" s="29" t="s">
        <v>2514</v>
      </c>
      <c r="M1365" s="29" t="s">
        <v>2522</v>
      </c>
      <c r="N1365" s="29" t="s">
        <v>2090</v>
      </c>
      <c r="O1365" s="29" t="s">
        <v>590</v>
      </c>
    </row>
    <row r="1366" spans="1:15">
      <c r="A1366" s="25">
        <v>6036</v>
      </c>
      <c r="B1366" s="26" t="s">
        <v>2590</v>
      </c>
      <c r="C1366" s="27" t="s">
        <v>521</v>
      </c>
      <c r="D1366" s="27" t="s">
        <v>591</v>
      </c>
      <c r="E1366" s="28">
        <v>39142</v>
      </c>
      <c r="F1366" s="28" t="s">
        <v>35</v>
      </c>
      <c r="G1366" s="28" t="s">
        <v>35</v>
      </c>
      <c r="H1366" s="27" t="s">
        <v>560</v>
      </c>
      <c r="I1366" s="27" t="s">
        <v>560</v>
      </c>
      <c r="J1366" s="29" t="s">
        <v>1508</v>
      </c>
      <c r="K1366" s="29" t="s">
        <v>1508</v>
      </c>
      <c r="L1366" s="29" t="s">
        <v>2514</v>
      </c>
      <c r="M1366" s="29" t="s">
        <v>2052</v>
      </c>
      <c r="N1366" s="29" t="s">
        <v>2041</v>
      </c>
      <c r="O1366" s="29" t="s">
        <v>590</v>
      </c>
    </row>
    <row r="1367" spans="1:15">
      <c r="A1367" s="25">
        <v>6191</v>
      </c>
      <c r="B1367" s="26" t="s">
        <v>2591</v>
      </c>
      <c r="C1367" s="27" t="s">
        <v>521</v>
      </c>
      <c r="D1367" s="27" t="s">
        <v>1065</v>
      </c>
      <c r="E1367" s="28">
        <v>39173</v>
      </c>
      <c r="F1367" s="28" t="s">
        <v>35</v>
      </c>
      <c r="G1367" s="28" t="s">
        <v>35</v>
      </c>
      <c r="H1367" s="27" t="s">
        <v>560</v>
      </c>
      <c r="I1367" s="27" t="s">
        <v>560</v>
      </c>
      <c r="J1367" s="29" t="s">
        <v>1508</v>
      </c>
      <c r="K1367" s="29" t="s">
        <v>1508</v>
      </c>
      <c r="L1367" s="29" t="s">
        <v>2514</v>
      </c>
      <c r="M1367" s="29" t="s">
        <v>2057</v>
      </c>
      <c r="N1367" s="29" t="s">
        <v>2041</v>
      </c>
      <c r="O1367" s="29" t="s">
        <v>590</v>
      </c>
    </row>
    <row r="1368" spans="1:15">
      <c r="A1368" s="25">
        <v>9478</v>
      </c>
      <c r="B1368" s="26" t="s">
        <v>102</v>
      </c>
      <c r="C1368" s="27" t="s">
        <v>521</v>
      </c>
      <c r="D1368" s="27" t="s">
        <v>658</v>
      </c>
      <c r="E1368" s="28">
        <v>40148</v>
      </c>
      <c r="F1368" s="28" t="s">
        <v>35</v>
      </c>
      <c r="G1368" s="28" t="s">
        <v>35</v>
      </c>
      <c r="H1368" s="29" t="s">
        <v>560</v>
      </c>
      <c r="I1368" s="29" t="s">
        <v>560</v>
      </c>
      <c r="J1368" s="29" t="s">
        <v>1508</v>
      </c>
      <c r="K1368" s="29" t="s">
        <v>1508</v>
      </c>
      <c r="L1368" s="29" t="s">
        <v>2514</v>
      </c>
      <c r="M1368" s="29" t="s">
        <v>2030</v>
      </c>
      <c r="N1368" s="29" t="s">
        <v>2031</v>
      </c>
      <c r="O1368" s="29" t="s">
        <v>590</v>
      </c>
    </row>
    <row r="1369" spans="1:15">
      <c r="A1369" s="25">
        <v>9853</v>
      </c>
      <c r="B1369" s="26" t="s">
        <v>2592</v>
      </c>
      <c r="C1369" s="27" t="s">
        <v>521</v>
      </c>
      <c r="D1369" s="27" t="s">
        <v>802</v>
      </c>
      <c r="E1369" s="28">
        <v>40411</v>
      </c>
      <c r="F1369" s="28" t="s">
        <v>35</v>
      </c>
      <c r="G1369" s="28" t="s">
        <v>35</v>
      </c>
      <c r="H1369" s="29" t="s">
        <v>560</v>
      </c>
      <c r="I1369" s="29" t="s">
        <v>560</v>
      </c>
      <c r="J1369" s="29" t="s">
        <v>1508</v>
      </c>
      <c r="K1369" s="29" t="s">
        <v>1508</v>
      </c>
      <c r="L1369" s="29" t="s">
        <v>2514</v>
      </c>
      <c r="M1369" s="29" t="s">
        <v>2593</v>
      </c>
      <c r="N1369" s="29" t="s">
        <v>1434</v>
      </c>
      <c r="O1369" s="29" t="s">
        <v>590</v>
      </c>
    </row>
    <row r="1370" spans="1:15">
      <c r="A1370" s="25">
        <v>10289</v>
      </c>
      <c r="B1370" s="26" t="s">
        <v>1713</v>
      </c>
      <c r="C1370" s="27" t="s">
        <v>521</v>
      </c>
      <c r="D1370" s="27" t="s">
        <v>2527</v>
      </c>
      <c r="E1370" s="28">
        <v>40504</v>
      </c>
      <c r="F1370" s="28" t="s">
        <v>35</v>
      </c>
      <c r="G1370" s="28" t="s">
        <v>35</v>
      </c>
      <c r="H1370" s="27" t="s">
        <v>560</v>
      </c>
      <c r="I1370" s="27" t="s">
        <v>560</v>
      </c>
      <c r="J1370" s="29" t="s">
        <v>1508</v>
      </c>
      <c r="K1370" s="29" t="s">
        <v>1508</v>
      </c>
      <c r="L1370" s="29" t="s">
        <v>2514</v>
      </c>
      <c r="M1370" s="29" t="s">
        <v>2025</v>
      </c>
      <c r="N1370" s="29" t="s">
        <v>2026</v>
      </c>
      <c r="O1370" s="29" t="s">
        <v>590</v>
      </c>
    </row>
    <row r="1371" spans="1:15">
      <c r="A1371" s="25">
        <v>10405</v>
      </c>
      <c r="B1371" s="26" t="s">
        <v>2594</v>
      </c>
      <c r="C1371" s="27" t="s">
        <v>521</v>
      </c>
      <c r="D1371" s="27" t="s">
        <v>752</v>
      </c>
      <c r="E1371" s="28">
        <v>40518</v>
      </c>
      <c r="F1371" s="28" t="s">
        <v>35</v>
      </c>
      <c r="G1371" s="28" t="s">
        <v>35</v>
      </c>
      <c r="H1371" s="27" t="s">
        <v>560</v>
      </c>
      <c r="I1371" s="27" t="s">
        <v>560</v>
      </c>
      <c r="J1371" s="29" t="s">
        <v>1508</v>
      </c>
      <c r="K1371" s="29" t="s">
        <v>1508</v>
      </c>
      <c r="L1371" s="29" t="s">
        <v>2514</v>
      </c>
      <c r="M1371" s="29" t="s">
        <v>2593</v>
      </c>
      <c r="N1371" s="29" t="s">
        <v>1434</v>
      </c>
      <c r="O1371" s="29" t="s">
        <v>590</v>
      </c>
    </row>
    <row r="1372" spans="1:15">
      <c r="A1372" s="25">
        <v>10452</v>
      </c>
      <c r="B1372" s="26" t="s">
        <v>2595</v>
      </c>
      <c r="C1372" s="27" t="s">
        <v>521</v>
      </c>
      <c r="D1372" s="27" t="s">
        <v>864</v>
      </c>
      <c r="E1372" s="28">
        <v>40524</v>
      </c>
      <c r="F1372" s="28" t="s">
        <v>35</v>
      </c>
      <c r="G1372" s="28" t="s">
        <v>35</v>
      </c>
      <c r="H1372" s="27" t="s">
        <v>560</v>
      </c>
      <c r="I1372" s="27" t="s">
        <v>560</v>
      </c>
      <c r="J1372" s="29" t="s">
        <v>1508</v>
      </c>
      <c r="K1372" s="29" t="s">
        <v>1508</v>
      </c>
      <c r="L1372" s="29" t="s">
        <v>2514</v>
      </c>
      <c r="M1372" s="29" t="s">
        <v>2065</v>
      </c>
      <c r="N1372" s="29" t="s">
        <v>2041</v>
      </c>
      <c r="O1372" s="29" t="s">
        <v>590</v>
      </c>
    </row>
    <row r="1373" spans="1:15">
      <c r="A1373" s="25">
        <v>10583</v>
      </c>
      <c r="B1373" s="26" t="s">
        <v>2596</v>
      </c>
      <c r="C1373" s="27" t="s">
        <v>521</v>
      </c>
      <c r="D1373" s="27" t="s">
        <v>602</v>
      </c>
      <c r="E1373" s="28">
        <v>40544</v>
      </c>
      <c r="F1373" s="28" t="s">
        <v>35</v>
      </c>
      <c r="G1373" s="28" t="s">
        <v>35</v>
      </c>
      <c r="H1373" s="27" t="s">
        <v>560</v>
      </c>
      <c r="I1373" s="31" t="s">
        <v>560</v>
      </c>
      <c r="J1373" s="29" t="s">
        <v>1508</v>
      </c>
      <c r="K1373" s="29" t="s">
        <v>1508</v>
      </c>
      <c r="L1373" s="29" t="s">
        <v>2514</v>
      </c>
      <c r="M1373" s="29" t="s">
        <v>1550</v>
      </c>
      <c r="N1373" s="29" t="s">
        <v>1045</v>
      </c>
      <c r="O1373" s="29" t="s">
        <v>590</v>
      </c>
    </row>
    <row r="1374" spans="1:15">
      <c r="A1374" s="25">
        <v>10868</v>
      </c>
      <c r="B1374" s="26" t="s">
        <v>429</v>
      </c>
      <c r="C1374" s="27" t="s">
        <v>521</v>
      </c>
      <c r="D1374" s="27" t="s">
        <v>795</v>
      </c>
      <c r="E1374" s="28">
        <v>40572</v>
      </c>
      <c r="F1374" s="28" t="s">
        <v>35</v>
      </c>
      <c r="G1374" s="28" t="s">
        <v>35</v>
      </c>
      <c r="H1374" s="29" t="s">
        <v>560</v>
      </c>
      <c r="I1374" s="29" t="s">
        <v>560</v>
      </c>
      <c r="J1374" s="29" t="s">
        <v>1508</v>
      </c>
      <c r="K1374" s="29" t="s">
        <v>1508</v>
      </c>
      <c r="L1374" s="29" t="s">
        <v>2514</v>
      </c>
      <c r="M1374" s="29" t="s">
        <v>2293</v>
      </c>
      <c r="N1374" s="29" t="s">
        <v>1434</v>
      </c>
      <c r="O1374" s="29" t="s">
        <v>590</v>
      </c>
    </row>
    <row r="1375" spans="1:15">
      <c r="A1375" s="25">
        <v>11632</v>
      </c>
      <c r="B1375" s="26" t="s">
        <v>2597</v>
      </c>
      <c r="C1375" s="27" t="s">
        <v>521</v>
      </c>
      <c r="D1375" s="27" t="s">
        <v>841</v>
      </c>
      <c r="E1375" s="28">
        <v>40707</v>
      </c>
      <c r="F1375" s="28" t="s">
        <v>35</v>
      </c>
      <c r="G1375" s="28" t="s">
        <v>35</v>
      </c>
      <c r="H1375" s="27" t="s">
        <v>560</v>
      </c>
      <c r="I1375" s="31" t="s">
        <v>560</v>
      </c>
      <c r="J1375" s="29" t="s">
        <v>1508</v>
      </c>
      <c r="K1375" s="29" t="s">
        <v>1508</v>
      </c>
      <c r="L1375" s="29" t="s">
        <v>2514</v>
      </c>
      <c r="M1375" s="29" t="s">
        <v>2030</v>
      </c>
      <c r="N1375" s="29" t="s">
        <v>2031</v>
      </c>
      <c r="O1375" s="29" t="s">
        <v>590</v>
      </c>
    </row>
    <row r="1376" spans="1:15">
      <c r="A1376" s="25">
        <v>11759</v>
      </c>
      <c r="B1376" s="26" t="s">
        <v>2598</v>
      </c>
      <c r="C1376" s="27" t="s">
        <v>521</v>
      </c>
      <c r="D1376" s="27" t="s">
        <v>675</v>
      </c>
      <c r="E1376" s="28">
        <v>40714</v>
      </c>
      <c r="F1376" s="28" t="s">
        <v>35</v>
      </c>
      <c r="G1376" s="28" t="s">
        <v>35</v>
      </c>
      <c r="H1376" s="27" t="s">
        <v>560</v>
      </c>
      <c r="I1376" s="27" t="s">
        <v>560</v>
      </c>
      <c r="J1376" s="29" t="s">
        <v>1508</v>
      </c>
      <c r="K1376" s="29" t="s">
        <v>1508</v>
      </c>
      <c r="L1376" s="29" t="s">
        <v>2514</v>
      </c>
      <c r="M1376" s="29" t="s">
        <v>2308</v>
      </c>
      <c r="N1376" s="29" t="s">
        <v>2041</v>
      </c>
      <c r="O1376" s="29" t="s">
        <v>590</v>
      </c>
    </row>
    <row r="1377" spans="1:15">
      <c r="A1377" s="25">
        <v>12463</v>
      </c>
      <c r="B1377" s="34" t="s">
        <v>2599</v>
      </c>
      <c r="C1377" s="31" t="s">
        <v>521</v>
      </c>
      <c r="D1377" s="31" t="s">
        <v>722</v>
      </c>
      <c r="E1377" s="28">
        <v>40812</v>
      </c>
      <c r="F1377" s="28" t="s">
        <v>35</v>
      </c>
      <c r="G1377" s="28" t="s">
        <v>35</v>
      </c>
      <c r="H1377" s="29" t="s">
        <v>560</v>
      </c>
      <c r="I1377" s="29" t="s">
        <v>560</v>
      </c>
      <c r="J1377" s="29" t="s">
        <v>1508</v>
      </c>
      <c r="K1377" s="29" t="s">
        <v>1508</v>
      </c>
      <c r="L1377" s="29" t="s">
        <v>2514</v>
      </c>
      <c r="M1377" s="29" t="s">
        <v>2043</v>
      </c>
      <c r="N1377" s="29" t="s">
        <v>2041</v>
      </c>
      <c r="O1377" s="29" t="s">
        <v>590</v>
      </c>
    </row>
    <row r="1378" spans="1:15">
      <c r="A1378" s="25">
        <v>12556</v>
      </c>
      <c r="B1378" s="26" t="s">
        <v>2600</v>
      </c>
      <c r="C1378" s="27" t="s">
        <v>521</v>
      </c>
      <c r="D1378" s="27" t="s">
        <v>722</v>
      </c>
      <c r="E1378" s="28">
        <v>40812</v>
      </c>
      <c r="F1378" s="28" t="s">
        <v>35</v>
      </c>
      <c r="G1378" s="28" t="s">
        <v>35</v>
      </c>
      <c r="H1378" s="27" t="s">
        <v>560</v>
      </c>
      <c r="I1378" s="27" t="s">
        <v>560</v>
      </c>
      <c r="J1378" s="29" t="s">
        <v>1508</v>
      </c>
      <c r="K1378" s="29" t="s">
        <v>1508</v>
      </c>
      <c r="L1378" s="29" t="s">
        <v>2514</v>
      </c>
      <c r="M1378" s="29" t="s">
        <v>2025</v>
      </c>
      <c r="N1378" s="29" t="s">
        <v>2026</v>
      </c>
      <c r="O1378" s="29" t="s">
        <v>590</v>
      </c>
    </row>
    <row r="1379" spans="1:15">
      <c r="A1379" s="25">
        <v>12659</v>
      </c>
      <c r="B1379" s="26" t="s">
        <v>2601</v>
      </c>
      <c r="C1379" s="27" t="s">
        <v>521</v>
      </c>
      <c r="D1379" s="27" t="s">
        <v>1739</v>
      </c>
      <c r="E1379" s="28">
        <v>40819</v>
      </c>
      <c r="F1379" s="28" t="s">
        <v>35</v>
      </c>
      <c r="G1379" s="28" t="s">
        <v>35</v>
      </c>
      <c r="H1379" s="27" t="s">
        <v>560</v>
      </c>
      <c r="I1379" s="27" t="s">
        <v>560</v>
      </c>
      <c r="J1379" s="29" t="s">
        <v>1508</v>
      </c>
      <c r="K1379" s="29" t="s">
        <v>1508</v>
      </c>
      <c r="L1379" s="29" t="s">
        <v>2514</v>
      </c>
      <c r="M1379" s="29" t="s">
        <v>2092</v>
      </c>
      <c r="N1379" s="29" t="s">
        <v>2041</v>
      </c>
      <c r="O1379" s="29" t="s">
        <v>590</v>
      </c>
    </row>
    <row r="1380" spans="1:15">
      <c r="A1380" s="25">
        <v>12735</v>
      </c>
      <c r="B1380" s="26" t="s">
        <v>2602</v>
      </c>
      <c r="C1380" s="27" t="s">
        <v>521</v>
      </c>
      <c r="D1380" s="27" t="s">
        <v>1739</v>
      </c>
      <c r="E1380" s="28">
        <v>40819</v>
      </c>
      <c r="F1380" s="28" t="s">
        <v>35</v>
      </c>
      <c r="G1380" s="28" t="s">
        <v>35</v>
      </c>
      <c r="H1380" s="27" t="s">
        <v>560</v>
      </c>
      <c r="I1380" s="27" t="s">
        <v>560</v>
      </c>
      <c r="J1380" s="29" t="s">
        <v>1508</v>
      </c>
      <c r="K1380" s="29" t="s">
        <v>1508</v>
      </c>
      <c r="L1380" s="29" t="s">
        <v>2514</v>
      </c>
      <c r="M1380" s="29" t="s">
        <v>2061</v>
      </c>
      <c r="N1380" s="29" t="s">
        <v>2041</v>
      </c>
      <c r="O1380" s="29" t="s">
        <v>590</v>
      </c>
    </row>
    <row r="1381" spans="1:15">
      <c r="A1381" s="25">
        <v>20506</v>
      </c>
      <c r="B1381" s="26" t="s">
        <v>2603</v>
      </c>
      <c r="C1381" s="27" t="s">
        <v>521</v>
      </c>
      <c r="D1381" s="27" t="s">
        <v>1644</v>
      </c>
      <c r="E1381" s="28">
        <v>42634</v>
      </c>
      <c r="F1381" s="28">
        <v>43132</v>
      </c>
      <c r="G1381" s="28">
        <v>43496</v>
      </c>
      <c r="H1381" s="25" t="s">
        <v>560</v>
      </c>
      <c r="I1381" s="27" t="s">
        <v>560</v>
      </c>
      <c r="J1381" s="29" t="s">
        <v>1508</v>
      </c>
      <c r="K1381" s="29" t="s">
        <v>1508</v>
      </c>
      <c r="L1381" s="29" t="s">
        <v>2514</v>
      </c>
      <c r="M1381" s="29" t="s">
        <v>1593</v>
      </c>
      <c r="N1381" s="29" t="s">
        <v>1586</v>
      </c>
      <c r="O1381" s="29" t="s">
        <v>590</v>
      </c>
    </row>
    <row r="1382" spans="1:15">
      <c r="A1382" s="25">
        <v>20618</v>
      </c>
      <c r="B1382" s="26" t="s">
        <v>2604</v>
      </c>
      <c r="C1382" s="27" t="s">
        <v>521</v>
      </c>
      <c r="D1382" s="27" t="s">
        <v>673</v>
      </c>
      <c r="E1382" s="28">
        <v>42639</v>
      </c>
      <c r="F1382" s="28">
        <v>43132</v>
      </c>
      <c r="G1382" s="28">
        <v>43496</v>
      </c>
      <c r="H1382" s="29" t="s">
        <v>560</v>
      </c>
      <c r="I1382" s="29" t="s">
        <v>560</v>
      </c>
      <c r="J1382" s="29" t="s">
        <v>1508</v>
      </c>
      <c r="K1382" s="29" t="s">
        <v>1508</v>
      </c>
      <c r="L1382" s="29" t="s">
        <v>2514</v>
      </c>
      <c r="M1382" s="29" t="s">
        <v>2222</v>
      </c>
      <c r="N1382" s="29" t="s">
        <v>2023</v>
      </c>
      <c r="O1382" s="29" t="s">
        <v>590</v>
      </c>
    </row>
    <row r="1383" spans="1:15">
      <c r="A1383" s="25">
        <v>20648</v>
      </c>
      <c r="B1383" s="26" t="s">
        <v>2605</v>
      </c>
      <c r="C1383" s="27" t="s">
        <v>521</v>
      </c>
      <c r="D1383" s="27" t="s">
        <v>673</v>
      </c>
      <c r="E1383" s="28">
        <v>42639</v>
      </c>
      <c r="F1383" s="28">
        <v>43132</v>
      </c>
      <c r="G1383" s="28">
        <v>43496</v>
      </c>
      <c r="H1383" s="25" t="s">
        <v>560</v>
      </c>
      <c r="I1383" s="25" t="s">
        <v>560</v>
      </c>
      <c r="J1383" s="29" t="s">
        <v>1508</v>
      </c>
      <c r="K1383" s="29" t="s">
        <v>1508</v>
      </c>
      <c r="L1383" s="29" t="s">
        <v>2514</v>
      </c>
      <c r="M1383" s="29" t="s">
        <v>2540</v>
      </c>
      <c r="N1383" s="29" t="s">
        <v>2041</v>
      </c>
      <c r="O1383" s="29" t="s">
        <v>590</v>
      </c>
    </row>
    <row r="1384" spans="1:15">
      <c r="A1384" s="25">
        <v>20678</v>
      </c>
      <c r="B1384" s="26" t="s">
        <v>2606</v>
      </c>
      <c r="C1384" s="27" t="s">
        <v>521</v>
      </c>
      <c r="D1384" s="27" t="s">
        <v>673</v>
      </c>
      <c r="E1384" s="28">
        <v>42639</v>
      </c>
      <c r="F1384" s="28">
        <v>43132</v>
      </c>
      <c r="G1384" s="28">
        <v>43496</v>
      </c>
      <c r="H1384" s="25" t="s">
        <v>560</v>
      </c>
      <c r="I1384" s="25" t="s">
        <v>560</v>
      </c>
      <c r="J1384" s="29" t="s">
        <v>1508</v>
      </c>
      <c r="K1384" s="29" t="s">
        <v>1508</v>
      </c>
      <c r="L1384" s="29" t="s">
        <v>2514</v>
      </c>
      <c r="M1384" s="29" t="s">
        <v>2546</v>
      </c>
      <c r="N1384" s="29" t="s">
        <v>1434</v>
      </c>
      <c r="O1384" s="29" t="s">
        <v>590</v>
      </c>
    </row>
    <row r="1385" spans="1:15">
      <c r="A1385" s="25">
        <v>20773</v>
      </c>
      <c r="B1385" s="26" t="s">
        <v>2607</v>
      </c>
      <c r="C1385" s="27" t="s">
        <v>521</v>
      </c>
      <c r="D1385" s="27" t="s">
        <v>815</v>
      </c>
      <c r="E1385" s="28">
        <v>42642</v>
      </c>
      <c r="F1385" s="28">
        <v>43132</v>
      </c>
      <c r="G1385" s="28">
        <v>43496</v>
      </c>
      <c r="H1385" s="27" t="s">
        <v>560</v>
      </c>
      <c r="I1385" s="27" t="s">
        <v>560</v>
      </c>
      <c r="J1385" s="29" t="s">
        <v>1508</v>
      </c>
      <c r="K1385" s="29" t="s">
        <v>1508</v>
      </c>
      <c r="L1385" s="29" t="s">
        <v>2514</v>
      </c>
      <c r="M1385" s="29" t="s">
        <v>2238</v>
      </c>
      <c r="N1385" s="29" t="s">
        <v>1434</v>
      </c>
      <c r="O1385" s="29" t="s">
        <v>590</v>
      </c>
    </row>
    <row r="1386" spans="1:15">
      <c r="A1386" s="25">
        <v>20824</v>
      </c>
      <c r="B1386" s="26" t="s">
        <v>2608</v>
      </c>
      <c r="C1386" s="27" t="s">
        <v>521</v>
      </c>
      <c r="D1386" s="27" t="s">
        <v>1684</v>
      </c>
      <c r="E1386" s="28">
        <v>42649</v>
      </c>
      <c r="F1386" s="28">
        <v>43132</v>
      </c>
      <c r="G1386" s="28">
        <v>43496</v>
      </c>
      <c r="H1386" s="25" t="s">
        <v>560</v>
      </c>
      <c r="I1386" s="27" t="s">
        <v>560</v>
      </c>
      <c r="J1386" s="29" t="s">
        <v>1508</v>
      </c>
      <c r="K1386" s="29" t="s">
        <v>1508</v>
      </c>
      <c r="L1386" s="29" t="s">
        <v>2514</v>
      </c>
      <c r="M1386" s="29" t="s">
        <v>2092</v>
      </c>
      <c r="N1386" s="29" t="s">
        <v>2041</v>
      </c>
      <c r="O1386" s="29" t="s">
        <v>590</v>
      </c>
    </row>
    <row r="1387" spans="1:15">
      <c r="A1387" s="25">
        <v>20873</v>
      </c>
      <c r="B1387" s="26" t="s">
        <v>2609</v>
      </c>
      <c r="C1387" s="27" t="s">
        <v>521</v>
      </c>
      <c r="D1387" s="27" t="s">
        <v>807</v>
      </c>
      <c r="E1387" s="28">
        <v>42660</v>
      </c>
      <c r="F1387" s="28">
        <v>43160</v>
      </c>
      <c r="G1387" s="28">
        <v>43524</v>
      </c>
      <c r="H1387" s="27" t="s">
        <v>560</v>
      </c>
      <c r="I1387" s="27" t="s">
        <v>560</v>
      </c>
      <c r="J1387" s="29" t="s">
        <v>1508</v>
      </c>
      <c r="K1387" s="29" t="s">
        <v>1508</v>
      </c>
      <c r="L1387" s="29" t="s">
        <v>2514</v>
      </c>
      <c r="M1387" s="29" t="s">
        <v>2571</v>
      </c>
      <c r="N1387" s="29" t="s">
        <v>2041</v>
      </c>
      <c r="O1387" s="29" t="s">
        <v>590</v>
      </c>
    </row>
    <row r="1388" spans="1:15">
      <c r="A1388" s="25">
        <v>20974</v>
      </c>
      <c r="B1388" s="34" t="s">
        <v>2610</v>
      </c>
      <c r="C1388" s="31" t="s">
        <v>521</v>
      </c>
      <c r="D1388" s="27" t="s">
        <v>1184</v>
      </c>
      <c r="E1388" s="28">
        <v>42674</v>
      </c>
      <c r="F1388" s="28">
        <v>43160</v>
      </c>
      <c r="G1388" s="28">
        <v>43524</v>
      </c>
      <c r="H1388" s="31" t="s">
        <v>560</v>
      </c>
      <c r="I1388" s="31" t="s">
        <v>560</v>
      </c>
      <c r="J1388" s="29" t="s">
        <v>1508</v>
      </c>
      <c r="K1388" s="29" t="s">
        <v>1508</v>
      </c>
      <c r="L1388" s="29" t="s">
        <v>2514</v>
      </c>
      <c r="M1388" s="29" t="s">
        <v>2215</v>
      </c>
      <c r="N1388" s="29" t="s">
        <v>1434</v>
      </c>
      <c r="O1388" s="29" t="s">
        <v>590</v>
      </c>
    </row>
    <row r="1389" spans="1:15">
      <c r="A1389" s="25">
        <v>21311</v>
      </c>
      <c r="B1389" s="34" t="s">
        <v>2611</v>
      </c>
      <c r="C1389" s="31" t="s">
        <v>521</v>
      </c>
      <c r="D1389" s="31" t="s">
        <v>1595</v>
      </c>
      <c r="E1389" s="28">
        <v>43010</v>
      </c>
      <c r="F1389" s="28">
        <v>43405</v>
      </c>
      <c r="G1389" s="28">
        <v>43769</v>
      </c>
      <c r="H1389" s="29" t="s">
        <v>560</v>
      </c>
      <c r="I1389" s="29" t="s">
        <v>560</v>
      </c>
      <c r="J1389" s="29" t="s">
        <v>1508</v>
      </c>
      <c r="K1389" s="29" t="s">
        <v>1508</v>
      </c>
      <c r="L1389" s="29" t="s">
        <v>2514</v>
      </c>
      <c r="M1389" s="29" t="s">
        <v>2546</v>
      </c>
      <c r="N1389" s="29" t="s">
        <v>1434</v>
      </c>
      <c r="O1389" s="29" t="s">
        <v>590</v>
      </c>
    </row>
    <row r="1390" spans="1:15">
      <c r="A1390" s="25">
        <v>21460</v>
      </c>
      <c r="B1390" s="34" t="s">
        <v>2612</v>
      </c>
      <c r="C1390" s="31" t="s">
        <v>521</v>
      </c>
      <c r="D1390" s="31" t="s">
        <v>2166</v>
      </c>
      <c r="E1390" s="28">
        <v>43024</v>
      </c>
      <c r="F1390" s="28">
        <v>43435</v>
      </c>
      <c r="G1390" s="28">
        <v>43799</v>
      </c>
      <c r="H1390" s="29" t="s">
        <v>560</v>
      </c>
      <c r="I1390" s="29" t="s">
        <v>560</v>
      </c>
      <c r="J1390" s="29" t="s">
        <v>1508</v>
      </c>
      <c r="K1390" s="29" t="s">
        <v>1508</v>
      </c>
      <c r="L1390" s="29" t="s">
        <v>2514</v>
      </c>
      <c r="M1390" s="29" t="s">
        <v>2222</v>
      </c>
      <c r="N1390" s="29" t="s">
        <v>2023</v>
      </c>
      <c r="O1390" s="29" t="s">
        <v>590</v>
      </c>
    </row>
    <row r="1391" spans="1:15">
      <c r="A1391" s="25">
        <v>21709</v>
      </c>
      <c r="B1391" s="34" t="s">
        <v>2613</v>
      </c>
      <c r="C1391" s="31" t="s">
        <v>521</v>
      </c>
      <c r="D1391" s="31" t="s">
        <v>663</v>
      </c>
      <c r="E1391" s="28">
        <v>43087</v>
      </c>
      <c r="F1391" s="28">
        <v>43118</v>
      </c>
      <c r="G1391" s="28">
        <v>43496</v>
      </c>
      <c r="H1391" s="29" t="s">
        <v>560</v>
      </c>
      <c r="I1391" s="29" t="s">
        <v>560</v>
      </c>
      <c r="J1391" s="29" t="s">
        <v>1508</v>
      </c>
      <c r="K1391" s="29" t="s">
        <v>1508</v>
      </c>
      <c r="L1391" s="29" t="s">
        <v>2514</v>
      </c>
      <c r="M1391" s="29" t="s">
        <v>2061</v>
      </c>
      <c r="N1391" s="29" t="s">
        <v>2041</v>
      </c>
      <c r="O1391" s="29" t="s">
        <v>590</v>
      </c>
    </row>
    <row r="1392" spans="1:15">
      <c r="A1392" s="25">
        <v>21713</v>
      </c>
      <c r="B1392" s="34" t="s">
        <v>2614</v>
      </c>
      <c r="C1392" s="31" t="s">
        <v>521</v>
      </c>
      <c r="D1392" s="31" t="s">
        <v>663</v>
      </c>
      <c r="E1392" s="28">
        <v>43087</v>
      </c>
      <c r="F1392" s="28">
        <v>43118</v>
      </c>
      <c r="G1392" s="28">
        <v>43496</v>
      </c>
      <c r="H1392" s="29" t="s">
        <v>560</v>
      </c>
      <c r="I1392" s="29" t="s">
        <v>560</v>
      </c>
      <c r="J1392" s="29" t="s">
        <v>1508</v>
      </c>
      <c r="K1392" s="29" t="s">
        <v>1508</v>
      </c>
      <c r="L1392" s="29" t="s">
        <v>2514</v>
      </c>
      <c r="M1392" s="29" t="s">
        <v>2085</v>
      </c>
      <c r="N1392" s="29" t="s">
        <v>1434</v>
      </c>
      <c r="O1392" s="29" t="s">
        <v>590</v>
      </c>
    </row>
    <row r="1393" spans="1:15">
      <c r="A1393" s="25">
        <v>21721</v>
      </c>
      <c r="B1393" s="34" t="s">
        <v>2615</v>
      </c>
      <c r="C1393" s="31" t="s">
        <v>521</v>
      </c>
      <c r="D1393" s="31" t="s">
        <v>663</v>
      </c>
      <c r="E1393" s="28">
        <v>43087</v>
      </c>
      <c r="F1393" s="28">
        <v>43118</v>
      </c>
      <c r="G1393" s="28">
        <v>43496</v>
      </c>
      <c r="H1393" s="29" t="s">
        <v>560</v>
      </c>
      <c r="I1393" s="29" t="s">
        <v>560</v>
      </c>
      <c r="J1393" s="29" t="s">
        <v>1508</v>
      </c>
      <c r="K1393" s="29" t="s">
        <v>1508</v>
      </c>
      <c r="L1393" s="29" t="s">
        <v>2514</v>
      </c>
      <c r="M1393" s="29" t="s">
        <v>2450</v>
      </c>
      <c r="N1393" s="29" t="s">
        <v>1434</v>
      </c>
      <c r="O1393" s="29" t="s">
        <v>590</v>
      </c>
    </row>
    <row r="1394" spans="1:15">
      <c r="A1394" s="25">
        <v>21799</v>
      </c>
      <c r="B1394" s="34" t="s">
        <v>2616</v>
      </c>
      <c r="C1394" s="31" t="s">
        <v>521</v>
      </c>
      <c r="D1394" s="31" t="s">
        <v>1609</v>
      </c>
      <c r="E1394" s="28">
        <v>43090</v>
      </c>
      <c r="F1394" s="28">
        <v>43121</v>
      </c>
      <c r="G1394" s="28">
        <v>43496</v>
      </c>
      <c r="H1394" s="29" t="s">
        <v>560</v>
      </c>
      <c r="I1394" s="29" t="s">
        <v>560</v>
      </c>
      <c r="J1394" s="29" t="s">
        <v>1508</v>
      </c>
      <c r="K1394" s="29" t="s">
        <v>1508</v>
      </c>
      <c r="L1394" s="29" t="s">
        <v>2514</v>
      </c>
      <c r="M1394" s="29" t="s">
        <v>2342</v>
      </c>
      <c r="N1394" s="29" t="s">
        <v>2041</v>
      </c>
      <c r="O1394" s="29" t="s">
        <v>590</v>
      </c>
    </row>
    <row r="1395" spans="1:15">
      <c r="A1395" s="25">
        <v>22095</v>
      </c>
      <c r="B1395" s="34" t="s">
        <v>2617</v>
      </c>
      <c r="C1395" s="31" t="s">
        <v>521</v>
      </c>
      <c r="D1395" s="31" t="s">
        <v>769</v>
      </c>
      <c r="E1395" s="28">
        <v>43150</v>
      </c>
      <c r="F1395" s="28">
        <v>43178</v>
      </c>
      <c r="G1395" s="28">
        <v>43555</v>
      </c>
      <c r="H1395" s="29" t="s">
        <v>560</v>
      </c>
      <c r="I1395" s="29" t="s">
        <v>560</v>
      </c>
      <c r="J1395" s="29" t="s">
        <v>1508</v>
      </c>
      <c r="K1395" s="29" t="s">
        <v>1508</v>
      </c>
      <c r="L1395" s="29" t="s">
        <v>2514</v>
      </c>
      <c r="M1395" s="29" t="s">
        <v>2546</v>
      </c>
      <c r="N1395" s="29" t="s">
        <v>1434</v>
      </c>
      <c r="O1395" s="29" t="s">
        <v>590</v>
      </c>
    </row>
    <row r="1396" spans="1:15">
      <c r="A1396" s="25">
        <v>22106</v>
      </c>
      <c r="B1396" s="34" t="s">
        <v>2618</v>
      </c>
      <c r="C1396" s="31" t="s">
        <v>521</v>
      </c>
      <c r="D1396" s="31" t="s">
        <v>769</v>
      </c>
      <c r="E1396" s="28">
        <v>43150</v>
      </c>
      <c r="F1396" s="28">
        <v>43178</v>
      </c>
      <c r="G1396" s="28">
        <v>43555</v>
      </c>
      <c r="H1396" s="29" t="s">
        <v>560</v>
      </c>
      <c r="I1396" s="29" t="s">
        <v>560</v>
      </c>
      <c r="J1396" s="29" t="s">
        <v>1508</v>
      </c>
      <c r="K1396" s="29" t="s">
        <v>1508</v>
      </c>
      <c r="L1396" s="29" t="s">
        <v>2514</v>
      </c>
      <c r="M1396" s="29" t="s">
        <v>2619</v>
      </c>
      <c r="N1396" s="29" t="s">
        <v>2041</v>
      </c>
      <c r="O1396" s="29" t="s">
        <v>590</v>
      </c>
    </row>
    <row r="1397" spans="1:15">
      <c r="A1397" s="25">
        <v>22268</v>
      </c>
      <c r="B1397" s="34" t="s">
        <v>2620</v>
      </c>
      <c r="C1397" s="31" t="s">
        <v>521</v>
      </c>
      <c r="D1397" s="31" t="s">
        <v>1071</v>
      </c>
      <c r="E1397" s="28">
        <v>43181</v>
      </c>
      <c r="F1397" s="28">
        <v>43212</v>
      </c>
      <c r="G1397" s="28">
        <v>43585</v>
      </c>
      <c r="H1397" s="29" t="s">
        <v>560</v>
      </c>
      <c r="I1397" s="29" t="s">
        <v>560</v>
      </c>
      <c r="J1397" s="29" t="s">
        <v>1508</v>
      </c>
      <c r="K1397" s="29" t="s">
        <v>1508</v>
      </c>
      <c r="L1397" s="29" t="s">
        <v>2514</v>
      </c>
      <c r="M1397" s="29" t="s">
        <v>2077</v>
      </c>
      <c r="N1397" s="29" t="s">
        <v>2077</v>
      </c>
      <c r="O1397" s="29" t="s">
        <v>590</v>
      </c>
    </row>
    <row r="1398" spans="1:15">
      <c r="A1398" s="25">
        <v>22350</v>
      </c>
      <c r="B1398" s="34" t="s">
        <v>2621</v>
      </c>
      <c r="C1398" s="31" t="s">
        <v>521</v>
      </c>
      <c r="D1398" s="31" t="s">
        <v>694</v>
      </c>
      <c r="E1398" s="28">
        <v>43195</v>
      </c>
      <c r="F1398" s="28">
        <v>43225</v>
      </c>
      <c r="G1398" s="28">
        <v>43585</v>
      </c>
      <c r="H1398" s="29" t="s">
        <v>560</v>
      </c>
      <c r="I1398" s="29" t="s">
        <v>560</v>
      </c>
      <c r="J1398" s="29" t="s">
        <v>1508</v>
      </c>
      <c r="K1398" s="29" t="s">
        <v>1508</v>
      </c>
      <c r="L1398" s="29" t="s">
        <v>2514</v>
      </c>
      <c r="M1398" s="29" t="s">
        <v>2522</v>
      </c>
      <c r="N1398" s="29" t="s">
        <v>2090</v>
      </c>
      <c r="O1398" s="29" t="s">
        <v>590</v>
      </c>
    </row>
    <row r="1399" spans="1:15">
      <c r="A1399" s="25">
        <v>22353</v>
      </c>
      <c r="B1399" s="34" t="s">
        <v>2622</v>
      </c>
      <c r="C1399" s="31" t="s">
        <v>521</v>
      </c>
      <c r="D1399" s="31" t="s">
        <v>694</v>
      </c>
      <c r="E1399" s="28">
        <v>43195</v>
      </c>
      <c r="F1399" s="28">
        <v>43225</v>
      </c>
      <c r="G1399" s="28">
        <v>43585</v>
      </c>
      <c r="H1399" s="29" t="s">
        <v>560</v>
      </c>
      <c r="I1399" s="29" t="s">
        <v>560</v>
      </c>
      <c r="J1399" s="29" t="s">
        <v>1508</v>
      </c>
      <c r="K1399" s="29" t="s">
        <v>1508</v>
      </c>
      <c r="L1399" s="29" t="s">
        <v>2514</v>
      </c>
      <c r="M1399" s="29" t="s">
        <v>2354</v>
      </c>
      <c r="N1399" s="29" t="s">
        <v>1434</v>
      </c>
      <c r="O1399" s="29" t="s">
        <v>590</v>
      </c>
    </row>
    <row r="1400" spans="1:15">
      <c r="A1400" s="25">
        <v>22416</v>
      </c>
      <c r="B1400" s="34" t="s">
        <v>2623</v>
      </c>
      <c r="C1400" s="31" t="s">
        <v>521</v>
      </c>
      <c r="D1400" s="31" t="s">
        <v>805</v>
      </c>
      <c r="E1400" s="28">
        <v>43213</v>
      </c>
      <c r="F1400" s="28">
        <v>43243</v>
      </c>
      <c r="G1400" s="28">
        <v>43616</v>
      </c>
      <c r="H1400" s="29" t="s">
        <v>560</v>
      </c>
      <c r="I1400" s="29" t="s">
        <v>560</v>
      </c>
      <c r="J1400" s="29" t="s">
        <v>1508</v>
      </c>
      <c r="K1400" s="29" t="s">
        <v>1508</v>
      </c>
      <c r="L1400" s="29" t="s">
        <v>2514</v>
      </c>
      <c r="M1400" s="29" t="s">
        <v>2048</v>
      </c>
      <c r="N1400" s="29" t="s">
        <v>1434</v>
      </c>
      <c r="O1400" s="29" t="s">
        <v>590</v>
      </c>
    </row>
    <row r="1401" spans="1:15">
      <c r="A1401" s="25">
        <v>22725</v>
      </c>
      <c r="B1401" s="34" t="s">
        <v>2624</v>
      </c>
      <c r="C1401" s="31" t="s">
        <v>521</v>
      </c>
      <c r="D1401" s="31" t="s">
        <v>771</v>
      </c>
      <c r="E1401" s="28">
        <v>43255</v>
      </c>
      <c r="F1401" s="28">
        <v>43285</v>
      </c>
      <c r="G1401" s="28">
        <v>43646</v>
      </c>
      <c r="H1401" s="29" t="s">
        <v>560</v>
      </c>
      <c r="I1401" s="29" t="s">
        <v>560</v>
      </c>
      <c r="J1401" s="29" t="s">
        <v>1508</v>
      </c>
      <c r="K1401" s="29" t="s">
        <v>1508</v>
      </c>
      <c r="L1401" s="29" t="s">
        <v>2514</v>
      </c>
      <c r="M1401" s="29" t="s">
        <v>2328</v>
      </c>
      <c r="N1401" s="29" t="s">
        <v>2080</v>
      </c>
      <c r="O1401" s="29" t="s">
        <v>590</v>
      </c>
    </row>
    <row r="1402" spans="1:15">
      <c r="A1402" s="25">
        <v>22778</v>
      </c>
      <c r="B1402" s="34" t="s">
        <v>2625</v>
      </c>
      <c r="C1402" s="31" t="s">
        <v>521</v>
      </c>
      <c r="D1402" s="31" t="s">
        <v>771</v>
      </c>
      <c r="E1402" s="28">
        <v>43255</v>
      </c>
      <c r="F1402" s="28">
        <v>43285</v>
      </c>
      <c r="G1402" s="28">
        <v>43646</v>
      </c>
      <c r="H1402" s="29" t="s">
        <v>560</v>
      </c>
      <c r="I1402" s="29" t="s">
        <v>560</v>
      </c>
      <c r="J1402" s="29" t="s">
        <v>1508</v>
      </c>
      <c r="K1402" s="29" t="s">
        <v>1508</v>
      </c>
      <c r="L1402" s="29" t="s">
        <v>2514</v>
      </c>
      <c r="M1402" s="29" t="s">
        <v>2268</v>
      </c>
      <c r="N1402" s="29" t="s">
        <v>1434</v>
      </c>
      <c r="O1402" s="29" t="s">
        <v>590</v>
      </c>
    </row>
    <row r="1403" spans="1:15">
      <c r="A1403" s="25">
        <v>22797</v>
      </c>
      <c r="B1403" s="34" t="s">
        <v>2626</v>
      </c>
      <c r="C1403" s="31" t="s">
        <v>521</v>
      </c>
      <c r="D1403" s="31" t="s">
        <v>1615</v>
      </c>
      <c r="E1403" s="28">
        <v>43283</v>
      </c>
      <c r="F1403" s="28">
        <v>43314</v>
      </c>
      <c r="G1403" s="28">
        <v>43677</v>
      </c>
      <c r="H1403" s="29" t="s">
        <v>560</v>
      </c>
      <c r="I1403" s="29" t="s">
        <v>560</v>
      </c>
      <c r="J1403" s="29" t="s">
        <v>1508</v>
      </c>
      <c r="K1403" s="29" t="s">
        <v>1508</v>
      </c>
      <c r="L1403" s="29" t="s">
        <v>2514</v>
      </c>
      <c r="M1403" s="29" t="s">
        <v>2627</v>
      </c>
      <c r="N1403" s="29" t="s">
        <v>2080</v>
      </c>
      <c r="O1403" s="29" t="s">
        <v>590</v>
      </c>
    </row>
    <row r="1404" spans="1:15">
      <c r="A1404" s="25">
        <v>22799</v>
      </c>
      <c r="B1404" s="34" t="s">
        <v>2628</v>
      </c>
      <c r="C1404" s="31" t="s">
        <v>521</v>
      </c>
      <c r="D1404" s="31" t="s">
        <v>1615</v>
      </c>
      <c r="E1404" s="28">
        <v>43283</v>
      </c>
      <c r="F1404" s="28">
        <v>43314</v>
      </c>
      <c r="G1404" s="28">
        <v>43677</v>
      </c>
      <c r="H1404" s="29" t="s">
        <v>560</v>
      </c>
      <c r="I1404" s="29" t="s">
        <v>560</v>
      </c>
      <c r="J1404" s="29" t="s">
        <v>1508</v>
      </c>
      <c r="K1404" s="29" t="s">
        <v>1508</v>
      </c>
      <c r="L1404" s="29" t="s">
        <v>2514</v>
      </c>
      <c r="M1404" s="29" t="s">
        <v>2238</v>
      </c>
      <c r="N1404" s="29" t="s">
        <v>1434</v>
      </c>
      <c r="O1404" s="29" t="s">
        <v>590</v>
      </c>
    </row>
    <row r="1405" spans="1:15">
      <c r="A1405" s="25">
        <v>23006</v>
      </c>
      <c r="B1405" s="34" t="s">
        <v>2629</v>
      </c>
      <c r="C1405" s="31" t="s">
        <v>521</v>
      </c>
      <c r="D1405" s="31" t="s">
        <v>1872</v>
      </c>
      <c r="E1405" s="28">
        <v>43361</v>
      </c>
      <c r="F1405" s="28">
        <v>43391</v>
      </c>
      <c r="G1405" s="28">
        <v>43769</v>
      </c>
      <c r="H1405" s="29" t="s">
        <v>560</v>
      </c>
      <c r="I1405" s="29" t="s">
        <v>560</v>
      </c>
      <c r="J1405" s="29" t="s">
        <v>1508</v>
      </c>
      <c r="K1405" s="29" t="s">
        <v>1508</v>
      </c>
      <c r="L1405" s="29" t="s">
        <v>2514</v>
      </c>
      <c r="M1405" s="29" t="s">
        <v>2619</v>
      </c>
      <c r="N1405" s="29" t="s">
        <v>1586</v>
      </c>
      <c r="O1405" s="29" t="s">
        <v>590</v>
      </c>
    </row>
    <row r="1406" spans="1:15">
      <c r="A1406" s="25">
        <v>23043</v>
      </c>
      <c r="B1406" s="34" t="s">
        <v>2630</v>
      </c>
      <c r="C1406" s="31" t="s">
        <v>521</v>
      </c>
      <c r="D1406" s="31" t="s">
        <v>1872</v>
      </c>
      <c r="E1406" s="28">
        <v>43361</v>
      </c>
      <c r="F1406" s="28">
        <v>43391</v>
      </c>
      <c r="G1406" s="28">
        <v>43769</v>
      </c>
      <c r="H1406" s="29" t="s">
        <v>560</v>
      </c>
      <c r="I1406" s="29" t="s">
        <v>560</v>
      </c>
      <c r="J1406" s="29" t="s">
        <v>1508</v>
      </c>
      <c r="K1406" s="29" t="s">
        <v>1508</v>
      </c>
      <c r="L1406" s="29" t="s">
        <v>2514</v>
      </c>
      <c r="M1406" s="29" t="s">
        <v>2293</v>
      </c>
      <c r="N1406" s="29" t="s">
        <v>1434</v>
      </c>
      <c r="O1406" s="29" t="s">
        <v>590</v>
      </c>
    </row>
    <row r="1407" spans="1:15">
      <c r="A1407" s="25">
        <v>23062</v>
      </c>
      <c r="B1407" s="34" t="s">
        <v>2631</v>
      </c>
      <c r="C1407" s="31" t="s">
        <v>521</v>
      </c>
      <c r="D1407" s="31" t="s">
        <v>1872</v>
      </c>
      <c r="E1407" s="28">
        <v>43361</v>
      </c>
      <c r="F1407" s="28">
        <v>43391</v>
      </c>
      <c r="G1407" s="28">
        <v>43769</v>
      </c>
      <c r="H1407" s="29" t="s">
        <v>560</v>
      </c>
      <c r="I1407" s="29" t="s">
        <v>560</v>
      </c>
      <c r="J1407" s="29" t="s">
        <v>1508</v>
      </c>
      <c r="K1407" s="29" t="s">
        <v>1508</v>
      </c>
      <c r="L1407" s="29" t="s">
        <v>2514</v>
      </c>
      <c r="M1407" s="29" t="s">
        <v>2238</v>
      </c>
      <c r="N1407" s="29" t="s">
        <v>1434</v>
      </c>
      <c r="O1407" s="29" t="s">
        <v>590</v>
      </c>
    </row>
    <row r="1408" spans="1:15">
      <c r="A1408" s="25">
        <v>23106</v>
      </c>
      <c r="B1408" s="34" t="s">
        <v>2632</v>
      </c>
      <c r="C1408" s="31" t="s">
        <v>521</v>
      </c>
      <c r="D1408" s="31" t="s">
        <v>1523</v>
      </c>
      <c r="E1408" s="28">
        <v>43369</v>
      </c>
      <c r="F1408" s="28">
        <v>43399</v>
      </c>
      <c r="G1408" s="28">
        <v>43769</v>
      </c>
      <c r="H1408" s="29" t="s">
        <v>560</v>
      </c>
      <c r="I1408" s="29" t="s">
        <v>560</v>
      </c>
      <c r="J1408" s="29" t="s">
        <v>1508</v>
      </c>
      <c r="K1408" s="29" t="s">
        <v>1508</v>
      </c>
      <c r="L1408" s="29" t="s">
        <v>2514</v>
      </c>
      <c r="M1408" s="29" t="s">
        <v>2052</v>
      </c>
      <c r="N1408" s="29" t="s">
        <v>2041</v>
      </c>
      <c r="O1408" s="29" t="s">
        <v>590</v>
      </c>
    </row>
    <row r="1409" spans="1:15">
      <c r="A1409" s="25">
        <v>23133</v>
      </c>
      <c r="B1409" s="34" t="s">
        <v>2633</v>
      </c>
      <c r="C1409" s="31" t="s">
        <v>521</v>
      </c>
      <c r="D1409" s="31" t="s">
        <v>1523</v>
      </c>
      <c r="E1409" s="28">
        <v>43369</v>
      </c>
      <c r="F1409" s="28">
        <v>43399</v>
      </c>
      <c r="G1409" s="28">
        <v>43769</v>
      </c>
      <c r="H1409" s="29" t="s">
        <v>560</v>
      </c>
      <c r="I1409" s="29" t="s">
        <v>560</v>
      </c>
      <c r="J1409" s="29" t="s">
        <v>1508</v>
      </c>
      <c r="K1409" s="29" t="s">
        <v>1508</v>
      </c>
      <c r="L1409" s="29" t="s">
        <v>2514</v>
      </c>
      <c r="M1409" s="29" t="s">
        <v>2222</v>
      </c>
      <c r="N1409" s="29" t="s">
        <v>2023</v>
      </c>
      <c r="O1409" s="29" t="s">
        <v>590</v>
      </c>
    </row>
    <row r="1410" spans="1:15">
      <c r="A1410" s="25">
        <v>23198</v>
      </c>
      <c r="B1410" s="34" t="s">
        <v>2634</v>
      </c>
      <c r="C1410" s="31" t="s">
        <v>521</v>
      </c>
      <c r="D1410" s="31" t="s">
        <v>1582</v>
      </c>
      <c r="E1410" s="28">
        <v>43421</v>
      </c>
      <c r="F1410" s="28">
        <v>43451</v>
      </c>
      <c r="G1410" s="28">
        <v>43830</v>
      </c>
      <c r="H1410" s="29" t="s">
        <v>560</v>
      </c>
      <c r="I1410" s="29" t="s">
        <v>560</v>
      </c>
      <c r="J1410" s="29" t="s">
        <v>1508</v>
      </c>
      <c r="K1410" s="29" t="s">
        <v>1508</v>
      </c>
      <c r="L1410" s="29" t="s">
        <v>2514</v>
      </c>
      <c r="M1410" s="29" t="s">
        <v>2280</v>
      </c>
      <c r="N1410" s="29" t="s">
        <v>1434</v>
      </c>
      <c r="O1410" s="29" t="s">
        <v>590</v>
      </c>
    </row>
    <row r="1411" spans="1:15">
      <c r="A1411" s="25">
        <v>23199</v>
      </c>
      <c r="B1411" s="34" t="s">
        <v>2635</v>
      </c>
      <c r="C1411" s="31" t="s">
        <v>521</v>
      </c>
      <c r="D1411" s="31" t="s">
        <v>1582</v>
      </c>
      <c r="E1411" s="28">
        <v>43421</v>
      </c>
      <c r="F1411" s="28">
        <v>43451</v>
      </c>
      <c r="G1411" s="28">
        <v>43830</v>
      </c>
      <c r="H1411" s="29" t="s">
        <v>560</v>
      </c>
      <c r="I1411" s="29" t="s">
        <v>560</v>
      </c>
      <c r="J1411" s="29" t="s">
        <v>1508</v>
      </c>
      <c r="K1411" s="29" t="s">
        <v>1508</v>
      </c>
      <c r="L1411" s="29" t="s">
        <v>2514</v>
      </c>
      <c r="M1411" s="29" t="s">
        <v>2057</v>
      </c>
      <c r="N1411" s="29" t="s">
        <v>2041</v>
      </c>
      <c r="O1411" s="29" t="s">
        <v>590</v>
      </c>
    </row>
    <row r="1412" spans="1:15">
      <c r="A1412" s="25">
        <v>23202</v>
      </c>
      <c r="B1412" s="34" t="s">
        <v>2636</v>
      </c>
      <c r="C1412" s="31" t="s">
        <v>521</v>
      </c>
      <c r="D1412" s="31" t="s">
        <v>1582</v>
      </c>
      <c r="E1412" s="28">
        <v>43421</v>
      </c>
      <c r="F1412" s="28">
        <v>43451</v>
      </c>
      <c r="G1412" s="28">
        <v>43830</v>
      </c>
      <c r="H1412" s="29" t="s">
        <v>560</v>
      </c>
      <c r="I1412" s="29" t="s">
        <v>560</v>
      </c>
      <c r="J1412" s="29" t="s">
        <v>1508</v>
      </c>
      <c r="K1412" s="29" t="s">
        <v>1508</v>
      </c>
      <c r="L1412" s="29" t="s">
        <v>2514</v>
      </c>
      <c r="M1412" s="29" t="s">
        <v>2579</v>
      </c>
      <c r="N1412" s="29" t="s">
        <v>1586</v>
      </c>
      <c r="O1412" s="29" t="s">
        <v>590</v>
      </c>
    </row>
    <row r="1413" spans="1:15">
      <c r="A1413" s="25">
        <v>23215</v>
      </c>
      <c r="B1413" s="34" t="s">
        <v>2637</v>
      </c>
      <c r="C1413" s="31" t="s">
        <v>521</v>
      </c>
      <c r="D1413" s="31" t="s">
        <v>1582</v>
      </c>
      <c r="E1413" s="28">
        <v>43421</v>
      </c>
      <c r="F1413" s="28">
        <v>43451</v>
      </c>
      <c r="G1413" s="28">
        <v>43830</v>
      </c>
      <c r="H1413" s="29" t="s">
        <v>560</v>
      </c>
      <c r="I1413" s="29" t="s">
        <v>560</v>
      </c>
      <c r="J1413" s="29" t="s">
        <v>1508</v>
      </c>
      <c r="K1413" s="29" t="s">
        <v>1508</v>
      </c>
      <c r="L1413" s="29" t="s">
        <v>2514</v>
      </c>
      <c r="M1413" s="29" t="s">
        <v>2638</v>
      </c>
      <c r="N1413" s="29" t="s">
        <v>1586</v>
      </c>
      <c r="O1413" s="29" t="s">
        <v>590</v>
      </c>
    </row>
    <row r="1414" spans="1:15">
      <c r="A1414" s="25">
        <v>23322</v>
      </c>
      <c r="B1414" s="34" t="s">
        <v>2639</v>
      </c>
      <c r="C1414" s="31" t="s">
        <v>521</v>
      </c>
      <c r="D1414" s="31" t="s">
        <v>1527</v>
      </c>
      <c r="E1414" s="28">
        <v>43427</v>
      </c>
      <c r="F1414" s="28">
        <v>43457</v>
      </c>
      <c r="G1414" s="28">
        <v>43830</v>
      </c>
      <c r="H1414" s="29" t="s">
        <v>560</v>
      </c>
      <c r="I1414" s="29" t="s">
        <v>560</v>
      </c>
      <c r="J1414" s="29" t="s">
        <v>1508</v>
      </c>
      <c r="K1414" s="29" t="s">
        <v>1508</v>
      </c>
      <c r="L1414" s="29" t="s">
        <v>2514</v>
      </c>
      <c r="M1414" s="29" t="s">
        <v>2640</v>
      </c>
      <c r="N1414" s="29" t="s">
        <v>1586</v>
      </c>
      <c r="O1414" s="29" t="s">
        <v>590</v>
      </c>
    </row>
    <row r="1415" spans="1:15">
      <c r="A1415" s="25">
        <v>23370</v>
      </c>
      <c r="B1415" s="34" t="s">
        <v>2641</v>
      </c>
      <c r="C1415" s="31" t="s">
        <v>521</v>
      </c>
      <c r="D1415" s="31" t="s">
        <v>1527</v>
      </c>
      <c r="E1415" s="28">
        <v>43427</v>
      </c>
      <c r="F1415" s="28">
        <v>43457</v>
      </c>
      <c r="G1415" s="28">
        <v>43830</v>
      </c>
      <c r="H1415" s="29" t="s">
        <v>560</v>
      </c>
      <c r="I1415" s="29" t="s">
        <v>560</v>
      </c>
      <c r="J1415" s="29" t="s">
        <v>1508</v>
      </c>
      <c r="K1415" s="29" t="s">
        <v>1508</v>
      </c>
      <c r="L1415" s="29" t="s">
        <v>2514</v>
      </c>
      <c r="M1415" s="29" t="s">
        <v>2227</v>
      </c>
      <c r="N1415" s="29" t="s">
        <v>1434</v>
      </c>
      <c r="O1415" s="29" t="s">
        <v>590</v>
      </c>
    </row>
    <row r="1416" spans="1:15">
      <c r="A1416" s="25">
        <v>23381</v>
      </c>
      <c r="B1416" s="34" t="s">
        <v>2642</v>
      </c>
      <c r="C1416" s="31" t="s">
        <v>521</v>
      </c>
      <c r="D1416" s="31" t="s">
        <v>1527</v>
      </c>
      <c r="E1416" s="28">
        <v>43427</v>
      </c>
      <c r="F1416" s="28">
        <v>43457</v>
      </c>
      <c r="G1416" s="28">
        <v>43830</v>
      </c>
      <c r="H1416" s="29" t="s">
        <v>560</v>
      </c>
      <c r="I1416" s="29" t="s">
        <v>560</v>
      </c>
      <c r="J1416" s="29" t="s">
        <v>1508</v>
      </c>
      <c r="K1416" s="29" t="s">
        <v>1508</v>
      </c>
      <c r="L1416" s="29" t="s">
        <v>2514</v>
      </c>
      <c r="M1416" s="29" t="s">
        <v>2643</v>
      </c>
      <c r="N1416" s="29" t="s">
        <v>1586</v>
      </c>
      <c r="O1416" s="29" t="s">
        <v>590</v>
      </c>
    </row>
    <row r="1417" spans="1:15">
      <c r="A1417" s="25" t="s">
        <v>76</v>
      </c>
      <c r="B1417" s="34" t="s">
        <v>77</v>
      </c>
      <c r="C1417" s="31" t="s">
        <v>521</v>
      </c>
      <c r="D1417" s="31" t="s">
        <v>788</v>
      </c>
      <c r="E1417" s="28">
        <v>40847</v>
      </c>
      <c r="F1417" s="28" t="s">
        <v>35</v>
      </c>
      <c r="G1417" s="28" t="s">
        <v>35</v>
      </c>
      <c r="H1417" s="29" t="s">
        <v>560</v>
      </c>
      <c r="I1417" s="29" t="s">
        <v>560</v>
      </c>
      <c r="J1417" s="29" t="s">
        <v>1508</v>
      </c>
      <c r="K1417" s="29" t="s">
        <v>1508</v>
      </c>
      <c r="L1417" s="29" t="s">
        <v>2514</v>
      </c>
      <c r="M1417" s="29" t="s">
        <v>2619</v>
      </c>
      <c r="N1417" s="29" t="s">
        <v>2041</v>
      </c>
      <c r="O1417" s="29" t="s">
        <v>590</v>
      </c>
    </row>
    <row r="1418" spans="1:15">
      <c r="A1418" s="25">
        <v>23565</v>
      </c>
      <c r="B1418" s="34" t="s">
        <v>2644</v>
      </c>
      <c r="C1418" s="31" t="s">
        <v>521</v>
      </c>
      <c r="D1418" s="31" t="s">
        <v>884</v>
      </c>
      <c r="E1418" s="28">
        <v>43452</v>
      </c>
      <c r="F1418" s="28">
        <v>43483</v>
      </c>
      <c r="G1418" s="28">
        <v>43861</v>
      </c>
      <c r="H1418" s="29" t="s">
        <v>560</v>
      </c>
      <c r="I1418" s="29" t="s">
        <v>560</v>
      </c>
      <c r="J1418" s="29" t="s">
        <v>1508</v>
      </c>
      <c r="K1418" s="29" t="s">
        <v>1508</v>
      </c>
      <c r="L1418" s="29" t="s">
        <v>2514</v>
      </c>
      <c r="M1418" s="29" t="s">
        <v>1593</v>
      </c>
      <c r="N1418" s="29" t="s">
        <v>1586</v>
      </c>
      <c r="O1418" s="29" t="s">
        <v>590</v>
      </c>
    </row>
    <row r="1419" spans="1:15">
      <c r="A1419" s="25">
        <v>1049</v>
      </c>
      <c r="B1419" s="26" t="s">
        <v>2645</v>
      </c>
      <c r="C1419" s="27" t="s">
        <v>521</v>
      </c>
      <c r="D1419" s="27" t="s">
        <v>1139</v>
      </c>
      <c r="E1419" s="28">
        <v>37879</v>
      </c>
      <c r="F1419" s="28" t="s">
        <v>35</v>
      </c>
      <c r="G1419" s="28" t="s">
        <v>35</v>
      </c>
      <c r="H1419" s="27" t="s">
        <v>560</v>
      </c>
      <c r="I1419" s="27" t="s">
        <v>560</v>
      </c>
      <c r="J1419" s="29" t="s">
        <v>2646</v>
      </c>
      <c r="K1419" s="29" t="s">
        <v>2647</v>
      </c>
      <c r="L1419" s="29" t="s">
        <v>2648</v>
      </c>
      <c r="M1419" s="29" t="s">
        <v>2094</v>
      </c>
      <c r="N1419" s="29" t="s">
        <v>1434</v>
      </c>
      <c r="O1419" s="29" t="s">
        <v>594</v>
      </c>
    </row>
    <row r="1420" spans="1:15">
      <c r="A1420" s="25">
        <v>1275</v>
      </c>
      <c r="B1420" s="26" t="s">
        <v>2649</v>
      </c>
      <c r="C1420" s="27" t="s">
        <v>521</v>
      </c>
      <c r="D1420" s="27" t="s">
        <v>1458</v>
      </c>
      <c r="E1420" s="28">
        <v>37921</v>
      </c>
      <c r="F1420" s="28" t="s">
        <v>35</v>
      </c>
      <c r="G1420" s="28" t="s">
        <v>35</v>
      </c>
      <c r="H1420" s="27" t="s">
        <v>560</v>
      </c>
      <c r="I1420" s="27" t="s">
        <v>560</v>
      </c>
      <c r="J1420" s="29" t="s">
        <v>2646</v>
      </c>
      <c r="K1420" s="29" t="s">
        <v>2647</v>
      </c>
      <c r="L1420" s="29" t="s">
        <v>2648</v>
      </c>
      <c r="M1420" s="29" t="s">
        <v>2310</v>
      </c>
      <c r="N1420" s="29" t="s">
        <v>1434</v>
      </c>
      <c r="O1420" s="29" t="s">
        <v>594</v>
      </c>
    </row>
    <row r="1421" spans="1:15">
      <c r="A1421" s="25">
        <v>9014</v>
      </c>
      <c r="B1421" s="26" t="s">
        <v>2650</v>
      </c>
      <c r="C1421" s="27" t="s">
        <v>521</v>
      </c>
      <c r="D1421" s="27" t="s">
        <v>715</v>
      </c>
      <c r="E1421" s="28">
        <v>39975</v>
      </c>
      <c r="F1421" s="28" t="s">
        <v>35</v>
      </c>
      <c r="G1421" s="28" t="s">
        <v>35</v>
      </c>
      <c r="H1421" s="27" t="s">
        <v>560</v>
      </c>
      <c r="I1421" s="27" t="s">
        <v>560</v>
      </c>
      <c r="J1421" s="29" t="s">
        <v>2646</v>
      </c>
      <c r="K1421" s="29" t="s">
        <v>2647</v>
      </c>
      <c r="L1421" s="29" t="s">
        <v>2648</v>
      </c>
      <c r="M1421" s="29" t="s">
        <v>2310</v>
      </c>
      <c r="N1421" s="29" t="s">
        <v>1434</v>
      </c>
      <c r="O1421" s="29" t="s">
        <v>594</v>
      </c>
    </row>
    <row r="1422" spans="1:15">
      <c r="A1422" s="25">
        <v>9331</v>
      </c>
      <c r="B1422" s="26" t="s">
        <v>2207</v>
      </c>
      <c r="C1422" s="27" t="s">
        <v>521</v>
      </c>
      <c r="D1422" s="27" t="s">
        <v>658</v>
      </c>
      <c r="E1422" s="28">
        <v>40148</v>
      </c>
      <c r="F1422" s="28" t="s">
        <v>35</v>
      </c>
      <c r="G1422" s="28" t="s">
        <v>35</v>
      </c>
      <c r="H1422" s="29" t="s">
        <v>560</v>
      </c>
      <c r="I1422" s="29" t="s">
        <v>560</v>
      </c>
      <c r="J1422" s="29" t="s">
        <v>2646</v>
      </c>
      <c r="K1422" s="29" t="s">
        <v>2647</v>
      </c>
      <c r="L1422" s="29" t="s">
        <v>2648</v>
      </c>
      <c r="M1422" s="29" t="s">
        <v>2030</v>
      </c>
      <c r="N1422" s="29" t="s">
        <v>2031</v>
      </c>
      <c r="O1422" s="29" t="s">
        <v>594</v>
      </c>
    </row>
    <row r="1423" spans="1:15">
      <c r="A1423" s="25">
        <v>9512</v>
      </c>
      <c r="B1423" s="34" t="s">
        <v>2651</v>
      </c>
      <c r="C1423" s="31" t="s">
        <v>521</v>
      </c>
      <c r="D1423" s="27" t="s">
        <v>658</v>
      </c>
      <c r="E1423" s="28">
        <v>40148</v>
      </c>
      <c r="F1423" s="28" t="s">
        <v>35</v>
      </c>
      <c r="G1423" s="28" t="s">
        <v>35</v>
      </c>
      <c r="H1423" s="31" t="s">
        <v>560</v>
      </c>
      <c r="I1423" s="31" t="s">
        <v>560</v>
      </c>
      <c r="J1423" s="29" t="s">
        <v>2646</v>
      </c>
      <c r="K1423" s="29" t="s">
        <v>2647</v>
      </c>
      <c r="L1423" s="29" t="s">
        <v>2648</v>
      </c>
      <c r="M1423" s="29" t="s">
        <v>1550</v>
      </c>
      <c r="N1423" s="29" t="s">
        <v>1045</v>
      </c>
      <c r="O1423" s="29" t="s">
        <v>594</v>
      </c>
    </row>
    <row r="1424" spans="1:15">
      <c r="A1424" s="25">
        <v>10230</v>
      </c>
      <c r="B1424" s="26" t="s">
        <v>2652</v>
      </c>
      <c r="C1424" s="27" t="s">
        <v>521</v>
      </c>
      <c r="D1424" s="27" t="s">
        <v>736</v>
      </c>
      <c r="E1424" s="28">
        <v>40489</v>
      </c>
      <c r="F1424" s="28" t="s">
        <v>35</v>
      </c>
      <c r="G1424" s="28" t="s">
        <v>35</v>
      </c>
      <c r="H1424" s="27" t="s">
        <v>560</v>
      </c>
      <c r="I1424" s="27" t="s">
        <v>560</v>
      </c>
      <c r="J1424" s="27" t="s">
        <v>2646</v>
      </c>
      <c r="K1424" s="27" t="s">
        <v>2647</v>
      </c>
      <c r="L1424" s="27" t="s">
        <v>2648</v>
      </c>
      <c r="M1424" s="29" t="s">
        <v>2065</v>
      </c>
      <c r="N1424" s="29" t="s">
        <v>2041</v>
      </c>
      <c r="O1424" s="29" t="s">
        <v>594</v>
      </c>
    </row>
    <row r="1425" spans="1:15">
      <c r="A1425" s="25">
        <v>10464</v>
      </c>
      <c r="B1425" s="26" t="s">
        <v>482</v>
      </c>
      <c r="C1425" s="27" t="s">
        <v>521</v>
      </c>
      <c r="D1425" s="27" t="s">
        <v>864</v>
      </c>
      <c r="E1425" s="28">
        <v>40524</v>
      </c>
      <c r="F1425" s="28" t="s">
        <v>35</v>
      </c>
      <c r="G1425" s="28" t="s">
        <v>35</v>
      </c>
      <c r="H1425" s="29" t="s">
        <v>560</v>
      </c>
      <c r="I1425" s="29" t="s">
        <v>560</v>
      </c>
      <c r="J1425" s="27" t="s">
        <v>2646</v>
      </c>
      <c r="K1425" s="27" t="s">
        <v>2647</v>
      </c>
      <c r="L1425" s="27" t="s">
        <v>2648</v>
      </c>
      <c r="M1425" s="29" t="s">
        <v>2244</v>
      </c>
      <c r="N1425" s="29" t="s">
        <v>2023</v>
      </c>
      <c r="O1425" s="29" t="s">
        <v>594</v>
      </c>
    </row>
    <row r="1426" spans="1:15">
      <c r="A1426" s="25">
        <v>10563</v>
      </c>
      <c r="B1426" s="26" t="s">
        <v>2653</v>
      </c>
      <c r="C1426" s="27" t="s">
        <v>521</v>
      </c>
      <c r="D1426" s="27" t="s">
        <v>1672</v>
      </c>
      <c r="E1426" s="28">
        <v>40542</v>
      </c>
      <c r="F1426" s="28" t="s">
        <v>35</v>
      </c>
      <c r="G1426" s="28" t="s">
        <v>35</v>
      </c>
      <c r="H1426" s="29" t="s">
        <v>560</v>
      </c>
      <c r="I1426" s="29" t="s">
        <v>560</v>
      </c>
      <c r="J1426" s="29" t="s">
        <v>2646</v>
      </c>
      <c r="K1426" s="29" t="s">
        <v>2647</v>
      </c>
      <c r="L1426" s="29" t="s">
        <v>2648</v>
      </c>
      <c r="M1426" s="29" t="s">
        <v>2366</v>
      </c>
      <c r="N1426" s="29" t="s">
        <v>2023</v>
      </c>
      <c r="O1426" s="29" t="s">
        <v>594</v>
      </c>
    </row>
    <row r="1427" spans="1:15">
      <c r="A1427" s="25">
        <v>10995</v>
      </c>
      <c r="B1427" s="26" t="s">
        <v>2654</v>
      </c>
      <c r="C1427" s="27" t="s">
        <v>521</v>
      </c>
      <c r="D1427" s="27" t="s">
        <v>1516</v>
      </c>
      <c r="E1427" s="28">
        <v>40585</v>
      </c>
      <c r="F1427" s="28" t="s">
        <v>35</v>
      </c>
      <c r="G1427" s="28" t="s">
        <v>35</v>
      </c>
      <c r="H1427" s="27" t="s">
        <v>560</v>
      </c>
      <c r="I1427" s="27" t="s">
        <v>560</v>
      </c>
      <c r="J1427" s="27" t="s">
        <v>2646</v>
      </c>
      <c r="K1427" s="27" t="s">
        <v>2647</v>
      </c>
      <c r="L1427" s="27" t="s">
        <v>2648</v>
      </c>
      <c r="M1427" s="29" t="s">
        <v>2025</v>
      </c>
      <c r="N1427" s="29" t="s">
        <v>2026</v>
      </c>
      <c r="O1427" s="29" t="s">
        <v>594</v>
      </c>
    </row>
    <row r="1428" spans="1:15">
      <c r="A1428" s="25">
        <v>11053</v>
      </c>
      <c r="B1428" s="26" t="s">
        <v>2655</v>
      </c>
      <c r="C1428" s="27" t="s">
        <v>521</v>
      </c>
      <c r="D1428" s="27" t="s">
        <v>1770</v>
      </c>
      <c r="E1428" s="28">
        <v>40592</v>
      </c>
      <c r="F1428" s="28" t="s">
        <v>35</v>
      </c>
      <c r="G1428" s="28" t="s">
        <v>35</v>
      </c>
      <c r="H1428" s="27" t="s">
        <v>560</v>
      </c>
      <c r="I1428" s="27" t="s">
        <v>560</v>
      </c>
      <c r="J1428" s="27" t="s">
        <v>2646</v>
      </c>
      <c r="K1428" s="27" t="s">
        <v>2647</v>
      </c>
      <c r="L1428" s="27" t="s">
        <v>2648</v>
      </c>
      <c r="M1428" s="27" t="s">
        <v>2057</v>
      </c>
      <c r="N1428" s="27" t="s">
        <v>2041</v>
      </c>
      <c r="O1428" s="29" t="s">
        <v>594</v>
      </c>
    </row>
    <row r="1429" spans="1:15">
      <c r="A1429" s="25">
        <v>11186</v>
      </c>
      <c r="B1429" s="26" t="s">
        <v>2656</v>
      </c>
      <c r="C1429" s="27" t="s">
        <v>521</v>
      </c>
      <c r="D1429" s="27" t="s">
        <v>2657</v>
      </c>
      <c r="E1429" s="28">
        <v>40610</v>
      </c>
      <c r="F1429" s="28" t="s">
        <v>35</v>
      </c>
      <c r="G1429" s="28" t="s">
        <v>35</v>
      </c>
      <c r="H1429" s="27" t="s">
        <v>560</v>
      </c>
      <c r="I1429" s="27" t="s">
        <v>560</v>
      </c>
      <c r="J1429" s="29" t="s">
        <v>2646</v>
      </c>
      <c r="K1429" s="29" t="s">
        <v>2647</v>
      </c>
      <c r="L1429" s="29" t="s">
        <v>2648</v>
      </c>
      <c r="M1429" s="29" t="s">
        <v>2658</v>
      </c>
      <c r="N1429" s="29" t="s">
        <v>1434</v>
      </c>
      <c r="O1429" s="29" t="s">
        <v>594</v>
      </c>
    </row>
    <row r="1430" spans="1:15">
      <c r="A1430" s="25">
        <v>12404</v>
      </c>
      <c r="B1430" s="26" t="s">
        <v>2659</v>
      </c>
      <c r="C1430" s="27" t="s">
        <v>521</v>
      </c>
      <c r="D1430" s="27" t="s">
        <v>724</v>
      </c>
      <c r="E1430" s="28">
        <v>40809</v>
      </c>
      <c r="F1430" s="28" t="s">
        <v>35</v>
      </c>
      <c r="G1430" s="28" t="s">
        <v>35</v>
      </c>
      <c r="H1430" s="29" t="s">
        <v>560</v>
      </c>
      <c r="I1430" s="29" t="s">
        <v>560</v>
      </c>
      <c r="J1430" s="29" t="s">
        <v>2646</v>
      </c>
      <c r="K1430" s="29" t="s">
        <v>2647</v>
      </c>
      <c r="L1430" s="29" t="s">
        <v>2648</v>
      </c>
      <c r="M1430" s="29" t="s">
        <v>2030</v>
      </c>
      <c r="N1430" s="29" t="s">
        <v>2031</v>
      </c>
      <c r="O1430" s="29" t="s">
        <v>594</v>
      </c>
    </row>
    <row r="1431" spans="1:15">
      <c r="A1431" s="25">
        <v>12569</v>
      </c>
      <c r="B1431" s="26" t="s">
        <v>2660</v>
      </c>
      <c r="C1431" s="27" t="s">
        <v>521</v>
      </c>
      <c r="D1431" s="27" t="s">
        <v>722</v>
      </c>
      <c r="E1431" s="28">
        <v>40812</v>
      </c>
      <c r="F1431" s="28" t="s">
        <v>35</v>
      </c>
      <c r="G1431" s="28" t="s">
        <v>35</v>
      </c>
      <c r="H1431" s="27" t="s">
        <v>560</v>
      </c>
      <c r="I1431" s="27" t="s">
        <v>560</v>
      </c>
      <c r="J1431" s="29" t="s">
        <v>2646</v>
      </c>
      <c r="K1431" s="29" t="s">
        <v>2647</v>
      </c>
      <c r="L1431" s="29" t="s">
        <v>2648</v>
      </c>
      <c r="M1431" s="29" t="s">
        <v>2072</v>
      </c>
      <c r="N1431" s="29" t="s">
        <v>1434</v>
      </c>
      <c r="O1431" s="29" t="s">
        <v>594</v>
      </c>
    </row>
    <row r="1432" spans="1:15">
      <c r="A1432" s="25">
        <v>19794</v>
      </c>
      <c r="B1432" s="26" t="s">
        <v>2661</v>
      </c>
      <c r="C1432" s="27" t="s">
        <v>521</v>
      </c>
      <c r="D1432" s="27" t="s">
        <v>2148</v>
      </c>
      <c r="E1432" s="28">
        <v>42499</v>
      </c>
      <c r="F1432" s="28" t="s">
        <v>35</v>
      </c>
      <c r="G1432" s="28" t="s">
        <v>35</v>
      </c>
      <c r="H1432" s="27" t="s">
        <v>560</v>
      </c>
      <c r="I1432" s="27" t="s">
        <v>560</v>
      </c>
      <c r="J1432" s="29" t="s">
        <v>2646</v>
      </c>
      <c r="K1432" s="29" t="s">
        <v>2647</v>
      </c>
      <c r="L1432" s="29" t="s">
        <v>2648</v>
      </c>
      <c r="M1432" s="29" t="s">
        <v>2338</v>
      </c>
      <c r="N1432" s="29" t="s">
        <v>1434</v>
      </c>
      <c r="O1432" s="29" t="s">
        <v>594</v>
      </c>
    </row>
    <row r="1433" spans="1:15">
      <c r="A1433" s="25">
        <v>20464</v>
      </c>
      <c r="B1433" s="26" t="s">
        <v>2662</v>
      </c>
      <c r="C1433" s="27" t="s">
        <v>521</v>
      </c>
      <c r="D1433" s="27" t="s">
        <v>1644</v>
      </c>
      <c r="E1433" s="28">
        <v>42634</v>
      </c>
      <c r="F1433" s="28">
        <v>43132</v>
      </c>
      <c r="G1433" s="28">
        <v>43496</v>
      </c>
      <c r="H1433" s="25" t="s">
        <v>560</v>
      </c>
      <c r="I1433" s="27" t="s">
        <v>560</v>
      </c>
      <c r="J1433" s="27" t="s">
        <v>2646</v>
      </c>
      <c r="K1433" s="27" t="s">
        <v>2647</v>
      </c>
      <c r="L1433" s="27" t="s">
        <v>2648</v>
      </c>
      <c r="M1433" s="29" t="s">
        <v>2028</v>
      </c>
      <c r="N1433" s="29" t="s">
        <v>1434</v>
      </c>
      <c r="O1433" s="29" t="s">
        <v>594</v>
      </c>
    </row>
    <row r="1434" spans="1:15">
      <c r="A1434" s="25">
        <v>20501</v>
      </c>
      <c r="B1434" s="26" t="s">
        <v>2663</v>
      </c>
      <c r="C1434" s="27" t="s">
        <v>521</v>
      </c>
      <c r="D1434" s="27" t="s">
        <v>1644</v>
      </c>
      <c r="E1434" s="28">
        <v>42634</v>
      </c>
      <c r="F1434" s="28">
        <v>43132</v>
      </c>
      <c r="G1434" s="28">
        <v>43496</v>
      </c>
      <c r="H1434" s="27" t="s">
        <v>560</v>
      </c>
      <c r="I1434" s="27" t="s">
        <v>560</v>
      </c>
      <c r="J1434" s="27" t="s">
        <v>2646</v>
      </c>
      <c r="K1434" s="27" t="s">
        <v>2647</v>
      </c>
      <c r="L1434" s="27" t="s">
        <v>2648</v>
      </c>
      <c r="M1434" s="29" t="s">
        <v>2085</v>
      </c>
      <c r="N1434" s="29" t="s">
        <v>1434</v>
      </c>
      <c r="O1434" s="29" t="s">
        <v>594</v>
      </c>
    </row>
    <row r="1435" spans="1:15">
      <c r="A1435" s="25">
        <v>20566</v>
      </c>
      <c r="B1435" s="26" t="s">
        <v>2664</v>
      </c>
      <c r="C1435" s="27" t="s">
        <v>521</v>
      </c>
      <c r="D1435" s="27" t="s">
        <v>673</v>
      </c>
      <c r="E1435" s="28">
        <v>42639</v>
      </c>
      <c r="F1435" s="28">
        <v>43132</v>
      </c>
      <c r="G1435" s="28">
        <v>43496</v>
      </c>
      <c r="H1435" s="25" t="s">
        <v>560</v>
      </c>
      <c r="I1435" s="25" t="s">
        <v>560</v>
      </c>
      <c r="J1435" s="27" t="s">
        <v>2646</v>
      </c>
      <c r="K1435" s="27" t="s">
        <v>2647</v>
      </c>
      <c r="L1435" s="27" t="s">
        <v>2648</v>
      </c>
      <c r="M1435" s="29" t="s">
        <v>2082</v>
      </c>
      <c r="N1435" s="29" t="s">
        <v>1434</v>
      </c>
      <c r="O1435" s="29" t="s">
        <v>594</v>
      </c>
    </row>
    <row r="1436" spans="1:15">
      <c r="A1436" s="25">
        <v>20680</v>
      </c>
      <c r="B1436" s="26" t="s">
        <v>2665</v>
      </c>
      <c r="C1436" s="27" t="s">
        <v>521</v>
      </c>
      <c r="D1436" s="27" t="s">
        <v>673</v>
      </c>
      <c r="E1436" s="28">
        <v>42639</v>
      </c>
      <c r="F1436" s="28">
        <v>43132</v>
      </c>
      <c r="G1436" s="28">
        <v>43496</v>
      </c>
      <c r="H1436" s="25" t="s">
        <v>560</v>
      </c>
      <c r="I1436" s="25" t="s">
        <v>560</v>
      </c>
      <c r="J1436" s="27" t="s">
        <v>2646</v>
      </c>
      <c r="K1436" s="27" t="s">
        <v>2647</v>
      </c>
      <c r="L1436" s="27" t="s">
        <v>2648</v>
      </c>
      <c r="M1436" s="29" t="s">
        <v>2040</v>
      </c>
      <c r="N1436" s="29" t="s">
        <v>2041</v>
      </c>
      <c r="O1436" s="29" t="s">
        <v>594</v>
      </c>
    </row>
    <row r="1437" spans="1:15">
      <c r="A1437" s="25">
        <v>20865</v>
      </c>
      <c r="B1437" s="26" t="s">
        <v>2666</v>
      </c>
      <c r="C1437" s="27" t="s">
        <v>521</v>
      </c>
      <c r="D1437" s="27" t="s">
        <v>807</v>
      </c>
      <c r="E1437" s="28">
        <v>42660</v>
      </c>
      <c r="F1437" s="28">
        <v>43160</v>
      </c>
      <c r="G1437" s="28">
        <v>43524</v>
      </c>
      <c r="H1437" s="25" t="s">
        <v>560</v>
      </c>
      <c r="I1437" s="27" t="s">
        <v>560</v>
      </c>
      <c r="J1437" s="27" t="s">
        <v>2646</v>
      </c>
      <c r="K1437" s="27" t="s">
        <v>2647</v>
      </c>
      <c r="L1437" s="27" t="s">
        <v>2648</v>
      </c>
      <c r="M1437" s="27" t="s">
        <v>2077</v>
      </c>
      <c r="N1437" s="27" t="s">
        <v>2077</v>
      </c>
      <c r="O1437" s="29" t="s">
        <v>594</v>
      </c>
    </row>
    <row r="1438" spans="1:15">
      <c r="A1438" s="25">
        <v>20935</v>
      </c>
      <c r="B1438" s="33" t="s">
        <v>2667</v>
      </c>
      <c r="C1438" s="27" t="s">
        <v>521</v>
      </c>
      <c r="D1438" s="27" t="s">
        <v>1149</v>
      </c>
      <c r="E1438" s="28">
        <v>42667</v>
      </c>
      <c r="F1438" s="28">
        <v>43160</v>
      </c>
      <c r="G1438" s="28">
        <v>43524</v>
      </c>
      <c r="H1438" s="31" t="s">
        <v>560</v>
      </c>
      <c r="I1438" s="31" t="s">
        <v>560</v>
      </c>
      <c r="J1438" s="27" t="s">
        <v>2646</v>
      </c>
      <c r="K1438" s="27" t="s">
        <v>2647</v>
      </c>
      <c r="L1438" s="27" t="s">
        <v>2648</v>
      </c>
      <c r="M1438" s="29" t="s">
        <v>2068</v>
      </c>
      <c r="N1438" s="29" t="s">
        <v>1434</v>
      </c>
      <c r="O1438" s="29" t="s">
        <v>594</v>
      </c>
    </row>
    <row r="1439" spans="1:15">
      <c r="A1439" s="25">
        <v>20936</v>
      </c>
      <c r="B1439" s="33" t="s">
        <v>2668</v>
      </c>
      <c r="C1439" s="27" t="s">
        <v>521</v>
      </c>
      <c r="D1439" s="27" t="s">
        <v>1149</v>
      </c>
      <c r="E1439" s="28">
        <v>42667</v>
      </c>
      <c r="F1439" s="28">
        <v>43160</v>
      </c>
      <c r="G1439" s="28">
        <v>43524</v>
      </c>
      <c r="H1439" s="31" t="s">
        <v>560</v>
      </c>
      <c r="I1439" s="31" t="s">
        <v>560</v>
      </c>
      <c r="J1439" s="27" t="s">
        <v>2646</v>
      </c>
      <c r="K1439" s="27" t="s">
        <v>2647</v>
      </c>
      <c r="L1439" s="27" t="s">
        <v>2648</v>
      </c>
      <c r="M1439" s="29" t="s">
        <v>2048</v>
      </c>
      <c r="N1439" s="29" t="s">
        <v>1434</v>
      </c>
      <c r="O1439" s="29" t="s">
        <v>594</v>
      </c>
    </row>
    <row r="1440" spans="1:15">
      <c r="A1440" s="25">
        <v>21242</v>
      </c>
      <c r="B1440" s="26" t="s">
        <v>2669</v>
      </c>
      <c r="C1440" s="27" t="s">
        <v>521</v>
      </c>
      <c r="D1440" s="27" t="s">
        <v>2670</v>
      </c>
      <c r="E1440" s="28">
        <v>42893</v>
      </c>
      <c r="F1440" s="28">
        <v>43374</v>
      </c>
      <c r="G1440" s="28">
        <v>43738</v>
      </c>
      <c r="H1440" s="29" t="s">
        <v>560</v>
      </c>
      <c r="I1440" s="29" t="s">
        <v>560</v>
      </c>
      <c r="J1440" s="29" t="s">
        <v>2646</v>
      </c>
      <c r="K1440" s="29" t="s">
        <v>2647</v>
      </c>
      <c r="L1440" s="29" t="s">
        <v>2648</v>
      </c>
      <c r="M1440" s="29" t="s">
        <v>2084</v>
      </c>
      <c r="N1440" s="29" t="s">
        <v>1434</v>
      </c>
      <c r="O1440" s="29" t="s">
        <v>594</v>
      </c>
    </row>
    <row r="1441" spans="1:15">
      <c r="A1441" s="25">
        <v>21462</v>
      </c>
      <c r="B1441" s="34" t="s">
        <v>2671</v>
      </c>
      <c r="C1441" s="31" t="s">
        <v>521</v>
      </c>
      <c r="D1441" s="31" t="s">
        <v>2166</v>
      </c>
      <c r="E1441" s="28">
        <v>43024</v>
      </c>
      <c r="F1441" s="28">
        <v>43435</v>
      </c>
      <c r="G1441" s="28">
        <v>43799</v>
      </c>
      <c r="H1441" s="29" t="s">
        <v>560</v>
      </c>
      <c r="I1441" s="29" t="s">
        <v>560</v>
      </c>
      <c r="J1441" s="29" t="s">
        <v>2646</v>
      </c>
      <c r="K1441" s="29" t="s">
        <v>2647</v>
      </c>
      <c r="L1441" s="29" t="s">
        <v>2648</v>
      </c>
      <c r="M1441" s="29" t="s">
        <v>2120</v>
      </c>
      <c r="N1441" s="29" t="s">
        <v>1434</v>
      </c>
      <c r="O1441" s="29" t="s">
        <v>594</v>
      </c>
    </row>
    <row r="1442" spans="1:15">
      <c r="A1442" s="25">
        <v>21607</v>
      </c>
      <c r="B1442" s="34" t="s">
        <v>2672</v>
      </c>
      <c r="C1442" s="31" t="s">
        <v>521</v>
      </c>
      <c r="D1442" s="31" t="s">
        <v>1603</v>
      </c>
      <c r="E1442" s="28">
        <v>43048</v>
      </c>
      <c r="F1442" s="28">
        <v>43435</v>
      </c>
      <c r="G1442" s="28">
        <v>43799</v>
      </c>
      <c r="H1442" s="29" t="s">
        <v>560</v>
      </c>
      <c r="I1442" s="29" t="s">
        <v>560</v>
      </c>
      <c r="J1442" s="29" t="s">
        <v>2646</v>
      </c>
      <c r="K1442" s="29" t="s">
        <v>2647</v>
      </c>
      <c r="L1442" s="29" t="s">
        <v>2648</v>
      </c>
      <c r="M1442" s="29" t="s">
        <v>2061</v>
      </c>
      <c r="N1442" s="29" t="s">
        <v>2041</v>
      </c>
      <c r="O1442" s="29" t="s">
        <v>594</v>
      </c>
    </row>
    <row r="1443" spans="1:15">
      <c r="A1443" s="25">
        <v>21689</v>
      </c>
      <c r="B1443" s="34" t="s">
        <v>2673</v>
      </c>
      <c r="C1443" s="31" t="s">
        <v>521</v>
      </c>
      <c r="D1443" s="31" t="s">
        <v>1169</v>
      </c>
      <c r="E1443" s="28">
        <v>43073</v>
      </c>
      <c r="F1443" s="28">
        <v>43466</v>
      </c>
      <c r="G1443" s="28">
        <v>43830</v>
      </c>
      <c r="H1443" s="29" t="s">
        <v>560</v>
      </c>
      <c r="I1443" s="29" t="s">
        <v>560</v>
      </c>
      <c r="J1443" s="29" t="s">
        <v>2646</v>
      </c>
      <c r="K1443" s="29" t="s">
        <v>2647</v>
      </c>
      <c r="L1443" s="29" t="s">
        <v>2648</v>
      </c>
      <c r="M1443" s="29" t="s">
        <v>2674</v>
      </c>
      <c r="N1443" s="29" t="s">
        <v>2041</v>
      </c>
      <c r="O1443" s="29" t="s">
        <v>594</v>
      </c>
    </row>
    <row r="1444" spans="1:15">
      <c r="A1444" s="25">
        <v>21819</v>
      </c>
      <c r="B1444" s="34" t="s">
        <v>2675</v>
      </c>
      <c r="C1444" s="31" t="s">
        <v>521</v>
      </c>
      <c r="D1444" s="31" t="s">
        <v>732</v>
      </c>
      <c r="E1444" s="28">
        <v>43098</v>
      </c>
      <c r="F1444" s="28">
        <v>43129</v>
      </c>
      <c r="G1444" s="28">
        <v>43496</v>
      </c>
      <c r="H1444" s="29" t="s">
        <v>560</v>
      </c>
      <c r="I1444" s="29" t="s">
        <v>560</v>
      </c>
      <c r="J1444" s="29" t="s">
        <v>2646</v>
      </c>
      <c r="K1444" s="29" t="s">
        <v>2647</v>
      </c>
      <c r="L1444" s="29" t="s">
        <v>2648</v>
      </c>
      <c r="M1444" s="29" t="s">
        <v>2035</v>
      </c>
      <c r="N1444" s="29" t="s">
        <v>1434</v>
      </c>
      <c r="O1444" s="29" t="s">
        <v>594</v>
      </c>
    </row>
    <row r="1445" spans="1:15">
      <c r="A1445" s="25">
        <v>21980</v>
      </c>
      <c r="B1445" s="34" t="s">
        <v>2676</v>
      </c>
      <c r="C1445" s="31" t="s">
        <v>521</v>
      </c>
      <c r="D1445" s="31" t="s">
        <v>1573</v>
      </c>
      <c r="E1445" s="28">
        <v>43116</v>
      </c>
      <c r="F1445" s="28">
        <v>43147</v>
      </c>
      <c r="G1445" s="28">
        <v>43524</v>
      </c>
      <c r="H1445" s="29" t="s">
        <v>560</v>
      </c>
      <c r="I1445" s="29" t="s">
        <v>560</v>
      </c>
      <c r="J1445" s="29" t="s">
        <v>2646</v>
      </c>
      <c r="K1445" s="29" t="s">
        <v>2647</v>
      </c>
      <c r="L1445" s="29" t="s">
        <v>2648</v>
      </c>
      <c r="M1445" s="29" t="s">
        <v>2331</v>
      </c>
      <c r="N1445" s="29" t="s">
        <v>2023</v>
      </c>
      <c r="O1445" s="29" t="s">
        <v>594</v>
      </c>
    </row>
    <row r="1446" spans="1:15">
      <c r="A1446" s="25">
        <v>21986</v>
      </c>
      <c r="B1446" s="34" t="s">
        <v>2677</v>
      </c>
      <c r="C1446" s="31" t="s">
        <v>521</v>
      </c>
      <c r="D1446" s="31" t="s">
        <v>1171</v>
      </c>
      <c r="E1446" s="28">
        <v>43139</v>
      </c>
      <c r="F1446" s="28">
        <v>43167</v>
      </c>
      <c r="G1446" s="28">
        <v>43524</v>
      </c>
      <c r="H1446" s="29" t="s">
        <v>560</v>
      </c>
      <c r="I1446" s="29" t="s">
        <v>560</v>
      </c>
      <c r="J1446" s="29" t="s">
        <v>2646</v>
      </c>
      <c r="K1446" s="29" t="s">
        <v>2647</v>
      </c>
      <c r="L1446" s="29" t="s">
        <v>2648</v>
      </c>
      <c r="M1446" s="29" t="s">
        <v>2077</v>
      </c>
      <c r="N1446" s="29" t="s">
        <v>2077</v>
      </c>
      <c r="O1446" s="29" t="s">
        <v>594</v>
      </c>
    </row>
    <row r="1447" spans="1:15">
      <c r="A1447" s="25">
        <v>22136</v>
      </c>
      <c r="B1447" s="26" t="s">
        <v>2678</v>
      </c>
      <c r="C1447" s="27" t="s">
        <v>521</v>
      </c>
      <c r="D1447" s="27" t="s">
        <v>758</v>
      </c>
      <c r="E1447" s="28">
        <v>43153</v>
      </c>
      <c r="F1447" s="28">
        <v>43181</v>
      </c>
      <c r="G1447" s="28">
        <v>43555</v>
      </c>
      <c r="H1447" s="29" t="s">
        <v>560</v>
      </c>
      <c r="I1447" s="29" t="s">
        <v>560</v>
      </c>
      <c r="J1447" s="29" t="s">
        <v>2646</v>
      </c>
      <c r="K1447" s="29" t="s">
        <v>2647</v>
      </c>
      <c r="L1447" s="29" t="s">
        <v>2648</v>
      </c>
      <c r="M1447" s="29" t="s">
        <v>2406</v>
      </c>
      <c r="N1447" s="29" t="s">
        <v>1434</v>
      </c>
      <c r="O1447" s="29" t="s">
        <v>594</v>
      </c>
    </row>
    <row r="1448" spans="1:15">
      <c r="A1448" s="25">
        <v>22315</v>
      </c>
      <c r="B1448" s="34" t="s">
        <v>2679</v>
      </c>
      <c r="C1448" s="31" t="s">
        <v>521</v>
      </c>
      <c r="D1448" s="31" t="s">
        <v>1191</v>
      </c>
      <c r="E1448" s="28">
        <v>43192</v>
      </c>
      <c r="F1448" s="28">
        <v>43222</v>
      </c>
      <c r="G1448" s="28">
        <v>43585</v>
      </c>
      <c r="H1448" s="29" t="s">
        <v>560</v>
      </c>
      <c r="I1448" s="29" t="s">
        <v>560</v>
      </c>
      <c r="J1448" s="29" t="s">
        <v>2646</v>
      </c>
      <c r="K1448" s="29" t="s">
        <v>2647</v>
      </c>
      <c r="L1448" s="29" t="s">
        <v>2648</v>
      </c>
      <c r="M1448" s="29" t="s">
        <v>2680</v>
      </c>
      <c r="N1448" s="29" t="s">
        <v>1586</v>
      </c>
      <c r="O1448" s="29" t="s">
        <v>594</v>
      </c>
    </row>
    <row r="1449" spans="1:15">
      <c r="A1449" s="25">
        <v>22413</v>
      </c>
      <c r="B1449" s="34" t="s">
        <v>2681</v>
      </c>
      <c r="C1449" s="31" t="s">
        <v>521</v>
      </c>
      <c r="D1449" s="31" t="s">
        <v>805</v>
      </c>
      <c r="E1449" s="28">
        <v>43213</v>
      </c>
      <c r="F1449" s="28">
        <v>43243</v>
      </c>
      <c r="G1449" s="28">
        <v>43616</v>
      </c>
      <c r="H1449" s="29" t="s">
        <v>560</v>
      </c>
      <c r="I1449" s="29" t="s">
        <v>560</v>
      </c>
      <c r="J1449" s="29" t="s">
        <v>2646</v>
      </c>
      <c r="K1449" s="29" t="s">
        <v>2647</v>
      </c>
      <c r="L1449" s="29" t="s">
        <v>2648</v>
      </c>
      <c r="M1449" s="29" t="s">
        <v>2682</v>
      </c>
      <c r="N1449" s="29" t="s">
        <v>1586</v>
      </c>
      <c r="O1449" s="29" t="s">
        <v>594</v>
      </c>
    </row>
    <row r="1450" spans="1:15">
      <c r="A1450" s="25">
        <v>22418</v>
      </c>
      <c r="B1450" s="26" t="s">
        <v>2683</v>
      </c>
      <c r="C1450" s="27" t="s">
        <v>521</v>
      </c>
      <c r="D1450" s="27" t="s">
        <v>805</v>
      </c>
      <c r="E1450" s="28">
        <v>43213</v>
      </c>
      <c r="F1450" s="28">
        <v>43243</v>
      </c>
      <c r="G1450" s="28">
        <v>43616</v>
      </c>
      <c r="H1450" s="31" t="s">
        <v>560</v>
      </c>
      <c r="I1450" s="31" t="s">
        <v>560</v>
      </c>
      <c r="J1450" s="29" t="s">
        <v>2646</v>
      </c>
      <c r="K1450" s="29" t="s">
        <v>2647</v>
      </c>
      <c r="L1450" s="29" t="s">
        <v>2648</v>
      </c>
      <c r="M1450" s="29" t="s">
        <v>2089</v>
      </c>
      <c r="N1450" s="29" t="s">
        <v>2090</v>
      </c>
      <c r="O1450" s="29" t="s">
        <v>594</v>
      </c>
    </row>
    <row r="1451" spans="1:15">
      <c r="A1451" s="25">
        <v>22626</v>
      </c>
      <c r="B1451" s="34" t="s">
        <v>2684</v>
      </c>
      <c r="C1451" s="31" t="s">
        <v>521</v>
      </c>
      <c r="D1451" s="31" t="s">
        <v>745</v>
      </c>
      <c r="E1451" s="28">
        <v>43236</v>
      </c>
      <c r="F1451" s="28">
        <v>43267</v>
      </c>
      <c r="G1451" s="28">
        <v>43646</v>
      </c>
      <c r="H1451" s="29" t="s">
        <v>560</v>
      </c>
      <c r="I1451" s="29" t="s">
        <v>560</v>
      </c>
      <c r="J1451" s="29" t="s">
        <v>2646</v>
      </c>
      <c r="K1451" s="29" t="s">
        <v>2647</v>
      </c>
      <c r="L1451" s="29" t="s">
        <v>2648</v>
      </c>
      <c r="M1451" s="29" t="s">
        <v>2092</v>
      </c>
      <c r="N1451" s="29" t="s">
        <v>2041</v>
      </c>
      <c r="O1451" s="29" t="s">
        <v>594</v>
      </c>
    </row>
    <row r="1452" spans="1:15">
      <c r="A1452" s="25">
        <v>22655</v>
      </c>
      <c r="B1452" s="34" t="s">
        <v>2685</v>
      </c>
      <c r="C1452" s="31" t="s">
        <v>521</v>
      </c>
      <c r="D1452" s="31" t="s">
        <v>1199</v>
      </c>
      <c r="E1452" s="28">
        <v>43241</v>
      </c>
      <c r="F1452" s="28">
        <v>43272</v>
      </c>
      <c r="G1452" s="28">
        <v>43646</v>
      </c>
      <c r="H1452" s="29" t="s">
        <v>560</v>
      </c>
      <c r="I1452" s="29" t="s">
        <v>560</v>
      </c>
      <c r="J1452" s="29" t="s">
        <v>2646</v>
      </c>
      <c r="K1452" s="29" t="s">
        <v>2647</v>
      </c>
      <c r="L1452" s="29" t="s">
        <v>2648</v>
      </c>
      <c r="M1452" s="29" t="s">
        <v>2118</v>
      </c>
      <c r="N1452" s="29" t="s">
        <v>2041</v>
      </c>
      <c r="O1452" s="29" t="s">
        <v>594</v>
      </c>
    </row>
    <row r="1453" spans="1:15">
      <c r="A1453" s="25">
        <v>22748</v>
      </c>
      <c r="B1453" s="34" t="s">
        <v>2686</v>
      </c>
      <c r="C1453" s="31" t="s">
        <v>521</v>
      </c>
      <c r="D1453" s="31" t="s">
        <v>771</v>
      </c>
      <c r="E1453" s="28">
        <v>43255</v>
      </c>
      <c r="F1453" s="28">
        <v>43285</v>
      </c>
      <c r="G1453" s="28">
        <v>43646</v>
      </c>
      <c r="H1453" s="29" t="s">
        <v>560</v>
      </c>
      <c r="I1453" s="29" t="s">
        <v>560</v>
      </c>
      <c r="J1453" s="29" t="s">
        <v>2646</v>
      </c>
      <c r="K1453" s="29" t="s">
        <v>2647</v>
      </c>
      <c r="L1453" s="29" t="s">
        <v>2648</v>
      </c>
      <c r="M1453" s="29" t="s">
        <v>2687</v>
      </c>
      <c r="N1453" s="29" t="s">
        <v>1434</v>
      </c>
      <c r="O1453" s="29" t="s">
        <v>594</v>
      </c>
    </row>
    <row r="1454" spans="1:15">
      <c r="A1454" s="25">
        <v>22765</v>
      </c>
      <c r="B1454" s="34" t="s">
        <v>2688</v>
      </c>
      <c r="C1454" s="31" t="s">
        <v>521</v>
      </c>
      <c r="D1454" s="31" t="s">
        <v>771</v>
      </c>
      <c r="E1454" s="28">
        <v>43255</v>
      </c>
      <c r="F1454" s="28">
        <v>43285</v>
      </c>
      <c r="G1454" s="28">
        <v>43646</v>
      </c>
      <c r="H1454" s="27" t="s">
        <v>560</v>
      </c>
      <c r="I1454" s="27" t="s">
        <v>560</v>
      </c>
      <c r="J1454" s="29" t="s">
        <v>2646</v>
      </c>
      <c r="K1454" s="29" t="s">
        <v>2647</v>
      </c>
      <c r="L1454" s="29" t="s">
        <v>2648</v>
      </c>
      <c r="M1454" s="29" t="s">
        <v>2689</v>
      </c>
      <c r="N1454" s="29" t="s">
        <v>2041</v>
      </c>
      <c r="O1454" s="29" t="s">
        <v>594</v>
      </c>
    </row>
    <row r="1455" spans="1:15">
      <c r="A1455" s="25">
        <v>22895</v>
      </c>
      <c r="B1455" s="34" t="s">
        <v>2690</v>
      </c>
      <c r="C1455" s="31" t="s">
        <v>521</v>
      </c>
      <c r="D1455" s="31" t="s">
        <v>775</v>
      </c>
      <c r="E1455" s="28">
        <v>43333</v>
      </c>
      <c r="F1455" s="28">
        <v>43364</v>
      </c>
      <c r="G1455" s="28">
        <v>43738</v>
      </c>
      <c r="H1455" s="29" t="s">
        <v>560</v>
      </c>
      <c r="I1455" s="29" t="s">
        <v>560</v>
      </c>
      <c r="J1455" s="29" t="s">
        <v>2646</v>
      </c>
      <c r="K1455" s="29" t="s">
        <v>2647</v>
      </c>
      <c r="L1455" s="29" t="s">
        <v>2648</v>
      </c>
      <c r="M1455" s="29" t="s">
        <v>2352</v>
      </c>
      <c r="N1455" s="29" t="s">
        <v>2023</v>
      </c>
      <c r="O1455" s="29" t="s">
        <v>594</v>
      </c>
    </row>
    <row r="1456" spans="1:15">
      <c r="A1456" s="25">
        <v>23013</v>
      </c>
      <c r="B1456" s="34" t="s">
        <v>2691</v>
      </c>
      <c r="C1456" s="31" t="s">
        <v>521</v>
      </c>
      <c r="D1456" s="31" t="s">
        <v>1872</v>
      </c>
      <c r="E1456" s="28">
        <v>43361</v>
      </c>
      <c r="F1456" s="28">
        <v>43391</v>
      </c>
      <c r="G1456" s="28">
        <v>43769</v>
      </c>
      <c r="H1456" s="29" t="s">
        <v>560</v>
      </c>
      <c r="I1456" s="29" t="s">
        <v>560</v>
      </c>
      <c r="J1456" s="29" t="s">
        <v>2646</v>
      </c>
      <c r="K1456" s="29" t="s">
        <v>2647</v>
      </c>
      <c r="L1456" s="29" t="s">
        <v>2648</v>
      </c>
      <c r="M1456" s="29" t="s">
        <v>2079</v>
      </c>
      <c r="N1456" s="29" t="s">
        <v>2080</v>
      </c>
      <c r="O1456" s="29" t="s">
        <v>594</v>
      </c>
    </row>
    <row r="1457" spans="1:15">
      <c r="A1457" s="25">
        <v>23041</v>
      </c>
      <c r="B1457" s="34" t="s">
        <v>2692</v>
      </c>
      <c r="C1457" s="31" t="s">
        <v>521</v>
      </c>
      <c r="D1457" s="31" t="s">
        <v>1872</v>
      </c>
      <c r="E1457" s="28">
        <v>43361</v>
      </c>
      <c r="F1457" s="28">
        <v>43391</v>
      </c>
      <c r="G1457" s="28">
        <v>43769</v>
      </c>
      <c r="H1457" s="29" t="s">
        <v>560</v>
      </c>
      <c r="I1457" s="29" t="s">
        <v>560</v>
      </c>
      <c r="J1457" s="29" t="s">
        <v>2646</v>
      </c>
      <c r="K1457" s="29" t="s">
        <v>2647</v>
      </c>
      <c r="L1457" s="29" t="s">
        <v>2648</v>
      </c>
      <c r="M1457" s="29" t="s">
        <v>2050</v>
      </c>
      <c r="N1457" s="29" t="s">
        <v>1434</v>
      </c>
      <c r="O1457" s="29" t="s">
        <v>594</v>
      </c>
    </row>
    <row r="1458" spans="1:15">
      <c r="A1458" s="25">
        <v>23072</v>
      </c>
      <c r="B1458" s="34" t="s">
        <v>2693</v>
      </c>
      <c r="C1458" s="31" t="s">
        <v>521</v>
      </c>
      <c r="D1458" s="31" t="s">
        <v>1872</v>
      </c>
      <c r="E1458" s="28">
        <v>43361</v>
      </c>
      <c r="F1458" s="28">
        <v>43391</v>
      </c>
      <c r="G1458" s="28">
        <v>43769</v>
      </c>
      <c r="H1458" s="29" t="s">
        <v>560</v>
      </c>
      <c r="I1458" s="29" t="s">
        <v>560</v>
      </c>
      <c r="J1458" s="29" t="s">
        <v>2646</v>
      </c>
      <c r="K1458" s="29" t="s">
        <v>2647</v>
      </c>
      <c r="L1458" s="29" t="s">
        <v>2648</v>
      </c>
      <c r="M1458" s="29" t="s">
        <v>2694</v>
      </c>
      <c r="N1458" s="29" t="s">
        <v>1434</v>
      </c>
      <c r="O1458" s="29" t="s">
        <v>594</v>
      </c>
    </row>
    <row r="1459" spans="1:15">
      <c r="A1459" s="25">
        <v>23110</v>
      </c>
      <c r="B1459" s="34" t="s">
        <v>2695</v>
      </c>
      <c r="C1459" s="31" t="s">
        <v>521</v>
      </c>
      <c r="D1459" s="31" t="s">
        <v>1523</v>
      </c>
      <c r="E1459" s="28">
        <v>43369</v>
      </c>
      <c r="F1459" s="28">
        <v>43399</v>
      </c>
      <c r="G1459" s="28">
        <v>43769</v>
      </c>
      <c r="H1459" s="29" t="s">
        <v>560</v>
      </c>
      <c r="I1459" s="29" t="s">
        <v>560</v>
      </c>
      <c r="J1459" s="29" t="s">
        <v>2646</v>
      </c>
      <c r="K1459" s="29" t="s">
        <v>2647</v>
      </c>
      <c r="L1459" s="29" t="s">
        <v>2648</v>
      </c>
      <c r="M1459" s="29" t="s">
        <v>2087</v>
      </c>
      <c r="N1459" s="29" t="s">
        <v>1434</v>
      </c>
      <c r="O1459" s="29" t="s">
        <v>594</v>
      </c>
    </row>
    <row r="1460" spans="1:15">
      <c r="A1460" s="25">
        <v>23172</v>
      </c>
      <c r="B1460" s="34" t="s">
        <v>284</v>
      </c>
      <c r="C1460" s="31" t="s">
        <v>521</v>
      </c>
      <c r="D1460" s="31" t="s">
        <v>1523</v>
      </c>
      <c r="E1460" s="28">
        <v>43369</v>
      </c>
      <c r="F1460" s="28">
        <v>43399</v>
      </c>
      <c r="G1460" s="28">
        <v>43769</v>
      </c>
      <c r="H1460" s="29" t="s">
        <v>560</v>
      </c>
      <c r="I1460" s="29" t="s">
        <v>560</v>
      </c>
      <c r="J1460" s="29" t="s">
        <v>2646</v>
      </c>
      <c r="K1460" s="29" t="s">
        <v>2647</v>
      </c>
      <c r="L1460" s="29" t="s">
        <v>2648</v>
      </c>
      <c r="M1460" s="29" t="s">
        <v>2055</v>
      </c>
      <c r="N1460" s="29" t="s">
        <v>1434</v>
      </c>
      <c r="O1460" s="29" t="s">
        <v>594</v>
      </c>
    </row>
    <row r="1461" spans="1:15">
      <c r="A1461" s="25">
        <v>23180</v>
      </c>
      <c r="B1461" s="34" t="s">
        <v>2696</v>
      </c>
      <c r="C1461" s="31" t="s">
        <v>521</v>
      </c>
      <c r="D1461" s="31" t="s">
        <v>1523</v>
      </c>
      <c r="E1461" s="28">
        <v>43369</v>
      </c>
      <c r="F1461" s="28">
        <v>43399</v>
      </c>
      <c r="G1461" s="28">
        <v>43769</v>
      </c>
      <c r="H1461" s="29" t="s">
        <v>560</v>
      </c>
      <c r="I1461" s="29" t="s">
        <v>560</v>
      </c>
      <c r="J1461" s="29" t="s">
        <v>2646</v>
      </c>
      <c r="K1461" s="29" t="s">
        <v>2647</v>
      </c>
      <c r="L1461" s="29" t="s">
        <v>2648</v>
      </c>
      <c r="M1461" s="29" t="s">
        <v>2354</v>
      </c>
      <c r="N1461" s="29" t="s">
        <v>1434</v>
      </c>
      <c r="O1461" s="29" t="s">
        <v>594</v>
      </c>
    </row>
    <row r="1462" spans="1:15">
      <c r="A1462" s="25">
        <v>23228</v>
      </c>
      <c r="B1462" s="34" t="s">
        <v>2697</v>
      </c>
      <c r="C1462" s="31" t="s">
        <v>521</v>
      </c>
      <c r="D1462" s="31" t="s">
        <v>1582</v>
      </c>
      <c r="E1462" s="28">
        <v>43421</v>
      </c>
      <c r="F1462" s="28">
        <v>43451</v>
      </c>
      <c r="G1462" s="28">
        <v>43830</v>
      </c>
      <c r="H1462" s="29" t="s">
        <v>560</v>
      </c>
      <c r="I1462" s="29" t="s">
        <v>560</v>
      </c>
      <c r="J1462" s="29" t="s">
        <v>2646</v>
      </c>
      <c r="K1462" s="29" t="s">
        <v>2647</v>
      </c>
      <c r="L1462" s="29" t="s">
        <v>2648</v>
      </c>
      <c r="M1462" s="29" t="s">
        <v>2106</v>
      </c>
      <c r="N1462" s="29" t="s">
        <v>1434</v>
      </c>
      <c r="O1462" s="29" t="s">
        <v>594</v>
      </c>
    </row>
    <row r="1463" spans="1:15">
      <c r="A1463" s="25">
        <v>23240</v>
      </c>
      <c r="B1463" s="34" t="s">
        <v>2698</v>
      </c>
      <c r="C1463" s="31" t="s">
        <v>521</v>
      </c>
      <c r="D1463" s="31" t="s">
        <v>1582</v>
      </c>
      <c r="E1463" s="28">
        <v>43421</v>
      </c>
      <c r="F1463" s="28">
        <v>43451</v>
      </c>
      <c r="G1463" s="28">
        <v>43830</v>
      </c>
      <c r="H1463" s="29" t="s">
        <v>560</v>
      </c>
      <c r="I1463" s="29" t="s">
        <v>560</v>
      </c>
      <c r="J1463" s="29" t="s">
        <v>2646</v>
      </c>
      <c r="K1463" s="29" t="s">
        <v>2647</v>
      </c>
      <c r="L1463" s="29" t="s">
        <v>2648</v>
      </c>
      <c r="M1463" s="29" t="s">
        <v>2050</v>
      </c>
      <c r="N1463" s="29" t="s">
        <v>1434</v>
      </c>
      <c r="O1463" s="29" t="s">
        <v>594</v>
      </c>
    </row>
    <row r="1464" spans="1:15">
      <c r="A1464" s="25">
        <v>23347</v>
      </c>
      <c r="B1464" s="34" t="s">
        <v>2699</v>
      </c>
      <c r="C1464" s="31" t="s">
        <v>521</v>
      </c>
      <c r="D1464" s="31" t="s">
        <v>1527</v>
      </c>
      <c r="E1464" s="28">
        <v>43427</v>
      </c>
      <c r="F1464" s="28">
        <v>43457</v>
      </c>
      <c r="G1464" s="28">
        <v>43830</v>
      </c>
      <c r="H1464" s="29" t="s">
        <v>560</v>
      </c>
      <c r="I1464" s="29" t="s">
        <v>560</v>
      </c>
      <c r="J1464" s="29" t="s">
        <v>2646</v>
      </c>
      <c r="K1464" s="29" t="s">
        <v>2647</v>
      </c>
      <c r="L1464" s="29" t="s">
        <v>2648</v>
      </c>
      <c r="M1464" s="29" t="s">
        <v>2700</v>
      </c>
      <c r="N1464" s="29" t="s">
        <v>1586</v>
      </c>
      <c r="O1464" s="29" t="s">
        <v>594</v>
      </c>
    </row>
    <row r="1465" spans="1:15">
      <c r="A1465" s="25">
        <v>23454</v>
      </c>
      <c r="B1465" s="34" t="s">
        <v>2701</v>
      </c>
      <c r="C1465" s="31" t="s">
        <v>521</v>
      </c>
      <c r="D1465" s="31" t="s">
        <v>882</v>
      </c>
      <c r="E1465" s="28">
        <v>43434</v>
      </c>
      <c r="F1465" s="28">
        <v>43464</v>
      </c>
      <c r="G1465" s="28">
        <v>43830</v>
      </c>
      <c r="H1465" s="29" t="s">
        <v>560</v>
      </c>
      <c r="I1465" s="29" t="s">
        <v>560</v>
      </c>
      <c r="J1465" s="29" t="s">
        <v>2646</v>
      </c>
      <c r="K1465" s="29" t="s">
        <v>2647</v>
      </c>
      <c r="L1465" s="29" t="s">
        <v>2648</v>
      </c>
      <c r="M1465" s="29" t="s">
        <v>2183</v>
      </c>
      <c r="N1465" s="29" t="s">
        <v>1434</v>
      </c>
      <c r="O1465" s="29" t="s">
        <v>594</v>
      </c>
    </row>
    <row r="1466" spans="1:15">
      <c r="A1466" s="25">
        <v>23461</v>
      </c>
      <c r="B1466" s="34" t="s">
        <v>2702</v>
      </c>
      <c r="C1466" s="31" t="s">
        <v>521</v>
      </c>
      <c r="D1466" s="31" t="s">
        <v>882</v>
      </c>
      <c r="E1466" s="28">
        <v>43434</v>
      </c>
      <c r="F1466" s="28">
        <v>43464</v>
      </c>
      <c r="G1466" s="28">
        <v>43830</v>
      </c>
      <c r="H1466" s="29" t="s">
        <v>560</v>
      </c>
      <c r="I1466" s="29" t="s">
        <v>560</v>
      </c>
      <c r="J1466" s="29" t="s">
        <v>2646</v>
      </c>
      <c r="K1466" s="29" t="s">
        <v>2647</v>
      </c>
      <c r="L1466" s="29" t="s">
        <v>2648</v>
      </c>
      <c r="M1466" s="29" t="s">
        <v>2361</v>
      </c>
      <c r="N1466" s="29" t="s">
        <v>1586</v>
      </c>
      <c r="O1466" s="29" t="s">
        <v>594</v>
      </c>
    </row>
    <row r="1467" spans="1:15">
      <c r="A1467" s="25">
        <v>23510</v>
      </c>
      <c r="B1467" s="34" t="s">
        <v>2703</v>
      </c>
      <c r="C1467" s="31" t="s">
        <v>521</v>
      </c>
      <c r="D1467" s="31" t="s">
        <v>1588</v>
      </c>
      <c r="E1467" s="28">
        <v>43441</v>
      </c>
      <c r="F1467" s="28">
        <v>43472</v>
      </c>
      <c r="G1467" s="28">
        <v>43830</v>
      </c>
      <c r="H1467" s="29" t="s">
        <v>560</v>
      </c>
      <c r="I1467" s="29" t="s">
        <v>560</v>
      </c>
      <c r="J1467" s="29" t="s">
        <v>2646</v>
      </c>
      <c r="K1467" s="29" t="s">
        <v>2647</v>
      </c>
      <c r="L1467" s="29" t="s">
        <v>2648</v>
      </c>
      <c r="M1467" s="29" t="s">
        <v>2704</v>
      </c>
      <c r="N1467" s="29" t="s">
        <v>1586</v>
      </c>
      <c r="O1467" s="29" t="s">
        <v>594</v>
      </c>
    </row>
    <row r="1468" spans="1:15">
      <c r="A1468" s="25" t="s">
        <v>2705</v>
      </c>
      <c r="B1468" s="26" t="s">
        <v>2706</v>
      </c>
      <c r="C1468" s="27" t="s">
        <v>521</v>
      </c>
      <c r="D1468" s="27" t="s">
        <v>2584</v>
      </c>
      <c r="E1468" s="28">
        <v>42634</v>
      </c>
      <c r="F1468" s="28">
        <v>43132</v>
      </c>
      <c r="G1468" s="28">
        <v>43496</v>
      </c>
      <c r="H1468" s="31" t="s">
        <v>560</v>
      </c>
      <c r="I1468" s="31" t="s">
        <v>560</v>
      </c>
      <c r="J1468" s="29" t="s">
        <v>2646</v>
      </c>
      <c r="K1468" s="29" t="s">
        <v>2647</v>
      </c>
      <c r="L1468" s="29" t="s">
        <v>2648</v>
      </c>
      <c r="M1468" s="29" t="s">
        <v>2079</v>
      </c>
      <c r="N1468" s="29" t="s">
        <v>2080</v>
      </c>
      <c r="O1468" s="29" t="s">
        <v>594</v>
      </c>
    </row>
    <row r="1469" spans="1:15">
      <c r="A1469" s="25" t="s">
        <v>2707</v>
      </c>
      <c r="B1469" s="34" t="s">
        <v>2708</v>
      </c>
      <c r="C1469" s="31" t="s">
        <v>521</v>
      </c>
      <c r="D1469" s="31" t="s">
        <v>892</v>
      </c>
      <c r="E1469" s="28">
        <v>43467</v>
      </c>
      <c r="F1469" s="28">
        <v>43467</v>
      </c>
      <c r="G1469" s="28">
        <v>43497</v>
      </c>
      <c r="H1469" s="29" t="s">
        <v>560</v>
      </c>
      <c r="I1469" s="29" t="s">
        <v>560</v>
      </c>
      <c r="J1469" s="29" t="s">
        <v>2646</v>
      </c>
      <c r="K1469" s="29" t="s">
        <v>2647</v>
      </c>
      <c r="L1469" s="29" t="s">
        <v>2648</v>
      </c>
      <c r="M1469" s="29" t="s">
        <v>2709</v>
      </c>
      <c r="N1469" s="29" t="s">
        <v>1586</v>
      </c>
      <c r="O1469" s="29" t="s">
        <v>594</v>
      </c>
    </row>
    <row r="1470" spans="1:15">
      <c r="A1470" s="25" t="s">
        <v>2710</v>
      </c>
      <c r="B1470" s="34" t="s">
        <v>2711</v>
      </c>
      <c r="C1470" s="31" t="s">
        <v>521</v>
      </c>
      <c r="D1470" s="31" t="s">
        <v>892</v>
      </c>
      <c r="E1470" s="28">
        <v>43467</v>
      </c>
      <c r="F1470" s="28">
        <v>43467</v>
      </c>
      <c r="G1470" s="28">
        <v>43497</v>
      </c>
      <c r="H1470" s="29" t="s">
        <v>560</v>
      </c>
      <c r="I1470" s="29" t="s">
        <v>560</v>
      </c>
      <c r="J1470" s="29" t="s">
        <v>2304</v>
      </c>
      <c r="K1470" s="29" t="s">
        <v>2305</v>
      </c>
      <c r="L1470" s="29" t="s">
        <v>2648</v>
      </c>
      <c r="M1470" s="29" t="s">
        <v>2643</v>
      </c>
      <c r="N1470" s="29" t="s">
        <v>1586</v>
      </c>
      <c r="O1470" s="29" t="s">
        <v>594</v>
      </c>
    </row>
    <row r="1471" spans="1:15">
      <c r="A1471" s="25">
        <v>726</v>
      </c>
      <c r="B1471" s="26" t="s">
        <v>2712</v>
      </c>
      <c r="C1471" s="27" t="s">
        <v>521</v>
      </c>
      <c r="D1471" s="27" t="s">
        <v>2713</v>
      </c>
      <c r="E1471" s="28">
        <v>37816</v>
      </c>
      <c r="F1471" s="28" t="s">
        <v>35</v>
      </c>
      <c r="G1471" s="28" t="s">
        <v>35</v>
      </c>
      <c r="H1471" s="29" t="s">
        <v>560</v>
      </c>
      <c r="I1471" s="29" t="s">
        <v>560</v>
      </c>
      <c r="J1471" s="29" t="s">
        <v>2646</v>
      </c>
      <c r="K1471" s="29" t="s">
        <v>2647</v>
      </c>
      <c r="L1471" s="29" t="s">
        <v>2648</v>
      </c>
      <c r="M1471" s="29" t="s">
        <v>2244</v>
      </c>
      <c r="N1471" s="29" t="s">
        <v>2023</v>
      </c>
      <c r="O1471" s="29" t="s">
        <v>590</v>
      </c>
    </row>
    <row r="1472" spans="1:15">
      <c r="A1472" s="25">
        <v>5263</v>
      </c>
      <c r="B1472" s="26" t="s">
        <v>2714</v>
      </c>
      <c r="C1472" s="27" t="s">
        <v>521</v>
      </c>
      <c r="D1472" s="27" t="s">
        <v>1130</v>
      </c>
      <c r="E1472" s="28">
        <v>38961</v>
      </c>
      <c r="F1472" s="28" t="s">
        <v>35</v>
      </c>
      <c r="G1472" s="28" t="s">
        <v>35</v>
      </c>
      <c r="H1472" s="27" t="s">
        <v>560</v>
      </c>
      <c r="I1472" s="27" t="s">
        <v>560</v>
      </c>
      <c r="J1472" s="29" t="s">
        <v>2646</v>
      </c>
      <c r="K1472" s="29" t="s">
        <v>2647</v>
      </c>
      <c r="L1472" s="29" t="s">
        <v>2648</v>
      </c>
      <c r="M1472" s="29" t="s">
        <v>1550</v>
      </c>
      <c r="N1472" s="29" t="s">
        <v>1045</v>
      </c>
      <c r="O1472" s="29" t="s">
        <v>590</v>
      </c>
    </row>
    <row r="1473" spans="1:15">
      <c r="A1473" s="25">
        <v>8698</v>
      </c>
      <c r="B1473" s="26" t="s">
        <v>2207</v>
      </c>
      <c r="C1473" s="27" t="s">
        <v>521</v>
      </c>
      <c r="D1473" s="27" t="s">
        <v>692</v>
      </c>
      <c r="E1473" s="28">
        <v>39888</v>
      </c>
      <c r="F1473" s="28" t="s">
        <v>35</v>
      </c>
      <c r="G1473" s="28" t="s">
        <v>35</v>
      </c>
      <c r="H1473" s="27" t="s">
        <v>560</v>
      </c>
      <c r="I1473" s="27" t="s">
        <v>560</v>
      </c>
      <c r="J1473" s="29" t="s">
        <v>2646</v>
      </c>
      <c r="K1473" s="29" t="s">
        <v>2647</v>
      </c>
      <c r="L1473" s="29" t="s">
        <v>2648</v>
      </c>
      <c r="M1473" s="29" t="s">
        <v>2055</v>
      </c>
      <c r="N1473" s="29" t="s">
        <v>1434</v>
      </c>
      <c r="O1473" s="29" t="s">
        <v>590</v>
      </c>
    </row>
    <row r="1474" spans="1:15">
      <c r="A1474" s="25">
        <v>9247</v>
      </c>
      <c r="B1474" s="26" t="s">
        <v>2715</v>
      </c>
      <c r="C1474" s="27" t="s">
        <v>521</v>
      </c>
      <c r="D1474" s="27" t="s">
        <v>658</v>
      </c>
      <c r="E1474" s="28">
        <v>40148</v>
      </c>
      <c r="F1474" s="28" t="s">
        <v>35</v>
      </c>
      <c r="G1474" s="28" t="s">
        <v>35</v>
      </c>
      <c r="H1474" s="27" t="s">
        <v>560</v>
      </c>
      <c r="I1474" s="27" t="s">
        <v>560</v>
      </c>
      <c r="J1474" s="29" t="s">
        <v>2646</v>
      </c>
      <c r="K1474" s="29" t="s">
        <v>2647</v>
      </c>
      <c r="L1474" s="29" t="s">
        <v>2648</v>
      </c>
      <c r="M1474" s="29" t="s">
        <v>2308</v>
      </c>
      <c r="N1474" s="29" t="s">
        <v>2041</v>
      </c>
      <c r="O1474" s="29" t="s">
        <v>590</v>
      </c>
    </row>
    <row r="1475" spans="1:15">
      <c r="A1475" s="25">
        <v>9263</v>
      </c>
      <c r="B1475" s="32" t="s">
        <v>2716</v>
      </c>
      <c r="C1475" s="27" t="s">
        <v>521</v>
      </c>
      <c r="D1475" s="27" t="s">
        <v>658</v>
      </c>
      <c r="E1475" s="28">
        <v>40148</v>
      </c>
      <c r="F1475" s="28" t="s">
        <v>35</v>
      </c>
      <c r="G1475" s="28" t="s">
        <v>35</v>
      </c>
      <c r="H1475" s="29" t="s">
        <v>560</v>
      </c>
      <c r="I1475" s="29" t="s">
        <v>560</v>
      </c>
      <c r="J1475" s="29" t="s">
        <v>2646</v>
      </c>
      <c r="K1475" s="29" t="s">
        <v>2647</v>
      </c>
      <c r="L1475" s="29" t="s">
        <v>2648</v>
      </c>
      <c r="M1475" s="29" t="s">
        <v>2366</v>
      </c>
      <c r="N1475" s="29" t="s">
        <v>2023</v>
      </c>
      <c r="O1475" s="29" t="s">
        <v>590</v>
      </c>
    </row>
    <row r="1476" spans="1:15">
      <c r="A1476" s="78">
        <v>9523</v>
      </c>
      <c r="B1476" s="79" t="s">
        <v>2717</v>
      </c>
      <c r="C1476" s="31" t="s">
        <v>521</v>
      </c>
      <c r="D1476" s="80" t="s">
        <v>658</v>
      </c>
      <c r="E1476" s="81">
        <v>40148</v>
      </c>
      <c r="F1476" s="28" t="s">
        <v>35</v>
      </c>
      <c r="G1476" s="28" t="s">
        <v>35</v>
      </c>
      <c r="H1476" s="29" t="s">
        <v>560</v>
      </c>
      <c r="I1476" s="29" t="s">
        <v>560</v>
      </c>
      <c r="J1476" s="29" t="s">
        <v>2646</v>
      </c>
      <c r="K1476" s="29" t="s">
        <v>2647</v>
      </c>
      <c r="L1476" s="29" t="s">
        <v>2648</v>
      </c>
      <c r="M1476" s="29" t="s">
        <v>2197</v>
      </c>
      <c r="N1476" s="29" t="s">
        <v>2031</v>
      </c>
      <c r="O1476" s="29" t="s">
        <v>590</v>
      </c>
    </row>
    <row r="1477" spans="1:15">
      <c r="A1477" s="25">
        <v>9907</v>
      </c>
      <c r="B1477" s="26" t="s">
        <v>2718</v>
      </c>
      <c r="C1477" s="27" t="s">
        <v>521</v>
      </c>
      <c r="D1477" s="27" t="s">
        <v>1748</v>
      </c>
      <c r="E1477" s="28">
        <v>40424</v>
      </c>
      <c r="F1477" s="28" t="s">
        <v>35</v>
      </c>
      <c r="G1477" s="28" t="s">
        <v>35</v>
      </c>
      <c r="H1477" s="29" t="s">
        <v>560</v>
      </c>
      <c r="I1477" s="29" t="s">
        <v>560</v>
      </c>
      <c r="J1477" s="29" t="s">
        <v>2646</v>
      </c>
      <c r="K1477" s="29" t="s">
        <v>2647</v>
      </c>
      <c r="L1477" s="29" t="s">
        <v>2648</v>
      </c>
      <c r="M1477" s="29" t="s">
        <v>2310</v>
      </c>
      <c r="N1477" s="29" t="s">
        <v>1434</v>
      </c>
      <c r="O1477" s="29" t="s">
        <v>590</v>
      </c>
    </row>
    <row r="1478" spans="1:15">
      <c r="A1478" s="25">
        <v>10804</v>
      </c>
      <c r="B1478" s="26" t="s">
        <v>2719</v>
      </c>
      <c r="C1478" s="27" t="s">
        <v>521</v>
      </c>
      <c r="D1478" s="27" t="s">
        <v>838</v>
      </c>
      <c r="E1478" s="28">
        <v>40567</v>
      </c>
      <c r="F1478" s="28" t="s">
        <v>35</v>
      </c>
      <c r="G1478" s="28" t="s">
        <v>35</v>
      </c>
      <c r="H1478" s="27" t="s">
        <v>560</v>
      </c>
      <c r="I1478" s="27" t="s">
        <v>560</v>
      </c>
      <c r="J1478" s="29" t="s">
        <v>2646</v>
      </c>
      <c r="K1478" s="29" t="s">
        <v>2647</v>
      </c>
      <c r="L1478" s="29" t="s">
        <v>2648</v>
      </c>
      <c r="M1478" s="29" t="s">
        <v>2025</v>
      </c>
      <c r="N1478" s="29" t="s">
        <v>2026</v>
      </c>
      <c r="O1478" s="29" t="s">
        <v>590</v>
      </c>
    </row>
    <row r="1479" spans="1:15">
      <c r="A1479" s="25">
        <v>11369</v>
      </c>
      <c r="B1479" s="26" t="s">
        <v>2720</v>
      </c>
      <c r="C1479" s="27" t="s">
        <v>521</v>
      </c>
      <c r="D1479" s="27" t="s">
        <v>1639</v>
      </c>
      <c r="E1479" s="28">
        <v>40696</v>
      </c>
      <c r="F1479" s="28" t="s">
        <v>35</v>
      </c>
      <c r="G1479" s="28" t="s">
        <v>35</v>
      </c>
      <c r="H1479" s="27" t="s">
        <v>560</v>
      </c>
      <c r="I1479" s="27" t="s">
        <v>560</v>
      </c>
      <c r="J1479" s="29" t="s">
        <v>2646</v>
      </c>
      <c r="K1479" s="29" t="s">
        <v>2647</v>
      </c>
      <c r="L1479" s="29" t="s">
        <v>2648</v>
      </c>
      <c r="M1479" s="29" t="s">
        <v>2342</v>
      </c>
      <c r="N1479" s="29" t="s">
        <v>2041</v>
      </c>
      <c r="O1479" s="29" t="s">
        <v>590</v>
      </c>
    </row>
    <row r="1480" spans="1:15">
      <c r="A1480" s="25">
        <v>11374</v>
      </c>
      <c r="B1480" s="26" t="s">
        <v>2721</v>
      </c>
      <c r="C1480" s="27" t="s">
        <v>521</v>
      </c>
      <c r="D1480" s="27" t="s">
        <v>1639</v>
      </c>
      <c r="E1480" s="28">
        <v>40696</v>
      </c>
      <c r="F1480" s="28" t="s">
        <v>35</v>
      </c>
      <c r="G1480" s="28" t="s">
        <v>35</v>
      </c>
      <c r="H1480" s="27" t="s">
        <v>560</v>
      </c>
      <c r="I1480" s="27" t="s">
        <v>560</v>
      </c>
      <c r="J1480" s="29" t="s">
        <v>2646</v>
      </c>
      <c r="K1480" s="29" t="s">
        <v>2647</v>
      </c>
      <c r="L1480" s="29" t="s">
        <v>2648</v>
      </c>
      <c r="M1480" s="29" t="s">
        <v>2028</v>
      </c>
      <c r="N1480" s="29" t="s">
        <v>1434</v>
      </c>
      <c r="O1480" s="29" t="s">
        <v>590</v>
      </c>
    </row>
    <row r="1481" spans="1:15">
      <c r="A1481" s="25">
        <v>11442</v>
      </c>
      <c r="B1481" s="26" t="s">
        <v>2722</v>
      </c>
      <c r="C1481" s="27" t="s">
        <v>521</v>
      </c>
      <c r="D1481" s="27" t="s">
        <v>711</v>
      </c>
      <c r="E1481" s="28">
        <v>40701</v>
      </c>
      <c r="F1481" s="28" t="s">
        <v>35</v>
      </c>
      <c r="G1481" s="28" t="s">
        <v>35</v>
      </c>
      <c r="H1481" s="29" t="s">
        <v>560</v>
      </c>
      <c r="I1481" s="29" t="s">
        <v>560</v>
      </c>
      <c r="J1481" s="29" t="s">
        <v>2646</v>
      </c>
      <c r="K1481" s="29" t="s">
        <v>2647</v>
      </c>
      <c r="L1481" s="29" t="s">
        <v>2648</v>
      </c>
      <c r="M1481" s="29" t="s">
        <v>2141</v>
      </c>
      <c r="N1481" s="29" t="s">
        <v>2031</v>
      </c>
      <c r="O1481" s="29" t="s">
        <v>590</v>
      </c>
    </row>
    <row r="1482" spans="1:15">
      <c r="A1482" s="25">
        <v>11709</v>
      </c>
      <c r="B1482" s="26" t="s">
        <v>2723</v>
      </c>
      <c r="C1482" s="27" t="s">
        <v>521</v>
      </c>
      <c r="D1482" s="27" t="s">
        <v>675</v>
      </c>
      <c r="E1482" s="28">
        <v>40714</v>
      </c>
      <c r="F1482" s="28" t="s">
        <v>35</v>
      </c>
      <c r="G1482" s="28" t="s">
        <v>35</v>
      </c>
      <c r="H1482" s="27" t="s">
        <v>560</v>
      </c>
      <c r="I1482" s="27" t="s">
        <v>560</v>
      </c>
      <c r="J1482" s="29" t="s">
        <v>2646</v>
      </c>
      <c r="K1482" s="29" t="s">
        <v>2647</v>
      </c>
      <c r="L1482" s="29" t="s">
        <v>2648</v>
      </c>
      <c r="M1482" s="29" t="s">
        <v>2094</v>
      </c>
      <c r="N1482" s="29" t="s">
        <v>1434</v>
      </c>
      <c r="O1482" s="29" t="s">
        <v>590</v>
      </c>
    </row>
    <row r="1483" spans="1:15">
      <c r="A1483" s="25">
        <v>11779</v>
      </c>
      <c r="B1483" s="26" t="s">
        <v>2724</v>
      </c>
      <c r="C1483" s="27" t="s">
        <v>521</v>
      </c>
      <c r="D1483" s="27" t="s">
        <v>675</v>
      </c>
      <c r="E1483" s="28">
        <v>40714</v>
      </c>
      <c r="F1483" s="28" t="s">
        <v>35</v>
      </c>
      <c r="G1483" s="28" t="s">
        <v>35</v>
      </c>
      <c r="H1483" s="27" t="s">
        <v>560</v>
      </c>
      <c r="I1483" s="27" t="s">
        <v>560</v>
      </c>
      <c r="J1483" s="29" t="s">
        <v>2646</v>
      </c>
      <c r="K1483" s="29" t="s">
        <v>2647</v>
      </c>
      <c r="L1483" s="29" t="s">
        <v>2648</v>
      </c>
      <c r="M1483" s="29" t="s">
        <v>2061</v>
      </c>
      <c r="N1483" s="29" t="s">
        <v>2041</v>
      </c>
      <c r="O1483" s="29" t="s">
        <v>590</v>
      </c>
    </row>
    <row r="1484" spans="1:15">
      <c r="A1484" s="25">
        <v>12154</v>
      </c>
      <c r="B1484" s="26" t="s">
        <v>2725</v>
      </c>
      <c r="C1484" s="27" t="s">
        <v>521</v>
      </c>
      <c r="D1484" s="27" t="s">
        <v>665</v>
      </c>
      <c r="E1484" s="28">
        <v>40798</v>
      </c>
      <c r="F1484" s="28" t="s">
        <v>35</v>
      </c>
      <c r="G1484" s="28" t="s">
        <v>35</v>
      </c>
      <c r="H1484" s="27" t="s">
        <v>560</v>
      </c>
      <c r="I1484" s="27" t="s">
        <v>560</v>
      </c>
      <c r="J1484" s="29" t="s">
        <v>2646</v>
      </c>
      <c r="K1484" s="29" t="s">
        <v>2647</v>
      </c>
      <c r="L1484" s="29" t="s">
        <v>2648</v>
      </c>
      <c r="M1484" s="29" t="s">
        <v>2057</v>
      </c>
      <c r="N1484" s="29" t="s">
        <v>2041</v>
      </c>
      <c r="O1484" s="29" t="s">
        <v>590</v>
      </c>
    </row>
    <row r="1485" spans="1:15">
      <c r="A1485" s="25">
        <v>12271</v>
      </c>
      <c r="B1485" s="26" t="s">
        <v>2726</v>
      </c>
      <c r="C1485" s="27" t="s">
        <v>521</v>
      </c>
      <c r="D1485" s="27" t="s">
        <v>817</v>
      </c>
      <c r="E1485" s="28">
        <v>40805</v>
      </c>
      <c r="F1485" s="28" t="s">
        <v>35</v>
      </c>
      <c r="G1485" s="28" t="s">
        <v>35</v>
      </c>
      <c r="H1485" s="27" t="s">
        <v>560</v>
      </c>
      <c r="I1485" s="29" t="s">
        <v>560</v>
      </c>
      <c r="J1485" s="29" t="s">
        <v>2646</v>
      </c>
      <c r="K1485" s="29" t="s">
        <v>2647</v>
      </c>
      <c r="L1485" s="29" t="s">
        <v>2648</v>
      </c>
      <c r="M1485" s="29" t="s">
        <v>2310</v>
      </c>
      <c r="N1485" s="29" t="s">
        <v>1434</v>
      </c>
      <c r="O1485" s="29" t="s">
        <v>590</v>
      </c>
    </row>
    <row r="1486" spans="1:15">
      <c r="A1486" s="25">
        <v>12698</v>
      </c>
      <c r="B1486" s="26" t="s">
        <v>2727</v>
      </c>
      <c r="C1486" s="27" t="s">
        <v>521</v>
      </c>
      <c r="D1486" s="27" t="s">
        <v>1739</v>
      </c>
      <c r="E1486" s="28">
        <v>40819</v>
      </c>
      <c r="F1486" s="28" t="s">
        <v>35</v>
      </c>
      <c r="G1486" s="28" t="s">
        <v>35</v>
      </c>
      <c r="H1486" s="27" t="s">
        <v>560</v>
      </c>
      <c r="I1486" s="27" t="s">
        <v>560</v>
      </c>
      <c r="J1486" s="29" t="s">
        <v>2646</v>
      </c>
      <c r="K1486" s="29" t="s">
        <v>2647</v>
      </c>
      <c r="L1486" s="29" t="s">
        <v>2648</v>
      </c>
      <c r="M1486" s="29" t="s">
        <v>2338</v>
      </c>
      <c r="N1486" s="29" t="s">
        <v>1434</v>
      </c>
      <c r="O1486" s="29" t="s">
        <v>590</v>
      </c>
    </row>
    <row r="1487" spans="1:15">
      <c r="A1487" s="25">
        <v>13158</v>
      </c>
      <c r="B1487" s="26" t="s">
        <v>2728</v>
      </c>
      <c r="C1487" s="27" t="s">
        <v>521</v>
      </c>
      <c r="D1487" s="27" t="s">
        <v>2729</v>
      </c>
      <c r="E1487" s="28">
        <v>40896</v>
      </c>
      <c r="F1487" s="28" t="s">
        <v>35</v>
      </c>
      <c r="G1487" s="28" t="s">
        <v>35</v>
      </c>
      <c r="H1487" s="27" t="s">
        <v>560</v>
      </c>
      <c r="I1487" s="27" t="s">
        <v>560</v>
      </c>
      <c r="J1487" s="29" t="s">
        <v>2646</v>
      </c>
      <c r="K1487" s="29" t="s">
        <v>2647</v>
      </c>
      <c r="L1487" s="29" t="s">
        <v>2648</v>
      </c>
      <c r="M1487" s="29" t="s">
        <v>2035</v>
      </c>
      <c r="N1487" s="29" t="s">
        <v>1434</v>
      </c>
      <c r="O1487" s="29" t="s">
        <v>590</v>
      </c>
    </row>
    <row r="1488" spans="1:15">
      <c r="A1488" s="25">
        <v>13654</v>
      </c>
      <c r="B1488" s="26" t="s">
        <v>2730</v>
      </c>
      <c r="C1488" s="27" t="s">
        <v>521</v>
      </c>
      <c r="D1488" s="27" t="s">
        <v>2731</v>
      </c>
      <c r="E1488" s="28">
        <v>41165</v>
      </c>
      <c r="F1488" s="28" t="s">
        <v>35</v>
      </c>
      <c r="G1488" s="28" t="s">
        <v>35</v>
      </c>
      <c r="H1488" s="27" t="s">
        <v>560</v>
      </c>
      <c r="I1488" s="27" t="s">
        <v>560</v>
      </c>
      <c r="J1488" s="29" t="s">
        <v>2646</v>
      </c>
      <c r="K1488" s="29" t="s">
        <v>2647</v>
      </c>
      <c r="L1488" s="29" t="s">
        <v>2648</v>
      </c>
      <c r="M1488" s="29" t="s">
        <v>2087</v>
      </c>
      <c r="N1488" s="29" t="s">
        <v>1434</v>
      </c>
      <c r="O1488" s="29" t="s">
        <v>590</v>
      </c>
    </row>
    <row r="1489" spans="1:15">
      <c r="A1489" s="25">
        <v>18959</v>
      </c>
      <c r="B1489" s="26" t="s">
        <v>2732</v>
      </c>
      <c r="C1489" s="27" t="s">
        <v>521</v>
      </c>
      <c r="D1489" s="27" t="s">
        <v>855</v>
      </c>
      <c r="E1489" s="28">
        <v>42214</v>
      </c>
      <c r="F1489" s="28" t="s">
        <v>35</v>
      </c>
      <c r="G1489" s="28" t="s">
        <v>35</v>
      </c>
      <c r="H1489" s="27" t="s">
        <v>560</v>
      </c>
      <c r="I1489" s="27" t="s">
        <v>560</v>
      </c>
      <c r="J1489" s="29" t="s">
        <v>2646</v>
      </c>
      <c r="K1489" s="29" t="s">
        <v>2647</v>
      </c>
      <c r="L1489" s="29" t="s">
        <v>2648</v>
      </c>
      <c r="M1489" s="29" t="s">
        <v>2354</v>
      </c>
      <c r="N1489" s="29" t="s">
        <v>1434</v>
      </c>
      <c r="O1489" s="29" t="s">
        <v>590</v>
      </c>
    </row>
    <row r="1490" spans="1:15">
      <c r="A1490" s="25">
        <v>19158</v>
      </c>
      <c r="B1490" s="26" t="s">
        <v>2733</v>
      </c>
      <c r="C1490" s="27" t="s">
        <v>521</v>
      </c>
      <c r="D1490" s="27" t="s">
        <v>797</v>
      </c>
      <c r="E1490" s="28">
        <v>42254</v>
      </c>
      <c r="F1490" s="28" t="s">
        <v>35</v>
      </c>
      <c r="G1490" s="28" t="s">
        <v>35</v>
      </c>
      <c r="H1490" s="27" t="s">
        <v>560</v>
      </c>
      <c r="I1490" s="27" t="s">
        <v>560</v>
      </c>
      <c r="J1490" s="29" t="s">
        <v>2646</v>
      </c>
      <c r="K1490" s="29" t="s">
        <v>2647</v>
      </c>
      <c r="L1490" s="29" t="s">
        <v>2648</v>
      </c>
      <c r="M1490" s="29" t="s">
        <v>2120</v>
      </c>
      <c r="N1490" s="29" t="s">
        <v>1434</v>
      </c>
      <c r="O1490" s="29" t="s">
        <v>590</v>
      </c>
    </row>
    <row r="1491" spans="1:15">
      <c r="A1491" s="25">
        <v>20527</v>
      </c>
      <c r="B1491" s="26" t="s">
        <v>2734</v>
      </c>
      <c r="C1491" s="27" t="s">
        <v>521</v>
      </c>
      <c r="D1491" s="27" t="s">
        <v>1644</v>
      </c>
      <c r="E1491" s="28">
        <v>42634</v>
      </c>
      <c r="F1491" s="28">
        <v>43132</v>
      </c>
      <c r="G1491" s="28">
        <v>43496</v>
      </c>
      <c r="H1491" s="27" t="s">
        <v>560</v>
      </c>
      <c r="I1491" s="27" t="s">
        <v>560</v>
      </c>
      <c r="J1491" s="29" t="s">
        <v>2646</v>
      </c>
      <c r="K1491" s="29" t="s">
        <v>2647</v>
      </c>
      <c r="L1491" s="29" t="s">
        <v>2648</v>
      </c>
      <c r="M1491" s="29" t="s">
        <v>2658</v>
      </c>
      <c r="N1491" s="29" t="s">
        <v>1434</v>
      </c>
      <c r="O1491" s="29" t="s">
        <v>590</v>
      </c>
    </row>
    <row r="1492" spans="1:15">
      <c r="A1492" s="25">
        <v>20591</v>
      </c>
      <c r="B1492" s="26" t="s">
        <v>2735</v>
      </c>
      <c r="C1492" s="27" t="s">
        <v>521</v>
      </c>
      <c r="D1492" s="27" t="s">
        <v>673</v>
      </c>
      <c r="E1492" s="28">
        <v>42639</v>
      </c>
      <c r="F1492" s="28">
        <v>43132</v>
      </c>
      <c r="G1492" s="28">
        <v>43496</v>
      </c>
      <c r="H1492" s="25" t="s">
        <v>560</v>
      </c>
      <c r="I1492" s="25" t="s">
        <v>560</v>
      </c>
      <c r="J1492" s="29" t="s">
        <v>2646</v>
      </c>
      <c r="K1492" s="29" t="s">
        <v>2647</v>
      </c>
      <c r="L1492" s="29" t="s">
        <v>2648</v>
      </c>
      <c r="M1492" s="29" t="s">
        <v>2333</v>
      </c>
      <c r="N1492" s="29" t="s">
        <v>2041</v>
      </c>
      <c r="O1492" s="29" t="s">
        <v>590</v>
      </c>
    </row>
    <row r="1493" spans="1:15">
      <c r="A1493" s="25">
        <v>20628</v>
      </c>
      <c r="B1493" s="26" t="s">
        <v>2736</v>
      </c>
      <c r="C1493" s="27" t="s">
        <v>521</v>
      </c>
      <c r="D1493" s="27" t="s">
        <v>673</v>
      </c>
      <c r="E1493" s="28">
        <v>42639</v>
      </c>
      <c r="F1493" s="28">
        <v>43132</v>
      </c>
      <c r="G1493" s="28">
        <v>43496</v>
      </c>
      <c r="H1493" s="25" t="s">
        <v>560</v>
      </c>
      <c r="I1493" s="25" t="s">
        <v>560</v>
      </c>
      <c r="J1493" s="29" t="s">
        <v>2646</v>
      </c>
      <c r="K1493" s="29" t="s">
        <v>2647</v>
      </c>
      <c r="L1493" s="29" t="s">
        <v>2648</v>
      </c>
      <c r="M1493" s="29" t="s">
        <v>2089</v>
      </c>
      <c r="N1493" s="29" t="s">
        <v>2090</v>
      </c>
      <c r="O1493" s="29" t="s">
        <v>590</v>
      </c>
    </row>
    <row r="1494" spans="1:15">
      <c r="A1494" s="25">
        <v>20816</v>
      </c>
      <c r="B1494" s="26" t="s">
        <v>2737</v>
      </c>
      <c r="C1494" s="27" t="s">
        <v>521</v>
      </c>
      <c r="D1494" s="27" t="s">
        <v>1684</v>
      </c>
      <c r="E1494" s="28">
        <v>42649</v>
      </c>
      <c r="F1494" s="28">
        <v>43132</v>
      </c>
      <c r="G1494" s="28">
        <v>43496</v>
      </c>
      <c r="H1494" s="25" t="s">
        <v>560</v>
      </c>
      <c r="I1494" s="27" t="s">
        <v>560</v>
      </c>
      <c r="J1494" s="29" t="s">
        <v>2646</v>
      </c>
      <c r="K1494" s="29" t="s">
        <v>2647</v>
      </c>
      <c r="L1494" s="29" t="s">
        <v>2648</v>
      </c>
      <c r="M1494" s="29" t="s">
        <v>2068</v>
      </c>
      <c r="N1494" s="29" t="s">
        <v>1434</v>
      </c>
      <c r="O1494" s="29" t="s">
        <v>590</v>
      </c>
    </row>
    <row r="1495" spans="1:15">
      <c r="A1495" s="25">
        <v>20900</v>
      </c>
      <c r="B1495" s="26" t="s">
        <v>2738</v>
      </c>
      <c r="C1495" s="27" t="s">
        <v>521</v>
      </c>
      <c r="D1495" s="27" t="s">
        <v>807</v>
      </c>
      <c r="E1495" s="28">
        <v>42660</v>
      </c>
      <c r="F1495" s="28">
        <v>43160</v>
      </c>
      <c r="G1495" s="28">
        <v>43524</v>
      </c>
      <c r="H1495" s="27" t="s">
        <v>560</v>
      </c>
      <c r="I1495" s="27" t="s">
        <v>560</v>
      </c>
      <c r="J1495" s="29" t="s">
        <v>2646</v>
      </c>
      <c r="K1495" s="29" t="s">
        <v>2647</v>
      </c>
      <c r="L1495" s="29" t="s">
        <v>2648</v>
      </c>
      <c r="M1495" s="29" t="s">
        <v>2183</v>
      </c>
      <c r="N1495" s="29" t="s">
        <v>1434</v>
      </c>
      <c r="O1495" s="29" t="s">
        <v>590</v>
      </c>
    </row>
    <row r="1496" spans="1:15">
      <c r="A1496" s="25">
        <v>20917</v>
      </c>
      <c r="B1496" s="26" t="s">
        <v>2739</v>
      </c>
      <c r="C1496" s="27" t="s">
        <v>521</v>
      </c>
      <c r="D1496" s="27" t="s">
        <v>807</v>
      </c>
      <c r="E1496" s="28">
        <v>42660</v>
      </c>
      <c r="F1496" s="28">
        <v>43160</v>
      </c>
      <c r="G1496" s="28">
        <v>43524</v>
      </c>
      <c r="H1496" s="27" t="s">
        <v>560</v>
      </c>
      <c r="I1496" s="27" t="s">
        <v>560</v>
      </c>
      <c r="J1496" s="29" t="s">
        <v>2646</v>
      </c>
      <c r="K1496" s="29" t="s">
        <v>2647</v>
      </c>
      <c r="L1496" s="29" t="s">
        <v>2648</v>
      </c>
      <c r="M1496" s="29" t="s">
        <v>2096</v>
      </c>
      <c r="N1496" s="29" t="s">
        <v>1434</v>
      </c>
      <c r="O1496" s="29" t="s">
        <v>590</v>
      </c>
    </row>
    <row r="1497" spans="1:15">
      <c r="A1497" s="25">
        <v>21414</v>
      </c>
      <c r="B1497" s="34" t="s">
        <v>2740</v>
      </c>
      <c r="C1497" s="31" t="s">
        <v>521</v>
      </c>
      <c r="D1497" s="31" t="s">
        <v>2283</v>
      </c>
      <c r="E1497" s="28">
        <v>43018</v>
      </c>
      <c r="F1497" s="28">
        <v>43405</v>
      </c>
      <c r="G1497" s="28">
        <v>43769</v>
      </c>
      <c r="H1497" s="29" t="s">
        <v>560</v>
      </c>
      <c r="I1497" s="29" t="s">
        <v>560</v>
      </c>
      <c r="J1497" s="29" t="s">
        <v>2646</v>
      </c>
      <c r="K1497" s="29" t="s">
        <v>2647</v>
      </c>
      <c r="L1497" s="29" t="s">
        <v>2648</v>
      </c>
      <c r="M1497" s="29" t="s">
        <v>2050</v>
      </c>
      <c r="N1497" s="29" t="s">
        <v>1434</v>
      </c>
      <c r="O1497" s="29" t="s">
        <v>590</v>
      </c>
    </row>
    <row r="1498" spans="1:15">
      <c r="A1498" s="25">
        <v>21440</v>
      </c>
      <c r="B1498" s="34" t="s">
        <v>2741</v>
      </c>
      <c r="C1498" s="31" t="s">
        <v>521</v>
      </c>
      <c r="D1498" s="31" t="s">
        <v>2166</v>
      </c>
      <c r="E1498" s="28">
        <v>43024</v>
      </c>
      <c r="F1498" s="28">
        <v>43435</v>
      </c>
      <c r="G1498" s="28">
        <v>43799</v>
      </c>
      <c r="H1498" s="29" t="s">
        <v>560</v>
      </c>
      <c r="I1498" s="29" t="s">
        <v>560</v>
      </c>
      <c r="J1498" s="29" t="s">
        <v>2646</v>
      </c>
      <c r="K1498" s="29" t="s">
        <v>2647</v>
      </c>
      <c r="L1498" s="29" t="s">
        <v>2648</v>
      </c>
      <c r="M1498" s="29" t="s">
        <v>2085</v>
      </c>
      <c r="N1498" s="29" t="s">
        <v>1434</v>
      </c>
      <c r="O1498" s="29" t="s">
        <v>590</v>
      </c>
    </row>
    <row r="1499" spans="1:15">
      <c r="A1499" s="25">
        <v>21496</v>
      </c>
      <c r="B1499" s="34" t="s">
        <v>2742</v>
      </c>
      <c r="C1499" s="31" t="s">
        <v>521</v>
      </c>
      <c r="D1499" s="31" t="s">
        <v>1804</v>
      </c>
      <c r="E1499" s="28">
        <v>43031</v>
      </c>
      <c r="F1499" s="28">
        <v>43435</v>
      </c>
      <c r="G1499" s="28">
        <v>43799</v>
      </c>
      <c r="H1499" s="29" t="s">
        <v>560</v>
      </c>
      <c r="I1499" s="29" t="s">
        <v>560</v>
      </c>
      <c r="J1499" s="29" t="s">
        <v>2646</v>
      </c>
      <c r="K1499" s="29" t="s">
        <v>2647</v>
      </c>
      <c r="L1499" s="29" t="s">
        <v>2648</v>
      </c>
      <c r="M1499" s="29" t="s">
        <v>2118</v>
      </c>
      <c r="N1499" s="29" t="s">
        <v>2041</v>
      </c>
      <c r="O1499" s="29" t="s">
        <v>590</v>
      </c>
    </row>
    <row r="1500" spans="1:15">
      <c r="A1500" s="25">
        <v>21732</v>
      </c>
      <c r="B1500" s="34" t="s">
        <v>2743</v>
      </c>
      <c r="C1500" s="31" t="s">
        <v>521</v>
      </c>
      <c r="D1500" s="31" t="s">
        <v>663</v>
      </c>
      <c r="E1500" s="28">
        <v>43087</v>
      </c>
      <c r="F1500" s="28">
        <v>43118</v>
      </c>
      <c r="G1500" s="28">
        <v>43496</v>
      </c>
      <c r="H1500" s="29" t="s">
        <v>560</v>
      </c>
      <c r="I1500" s="29" t="s">
        <v>560</v>
      </c>
      <c r="J1500" s="29" t="s">
        <v>2646</v>
      </c>
      <c r="K1500" s="29" t="s">
        <v>2647</v>
      </c>
      <c r="L1500" s="29" t="s">
        <v>2648</v>
      </c>
      <c r="M1500" s="29" t="s">
        <v>2082</v>
      </c>
      <c r="N1500" s="29" t="s">
        <v>1434</v>
      </c>
      <c r="O1500" s="29" t="s">
        <v>590</v>
      </c>
    </row>
    <row r="1501" spans="1:15">
      <c r="A1501" s="25">
        <v>21746</v>
      </c>
      <c r="B1501" s="34" t="s">
        <v>2744</v>
      </c>
      <c r="C1501" s="31" t="s">
        <v>521</v>
      </c>
      <c r="D1501" s="31" t="s">
        <v>663</v>
      </c>
      <c r="E1501" s="28">
        <v>43087</v>
      </c>
      <c r="F1501" s="28">
        <v>43118</v>
      </c>
      <c r="G1501" s="28">
        <v>43496</v>
      </c>
      <c r="H1501" s="29" t="s">
        <v>560</v>
      </c>
      <c r="I1501" s="29" t="s">
        <v>560</v>
      </c>
      <c r="J1501" s="29" t="s">
        <v>2646</v>
      </c>
      <c r="K1501" s="29" t="s">
        <v>2647</v>
      </c>
      <c r="L1501" s="29" t="s">
        <v>2648</v>
      </c>
      <c r="M1501" s="29" t="s">
        <v>2687</v>
      </c>
      <c r="N1501" s="29" t="s">
        <v>1434</v>
      </c>
      <c r="O1501" s="29" t="s">
        <v>590</v>
      </c>
    </row>
    <row r="1502" spans="1:15">
      <c r="A1502" s="25">
        <v>21774</v>
      </c>
      <c r="B1502" s="34" t="s">
        <v>2745</v>
      </c>
      <c r="C1502" s="31" t="s">
        <v>521</v>
      </c>
      <c r="D1502" s="31" t="s">
        <v>1609</v>
      </c>
      <c r="E1502" s="28">
        <v>43090</v>
      </c>
      <c r="F1502" s="28">
        <v>43121</v>
      </c>
      <c r="G1502" s="28">
        <v>43496</v>
      </c>
      <c r="H1502" s="29" t="s">
        <v>560</v>
      </c>
      <c r="I1502" s="29" t="s">
        <v>560</v>
      </c>
      <c r="J1502" s="29" t="s">
        <v>2646</v>
      </c>
      <c r="K1502" s="29" t="s">
        <v>2647</v>
      </c>
      <c r="L1502" s="29" t="s">
        <v>2648</v>
      </c>
      <c r="M1502" s="29" t="s">
        <v>2163</v>
      </c>
      <c r="N1502" s="29" t="s">
        <v>2080</v>
      </c>
      <c r="O1502" s="29" t="s">
        <v>590</v>
      </c>
    </row>
    <row r="1503" spans="1:15">
      <c r="A1503" s="25">
        <v>21861</v>
      </c>
      <c r="B1503" s="34" t="s">
        <v>2746</v>
      </c>
      <c r="C1503" s="31" t="s">
        <v>521</v>
      </c>
      <c r="D1503" s="31" t="s">
        <v>732</v>
      </c>
      <c r="E1503" s="28">
        <v>43098</v>
      </c>
      <c r="F1503" s="28">
        <v>43129</v>
      </c>
      <c r="G1503" s="28">
        <v>43496</v>
      </c>
      <c r="H1503" s="29" t="s">
        <v>560</v>
      </c>
      <c r="I1503" s="29" t="s">
        <v>560</v>
      </c>
      <c r="J1503" s="29" t="s">
        <v>2646</v>
      </c>
      <c r="K1503" s="29" t="s">
        <v>2647</v>
      </c>
      <c r="L1503" s="29" t="s">
        <v>2648</v>
      </c>
      <c r="M1503" s="29" t="s">
        <v>2181</v>
      </c>
      <c r="N1503" s="29" t="s">
        <v>2080</v>
      </c>
      <c r="O1503" s="29" t="s">
        <v>590</v>
      </c>
    </row>
    <row r="1504" spans="1:15">
      <c r="A1504" s="25">
        <v>21998</v>
      </c>
      <c r="B1504" s="34" t="s">
        <v>866</v>
      </c>
      <c r="C1504" s="31" t="s">
        <v>521</v>
      </c>
      <c r="D1504" s="31" t="s">
        <v>1171</v>
      </c>
      <c r="E1504" s="28">
        <v>43139</v>
      </c>
      <c r="F1504" s="28">
        <v>43167</v>
      </c>
      <c r="G1504" s="28">
        <v>43524</v>
      </c>
      <c r="H1504" s="29" t="s">
        <v>560</v>
      </c>
      <c r="I1504" s="29" t="s">
        <v>560</v>
      </c>
      <c r="J1504" s="29" t="s">
        <v>2646</v>
      </c>
      <c r="K1504" s="29" t="s">
        <v>2647</v>
      </c>
      <c r="L1504" s="29" t="s">
        <v>2648</v>
      </c>
      <c r="M1504" s="29" t="s">
        <v>2092</v>
      </c>
      <c r="N1504" s="29" t="s">
        <v>2041</v>
      </c>
      <c r="O1504" s="29" t="s">
        <v>590</v>
      </c>
    </row>
    <row r="1505" spans="1:15">
      <c r="A1505" s="25">
        <v>22381</v>
      </c>
      <c r="B1505" s="34" t="s">
        <v>2747</v>
      </c>
      <c r="C1505" s="31" t="s">
        <v>521</v>
      </c>
      <c r="D1505" s="31" t="s">
        <v>805</v>
      </c>
      <c r="E1505" s="28">
        <v>43213</v>
      </c>
      <c r="F1505" s="28">
        <v>43243</v>
      </c>
      <c r="G1505" s="28">
        <v>43616</v>
      </c>
      <c r="H1505" s="29" t="s">
        <v>560</v>
      </c>
      <c r="I1505" s="29" t="s">
        <v>560</v>
      </c>
      <c r="J1505" s="29" t="s">
        <v>2646</v>
      </c>
      <c r="K1505" s="29" t="s">
        <v>2647</v>
      </c>
      <c r="L1505" s="29" t="s">
        <v>2648</v>
      </c>
      <c r="M1505" s="29" t="s">
        <v>2106</v>
      </c>
      <c r="N1505" s="29" t="s">
        <v>1434</v>
      </c>
      <c r="O1505" s="29" t="s">
        <v>590</v>
      </c>
    </row>
    <row r="1506" spans="1:15">
      <c r="A1506" s="25">
        <v>22383</v>
      </c>
      <c r="B1506" s="34" t="s">
        <v>2748</v>
      </c>
      <c r="C1506" s="31" t="s">
        <v>521</v>
      </c>
      <c r="D1506" s="31" t="s">
        <v>805</v>
      </c>
      <c r="E1506" s="28">
        <v>43213</v>
      </c>
      <c r="F1506" s="28">
        <v>43243</v>
      </c>
      <c r="G1506" s="28">
        <v>43616</v>
      </c>
      <c r="H1506" s="29" t="s">
        <v>560</v>
      </c>
      <c r="I1506" s="29" t="s">
        <v>560</v>
      </c>
      <c r="J1506" s="29" t="s">
        <v>2646</v>
      </c>
      <c r="K1506" s="29" t="s">
        <v>2647</v>
      </c>
      <c r="L1506" s="29" t="s">
        <v>2648</v>
      </c>
      <c r="M1506" s="29" t="s">
        <v>2352</v>
      </c>
      <c r="N1506" s="29" t="s">
        <v>2023</v>
      </c>
      <c r="O1506" s="29" t="s">
        <v>590</v>
      </c>
    </row>
    <row r="1507" spans="1:15">
      <c r="A1507" s="25">
        <v>22742</v>
      </c>
      <c r="B1507" s="34" t="s">
        <v>2749</v>
      </c>
      <c r="C1507" s="31" t="s">
        <v>521</v>
      </c>
      <c r="D1507" s="31" t="s">
        <v>771</v>
      </c>
      <c r="E1507" s="28">
        <v>43255</v>
      </c>
      <c r="F1507" s="28">
        <v>43285</v>
      </c>
      <c r="G1507" s="28">
        <v>43646</v>
      </c>
      <c r="H1507" s="29" t="s">
        <v>560</v>
      </c>
      <c r="I1507" s="29" t="s">
        <v>560</v>
      </c>
      <c r="J1507" s="29" t="s">
        <v>2646</v>
      </c>
      <c r="K1507" s="29" t="s">
        <v>2647</v>
      </c>
      <c r="L1507" s="29" t="s">
        <v>2648</v>
      </c>
      <c r="M1507" s="29" t="s">
        <v>2052</v>
      </c>
      <c r="N1507" s="29" t="s">
        <v>2041</v>
      </c>
      <c r="O1507" s="29" t="s">
        <v>590</v>
      </c>
    </row>
    <row r="1508" spans="1:15">
      <c r="A1508" s="25">
        <v>22851</v>
      </c>
      <c r="B1508" s="34" t="s">
        <v>2750</v>
      </c>
      <c r="C1508" s="31" t="s">
        <v>521</v>
      </c>
      <c r="D1508" s="31" t="s">
        <v>775</v>
      </c>
      <c r="E1508" s="28">
        <v>43333</v>
      </c>
      <c r="F1508" s="28">
        <v>43364</v>
      </c>
      <c r="G1508" s="28">
        <v>43738</v>
      </c>
      <c r="H1508" s="29" t="s">
        <v>560</v>
      </c>
      <c r="I1508" s="29" t="s">
        <v>560</v>
      </c>
      <c r="J1508" s="29" t="s">
        <v>2646</v>
      </c>
      <c r="K1508" s="29" t="s">
        <v>2647</v>
      </c>
      <c r="L1508" s="29" t="s">
        <v>2648</v>
      </c>
      <c r="M1508" s="29" t="s">
        <v>2496</v>
      </c>
      <c r="N1508" s="29" t="s">
        <v>2077</v>
      </c>
      <c r="O1508" s="29" t="s">
        <v>590</v>
      </c>
    </row>
    <row r="1509" spans="1:15">
      <c r="A1509" s="25">
        <v>22853</v>
      </c>
      <c r="B1509" s="34" t="s">
        <v>2751</v>
      </c>
      <c r="C1509" s="31" t="s">
        <v>521</v>
      </c>
      <c r="D1509" s="31" t="s">
        <v>775</v>
      </c>
      <c r="E1509" s="28">
        <v>43333</v>
      </c>
      <c r="F1509" s="28">
        <v>43364</v>
      </c>
      <c r="G1509" s="28">
        <v>43738</v>
      </c>
      <c r="H1509" s="29" t="s">
        <v>560</v>
      </c>
      <c r="I1509" s="29" t="s">
        <v>560</v>
      </c>
      <c r="J1509" s="29" t="s">
        <v>2646</v>
      </c>
      <c r="K1509" s="29" t="s">
        <v>2647</v>
      </c>
      <c r="L1509" s="29" t="s">
        <v>2648</v>
      </c>
      <c r="M1509" s="29" t="s">
        <v>2222</v>
      </c>
      <c r="N1509" s="29" t="s">
        <v>1586</v>
      </c>
      <c r="O1509" s="29" t="s">
        <v>590</v>
      </c>
    </row>
    <row r="1510" spans="1:15">
      <c r="A1510" s="25">
        <v>22940</v>
      </c>
      <c r="B1510" s="34" t="s">
        <v>2132</v>
      </c>
      <c r="C1510" s="31" t="s">
        <v>521</v>
      </c>
      <c r="D1510" s="31" t="s">
        <v>1962</v>
      </c>
      <c r="E1510" s="28">
        <v>43343</v>
      </c>
      <c r="F1510" s="28">
        <v>43374</v>
      </c>
      <c r="G1510" s="28">
        <v>43738</v>
      </c>
      <c r="H1510" s="29" t="s">
        <v>560</v>
      </c>
      <c r="I1510" s="29" t="s">
        <v>560</v>
      </c>
      <c r="J1510" s="29" t="s">
        <v>2646</v>
      </c>
      <c r="K1510" s="29" t="s">
        <v>2647</v>
      </c>
      <c r="L1510" s="29" t="s">
        <v>2648</v>
      </c>
      <c r="M1510" s="29" t="s">
        <v>2052</v>
      </c>
      <c r="N1510" s="29" t="s">
        <v>2041</v>
      </c>
      <c r="O1510" s="29" t="s">
        <v>590</v>
      </c>
    </row>
    <row r="1511" spans="1:15">
      <c r="A1511" s="25">
        <v>22957</v>
      </c>
      <c r="B1511" s="34" t="s">
        <v>2752</v>
      </c>
      <c r="C1511" s="31" t="s">
        <v>521</v>
      </c>
      <c r="D1511" s="31" t="s">
        <v>1962</v>
      </c>
      <c r="E1511" s="28">
        <v>43343</v>
      </c>
      <c r="F1511" s="28">
        <v>43374</v>
      </c>
      <c r="G1511" s="28">
        <v>43738</v>
      </c>
      <c r="H1511" s="29" t="s">
        <v>560</v>
      </c>
      <c r="I1511" s="29" t="s">
        <v>560</v>
      </c>
      <c r="J1511" s="29" t="s">
        <v>2646</v>
      </c>
      <c r="K1511" s="29" t="s">
        <v>2647</v>
      </c>
      <c r="L1511" s="29" t="s">
        <v>2648</v>
      </c>
      <c r="M1511" s="29" t="s">
        <v>2331</v>
      </c>
      <c r="N1511" s="29" t="s">
        <v>2023</v>
      </c>
      <c r="O1511" s="29" t="s">
        <v>590</v>
      </c>
    </row>
    <row r="1512" spans="1:15">
      <c r="A1512" s="25">
        <v>22990</v>
      </c>
      <c r="B1512" s="34" t="s">
        <v>2753</v>
      </c>
      <c r="C1512" s="31" t="s">
        <v>521</v>
      </c>
      <c r="D1512" s="31" t="s">
        <v>1962</v>
      </c>
      <c r="E1512" s="28">
        <v>43343</v>
      </c>
      <c r="F1512" s="28">
        <v>43374</v>
      </c>
      <c r="G1512" s="28">
        <v>43738</v>
      </c>
      <c r="H1512" s="29" t="s">
        <v>560</v>
      </c>
      <c r="I1512" s="29" t="s">
        <v>560</v>
      </c>
      <c r="J1512" s="29" t="s">
        <v>2646</v>
      </c>
      <c r="K1512" s="29" t="s">
        <v>2647</v>
      </c>
      <c r="L1512" s="29" t="s">
        <v>2648</v>
      </c>
      <c r="M1512" s="29" t="s">
        <v>2406</v>
      </c>
      <c r="N1512" s="29" t="s">
        <v>1434</v>
      </c>
      <c r="O1512" s="29" t="s">
        <v>590</v>
      </c>
    </row>
    <row r="1513" spans="1:15">
      <c r="A1513" s="25">
        <v>22994</v>
      </c>
      <c r="B1513" s="34" t="s">
        <v>2754</v>
      </c>
      <c r="C1513" s="31" t="s">
        <v>521</v>
      </c>
      <c r="D1513" s="31" t="s">
        <v>1872</v>
      </c>
      <c r="E1513" s="28">
        <v>43361</v>
      </c>
      <c r="F1513" s="28">
        <v>43391</v>
      </c>
      <c r="G1513" s="28">
        <v>43769</v>
      </c>
      <c r="H1513" s="29" t="s">
        <v>560</v>
      </c>
      <c r="I1513" s="29" t="s">
        <v>560</v>
      </c>
      <c r="J1513" s="29" t="s">
        <v>2646</v>
      </c>
      <c r="K1513" s="29" t="s">
        <v>2647</v>
      </c>
      <c r="L1513" s="29" t="s">
        <v>2648</v>
      </c>
      <c r="M1513" s="29" t="s">
        <v>2077</v>
      </c>
      <c r="N1513" s="29" t="s">
        <v>2077</v>
      </c>
      <c r="O1513" s="29" t="s">
        <v>590</v>
      </c>
    </row>
    <row r="1514" spans="1:15">
      <c r="A1514" s="25">
        <v>23029</v>
      </c>
      <c r="B1514" s="34" t="s">
        <v>2755</v>
      </c>
      <c r="C1514" s="31" t="s">
        <v>521</v>
      </c>
      <c r="D1514" s="31" t="s">
        <v>1872</v>
      </c>
      <c r="E1514" s="28">
        <v>43361</v>
      </c>
      <c r="F1514" s="28">
        <v>43391</v>
      </c>
      <c r="G1514" s="28">
        <v>43769</v>
      </c>
      <c r="H1514" s="29" t="s">
        <v>560</v>
      </c>
      <c r="I1514" s="29" t="s">
        <v>560</v>
      </c>
      <c r="J1514" s="29" t="s">
        <v>2646</v>
      </c>
      <c r="K1514" s="29" t="s">
        <v>2647</v>
      </c>
      <c r="L1514" s="29" t="s">
        <v>2648</v>
      </c>
      <c r="M1514" s="29" t="s">
        <v>2048</v>
      </c>
      <c r="N1514" s="29" t="s">
        <v>1434</v>
      </c>
      <c r="O1514" s="29" t="s">
        <v>590</v>
      </c>
    </row>
    <row r="1515" spans="1:15">
      <c r="A1515" s="25">
        <v>23229</v>
      </c>
      <c r="B1515" s="34" t="s">
        <v>2756</v>
      </c>
      <c r="C1515" s="31" t="s">
        <v>521</v>
      </c>
      <c r="D1515" s="31" t="s">
        <v>1582</v>
      </c>
      <c r="E1515" s="28">
        <v>43421</v>
      </c>
      <c r="F1515" s="28">
        <v>43451</v>
      </c>
      <c r="G1515" s="28">
        <v>43830</v>
      </c>
      <c r="H1515" s="29" t="s">
        <v>560</v>
      </c>
      <c r="I1515" s="29" t="s">
        <v>560</v>
      </c>
      <c r="J1515" s="29" t="s">
        <v>2646</v>
      </c>
      <c r="K1515" s="29" t="s">
        <v>2647</v>
      </c>
      <c r="L1515" s="29" t="s">
        <v>2648</v>
      </c>
      <c r="M1515" s="29" t="s">
        <v>2072</v>
      </c>
      <c r="N1515" s="29" t="s">
        <v>1434</v>
      </c>
      <c r="O1515" s="29" t="s">
        <v>590</v>
      </c>
    </row>
    <row r="1516" spans="1:15">
      <c r="A1516" s="25">
        <v>23230</v>
      </c>
      <c r="B1516" s="34" t="s">
        <v>2757</v>
      </c>
      <c r="C1516" s="31" t="s">
        <v>521</v>
      </c>
      <c r="D1516" s="31" t="s">
        <v>1582</v>
      </c>
      <c r="E1516" s="28">
        <v>43421</v>
      </c>
      <c r="F1516" s="28">
        <v>43451</v>
      </c>
      <c r="G1516" s="28">
        <v>43830</v>
      </c>
      <c r="H1516" s="29" t="s">
        <v>560</v>
      </c>
      <c r="I1516" s="29" t="s">
        <v>560</v>
      </c>
      <c r="J1516" s="29" t="s">
        <v>2646</v>
      </c>
      <c r="K1516" s="29" t="s">
        <v>2647</v>
      </c>
      <c r="L1516" s="29" t="s">
        <v>2648</v>
      </c>
      <c r="M1516" s="29" t="s">
        <v>2074</v>
      </c>
      <c r="N1516" s="29" t="s">
        <v>1434</v>
      </c>
      <c r="O1516" s="29" t="s">
        <v>590</v>
      </c>
    </row>
    <row r="1517" spans="1:15">
      <c r="A1517" s="25">
        <v>23385</v>
      </c>
      <c r="B1517" s="34" t="s">
        <v>2758</v>
      </c>
      <c r="C1517" s="31" t="s">
        <v>521</v>
      </c>
      <c r="D1517" s="31" t="s">
        <v>1527</v>
      </c>
      <c r="E1517" s="28">
        <v>43427</v>
      </c>
      <c r="F1517" s="28">
        <v>43457</v>
      </c>
      <c r="G1517" s="28">
        <v>43830</v>
      </c>
      <c r="H1517" s="29" t="s">
        <v>560</v>
      </c>
      <c r="I1517" s="29" t="s">
        <v>560</v>
      </c>
      <c r="J1517" s="29" t="s">
        <v>2646</v>
      </c>
      <c r="K1517" s="29" t="s">
        <v>2647</v>
      </c>
      <c r="L1517" s="29" t="s">
        <v>2648</v>
      </c>
      <c r="M1517" s="29" t="s">
        <v>2759</v>
      </c>
      <c r="N1517" s="29" t="s">
        <v>1586</v>
      </c>
      <c r="O1517" s="29" t="s">
        <v>590</v>
      </c>
    </row>
    <row r="1518" spans="1:15">
      <c r="A1518" s="25">
        <v>23511</v>
      </c>
      <c r="B1518" s="34" t="s">
        <v>2760</v>
      </c>
      <c r="C1518" s="31" t="s">
        <v>521</v>
      </c>
      <c r="D1518" s="31" t="s">
        <v>1588</v>
      </c>
      <c r="E1518" s="28">
        <v>43441</v>
      </c>
      <c r="F1518" s="28">
        <v>43472</v>
      </c>
      <c r="G1518" s="28">
        <v>43830</v>
      </c>
      <c r="H1518" s="29" t="s">
        <v>560</v>
      </c>
      <c r="I1518" s="29" t="s">
        <v>560</v>
      </c>
      <c r="J1518" s="29" t="s">
        <v>2646</v>
      </c>
      <c r="K1518" s="29" t="s">
        <v>2647</v>
      </c>
      <c r="L1518" s="29" t="s">
        <v>2648</v>
      </c>
      <c r="M1518" s="29" t="s">
        <v>1593</v>
      </c>
      <c r="N1518" s="29" t="s">
        <v>1586</v>
      </c>
      <c r="O1518" s="29" t="s">
        <v>590</v>
      </c>
    </row>
    <row r="1519" spans="1:15">
      <c r="A1519" s="25">
        <v>23567</v>
      </c>
      <c r="B1519" s="34" t="s">
        <v>2761</v>
      </c>
      <c r="C1519" s="31" t="s">
        <v>521</v>
      </c>
      <c r="D1519" s="31" t="s">
        <v>884</v>
      </c>
      <c r="E1519" s="28">
        <v>43452</v>
      </c>
      <c r="F1519" s="28">
        <v>43483</v>
      </c>
      <c r="G1519" s="28">
        <v>43861</v>
      </c>
      <c r="H1519" s="29" t="s">
        <v>560</v>
      </c>
      <c r="I1519" s="29" t="s">
        <v>560</v>
      </c>
      <c r="J1519" s="29" t="s">
        <v>2646</v>
      </c>
      <c r="K1519" s="29" t="s">
        <v>2647</v>
      </c>
      <c r="L1519" s="29" t="s">
        <v>2648</v>
      </c>
      <c r="M1519" s="29" t="s">
        <v>1593</v>
      </c>
      <c r="N1519" s="29" t="s">
        <v>1586</v>
      </c>
      <c r="O1519" s="29" t="s">
        <v>590</v>
      </c>
    </row>
    <row r="1520" spans="1:15">
      <c r="A1520" s="25" t="s">
        <v>2762</v>
      </c>
      <c r="B1520" s="34" t="s">
        <v>2763</v>
      </c>
      <c r="C1520" s="31" t="s">
        <v>521</v>
      </c>
      <c r="D1520" s="31" t="s">
        <v>892</v>
      </c>
      <c r="E1520" s="28">
        <v>43467</v>
      </c>
      <c r="F1520" s="28">
        <v>43467</v>
      </c>
      <c r="G1520" s="28">
        <v>43497</v>
      </c>
      <c r="H1520" s="29" t="s">
        <v>560</v>
      </c>
      <c r="I1520" s="29" t="s">
        <v>560</v>
      </c>
      <c r="J1520" s="29" t="s">
        <v>2646</v>
      </c>
      <c r="K1520" s="29" t="s">
        <v>2647</v>
      </c>
      <c r="L1520" s="29" t="s">
        <v>2648</v>
      </c>
      <c r="M1520" s="29" t="s">
        <v>1593</v>
      </c>
      <c r="N1520" s="29" t="s">
        <v>1586</v>
      </c>
      <c r="O1520" s="29" t="s">
        <v>590</v>
      </c>
    </row>
    <row r="1521" spans="1:15">
      <c r="A1521" s="25">
        <v>976</v>
      </c>
      <c r="B1521" s="26" t="s">
        <v>2764</v>
      </c>
      <c r="C1521" s="27" t="s">
        <v>521</v>
      </c>
      <c r="D1521" s="27" t="s">
        <v>709</v>
      </c>
      <c r="E1521" s="28">
        <v>37872</v>
      </c>
      <c r="F1521" s="28" t="s">
        <v>35</v>
      </c>
      <c r="G1521" s="28" t="s">
        <v>35</v>
      </c>
      <c r="H1521" s="29" t="s">
        <v>560</v>
      </c>
      <c r="I1521" s="29" t="s">
        <v>560</v>
      </c>
      <c r="J1521" s="29" t="s">
        <v>2270</v>
      </c>
      <c r="K1521" s="29" t="s">
        <v>2765</v>
      </c>
      <c r="L1521" s="29" t="s">
        <v>2766</v>
      </c>
      <c r="M1521" s="29" t="s">
        <v>1550</v>
      </c>
      <c r="N1521" s="29" t="s">
        <v>1045</v>
      </c>
      <c r="O1521" s="29" t="s">
        <v>594</v>
      </c>
    </row>
    <row r="1522" spans="1:15">
      <c r="A1522" s="25">
        <v>8635</v>
      </c>
      <c r="B1522" s="26" t="s">
        <v>857</v>
      </c>
      <c r="C1522" s="27" t="s">
        <v>521</v>
      </c>
      <c r="D1522" s="27" t="s">
        <v>1493</v>
      </c>
      <c r="E1522" s="28">
        <v>39878</v>
      </c>
      <c r="F1522" s="28" t="s">
        <v>35</v>
      </c>
      <c r="G1522" s="28" t="s">
        <v>35</v>
      </c>
      <c r="H1522" s="29" t="s">
        <v>560</v>
      </c>
      <c r="I1522" s="29" t="s">
        <v>560</v>
      </c>
      <c r="J1522" s="29" t="s">
        <v>2270</v>
      </c>
      <c r="K1522" s="29" t="s">
        <v>2765</v>
      </c>
      <c r="L1522" s="29" t="s">
        <v>2766</v>
      </c>
      <c r="M1522" s="29" t="s">
        <v>2293</v>
      </c>
      <c r="N1522" s="29" t="s">
        <v>2041</v>
      </c>
      <c r="O1522" s="29" t="s">
        <v>594</v>
      </c>
    </row>
    <row r="1523" spans="1:15">
      <c r="A1523" s="25">
        <v>8761</v>
      </c>
      <c r="B1523" s="26" t="s">
        <v>2767</v>
      </c>
      <c r="C1523" s="27" t="s">
        <v>521</v>
      </c>
      <c r="D1523" s="27" t="s">
        <v>2768</v>
      </c>
      <c r="E1523" s="28">
        <v>39925</v>
      </c>
      <c r="F1523" s="28" t="s">
        <v>35</v>
      </c>
      <c r="G1523" s="28" t="s">
        <v>35</v>
      </c>
      <c r="H1523" s="27" t="s">
        <v>560</v>
      </c>
      <c r="I1523" s="27" t="s">
        <v>560</v>
      </c>
      <c r="J1523" s="29" t="s">
        <v>2270</v>
      </c>
      <c r="K1523" s="29" t="s">
        <v>2765</v>
      </c>
      <c r="L1523" s="29" t="s">
        <v>2766</v>
      </c>
      <c r="M1523" s="29" t="s">
        <v>2293</v>
      </c>
      <c r="N1523" s="29" t="s">
        <v>1434</v>
      </c>
      <c r="O1523" s="29" t="s">
        <v>594</v>
      </c>
    </row>
    <row r="1524" spans="1:15">
      <c r="A1524" s="25">
        <v>9034</v>
      </c>
      <c r="B1524" s="34" t="s">
        <v>2769</v>
      </c>
      <c r="C1524" s="31" t="s">
        <v>521</v>
      </c>
      <c r="D1524" s="31" t="s">
        <v>715</v>
      </c>
      <c r="E1524" s="28">
        <v>39975</v>
      </c>
      <c r="F1524" s="28" t="s">
        <v>35</v>
      </c>
      <c r="G1524" s="28" t="s">
        <v>35</v>
      </c>
      <c r="H1524" s="29" t="s">
        <v>560</v>
      </c>
      <c r="I1524" s="29" t="s">
        <v>560</v>
      </c>
      <c r="J1524" s="27" t="s">
        <v>2270</v>
      </c>
      <c r="K1524" s="27" t="s">
        <v>2765</v>
      </c>
      <c r="L1524" s="27" t="s">
        <v>2766</v>
      </c>
      <c r="M1524" s="29" t="s">
        <v>2030</v>
      </c>
      <c r="N1524" s="29" t="s">
        <v>2031</v>
      </c>
      <c r="O1524" s="29" t="s">
        <v>594</v>
      </c>
    </row>
    <row r="1525" spans="1:15">
      <c r="A1525" s="25">
        <v>10538</v>
      </c>
      <c r="B1525" s="26" t="s">
        <v>2770</v>
      </c>
      <c r="C1525" s="27" t="s">
        <v>521</v>
      </c>
      <c r="D1525" s="27" t="s">
        <v>738</v>
      </c>
      <c r="E1525" s="28">
        <v>40535</v>
      </c>
      <c r="F1525" s="28" t="s">
        <v>35</v>
      </c>
      <c r="G1525" s="28" t="s">
        <v>35</v>
      </c>
      <c r="H1525" s="29" t="s">
        <v>560</v>
      </c>
      <c r="I1525" s="29" t="s">
        <v>560</v>
      </c>
      <c r="J1525" s="29" t="s">
        <v>2270</v>
      </c>
      <c r="K1525" s="29" t="s">
        <v>2765</v>
      </c>
      <c r="L1525" s="29" t="s">
        <v>2766</v>
      </c>
      <c r="M1525" s="29" t="s">
        <v>2025</v>
      </c>
      <c r="N1525" s="29" t="s">
        <v>2026</v>
      </c>
      <c r="O1525" s="29" t="s">
        <v>594</v>
      </c>
    </row>
    <row r="1526" spans="1:15">
      <c r="A1526" s="25">
        <v>10597</v>
      </c>
      <c r="B1526" s="33" t="s">
        <v>2771</v>
      </c>
      <c r="C1526" s="27" t="s">
        <v>521</v>
      </c>
      <c r="D1526" s="27" t="s">
        <v>602</v>
      </c>
      <c r="E1526" s="28">
        <v>40544</v>
      </c>
      <c r="F1526" s="28" t="s">
        <v>35</v>
      </c>
      <c r="G1526" s="28" t="s">
        <v>35</v>
      </c>
      <c r="H1526" s="29" t="s">
        <v>560</v>
      </c>
      <c r="I1526" s="29" t="s">
        <v>560</v>
      </c>
      <c r="J1526" s="27" t="s">
        <v>2270</v>
      </c>
      <c r="K1526" s="27" t="s">
        <v>2765</v>
      </c>
      <c r="L1526" s="27" t="s">
        <v>2766</v>
      </c>
      <c r="M1526" s="27" t="s">
        <v>2772</v>
      </c>
      <c r="N1526" s="27" t="s">
        <v>2023</v>
      </c>
      <c r="O1526" s="29" t="s">
        <v>594</v>
      </c>
    </row>
    <row r="1527" spans="1:15">
      <c r="A1527" s="25">
        <v>12665</v>
      </c>
      <c r="B1527" s="26" t="s">
        <v>2773</v>
      </c>
      <c r="C1527" s="27" t="s">
        <v>521</v>
      </c>
      <c r="D1527" s="27" t="s">
        <v>1739</v>
      </c>
      <c r="E1527" s="28">
        <v>40819</v>
      </c>
      <c r="F1527" s="28" t="s">
        <v>35</v>
      </c>
      <c r="G1527" s="28" t="s">
        <v>35</v>
      </c>
      <c r="H1527" s="27" t="s">
        <v>560</v>
      </c>
      <c r="I1527" s="27" t="s">
        <v>560</v>
      </c>
      <c r="J1527" s="27" t="s">
        <v>2270</v>
      </c>
      <c r="K1527" s="27" t="s">
        <v>2765</v>
      </c>
      <c r="L1527" s="27" t="s">
        <v>2766</v>
      </c>
      <c r="M1527" s="27" t="s">
        <v>2308</v>
      </c>
      <c r="N1527" s="27" t="s">
        <v>2041</v>
      </c>
      <c r="O1527" s="29" t="s">
        <v>594</v>
      </c>
    </row>
    <row r="1528" spans="1:15">
      <c r="A1528" s="25">
        <v>12731</v>
      </c>
      <c r="B1528" s="26" t="s">
        <v>2774</v>
      </c>
      <c r="C1528" s="27" t="s">
        <v>521</v>
      </c>
      <c r="D1528" s="27" t="s">
        <v>1739</v>
      </c>
      <c r="E1528" s="28">
        <v>40819</v>
      </c>
      <c r="F1528" s="28" t="s">
        <v>35</v>
      </c>
      <c r="G1528" s="28" t="s">
        <v>35</v>
      </c>
      <c r="H1528" s="29" t="s">
        <v>560</v>
      </c>
      <c r="I1528" s="29" t="s">
        <v>560</v>
      </c>
      <c r="J1528" s="29" t="s">
        <v>2270</v>
      </c>
      <c r="K1528" s="29" t="s">
        <v>2765</v>
      </c>
      <c r="L1528" s="29" t="s">
        <v>2766</v>
      </c>
      <c r="M1528" s="29" t="s">
        <v>2546</v>
      </c>
      <c r="N1528" s="29" t="s">
        <v>1434</v>
      </c>
      <c r="O1528" s="29" t="s">
        <v>594</v>
      </c>
    </row>
    <row r="1529" spans="1:15">
      <c r="A1529" s="25">
        <v>20533</v>
      </c>
      <c r="B1529" s="26" t="s">
        <v>2775</v>
      </c>
      <c r="C1529" s="27" t="s">
        <v>521</v>
      </c>
      <c r="D1529" s="27" t="s">
        <v>1644</v>
      </c>
      <c r="E1529" s="28">
        <v>42634</v>
      </c>
      <c r="F1529" s="28">
        <v>43132</v>
      </c>
      <c r="G1529" s="28">
        <v>43496</v>
      </c>
      <c r="H1529" s="27" t="s">
        <v>560</v>
      </c>
      <c r="I1529" s="27" t="s">
        <v>560</v>
      </c>
      <c r="J1529" s="29" t="s">
        <v>2270</v>
      </c>
      <c r="K1529" s="29" t="s">
        <v>2765</v>
      </c>
      <c r="L1529" s="29" t="s">
        <v>2766</v>
      </c>
      <c r="M1529" s="29" t="s">
        <v>2077</v>
      </c>
      <c r="N1529" s="29" t="s">
        <v>2077</v>
      </c>
      <c r="O1529" s="29" t="s">
        <v>594</v>
      </c>
    </row>
    <row r="1530" spans="1:15">
      <c r="A1530" s="25">
        <v>20605</v>
      </c>
      <c r="B1530" s="34" t="s">
        <v>2776</v>
      </c>
      <c r="C1530" s="31" t="s">
        <v>521</v>
      </c>
      <c r="D1530" s="27" t="s">
        <v>673</v>
      </c>
      <c r="E1530" s="28">
        <v>42639</v>
      </c>
      <c r="F1530" s="28">
        <v>43132</v>
      </c>
      <c r="G1530" s="28">
        <v>43496</v>
      </c>
      <c r="H1530" s="31" t="s">
        <v>560</v>
      </c>
      <c r="I1530" s="31" t="s">
        <v>560</v>
      </c>
      <c r="J1530" s="29" t="s">
        <v>2270</v>
      </c>
      <c r="K1530" s="29" t="s">
        <v>2765</v>
      </c>
      <c r="L1530" s="29" t="s">
        <v>2766</v>
      </c>
      <c r="M1530" s="29" t="s">
        <v>2238</v>
      </c>
      <c r="N1530" s="29" t="s">
        <v>1434</v>
      </c>
      <c r="O1530" s="29" t="s">
        <v>594</v>
      </c>
    </row>
    <row r="1531" spans="1:15">
      <c r="A1531" s="25">
        <v>20991</v>
      </c>
      <c r="B1531" s="33" t="s">
        <v>2777</v>
      </c>
      <c r="C1531" s="27" t="s">
        <v>521</v>
      </c>
      <c r="D1531" s="27" t="s">
        <v>1184</v>
      </c>
      <c r="E1531" s="28">
        <v>42674</v>
      </c>
      <c r="F1531" s="28">
        <v>43160</v>
      </c>
      <c r="G1531" s="28">
        <v>43524</v>
      </c>
      <c r="H1531" s="31" t="s">
        <v>560</v>
      </c>
      <c r="I1531" s="31" t="s">
        <v>560</v>
      </c>
      <c r="J1531" s="27" t="s">
        <v>2270</v>
      </c>
      <c r="K1531" s="27" t="s">
        <v>2765</v>
      </c>
      <c r="L1531" s="27" t="s">
        <v>2766</v>
      </c>
      <c r="M1531" s="29" t="s">
        <v>2268</v>
      </c>
      <c r="N1531" s="29" t="s">
        <v>1434</v>
      </c>
      <c r="O1531" s="29" t="s">
        <v>594</v>
      </c>
    </row>
    <row r="1532" spans="1:15">
      <c r="A1532" s="25">
        <v>21504</v>
      </c>
      <c r="B1532" s="34" t="s">
        <v>2778</v>
      </c>
      <c r="C1532" s="31" t="s">
        <v>521</v>
      </c>
      <c r="D1532" s="31" t="s">
        <v>1804</v>
      </c>
      <c r="E1532" s="28">
        <v>43031</v>
      </c>
      <c r="F1532" s="28">
        <v>43435</v>
      </c>
      <c r="G1532" s="28">
        <v>43799</v>
      </c>
      <c r="H1532" s="29" t="s">
        <v>560</v>
      </c>
      <c r="I1532" s="29" t="s">
        <v>560</v>
      </c>
      <c r="J1532" s="29" t="s">
        <v>2270</v>
      </c>
      <c r="K1532" s="29" t="s">
        <v>2765</v>
      </c>
      <c r="L1532" s="29" t="s">
        <v>2766</v>
      </c>
      <c r="M1532" s="29" t="s">
        <v>2061</v>
      </c>
      <c r="N1532" s="29" t="s">
        <v>2041</v>
      </c>
      <c r="O1532" s="29" t="s">
        <v>594</v>
      </c>
    </row>
    <row r="1533" spans="1:15">
      <c r="A1533" s="25">
        <v>21523</v>
      </c>
      <c r="B1533" s="34" t="s">
        <v>2779</v>
      </c>
      <c r="C1533" s="31" t="s">
        <v>521</v>
      </c>
      <c r="D1533" s="31" t="s">
        <v>1760</v>
      </c>
      <c r="E1533" s="28">
        <v>43045</v>
      </c>
      <c r="F1533" s="28">
        <v>43435</v>
      </c>
      <c r="G1533" s="28">
        <v>43799</v>
      </c>
      <c r="H1533" s="29" t="s">
        <v>560</v>
      </c>
      <c r="I1533" s="29" t="s">
        <v>560</v>
      </c>
      <c r="J1533" s="29" t="s">
        <v>2270</v>
      </c>
      <c r="K1533" s="29" t="s">
        <v>2765</v>
      </c>
      <c r="L1533" s="29" t="s">
        <v>2766</v>
      </c>
      <c r="M1533" s="29" t="s">
        <v>2077</v>
      </c>
      <c r="N1533" s="29" t="s">
        <v>2077</v>
      </c>
      <c r="O1533" s="29" t="s">
        <v>594</v>
      </c>
    </row>
    <row r="1534" spans="1:15">
      <c r="A1534" s="25">
        <v>21692</v>
      </c>
      <c r="B1534" s="34" t="s">
        <v>2780</v>
      </c>
      <c r="C1534" s="31" t="s">
        <v>521</v>
      </c>
      <c r="D1534" s="31" t="s">
        <v>1169</v>
      </c>
      <c r="E1534" s="28">
        <v>43073</v>
      </c>
      <c r="F1534" s="28">
        <v>43466</v>
      </c>
      <c r="G1534" s="28">
        <v>43830</v>
      </c>
      <c r="H1534" s="29" t="s">
        <v>560</v>
      </c>
      <c r="I1534" s="29" t="s">
        <v>560</v>
      </c>
      <c r="J1534" s="29" t="s">
        <v>2270</v>
      </c>
      <c r="K1534" s="29" t="s">
        <v>2765</v>
      </c>
      <c r="L1534" s="29" t="s">
        <v>2766</v>
      </c>
      <c r="M1534" s="29" t="s">
        <v>2293</v>
      </c>
      <c r="N1534" s="29" t="s">
        <v>1434</v>
      </c>
      <c r="O1534" s="29" t="s">
        <v>594</v>
      </c>
    </row>
    <row r="1535" spans="1:15">
      <c r="A1535" s="25">
        <v>21889</v>
      </c>
      <c r="B1535" s="34" t="s">
        <v>2781</v>
      </c>
      <c r="C1535" s="31" t="s">
        <v>521</v>
      </c>
      <c r="D1535" s="31" t="s">
        <v>1870</v>
      </c>
      <c r="E1535" s="28">
        <v>43103</v>
      </c>
      <c r="F1535" s="28">
        <v>43134</v>
      </c>
      <c r="G1535" s="28">
        <v>43496</v>
      </c>
      <c r="H1535" s="29" t="s">
        <v>560</v>
      </c>
      <c r="I1535" s="29" t="s">
        <v>560</v>
      </c>
      <c r="J1535" s="29" t="s">
        <v>2270</v>
      </c>
      <c r="K1535" s="29" t="s">
        <v>2765</v>
      </c>
      <c r="L1535" s="29" t="s">
        <v>2766</v>
      </c>
      <c r="M1535" s="29" t="s">
        <v>2222</v>
      </c>
      <c r="N1535" s="29" t="s">
        <v>2023</v>
      </c>
      <c r="O1535" s="29" t="s">
        <v>594</v>
      </c>
    </row>
    <row r="1536" spans="1:15">
      <c r="A1536" s="25">
        <v>22128</v>
      </c>
      <c r="B1536" s="34" t="s">
        <v>2782</v>
      </c>
      <c r="C1536" s="31" t="s">
        <v>521</v>
      </c>
      <c r="D1536" s="31" t="s">
        <v>758</v>
      </c>
      <c r="E1536" s="28">
        <v>43153</v>
      </c>
      <c r="F1536" s="28">
        <v>43181</v>
      </c>
      <c r="G1536" s="28">
        <v>43555</v>
      </c>
      <c r="H1536" s="29" t="s">
        <v>560</v>
      </c>
      <c r="I1536" s="29" t="s">
        <v>560</v>
      </c>
      <c r="J1536" s="29" t="s">
        <v>2270</v>
      </c>
      <c r="K1536" s="29" t="s">
        <v>2765</v>
      </c>
      <c r="L1536" s="29" t="s">
        <v>2766</v>
      </c>
      <c r="M1536" s="29" t="s">
        <v>2030</v>
      </c>
      <c r="N1536" s="29" t="s">
        <v>2031</v>
      </c>
      <c r="O1536" s="29" t="s">
        <v>594</v>
      </c>
    </row>
    <row r="1537" spans="1:15">
      <c r="A1537" s="25">
        <v>22502</v>
      </c>
      <c r="B1537" s="34" t="s">
        <v>2783</v>
      </c>
      <c r="C1537" s="31" t="s">
        <v>521</v>
      </c>
      <c r="D1537" s="31" t="s">
        <v>773</v>
      </c>
      <c r="E1537" s="28">
        <v>43224</v>
      </c>
      <c r="F1537" s="28">
        <v>43255</v>
      </c>
      <c r="G1537" s="28">
        <v>43616</v>
      </c>
      <c r="H1537" s="29" t="s">
        <v>560</v>
      </c>
      <c r="I1537" s="29" t="s">
        <v>560</v>
      </c>
      <c r="J1537" s="29" t="s">
        <v>2270</v>
      </c>
      <c r="K1537" s="29" t="s">
        <v>2765</v>
      </c>
      <c r="L1537" s="29" t="s">
        <v>2766</v>
      </c>
      <c r="M1537" s="29" t="s">
        <v>2120</v>
      </c>
      <c r="N1537" s="29" t="s">
        <v>1434</v>
      </c>
      <c r="O1537" s="29" t="s">
        <v>594</v>
      </c>
    </row>
    <row r="1538" spans="1:15">
      <c r="A1538" s="25">
        <v>22586</v>
      </c>
      <c r="B1538" s="34" t="s">
        <v>2784</v>
      </c>
      <c r="C1538" s="31" t="s">
        <v>521</v>
      </c>
      <c r="D1538" s="31" t="s">
        <v>745</v>
      </c>
      <c r="E1538" s="28">
        <v>43236</v>
      </c>
      <c r="F1538" s="28">
        <v>43267</v>
      </c>
      <c r="G1538" s="28">
        <v>43646</v>
      </c>
      <c r="H1538" s="29" t="s">
        <v>560</v>
      </c>
      <c r="I1538" s="29" t="s">
        <v>560</v>
      </c>
      <c r="J1538" s="29" t="s">
        <v>2270</v>
      </c>
      <c r="K1538" s="29" t="s">
        <v>2765</v>
      </c>
      <c r="L1538" s="29" t="s">
        <v>2766</v>
      </c>
      <c r="M1538" s="29" t="s">
        <v>2222</v>
      </c>
      <c r="N1538" s="29" t="s">
        <v>2023</v>
      </c>
      <c r="O1538" s="29" t="s">
        <v>594</v>
      </c>
    </row>
    <row r="1539" spans="1:15">
      <c r="A1539" s="25">
        <v>22635</v>
      </c>
      <c r="B1539" s="34" t="s">
        <v>2785</v>
      </c>
      <c r="C1539" s="31" t="s">
        <v>521</v>
      </c>
      <c r="D1539" s="31" t="s">
        <v>745</v>
      </c>
      <c r="E1539" s="28">
        <v>43236</v>
      </c>
      <c r="F1539" s="28">
        <v>43267</v>
      </c>
      <c r="G1539" s="28">
        <v>43646</v>
      </c>
      <c r="H1539" s="29" t="s">
        <v>560</v>
      </c>
      <c r="I1539" s="29" t="s">
        <v>560</v>
      </c>
      <c r="J1539" s="29" t="s">
        <v>2270</v>
      </c>
      <c r="K1539" s="29" t="s">
        <v>2765</v>
      </c>
      <c r="L1539" s="29" t="s">
        <v>2766</v>
      </c>
      <c r="M1539" s="29" t="s">
        <v>2065</v>
      </c>
      <c r="N1539" s="29" t="s">
        <v>2041</v>
      </c>
      <c r="O1539" s="29" t="s">
        <v>594</v>
      </c>
    </row>
    <row r="1540" spans="1:15">
      <c r="A1540" s="25">
        <v>22749</v>
      </c>
      <c r="B1540" s="34" t="s">
        <v>2786</v>
      </c>
      <c r="C1540" s="31" t="s">
        <v>521</v>
      </c>
      <c r="D1540" s="31" t="s">
        <v>771</v>
      </c>
      <c r="E1540" s="28">
        <v>43255</v>
      </c>
      <c r="F1540" s="28">
        <v>43285</v>
      </c>
      <c r="G1540" s="28">
        <v>43646</v>
      </c>
      <c r="H1540" s="29" t="s">
        <v>560</v>
      </c>
      <c r="I1540" s="29" t="s">
        <v>560</v>
      </c>
      <c r="J1540" s="29" t="s">
        <v>2270</v>
      </c>
      <c r="K1540" s="29" t="s">
        <v>2765</v>
      </c>
      <c r="L1540" s="29" t="s">
        <v>2766</v>
      </c>
      <c r="M1540" s="29" t="s">
        <v>2280</v>
      </c>
      <c r="N1540" s="29" t="s">
        <v>1434</v>
      </c>
      <c r="O1540" s="29" t="s">
        <v>594</v>
      </c>
    </row>
    <row r="1541" spans="1:15">
      <c r="A1541" s="25">
        <v>23034</v>
      </c>
      <c r="B1541" s="34" t="s">
        <v>2787</v>
      </c>
      <c r="C1541" s="31" t="s">
        <v>521</v>
      </c>
      <c r="D1541" s="31" t="s">
        <v>1872</v>
      </c>
      <c r="E1541" s="28">
        <v>43361</v>
      </c>
      <c r="F1541" s="28">
        <v>43391</v>
      </c>
      <c r="G1541" s="28">
        <v>43769</v>
      </c>
      <c r="H1541" s="29" t="s">
        <v>560</v>
      </c>
      <c r="I1541" s="29" t="s">
        <v>560</v>
      </c>
      <c r="J1541" s="29" t="s">
        <v>2270</v>
      </c>
      <c r="K1541" s="29" t="s">
        <v>2765</v>
      </c>
      <c r="L1541" s="29" t="s">
        <v>2766</v>
      </c>
      <c r="M1541" s="29" t="s">
        <v>2280</v>
      </c>
      <c r="N1541" s="29" t="s">
        <v>1434</v>
      </c>
      <c r="O1541" s="29" t="s">
        <v>594</v>
      </c>
    </row>
    <row r="1542" spans="1:15">
      <c r="A1542" s="25">
        <v>23035</v>
      </c>
      <c r="B1542" s="34" t="s">
        <v>2788</v>
      </c>
      <c r="C1542" s="31" t="s">
        <v>521</v>
      </c>
      <c r="D1542" s="31" t="s">
        <v>1872</v>
      </c>
      <c r="E1542" s="28">
        <v>43361</v>
      </c>
      <c r="F1542" s="28">
        <v>43391</v>
      </c>
      <c r="G1542" s="28">
        <v>43769</v>
      </c>
      <c r="H1542" s="29" t="s">
        <v>560</v>
      </c>
      <c r="I1542" s="29" t="s">
        <v>560</v>
      </c>
      <c r="J1542" s="29" t="s">
        <v>2270</v>
      </c>
      <c r="K1542" s="29" t="s">
        <v>2765</v>
      </c>
      <c r="L1542" s="29" t="s">
        <v>2766</v>
      </c>
      <c r="M1542" s="29" t="s">
        <v>2079</v>
      </c>
      <c r="N1542" s="29" t="s">
        <v>2080</v>
      </c>
      <c r="O1542" s="29" t="s">
        <v>594</v>
      </c>
    </row>
    <row r="1543" spans="1:15">
      <c r="A1543" s="25">
        <v>23042</v>
      </c>
      <c r="B1543" s="34" t="s">
        <v>2789</v>
      </c>
      <c r="C1543" s="31" t="s">
        <v>521</v>
      </c>
      <c r="D1543" s="31" t="s">
        <v>1872</v>
      </c>
      <c r="E1543" s="28">
        <v>43361</v>
      </c>
      <c r="F1543" s="28">
        <v>43391</v>
      </c>
      <c r="G1543" s="28">
        <v>43769</v>
      </c>
      <c r="H1543" s="29" t="s">
        <v>560</v>
      </c>
      <c r="I1543" s="29" t="s">
        <v>560</v>
      </c>
      <c r="J1543" s="29" t="s">
        <v>2270</v>
      </c>
      <c r="K1543" s="29" t="s">
        <v>2765</v>
      </c>
      <c r="L1543" s="29" t="s">
        <v>2766</v>
      </c>
      <c r="M1543" s="29" t="s">
        <v>2790</v>
      </c>
      <c r="N1543" s="29" t="s">
        <v>1434</v>
      </c>
      <c r="O1543" s="29" t="s">
        <v>594</v>
      </c>
    </row>
    <row r="1544" spans="1:15">
      <c r="A1544" s="25">
        <v>23234</v>
      </c>
      <c r="B1544" s="34" t="s">
        <v>2791</v>
      </c>
      <c r="C1544" s="31" t="s">
        <v>521</v>
      </c>
      <c r="D1544" s="31" t="s">
        <v>1582</v>
      </c>
      <c r="E1544" s="28">
        <v>43421</v>
      </c>
      <c r="F1544" s="28">
        <v>43451</v>
      </c>
      <c r="G1544" s="28">
        <v>43830</v>
      </c>
      <c r="H1544" s="29" t="s">
        <v>560</v>
      </c>
      <c r="I1544" s="29" t="s">
        <v>560</v>
      </c>
      <c r="J1544" s="29" t="s">
        <v>2270</v>
      </c>
      <c r="K1544" s="29" t="s">
        <v>2765</v>
      </c>
      <c r="L1544" s="29" t="s">
        <v>2766</v>
      </c>
      <c r="M1544" s="29" t="s">
        <v>2057</v>
      </c>
      <c r="N1544" s="29" t="s">
        <v>2041</v>
      </c>
      <c r="O1544" s="29" t="s">
        <v>594</v>
      </c>
    </row>
    <row r="1545" spans="1:15">
      <c r="A1545" s="25">
        <v>23299</v>
      </c>
      <c r="B1545" s="34" t="s">
        <v>2792</v>
      </c>
      <c r="C1545" s="31" t="s">
        <v>521</v>
      </c>
      <c r="D1545" s="31" t="s">
        <v>1527</v>
      </c>
      <c r="E1545" s="28">
        <v>43427</v>
      </c>
      <c r="F1545" s="28">
        <v>43457</v>
      </c>
      <c r="G1545" s="28">
        <v>43830</v>
      </c>
      <c r="H1545" s="29" t="s">
        <v>560</v>
      </c>
      <c r="I1545" s="29" t="s">
        <v>560</v>
      </c>
      <c r="J1545" s="29" t="s">
        <v>2270</v>
      </c>
      <c r="K1545" s="29" t="s">
        <v>2765</v>
      </c>
      <c r="L1545" s="29" t="s">
        <v>2766</v>
      </c>
      <c r="M1545" s="29" t="s">
        <v>2227</v>
      </c>
      <c r="N1545" s="29" t="s">
        <v>1434</v>
      </c>
      <c r="O1545" s="29" t="s">
        <v>594</v>
      </c>
    </row>
    <row r="1546" spans="1:15">
      <c r="A1546" s="25">
        <v>23390</v>
      </c>
      <c r="B1546" s="34" t="s">
        <v>2793</v>
      </c>
      <c r="C1546" s="31" t="s">
        <v>521</v>
      </c>
      <c r="D1546" s="31" t="s">
        <v>882</v>
      </c>
      <c r="E1546" s="28">
        <v>43434</v>
      </c>
      <c r="F1546" s="28">
        <v>43464</v>
      </c>
      <c r="G1546" s="28">
        <v>43830</v>
      </c>
      <c r="H1546" s="29" t="s">
        <v>560</v>
      </c>
      <c r="I1546" s="29" t="s">
        <v>560</v>
      </c>
      <c r="J1546" s="29" t="s">
        <v>2270</v>
      </c>
      <c r="K1546" s="29" t="s">
        <v>2765</v>
      </c>
      <c r="L1546" s="29" t="s">
        <v>2766</v>
      </c>
      <c r="M1546" s="29" t="s">
        <v>2227</v>
      </c>
      <c r="N1546" s="29" t="s">
        <v>1434</v>
      </c>
      <c r="O1546" s="29" t="s">
        <v>594</v>
      </c>
    </row>
    <row r="1547" spans="1:15">
      <c r="A1547" s="25">
        <v>23453</v>
      </c>
      <c r="B1547" s="34" t="s">
        <v>2794</v>
      </c>
      <c r="C1547" s="31" t="s">
        <v>521</v>
      </c>
      <c r="D1547" s="31" t="s">
        <v>882</v>
      </c>
      <c r="E1547" s="28">
        <v>43434</v>
      </c>
      <c r="F1547" s="28">
        <v>43464</v>
      </c>
      <c r="G1547" s="28">
        <v>43830</v>
      </c>
      <c r="H1547" s="29" t="s">
        <v>560</v>
      </c>
      <c r="I1547" s="29" t="s">
        <v>560</v>
      </c>
      <c r="J1547" s="29" t="s">
        <v>2270</v>
      </c>
      <c r="K1547" s="29" t="s">
        <v>2765</v>
      </c>
      <c r="L1547" s="29" t="s">
        <v>2766</v>
      </c>
      <c r="M1547" s="29" t="s">
        <v>2238</v>
      </c>
      <c r="N1547" s="29" t="s">
        <v>1434</v>
      </c>
      <c r="O1547" s="29" t="s">
        <v>594</v>
      </c>
    </row>
    <row r="1548" spans="1:15">
      <c r="A1548" s="25">
        <v>23512</v>
      </c>
      <c r="B1548" s="34" t="s">
        <v>2795</v>
      </c>
      <c r="C1548" s="31" t="s">
        <v>521</v>
      </c>
      <c r="D1548" s="31" t="s">
        <v>1588</v>
      </c>
      <c r="E1548" s="28">
        <v>43441</v>
      </c>
      <c r="F1548" s="28">
        <v>43472</v>
      </c>
      <c r="G1548" s="28">
        <v>43830</v>
      </c>
      <c r="H1548" s="29" t="s">
        <v>560</v>
      </c>
      <c r="I1548" s="29" t="s">
        <v>560</v>
      </c>
      <c r="J1548" s="29" t="s">
        <v>2270</v>
      </c>
      <c r="K1548" s="29" t="s">
        <v>2765</v>
      </c>
      <c r="L1548" s="29" t="s">
        <v>2766</v>
      </c>
      <c r="M1548" s="29" t="s">
        <v>2796</v>
      </c>
      <c r="N1548" s="29" t="s">
        <v>1586</v>
      </c>
      <c r="O1548" s="29" t="s">
        <v>594</v>
      </c>
    </row>
    <row r="1549" spans="1:15">
      <c r="A1549" s="25" t="s">
        <v>2797</v>
      </c>
      <c r="B1549" s="26" t="s">
        <v>2798</v>
      </c>
      <c r="C1549" s="27" t="s">
        <v>521</v>
      </c>
      <c r="D1549" s="27" t="s">
        <v>1890</v>
      </c>
      <c r="E1549" s="28">
        <v>40904</v>
      </c>
      <c r="F1549" s="28" t="s">
        <v>35</v>
      </c>
      <c r="G1549" s="28" t="s">
        <v>35</v>
      </c>
      <c r="H1549" s="27" t="s">
        <v>560</v>
      </c>
      <c r="I1549" s="27" t="s">
        <v>560</v>
      </c>
      <c r="J1549" s="29" t="s">
        <v>2270</v>
      </c>
      <c r="K1549" s="29" t="s">
        <v>2765</v>
      </c>
      <c r="L1549" s="29" t="s">
        <v>2766</v>
      </c>
      <c r="M1549" s="29" t="s">
        <v>2280</v>
      </c>
      <c r="N1549" s="29" t="s">
        <v>1434</v>
      </c>
      <c r="O1549" s="29" t="s">
        <v>594</v>
      </c>
    </row>
    <row r="1550" spans="1:15">
      <c r="A1550" s="25">
        <v>23553</v>
      </c>
      <c r="B1550" s="34" t="s">
        <v>2799</v>
      </c>
      <c r="C1550" s="31" t="s">
        <v>521</v>
      </c>
      <c r="D1550" s="31" t="s">
        <v>884</v>
      </c>
      <c r="E1550" s="28">
        <v>43452</v>
      </c>
      <c r="F1550" s="28">
        <v>43483</v>
      </c>
      <c r="G1550" s="28">
        <v>43861</v>
      </c>
      <c r="H1550" s="29" t="s">
        <v>560</v>
      </c>
      <c r="I1550" s="29" t="s">
        <v>560</v>
      </c>
      <c r="J1550" s="29" t="s">
        <v>2270</v>
      </c>
      <c r="K1550" s="29" t="s">
        <v>2765</v>
      </c>
      <c r="L1550" s="29" t="s">
        <v>2766</v>
      </c>
      <c r="M1550" s="29" t="s">
        <v>2638</v>
      </c>
      <c r="N1550" s="29" t="s">
        <v>1586</v>
      </c>
      <c r="O1550" s="29" t="s">
        <v>594</v>
      </c>
    </row>
    <row r="1551" spans="1:15">
      <c r="A1551" s="25">
        <v>23568</v>
      </c>
      <c r="B1551" s="34" t="s">
        <v>2800</v>
      </c>
      <c r="C1551" s="31" t="s">
        <v>521</v>
      </c>
      <c r="D1551" s="31" t="s">
        <v>884</v>
      </c>
      <c r="E1551" s="28">
        <v>43452</v>
      </c>
      <c r="F1551" s="28">
        <v>43483</v>
      </c>
      <c r="G1551" s="28">
        <v>43861</v>
      </c>
      <c r="H1551" s="29" t="s">
        <v>560</v>
      </c>
      <c r="I1551" s="29" t="s">
        <v>560</v>
      </c>
      <c r="J1551" s="29" t="s">
        <v>2270</v>
      </c>
      <c r="K1551" s="29" t="s">
        <v>2765</v>
      </c>
      <c r="L1551" s="29" t="s">
        <v>2766</v>
      </c>
      <c r="M1551" s="29" t="s">
        <v>2579</v>
      </c>
      <c r="N1551" s="29" t="s">
        <v>1586</v>
      </c>
      <c r="O1551" s="29" t="s">
        <v>594</v>
      </c>
    </row>
    <row r="1552" spans="1:15">
      <c r="A1552" s="25">
        <v>277</v>
      </c>
      <c r="B1552" s="26" t="s">
        <v>2801</v>
      </c>
      <c r="C1552" s="27" t="s">
        <v>521</v>
      </c>
      <c r="D1552" s="27" t="s">
        <v>812</v>
      </c>
      <c r="E1552" s="28">
        <v>37718</v>
      </c>
      <c r="F1552" s="28" t="s">
        <v>35</v>
      </c>
      <c r="G1552" s="28" t="s">
        <v>35</v>
      </c>
      <c r="H1552" s="27" t="s">
        <v>560</v>
      </c>
      <c r="I1552" s="27" t="s">
        <v>560</v>
      </c>
      <c r="J1552" s="27" t="s">
        <v>2270</v>
      </c>
      <c r="K1552" s="27" t="s">
        <v>2765</v>
      </c>
      <c r="L1552" s="27" t="s">
        <v>2766</v>
      </c>
      <c r="M1552" s="27" t="s">
        <v>2308</v>
      </c>
      <c r="N1552" s="27" t="s">
        <v>2041</v>
      </c>
      <c r="O1552" s="29" t="s">
        <v>590</v>
      </c>
    </row>
    <row r="1553" spans="1:15">
      <c r="A1553" s="25">
        <v>404</v>
      </c>
      <c r="B1553" s="32" t="s">
        <v>2802</v>
      </c>
      <c r="C1553" s="27" t="s">
        <v>521</v>
      </c>
      <c r="D1553" s="27" t="s">
        <v>1351</v>
      </c>
      <c r="E1553" s="28">
        <v>37739</v>
      </c>
      <c r="F1553" s="28" t="s">
        <v>35</v>
      </c>
      <c r="G1553" s="28" t="s">
        <v>35</v>
      </c>
      <c r="H1553" s="29" t="s">
        <v>560</v>
      </c>
      <c r="I1553" s="29" t="s">
        <v>560</v>
      </c>
      <c r="J1553" s="29" t="s">
        <v>2270</v>
      </c>
      <c r="K1553" s="29" t="s">
        <v>2765</v>
      </c>
      <c r="L1553" s="29" t="s">
        <v>2766</v>
      </c>
      <c r="M1553" s="29" t="s">
        <v>1550</v>
      </c>
      <c r="N1553" s="29" t="s">
        <v>1045</v>
      </c>
      <c r="O1553" s="29" t="s">
        <v>590</v>
      </c>
    </row>
    <row r="1554" spans="1:15">
      <c r="A1554" s="25">
        <v>9038</v>
      </c>
      <c r="B1554" s="26" t="s">
        <v>2803</v>
      </c>
      <c r="C1554" s="27" t="s">
        <v>521</v>
      </c>
      <c r="D1554" s="27" t="s">
        <v>1971</v>
      </c>
      <c r="E1554" s="28">
        <v>39979</v>
      </c>
      <c r="F1554" s="28" t="s">
        <v>35</v>
      </c>
      <c r="G1554" s="28" t="s">
        <v>35</v>
      </c>
      <c r="H1554" s="29" t="s">
        <v>560</v>
      </c>
      <c r="I1554" s="29" t="s">
        <v>560</v>
      </c>
      <c r="J1554" s="29" t="s">
        <v>2270</v>
      </c>
      <c r="K1554" s="29" t="s">
        <v>2765</v>
      </c>
      <c r="L1554" s="29" t="s">
        <v>2766</v>
      </c>
      <c r="M1554" s="29" t="s">
        <v>2030</v>
      </c>
      <c r="N1554" s="29" t="s">
        <v>2031</v>
      </c>
      <c r="O1554" s="29" t="s">
        <v>590</v>
      </c>
    </row>
    <row r="1555" spans="1:15">
      <c r="A1555" s="25">
        <v>9960</v>
      </c>
      <c r="B1555" s="83" t="s">
        <v>2804</v>
      </c>
      <c r="C1555" s="25" t="s">
        <v>521</v>
      </c>
      <c r="D1555" s="25" t="s">
        <v>803</v>
      </c>
      <c r="E1555" s="28">
        <v>40431</v>
      </c>
      <c r="F1555" s="28" t="s">
        <v>35</v>
      </c>
      <c r="G1555" s="28" t="s">
        <v>35</v>
      </c>
      <c r="H1555" s="29" t="s">
        <v>560</v>
      </c>
      <c r="I1555" s="29" t="s">
        <v>560</v>
      </c>
      <c r="J1555" s="29" t="s">
        <v>2270</v>
      </c>
      <c r="K1555" s="29" t="s">
        <v>2765</v>
      </c>
      <c r="L1555" s="29" t="s">
        <v>2766</v>
      </c>
      <c r="M1555" s="29" t="s">
        <v>2068</v>
      </c>
      <c r="N1555" s="29" t="s">
        <v>1434</v>
      </c>
      <c r="O1555" s="29" t="s">
        <v>590</v>
      </c>
    </row>
    <row r="1556" spans="1:15">
      <c r="A1556" s="25">
        <v>10005</v>
      </c>
      <c r="B1556" s="26" t="s">
        <v>2805</v>
      </c>
      <c r="C1556" s="27" t="s">
        <v>521</v>
      </c>
      <c r="D1556" s="27" t="s">
        <v>762</v>
      </c>
      <c r="E1556" s="28">
        <v>40438</v>
      </c>
      <c r="F1556" s="28" t="s">
        <v>35</v>
      </c>
      <c r="G1556" s="28" t="s">
        <v>35</v>
      </c>
      <c r="H1556" s="27" t="s">
        <v>560</v>
      </c>
      <c r="I1556" s="27" t="s">
        <v>560</v>
      </c>
      <c r="J1556" s="29" t="s">
        <v>2270</v>
      </c>
      <c r="K1556" s="29" t="s">
        <v>2765</v>
      </c>
      <c r="L1556" s="29" t="s">
        <v>2766</v>
      </c>
      <c r="M1556" s="29" t="s">
        <v>2025</v>
      </c>
      <c r="N1556" s="29" t="s">
        <v>2026</v>
      </c>
      <c r="O1556" s="29" t="s">
        <v>590</v>
      </c>
    </row>
    <row r="1557" spans="1:15">
      <c r="A1557" s="25">
        <v>15439</v>
      </c>
      <c r="B1557" s="34" t="s">
        <v>2806</v>
      </c>
      <c r="C1557" s="31" t="s">
        <v>521</v>
      </c>
      <c r="D1557" s="31" t="s">
        <v>2807</v>
      </c>
      <c r="E1557" s="28">
        <v>41445</v>
      </c>
      <c r="F1557" s="28" t="s">
        <v>35</v>
      </c>
      <c r="G1557" s="28" t="s">
        <v>35</v>
      </c>
      <c r="H1557" s="29" t="s">
        <v>560</v>
      </c>
      <c r="I1557" s="29" t="s">
        <v>560</v>
      </c>
      <c r="J1557" s="29" t="s">
        <v>2270</v>
      </c>
      <c r="K1557" s="29" t="s">
        <v>2765</v>
      </c>
      <c r="L1557" s="29" t="s">
        <v>2766</v>
      </c>
      <c r="M1557" s="29" t="s">
        <v>2772</v>
      </c>
      <c r="N1557" s="29" t="s">
        <v>2023</v>
      </c>
      <c r="O1557" s="29" t="s">
        <v>590</v>
      </c>
    </row>
    <row r="1558" spans="1:15">
      <c r="A1558" s="25">
        <v>15966</v>
      </c>
      <c r="B1558" s="33" t="s">
        <v>2808</v>
      </c>
      <c r="C1558" s="27" t="s">
        <v>521</v>
      </c>
      <c r="D1558" s="27" t="s">
        <v>2809</v>
      </c>
      <c r="E1558" s="28">
        <v>41564</v>
      </c>
      <c r="F1558" s="28" t="s">
        <v>35</v>
      </c>
      <c r="G1558" s="28" t="s">
        <v>35</v>
      </c>
      <c r="H1558" s="29" t="s">
        <v>560</v>
      </c>
      <c r="I1558" s="29" t="s">
        <v>560</v>
      </c>
      <c r="J1558" s="29" t="s">
        <v>2270</v>
      </c>
      <c r="K1558" s="29" t="s">
        <v>2765</v>
      </c>
      <c r="L1558" s="29" t="s">
        <v>2766</v>
      </c>
      <c r="M1558" s="29" t="s">
        <v>2030</v>
      </c>
      <c r="N1558" s="29" t="s">
        <v>2031</v>
      </c>
      <c r="O1558" s="29" t="s">
        <v>590</v>
      </c>
    </row>
    <row r="1559" spans="1:15">
      <c r="A1559" s="25">
        <v>19160</v>
      </c>
      <c r="B1559" s="26" t="s">
        <v>2810</v>
      </c>
      <c r="C1559" s="27" t="s">
        <v>521</v>
      </c>
      <c r="D1559" s="27" t="s">
        <v>797</v>
      </c>
      <c r="E1559" s="28">
        <v>42254</v>
      </c>
      <c r="F1559" s="28" t="s">
        <v>35</v>
      </c>
      <c r="G1559" s="28" t="s">
        <v>35</v>
      </c>
      <c r="H1559" s="27" t="s">
        <v>560</v>
      </c>
      <c r="I1559" s="27" t="s">
        <v>560</v>
      </c>
      <c r="J1559" s="27" t="s">
        <v>2270</v>
      </c>
      <c r="K1559" s="27" t="s">
        <v>2765</v>
      </c>
      <c r="L1559" s="27" t="s">
        <v>2766</v>
      </c>
      <c r="M1559" s="29" t="s">
        <v>2546</v>
      </c>
      <c r="N1559" s="29" t="s">
        <v>1434</v>
      </c>
      <c r="O1559" s="29" t="s">
        <v>590</v>
      </c>
    </row>
    <row r="1560" spans="1:15">
      <c r="A1560" s="25">
        <v>20515</v>
      </c>
      <c r="B1560" s="26" t="s">
        <v>2811</v>
      </c>
      <c r="C1560" s="27" t="s">
        <v>521</v>
      </c>
      <c r="D1560" s="27" t="s">
        <v>1644</v>
      </c>
      <c r="E1560" s="28">
        <v>42634</v>
      </c>
      <c r="F1560" s="28">
        <v>43132</v>
      </c>
      <c r="G1560" s="28">
        <v>43496</v>
      </c>
      <c r="H1560" s="27" t="s">
        <v>560</v>
      </c>
      <c r="I1560" s="27" t="s">
        <v>560</v>
      </c>
      <c r="J1560" s="27" t="s">
        <v>2270</v>
      </c>
      <c r="K1560" s="27" t="s">
        <v>2765</v>
      </c>
      <c r="L1560" s="27" t="s">
        <v>2766</v>
      </c>
      <c r="M1560" s="29" t="s">
        <v>2506</v>
      </c>
      <c r="N1560" s="29" t="s">
        <v>2077</v>
      </c>
      <c r="O1560" s="29" t="s">
        <v>590</v>
      </c>
    </row>
    <row r="1561" spans="1:15">
      <c r="A1561" s="25">
        <v>20962</v>
      </c>
      <c r="B1561" s="26" t="s">
        <v>2812</v>
      </c>
      <c r="C1561" s="27" t="s">
        <v>521</v>
      </c>
      <c r="D1561" s="27" t="s">
        <v>1149</v>
      </c>
      <c r="E1561" s="28">
        <v>42667</v>
      </c>
      <c r="F1561" s="28">
        <v>43160</v>
      </c>
      <c r="G1561" s="28">
        <v>43524</v>
      </c>
      <c r="H1561" s="27" t="s">
        <v>560</v>
      </c>
      <c r="I1561" s="27" t="s">
        <v>560</v>
      </c>
      <c r="J1561" s="27" t="s">
        <v>2270</v>
      </c>
      <c r="K1561" s="27" t="s">
        <v>2765</v>
      </c>
      <c r="L1561" s="27" t="s">
        <v>2766</v>
      </c>
      <c r="M1561" s="29" t="s">
        <v>2084</v>
      </c>
      <c r="N1561" s="29" t="s">
        <v>1434</v>
      </c>
      <c r="O1561" s="29" t="s">
        <v>590</v>
      </c>
    </row>
    <row r="1562" spans="1:15">
      <c r="A1562" s="25">
        <v>21287</v>
      </c>
      <c r="B1562" s="34" t="s">
        <v>2813</v>
      </c>
      <c r="C1562" s="31" t="s">
        <v>521</v>
      </c>
      <c r="D1562" s="31" t="s">
        <v>1595</v>
      </c>
      <c r="E1562" s="28">
        <v>43010</v>
      </c>
      <c r="F1562" s="28">
        <v>43405</v>
      </c>
      <c r="G1562" s="28">
        <v>43769</v>
      </c>
      <c r="H1562" s="29" t="s">
        <v>560</v>
      </c>
      <c r="I1562" s="29" t="s">
        <v>560</v>
      </c>
      <c r="J1562" s="29" t="s">
        <v>2270</v>
      </c>
      <c r="K1562" s="29" t="s">
        <v>2765</v>
      </c>
      <c r="L1562" s="29" t="s">
        <v>2766</v>
      </c>
      <c r="M1562" s="29" t="s">
        <v>2120</v>
      </c>
      <c r="N1562" s="29" t="s">
        <v>1434</v>
      </c>
      <c r="O1562" s="29" t="s">
        <v>590</v>
      </c>
    </row>
    <row r="1563" spans="1:15">
      <c r="A1563" s="25">
        <v>21550</v>
      </c>
      <c r="B1563" s="34" t="s">
        <v>2814</v>
      </c>
      <c r="C1563" s="31" t="s">
        <v>521</v>
      </c>
      <c r="D1563" s="31" t="s">
        <v>1760</v>
      </c>
      <c r="E1563" s="28">
        <v>43045</v>
      </c>
      <c r="F1563" s="28">
        <v>43435</v>
      </c>
      <c r="G1563" s="28">
        <v>43799</v>
      </c>
      <c r="H1563" s="29" t="s">
        <v>560</v>
      </c>
      <c r="I1563" s="29" t="s">
        <v>560</v>
      </c>
      <c r="J1563" s="29" t="s">
        <v>2270</v>
      </c>
      <c r="K1563" s="29" t="s">
        <v>2765</v>
      </c>
      <c r="L1563" s="29" t="s">
        <v>2766</v>
      </c>
      <c r="M1563" s="29" t="s">
        <v>2815</v>
      </c>
      <c r="N1563" s="29" t="s">
        <v>1434</v>
      </c>
      <c r="O1563" s="29" t="s">
        <v>590</v>
      </c>
    </row>
    <row r="1564" spans="1:15">
      <c r="A1564" s="25">
        <v>21942</v>
      </c>
      <c r="B1564" s="34" t="s">
        <v>2816</v>
      </c>
      <c r="C1564" s="31" t="s">
        <v>521</v>
      </c>
      <c r="D1564" s="31" t="s">
        <v>1573</v>
      </c>
      <c r="E1564" s="28">
        <v>43116</v>
      </c>
      <c r="F1564" s="28">
        <v>43147</v>
      </c>
      <c r="G1564" s="28">
        <v>43524</v>
      </c>
      <c r="H1564" s="29" t="s">
        <v>560</v>
      </c>
      <c r="I1564" s="29" t="s">
        <v>560</v>
      </c>
      <c r="J1564" s="29" t="s">
        <v>2270</v>
      </c>
      <c r="K1564" s="29" t="s">
        <v>2765</v>
      </c>
      <c r="L1564" s="29" t="s">
        <v>2766</v>
      </c>
      <c r="M1564" s="29" t="s">
        <v>2094</v>
      </c>
      <c r="N1564" s="29" t="s">
        <v>1434</v>
      </c>
      <c r="O1564" s="29" t="s">
        <v>590</v>
      </c>
    </row>
    <row r="1565" spans="1:15">
      <c r="A1565" s="25">
        <v>22190</v>
      </c>
      <c r="B1565" s="34" t="s">
        <v>2817</v>
      </c>
      <c r="C1565" s="31" t="s">
        <v>521</v>
      </c>
      <c r="D1565" s="31" t="s">
        <v>1201</v>
      </c>
      <c r="E1565" s="28">
        <v>43158</v>
      </c>
      <c r="F1565" s="28">
        <v>43186</v>
      </c>
      <c r="G1565" s="28">
        <v>43555</v>
      </c>
      <c r="H1565" s="29" t="s">
        <v>560</v>
      </c>
      <c r="I1565" s="29" t="s">
        <v>560</v>
      </c>
      <c r="J1565" s="29" t="s">
        <v>2270</v>
      </c>
      <c r="K1565" s="29" t="s">
        <v>2765</v>
      </c>
      <c r="L1565" s="29" t="s">
        <v>2766</v>
      </c>
      <c r="M1565" s="29" t="s">
        <v>2818</v>
      </c>
      <c r="N1565" s="29" t="s">
        <v>2080</v>
      </c>
      <c r="O1565" s="29" t="s">
        <v>590</v>
      </c>
    </row>
    <row r="1566" spans="1:15">
      <c r="A1566" s="25">
        <v>22234</v>
      </c>
      <c r="B1566" s="34" t="s">
        <v>2819</v>
      </c>
      <c r="C1566" s="31" t="s">
        <v>521</v>
      </c>
      <c r="D1566" s="31" t="s">
        <v>1796</v>
      </c>
      <c r="E1566" s="28">
        <v>43161</v>
      </c>
      <c r="F1566" s="28">
        <v>43192</v>
      </c>
      <c r="G1566" s="28">
        <v>43555</v>
      </c>
      <c r="H1566" s="29" t="s">
        <v>560</v>
      </c>
      <c r="I1566" s="29" t="s">
        <v>560</v>
      </c>
      <c r="J1566" s="29" t="s">
        <v>2270</v>
      </c>
      <c r="K1566" s="29" t="s">
        <v>2765</v>
      </c>
      <c r="L1566" s="29" t="s">
        <v>2766</v>
      </c>
      <c r="M1566" s="29" t="s">
        <v>2820</v>
      </c>
      <c r="N1566" s="29" t="s">
        <v>1434</v>
      </c>
      <c r="O1566" s="29" t="s">
        <v>590</v>
      </c>
    </row>
    <row r="1567" spans="1:15">
      <c r="A1567" s="25">
        <v>22305</v>
      </c>
      <c r="B1567" s="26" t="s">
        <v>2821</v>
      </c>
      <c r="C1567" s="27" t="s">
        <v>521</v>
      </c>
      <c r="D1567" s="27" t="s">
        <v>1191</v>
      </c>
      <c r="E1567" s="28">
        <v>43192</v>
      </c>
      <c r="F1567" s="28">
        <v>43222</v>
      </c>
      <c r="G1567" s="28">
        <v>43585</v>
      </c>
      <c r="H1567" s="29" t="s">
        <v>560</v>
      </c>
      <c r="I1567" s="29" t="s">
        <v>560</v>
      </c>
      <c r="J1567" s="29" t="s">
        <v>2270</v>
      </c>
      <c r="K1567" s="29" t="s">
        <v>2765</v>
      </c>
      <c r="L1567" s="29" t="s">
        <v>2766</v>
      </c>
      <c r="M1567" s="29" t="s">
        <v>2085</v>
      </c>
      <c r="N1567" s="29" t="s">
        <v>1434</v>
      </c>
      <c r="O1567" s="29" t="s">
        <v>590</v>
      </c>
    </row>
    <row r="1568" spans="1:15">
      <c r="A1568" s="25">
        <v>22343</v>
      </c>
      <c r="B1568" s="34" t="s">
        <v>2822</v>
      </c>
      <c r="C1568" s="31" t="s">
        <v>521</v>
      </c>
      <c r="D1568" s="31" t="s">
        <v>694</v>
      </c>
      <c r="E1568" s="28">
        <v>43195</v>
      </c>
      <c r="F1568" s="28">
        <v>43225</v>
      </c>
      <c r="G1568" s="28">
        <v>43585</v>
      </c>
      <c r="H1568" s="29" t="s">
        <v>560</v>
      </c>
      <c r="I1568" s="29" t="s">
        <v>560</v>
      </c>
      <c r="J1568" s="29" t="s">
        <v>2270</v>
      </c>
      <c r="K1568" s="29" t="s">
        <v>2765</v>
      </c>
      <c r="L1568" s="29" t="s">
        <v>2766</v>
      </c>
      <c r="M1568" s="29" t="s">
        <v>2222</v>
      </c>
      <c r="N1568" s="29" t="s">
        <v>2023</v>
      </c>
      <c r="O1568" s="29" t="s">
        <v>590</v>
      </c>
    </row>
    <row r="1569" spans="1:15">
      <c r="A1569" s="25">
        <v>22436</v>
      </c>
      <c r="B1569" s="34" t="s">
        <v>2823</v>
      </c>
      <c r="C1569" s="31" t="s">
        <v>521</v>
      </c>
      <c r="D1569" s="31" t="s">
        <v>805</v>
      </c>
      <c r="E1569" s="28">
        <v>43213</v>
      </c>
      <c r="F1569" s="28">
        <v>43243</v>
      </c>
      <c r="G1569" s="28">
        <v>43616</v>
      </c>
      <c r="H1569" s="29" t="s">
        <v>560</v>
      </c>
      <c r="I1569" s="29" t="s">
        <v>560</v>
      </c>
      <c r="J1569" s="29" t="s">
        <v>2270</v>
      </c>
      <c r="K1569" s="29" t="s">
        <v>2765</v>
      </c>
      <c r="L1569" s="29" t="s">
        <v>2766</v>
      </c>
      <c r="M1569" s="29" t="s">
        <v>2048</v>
      </c>
      <c r="N1569" s="29" t="s">
        <v>1434</v>
      </c>
      <c r="O1569" s="29" t="s">
        <v>590</v>
      </c>
    </row>
    <row r="1570" spans="1:15">
      <c r="A1570" s="25">
        <v>22533</v>
      </c>
      <c r="B1570" s="34" t="s">
        <v>2824</v>
      </c>
      <c r="C1570" s="31" t="s">
        <v>521</v>
      </c>
      <c r="D1570" s="31" t="s">
        <v>773</v>
      </c>
      <c r="E1570" s="28">
        <v>43224</v>
      </c>
      <c r="F1570" s="28">
        <v>43255</v>
      </c>
      <c r="G1570" s="28">
        <v>43616</v>
      </c>
      <c r="H1570" s="29" t="s">
        <v>560</v>
      </c>
      <c r="I1570" s="29" t="s">
        <v>560</v>
      </c>
      <c r="J1570" s="29" t="s">
        <v>2270</v>
      </c>
      <c r="K1570" s="29" t="s">
        <v>2765</v>
      </c>
      <c r="L1570" s="29" t="s">
        <v>2766</v>
      </c>
      <c r="M1570" s="29" t="s">
        <v>2496</v>
      </c>
      <c r="N1570" s="29" t="s">
        <v>2077</v>
      </c>
      <c r="O1570" s="29" t="s">
        <v>590</v>
      </c>
    </row>
    <row r="1571" spans="1:15">
      <c r="A1571" s="25">
        <v>22661</v>
      </c>
      <c r="B1571" s="34" t="s">
        <v>2825</v>
      </c>
      <c r="C1571" s="31" t="s">
        <v>521</v>
      </c>
      <c r="D1571" s="31" t="s">
        <v>1199</v>
      </c>
      <c r="E1571" s="28">
        <v>43241</v>
      </c>
      <c r="F1571" s="28">
        <v>43272</v>
      </c>
      <c r="G1571" s="28">
        <v>43646</v>
      </c>
      <c r="H1571" s="29" t="s">
        <v>560</v>
      </c>
      <c r="I1571" s="29" t="s">
        <v>560</v>
      </c>
      <c r="J1571" s="29" t="s">
        <v>2270</v>
      </c>
      <c r="K1571" s="29" t="s">
        <v>2765</v>
      </c>
      <c r="L1571" s="29" t="s">
        <v>2766</v>
      </c>
      <c r="M1571" s="29" t="s">
        <v>2055</v>
      </c>
      <c r="N1571" s="29" t="s">
        <v>1434</v>
      </c>
      <c r="O1571" s="29" t="s">
        <v>590</v>
      </c>
    </row>
    <row r="1572" spans="1:15">
      <c r="A1572" s="25">
        <v>22682</v>
      </c>
      <c r="B1572" s="34" t="s">
        <v>2826</v>
      </c>
      <c r="C1572" s="31" t="s">
        <v>521</v>
      </c>
      <c r="D1572" s="31" t="s">
        <v>1199</v>
      </c>
      <c r="E1572" s="28">
        <v>43241</v>
      </c>
      <c r="F1572" s="28">
        <v>43272</v>
      </c>
      <c r="G1572" s="28">
        <v>43646</v>
      </c>
      <c r="H1572" s="29" t="s">
        <v>560</v>
      </c>
      <c r="I1572" s="29" t="s">
        <v>560</v>
      </c>
      <c r="J1572" s="29" t="s">
        <v>2270</v>
      </c>
      <c r="K1572" s="29" t="s">
        <v>2765</v>
      </c>
      <c r="L1572" s="29" t="s">
        <v>2766</v>
      </c>
      <c r="M1572" s="29" t="s">
        <v>2061</v>
      </c>
      <c r="N1572" s="29" t="s">
        <v>2041</v>
      </c>
      <c r="O1572" s="29" t="s">
        <v>590</v>
      </c>
    </row>
    <row r="1573" spans="1:15">
      <c r="A1573" s="25">
        <v>22683</v>
      </c>
      <c r="B1573" s="34" t="s">
        <v>2827</v>
      </c>
      <c r="C1573" s="31" t="s">
        <v>521</v>
      </c>
      <c r="D1573" s="31" t="s">
        <v>1199</v>
      </c>
      <c r="E1573" s="28">
        <v>43241</v>
      </c>
      <c r="F1573" s="28">
        <v>43272</v>
      </c>
      <c r="G1573" s="28">
        <v>43646</v>
      </c>
      <c r="H1573" s="29" t="s">
        <v>560</v>
      </c>
      <c r="I1573" s="29" t="s">
        <v>560</v>
      </c>
      <c r="J1573" s="29" t="s">
        <v>2270</v>
      </c>
      <c r="K1573" s="29" t="s">
        <v>2765</v>
      </c>
      <c r="L1573" s="29" t="s">
        <v>2766</v>
      </c>
      <c r="M1573" s="29" t="s">
        <v>2074</v>
      </c>
      <c r="N1573" s="29" t="s">
        <v>1434</v>
      </c>
      <c r="O1573" s="29" t="s">
        <v>590</v>
      </c>
    </row>
    <row r="1574" spans="1:15">
      <c r="A1574" s="25">
        <v>22697</v>
      </c>
      <c r="B1574" s="34" t="s">
        <v>2828</v>
      </c>
      <c r="C1574" s="31" t="s">
        <v>521</v>
      </c>
      <c r="D1574" s="31" t="s">
        <v>1195</v>
      </c>
      <c r="E1574" s="28">
        <v>43244</v>
      </c>
      <c r="F1574" s="28">
        <v>43275</v>
      </c>
      <c r="G1574" s="28">
        <v>43646</v>
      </c>
      <c r="H1574" s="29" t="s">
        <v>560</v>
      </c>
      <c r="I1574" s="29" t="s">
        <v>560</v>
      </c>
      <c r="J1574" s="29" t="s">
        <v>2270</v>
      </c>
      <c r="K1574" s="29" t="s">
        <v>2765</v>
      </c>
      <c r="L1574" s="29" t="s">
        <v>2766</v>
      </c>
      <c r="M1574" s="29" t="s">
        <v>2222</v>
      </c>
      <c r="N1574" s="29" t="s">
        <v>2023</v>
      </c>
      <c r="O1574" s="29" t="s">
        <v>590</v>
      </c>
    </row>
    <row r="1575" spans="1:15">
      <c r="A1575" s="25">
        <v>22715</v>
      </c>
      <c r="B1575" s="34" t="s">
        <v>2829</v>
      </c>
      <c r="C1575" s="31" t="s">
        <v>521</v>
      </c>
      <c r="D1575" s="31" t="s">
        <v>1195</v>
      </c>
      <c r="E1575" s="28">
        <v>43244</v>
      </c>
      <c r="F1575" s="28">
        <v>43275</v>
      </c>
      <c r="G1575" s="28">
        <v>43646</v>
      </c>
      <c r="H1575" s="29" t="s">
        <v>560</v>
      </c>
      <c r="I1575" s="29" t="s">
        <v>560</v>
      </c>
      <c r="J1575" s="29" t="s">
        <v>2270</v>
      </c>
      <c r="K1575" s="29" t="s">
        <v>2765</v>
      </c>
      <c r="L1575" s="29" t="s">
        <v>2766</v>
      </c>
      <c r="M1575" s="29" t="s">
        <v>2183</v>
      </c>
      <c r="N1575" s="29" t="s">
        <v>1434</v>
      </c>
      <c r="O1575" s="29" t="s">
        <v>590</v>
      </c>
    </row>
    <row r="1576" spans="1:15">
      <c r="A1576" s="25">
        <v>23111</v>
      </c>
      <c r="B1576" s="34" t="s">
        <v>2830</v>
      </c>
      <c r="C1576" s="31" t="s">
        <v>521</v>
      </c>
      <c r="D1576" s="31" t="s">
        <v>1523</v>
      </c>
      <c r="E1576" s="28">
        <v>43369</v>
      </c>
      <c r="F1576" s="28">
        <v>43399</v>
      </c>
      <c r="G1576" s="28">
        <v>43769</v>
      </c>
      <c r="H1576" s="29" t="s">
        <v>560</v>
      </c>
      <c r="I1576" s="29" t="s">
        <v>560</v>
      </c>
      <c r="J1576" s="29" t="s">
        <v>2270</v>
      </c>
      <c r="K1576" s="29" t="s">
        <v>2765</v>
      </c>
      <c r="L1576" s="29" t="s">
        <v>2766</v>
      </c>
      <c r="M1576" s="29" t="s">
        <v>2831</v>
      </c>
      <c r="N1576" s="29" t="s">
        <v>1434</v>
      </c>
      <c r="O1576" s="29" t="s">
        <v>590</v>
      </c>
    </row>
    <row r="1577" spans="1:15">
      <c r="A1577" s="25">
        <v>23235</v>
      </c>
      <c r="B1577" s="34" t="s">
        <v>2832</v>
      </c>
      <c r="C1577" s="31" t="s">
        <v>521</v>
      </c>
      <c r="D1577" s="31" t="s">
        <v>1582</v>
      </c>
      <c r="E1577" s="28">
        <v>43421</v>
      </c>
      <c r="F1577" s="28">
        <v>43451</v>
      </c>
      <c r="G1577" s="28">
        <v>43830</v>
      </c>
      <c r="H1577" s="29" t="s">
        <v>560</v>
      </c>
      <c r="I1577" s="29" t="s">
        <v>560</v>
      </c>
      <c r="J1577" s="29" t="s">
        <v>2270</v>
      </c>
      <c r="K1577" s="29" t="s">
        <v>2765</v>
      </c>
      <c r="L1577" s="29" t="s">
        <v>2766</v>
      </c>
      <c r="M1577" s="29" t="s">
        <v>2366</v>
      </c>
      <c r="N1577" s="29" t="s">
        <v>2023</v>
      </c>
      <c r="O1577" s="29" t="s">
        <v>590</v>
      </c>
    </row>
    <row r="1578" spans="1:15">
      <c r="A1578" s="25">
        <v>23389</v>
      </c>
      <c r="B1578" s="34" t="s">
        <v>2833</v>
      </c>
      <c r="C1578" s="31" t="s">
        <v>521</v>
      </c>
      <c r="D1578" s="31" t="s">
        <v>882</v>
      </c>
      <c r="E1578" s="28">
        <v>43434</v>
      </c>
      <c r="F1578" s="28">
        <v>43464</v>
      </c>
      <c r="G1578" s="28">
        <v>43830</v>
      </c>
      <c r="H1578" s="29" t="s">
        <v>560</v>
      </c>
      <c r="I1578" s="29" t="s">
        <v>560</v>
      </c>
      <c r="J1578" s="29" t="s">
        <v>2270</v>
      </c>
      <c r="K1578" s="29" t="s">
        <v>2765</v>
      </c>
      <c r="L1578" s="29" t="s">
        <v>2766</v>
      </c>
      <c r="M1578" s="29" t="s">
        <v>2120</v>
      </c>
      <c r="N1578" s="29" t="s">
        <v>1434</v>
      </c>
      <c r="O1578" s="29" t="s">
        <v>590</v>
      </c>
    </row>
    <row r="1579" spans="1:15">
      <c r="A1579" s="25">
        <v>23391</v>
      </c>
      <c r="B1579" s="34" t="s">
        <v>2834</v>
      </c>
      <c r="C1579" s="31" t="s">
        <v>521</v>
      </c>
      <c r="D1579" s="31" t="s">
        <v>882</v>
      </c>
      <c r="E1579" s="28">
        <v>43434</v>
      </c>
      <c r="F1579" s="28">
        <v>43464</v>
      </c>
      <c r="G1579" s="28">
        <v>43830</v>
      </c>
      <c r="H1579" s="29" t="s">
        <v>560</v>
      </c>
      <c r="I1579" s="29" t="s">
        <v>560</v>
      </c>
      <c r="J1579" s="29" t="s">
        <v>2270</v>
      </c>
      <c r="K1579" s="29" t="s">
        <v>2765</v>
      </c>
      <c r="L1579" s="29" t="s">
        <v>2766</v>
      </c>
      <c r="M1579" s="29" t="s">
        <v>2065</v>
      </c>
      <c r="N1579" s="29" t="s">
        <v>2041</v>
      </c>
      <c r="O1579" s="29" t="s">
        <v>590</v>
      </c>
    </row>
    <row r="1580" spans="1:15">
      <c r="A1580" s="25">
        <v>23513</v>
      </c>
      <c r="B1580" s="34" t="s">
        <v>2835</v>
      </c>
      <c r="C1580" s="31" t="s">
        <v>521</v>
      </c>
      <c r="D1580" s="31" t="s">
        <v>1588</v>
      </c>
      <c r="E1580" s="28">
        <v>43441</v>
      </c>
      <c r="F1580" s="28">
        <v>43472</v>
      </c>
      <c r="G1580" s="28">
        <v>43830</v>
      </c>
      <c r="H1580" s="29" t="s">
        <v>560</v>
      </c>
      <c r="I1580" s="29" t="s">
        <v>560</v>
      </c>
      <c r="J1580" s="29" t="s">
        <v>2270</v>
      </c>
      <c r="K1580" s="29" t="s">
        <v>2765</v>
      </c>
      <c r="L1580" s="29" t="s">
        <v>2766</v>
      </c>
      <c r="M1580" s="29" t="s">
        <v>2836</v>
      </c>
      <c r="N1580" s="29" t="s">
        <v>1586</v>
      </c>
      <c r="O1580" s="29" t="s">
        <v>590</v>
      </c>
    </row>
    <row r="1581" spans="1:15">
      <c r="A1581" s="25">
        <v>1271</v>
      </c>
      <c r="B1581" s="26" t="s">
        <v>2769</v>
      </c>
      <c r="C1581" s="27" t="s">
        <v>521</v>
      </c>
      <c r="D1581" s="27" t="s">
        <v>1458</v>
      </c>
      <c r="E1581" s="28">
        <v>37921</v>
      </c>
      <c r="F1581" s="28" t="s">
        <v>35</v>
      </c>
      <c r="G1581" s="28" t="s">
        <v>35</v>
      </c>
      <c r="H1581" s="29" t="s">
        <v>560</v>
      </c>
      <c r="I1581" s="29" t="s">
        <v>560</v>
      </c>
      <c r="J1581" s="29" t="s">
        <v>1813</v>
      </c>
      <c r="K1581" s="29" t="s">
        <v>1813</v>
      </c>
      <c r="L1581" s="29" t="s">
        <v>2837</v>
      </c>
      <c r="M1581" s="29" t="s">
        <v>1550</v>
      </c>
      <c r="N1581" s="29" t="s">
        <v>1045</v>
      </c>
      <c r="O1581" s="29" t="s">
        <v>594</v>
      </c>
    </row>
    <row r="1582" spans="1:15">
      <c r="A1582" s="25">
        <v>10409</v>
      </c>
      <c r="B1582" s="26" t="s">
        <v>2838</v>
      </c>
      <c r="C1582" s="27" t="s">
        <v>521</v>
      </c>
      <c r="D1582" s="27" t="s">
        <v>752</v>
      </c>
      <c r="E1582" s="28">
        <v>40518</v>
      </c>
      <c r="F1582" s="28" t="s">
        <v>35</v>
      </c>
      <c r="G1582" s="28" t="s">
        <v>35</v>
      </c>
      <c r="H1582" s="27" t="s">
        <v>560</v>
      </c>
      <c r="I1582" s="27" t="s">
        <v>560</v>
      </c>
      <c r="J1582" s="27" t="s">
        <v>1813</v>
      </c>
      <c r="K1582" s="27" t="s">
        <v>1813</v>
      </c>
      <c r="L1582" s="29" t="s">
        <v>2837</v>
      </c>
      <c r="M1582" s="29" t="s">
        <v>2194</v>
      </c>
      <c r="N1582" s="29" t="s">
        <v>1434</v>
      </c>
      <c r="O1582" s="29" t="s">
        <v>594</v>
      </c>
    </row>
    <row r="1583" spans="1:15">
      <c r="A1583" s="25">
        <v>12273</v>
      </c>
      <c r="B1583" s="26" t="s">
        <v>2839</v>
      </c>
      <c r="C1583" s="27" t="s">
        <v>521</v>
      </c>
      <c r="D1583" s="27" t="s">
        <v>817</v>
      </c>
      <c r="E1583" s="28">
        <v>40805</v>
      </c>
      <c r="F1583" s="28" t="s">
        <v>35</v>
      </c>
      <c r="G1583" s="28" t="s">
        <v>35</v>
      </c>
      <c r="H1583" s="27" t="s">
        <v>560</v>
      </c>
      <c r="I1583" s="27" t="s">
        <v>560</v>
      </c>
      <c r="J1583" s="27" t="s">
        <v>1813</v>
      </c>
      <c r="K1583" s="27" t="s">
        <v>1813</v>
      </c>
      <c r="L1583" s="27" t="s">
        <v>2837</v>
      </c>
      <c r="M1583" s="29" t="s">
        <v>2025</v>
      </c>
      <c r="N1583" s="29" t="s">
        <v>2026</v>
      </c>
      <c r="O1583" s="29" t="s">
        <v>594</v>
      </c>
    </row>
    <row r="1584" spans="1:15">
      <c r="A1584" s="25">
        <v>20495</v>
      </c>
      <c r="B1584" s="26" t="s">
        <v>2840</v>
      </c>
      <c r="C1584" s="27" t="s">
        <v>521</v>
      </c>
      <c r="D1584" s="27" t="s">
        <v>1644</v>
      </c>
      <c r="E1584" s="28">
        <v>42634</v>
      </c>
      <c r="F1584" s="28">
        <v>43132</v>
      </c>
      <c r="G1584" s="28">
        <v>43496</v>
      </c>
      <c r="H1584" s="27" t="s">
        <v>560</v>
      </c>
      <c r="I1584" s="27" t="s">
        <v>560</v>
      </c>
      <c r="J1584" s="27" t="s">
        <v>1813</v>
      </c>
      <c r="K1584" s="27" t="s">
        <v>1813</v>
      </c>
      <c r="L1584" s="29" t="s">
        <v>2837</v>
      </c>
      <c r="M1584" s="29" t="s">
        <v>2079</v>
      </c>
      <c r="N1584" s="29" t="s">
        <v>2080</v>
      </c>
      <c r="O1584" s="29" t="s">
        <v>594</v>
      </c>
    </row>
    <row r="1585" spans="1:15">
      <c r="A1585" s="25">
        <v>20567</v>
      </c>
      <c r="B1585" s="26" t="s">
        <v>2841</v>
      </c>
      <c r="C1585" s="27" t="s">
        <v>521</v>
      </c>
      <c r="D1585" s="27" t="s">
        <v>673</v>
      </c>
      <c r="E1585" s="28">
        <v>42639</v>
      </c>
      <c r="F1585" s="28">
        <v>43132</v>
      </c>
      <c r="G1585" s="28">
        <v>43496</v>
      </c>
      <c r="H1585" s="25" t="s">
        <v>560</v>
      </c>
      <c r="I1585" s="25" t="s">
        <v>560</v>
      </c>
      <c r="J1585" s="27" t="s">
        <v>1813</v>
      </c>
      <c r="K1585" s="27" t="s">
        <v>1813</v>
      </c>
      <c r="L1585" s="27" t="s">
        <v>2837</v>
      </c>
      <c r="M1585" s="27" t="s">
        <v>2842</v>
      </c>
      <c r="N1585" s="27" t="s">
        <v>2041</v>
      </c>
      <c r="O1585" s="27" t="s">
        <v>594</v>
      </c>
    </row>
    <row r="1586" spans="1:15">
      <c r="A1586" s="25">
        <v>20891</v>
      </c>
      <c r="B1586" s="26" t="s">
        <v>2843</v>
      </c>
      <c r="C1586" s="27" t="s">
        <v>521</v>
      </c>
      <c r="D1586" s="27" t="s">
        <v>807</v>
      </c>
      <c r="E1586" s="28">
        <v>42660</v>
      </c>
      <c r="F1586" s="28">
        <v>43160</v>
      </c>
      <c r="G1586" s="28">
        <v>43524</v>
      </c>
      <c r="H1586" s="25" t="s">
        <v>560</v>
      </c>
      <c r="I1586" s="27" t="s">
        <v>560</v>
      </c>
      <c r="J1586" s="27" t="s">
        <v>1813</v>
      </c>
      <c r="K1586" s="27" t="s">
        <v>1813</v>
      </c>
      <c r="L1586" s="29" t="s">
        <v>2837</v>
      </c>
      <c r="M1586" s="29" t="s">
        <v>2842</v>
      </c>
      <c r="N1586" s="29" t="s">
        <v>2041</v>
      </c>
      <c r="O1586" s="29" t="s">
        <v>594</v>
      </c>
    </row>
    <row r="1587" spans="1:15">
      <c r="A1587" s="25">
        <v>20896</v>
      </c>
      <c r="B1587" s="26" t="s">
        <v>2844</v>
      </c>
      <c r="C1587" s="27" t="s">
        <v>521</v>
      </c>
      <c r="D1587" s="27" t="s">
        <v>807</v>
      </c>
      <c r="E1587" s="28">
        <v>42660</v>
      </c>
      <c r="F1587" s="28">
        <v>43160</v>
      </c>
      <c r="G1587" s="28">
        <v>43524</v>
      </c>
      <c r="H1587" s="29" t="s">
        <v>560</v>
      </c>
      <c r="I1587" s="29" t="s">
        <v>560</v>
      </c>
      <c r="J1587" s="29" t="s">
        <v>1813</v>
      </c>
      <c r="K1587" s="29" t="s">
        <v>1813</v>
      </c>
      <c r="L1587" s="29" t="s">
        <v>2837</v>
      </c>
      <c r="M1587" s="29" t="s">
        <v>2222</v>
      </c>
      <c r="N1587" s="29" t="s">
        <v>2023</v>
      </c>
      <c r="O1587" s="29" t="s">
        <v>594</v>
      </c>
    </row>
    <row r="1588" spans="1:15">
      <c r="A1588" s="25">
        <v>22115</v>
      </c>
      <c r="B1588" s="34" t="s">
        <v>2845</v>
      </c>
      <c r="C1588" s="31" t="s">
        <v>521</v>
      </c>
      <c r="D1588" s="31" t="s">
        <v>758</v>
      </c>
      <c r="E1588" s="28">
        <v>43153</v>
      </c>
      <c r="F1588" s="28">
        <v>43181</v>
      </c>
      <c r="G1588" s="28">
        <v>43555</v>
      </c>
      <c r="H1588" s="29" t="s">
        <v>560</v>
      </c>
      <c r="I1588" s="29" t="s">
        <v>560</v>
      </c>
      <c r="J1588" s="29" t="s">
        <v>1813</v>
      </c>
      <c r="K1588" s="29" t="s">
        <v>1813</v>
      </c>
      <c r="L1588" s="29" t="s">
        <v>2837</v>
      </c>
      <c r="M1588" s="29" t="s">
        <v>2194</v>
      </c>
      <c r="N1588" s="29" t="s">
        <v>1434</v>
      </c>
      <c r="O1588" s="29" t="s">
        <v>594</v>
      </c>
    </row>
    <row r="1589" spans="1:15">
      <c r="A1589" s="25">
        <v>23239</v>
      </c>
      <c r="B1589" s="34" t="s">
        <v>2846</v>
      </c>
      <c r="C1589" s="31" t="s">
        <v>521</v>
      </c>
      <c r="D1589" s="31" t="s">
        <v>1582</v>
      </c>
      <c r="E1589" s="28">
        <v>43421</v>
      </c>
      <c r="F1589" s="28">
        <v>43451</v>
      </c>
      <c r="G1589" s="28">
        <v>43830</v>
      </c>
      <c r="H1589" s="29" t="s">
        <v>560</v>
      </c>
      <c r="I1589" s="29" t="s">
        <v>560</v>
      </c>
      <c r="J1589" s="29" t="s">
        <v>1813</v>
      </c>
      <c r="K1589" s="29" t="s">
        <v>1813</v>
      </c>
      <c r="L1589" s="29" t="s">
        <v>2837</v>
      </c>
      <c r="M1589" s="29" t="s">
        <v>2842</v>
      </c>
      <c r="N1589" s="29" t="s">
        <v>2041</v>
      </c>
      <c r="O1589" s="29" t="s">
        <v>594</v>
      </c>
    </row>
    <row r="1590" spans="1:15">
      <c r="A1590" s="25">
        <v>8688</v>
      </c>
      <c r="B1590" s="26" t="s">
        <v>2847</v>
      </c>
      <c r="C1590" s="27" t="s">
        <v>521</v>
      </c>
      <c r="D1590" s="27" t="s">
        <v>692</v>
      </c>
      <c r="E1590" s="28">
        <v>39888</v>
      </c>
      <c r="F1590" s="28" t="s">
        <v>35</v>
      </c>
      <c r="G1590" s="28" t="s">
        <v>35</v>
      </c>
      <c r="H1590" s="27" t="s">
        <v>560</v>
      </c>
      <c r="I1590" s="27" t="s">
        <v>560</v>
      </c>
      <c r="J1590" s="29" t="s">
        <v>1813</v>
      </c>
      <c r="K1590" s="29" t="s">
        <v>1813</v>
      </c>
      <c r="L1590" s="29" t="s">
        <v>2837</v>
      </c>
      <c r="M1590" s="29" t="s">
        <v>1550</v>
      </c>
      <c r="N1590" s="29" t="s">
        <v>1045</v>
      </c>
      <c r="O1590" s="29" t="s">
        <v>590</v>
      </c>
    </row>
    <row r="1591" spans="1:15">
      <c r="A1591" s="25">
        <v>11834</v>
      </c>
      <c r="B1591" s="26" t="s">
        <v>2848</v>
      </c>
      <c r="C1591" s="27" t="s">
        <v>521</v>
      </c>
      <c r="D1591" s="27" t="s">
        <v>799</v>
      </c>
      <c r="E1591" s="28">
        <v>40721</v>
      </c>
      <c r="F1591" s="28" t="s">
        <v>35</v>
      </c>
      <c r="G1591" s="28" t="s">
        <v>35</v>
      </c>
      <c r="H1591" s="27" t="s">
        <v>560</v>
      </c>
      <c r="I1591" s="27" t="s">
        <v>560</v>
      </c>
      <c r="J1591" s="27" t="s">
        <v>1813</v>
      </c>
      <c r="K1591" s="27" t="s">
        <v>1813</v>
      </c>
      <c r="L1591" s="27" t="s">
        <v>2837</v>
      </c>
      <c r="M1591" s="27" t="s">
        <v>2194</v>
      </c>
      <c r="N1591" s="31" t="s">
        <v>1434</v>
      </c>
      <c r="O1591" s="27" t="s">
        <v>590</v>
      </c>
    </row>
    <row r="1592" spans="1:15">
      <c r="A1592" s="25">
        <v>21159</v>
      </c>
      <c r="B1592" s="26" t="s">
        <v>2849</v>
      </c>
      <c r="C1592" s="27" t="s">
        <v>521</v>
      </c>
      <c r="D1592" s="27" t="s">
        <v>1676</v>
      </c>
      <c r="E1592" s="28">
        <v>42871</v>
      </c>
      <c r="F1592" s="28">
        <v>43374</v>
      </c>
      <c r="G1592" s="28">
        <v>43738</v>
      </c>
      <c r="H1592" s="29" t="s">
        <v>560</v>
      </c>
      <c r="I1592" s="29" t="s">
        <v>560</v>
      </c>
      <c r="J1592" s="29" t="s">
        <v>1813</v>
      </c>
      <c r="K1592" s="29" t="s">
        <v>1813</v>
      </c>
      <c r="L1592" s="29" t="s">
        <v>2837</v>
      </c>
      <c r="M1592" s="29" t="s">
        <v>2222</v>
      </c>
      <c r="N1592" s="29" t="s">
        <v>2023</v>
      </c>
      <c r="O1592" s="29" t="s">
        <v>590</v>
      </c>
    </row>
    <row r="1593" spans="1:15">
      <c r="A1593" s="25">
        <v>22129</v>
      </c>
      <c r="B1593" s="34" t="s">
        <v>2850</v>
      </c>
      <c r="C1593" s="31" t="s">
        <v>521</v>
      </c>
      <c r="D1593" s="31" t="s">
        <v>758</v>
      </c>
      <c r="E1593" s="28">
        <v>43153</v>
      </c>
      <c r="F1593" s="28">
        <v>43181</v>
      </c>
      <c r="G1593" s="28">
        <v>43555</v>
      </c>
      <c r="H1593" s="29" t="s">
        <v>560</v>
      </c>
      <c r="I1593" s="29" t="s">
        <v>560</v>
      </c>
      <c r="J1593" s="29" t="s">
        <v>1813</v>
      </c>
      <c r="K1593" s="29" t="s">
        <v>1813</v>
      </c>
      <c r="L1593" s="29" t="s">
        <v>2837</v>
      </c>
      <c r="M1593" s="29" t="s">
        <v>2851</v>
      </c>
      <c r="N1593" s="29" t="s">
        <v>1586</v>
      </c>
      <c r="O1593" s="29" t="s">
        <v>590</v>
      </c>
    </row>
    <row r="1594" spans="1:15">
      <c r="A1594" s="25">
        <v>22400</v>
      </c>
      <c r="B1594" s="34" t="s">
        <v>2852</v>
      </c>
      <c r="C1594" s="31" t="s">
        <v>521</v>
      </c>
      <c r="D1594" s="31" t="s">
        <v>805</v>
      </c>
      <c r="E1594" s="28">
        <v>43213</v>
      </c>
      <c r="F1594" s="28">
        <v>43243</v>
      </c>
      <c r="G1594" s="28">
        <v>43616</v>
      </c>
      <c r="H1594" s="29" t="s">
        <v>560</v>
      </c>
      <c r="I1594" s="29" t="s">
        <v>560</v>
      </c>
      <c r="J1594" s="29" t="s">
        <v>1813</v>
      </c>
      <c r="K1594" s="29" t="s">
        <v>1813</v>
      </c>
      <c r="L1594" s="29" t="s">
        <v>2837</v>
      </c>
      <c r="M1594" s="29" t="s">
        <v>2194</v>
      </c>
      <c r="N1594" s="29" t="s">
        <v>1434</v>
      </c>
      <c r="O1594" s="29" t="s">
        <v>590</v>
      </c>
    </row>
    <row r="1595" spans="1:15">
      <c r="A1595" s="25">
        <v>22992</v>
      </c>
      <c r="B1595" s="34" t="s">
        <v>2853</v>
      </c>
      <c r="C1595" s="31" t="s">
        <v>521</v>
      </c>
      <c r="D1595" s="31" t="s">
        <v>1872</v>
      </c>
      <c r="E1595" s="28">
        <v>43361</v>
      </c>
      <c r="F1595" s="28">
        <v>43391</v>
      </c>
      <c r="G1595" s="28">
        <v>43769</v>
      </c>
      <c r="H1595" s="29" t="s">
        <v>560</v>
      </c>
      <c r="I1595" s="29" t="s">
        <v>560</v>
      </c>
      <c r="J1595" s="29" t="s">
        <v>1813</v>
      </c>
      <c r="K1595" s="29" t="s">
        <v>1813</v>
      </c>
      <c r="L1595" s="29" t="s">
        <v>2837</v>
      </c>
      <c r="M1595" s="29" t="s">
        <v>2842</v>
      </c>
      <c r="N1595" s="29" t="s">
        <v>2041</v>
      </c>
      <c r="O1595" s="29" t="s">
        <v>590</v>
      </c>
    </row>
    <row r="1596" spans="1:15">
      <c r="A1596" s="25">
        <v>23237</v>
      </c>
      <c r="B1596" s="34" t="s">
        <v>2854</v>
      </c>
      <c r="C1596" s="31" t="s">
        <v>521</v>
      </c>
      <c r="D1596" s="31" t="s">
        <v>1582</v>
      </c>
      <c r="E1596" s="28">
        <v>43421</v>
      </c>
      <c r="F1596" s="28">
        <v>43451</v>
      </c>
      <c r="G1596" s="28">
        <v>43830</v>
      </c>
      <c r="H1596" s="29" t="s">
        <v>560</v>
      </c>
      <c r="I1596" s="29" t="s">
        <v>560</v>
      </c>
      <c r="J1596" s="29" t="s">
        <v>1813</v>
      </c>
      <c r="K1596" s="29" t="s">
        <v>1813</v>
      </c>
      <c r="L1596" s="29" t="s">
        <v>2837</v>
      </c>
      <c r="M1596" s="29" t="s">
        <v>2842</v>
      </c>
      <c r="N1596" s="29" t="s">
        <v>2041</v>
      </c>
      <c r="O1596" s="29" t="s">
        <v>590</v>
      </c>
    </row>
    <row r="1597" spans="1:15">
      <c r="A1597" s="25">
        <v>23241</v>
      </c>
      <c r="B1597" s="34" t="s">
        <v>2855</v>
      </c>
      <c r="C1597" s="31" t="s">
        <v>521</v>
      </c>
      <c r="D1597" s="31" t="s">
        <v>1582</v>
      </c>
      <c r="E1597" s="28">
        <v>43421</v>
      </c>
      <c r="F1597" s="28">
        <v>43451</v>
      </c>
      <c r="G1597" s="28">
        <v>43830</v>
      </c>
      <c r="H1597" s="29" t="s">
        <v>560</v>
      </c>
      <c r="I1597" s="29" t="s">
        <v>560</v>
      </c>
      <c r="J1597" s="29" t="s">
        <v>1813</v>
      </c>
      <c r="K1597" s="29" t="s">
        <v>1813</v>
      </c>
      <c r="L1597" s="29" t="s">
        <v>2837</v>
      </c>
      <c r="M1597" s="29" t="s">
        <v>2079</v>
      </c>
      <c r="N1597" s="29" t="s">
        <v>2080</v>
      </c>
      <c r="O1597" s="29" t="s">
        <v>590</v>
      </c>
    </row>
    <row r="1598" spans="1:15">
      <c r="A1598" s="25">
        <v>21602</v>
      </c>
      <c r="B1598" s="34" t="s">
        <v>2856</v>
      </c>
      <c r="C1598" s="31" t="s">
        <v>521</v>
      </c>
      <c r="D1598" s="31" t="s">
        <v>1603</v>
      </c>
      <c r="E1598" s="28">
        <v>43048</v>
      </c>
      <c r="F1598" s="28">
        <v>43435</v>
      </c>
      <c r="G1598" s="28">
        <v>43799</v>
      </c>
      <c r="H1598" s="29" t="s">
        <v>560</v>
      </c>
      <c r="I1598" s="29" t="s">
        <v>560</v>
      </c>
      <c r="J1598" s="29" t="s">
        <v>1813</v>
      </c>
      <c r="K1598" s="29" t="s">
        <v>1813</v>
      </c>
      <c r="L1598" s="29" t="s">
        <v>2857</v>
      </c>
      <c r="M1598" s="29" t="s">
        <v>2194</v>
      </c>
      <c r="N1598" s="29" t="s">
        <v>1434</v>
      </c>
      <c r="O1598" s="29" t="s">
        <v>594</v>
      </c>
    </row>
    <row r="1599" spans="1:15">
      <c r="A1599" s="25">
        <v>22154</v>
      </c>
      <c r="B1599" s="34" t="s">
        <v>2858</v>
      </c>
      <c r="C1599" s="31" t="s">
        <v>521</v>
      </c>
      <c r="D1599" s="31" t="s">
        <v>758</v>
      </c>
      <c r="E1599" s="28">
        <v>43153</v>
      </c>
      <c r="F1599" s="28">
        <v>43181</v>
      </c>
      <c r="G1599" s="28">
        <v>43555</v>
      </c>
      <c r="H1599" s="29" t="s">
        <v>560</v>
      </c>
      <c r="I1599" s="29" t="s">
        <v>560</v>
      </c>
      <c r="J1599" s="29" t="s">
        <v>1813</v>
      </c>
      <c r="K1599" s="29" t="s">
        <v>1813</v>
      </c>
      <c r="L1599" s="29" t="s">
        <v>2857</v>
      </c>
      <c r="M1599" s="29" t="s">
        <v>2222</v>
      </c>
      <c r="N1599" s="29" t="s">
        <v>2023</v>
      </c>
      <c r="O1599" s="29" t="s">
        <v>594</v>
      </c>
    </row>
    <row r="1600" spans="1:15">
      <c r="A1600" s="25">
        <v>23238</v>
      </c>
      <c r="B1600" s="34" t="s">
        <v>2859</v>
      </c>
      <c r="C1600" s="31" t="s">
        <v>521</v>
      </c>
      <c r="D1600" s="31" t="s">
        <v>1582</v>
      </c>
      <c r="E1600" s="28">
        <v>43421</v>
      </c>
      <c r="F1600" s="28">
        <v>43451</v>
      </c>
      <c r="G1600" s="28">
        <v>43830</v>
      </c>
      <c r="H1600" s="29" t="s">
        <v>560</v>
      </c>
      <c r="I1600" s="29" t="s">
        <v>560</v>
      </c>
      <c r="J1600" s="29" t="s">
        <v>1813</v>
      </c>
      <c r="K1600" s="29" t="s">
        <v>1813</v>
      </c>
      <c r="L1600" s="29" t="s">
        <v>2857</v>
      </c>
      <c r="M1600" s="29" t="s">
        <v>2842</v>
      </c>
      <c r="N1600" s="29" t="s">
        <v>1434</v>
      </c>
      <c r="O1600" s="29" t="s">
        <v>594</v>
      </c>
    </row>
    <row r="1601" spans="1:15">
      <c r="A1601" s="25">
        <v>23569</v>
      </c>
      <c r="B1601" s="34" t="s">
        <v>2860</v>
      </c>
      <c r="C1601" s="31" t="s">
        <v>521</v>
      </c>
      <c r="D1601" s="31" t="s">
        <v>884</v>
      </c>
      <c r="E1601" s="28">
        <v>43452</v>
      </c>
      <c r="F1601" s="28">
        <v>43483</v>
      </c>
      <c r="G1601" s="28">
        <v>43861</v>
      </c>
      <c r="H1601" s="29" t="s">
        <v>560</v>
      </c>
      <c r="I1601" s="29" t="s">
        <v>560</v>
      </c>
      <c r="J1601" s="29" t="s">
        <v>1813</v>
      </c>
      <c r="K1601" s="29" t="s">
        <v>1813</v>
      </c>
      <c r="L1601" s="29" t="s">
        <v>2857</v>
      </c>
      <c r="M1601" s="29" t="s">
        <v>2206</v>
      </c>
      <c r="N1601" s="29" t="s">
        <v>1586</v>
      </c>
      <c r="O1601" s="29" t="s">
        <v>594</v>
      </c>
    </row>
    <row r="1602" spans="1:15">
      <c r="A1602" s="25">
        <v>22698</v>
      </c>
      <c r="B1602" s="26" t="s">
        <v>2861</v>
      </c>
      <c r="C1602" s="27" t="s">
        <v>521</v>
      </c>
      <c r="D1602" s="27" t="s">
        <v>1195</v>
      </c>
      <c r="E1602" s="28">
        <v>43244</v>
      </c>
      <c r="F1602" s="28">
        <v>43275</v>
      </c>
      <c r="G1602" s="28">
        <v>43646</v>
      </c>
      <c r="H1602" s="29" t="s">
        <v>560</v>
      </c>
      <c r="I1602" s="29" t="s">
        <v>560</v>
      </c>
      <c r="J1602" s="29" t="s">
        <v>1813</v>
      </c>
      <c r="K1602" s="29" t="s">
        <v>1813</v>
      </c>
      <c r="L1602" s="29" t="s">
        <v>2857</v>
      </c>
      <c r="M1602" s="29" t="s">
        <v>2842</v>
      </c>
      <c r="N1602" s="29" t="s">
        <v>2041</v>
      </c>
      <c r="O1602" s="29" t="s">
        <v>528</v>
      </c>
    </row>
    <row r="1603" spans="1:15">
      <c r="A1603" s="25">
        <v>23144</v>
      </c>
      <c r="B1603" s="34" t="s">
        <v>2862</v>
      </c>
      <c r="C1603" s="31" t="s">
        <v>521</v>
      </c>
      <c r="D1603" s="31" t="s">
        <v>1523</v>
      </c>
      <c r="E1603" s="28">
        <v>43369</v>
      </c>
      <c r="F1603" s="28">
        <v>43399</v>
      </c>
      <c r="G1603" s="28">
        <v>43769</v>
      </c>
      <c r="H1603" s="29" t="s">
        <v>560</v>
      </c>
      <c r="I1603" s="29" t="s">
        <v>560</v>
      </c>
      <c r="J1603" s="29" t="s">
        <v>1813</v>
      </c>
      <c r="K1603" s="29" t="s">
        <v>1813</v>
      </c>
      <c r="L1603" s="29" t="s">
        <v>2857</v>
      </c>
      <c r="M1603" s="29" t="s">
        <v>2194</v>
      </c>
      <c r="N1603" s="29" t="s">
        <v>1434</v>
      </c>
      <c r="O1603" s="29" t="s">
        <v>528</v>
      </c>
    </row>
    <row r="1604" spans="1:15">
      <c r="A1604" s="25">
        <v>5749</v>
      </c>
      <c r="B1604" s="26" t="s">
        <v>2863</v>
      </c>
      <c r="C1604" s="27" t="s">
        <v>521</v>
      </c>
      <c r="D1604" s="27" t="s">
        <v>790</v>
      </c>
      <c r="E1604" s="28">
        <v>39098</v>
      </c>
      <c r="F1604" s="28" t="s">
        <v>35</v>
      </c>
      <c r="G1604" s="28" t="s">
        <v>35</v>
      </c>
      <c r="H1604" s="27" t="s">
        <v>560</v>
      </c>
      <c r="I1604" s="27" t="s">
        <v>560</v>
      </c>
      <c r="J1604" s="27" t="s">
        <v>1813</v>
      </c>
      <c r="K1604" s="27" t="s">
        <v>1813</v>
      </c>
      <c r="L1604" s="29" t="s">
        <v>2857</v>
      </c>
      <c r="M1604" s="29" t="s">
        <v>2025</v>
      </c>
      <c r="N1604" s="29" t="s">
        <v>2026</v>
      </c>
      <c r="O1604" s="29" t="s">
        <v>590</v>
      </c>
    </row>
    <row r="1605" spans="1:15">
      <c r="A1605" s="25">
        <v>10818</v>
      </c>
      <c r="B1605" s="26" t="s">
        <v>2864</v>
      </c>
      <c r="C1605" s="27" t="s">
        <v>521</v>
      </c>
      <c r="D1605" s="27" t="s">
        <v>795</v>
      </c>
      <c r="E1605" s="28">
        <v>40572</v>
      </c>
      <c r="F1605" s="28" t="s">
        <v>35</v>
      </c>
      <c r="G1605" s="28" t="s">
        <v>35</v>
      </c>
      <c r="H1605" s="27" t="s">
        <v>560</v>
      </c>
      <c r="I1605" s="27" t="s">
        <v>560</v>
      </c>
      <c r="J1605" s="27" t="s">
        <v>1813</v>
      </c>
      <c r="K1605" s="27" t="s">
        <v>1813</v>
      </c>
      <c r="L1605" s="29" t="s">
        <v>2857</v>
      </c>
      <c r="M1605" s="29" t="s">
        <v>2194</v>
      </c>
      <c r="N1605" s="29" t="s">
        <v>1434</v>
      </c>
      <c r="O1605" s="29" t="s">
        <v>590</v>
      </c>
    </row>
    <row r="1606" spans="1:15">
      <c r="A1606" s="25">
        <v>22750</v>
      </c>
      <c r="B1606" s="34" t="s">
        <v>2865</v>
      </c>
      <c r="C1606" s="31" t="s">
        <v>521</v>
      </c>
      <c r="D1606" s="31" t="s">
        <v>771</v>
      </c>
      <c r="E1606" s="28">
        <v>43255</v>
      </c>
      <c r="F1606" s="28">
        <v>43285</v>
      </c>
      <c r="G1606" s="28">
        <v>43646</v>
      </c>
      <c r="H1606" s="29" t="s">
        <v>560</v>
      </c>
      <c r="I1606" s="29" t="s">
        <v>560</v>
      </c>
      <c r="J1606" s="29" t="s">
        <v>1813</v>
      </c>
      <c r="K1606" s="29" t="s">
        <v>1813</v>
      </c>
      <c r="L1606" s="29" t="s">
        <v>2857</v>
      </c>
      <c r="M1606" s="29" t="s">
        <v>2194</v>
      </c>
      <c r="N1606" s="29" t="s">
        <v>2041</v>
      </c>
      <c r="O1606" s="29" t="s">
        <v>590</v>
      </c>
    </row>
    <row r="1607" spans="1:15">
      <c r="A1607" s="25">
        <v>23080</v>
      </c>
      <c r="B1607" s="34" t="s">
        <v>2866</v>
      </c>
      <c r="C1607" s="31" t="s">
        <v>521</v>
      </c>
      <c r="D1607" s="31" t="s">
        <v>1872</v>
      </c>
      <c r="E1607" s="28">
        <v>43361</v>
      </c>
      <c r="F1607" s="28">
        <v>43391</v>
      </c>
      <c r="G1607" s="28">
        <v>43769</v>
      </c>
      <c r="H1607" s="29" t="s">
        <v>560</v>
      </c>
      <c r="I1607" s="29" t="s">
        <v>560</v>
      </c>
      <c r="J1607" s="29" t="s">
        <v>1813</v>
      </c>
      <c r="K1607" s="29" t="s">
        <v>1813</v>
      </c>
      <c r="L1607" s="29" t="s">
        <v>2857</v>
      </c>
      <c r="M1607" s="29" t="s">
        <v>2222</v>
      </c>
      <c r="N1607" s="29" t="s">
        <v>2023</v>
      </c>
      <c r="O1607" s="29" t="s">
        <v>590</v>
      </c>
    </row>
    <row r="1608" spans="1:15">
      <c r="A1608" s="25">
        <v>23131</v>
      </c>
      <c r="B1608" s="34" t="s">
        <v>2867</v>
      </c>
      <c r="C1608" s="31" t="s">
        <v>521</v>
      </c>
      <c r="D1608" s="31" t="s">
        <v>1523</v>
      </c>
      <c r="E1608" s="28">
        <v>43369</v>
      </c>
      <c r="F1608" s="28">
        <v>43399</v>
      </c>
      <c r="G1608" s="28">
        <v>43769</v>
      </c>
      <c r="H1608" s="29" t="s">
        <v>560</v>
      </c>
      <c r="I1608" s="29" t="s">
        <v>560</v>
      </c>
      <c r="J1608" s="29" t="s">
        <v>1813</v>
      </c>
      <c r="K1608" s="29" t="s">
        <v>1813</v>
      </c>
      <c r="L1608" s="29" t="s">
        <v>2857</v>
      </c>
      <c r="M1608" s="29" t="s">
        <v>2842</v>
      </c>
      <c r="N1608" s="29" t="s">
        <v>2041</v>
      </c>
      <c r="O1608" s="29" t="s">
        <v>590</v>
      </c>
    </row>
    <row r="1609" spans="1:15">
      <c r="A1609" s="25">
        <v>11782</v>
      </c>
      <c r="B1609" s="26" t="s">
        <v>2868</v>
      </c>
      <c r="C1609" s="27" t="s">
        <v>521</v>
      </c>
      <c r="D1609" s="27" t="s">
        <v>675</v>
      </c>
      <c r="E1609" s="28">
        <v>40714</v>
      </c>
      <c r="F1609" s="28" t="s">
        <v>35</v>
      </c>
      <c r="G1609" s="28" t="s">
        <v>35</v>
      </c>
      <c r="H1609" s="27" t="s">
        <v>560</v>
      </c>
      <c r="I1609" s="27" t="s">
        <v>560</v>
      </c>
      <c r="J1609" s="27" t="s">
        <v>1813</v>
      </c>
      <c r="K1609" s="27" t="s">
        <v>1813</v>
      </c>
      <c r="L1609" s="29" t="s">
        <v>2869</v>
      </c>
      <c r="M1609" s="29" t="s">
        <v>2194</v>
      </c>
      <c r="N1609" s="29" t="s">
        <v>1434</v>
      </c>
      <c r="O1609" s="29" t="s">
        <v>594</v>
      </c>
    </row>
    <row r="1610" spans="1:15">
      <c r="A1610" s="25">
        <v>21436</v>
      </c>
      <c r="B1610" s="34" t="s">
        <v>2870</v>
      </c>
      <c r="C1610" s="31" t="s">
        <v>521</v>
      </c>
      <c r="D1610" s="31" t="s">
        <v>2166</v>
      </c>
      <c r="E1610" s="28">
        <v>43024</v>
      </c>
      <c r="F1610" s="28">
        <v>43435</v>
      </c>
      <c r="G1610" s="28">
        <v>43799</v>
      </c>
      <c r="H1610" s="29" t="s">
        <v>560</v>
      </c>
      <c r="I1610" s="29" t="s">
        <v>560</v>
      </c>
      <c r="J1610" s="29" t="s">
        <v>1813</v>
      </c>
      <c r="K1610" s="29" t="s">
        <v>1813</v>
      </c>
      <c r="L1610" s="29" t="s">
        <v>2869</v>
      </c>
      <c r="M1610" s="29" t="s">
        <v>2194</v>
      </c>
      <c r="N1610" s="29" t="s">
        <v>1434</v>
      </c>
      <c r="O1610" s="29" t="s">
        <v>594</v>
      </c>
    </row>
    <row r="1611" spans="1:15">
      <c r="A1611" s="25">
        <v>21957</v>
      </c>
      <c r="B1611" s="34" t="s">
        <v>2871</v>
      </c>
      <c r="C1611" s="31" t="s">
        <v>521</v>
      </c>
      <c r="D1611" s="31" t="s">
        <v>1573</v>
      </c>
      <c r="E1611" s="28">
        <v>43116</v>
      </c>
      <c r="F1611" s="28">
        <v>43147</v>
      </c>
      <c r="G1611" s="28">
        <v>43524</v>
      </c>
      <c r="H1611" s="29" t="s">
        <v>560</v>
      </c>
      <c r="I1611" s="29" t="s">
        <v>560</v>
      </c>
      <c r="J1611" s="29" t="s">
        <v>1813</v>
      </c>
      <c r="K1611" s="29" t="s">
        <v>1813</v>
      </c>
      <c r="L1611" s="29" t="s">
        <v>2869</v>
      </c>
      <c r="M1611" s="29" t="s">
        <v>2222</v>
      </c>
      <c r="N1611" s="29" t="s">
        <v>2023</v>
      </c>
      <c r="O1611" s="29" t="s">
        <v>594</v>
      </c>
    </row>
    <row r="1612" spans="1:15">
      <c r="A1612" s="25">
        <v>22521</v>
      </c>
      <c r="B1612" s="34" t="s">
        <v>2872</v>
      </c>
      <c r="C1612" s="31" t="s">
        <v>521</v>
      </c>
      <c r="D1612" s="31" t="s">
        <v>773</v>
      </c>
      <c r="E1612" s="28">
        <v>43224</v>
      </c>
      <c r="F1612" s="28">
        <v>43255</v>
      </c>
      <c r="G1612" s="28">
        <v>43616</v>
      </c>
      <c r="H1612" s="29" t="s">
        <v>560</v>
      </c>
      <c r="I1612" s="29" t="s">
        <v>560</v>
      </c>
      <c r="J1612" s="29" t="s">
        <v>1813</v>
      </c>
      <c r="K1612" s="29" t="s">
        <v>1813</v>
      </c>
      <c r="L1612" s="29" t="s">
        <v>2869</v>
      </c>
      <c r="M1612" s="29" t="s">
        <v>2842</v>
      </c>
      <c r="N1612" s="29" t="s">
        <v>2041</v>
      </c>
      <c r="O1612" s="29" t="s">
        <v>594</v>
      </c>
    </row>
    <row r="1613" spans="1:15">
      <c r="A1613" s="25">
        <v>23346</v>
      </c>
      <c r="B1613" s="34" t="s">
        <v>2873</v>
      </c>
      <c r="C1613" s="31" t="s">
        <v>521</v>
      </c>
      <c r="D1613" s="31" t="s">
        <v>1527</v>
      </c>
      <c r="E1613" s="28">
        <v>43427</v>
      </c>
      <c r="F1613" s="28">
        <v>43457</v>
      </c>
      <c r="G1613" s="28">
        <v>43830</v>
      </c>
      <c r="H1613" s="29" t="s">
        <v>560</v>
      </c>
      <c r="I1613" s="29" t="s">
        <v>560</v>
      </c>
      <c r="J1613" s="29" t="s">
        <v>1813</v>
      </c>
      <c r="K1613" s="29" t="s">
        <v>1813</v>
      </c>
      <c r="L1613" s="29" t="s">
        <v>2869</v>
      </c>
      <c r="M1613" s="29" t="s">
        <v>2842</v>
      </c>
      <c r="N1613" s="29" t="s">
        <v>1434</v>
      </c>
      <c r="O1613" s="29" t="s">
        <v>594</v>
      </c>
    </row>
    <row r="1614" spans="1:15">
      <c r="A1614" s="25">
        <v>23570</v>
      </c>
      <c r="B1614" s="34" t="s">
        <v>2874</v>
      </c>
      <c r="C1614" s="31" t="s">
        <v>521</v>
      </c>
      <c r="D1614" s="31" t="s">
        <v>884</v>
      </c>
      <c r="E1614" s="28">
        <v>43452</v>
      </c>
      <c r="F1614" s="28">
        <v>43483</v>
      </c>
      <c r="G1614" s="28">
        <v>43861</v>
      </c>
      <c r="H1614" s="29" t="s">
        <v>560</v>
      </c>
      <c r="I1614" s="29" t="s">
        <v>560</v>
      </c>
      <c r="J1614" s="29" t="s">
        <v>1813</v>
      </c>
      <c r="K1614" s="29" t="s">
        <v>1813</v>
      </c>
      <c r="L1614" s="29" t="s">
        <v>2869</v>
      </c>
      <c r="M1614" s="29" t="s">
        <v>2875</v>
      </c>
      <c r="N1614" s="29" t="s">
        <v>1586</v>
      </c>
      <c r="O1614" s="29" t="s">
        <v>594</v>
      </c>
    </row>
    <row r="1615" spans="1:15">
      <c r="A1615" s="25">
        <v>9930</v>
      </c>
      <c r="B1615" s="26" t="s">
        <v>2876</v>
      </c>
      <c r="C1615" s="27" t="s">
        <v>521</v>
      </c>
      <c r="D1615" s="27" t="s">
        <v>803</v>
      </c>
      <c r="E1615" s="28">
        <v>40431</v>
      </c>
      <c r="F1615" s="28" t="s">
        <v>35</v>
      </c>
      <c r="G1615" s="28" t="s">
        <v>35</v>
      </c>
      <c r="H1615" s="27" t="s">
        <v>560</v>
      </c>
      <c r="I1615" s="27" t="s">
        <v>560</v>
      </c>
      <c r="J1615" s="27" t="s">
        <v>1813</v>
      </c>
      <c r="K1615" s="27" t="s">
        <v>1813</v>
      </c>
      <c r="L1615" s="29" t="s">
        <v>2869</v>
      </c>
      <c r="M1615" s="29" t="s">
        <v>2194</v>
      </c>
      <c r="N1615" s="29" t="s">
        <v>1434</v>
      </c>
      <c r="O1615" s="29" t="s">
        <v>590</v>
      </c>
    </row>
    <row r="1616" spans="1:15">
      <c r="A1616" s="25">
        <v>20503</v>
      </c>
      <c r="B1616" s="26" t="s">
        <v>400</v>
      </c>
      <c r="C1616" s="27" t="s">
        <v>521</v>
      </c>
      <c r="D1616" s="27" t="s">
        <v>1644</v>
      </c>
      <c r="E1616" s="28">
        <v>42634</v>
      </c>
      <c r="F1616" s="28">
        <v>43132</v>
      </c>
      <c r="G1616" s="28">
        <v>43496</v>
      </c>
      <c r="H1616" s="27" t="s">
        <v>560</v>
      </c>
      <c r="I1616" s="27" t="s">
        <v>560</v>
      </c>
      <c r="J1616" s="27" t="s">
        <v>1813</v>
      </c>
      <c r="K1616" s="27" t="s">
        <v>1813</v>
      </c>
      <c r="L1616" s="29" t="s">
        <v>2869</v>
      </c>
      <c r="M1616" s="29" t="s">
        <v>2194</v>
      </c>
      <c r="N1616" s="29" t="s">
        <v>1434</v>
      </c>
      <c r="O1616" s="29" t="s">
        <v>590</v>
      </c>
    </row>
    <row r="1617" spans="1:15">
      <c r="A1617" s="25">
        <v>20586</v>
      </c>
      <c r="B1617" s="26" t="s">
        <v>2877</v>
      </c>
      <c r="C1617" s="27" t="s">
        <v>521</v>
      </c>
      <c r="D1617" s="27" t="s">
        <v>673</v>
      </c>
      <c r="E1617" s="28">
        <v>42639</v>
      </c>
      <c r="F1617" s="28">
        <v>43132</v>
      </c>
      <c r="G1617" s="28">
        <v>43496</v>
      </c>
      <c r="H1617" s="25" t="s">
        <v>560</v>
      </c>
      <c r="I1617" s="25" t="s">
        <v>560</v>
      </c>
      <c r="J1617" s="27" t="s">
        <v>1813</v>
      </c>
      <c r="K1617" s="27" t="s">
        <v>1813</v>
      </c>
      <c r="L1617" s="29" t="s">
        <v>2869</v>
      </c>
      <c r="M1617" s="29" t="s">
        <v>2842</v>
      </c>
      <c r="N1617" s="29" t="s">
        <v>2041</v>
      </c>
      <c r="O1617" s="29" t="s">
        <v>590</v>
      </c>
    </row>
    <row r="1618" spans="1:15">
      <c r="A1618" s="25">
        <v>20929</v>
      </c>
      <c r="B1618" s="33" t="s">
        <v>2878</v>
      </c>
      <c r="C1618" s="27" t="s">
        <v>521</v>
      </c>
      <c r="D1618" s="27" t="s">
        <v>1149</v>
      </c>
      <c r="E1618" s="28">
        <v>42667</v>
      </c>
      <c r="F1618" s="28">
        <v>43160</v>
      </c>
      <c r="G1618" s="28">
        <v>43524</v>
      </c>
      <c r="H1618" s="31" t="s">
        <v>560</v>
      </c>
      <c r="I1618" s="31" t="s">
        <v>560</v>
      </c>
      <c r="J1618" s="29" t="s">
        <v>1813</v>
      </c>
      <c r="K1618" s="29" t="s">
        <v>1813</v>
      </c>
      <c r="L1618" s="29" t="s">
        <v>2869</v>
      </c>
      <c r="M1618" s="29" t="s">
        <v>2879</v>
      </c>
      <c r="N1618" s="29" t="s">
        <v>2041</v>
      </c>
      <c r="O1618" s="29" t="s">
        <v>590</v>
      </c>
    </row>
    <row r="1619" spans="1:15">
      <c r="A1619" s="25">
        <v>21615</v>
      </c>
      <c r="B1619" s="34" t="s">
        <v>2880</v>
      </c>
      <c r="C1619" s="31" t="s">
        <v>521</v>
      </c>
      <c r="D1619" s="31" t="s">
        <v>1603</v>
      </c>
      <c r="E1619" s="28">
        <v>43048</v>
      </c>
      <c r="F1619" s="28">
        <v>43435</v>
      </c>
      <c r="G1619" s="28">
        <v>43799</v>
      </c>
      <c r="H1619" s="29" t="s">
        <v>560</v>
      </c>
      <c r="I1619" s="29" t="s">
        <v>560</v>
      </c>
      <c r="J1619" s="29" t="s">
        <v>1813</v>
      </c>
      <c r="K1619" s="29" t="s">
        <v>1813</v>
      </c>
      <c r="L1619" s="29" t="s">
        <v>2869</v>
      </c>
      <c r="M1619" s="29" t="s">
        <v>2222</v>
      </c>
      <c r="N1619" s="29" t="s">
        <v>2023</v>
      </c>
      <c r="O1619" s="29" t="s">
        <v>590</v>
      </c>
    </row>
    <row r="1620" spans="1:15">
      <c r="A1620" s="25">
        <v>8663</v>
      </c>
      <c r="B1620" s="26" t="s">
        <v>127</v>
      </c>
      <c r="C1620" s="27" t="s">
        <v>521</v>
      </c>
      <c r="D1620" s="27" t="s">
        <v>1493</v>
      </c>
      <c r="E1620" s="28">
        <v>39878</v>
      </c>
      <c r="F1620" s="28" t="s">
        <v>35</v>
      </c>
      <c r="G1620" s="28" t="s">
        <v>35</v>
      </c>
      <c r="H1620" s="27" t="s">
        <v>560</v>
      </c>
      <c r="I1620" s="27" t="s">
        <v>560</v>
      </c>
      <c r="J1620" s="29" t="s">
        <v>2304</v>
      </c>
      <c r="K1620" s="29" t="s">
        <v>2881</v>
      </c>
      <c r="L1620" s="29" t="s">
        <v>2882</v>
      </c>
      <c r="M1620" s="29" t="s">
        <v>1550</v>
      </c>
      <c r="N1620" s="29" t="s">
        <v>1045</v>
      </c>
      <c r="O1620" s="29" t="s">
        <v>594</v>
      </c>
    </row>
    <row r="1621" spans="1:15">
      <c r="A1621" s="25">
        <v>10564</v>
      </c>
      <c r="B1621" s="26" t="s">
        <v>2883</v>
      </c>
      <c r="C1621" s="27" t="s">
        <v>521</v>
      </c>
      <c r="D1621" s="27" t="s">
        <v>1672</v>
      </c>
      <c r="E1621" s="28">
        <v>40542</v>
      </c>
      <c r="F1621" s="28" t="s">
        <v>35</v>
      </c>
      <c r="G1621" s="28" t="s">
        <v>35</v>
      </c>
      <c r="H1621" s="29" t="s">
        <v>560</v>
      </c>
      <c r="I1621" s="29" t="s">
        <v>560</v>
      </c>
      <c r="J1621" s="29" t="s">
        <v>2304</v>
      </c>
      <c r="K1621" s="29" t="s">
        <v>2881</v>
      </c>
      <c r="L1621" s="29" t="s">
        <v>2882</v>
      </c>
      <c r="M1621" s="29" t="s">
        <v>2025</v>
      </c>
      <c r="N1621" s="29" t="s">
        <v>2026</v>
      </c>
      <c r="O1621" s="29" t="s">
        <v>594</v>
      </c>
    </row>
    <row r="1622" spans="1:15">
      <c r="A1622" s="25">
        <v>21415</v>
      </c>
      <c r="B1622" s="34" t="s">
        <v>2884</v>
      </c>
      <c r="C1622" s="31" t="s">
        <v>521</v>
      </c>
      <c r="D1622" s="31" t="s">
        <v>2283</v>
      </c>
      <c r="E1622" s="28">
        <v>43018</v>
      </c>
      <c r="F1622" s="28">
        <v>43405</v>
      </c>
      <c r="G1622" s="28">
        <v>43769</v>
      </c>
      <c r="H1622" s="29" t="s">
        <v>560</v>
      </c>
      <c r="I1622" s="29" t="s">
        <v>560</v>
      </c>
      <c r="J1622" s="29" t="s">
        <v>2304</v>
      </c>
      <c r="K1622" s="29" t="s">
        <v>2881</v>
      </c>
      <c r="L1622" s="29" t="s">
        <v>2882</v>
      </c>
      <c r="M1622" s="29" t="s">
        <v>2842</v>
      </c>
      <c r="N1622" s="29" t="s">
        <v>2041</v>
      </c>
      <c r="O1622" s="29" t="s">
        <v>594</v>
      </c>
    </row>
    <row r="1623" spans="1:15">
      <c r="A1623" s="25">
        <v>21687</v>
      </c>
      <c r="B1623" s="34" t="s">
        <v>2885</v>
      </c>
      <c r="C1623" s="31" t="s">
        <v>521</v>
      </c>
      <c r="D1623" s="31" t="s">
        <v>1053</v>
      </c>
      <c r="E1623" s="28">
        <v>43055</v>
      </c>
      <c r="F1623" s="28">
        <v>43466</v>
      </c>
      <c r="G1623" s="28">
        <v>43830</v>
      </c>
      <c r="H1623" s="29" t="s">
        <v>560</v>
      </c>
      <c r="I1623" s="29" t="s">
        <v>560</v>
      </c>
      <c r="J1623" s="29" t="s">
        <v>2304</v>
      </c>
      <c r="K1623" s="29" t="s">
        <v>2881</v>
      </c>
      <c r="L1623" s="29" t="s">
        <v>2882</v>
      </c>
      <c r="M1623" s="29" t="s">
        <v>2842</v>
      </c>
      <c r="N1623" s="29" t="s">
        <v>2041</v>
      </c>
      <c r="O1623" s="29" t="s">
        <v>594</v>
      </c>
    </row>
    <row r="1624" spans="1:15">
      <c r="A1624" s="25">
        <v>21939</v>
      </c>
      <c r="B1624" s="34" t="s">
        <v>2886</v>
      </c>
      <c r="C1624" s="31" t="s">
        <v>521</v>
      </c>
      <c r="D1624" s="31" t="s">
        <v>1573</v>
      </c>
      <c r="E1624" s="28">
        <v>43116</v>
      </c>
      <c r="F1624" s="28">
        <v>43147</v>
      </c>
      <c r="G1624" s="28">
        <v>43524</v>
      </c>
      <c r="H1624" s="29" t="s">
        <v>560</v>
      </c>
      <c r="I1624" s="29" t="s">
        <v>560</v>
      </c>
      <c r="J1624" s="29" t="s">
        <v>2304</v>
      </c>
      <c r="K1624" s="29" t="s">
        <v>2881</v>
      </c>
      <c r="L1624" s="29" t="s">
        <v>2882</v>
      </c>
      <c r="M1624" s="29" t="s">
        <v>2887</v>
      </c>
      <c r="N1624" s="29" t="s">
        <v>1434</v>
      </c>
      <c r="O1624" s="29" t="s">
        <v>594</v>
      </c>
    </row>
    <row r="1625" spans="1:15">
      <c r="A1625" s="25">
        <v>21963</v>
      </c>
      <c r="B1625" s="34" t="s">
        <v>2888</v>
      </c>
      <c r="C1625" s="31" t="s">
        <v>521</v>
      </c>
      <c r="D1625" s="31" t="s">
        <v>1573</v>
      </c>
      <c r="E1625" s="28">
        <v>43116</v>
      </c>
      <c r="F1625" s="28">
        <v>43147</v>
      </c>
      <c r="G1625" s="28">
        <v>43524</v>
      </c>
      <c r="H1625" s="29" t="s">
        <v>560</v>
      </c>
      <c r="I1625" s="29" t="s">
        <v>560</v>
      </c>
      <c r="J1625" s="29" t="s">
        <v>2304</v>
      </c>
      <c r="K1625" s="29" t="s">
        <v>2881</v>
      </c>
      <c r="L1625" s="29" t="s">
        <v>2882</v>
      </c>
      <c r="M1625" s="29" t="s">
        <v>2222</v>
      </c>
      <c r="N1625" s="29" t="s">
        <v>2023</v>
      </c>
      <c r="O1625" s="29" t="s">
        <v>594</v>
      </c>
    </row>
    <row r="1626" spans="1:15">
      <c r="A1626" s="25">
        <v>22048</v>
      </c>
      <c r="B1626" s="34" t="s">
        <v>2889</v>
      </c>
      <c r="C1626" s="31" t="s">
        <v>521</v>
      </c>
      <c r="D1626" s="31" t="s">
        <v>631</v>
      </c>
      <c r="E1626" s="28">
        <v>43144</v>
      </c>
      <c r="F1626" s="28">
        <v>43172</v>
      </c>
      <c r="G1626" s="28">
        <v>43524</v>
      </c>
      <c r="H1626" s="29" t="s">
        <v>560</v>
      </c>
      <c r="I1626" s="29" t="s">
        <v>560</v>
      </c>
      <c r="J1626" s="29" t="s">
        <v>2304</v>
      </c>
      <c r="K1626" s="29" t="s">
        <v>2881</v>
      </c>
      <c r="L1626" s="29" t="s">
        <v>2882</v>
      </c>
      <c r="M1626" s="29" t="s">
        <v>2890</v>
      </c>
      <c r="N1626" s="29" t="s">
        <v>1434</v>
      </c>
      <c r="O1626" s="29" t="s">
        <v>594</v>
      </c>
    </row>
    <row r="1627" spans="1:15">
      <c r="A1627" s="25">
        <v>22530</v>
      </c>
      <c r="B1627" s="34" t="s">
        <v>2891</v>
      </c>
      <c r="C1627" s="31" t="s">
        <v>521</v>
      </c>
      <c r="D1627" s="31" t="s">
        <v>773</v>
      </c>
      <c r="E1627" s="28">
        <v>43224</v>
      </c>
      <c r="F1627" s="28">
        <v>43255</v>
      </c>
      <c r="G1627" s="28">
        <v>43616</v>
      </c>
      <c r="H1627" s="29" t="s">
        <v>560</v>
      </c>
      <c r="I1627" s="29" t="s">
        <v>560</v>
      </c>
      <c r="J1627" s="29" t="s">
        <v>2304</v>
      </c>
      <c r="K1627" s="29" t="s">
        <v>2881</v>
      </c>
      <c r="L1627" s="29" t="s">
        <v>2882</v>
      </c>
      <c r="M1627" s="29" t="s">
        <v>2892</v>
      </c>
      <c r="N1627" s="29" t="s">
        <v>1434</v>
      </c>
      <c r="O1627" s="29" t="s">
        <v>594</v>
      </c>
    </row>
    <row r="1628" spans="1:15">
      <c r="A1628" s="25">
        <v>22654</v>
      </c>
      <c r="B1628" s="34" t="s">
        <v>2893</v>
      </c>
      <c r="C1628" s="31" t="s">
        <v>521</v>
      </c>
      <c r="D1628" s="31" t="s">
        <v>1199</v>
      </c>
      <c r="E1628" s="28">
        <v>43241</v>
      </c>
      <c r="F1628" s="28">
        <v>43272</v>
      </c>
      <c r="G1628" s="28">
        <v>43646</v>
      </c>
      <c r="H1628" s="29" t="s">
        <v>560</v>
      </c>
      <c r="I1628" s="29" t="s">
        <v>560</v>
      </c>
      <c r="J1628" s="29" t="s">
        <v>2304</v>
      </c>
      <c r="K1628" s="29" t="s">
        <v>2881</v>
      </c>
      <c r="L1628" s="29" t="s">
        <v>2882</v>
      </c>
      <c r="M1628" s="29" t="s">
        <v>2892</v>
      </c>
      <c r="N1628" s="29" t="s">
        <v>1434</v>
      </c>
      <c r="O1628" s="29" t="s">
        <v>594</v>
      </c>
    </row>
    <row r="1629" spans="1:15">
      <c r="A1629" s="25">
        <v>22766</v>
      </c>
      <c r="B1629" s="34" t="s">
        <v>2894</v>
      </c>
      <c r="C1629" s="31" t="s">
        <v>521</v>
      </c>
      <c r="D1629" s="31" t="s">
        <v>771</v>
      </c>
      <c r="E1629" s="28">
        <v>43255</v>
      </c>
      <c r="F1629" s="28">
        <v>43285</v>
      </c>
      <c r="G1629" s="28">
        <v>43646</v>
      </c>
      <c r="H1629" s="29" t="s">
        <v>560</v>
      </c>
      <c r="I1629" s="29" t="s">
        <v>560</v>
      </c>
      <c r="J1629" s="29" t="s">
        <v>2304</v>
      </c>
      <c r="K1629" s="29" t="s">
        <v>2881</v>
      </c>
      <c r="L1629" s="29" t="s">
        <v>2882</v>
      </c>
      <c r="M1629" s="29" t="s">
        <v>2887</v>
      </c>
      <c r="N1629" s="29" t="s">
        <v>1434</v>
      </c>
      <c r="O1629" s="29" t="s">
        <v>594</v>
      </c>
    </row>
    <row r="1630" spans="1:15">
      <c r="A1630" s="25">
        <v>22881</v>
      </c>
      <c r="B1630" s="34" t="s">
        <v>2895</v>
      </c>
      <c r="C1630" s="31" t="s">
        <v>521</v>
      </c>
      <c r="D1630" s="31" t="s">
        <v>775</v>
      </c>
      <c r="E1630" s="28">
        <v>43333</v>
      </c>
      <c r="F1630" s="28">
        <v>43364</v>
      </c>
      <c r="G1630" s="28">
        <v>43738</v>
      </c>
      <c r="H1630" s="29" t="s">
        <v>560</v>
      </c>
      <c r="I1630" s="29" t="s">
        <v>560</v>
      </c>
      <c r="J1630" s="29" t="s">
        <v>2304</v>
      </c>
      <c r="K1630" s="29" t="s">
        <v>2881</v>
      </c>
      <c r="L1630" s="29" t="s">
        <v>2882</v>
      </c>
      <c r="M1630" s="29" t="s">
        <v>2222</v>
      </c>
      <c r="N1630" s="29" t="s">
        <v>2023</v>
      </c>
      <c r="O1630" s="29" t="s">
        <v>594</v>
      </c>
    </row>
    <row r="1631" spans="1:15">
      <c r="A1631" s="25">
        <v>23064</v>
      </c>
      <c r="B1631" s="34" t="s">
        <v>2896</v>
      </c>
      <c r="C1631" s="31" t="s">
        <v>521</v>
      </c>
      <c r="D1631" s="31" t="s">
        <v>1872</v>
      </c>
      <c r="E1631" s="28">
        <v>43361</v>
      </c>
      <c r="F1631" s="28">
        <v>43391</v>
      </c>
      <c r="G1631" s="28">
        <v>43769</v>
      </c>
      <c r="H1631" s="29" t="s">
        <v>560</v>
      </c>
      <c r="I1631" s="29" t="s">
        <v>560</v>
      </c>
      <c r="J1631" s="29" t="s">
        <v>2304</v>
      </c>
      <c r="K1631" s="29" t="s">
        <v>2881</v>
      </c>
      <c r="L1631" s="29" t="s">
        <v>2882</v>
      </c>
      <c r="M1631" s="29" t="s">
        <v>2842</v>
      </c>
      <c r="N1631" s="29" t="s">
        <v>2041</v>
      </c>
      <c r="O1631" s="29" t="s">
        <v>594</v>
      </c>
    </row>
    <row r="1632" spans="1:15">
      <c r="A1632" s="25">
        <v>23120</v>
      </c>
      <c r="B1632" s="34" t="s">
        <v>2897</v>
      </c>
      <c r="C1632" s="31" t="s">
        <v>521</v>
      </c>
      <c r="D1632" s="31" t="s">
        <v>1523</v>
      </c>
      <c r="E1632" s="28">
        <v>43369</v>
      </c>
      <c r="F1632" s="28">
        <v>43399</v>
      </c>
      <c r="G1632" s="28">
        <v>43769</v>
      </c>
      <c r="H1632" s="29" t="s">
        <v>560</v>
      </c>
      <c r="I1632" s="29" t="s">
        <v>560</v>
      </c>
      <c r="J1632" s="29" t="s">
        <v>2304</v>
      </c>
      <c r="K1632" s="29" t="s">
        <v>2881</v>
      </c>
      <c r="L1632" s="29" t="s">
        <v>2882</v>
      </c>
      <c r="M1632" s="29" t="s">
        <v>2890</v>
      </c>
      <c r="N1632" s="29" t="s">
        <v>1434</v>
      </c>
      <c r="O1632" s="29" t="s">
        <v>594</v>
      </c>
    </row>
    <row r="1633" spans="1:15">
      <c r="A1633" s="25">
        <v>23223</v>
      </c>
      <c r="B1633" s="34" t="s">
        <v>2898</v>
      </c>
      <c r="C1633" s="31" t="s">
        <v>521</v>
      </c>
      <c r="D1633" s="31" t="s">
        <v>1582</v>
      </c>
      <c r="E1633" s="28">
        <v>43421</v>
      </c>
      <c r="F1633" s="28">
        <v>43451</v>
      </c>
      <c r="G1633" s="28">
        <v>43830</v>
      </c>
      <c r="H1633" s="29" t="s">
        <v>560</v>
      </c>
      <c r="I1633" s="29" t="s">
        <v>560</v>
      </c>
      <c r="J1633" s="29" t="s">
        <v>2304</v>
      </c>
      <c r="K1633" s="29" t="s">
        <v>2881</v>
      </c>
      <c r="L1633" s="29" t="s">
        <v>2882</v>
      </c>
      <c r="M1633" s="29" t="s">
        <v>2892</v>
      </c>
      <c r="N1633" s="29" t="s">
        <v>1434</v>
      </c>
      <c r="O1633" s="29" t="s">
        <v>594</v>
      </c>
    </row>
    <row r="1634" spans="1:15">
      <c r="A1634" s="25">
        <v>23224</v>
      </c>
      <c r="B1634" s="34" t="s">
        <v>2899</v>
      </c>
      <c r="C1634" s="31" t="s">
        <v>521</v>
      </c>
      <c r="D1634" s="31" t="s">
        <v>1582</v>
      </c>
      <c r="E1634" s="28">
        <v>43421</v>
      </c>
      <c r="F1634" s="28">
        <v>43451</v>
      </c>
      <c r="G1634" s="28">
        <v>43830</v>
      </c>
      <c r="H1634" s="29" t="s">
        <v>560</v>
      </c>
      <c r="I1634" s="29" t="s">
        <v>560</v>
      </c>
      <c r="J1634" s="29" t="s">
        <v>2304</v>
      </c>
      <c r="K1634" s="29" t="s">
        <v>2881</v>
      </c>
      <c r="L1634" s="29" t="s">
        <v>2882</v>
      </c>
      <c r="M1634" s="29" t="s">
        <v>2079</v>
      </c>
      <c r="N1634" s="29" t="s">
        <v>2080</v>
      </c>
      <c r="O1634" s="29" t="s">
        <v>594</v>
      </c>
    </row>
    <row r="1635" spans="1:15">
      <c r="A1635" s="25">
        <v>23424</v>
      </c>
      <c r="B1635" s="34" t="s">
        <v>2900</v>
      </c>
      <c r="C1635" s="31" t="s">
        <v>521</v>
      </c>
      <c r="D1635" s="31" t="s">
        <v>882</v>
      </c>
      <c r="E1635" s="28">
        <v>43434</v>
      </c>
      <c r="F1635" s="28">
        <v>43464</v>
      </c>
      <c r="G1635" s="28">
        <v>43830</v>
      </c>
      <c r="H1635" s="29" t="s">
        <v>560</v>
      </c>
      <c r="I1635" s="29" t="s">
        <v>560</v>
      </c>
      <c r="J1635" s="29" t="s">
        <v>2304</v>
      </c>
      <c r="K1635" s="29" t="s">
        <v>2881</v>
      </c>
      <c r="L1635" s="29" t="s">
        <v>2882</v>
      </c>
      <c r="M1635" s="29" t="s">
        <v>2194</v>
      </c>
      <c r="N1635" s="29" t="s">
        <v>1434</v>
      </c>
      <c r="O1635" s="29" t="s">
        <v>594</v>
      </c>
    </row>
    <row r="1636" spans="1:15">
      <c r="A1636" s="25">
        <v>23455</v>
      </c>
      <c r="B1636" s="34" t="s">
        <v>2901</v>
      </c>
      <c r="C1636" s="31" t="s">
        <v>521</v>
      </c>
      <c r="D1636" s="31" t="s">
        <v>882</v>
      </c>
      <c r="E1636" s="28">
        <v>43434</v>
      </c>
      <c r="F1636" s="28">
        <v>43464</v>
      </c>
      <c r="G1636" s="28">
        <v>43830</v>
      </c>
      <c r="H1636" s="29" t="s">
        <v>560</v>
      </c>
      <c r="I1636" s="29" t="s">
        <v>560</v>
      </c>
      <c r="J1636" s="29" t="s">
        <v>2304</v>
      </c>
      <c r="K1636" s="29" t="s">
        <v>2881</v>
      </c>
      <c r="L1636" s="29" t="s">
        <v>2882</v>
      </c>
      <c r="M1636" s="29" t="s">
        <v>2842</v>
      </c>
      <c r="N1636" s="29" t="s">
        <v>2041</v>
      </c>
      <c r="O1636" s="29" t="s">
        <v>594</v>
      </c>
    </row>
    <row r="1637" spans="1:15">
      <c r="A1637" s="25">
        <v>23460</v>
      </c>
      <c r="B1637" s="34" t="s">
        <v>2902</v>
      </c>
      <c r="C1637" s="31" t="s">
        <v>521</v>
      </c>
      <c r="D1637" s="31" t="s">
        <v>882</v>
      </c>
      <c r="E1637" s="28">
        <v>43434</v>
      </c>
      <c r="F1637" s="28">
        <v>43464</v>
      </c>
      <c r="G1637" s="28">
        <v>43830</v>
      </c>
      <c r="H1637" s="29" t="s">
        <v>560</v>
      </c>
      <c r="I1637" s="29" t="s">
        <v>560</v>
      </c>
      <c r="J1637" s="29" t="s">
        <v>2304</v>
      </c>
      <c r="K1637" s="29" t="s">
        <v>2881</v>
      </c>
      <c r="L1637" s="29" t="s">
        <v>2882</v>
      </c>
      <c r="M1637" s="29" t="s">
        <v>2892</v>
      </c>
      <c r="N1637" s="29" t="s">
        <v>1434</v>
      </c>
      <c r="O1637" s="29" t="s">
        <v>594</v>
      </c>
    </row>
    <row r="1638" spans="1:15">
      <c r="A1638" s="25">
        <v>6084</v>
      </c>
      <c r="B1638" s="26" t="s">
        <v>2903</v>
      </c>
      <c r="C1638" s="27" t="s">
        <v>521</v>
      </c>
      <c r="D1638" s="27" t="s">
        <v>591</v>
      </c>
      <c r="E1638" s="28">
        <v>39142</v>
      </c>
      <c r="F1638" s="28" t="s">
        <v>35</v>
      </c>
      <c r="G1638" s="28" t="s">
        <v>35</v>
      </c>
      <c r="H1638" s="29" t="s">
        <v>560</v>
      </c>
      <c r="I1638" s="29" t="s">
        <v>560</v>
      </c>
      <c r="J1638" s="29" t="s">
        <v>2304</v>
      </c>
      <c r="K1638" s="29" t="s">
        <v>2881</v>
      </c>
      <c r="L1638" s="29" t="s">
        <v>2882</v>
      </c>
      <c r="M1638" s="29" t="s">
        <v>2892</v>
      </c>
      <c r="N1638" s="29" t="s">
        <v>1434</v>
      </c>
      <c r="O1638" s="29" t="s">
        <v>590</v>
      </c>
    </row>
    <row r="1639" spans="1:15">
      <c r="A1639" s="25">
        <v>10601</v>
      </c>
      <c r="B1639" s="26" t="s">
        <v>2904</v>
      </c>
      <c r="C1639" s="27" t="s">
        <v>521</v>
      </c>
      <c r="D1639" s="27" t="s">
        <v>602</v>
      </c>
      <c r="E1639" s="28">
        <v>40544</v>
      </c>
      <c r="F1639" s="28" t="s">
        <v>35</v>
      </c>
      <c r="G1639" s="28" t="s">
        <v>35</v>
      </c>
      <c r="H1639" s="29" t="s">
        <v>560</v>
      </c>
      <c r="I1639" s="29" t="s">
        <v>560</v>
      </c>
      <c r="J1639" s="29" t="s">
        <v>2304</v>
      </c>
      <c r="K1639" s="29" t="s">
        <v>2881</v>
      </c>
      <c r="L1639" s="29" t="s">
        <v>2882</v>
      </c>
      <c r="M1639" s="29" t="s">
        <v>2025</v>
      </c>
      <c r="N1639" s="29" t="s">
        <v>2026</v>
      </c>
      <c r="O1639" s="29" t="s">
        <v>590</v>
      </c>
    </row>
    <row r="1640" spans="1:15">
      <c r="A1640" s="25">
        <v>10848</v>
      </c>
      <c r="B1640" s="26" t="s">
        <v>68</v>
      </c>
      <c r="C1640" s="27" t="s">
        <v>521</v>
      </c>
      <c r="D1640" s="27" t="s">
        <v>795</v>
      </c>
      <c r="E1640" s="28">
        <v>40572</v>
      </c>
      <c r="F1640" s="28" t="s">
        <v>35</v>
      </c>
      <c r="G1640" s="28" t="s">
        <v>35</v>
      </c>
      <c r="H1640" s="27" t="s">
        <v>560</v>
      </c>
      <c r="I1640" s="27" t="s">
        <v>560</v>
      </c>
      <c r="J1640" s="29" t="s">
        <v>2304</v>
      </c>
      <c r="K1640" s="29" t="s">
        <v>2881</v>
      </c>
      <c r="L1640" s="29" t="s">
        <v>2882</v>
      </c>
      <c r="M1640" s="29" t="s">
        <v>1550</v>
      </c>
      <c r="N1640" s="29" t="s">
        <v>1045</v>
      </c>
      <c r="O1640" s="29" t="s">
        <v>590</v>
      </c>
    </row>
    <row r="1641" spans="1:15">
      <c r="A1641" s="25">
        <v>12858</v>
      </c>
      <c r="B1641" s="26" t="s">
        <v>2905</v>
      </c>
      <c r="C1641" s="27" t="s">
        <v>521</v>
      </c>
      <c r="D1641" s="27" t="s">
        <v>688</v>
      </c>
      <c r="E1641" s="28">
        <v>40833</v>
      </c>
      <c r="F1641" s="28" t="s">
        <v>35</v>
      </c>
      <c r="G1641" s="28" t="s">
        <v>35</v>
      </c>
      <c r="H1641" s="27" t="s">
        <v>560</v>
      </c>
      <c r="I1641" s="27" t="s">
        <v>560</v>
      </c>
      <c r="J1641" s="27" t="s">
        <v>2304</v>
      </c>
      <c r="K1641" s="27" t="s">
        <v>2881</v>
      </c>
      <c r="L1641" s="27" t="s">
        <v>2882</v>
      </c>
      <c r="M1641" s="27" t="s">
        <v>2892</v>
      </c>
      <c r="N1641" s="27" t="s">
        <v>1434</v>
      </c>
      <c r="O1641" s="29" t="s">
        <v>590</v>
      </c>
    </row>
    <row r="1642" spans="1:15">
      <c r="A1642" s="25">
        <v>20483</v>
      </c>
      <c r="B1642" s="26" t="s">
        <v>2906</v>
      </c>
      <c r="C1642" s="27" t="s">
        <v>521</v>
      </c>
      <c r="D1642" s="27" t="s">
        <v>1644</v>
      </c>
      <c r="E1642" s="28">
        <v>42634</v>
      </c>
      <c r="F1642" s="28">
        <v>43132</v>
      </c>
      <c r="G1642" s="28">
        <v>43496</v>
      </c>
      <c r="H1642" s="25" t="s">
        <v>560</v>
      </c>
      <c r="I1642" s="27" t="s">
        <v>560</v>
      </c>
      <c r="J1642" s="29" t="s">
        <v>2304</v>
      </c>
      <c r="K1642" s="29" t="s">
        <v>2881</v>
      </c>
      <c r="L1642" s="29" t="s">
        <v>2882</v>
      </c>
      <c r="M1642" s="29" t="s">
        <v>2842</v>
      </c>
      <c r="N1642" s="29" t="s">
        <v>2041</v>
      </c>
      <c r="O1642" s="29" t="s">
        <v>590</v>
      </c>
    </row>
    <row r="1643" spans="1:15">
      <c r="A1643" s="25">
        <v>21781</v>
      </c>
      <c r="B1643" s="34" t="s">
        <v>2907</v>
      </c>
      <c r="C1643" s="31" t="s">
        <v>521</v>
      </c>
      <c r="D1643" s="31" t="s">
        <v>1609</v>
      </c>
      <c r="E1643" s="28">
        <v>43090</v>
      </c>
      <c r="F1643" s="28">
        <v>43121</v>
      </c>
      <c r="G1643" s="28">
        <v>43496</v>
      </c>
      <c r="H1643" s="27" t="s">
        <v>560</v>
      </c>
      <c r="I1643" s="27" t="s">
        <v>560</v>
      </c>
      <c r="J1643" s="27" t="s">
        <v>2304</v>
      </c>
      <c r="K1643" s="27" t="s">
        <v>2881</v>
      </c>
      <c r="L1643" s="27" t="s">
        <v>2882</v>
      </c>
      <c r="M1643" s="29" t="s">
        <v>2194</v>
      </c>
      <c r="N1643" s="29" t="s">
        <v>1434</v>
      </c>
      <c r="O1643" s="29" t="s">
        <v>590</v>
      </c>
    </row>
    <row r="1644" spans="1:15">
      <c r="A1644" s="25">
        <v>22084</v>
      </c>
      <c r="B1644" s="34" t="s">
        <v>2908</v>
      </c>
      <c r="C1644" s="31" t="s">
        <v>521</v>
      </c>
      <c r="D1644" s="31" t="s">
        <v>769</v>
      </c>
      <c r="E1644" s="28">
        <v>43150</v>
      </c>
      <c r="F1644" s="28">
        <v>43178</v>
      </c>
      <c r="G1644" s="28">
        <v>43555</v>
      </c>
      <c r="H1644" s="29" t="s">
        <v>560</v>
      </c>
      <c r="I1644" s="29" t="s">
        <v>560</v>
      </c>
      <c r="J1644" s="29" t="s">
        <v>2304</v>
      </c>
      <c r="K1644" s="29" t="s">
        <v>2881</v>
      </c>
      <c r="L1644" s="29" t="s">
        <v>2882</v>
      </c>
      <c r="M1644" s="29" t="s">
        <v>2842</v>
      </c>
      <c r="N1644" s="29" t="s">
        <v>2041</v>
      </c>
      <c r="O1644" s="29" t="s">
        <v>590</v>
      </c>
    </row>
    <row r="1645" spans="1:15">
      <c r="A1645" s="25">
        <v>22239</v>
      </c>
      <c r="B1645" s="34" t="s">
        <v>2909</v>
      </c>
      <c r="C1645" s="31" t="s">
        <v>521</v>
      </c>
      <c r="D1645" s="31" t="s">
        <v>1796</v>
      </c>
      <c r="E1645" s="28">
        <v>43161</v>
      </c>
      <c r="F1645" s="28">
        <v>43192</v>
      </c>
      <c r="G1645" s="28">
        <v>43555</v>
      </c>
      <c r="H1645" s="29" t="s">
        <v>560</v>
      </c>
      <c r="I1645" s="29" t="s">
        <v>560</v>
      </c>
      <c r="J1645" s="29" t="s">
        <v>2304</v>
      </c>
      <c r="K1645" s="29" t="s">
        <v>2881</v>
      </c>
      <c r="L1645" s="29" t="s">
        <v>2882</v>
      </c>
      <c r="M1645" s="29" t="s">
        <v>2842</v>
      </c>
      <c r="N1645" s="29" t="s">
        <v>2041</v>
      </c>
      <c r="O1645" s="29" t="s">
        <v>590</v>
      </c>
    </row>
    <row r="1646" spans="1:15">
      <c r="A1646" s="25">
        <v>22547</v>
      </c>
      <c r="B1646" s="34" t="s">
        <v>2910</v>
      </c>
      <c r="C1646" s="31" t="s">
        <v>521</v>
      </c>
      <c r="D1646" s="31" t="s">
        <v>773</v>
      </c>
      <c r="E1646" s="28">
        <v>43224</v>
      </c>
      <c r="F1646" s="28">
        <v>43255</v>
      </c>
      <c r="G1646" s="28">
        <v>43616</v>
      </c>
      <c r="H1646" s="29" t="s">
        <v>560</v>
      </c>
      <c r="I1646" s="29" t="s">
        <v>560</v>
      </c>
      <c r="J1646" s="29" t="s">
        <v>2304</v>
      </c>
      <c r="K1646" s="29" t="s">
        <v>2881</v>
      </c>
      <c r="L1646" s="29" t="s">
        <v>2882</v>
      </c>
      <c r="M1646" s="29" t="s">
        <v>2194</v>
      </c>
      <c r="N1646" s="29" t="s">
        <v>1434</v>
      </c>
      <c r="O1646" s="29" t="s">
        <v>590</v>
      </c>
    </row>
    <row r="1647" spans="1:15">
      <c r="A1647" s="25">
        <v>22609</v>
      </c>
      <c r="B1647" s="34" t="s">
        <v>2911</v>
      </c>
      <c r="C1647" s="31" t="s">
        <v>521</v>
      </c>
      <c r="D1647" s="31" t="s">
        <v>745</v>
      </c>
      <c r="E1647" s="28">
        <v>43236</v>
      </c>
      <c r="F1647" s="28">
        <v>43267</v>
      </c>
      <c r="G1647" s="28">
        <v>43646</v>
      </c>
      <c r="H1647" s="29" t="s">
        <v>560</v>
      </c>
      <c r="I1647" s="29" t="s">
        <v>560</v>
      </c>
      <c r="J1647" s="29" t="s">
        <v>2304</v>
      </c>
      <c r="K1647" s="29" t="s">
        <v>2881</v>
      </c>
      <c r="L1647" s="29" t="s">
        <v>2882</v>
      </c>
      <c r="M1647" s="29" t="s">
        <v>2842</v>
      </c>
      <c r="N1647" s="29" t="s">
        <v>2041</v>
      </c>
      <c r="O1647" s="29" t="s">
        <v>590</v>
      </c>
    </row>
    <row r="1648" spans="1:15">
      <c r="A1648" s="25">
        <v>22709</v>
      </c>
      <c r="B1648" s="26" t="s">
        <v>2912</v>
      </c>
      <c r="C1648" s="27" t="s">
        <v>521</v>
      </c>
      <c r="D1648" s="27" t="s">
        <v>1195</v>
      </c>
      <c r="E1648" s="28">
        <v>43244</v>
      </c>
      <c r="F1648" s="28">
        <v>43275</v>
      </c>
      <c r="G1648" s="28">
        <v>43646</v>
      </c>
      <c r="H1648" s="27" t="s">
        <v>560</v>
      </c>
      <c r="I1648" s="27" t="s">
        <v>560</v>
      </c>
      <c r="J1648" s="29" t="s">
        <v>2304</v>
      </c>
      <c r="K1648" s="29" t="s">
        <v>2881</v>
      </c>
      <c r="L1648" s="29" t="s">
        <v>2882</v>
      </c>
      <c r="M1648" s="29" t="s">
        <v>2913</v>
      </c>
      <c r="N1648" s="29" t="s">
        <v>1434</v>
      </c>
      <c r="O1648" s="29" t="s">
        <v>590</v>
      </c>
    </row>
    <row r="1649" spans="1:15">
      <c r="A1649" s="25">
        <v>22796</v>
      </c>
      <c r="B1649" s="34" t="s">
        <v>2914</v>
      </c>
      <c r="C1649" s="31" t="s">
        <v>521</v>
      </c>
      <c r="D1649" s="31" t="s">
        <v>1615</v>
      </c>
      <c r="E1649" s="28">
        <v>43283</v>
      </c>
      <c r="F1649" s="28">
        <v>43314</v>
      </c>
      <c r="G1649" s="28">
        <v>43677</v>
      </c>
      <c r="H1649" s="29" t="s">
        <v>560</v>
      </c>
      <c r="I1649" s="29" t="s">
        <v>560</v>
      </c>
      <c r="J1649" s="29" t="s">
        <v>2304</v>
      </c>
      <c r="K1649" s="29" t="s">
        <v>2881</v>
      </c>
      <c r="L1649" s="29" t="s">
        <v>2882</v>
      </c>
      <c r="M1649" s="29" t="s">
        <v>2222</v>
      </c>
      <c r="N1649" s="29" t="s">
        <v>2023</v>
      </c>
      <c r="O1649" s="29" t="s">
        <v>590</v>
      </c>
    </row>
    <row r="1650" spans="1:15">
      <c r="A1650" s="25">
        <v>22807</v>
      </c>
      <c r="B1650" s="34" t="s">
        <v>2915</v>
      </c>
      <c r="C1650" s="31" t="s">
        <v>521</v>
      </c>
      <c r="D1650" s="31" t="s">
        <v>775</v>
      </c>
      <c r="E1650" s="28">
        <v>43333</v>
      </c>
      <c r="F1650" s="28">
        <v>43364</v>
      </c>
      <c r="G1650" s="28">
        <v>43738</v>
      </c>
      <c r="H1650" s="29" t="s">
        <v>560</v>
      </c>
      <c r="I1650" s="29" t="s">
        <v>560</v>
      </c>
      <c r="J1650" s="29" t="s">
        <v>2304</v>
      </c>
      <c r="K1650" s="29" t="s">
        <v>2881</v>
      </c>
      <c r="L1650" s="29" t="s">
        <v>2882</v>
      </c>
      <c r="M1650" s="29" t="s">
        <v>2194</v>
      </c>
      <c r="N1650" s="29" t="s">
        <v>1434</v>
      </c>
      <c r="O1650" s="29" t="s">
        <v>590</v>
      </c>
    </row>
    <row r="1651" spans="1:15">
      <c r="A1651" s="25">
        <v>22945</v>
      </c>
      <c r="B1651" s="34" t="s">
        <v>2916</v>
      </c>
      <c r="C1651" s="31" t="s">
        <v>521</v>
      </c>
      <c r="D1651" s="31" t="s">
        <v>1962</v>
      </c>
      <c r="E1651" s="28">
        <v>43343</v>
      </c>
      <c r="F1651" s="28">
        <v>43374</v>
      </c>
      <c r="G1651" s="28">
        <v>43738</v>
      </c>
      <c r="H1651" s="29" t="s">
        <v>560</v>
      </c>
      <c r="I1651" s="29" t="s">
        <v>560</v>
      </c>
      <c r="J1651" s="29" t="s">
        <v>2304</v>
      </c>
      <c r="K1651" s="29" t="s">
        <v>2881</v>
      </c>
      <c r="L1651" s="29" t="s">
        <v>2882</v>
      </c>
      <c r="M1651" s="29" t="s">
        <v>2892</v>
      </c>
      <c r="N1651" s="29" t="s">
        <v>1434</v>
      </c>
      <c r="O1651" s="29" t="s">
        <v>590</v>
      </c>
    </row>
    <row r="1652" spans="1:15">
      <c r="A1652" s="25">
        <v>22947</v>
      </c>
      <c r="B1652" s="34" t="s">
        <v>2917</v>
      </c>
      <c r="C1652" s="31" t="s">
        <v>521</v>
      </c>
      <c r="D1652" s="31" t="s">
        <v>1962</v>
      </c>
      <c r="E1652" s="28">
        <v>43343</v>
      </c>
      <c r="F1652" s="28">
        <v>43374</v>
      </c>
      <c r="G1652" s="28">
        <v>43738</v>
      </c>
      <c r="H1652" s="29" t="s">
        <v>560</v>
      </c>
      <c r="I1652" s="29" t="s">
        <v>560</v>
      </c>
      <c r="J1652" s="29" t="s">
        <v>2304</v>
      </c>
      <c r="K1652" s="29" t="s">
        <v>2881</v>
      </c>
      <c r="L1652" s="29" t="s">
        <v>2882</v>
      </c>
      <c r="M1652" s="29" t="s">
        <v>2892</v>
      </c>
      <c r="N1652" s="29" t="s">
        <v>1434</v>
      </c>
      <c r="O1652" s="29" t="s">
        <v>590</v>
      </c>
    </row>
    <row r="1653" spans="1:15">
      <c r="A1653" s="25">
        <v>22997</v>
      </c>
      <c r="B1653" s="34" t="s">
        <v>2918</v>
      </c>
      <c r="C1653" s="31" t="s">
        <v>521</v>
      </c>
      <c r="D1653" s="31" t="s">
        <v>1872</v>
      </c>
      <c r="E1653" s="28">
        <v>43361</v>
      </c>
      <c r="F1653" s="28">
        <v>43391</v>
      </c>
      <c r="G1653" s="28">
        <v>43769</v>
      </c>
      <c r="H1653" s="29" t="s">
        <v>560</v>
      </c>
      <c r="I1653" s="29" t="s">
        <v>560</v>
      </c>
      <c r="J1653" s="29" t="s">
        <v>2304</v>
      </c>
      <c r="K1653" s="29" t="s">
        <v>2881</v>
      </c>
      <c r="L1653" s="29" t="s">
        <v>2882</v>
      </c>
      <c r="M1653" s="29" t="s">
        <v>2079</v>
      </c>
      <c r="N1653" s="29" t="s">
        <v>2080</v>
      </c>
      <c r="O1653" s="29" t="s">
        <v>590</v>
      </c>
    </row>
    <row r="1654" spans="1:15">
      <c r="A1654" s="25">
        <v>23149</v>
      </c>
      <c r="B1654" s="34" t="s">
        <v>2919</v>
      </c>
      <c r="C1654" s="31" t="s">
        <v>521</v>
      </c>
      <c r="D1654" s="31" t="s">
        <v>1523</v>
      </c>
      <c r="E1654" s="28">
        <v>43369</v>
      </c>
      <c r="F1654" s="28">
        <v>43399</v>
      </c>
      <c r="G1654" s="28">
        <v>43769</v>
      </c>
      <c r="H1654" s="29" t="s">
        <v>560</v>
      </c>
      <c r="I1654" s="29" t="s">
        <v>560</v>
      </c>
      <c r="J1654" s="29" t="s">
        <v>2304</v>
      </c>
      <c r="K1654" s="29" t="s">
        <v>2881</v>
      </c>
      <c r="L1654" s="29" t="s">
        <v>2882</v>
      </c>
      <c r="M1654" s="29" t="s">
        <v>2222</v>
      </c>
      <c r="N1654" s="29" t="s">
        <v>2023</v>
      </c>
      <c r="O1654" s="29" t="s">
        <v>590</v>
      </c>
    </row>
    <row r="1655" spans="1:15">
      <c r="A1655" s="25">
        <v>23226</v>
      </c>
      <c r="B1655" s="34" t="s">
        <v>2920</v>
      </c>
      <c r="C1655" s="31" t="s">
        <v>521</v>
      </c>
      <c r="D1655" s="31" t="s">
        <v>1582</v>
      </c>
      <c r="E1655" s="28">
        <v>43421</v>
      </c>
      <c r="F1655" s="28">
        <v>43451</v>
      </c>
      <c r="G1655" s="28">
        <v>43830</v>
      </c>
      <c r="H1655" s="29" t="s">
        <v>560</v>
      </c>
      <c r="I1655" s="29" t="s">
        <v>560</v>
      </c>
      <c r="J1655" s="29" t="s">
        <v>2304</v>
      </c>
      <c r="K1655" s="29" t="s">
        <v>2881</v>
      </c>
      <c r="L1655" s="29" t="s">
        <v>2882</v>
      </c>
      <c r="M1655" s="29" t="s">
        <v>2913</v>
      </c>
      <c r="N1655" s="29" t="s">
        <v>1434</v>
      </c>
      <c r="O1655" s="29" t="s">
        <v>590</v>
      </c>
    </row>
    <row r="1656" spans="1:15">
      <c r="A1656" s="25">
        <v>23430</v>
      </c>
      <c r="B1656" s="34" t="s">
        <v>2921</v>
      </c>
      <c r="C1656" s="31" t="s">
        <v>521</v>
      </c>
      <c r="D1656" s="31" t="s">
        <v>882</v>
      </c>
      <c r="E1656" s="28">
        <v>43434</v>
      </c>
      <c r="F1656" s="28">
        <v>43464</v>
      </c>
      <c r="G1656" s="28">
        <v>43830</v>
      </c>
      <c r="H1656" s="29" t="s">
        <v>560</v>
      </c>
      <c r="I1656" s="29" t="s">
        <v>560</v>
      </c>
      <c r="J1656" s="29" t="s">
        <v>2304</v>
      </c>
      <c r="K1656" s="29" t="s">
        <v>2881</v>
      </c>
      <c r="L1656" s="29" t="s">
        <v>2882</v>
      </c>
      <c r="M1656" s="29" t="s">
        <v>2194</v>
      </c>
      <c r="N1656" s="29" t="s">
        <v>1434</v>
      </c>
      <c r="O1656" s="29" t="s">
        <v>590</v>
      </c>
    </row>
    <row r="1657" spans="1:15">
      <c r="A1657" s="25">
        <v>23571</v>
      </c>
      <c r="B1657" s="34" t="s">
        <v>2922</v>
      </c>
      <c r="C1657" s="31" t="s">
        <v>521</v>
      </c>
      <c r="D1657" s="31" t="s">
        <v>884</v>
      </c>
      <c r="E1657" s="28">
        <v>43452</v>
      </c>
      <c r="F1657" s="28">
        <v>43483</v>
      </c>
      <c r="G1657" s="28">
        <v>43861</v>
      </c>
      <c r="H1657" s="29" t="s">
        <v>560</v>
      </c>
      <c r="I1657" s="29" t="s">
        <v>560</v>
      </c>
      <c r="J1657" s="29" t="s">
        <v>2304</v>
      </c>
      <c r="K1657" s="29" t="s">
        <v>2881</v>
      </c>
      <c r="L1657" s="29" t="s">
        <v>2882</v>
      </c>
      <c r="M1657" s="29" t="s">
        <v>2643</v>
      </c>
      <c r="N1657" s="29" t="s">
        <v>1586</v>
      </c>
      <c r="O1657" s="29" t="s">
        <v>590</v>
      </c>
    </row>
    <row r="1658" spans="1:15">
      <c r="A1658" s="25">
        <v>1081</v>
      </c>
      <c r="B1658" s="26" t="s">
        <v>2923</v>
      </c>
      <c r="C1658" s="27" t="s">
        <v>521</v>
      </c>
      <c r="D1658" s="27" t="s">
        <v>1411</v>
      </c>
      <c r="E1658" s="28">
        <v>37887</v>
      </c>
      <c r="F1658" s="28" t="s">
        <v>35</v>
      </c>
      <c r="G1658" s="28" t="s">
        <v>35</v>
      </c>
      <c r="H1658" s="27" t="s">
        <v>560</v>
      </c>
      <c r="I1658" s="27" t="s">
        <v>560</v>
      </c>
      <c r="J1658" s="27" t="s">
        <v>2924</v>
      </c>
      <c r="K1658" s="27" t="s">
        <v>2925</v>
      </c>
      <c r="L1658" s="27" t="s">
        <v>2926</v>
      </c>
      <c r="M1658" s="29" t="s">
        <v>1550</v>
      </c>
      <c r="N1658" s="29" t="s">
        <v>1045</v>
      </c>
      <c r="O1658" s="29" t="s">
        <v>528</v>
      </c>
    </row>
    <row r="1659" spans="1:15">
      <c r="A1659" s="25">
        <v>1127</v>
      </c>
      <c r="B1659" s="26" t="s">
        <v>174</v>
      </c>
      <c r="C1659" s="27" t="s">
        <v>521</v>
      </c>
      <c r="D1659" s="27" t="s">
        <v>1247</v>
      </c>
      <c r="E1659" s="28">
        <v>37900</v>
      </c>
      <c r="F1659" s="28" t="s">
        <v>35</v>
      </c>
      <c r="G1659" s="28" t="s">
        <v>35</v>
      </c>
      <c r="H1659" s="29" t="s">
        <v>560</v>
      </c>
      <c r="I1659" s="29" t="s">
        <v>560</v>
      </c>
      <c r="J1659" s="29" t="s">
        <v>2924</v>
      </c>
      <c r="K1659" s="29" t="s">
        <v>2925</v>
      </c>
      <c r="L1659" s="29" t="s">
        <v>2926</v>
      </c>
      <c r="M1659" s="29" t="s">
        <v>2025</v>
      </c>
      <c r="N1659" s="29" t="s">
        <v>2026</v>
      </c>
      <c r="O1659" s="29" t="s">
        <v>528</v>
      </c>
    </row>
    <row r="1660" spans="1:15">
      <c r="A1660" s="25">
        <v>20530</v>
      </c>
      <c r="B1660" s="26" t="s">
        <v>2927</v>
      </c>
      <c r="C1660" s="27" t="s">
        <v>521</v>
      </c>
      <c r="D1660" s="27" t="s">
        <v>1644</v>
      </c>
      <c r="E1660" s="28">
        <v>42634</v>
      </c>
      <c r="F1660" s="28">
        <v>43132</v>
      </c>
      <c r="G1660" s="28">
        <v>43496</v>
      </c>
      <c r="H1660" s="25" t="s">
        <v>560</v>
      </c>
      <c r="I1660" s="27" t="s">
        <v>560</v>
      </c>
      <c r="J1660" s="29" t="s">
        <v>2924</v>
      </c>
      <c r="K1660" s="29" t="s">
        <v>2925</v>
      </c>
      <c r="L1660" s="29" t="s">
        <v>2926</v>
      </c>
      <c r="M1660" s="29" t="s">
        <v>2892</v>
      </c>
      <c r="N1660" s="29" t="s">
        <v>1434</v>
      </c>
      <c r="O1660" s="29" t="s">
        <v>528</v>
      </c>
    </row>
    <row r="1661" spans="1:15">
      <c r="A1661" s="25">
        <v>20646</v>
      </c>
      <c r="B1661" s="26" t="s">
        <v>2928</v>
      </c>
      <c r="C1661" s="27" t="s">
        <v>521</v>
      </c>
      <c r="D1661" s="27" t="s">
        <v>673</v>
      </c>
      <c r="E1661" s="28">
        <v>42639</v>
      </c>
      <c r="F1661" s="28">
        <v>43132</v>
      </c>
      <c r="G1661" s="28">
        <v>43496</v>
      </c>
      <c r="H1661" s="25" t="s">
        <v>560</v>
      </c>
      <c r="I1661" s="25" t="s">
        <v>560</v>
      </c>
      <c r="J1661" s="29" t="s">
        <v>2924</v>
      </c>
      <c r="K1661" s="29" t="s">
        <v>2925</v>
      </c>
      <c r="L1661" s="29" t="s">
        <v>2926</v>
      </c>
      <c r="M1661" s="29" t="s">
        <v>2913</v>
      </c>
      <c r="N1661" s="29" t="s">
        <v>1434</v>
      </c>
      <c r="O1661" s="29" t="s">
        <v>528</v>
      </c>
    </row>
    <row r="1662" spans="1:15">
      <c r="A1662" s="25">
        <v>20724</v>
      </c>
      <c r="B1662" s="26" t="s">
        <v>2929</v>
      </c>
      <c r="C1662" s="27" t="s">
        <v>521</v>
      </c>
      <c r="D1662" s="27" t="s">
        <v>815</v>
      </c>
      <c r="E1662" s="28">
        <v>42642</v>
      </c>
      <c r="F1662" s="28">
        <v>43132</v>
      </c>
      <c r="G1662" s="28">
        <v>43496</v>
      </c>
      <c r="H1662" s="27" t="s">
        <v>560</v>
      </c>
      <c r="I1662" s="27" t="s">
        <v>560</v>
      </c>
      <c r="J1662" s="29" t="s">
        <v>2924</v>
      </c>
      <c r="K1662" s="29" t="s">
        <v>2925</v>
      </c>
      <c r="L1662" s="29" t="s">
        <v>2926</v>
      </c>
      <c r="M1662" s="29" t="s">
        <v>2079</v>
      </c>
      <c r="N1662" s="29" t="s">
        <v>2080</v>
      </c>
      <c r="O1662" s="29" t="s">
        <v>528</v>
      </c>
    </row>
    <row r="1663" spans="1:15">
      <c r="A1663" s="25">
        <v>21404</v>
      </c>
      <c r="B1663" s="34" t="s">
        <v>2930</v>
      </c>
      <c r="C1663" s="31" t="s">
        <v>521</v>
      </c>
      <c r="D1663" s="31" t="s">
        <v>2283</v>
      </c>
      <c r="E1663" s="28">
        <v>43018</v>
      </c>
      <c r="F1663" s="28">
        <v>43405</v>
      </c>
      <c r="G1663" s="28">
        <v>43769</v>
      </c>
      <c r="H1663" s="29" t="s">
        <v>560</v>
      </c>
      <c r="I1663" s="29" t="s">
        <v>560</v>
      </c>
      <c r="J1663" s="29" t="s">
        <v>2924</v>
      </c>
      <c r="K1663" s="29" t="s">
        <v>2925</v>
      </c>
      <c r="L1663" s="29" t="s">
        <v>2926</v>
      </c>
      <c r="M1663" s="29" t="s">
        <v>2842</v>
      </c>
      <c r="N1663" s="29" t="s">
        <v>2041</v>
      </c>
      <c r="O1663" s="29" t="s">
        <v>528</v>
      </c>
    </row>
    <row r="1664" spans="1:15">
      <c r="A1664" s="25">
        <v>21606</v>
      </c>
      <c r="B1664" s="34" t="s">
        <v>2931</v>
      </c>
      <c r="C1664" s="31" t="s">
        <v>521</v>
      </c>
      <c r="D1664" s="31" t="s">
        <v>1603</v>
      </c>
      <c r="E1664" s="28">
        <v>43048</v>
      </c>
      <c r="F1664" s="28">
        <v>43435</v>
      </c>
      <c r="G1664" s="28">
        <v>43799</v>
      </c>
      <c r="H1664" s="29" t="s">
        <v>560</v>
      </c>
      <c r="I1664" s="29" t="s">
        <v>560</v>
      </c>
      <c r="J1664" s="29" t="s">
        <v>2924</v>
      </c>
      <c r="K1664" s="29" t="s">
        <v>2925</v>
      </c>
      <c r="L1664" s="29" t="s">
        <v>2926</v>
      </c>
      <c r="M1664" s="29" t="s">
        <v>2194</v>
      </c>
      <c r="N1664" s="29" t="s">
        <v>1434</v>
      </c>
      <c r="O1664" s="29" t="s">
        <v>528</v>
      </c>
    </row>
    <row r="1665" spans="1:15">
      <c r="A1665" s="25">
        <v>21844</v>
      </c>
      <c r="B1665" s="34" t="s">
        <v>2932</v>
      </c>
      <c r="C1665" s="31" t="s">
        <v>521</v>
      </c>
      <c r="D1665" s="31" t="s">
        <v>732</v>
      </c>
      <c r="E1665" s="28">
        <v>43098</v>
      </c>
      <c r="F1665" s="28">
        <v>43129</v>
      </c>
      <c r="G1665" s="28">
        <v>43496</v>
      </c>
      <c r="H1665" s="29" t="s">
        <v>560</v>
      </c>
      <c r="I1665" s="29" t="s">
        <v>560</v>
      </c>
      <c r="J1665" s="29" t="s">
        <v>2924</v>
      </c>
      <c r="K1665" s="29" t="s">
        <v>2925</v>
      </c>
      <c r="L1665" s="29" t="s">
        <v>2926</v>
      </c>
      <c r="M1665" s="29" t="s">
        <v>2842</v>
      </c>
      <c r="N1665" s="29" t="s">
        <v>2041</v>
      </c>
      <c r="O1665" s="29" t="s">
        <v>528</v>
      </c>
    </row>
    <row r="1666" spans="1:15">
      <c r="A1666" s="25">
        <v>21958</v>
      </c>
      <c r="B1666" s="34" t="s">
        <v>2933</v>
      </c>
      <c r="C1666" s="31" t="s">
        <v>521</v>
      </c>
      <c r="D1666" s="31" t="s">
        <v>1573</v>
      </c>
      <c r="E1666" s="28">
        <v>43116</v>
      </c>
      <c r="F1666" s="28">
        <v>43147</v>
      </c>
      <c r="G1666" s="28">
        <v>43524</v>
      </c>
      <c r="H1666" s="29" t="s">
        <v>560</v>
      </c>
      <c r="I1666" s="29" t="s">
        <v>560</v>
      </c>
      <c r="J1666" s="29" t="s">
        <v>2924</v>
      </c>
      <c r="K1666" s="29" t="s">
        <v>2925</v>
      </c>
      <c r="L1666" s="29" t="s">
        <v>2926</v>
      </c>
      <c r="M1666" s="29" t="s">
        <v>2194</v>
      </c>
      <c r="N1666" s="29" t="s">
        <v>1434</v>
      </c>
      <c r="O1666" s="29" t="s">
        <v>528</v>
      </c>
    </row>
    <row r="1667" spans="1:15">
      <c r="A1667" s="25">
        <v>21978</v>
      </c>
      <c r="B1667" s="34" t="s">
        <v>2934</v>
      </c>
      <c r="C1667" s="31" t="s">
        <v>521</v>
      </c>
      <c r="D1667" s="31" t="s">
        <v>1573</v>
      </c>
      <c r="E1667" s="28">
        <v>43116</v>
      </c>
      <c r="F1667" s="28">
        <v>43147</v>
      </c>
      <c r="G1667" s="28">
        <v>43524</v>
      </c>
      <c r="H1667" s="29" t="s">
        <v>560</v>
      </c>
      <c r="I1667" s="29" t="s">
        <v>560</v>
      </c>
      <c r="J1667" s="29" t="s">
        <v>2924</v>
      </c>
      <c r="K1667" s="29" t="s">
        <v>2925</v>
      </c>
      <c r="L1667" s="29" t="s">
        <v>2926</v>
      </c>
      <c r="M1667" s="29" t="s">
        <v>2842</v>
      </c>
      <c r="N1667" s="29" t="s">
        <v>2041</v>
      </c>
      <c r="O1667" s="29" t="s">
        <v>528</v>
      </c>
    </row>
    <row r="1668" spans="1:15">
      <c r="A1668" s="25">
        <v>22000</v>
      </c>
      <c r="B1668" s="34" t="s">
        <v>2935</v>
      </c>
      <c r="C1668" s="31" t="s">
        <v>521</v>
      </c>
      <c r="D1668" s="31" t="s">
        <v>1171</v>
      </c>
      <c r="E1668" s="28">
        <v>43139</v>
      </c>
      <c r="F1668" s="28">
        <v>43167</v>
      </c>
      <c r="G1668" s="28">
        <v>43524</v>
      </c>
      <c r="H1668" s="29" t="s">
        <v>560</v>
      </c>
      <c r="I1668" s="29" t="s">
        <v>560</v>
      </c>
      <c r="J1668" s="29" t="s">
        <v>2924</v>
      </c>
      <c r="K1668" s="29" t="s">
        <v>2925</v>
      </c>
      <c r="L1668" s="29" t="s">
        <v>2926</v>
      </c>
      <c r="M1668" s="29" t="s">
        <v>2892</v>
      </c>
      <c r="N1668" s="29" t="s">
        <v>1434</v>
      </c>
      <c r="O1668" s="29" t="s">
        <v>528</v>
      </c>
    </row>
    <row r="1669" spans="1:15">
      <c r="A1669" s="25">
        <v>22223</v>
      </c>
      <c r="B1669" s="34" t="s">
        <v>2569</v>
      </c>
      <c r="C1669" s="31" t="s">
        <v>521</v>
      </c>
      <c r="D1669" s="31" t="s">
        <v>1796</v>
      </c>
      <c r="E1669" s="28">
        <v>43161</v>
      </c>
      <c r="F1669" s="28">
        <v>43192</v>
      </c>
      <c r="G1669" s="28">
        <v>43555</v>
      </c>
      <c r="H1669" s="29" t="s">
        <v>560</v>
      </c>
      <c r="I1669" s="29" t="s">
        <v>560</v>
      </c>
      <c r="J1669" s="29" t="s">
        <v>2924</v>
      </c>
      <c r="K1669" s="29" t="s">
        <v>2925</v>
      </c>
      <c r="L1669" s="29" t="s">
        <v>2926</v>
      </c>
      <c r="M1669" s="29" t="s">
        <v>2222</v>
      </c>
      <c r="N1669" s="29" t="s">
        <v>2023</v>
      </c>
      <c r="O1669" s="29" t="s">
        <v>528</v>
      </c>
    </row>
    <row r="1670" spans="1:15">
      <c r="A1670" s="25">
        <v>22795</v>
      </c>
      <c r="B1670" s="34" t="s">
        <v>2936</v>
      </c>
      <c r="C1670" s="31" t="s">
        <v>521</v>
      </c>
      <c r="D1670" s="31" t="s">
        <v>1615</v>
      </c>
      <c r="E1670" s="28">
        <v>43283</v>
      </c>
      <c r="F1670" s="28">
        <v>43314</v>
      </c>
      <c r="G1670" s="28">
        <v>43677</v>
      </c>
      <c r="H1670" s="29" t="s">
        <v>560</v>
      </c>
      <c r="I1670" s="29" t="s">
        <v>560</v>
      </c>
      <c r="J1670" s="29" t="s">
        <v>2924</v>
      </c>
      <c r="K1670" s="29" t="s">
        <v>2925</v>
      </c>
      <c r="L1670" s="29" t="s">
        <v>2926</v>
      </c>
      <c r="M1670" s="29" t="s">
        <v>2194</v>
      </c>
      <c r="N1670" s="29" t="s">
        <v>1434</v>
      </c>
      <c r="O1670" s="29" t="s">
        <v>528</v>
      </c>
    </row>
    <row r="1671" spans="1:15">
      <c r="A1671" s="25">
        <v>22911</v>
      </c>
      <c r="B1671" s="34" t="s">
        <v>2937</v>
      </c>
      <c r="C1671" s="31" t="s">
        <v>521</v>
      </c>
      <c r="D1671" s="31" t="s">
        <v>1962</v>
      </c>
      <c r="E1671" s="28">
        <v>43343</v>
      </c>
      <c r="F1671" s="28">
        <v>43374</v>
      </c>
      <c r="G1671" s="28">
        <v>43738</v>
      </c>
      <c r="H1671" s="29" t="s">
        <v>560</v>
      </c>
      <c r="I1671" s="29" t="s">
        <v>560</v>
      </c>
      <c r="J1671" s="29" t="s">
        <v>2924</v>
      </c>
      <c r="K1671" s="29" t="s">
        <v>2925</v>
      </c>
      <c r="L1671" s="29" t="s">
        <v>2926</v>
      </c>
      <c r="M1671" s="29" t="s">
        <v>2222</v>
      </c>
      <c r="N1671" s="29" t="s">
        <v>2023</v>
      </c>
      <c r="O1671" s="29" t="s">
        <v>528</v>
      </c>
    </row>
    <row r="1672" spans="1:15">
      <c r="A1672" s="25">
        <v>22925</v>
      </c>
      <c r="B1672" s="34" t="s">
        <v>2938</v>
      </c>
      <c r="C1672" s="31" t="s">
        <v>521</v>
      </c>
      <c r="D1672" s="31" t="s">
        <v>1962</v>
      </c>
      <c r="E1672" s="28">
        <v>43343</v>
      </c>
      <c r="F1672" s="28">
        <v>43374</v>
      </c>
      <c r="G1672" s="28">
        <v>43738</v>
      </c>
      <c r="H1672" s="29" t="s">
        <v>560</v>
      </c>
      <c r="I1672" s="29" t="s">
        <v>560</v>
      </c>
      <c r="J1672" s="29" t="s">
        <v>2924</v>
      </c>
      <c r="K1672" s="29" t="s">
        <v>2925</v>
      </c>
      <c r="L1672" s="29" t="s">
        <v>2926</v>
      </c>
      <c r="M1672" s="29" t="s">
        <v>2892</v>
      </c>
      <c r="N1672" s="29" t="s">
        <v>1434</v>
      </c>
      <c r="O1672" s="29" t="s">
        <v>528</v>
      </c>
    </row>
    <row r="1673" spans="1:15">
      <c r="A1673" s="25">
        <v>23218</v>
      </c>
      <c r="B1673" s="34" t="s">
        <v>2939</v>
      </c>
      <c r="C1673" s="31" t="s">
        <v>521</v>
      </c>
      <c r="D1673" s="31" t="s">
        <v>1582</v>
      </c>
      <c r="E1673" s="28">
        <v>43421</v>
      </c>
      <c r="F1673" s="28">
        <v>43451</v>
      </c>
      <c r="G1673" s="28">
        <v>43830</v>
      </c>
      <c r="H1673" s="29" t="s">
        <v>560</v>
      </c>
      <c r="I1673" s="29" t="s">
        <v>560</v>
      </c>
      <c r="J1673" s="29" t="s">
        <v>2924</v>
      </c>
      <c r="K1673" s="29" t="s">
        <v>2925</v>
      </c>
      <c r="L1673" s="29" t="s">
        <v>2926</v>
      </c>
      <c r="M1673" s="29" t="s">
        <v>2913</v>
      </c>
      <c r="N1673" s="29" t="s">
        <v>1434</v>
      </c>
      <c r="O1673" s="29" t="s">
        <v>528</v>
      </c>
    </row>
    <row r="1674" spans="1:15">
      <c r="A1674" s="25">
        <v>23573</v>
      </c>
      <c r="B1674" s="34" t="s">
        <v>2940</v>
      </c>
      <c r="C1674" s="31" t="s">
        <v>521</v>
      </c>
      <c r="D1674" s="31" t="s">
        <v>884</v>
      </c>
      <c r="E1674" s="28">
        <v>43452</v>
      </c>
      <c r="F1674" s="28">
        <v>43483</v>
      </c>
      <c r="G1674" s="28">
        <v>43861</v>
      </c>
      <c r="H1674" s="29" t="s">
        <v>560</v>
      </c>
      <c r="I1674" s="29" t="s">
        <v>560</v>
      </c>
      <c r="J1674" s="29" t="s">
        <v>2924</v>
      </c>
      <c r="K1674" s="29" t="s">
        <v>2925</v>
      </c>
      <c r="L1674" s="29" t="s">
        <v>2926</v>
      </c>
      <c r="M1674" s="29" t="s">
        <v>2941</v>
      </c>
      <c r="N1674" s="29" t="s">
        <v>1586</v>
      </c>
      <c r="O1674" s="29" t="s">
        <v>528</v>
      </c>
    </row>
    <row r="1675" spans="1:15">
      <c r="A1675" s="25">
        <v>23576</v>
      </c>
      <c r="B1675" s="34" t="s">
        <v>2942</v>
      </c>
      <c r="C1675" s="31" t="s">
        <v>521</v>
      </c>
      <c r="D1675" s="31" t="s">
        <v>884</v>
      </c>
      <c r="E1675" s="28">
        <v>43452</v>
      </c>
      <c r="F1675" s="28">
        <v>43483</v>
      </c>
      <c r="G1675" s="28">
        <v>43861</v>
      </c>
      <c r="H1675" s="29" t="s">
        <v>560</v>
      </c>
      <c r="I1675" s="29" t="s">
        <v>560</v>
      </c>
      <c r="J1675" s="29" t="s">
        <v>2924</v>
      </c>
      <c r="K1675" s="29" t="s">
        <v>2925</v>
      </c>
      <c r="L1675" s="29" t="s">
        <v>2926</v>
      </c>
      <c r="M1675" s="29" t="s">
        <v>2502</v>
      </c>
      <c r="N1675" s="29" t="s">
        <v>1586</v>
      </c>
      <c r="O1675" s="29" t="s">
        <v>528</v>
      </c>
    </row>
    <row r="1676" spans="1:15">
      <c r="A1676" s="25">
        <v>23577</v>
      </c>
      <c r="B1676" s="34" t="s">
        <v>2943</v>
      </c>
      <c r="C1676" s="31" t="s">
        <v>521</v>
      </c>
      <c r="D1676" s="31" t="s">
        <v>884</v>
      </c>
      <c r="E1676" s="28">
        <v>43452</v>
      </c>
      <c r="F1676" s="28">
        <v>43483</v>
      </c>
      <c r="G1676" s="28">
        <v>43861</v>
      </c>
      <c r="H1676" s="29" t="s">
        <v>560</v>
      </c>
      <c r="I1676" s="29" t="s">
        <v>560</v>
      </c>
      <c r="J1676" s="29" t="s">
        <v>2924</v>
      </c>
      <c r="K1676" s="29" t="s">
        <v>2925</v>
      </c>
      <c r="L1676" s="29" t="s">
        <v>2926</v>
      </c>
      <c r="M1676" s="29" t="s">
        <v>2643</v>
      </c>
      <c r="N1676" s="29" t="s">
        <v>1586</v>
      </c>
      <c r="O1676" s="29" t="s">
        <v>528</v>
      </c>
    </row>
    <row r="1677" spans="1:15">
      <c r="A1677" s="25">
        <v>10616</v>
      </c>
      <c r="B1677" s="26" t="s">
        <v>2944</v>
      </c>
      <c r="C1677" s="27" t="s">
        <v>521</v>
      </c>
      <c r="D1677" s="27" t="s">
        <v>602</v>
      </c>
      <c r="E1677" s="28">
        <v>40544</v>
      </c>
      <c r="F1677" s="28" t="s">
        <v>35</v>
      </c>
      <c r="G1677" s="28" t="s">
        <v>35</v>
      </c>
      <c r="H1677" s="27" t="s">
        <v>560</v>
      </c>
      <c r="I1677" s="27" t="s">
        <v>560</v>
      </c>
      <c r="J1677" s="29" t="s">
        <v>2945</v>
      </c>
      <c r="K1677" s="29" t="s">
        <v>2946</v>
      </c>
      <c r="L1677" s="29" t="s">
        <v>2947</v>
      </c>
      <c r="M1677" s="29" t="s">
        <v>1550</v>
      </c>
      <c r="N1677" s="29" t="s">
        <v>1045</v>
      </c>
      <c r="O1677" s="29" t="s">
        <v>528</v>
      </c>
    </row>
    <row r="1678" spans="1:15">
      <c r="A1678" s="25">
        <v>12387</v>
      </c>
      <c r="B1678" s="26" t="s">
        <v>2948</v>
      </c>
      <c r="C1678" s="27" t="s">
        <v>521</v>
      </c>
      <c r="D1678" s="27" t="s">
        <v>724</v>
      </c>
      <c r="E1678" s="28">
        <v>40809</v>
      </c>
      <c r="F1678" s="28" t="s">
        <v>35</v>
      </c>
      <c r="G1678" s="28" t="s">
        <v>35</v>
      </c>
      <c r="H1678" s="29" t="s">
        <v>560</v>
      </c>
      <c r="I1678" s="29" t="s">
        <v>560</v>
      </c>
      <c r="J1678" s="29" t="s">
        <v>2945</v>
      </c>
      <c r="K1678" s="29" t="s">
        <v>2946</v>
      </c>
      <c r="L1678" s="29" t="s">
        <v>2947</v>
      </c>
      <c r="M1678" s="29" t="s">
        <v>2030</v>
      </c>
      <c r="N1678" s="29" t="s">
        <v>2031</v>
      </c>
      <c r="O1678" s="29" t="s">
        <v>528</v>
      </c>
    </row>
    <row r="1679" spans="1:15">
      <c r="A1679" s="25">
        <v>12798</v>
      </c>
      <c r="B1679" s="26" t="s">
        <v>2949</v>
      </c>
      <c r="C1679" s="27" t="s">
        <v>521</v>
      </c>
      <c r="D1679" s="27" t="s">
        <v>2950</v>
      </c>
      <c r="E1679" s="28">
        <v>40826</v>
      </c>
      <c r="F1679" s="28" t="s">
        <v>35</v>
      </c>
      <c r="G1679" s="28" t="s">
        <v>35</v>
      </c>
      <c r="H1679" s="27" t="s">
        <v>560</v>
      </c>
      <c r="I1679" s="27" t="s">
        <v>560</v>
      </c>
      <c r="J1679" s="29" t="s">
        <v>2945</v>
      </c>
      <c r="K1679" s="29" t="s">
        <v>2946</v>
      </c>
      <c r="L1679" s="29" t="s">
        <v>2947</v>
      </c>
      <c r="M1679" s="29" t="s">
        <v>2025</v>
      </c>
      <c r="N1679" s="29" t="s">
        <v>2026</v>
      </c>
      <c r="O1679" s="29" t="s">
        <v>528</v>
      </c>
    </row>
    <row r="1680" spans="1:15">
      <c r="A1680" s="25">
        <v>13509</v>
      </c>
      <c r="B1680" s="26" t="s">
        <v>2951</v>
      </c>
      <c r="C1680" s="27" t="s">
        <v>521</v>
      </c>
      <c r="D1680" s="27" t="s">
        <v>2952</v>
      </c>
      <c r="E1680" s="28">
        <v>40945</v>
      </c>
      <c r="F1680" s="28" t="s">
        <v>35</v>
      </c>
      <c r="G1680" s="28" t="s">
        <v>35</v>
      </c>
      <c r="H1680" s="27" t="s">
        <v>560</v>
      </c>
      <c r="I1680" s="27" t="s">
        <v>560</v>
      </c>
      <c r="J1680" s="29" t="s">
        <v>2945</v>
      </c>
      <c r="K1680" s="29" t="s">
        <v>2946</v>
      </c>
      <c r="L1680" s="29" t="s">
        <v>2947</v>
      </c>
      <c r="M1680" s="29" t="s">
        <v>2842</v>
      </c>
      <c r="N1680" s="29" t="s">
        <v>2041</v>
      </c>
      <c r="O1680" s="29" t="s">
        <v>528</v>
      </c>
    </row>
    <row r="1681" spans="1:15">
      <c r="A1681" s="25">
        <v>21762</v>
      </c>
      <c r="B1681" s="34" t="s">
        <v>2953</v>
      </c>
      <c r="C1681" s="31" t="s">
        <v>521</v>
      </c>
      <c r="D1681" s="31" t="s">
        <v>1609</v>
      </c>
      <c r="E1681" s="28">
        <v>43090</v>
      </c>
      <c r="F1681" s="28">
        <v>43121</v>
      </c>
      <c r="G1681" s="28">
        <v>43496</v>
      </c>
      <c r="H1681" s="29" t="s">
        <v>560</v>
      </c>
      <c r="I1681" s="29" t="s">
        <v>560</v>
      </c>
      <c r="J1681" s="29" t="s">
        <v>2945</v>
      </c>
      <c r="K1681" s="29" t="s">
        <v>2946</v>
      </c>
      <c r="L1681" s="29" t="s">
        <v>2947</v>
      </c>
      <c r="M1681" s="29" t="s">
        <v>2892</v>
      </c>
      <c r="N1681" s="29" t="s">
        <v>1434</v>
      </c>
      <c r="O1681" s="29" t="s">
        <v>528</v>
      </c>
    </row>
    <row r="1682" spans="1:15">
      <c r="A1682" s="25">
        <v>22123</v>
      </c>
      <c r="B1682" s="34" t="s">
        <v>2954</v>
      </c>
      <c r="C1682" s="31" t="s">
        <v>521</v>
      </c>
      <c r="D1682" s="31" t="s">
        <v>758</v>
      </c>
      <c r="E1682" s="28">
        <v>43153</v>
      </c>
      <c r="F1682" s="28">
        <v>43181</v>
      </c>
      <c r="G1682" s="28">
        <v>43555</v>
      </c>
      <c r="H1682" s="29" t="s">
        <v>560</v>
      </c>
      <c r="I1682" s="29" t="s">
        <v>560</v>
      </c>
      <c r="J1682" s="29" t="s">
        <v>2945</v>
      </c>
      <c r="K1682" s="29" t="s">
        <v>2946</v>
      </c>
      <c r="L1682" s="29" t="s">
        <v>2947</v>
      </c>
      <c r="M1682" s="29" t="s">
        <v>2194</v>
      </c>
      <c r="N1682" s="29" t="s">
        <v>1434</v>
      </c>
      <c r="O1682" s="29" t="s">
        <v>528</v>
      </c>
    </row>
    <row r="1683" spans="1:15">
      <c r="A1683" s="25">
        <v>22162</v>
      </c>
      <c r="B1683" s="34" t="s">
        <v>2955</v>
      </c>
      <c r="C1683" s="31" t="s">
        <v>521</v>
      </c>
      <c r="D1683" s="31" t="s">
        <v>758</v>
      </c>
      <c r="E1683" s="28">
        <v>43153</v>
      </c>
      <c r="F1683" s="28">
        <v>43181</v>
      </c>
      <c r="G1683" s="28">
        <v>43555</v>
      </c>
      <c r="H1683" s="29" t="s">
        <v>560</v>
      </c>
      <c r="I1683" s="29" t="s">
        <v>560</v>
      </c>
      <c r="J1683" s="29" t="s">
        <v>2945</v>
      </c>
      <c r="K1683" s="29" t="s">
        <v>2946</v>
      </c>
      <c r="L1683" s="29" t="s">
        <v>2947</v>
      </c>
      <c r="M1683" s="29" t="s">
        <v>2842</v>
      </c>
      <c r="N1683" s="29" t="s">
        <v>2041</v>
      </c>
      <c r="O1683" s="29" t="s">
        <v>528</v>
      </c>
    </row>
    <row r="1684" spans="1:15">
      <c r="A1684" s="25">
        <v>22197</v>
      </c>
      <c r="B1684" s="34" t="s">
        <v>2956</v>
      </c>
      <c r="C1684" s="31" t="s">
        <v>521</v>
      </c>
      <c r="D1684" s="31" t="s">
        <v>1201</v>
      </c>
      <c r="E1684" s="28">
        <v>43158</v>
      </c>
      <c r="F1684" s="28">
        <v>43186</v>
      </c>
      <c r="G1684" s="28">
        <v>43555</v>
      </c>
      <c r="H1684" s="29" t="s">
        <v>560</v>
      </c>
      <c r="I1684" s="29" t="s">
        <v>560</v>
      </c>
      <c r="J1684" s="29" t="s">
        <v>2945</v>
      </c>
      <c r="K1684" s="29" t="s">
        <v>2946</v>
      </c>
      <c r="L1684" s="29" t="s">
        <v>2947</v>
      </c>
      <c r="M1684" s="29" t="s">
        <v>2892</v>
      </c>
      <c r="N1684" s="29" t="s">
        <v>1434</v>
      </c>
      <c r="O1684" s="29" t="s">
        <v>528</v>
      </c>
    </row>
    <row r="1685" spans="1:15">
      <c r="A1685" s="25">
        <v>22800</v>
      </c>
      <c r="B1685" s="34" t="s">
        <v>2957</v>
      </c>
      <c r="C1685" s="31" t="s">
        <v>521</v>
      </c>
      <c r="D1685" s="31" t="s">
        <v>1615</v>
      </c>
      <c r="E1685" s="28">
        <v>43283</v>
      </c>
      <c r="F1685" s="28">
        <v>43314</v>
      </c>
      <c r="G1685" s="28">
        <v>43677</v>
      </c>
      <c r="H1685" s="29" t="s">
        <v>560</v>
      </c>
      <c r="I1685" s="29" t="s">
        <v>560</v>
      </c>
      <c r="J1685" s="29" t="s">
        <v>2945</v>
      </c>
      <c r="K1685" s="29" t="s">
        <v>2946</v>
      </c>
      <c r="L1685" s="29" t="s">
        <v>2947</v>
      </c>
      <c r="M1685" s="29" t="s">
        <v>2815</v>
      </c>
      <c r="N1685" s="29" t="s">
        <v>1434</v>
      </c>
      <c r="O1685" s="29" t="s">
        <v>528</v>
      </c>
    </row>
    <row r="1686" spans="1:15">
      <c r="A1686" s="25">
        <v>23217</v>
      </c>
      <c r="B1686" s="34" t="s">
        <v>2958</v>
      </c>
      <c r="C1686" s="31" t="s">
        <v>521</v>
      </c>
      <c r="D1686" s="31" t="s">
        <v>1582</v>
      </c>
      <c r="E1686" s="28">
        <v>43421</v>
      </c>
      <c r="F1686" s="28">
        <v>43451</v>
      </c>
      <c r="G1686" s="28">
        <v>43830</v>
      </c>
      <c r="H1686" s="29" t="s">
        <v>560</v>
      </c>
      <c r="I1686" s="29" t="s">
        <v>560</v>
      </c>
      <c r="J1686" s="29" t="s">
        <v>2945</v>
      </c>
      <c r="K1686" s="29" t="s">
        <v>2946</v>
      </c>
      <c r="L1686" s="29" t="s">
        <v>2947</v>
      </c>
      <c r="M1686" s="29" t="s">
        <v>2227</v>
      </c>
      <c r="N1686" s="29" t="s">
        <v>1434</v>
      </c>
      <c r="O1686" s="29" t="s">
        <v>528</v>
      </c>
    </row>
    <row r="1687" spans="1:15">
      <c r="A1687" s="25">
        <v>23356</v>
      </c>
      <c r="B1687" s="34" t="s">
        <v>2959</v>
      </c>
      <c r="C1687" s="31" t="s">
        <v>521</v>
      </c>
      <c r="D1687" s="31" t="s">
        <v>1527</v>
      </c>
      <c r="E1687" s="28">
        <v>43427</v>
      </c>
      <c r="F1687" s="28">
        <v>43457</v>
      </c>
      <c r="G1687" s="28">
        <v>43830</v>
      </c>
      <c r="H1687" s="29" t="s">
        <v>560</v>
      </c>
      <c r="I1687" s="29" t="s">
        <v>560</v>
      </c>
      <c r="J1687" s="29" t="s">
        <v>2945</v>
      </c>
      <c r="K1687" s="29" t="s">
        <v>2946</v>
      </c>
      <c r="L1687" s="29" t="s">
        <v>2947</v>
      </c>
      <c r="M1687" s="29" t="s">
        <v>2079</v>
      </c>
      <c r="N1687" s="29" t="s">
        <v>2080</v>
      </c>
      <c r="O1687" s="29" t="s">
        <v>528</v>
      </c>
    </row>
    <row r="1688" spans="1:15">
      <c r="A1688" s="25">
        <v>23483</v>
      </c>
      <c r="B1688" s="34" t="s">
        <v>2960</v>
      </c>
      <c r="C1688" s="31" t="s">
        <v>521</v>
      </c>
      <c r="D1688" s="31" t="s">
        <v>882</v>
      </c>
      <c r="E1688" s="28">
        <v>43434</v>
      </c>
      <c r="F1688" s="28">
        <v>43464</v>
      </c>
      <c r="G1688" s="28">
        <v>43830</v>
      </c>
      <c r="H1688" s="29" t="s">
        <v>560</v>
      </c>
      <c r="I1688" s="29" t="s">
        <v>560</v>
      </c>
      <c r="J1688" s="29" t="s">
        <v>2945</v>
      </c>
      <c r="K1688" s="29" t="s">
        <v>2946</v>
      </c>
      <c r="L1688" s="29" t="s">
        <v>2947</v>
      </c>
      <c r="M1688" s="29" t="s">
        <v>2222</v>
      </c>
      <c r="N1688" s="29" t="s">
        <v>2023</v>
      </c>
      <c r="O1688" s="29" t="s">
        <v>528</v>
      </c>
    </row>
    <row r="1689" spans="1:15">
      <c r="A1689" s="25">
        <v>23497</v>
      </c>
      <c r="B1689" s="34" t="s">
        <v>2961</v>
      </c>
      <c r="C1689" s="31" t="s">
        <v>521</v>
      </c>
      <c r="D1689" s="31" t="s">
        <v>1588</v>
      </c>
      <c r="E1689" s="28">
        <v>43441</v>
      </c>
      <c r="F1689" s="28">
        <v>43472</v>
      </c>
      <c r="G1689" s="28">
        <v>43830</v>
      </c>
      <c r="H1689" s="29" t="s">
        <v>560</v>
      </c>
      <c r="I1689" s="29" t="s">
        <v>560</v>
      </c>
      <c r="J1689" s="29" t="s">
        <v>2945</v>
      </c>
      <c r="K1689" s="29" t="s">
        <v>2946</v>
      </c>
      <c r="L1689" s="29" t="s">
        <v>2947</v>
      </c>
      <c r="M1689" s="29" t="s">
        <v>2077</v>
      </c>
      <c r="N1689" s="29" t="s">
        <v>2077</v>
      </c>
      <c r="O1689" s="29" t="s">
        <v>528</v>
      </c>
    </row>
    <row r="1690" spans="1:15">
      <c r="A1690" s="25">
        <v>23539</v>
      </c>
      <c r="B1690" s="34" t="s">
        <v>2962</v>
      </c>
      <c r="C1690" s="31" t="s">
        <v>521</v>
      </c>
      <c r="D1690" s="31" t="s">
        <v>884</v>
      </c>
      <c r="E1690" s="28">
        <v>43452</v>
      </c>
      <c r="F1690" s="28">
        <v>43483</v>
      </c>
      <c r="G1690" s="28">
        <v>43861</v>
      </c>
      <c r="H1690" s="29" t="s">
        <v>560</v>
      </c>
      <c r="I1690" s="29" t="s">
        <v>560</v>
      </c>
      <c r="J1690" s="29" t="s">
        <v>2945</v>
      </c>
      <c r="K1690" s="29" t="s">
        <v>2946</v>
      </c>
      <c r="L1690" s="29" t="s">
        <v>2947</v>
      </c>
      <c r="M1690" s="29" t="s">
        <v>2842</v>
      </c>
      <c r="N1690" s="29" t="s">
        <v>2041</v>
      </c>
      <c r="O1690" s="29" t="s">
        <v>528</v>
      </c>
    </row>
    <row r="1691" spans="1:15">
      <c r="A1691" s="25">
        <v>378</v>
      </c>
      <c r="B1691" s="26" t="s">
        <v>2963</v>
      </c>
      <c r="C1691" s="27" t="s">
        <v>521</v>
      </c>
      <c r="D1691" s="27" t="s">
        <v>703</v>
      </c>
      <c r="E1691" s="28">
        <v>37732</v>
      </c>
      <c r="F1691" s="28" t="s">
        <v>35</v>
      </c>
      <c r="G1691" s="28" t="s">
        <v>35</v>
      </c>
      <c r="H1691" s="27" t="s">
        <v>560</v>
      </c>
      <c r="I1691" s="27" t="s">
        <v>560</v>
      </c>
      <c r="J1691" s="29" t="s">
        <v>2964</v>
      </c>
      <c r="K1691" s="29" t="s">
        <v>2965</v>
      </c>
      <c r="L1691" s="29" t="s">
        <v>2966</v>
      </c>
      <c r="M1691" s="29" t="s">
        <v>1550</v>
      </c>
      <c r="N1691" s="29" t="s">
        <v>1045</v>
      </c>
      <c r="O1691" s="29" t="s">
        <v>594</v>
      </c>
    </row>
    <row r="1692" spans="1:15">
      <c r="A1692" s="25">
        <v>8766</v>
      </c>
      <c r="B1692" s="26" t="s">
        <v>2967</v>
      </c>
      <c r="C1692" s="27" t="s">
        <v>521</v>
      </c>
      <c r="D1692" s="27" t="s">
        <v>747</v>
      </c>
      <c r="E1692" s="28">
        <v>39931</v>
      </c>
      <c r="F1692" s="28" t="s">
        <v>35</v>
      </c>
      <c r="G1692" s="28" t="s">
        <v>35</v>
      </c>
      <c r="H1692" s="27" t="s">
        <v>560</v>
      </c>
      <c r="I1692" s="27" t="s">
        <v>560</v>
      </c>
      <c r="J1692" s="29" t="s">
        <v>2964</v>
      </c>
      <c r="K1692" s="29" t="s">
        <v>2965</v>
      </c>
      <c r="L1692" s="29" t="s">
        <v>2966</v>
      </c>
      <c r="M1692" s="29" t="s">
        <v>2406</v>
      </c>
      <c r="N1692" s="29" t="s">
        <v>1434</v>
      </c>
      <c r="O1692" s="29" t="s">
        <v>594</v>
      </c>
    </row>
    <row r="1693" spans="1:15">
      <c r="A1693" s="25">
        <v>8790</v>
      </c>
      <c r="B1693" s="34" t="s">
        <v>2968</v>
      </c>
      <c r="C1693" s="31" t="s">
        <v>521</v>
      </c>
      <c r="D1693" s="31" t="s">
        <v>747</v>
      </c>
      <c r="E1693" s="28">
        <v>39931</v>
      </c>
      <c r="F1693" s="28" t="s">
        <v>35</v>
      </c>
      <c r="G1693" s="28" t="s">
        <v>35</v>
      </c>
      <c r="H1693" s="29" t="s">
        <v>560</v>
      </c>
      <c r="I1693" s="29" t="s">
        <v>560</v>
      </c>
      <c r="J1693" s="29" t="s">
        <v>2964</v>
      </c>
      <c r="K1693" s="29" t="s">
        <v>2965</v>
      </c>
      <c r="L1693" s="29" t="s">
        <v>2966</v>
      </c>
      <c r="M1693" s="29" t="s">
        <v>2546</v>
      </c>
      <c r="N1693" s="29" t="s">
        <v>1434</v>
      </c>
      <c r="O1693" s="29" t="s">
        <v>594</v>
      </c>
    </row>
    <row r="1694" spans="1:15">
      <c r="A1694" s="25">
        <v>10082</v>
      </c>
      <c r="B1694" s="33" t="s">
        <v>2969</v>
      </c>
      <c r="C1694" s="27" t="s">
        <v>521</v>
      </c>
      <c r="D1694" s="27" t="s">
        <v>601</v>
      </c>
      <c r="E1694" s="28">
        <v>40444</v>
      </c>
      <c r="F1694" s="28" t="s">
        <v>35</v>
      </c>
      <c r="G1694" s="28" t="s">
        <v>35</v>
      </c>
      <c r="H1694" s="29" t="s">
        <v>560</v>
      </c>
      <c r="I1694" s="29" t="s">
        <v>560</v>
      </c>
      <c r="J1694" s="29" t="s">
        <v>2964</v>
      </c>
      <c r="K1694" s="29" t="s">
        <v>2965</v>
      </c>
      <c r="L1694" s="29" t="s">
        <v>2966</v>
      </c>
      <c r="M1694" s="29" t="s">
        <v>2030</v>
      </c>
      <c r="N1694" s="29" t="s">
        <v>2031</v>
      </c>
      <c r="O1694" s="29" t="s">
        <v>594</v>
      </c>
    </row>
    <row r="1695" spans="1:15">
      <c r="A1695" s="25">
        <v>10130</v>
      </c>
      <c r="B1695" s="26" t="s">
        <v>429</v>
      </c>
      <c r="C1695" s="27" t="s">
        <v>521</v>
      </c>
      <c r="D1695" s="27" t="s">
        <v>601</v>
      </c>
      <c r="E1695" s="28">
        <v>40444</v>
      </c>
      <c r="F1695" s="28" t="s">
        <v>35</v>
      </c>
      <c r="G1695" s="28" t="s">
        <v>35</v>
      </c>
      <c r="H1695" s="27" t="s">
        <v>560</v>
      </c>
      <c r="I1695" s="27" t="s">
        <v>560</v>
      </c>
      <c r="J1695" s="29" t="s">
        <v>2964</v>
      </c>
      <c r="K1695" s="29" t="s">
        <v>2965</v>
      </c>
      <c r="L1695" s="29" t="s">
        <v>2966</v>
      </c>
      <c r="M1695" s="29" t="s">
        <v>2084</v>
      </c>
      <c r="N1695" s="29" t="s">
        <v>1434</v>
      </c>
      <c r="O1695" s="29" t="s">
        <v>594</v>
      </c>
    </row>
    <row r="1696" spans="1:15">
      <c r="A1696" s="25">
        <v>10850</v>
      </c>
      <c r="B1696" s="26" t="s">
        <v>2970</v>
      </c>
      <c r="C1696" s="27" t="s">
        <v>521</v>
      </c>
      <c r="D1696" s="27" t="s">
        <v>795</v>
      </c>
      <c r="E1696" s="28">
        <v>40572</v>
      </c>
      <c r="F1696" s="28" t="s">
        <v>35</v>
      </c>
      <c r="G1696" s="28" t="s">
        <v>35</v>
      </c>
      <c r="H1696" s="27" t="s">
        <v>560</v>
      </c>
      <c r="I1696" s="27" t="s">
        <v>560</v>
      </c>
      <c r="J1696" s="29" t="s">
        <v>2964</v>
      </c>
      <c r="K1696" s="29" t="s">
        <v>2965</v>
      </c>
      <c r="L1696" s="29" t="s">
        <v>2966</v>
      </c>
      <c r="M1696" s="29" t="s">
        <v>2052</v>
      </c>
      <c r="N1696" s="29" t="s">
        <v>2041</v>
      </c>
      <c r="O1696" s="29" t="s">
        <v>594</v>
      </c>
    </row>
    <row r="1697" spans="1:15">
      <c r="A1697" s="25">
        <v>11275</v>
      </c>
      <c r="B1697" s="26" t="s">
        <v>2971</v>
      </c>
      <c r="C1697" s="27" t="s">
        <v>521</v>
      </c>
      <c r="D1697" s="27" t="s">
        <v>828</v>
      </c>
      <c r="E1697" s="28">
        <v>40617</v>
      </c>
      <c r="F1697" s="28" t="s">
        <v>35</v>
      </c>
      <c r="G1697" s="28" t="s">
        <v>35</v>
      </c>
      <c r="H1697" s="27" t="s">
        <v>560</v>
      </c>
      <c r="I1697" s="27" t="s">
        <v>560</v>
      </c>
      <c r="J1697" s="29" t="s">
        <v>2964</v>
      </c>
      <c r="K1697" s="29" t="s">
        <v>2965</v>
      </c>
      <c r="L1697" s="29" t="s">
        <v>2966</v>
      </c>
      <c r="M1697" s="29" t="s">
        <v>2972</v>
      </c>
      <c r="N1697" s="29" t="s">
        <v>1434</v>
      </c>
      <c r="O1697" s="29" t="s">
        <v>594</v>
      </c>
    </row>
    <row r="1698" spans="1:15">
      <c r="A1698" s="25">
        <v>11313</v>
      </c>
      <c r="B1698" s="26" t="s">
        <v>2973</v>
      </c>
      <c r="C1698" s="27" t="s">
        <v>521</v>
      </c>
      <c r="D1698" s="27" t="s">
        <v>2974</v>
      </c>
      <c r="E1698" s="28">
        <v>40653</v>
      </c>
      <c r="F1698" s="28" t="s">
        <v>35</v>
      </c>
      <c r="G1698" s="28" t="s">
        <v>35</v>
      </c>
      <c r="H1698" s="27" t="s">
        <v>560</v>
      </c>
      <c r="I1698" s="27" t="s">
        <v>560</v>
      </c>
      <c r="J1698" s="29" t="s">
        <v>2964</v>
      </c>
      <c r="K1698" s="29" t="s">
        <v>2965</v>
      </c>
      <c r="L1698" s="29" t="s">
        <v>2966</v>
      </c>
      <c r="M1698" s="29" t="s">
        <v>2106</v>
      </c>
      <c r="N1698" s="29" t="s">
        <v>1434</v>
      </c>
      <c r="O1698" s="29" t="s">
        <v>594</v>
      </c>
    </row>
    <row r="1699" spans="1:15">
      <c r="A1699" s="25">
        <v>11357</v>
      </c>
      <c r="B1699" s="26" t="s">
        <v>2975</v>
      </c>
      <c r="C1699" s="27" t="s">
        <v>521</v>
      </c>
      <c r="D1699" s="27" t="s">
        <v>2976</v>
      </c>
      <c r="E1699" s="28">
        <v>40674</v>
      </c>
      <c r="F1699" s="28" t="s">
        <v>35</v>
      </c>
      <c r="G1699" s="28" t="s">
        <v>35</v>
      </c>
      <c r="H1699" s="27" t="s">
        <v>560</v>
      </c>
      <c r="I1699" s="27" t="s">
        <v>560</v>
      </c>
      <c r="J1699" s="29" t="s">
        <v>2964</v>
      </c>
      <c r="K1699" s="29" t="s">
        <v>2965</v>
      </c>
      <c r="L1699" s="29" t="s">
        <v>2966</v>
      </c>
      <c r="M1699" s="29" t="s">
        <v>2354</v>
      </c>
      <c r="N1699" s="29" t="s">
        <v>1434</v>
      </c>
      <c r="O1699" s="29" t="s">
        <v>594</v>
      </c>
    </row>
    <row r="1700" spans="1:15">
      <c r="A1700" s="25">
        <v>11562</v>
      </c>
      <c r="B1700" s="26" t="s">
        <v>2977</v>
      </c>
      <c r="C1700" s="27" t="s">
        <v>521</v>
      </c>
      <c r="D1700" s="27" t="s">
        <v>841</v>
      </c>
      <c r="E1700" s="28">
        <v>40707</v>
      </c>
      <c r="F1700" s="28" t="s">
        <v>35</v>
      </c>
      <c r="G1700" s="28" t="s">
        <v>35</v>
      </c>
      <c r="H1700" s="27" t="s">
        <v>560</v>
      </c>
      <c r="I1700" s="27" t="s">
        <v>560</v>
      </c>
      <c r="J1700" s="27" t="s">
        <v>2964</v>
      </c>
      <c r="K1700" s="27" t="s">
        <v>2965</v>
      </c>
      <c r="L1700" s="29" t="s">
        <v>2966</v>
      </c>
      <c r="M1700" s="29" t="s">
        <v>2820</v>
      </c>
      <c r="N1700" s="29" t="s">
        <v>1434</v>
      </c>
      <c r="O1700" s="29" t="s">
        <v>594</v>
      </c>
    </row>
    <row r="1701" spans="1:15">
      <c r="A1701" s="25">
        <v>11815</v>
      </c>
      <c r="B1701" s="26" t="s">
        <v>2978</v>
      </c>
      <c r="C1701" s="27" t="s">
        <v>521</v>
      </c>
      <c r="D1701" s="27" t="s">
        <v>799</v>
      </c>
      <c r="E1701" s="28">
        <v>40721</v>
      </c>
      <c r="F1701" s="28" t="s">
        <v>35</v>
      </c>
      <c r="G1701" s="28" t="s">
        <v>35</v>
      </c>
      <c r="H1701" s="29" t="s">
        <v>560</v>
      </c>
      <c r="I1701" s="29" t="s">
        <v>560</v>
      </c>
      <c r="J1701" s="29" t="s">
        <v>2964</v>
      </c>
      <c r="K1701" s="29" t="s">
        <v>2965</v>
      </c>
      <c r="L1701" s="29" t="s">
        <v>2966</v>
      </c>
      <c r="M1701" s="29" t="s">
        <v>2979</v>
      </c>
      <c r="N1701" s="29" t="s">
        <v>2023</v>
      </c>
      <c r="O1701" s="29" t="s">
        <v>594</v>
      </c>
    </row>
    <row r="1702" spans="1:15">
      <c r="A1702" s="25">
        <v>11916</v>
      </c>
      <c r="B1702" s="26" t="s">
        <v>2980</v>
      </c>
      <c r="C1702" s="27" t="s">
        <v>521</v>
      </c>
      <c r="D1702" s="27" t="s">
        <v>699</v>
      </c>
      <c r="E1702" s="28">
        <v>40770</v>
      </c>
      <c r="F1702" s="28" t="s">
        <v>35</v>
      </c>
      <c r="G1702" s="28" t="s">
        <v>35</v>
      </c>
      <c r="H1702" s="27" t="s">
        <v>560</v>
      </c>
      <c r="I1702" s="27" t="s">
        <v>560</v>
      </c>
      <c r="J1702" s="29" t="s">
        <v>2964</v>
      </c>
      <c r="K1702" s="29" t="s">
        <v>2965</v>
      </c>
      <c r="L1702" s="29" t="s">
        <v>2966</v>
      </c>
      <c r="M1702" s="29" t="s">
        <v>2025</v>
      </c>
      <c r="N1702" s="29" t="s">
        <v>2026</v>
      </c>
      <c r="O1702" s="29" t="s">
        <v>594</v>
      </c>
    </row>
    <row r="1703" spans="1:15">
      <c r="A1703" s="25">
        <v>12193</v>
      </c>
      <c r="B1703" s="26" t="s">
        <v>2981</v>
      </c>
      <c r="C1703" s="27" t="s">
        <v>521</v>
      </c>
      <c r="D1703" s="27" t="s">
        <v>750</v>
      </c>
      <c r="E1703" s="28">
        <v>40802</v>
      </c>
      <c r="F1703" s="28" t="s">
        <v>35</v>
      </c>
      <c r="G1703" s="28" t="s">
        <v>35</v>
      </c>
      <c r="H1703" s="27" t="s">
        <v>560</v>
      </c>
      <c r="I1703" s="27" t="s">
        <v>560</v>
      </c>
      <c r="J1703" s="27" t="s">
        <v>2964</v>
      </c>
      <c r="K1703" s="27" t="s">
        <v>2965</v>
      </c>
      <c r="L1703" s="29" t="s">
        <v>2966</v>
      </c>
      <c r="M1703" s="29" t="s">
        <v>2308</v>
      </c>
      <c r="N1703" s="29" t="s">
        <v>2041</v>
      </c>
      <c r="O1703" s="29" t="s">
        <v>594</v>
      </c>
    </row>
    <row r="1704" spans="1:15">
      <c r="A1704" s="25">
        <v>12224</v>
      </c>
      <c r="B1704" s="32" t="s">
        <v>2982</v>
      </c>
      <c r="C1704" s="27" t="s">
        <v>521</v>
      </c>
      <c r="D1704" s="27" t="s">
        <v>750</v>
      </c>
      <c r="E1704" s="28">
        <v>40802</v>
      </c>
      <c r="F1704" s="28" t="s">
        <v>35</v>
      </c>
      <c r="G1704" s="28" t="s">
        <v>35</v>
      </c>
      <c r="H1704" s="29" t="s">
        <v>560</v>
      </c>
      <c r="I1704" s="29" t="s">
        <v>560</v>
      </c>
      <c r="J1704" s="29" t="s">
        <v>2964</v>
      </c>
      <c r="K1704" s="29" t="s">
        <v>2965</v>
      </c>
      <c r="L1704" s="29" t="s">
        <v>2966</v>
      </c>
      <c r="M1704" s="29" t="s">
        <v>2030</v>
      </c>
      <c r="N1704" s="29" t="s">
        <v>2031</v>
      </c>
      <c r="O1704" s="29" t="s">
        <v>594</v>
      </c>
    </row>
    <row r="1705" spans="1:15">
      <c r="A1705" s="25">
        <v>12536</v>
      </c>
      <c r="B1705" s="26" t="s">
        <v>2983</v>
      </c>
      <c r="C1705" s="27" t="s">
        <v>521</v>
      </c>
      <c r="D1705" s="27" t="s">
        <v>722</v>
      </c>
      <c r="E1705" s="28">
        <v>40812</v>
      </c>
      <c r="F1705" s="28" t="s">
        <v>35</v>
      </c>
      <c r="G1705" s="28" t="s">
        <v>35</v>
      </c>
      <c r="H1705" s="27" t="s">
        <v>560</v>
      </c>
      <c r="I1705" s="27" t="s">
        <v>560</v>
      </c>
      <c r="J1705" s="27" t="s">
        <v>2964</v>
      </c>
      <c r="K1705" s="27" t="s">
        <v>2965</v>
      </c>
      <c r="L1705" s="29" t="s">
        <v>2966</v>
      </c>
      <c r="M1705" s="29" t="s">
        <v>2055</v>
      </c>
      <c r="N1705" s="29" t="s">
        <v>1434</v>
      </c>
      <c r="O1705" s="29" t="s">
        <v>594</v>
      </c>
    </row>
    <row r="1706" spans="1:15">
      <c r="A1706" s="25">
        <v>17283</v>
      </c>
      <c r="B1706" s="26" t="s">
        <v>2984</v>
      </c>
      <c r="C1706" s="27" t="s">
        <v>521</v>
      </c>
      <c r="D1706" s="27" t="s">
        <v>2985</v>
      </c>
      <c r="E1706" s="28">
        <v>41767</v>
      </c>
      <c r="F1706" s="28" t="s">
        <v>35</v>
      </c>
      <c r="G1706" s="28" t="s">
        <v>35</v>
      </c>
      <c r="H1706" s="27" t="s">
        <v>560</v>
      </c>
      <c r="I1706" s="27" t="s">
        <v>560</v>
      </c>
      <c r="J1706" s="27" t="s">
        <v>2964</v>
      </c>
      <c r="K1706" s="27" t="s">
        <v>2965</v>
      </c>
      <c r="L1706" s="29" t="s">
        <v>2966</v>
      </c>
      <c r="M1706" s="29" t="s">
        <v>2831</v>
      </c>
      <c r="N1706" s="29" t="s">
        <v>1434</v>
      </c>
      <c r="O1706" s="29" t="s">
        <v>594</v>
      </c>
    </row>
    <row r="1707" spans="1:15">
      <c r="A1707" s="25">
        <v>20250</v>
      </c>
      <c r="B1707" s="26" t="s">
        <v>2986</v>
      </c>
      <c r="C1707" s="27" t="s">
        <v>521</v>
      </c>
      <c r="D1707" s="27" t="s">
        <v>2987</v>
      </c>
      <c r="E1707" s="28">
        <v>42604</v>
      </c>
      <c r="F1707" s="28" t="s">
        <v>35</v>
      </c>
      <c r="G1707" s="28" t="s">
        <v>35</v>
      </c>
      <c r="H1707" s="27" t="s">
        <v>560</v>
      </c>
      <c r="I1707" s="27" t="s">
        <v>560</v>
      </c>
      <c r="J1707" s="29" t="s">
        <v>2964</v>
      </c>
      <c r="K1707" s="29" t="s">
        <v>2965</v>
      </c>
      <c r="L1707" s="29" t="s">
        <v>2966</v>
      </c>
      <c r="M1707" s="29" t="s">
        <v>2988</v>
      </c>
      <c r="N1707" s="29" t="s">
        <v>1434</v>
      </c>
      <c r="O1707" s="29" t="s">
        <v>594</v>
      </c>
    </row>
    <row r="1708" spans="1:15">
      <c r="A1708" s="25">
        <v>20445</v>
      </c>
      <c r="B1708" s="26" t="s">
        <v>2989</v>
      </c>
      <c r="C1708" s="27" t="s">
        <v>521</v>
      </c>
      <c r="D1708" s="27" t="s">
        <v>1644</v>
      </c>
      <c r="E1708" s="28">
        <v>42634</v>
      </c>
      <c r="F1708" s="28">
        <v>43132</v>
      </c>
      <c r="G1708" s="28">
        <v>43496</v>
      </c>
      <c r="H1708" s="27" t="s">
        <v>560</v>
      </c>
      <c r="I1708" s="27" t="s">
        <v>560</v>
      </c>
      <c r="J1708" s="27" t="s">
        <v>2964</v>
      </c>
      <c r="K1708" s="27" t="s">
        <v>2965</v>
      </c>
      <c r="L1708" s="29" t="s">
        <v>2966</v>
      </c>
      <c r="M1708" s="29" t="s">
        <v>2571</v>
      </c>
      <c r="N1708" s="29" t="s">
        <v>2041</v>
      </c>
      <c r="O1708" s="29" t="s">
        <v>594</v>
      </c>
    </row>
    <row r="1709" spans="1:15">
      <c r="A1709" s="25">
        <v>20473</v>
      </c>
      <c r="B1709" s="26" t="s">
        <v>2990</v>
      </c>
      <c r="C1709" s="27" t="s">
        <v>521</v>
      </c>
      <c r="D1709" s="27" t="s">
        <v>1644</v>
      </c>
      <c r="E1709" s="28">
        <v>42634</v>
      </c>
      <c r="F1709" s="28">
        <v>43132</v>
      </c>
      <c r="G1709" s="28">
        <v>43496</v>
      </c>
      <c r="H1709" s="27" t="s">
        <v>560</v>
      </c>
      <c r="I1709" s="27" t="s">
        <v>560</v>
      </c>
      <c r="J1709" s="27" t="s">
        <v>2964</v>
      </c>
      <c r="K1709" s="27" t="s">
        <v>2965</v>
      </c>
      <c r="L1709" s="29" t="s">
        <v>2966</v>
      </c>
      <c r="M1709" s="29" t="s">
        <v>2354</v>
      </c>
      <c r="N1709" s="29" t="s">
        <v>1434</v>
      </c>
      <c r="O1709" s="29" t="s">
        <v>594</v>
      </c>
    </row>
    <row r="1710" spans="1:15">
      <c r="A1710" s="25">
        <v>20576</v>
      </c>
      <c r="B1710" s="26" t="s">
        <v>2991</v>
      </c>
      <c r="C1710" s="27" t="s">
        <v>521</v>
      </c>
      <c r="D1710" s="27" t="s">
        <v>673</v>
      </c>
      <c r="E1710" s="28">
        <v>42639</v>
      </c>
      <c r="F1710" s="28">
        <v>43132</v>
      </c>
      <c r="G1710" s="28">
        <v>43496</v>
      </c>
      <c r="H1710" s="25" t="s">
        <v>560</v>
      </c>
      <c r="I1710" s="25" t="s">
        <v>560</v>
      </c>
      <c r="J1710" s="29" t="s">
        <v>2964</v>
      </c>
      <c r="K1710" s="29" t="s">
        <v>2965</v>
      </c>
      <c r="L1710" s="29" t="s">
        <v>2966</v>
      </c>
      <c r="M1710" s="29" t="s">
        <v>2241</v>
      </c>
      <c r="N1710" s="29" t="s">
        <v>1434</v>
      </c>
      <c r="O1710" s="29" t="s">
        <v>594</v>
      </c>
    </row>
    <row r="1711" spans="1:15">
      <c r="A1711" s="25">
        <v>20653</v>
      </c>
      <c r="B1711" s="26" t="s">
        <v>2992</v>
      </c>
      <c r="C1711" s="27" t="s">
        <v>521</v>
      </c>
      <c r="D1711" s="27" t="s">
        <v>673</v>
      </c>
      <c r="E1711" s="28">
        <v>42639</v>
      </c>
      <c r="F1711" s="28">
        <v>43132</v>
      </c>
      <c r="G1711" s="28">
        <v>43496</v>
      </c>
      <c r="H1711" s="25" t="s">
        <v>560</v>
      </c>
      <c r="I1711" s="25" t="s">
        <v>560</v>
      </c>
      <c r="J1711" s="29" t="s">
        <v>2964</v>
      </c>
      <c r="K1711" s="29" t="s">
        <v>2965</v>
      </c>
      <c r="L1711" s="29" t="s">
        <v>2966</v>
      </c>
      <c r="M1711" s="29" t="s">
        <v>2092</v>
      </c>
      <c r="N1711" s="29" t="s">
        <v>2041</v>
      </c>
      <c r="O1711" s="29" t="s">
        <v>594</v>
      </c>
    </row>
    <row r="1712" spans="1:15">
      <c r="A1712" s="25">
        <v>20717</v>
      </c>
      <c r="B1712" s="26" t="s">
        <v>2993</v>
      </c>
      <c r="C1712" s="27" t="s">
        <v>521</v>
      </c>
      <c r="D1712" s="27" t="s">
        <v>815</v>
      </c>
      <c r="E1712" s="28">
        <v>42642</v>
      </c>
      <c r="F1712" s="28">
        <v>43132</v>
      </c>
      <c r="G1712" s="28">
        <v>43496</v>
      </c>
      <c r="H1712" s="27" t="s">
        <v>560</v>
      </c>
      <c r="I1712" s="29" t="s">
        <v>560</v>
      </c>
      <c r="J1712" s="29" t="s">
        <v>2964</v>
      </c>
      <c r="K1712" s="29" t="s">
        <v>2965</v>
      </c>
      <c r="L1712" s="29" t="s">
        <v>2966</v>
      </c>
      <c r="M1712" s="29" t="s">
        <v>2068</v>
      </c>
      <c r="N1712" s="29" t="s">
        <v>1434</v>
      </c>
      <c r="O1712" s="29" t="s">
        <v>594</v>
      </c>
    </row>
    <row r="1713" spans="1:15">
      <c r="A1713" s="25">
        <v>20719</v>
      </c>
      <c r="B1713" s="26" t="s">
        <v>2994</v>
      </c>
      <c r="C1713" s="27" t="s">
        <v>521</v>
      </c>
      <c r="D1713" s="27" t="s">
        <v>815</v>
      </c>
      <c r="E1713" s="28">
        <v>42642</v>
      </c>
      <c r="F1713" s="28">
        <v>43132</v>
      </c>
      <c r="G1713" s="28">
        <v>43496</v>
      </c>
      <c r="H1713" s="25" t="s">
        <v>560</v>
      </c>
      <c r="I1713" s="25" t="s">
        <v>560</v>
      </c>
      <c r="J1713" s="29" t="s">
        <v>2964</v>
      </c>
      <c r="K1713" s="29" t="s">
        <v>2965</v>
      </c>
      <c r="L1713" s="29" t="s">
        <v>2966</v>
      </c>
      <c r="M1713" s="29" t="s">
        <v>2995</v>
      </c>
      <c r="N1713" s="29" t="s">
        <v>1434</v>
      </c>
      <c r="O1713" s="29" t="s">
        <v>594</v>
      </c>
    </row>
    <row r="1714" spans="1:15">
      <c r="A1714" s="25">
        <v>20870</v>
      </c>
      <c r="B1714" s="34" t="s">
        <v>2996</v>
      </c>
      <c r="C1714" s="31" t="s">
        <v>521</v>
      </c>
      <c r="D1714" s="31" t="s">
        <v>807</v>
      </c>
      <c r="E1714" s="28">
        <v>42660</v>
      </c>
      <c r="F1714" s="28">
        <v>43160</v>
      </c>
      <c r="G1714" s="28">
        <v>43524</v>
      </c>
      <c r="H1714" s="29" t="s">
        <v>560</v>
      </c>
      <c r="I1714" s="29" t="s">
        <v>560</v>
      </c>
      <c r="J1714" s="29" t="s">
        <v>2964</v>
      </c>
      <c r="K1714" s="29" t="s">
        <v>2965</v>
      </c>
      <c r="L1714" s="29" t="s">
        <v>2966</v>
      </c>
      <c r="M1714" s="29" t="s">
        <v>2082</v>
      </c>
      <c r="N1714" s="29" t="s">
        <v>1434</v>
      </c>
      <c r="O1714" s="29" t="s">
        <v>594</v>
      </c>
    </row>
    <row r="1715" spans="1:15">
      <c r="A1715" s="25">
        <v>20958</v>
      </c>
      <c r="B1715" s="33" t="s">
        <v>2997</v>
      </c>
      <c r="C1715" s="27" t="s">
        <v>521</v>
      </c>
      <c r="D1715" s="27" t="s">
        <v>1149</v>
      </c>
      <c r="E1715" s="28">
        <v>42667</v>
      </c>
      <c r="F1715" s="28">
        <v>43160</v>
      </c>
      <c r="G1715" s="28">
        <v>43524</v>
      </c>
      <c r="H1715" s="31" t="s">
        <v>560</v>
      </c>
      <c r="I1715" s="31" t="s">
        <v>560</v>
      </c>
      <c r="J1715" s="27" t="s">
        <v>2964</v>
      </c>
      <c r="K1715" s="27" t="s">
        <v>2965</v>
      </c>
      <c r="L1715" s="29" t="s">
        <v>2966</v>
      </c>
      <c r="M1715" s="29" t="s">
        <v>2048</v>
      </c>
      <c r="N1715" s="29" t="s">
        <v>1434</v>
      </c>
      <c r="O1715" s="29" t="s">
        <v>594</v>
      </c>
    </row>
    <row r="1716" spans="1:15">
      <c r="A1716" s="25">
        <v>21282</v>
      </c>
      <c r="B1716" s="34" t="s">
        <v>2998</v>
      </c>
      <c r="C1716" s="31" t="s">
        <v>521</v>
      </c>
      <c r="D1716" s="31" t="s">
        <v>1595</v>
      </c>
      <c r="E1716" s="28">
        <v>43010</v>
      </c>
      <c r="F1716" s="28">
        <v>43405</v>
      </c>
      <c r="G1716" s="28">
        <v>43769</v>
      </c>
      <c r="H1716" s="29" t="s">
        <v>560</v>
      </c>
      <c r="I1716" s="29" t="s">
        <v>560</v>
      </c>
      <c r="J1716" s="29" t="s">
        <v>2964</v>
      </c>
      <c r="K1716" s="29" t="s">
        <v>2965</v>
      </c>
      <c r="L1716" s="29" t="s">
        <v>2966</v>
      </c>
      <c r="M1716" s="29" t="s">
        <v>2079</v>
      </c>
      <c r="N1716" s="29" t="s">
        <v>2080</v>
      </c>
      <c r="O1716" s="29" t="s">
        <v>594</v>
      </c>
    </row>
    <row r="1717" spans="1:15">
      <c r="A1717" s="25">
        <v>21359</v>
      </c>
      <c r="B1717" s="34" t="s">
        <v>2999</v>
      </c>
      <c r="C1717" s="31" t="s">
        <v>521</v>
      </c>
      <c r="D1717" s="31" t="s">
        <v>2162</v>
      </c>
      <c r="E1717" s="28">
        <v>43013</v>
      </c>
      <c r="F1717" s="28">
        <v>43405</v>
      </c>
      <c r="G1717" s="28">
        <v>43769</v>
      </c>
      <c r="H1717" s="29" t="s">
        <v>560</v>
      </c>
      <c r="I1717" s="29" t="s">
        <v>560</v>
      </c>
      <c r="J1717" s="29" t="s">
        <v>2964</v>
      </c>
      <c r="K1717" s="29" t="s">
        <v>2965</v>
      </c>
      <c r="L1717" s="29" t="s">
        <v>2966</v>
      </c>
      <c r="M1717" s="29" t="s">
        <v>2268</v>
      </c>
      <c r="N1717" s="29" t="s">
        <v>1434</v>
      </c>
      <c r="O1717" s="29" t="s">
        <v>594</v>
      </c>
    </row>
    <row r="1718" spans="1:15">
      <c r="A1718" s="25">
        <v>21398</v>
      </c>
      <c r="B1718" s="34" t="s">
        <v>3000</v>
      </c>
      <c r="C1718" s="31" t="s">
        <v>521</v>
      </c>
      <c r="D1718" s="31" t="s">
        <v>2283</v>
      </c>
      <c r="E1718" s="28">
        <v>43018</v>
      </c>
      <c r="F1718" s="28">
        <v>43405</v>
      </c>
      <c r="G1718" s="28">
        <v>43769</v>
      </c>
      <c r="H1718" s="29" t="s">
        <v>560</v>
      </c>
      <c r="I1718" s="29" t="s">
        <v>560</v>
      </c>
      <c r="J1718" s="29" t="s">
        <v>2964</v>
      </c>
      <c r="K1718" s="29" t="s">
        <v>2965</v>
      </c>
      <c r="L1718" s="29" t="s">
        <v>2966</v>
      </c>
      <c r="M1718" s="29" t="s">
        <v>2892</v>
      </c>
      <c r="N1718" s="29" t="s">
        <v>1434</v>
      </c>
      <c r="O1718" s="29" t="s">
        <v>594</v>
      </c>
    </row>
    <row r="1719" spans="1:15">
      <c r="A1719" s="25">
        <v>21567</v>
      </c>
      <c r="B1719" s="34" t="s">
        <v>3001</v>
      </c>
      <c r="C1719" s="31" t="s">
        <v>521</v>
      </c>
      <c r="D1719" s="31" t="s">
        <v>1760</v>
      </c>
      <c r="E1719" s="28">
        <v>43045</v>
      </c>
      <c r="F1719" s="28">
        <v>43435</v>
      </c>
      <c r="G1719" s="28">
        <v>43799</v>
      </c>
      <c r="H1719" s="29" t="s">
        <v>560</v>
      </c>
      <c r="I1719" s="29" t="s">
        <v>560</v>
      </c>
      <c r="J1719" s="29" t="s">
        <v>2964</v>
      </c>
      <c r="K1719" s="29" t="s">
        <v>2965</v>
      </c>
      <c r="L1719" s="29" t="s">
        <v>2966</v>
      </c>
      <c r="M1719" s="29" t="s">
        <v>2222</v>
      </c>
      <c r="N1719" s="29" t="s">
        <v>2023</v>
      </c>
      <c r="O1719" s="29" t="s">
        <v>594</v>
      </c>
    </row>
    <row r="1720" spans="1:15">
      <c r="A1720" s="25">
        <v>21697</v>
      </c>
      <c r="B1720" s="34" t="s">
        <v>3002</v>
      </c>
      <c r="C1720" s="31" t="s">
        <v>521</v>
      </c>
      <c r="D1720" s="31" t="s">
        <v>1169</v>
      </c>
      <c r="E1720" s="28">
        <v>43073</v>
      </c>
      <c r="F1720" s="28">
        <v>43466</v>
      </c>
      <c r="G1720" s="28">
        <v>43830</v>
      </c>
      <c r="H1720" s="29" t="s">
        <v>560</v>
      </c>
      <c r="I1720" s="29" t="s">
        <v>560</v>
      </c>
      <c r="J1720" s="29" t="s">
        <v>2964</v>
      </c>
      <c r="K1720" s="29" t="s">
        <v>2965</v>
      </c>
      <c r="L1720" s="29" t="s">
        <v>2966</v>
      </c>
      <c r="M1720" s="29" t="s">
        <v>2658</v>
      </c>
      <c r="N1720" s="29" t="s">
        <v>1434</v>
      </c>
      <c r="O1720" s="29" t="s">
        <v>594</v>
      </c>
    </row>
    <row r="1721" spans="1:15">
      <c r="A1721" s="25">
        <v>21716</v>
      </c>
      <c r="B1721" s="34" t="s">
        <v>96</v>
      </c>
      <c r="C1721" s="31" t="s">
        <v>521</v>
      </c>
      <c r="D1721" s="31" t="s">
        <v>663</v>
      </c>
      <c r="E1721" s="28">
        <v>43087</v>
      </c>
      <c r="F1721" s="28">
        <v>43118</v>
      </c>
      <c r="G1721" s="28">
        <v>43496</v>
      </c>
      <c r="H1721" s="29" t="s">
        <v>560</v>
      </c>
      <c r="I1721" s="29" t="s">
        <v>560</v>
      </c>
      <c r="J1721" s="29" t="s">
        <v>2964</v>
      </c>
      <c r="K1721" s="29" t="s">
        <v>2965</v>
      </c>
      <c r="L1721" s="29" t="s">
        <v>2966</v>
      </c>
      <c r="M1721" s="29" t="s">
        <v>2183</v>
      </c>
      <c r="N1721" s="29" t="s">
        <v>1434</v>
      </c>
      <c r="O1721" s="29" t="s">
        <v>594</v>
      </c>
    </row>
    <row r="1722" spans="1:15">
      <c r="A1722" s="25">
        <v>21750</v>
      </c>
      <c r="B1722" s="34" t="s">
        <v>429</v>
      </c>
      <c r="C1722" s="31" t="s">
        <v>521</v>
      </c>
      <c r="D1722" s="31" t="s">
        <v>663</v>
      </c>
      <c r="E1722" s="28">
        <v>43087</v>
      </c>
      <c r="F1722" s="28">
        <v>43118</v>
      </c>
      <c r="G1722" s="28">
        <v>43496</v>
      </c>
      <c r="H1722" s="29" t="s">
        <v>560</v>
      </c>
      <c r="I1722" s="29" t="s">
        <v>560</v>
      </c>
      <c r="J1722" s="29" t="s">
        <v>2964</v>
      </c>
      <c r="K1722" s="29" t="s">
        <v>2965</v>
      </c>
      <c r="L1722" s="29" t="s">
        <v>2966</v>
      </c>
      <c r="M1722" s="29" t="s">
        <v>2593</v>
      </c>
      <c r="N1722" s="29" t="s">
        <v>1434</v>
      </c>
      <c r="O1722" s="29" t="s">
        <v>594</v>
      </c>
    </row>
    <row r="1723" spans="1:15">
      <c r="A1723" s="25">
        <v>21818</v>
      </c>
      <c r="B1723" s="34" t="s">
        <v>244</v>
      </c>
      <c r="C1723" s="31" t="s">
        <v>521</v>
      </c>
      <c r="D1723" s="31" t="s">
        <v>732</v>
      </c>
      <c r="E1723" s="28">
        <v>43098</v>
      </c>
      <c r="F1723" s="28">
        <v>43129</v>
      </c>
      <c r="G1723" s="28">
        <v>43496</v>
      </c>
      <c r="H1723" s="29" t="s">
        <v>560</v>
      </c>
      <c r="I1723" s="29" t="s">
        <v>560</v>
      </c>
      <c r="J1723" s="29" t="s">
        <v>2964</v>
      </c>
      <c r="K1723" s="29" t="s">
        <v>2965</v>
      </c>
      <c r="L1723" s="29" t="s">
        <v>2966</v>
      </c>
      <c r="M1723" s="29" t="s">
        <v>2077</v>
      </c>
      <c r="N1723" s="29" t="s">
        <v>2077</v>
      </c>
      <c r="O1723" s="29" t="s">
        <v>594</v>
      </c>
    </row>
    <row r="1724" spans="1:15">
      <c r="A1724" s="25">
        <v>21841</v>
      </c>
      <c r="B1724" s="34" t="s">
        <v>3003</v>
      </c>
      <c r="C1724" s="31" t="s">
        <v>521</v>
      </c>
      <c r="D1724" s="31" t="s">
        <v>732</v>
      </c>
      <c r="E1724" s="28">
        <v>43098</v>
      </c>
      <c r="F1724" s="28">
        <v>43129</v>
      </c>
      <c r="G1724" s="28">
        <v>43496</v>
      </c>
      <c r="H1724" s="29" t="s">
        <v>560</v>
      </c>
      <c r="I1724" s="29" t="s">
        <v>560</v>
      </c>
      <c r="J1724" s="29" t="s">
        <v>2964</v>
      </c>
      <c r="K1724" s="29" t="s">
        <v>2965</v>
      </c>
      <c r="L1724" s="29" t="s">
        <v>2966</v>
      </c>
      <c r="M1724" s="29" t="s">
        <v>2077</v>
      </c>
      <c r="N1724" s="29" t="s">
        <v>2077</v>
      </c>
      <c r="O1724" s="29" t="s">
        <v>594</v>
      </c>
    </row>
    <row r="1725" spans="1:15">
      <c r="A1725" s="25">
        <v>21921</v>
      </c>
      <c r="B1725" s="34" t="s">
        <v>3004</v>
      </c>
      <c r="C1725" s="31" t="s">
        <v>521</v>
      </c>
      <c r="D1725" s="31" t="s">
        <v>1061</v>
      </c>
      <c r="E1725" s="28">
        <v>43108</v>
      </c>
      <c r="F1725" s="28">
        <v>43139</v>
      </c>
      <c r="G1725" s="28">
        <v>43496</v>
      </c>
      <c r="H1725" s="29" t="s">
        <v>560</v>
      </c>
      <c r="I1725" s="29" t="s">
        <v>560</v>
      </c>
      <c r="J1725" s="29" t="s">
        <v>2964</v>
      </c>
      <c r="K1725" s="29" t="s">
        <v>2965</v>
      </c>
      <c r="L1725" s="29" t="s">
        <v>2966</v>
      </c>
      <c r="M1725" s="29" t="s">
        <v>3005</v>
      </c>
      <c r="N1725" s="29" t="s">
        <v>1586</v>
      </c>
      <c r="O1725" s="29" t="s">
        <v>594</v>
      </c>
    </row>
    <row r="1726" spans="1:15">
      <c r="A1726" s="25">
        <v>21953</v>
      </c>
      <c r="B1726" s="34" t="s">
        <v>3006</v>
      </c>
      <c r="C1726" s="31" t="s">
        <v>521</v>
      </c>
      <c r="D1726" s="31" t="s">
        <v>1573</v>
      </c>
      <c r="E1726" s="28">
        <v>43116</v>
      </c>
      <c r="F1726" s="28">
        <v>43147</v>
      </c>
      <c r="G1726" s="28">
        <v>43524</v>
      </c>
      <c r="H1726" s="29" t="s">
        <v>560</v>
      </c>
      <c r="I1726" s="29" t="s">
        <v>560</v>
      </c>
      <c r="J1726" s="29" t="s">
        <v>2964</v>
      </c>
      <c r="K1726" s="29" t="s">
        <v>2965</v>
      </c>
      <c r="L1726" s="29" t="s">
        <v>2966</v>
      </c>
      <c r="M1726" s="29" t="s">
        <v>2222</v>
      </c>
      <c r="N1726" s="29" t="s">
        <v>2023</v>
      </c>
      <c r="O1726" s="29" t="s">
        <v>594</v>
      </c>
    </row>
    <row r="1727" spans="1:15">
      <c r="A1727" s="25">
        <v>22133</v>
      </c>
      <c r="B1727" s="34" t="s">
        <v>3007</v>
      </c>
      <c r="C1727" s="31" t="s">
        <v>521</v>
      </c>
      <c r="D1727" s="31" t="s">
        <v>758</v>
      </c>
      <c r="E1727" s="28">
        <v>43153</v>
      </c>
      <c r="F1727" s="28">
        <v>43181</v>
      </c>
      <c r="G1727" s="28">
        <v>43555</v>
      </c>
      <c r="H1727" s="29" t="s">
        <v>560</v>
      </c>
      <c r="I1727" s="29" t="s">
        <v>560</v>
      </c>
      <c r="J1727" s="29" t="s">
        <v>2964</v>
      </c>
      <c r="K1727" s="29" t="s">
        <v>2965</v>
      </c>
      <c r="L1727" s="29" t="s">
        <v>2966</v>
      </c>
      <c r="M1727" s="29" t="s">
        <v>2057</v>
      </c>
      <c r="N1727" s="29" t="s">
        <v>2041</v>
      </c>
      <c r="O1727" s="29" t="s">
        <v>594</v>
      </c>
    </row>
    <row r="1728" spans="1:15">
      <c r="A1728" s="25">
        <v>22231</v>
      </c>
      <c r="B1728" s="34" t="s">
        <v>3008</v>
      </c>
      <c r="C1728" s="31" t="s">
        <v>521</v>
      </c>
      <c r="D1728" s="31" t="s">
        <v>1796</v>
      </c>
      <c r="E1728" s="28">
        <v>43161</v>
      </c>
      <c r="F1728" s="28">
        <v>43192</v>
      </c>
      <c r="G1728" s="28">
        <v>43555</v>
      </c>
      <c r="H1728" s="29" t="s">
        <v>560</v>
      </c>
      <c r="I1728" s="29" t="s">
        <v>560</v>
      </c>
      <c r="J1728" s="29" t="s">
        <v>2964</v>
      </c>
      <c r="K1728" s="29" t="s">
        <v>2965</v>
      </c>
      <c r="L1728" s="29" t="s">
        <v>2966</v>
      </c>
      <c r="M1728" s="29" t="s">
        <v>2230</v>
      </c>
      <c r="N1728" s="29" t="s">
        <v>1434</v>
      </c>
      <c r="O1728" s="29" t="s">
        <v>594</v>
      </c>
    </row>
    <row r="1729" spans="1:15">
      <c r="A1729" s="25">
        <v>22243</v>
      </c>
      <c r="B1729" s="34" t="s">
        <v>3009</v>
      </c>
      <c r="C1729" s="31" t="s">
        <v>521</v>
      </c>
      <c r="D1729" s="31" t="s">
        <v>1796</v>
      </c>
      <c r="E1729" s="28">
        <v>43161</v>
      </c>
      <c r="F1729" s="28">
        <v>43192</v>
      </c>
      <c r="G1729" s="28">
        <v>43555</v>
      </c>
      <c r="H1729" s="29" t="s">
        <v>560</v>
      </c>
      <c r="I1729" s="29" t="s">
        <v>560</v>
      </c>
      <c r="J1729" s="29" t="s">
        <v>2964</v>
      </c>
      <c r="K1729" s="29" t="s">
        <v>2965</v>
      </c>
      <c r="L1729" s="29" t="s">
        <v>2966</v>
      </c>
      <c r="M1729" s="29" t="s">
        <v>2094</v>
      </c>
      <c r="N1729" s="29" t="s">
        <v>1434</v>
      </c>
      <c r="O1729" s="29" t="s">
        <v>594</v>
      </c>
    </row>
    <row r="1730" spans="1:15">
      <c r="A1730" s="25">
        <v>22265</v>
      </c>
      <c r="B1730" s="34" t="s">
        <v>3010</v>
      </c>
      <c r="C1730" s="31" t="s">
        <v>521</v>
      </c>
      <c r="D1730" s="31" t="s">
        <v>1071</v>
      </c>
      <c r="E1730" s="28">
        <v>43181</v>
      </c>
      <c r="F1730" s="28">
        <v>43212</v>
      </c>
      <c r="G1730" s="28">
        <v>43585</v>
      </c>
      <c r="H1730" s="29" t="s">
        <v>560</v>
      </c>
      <c r="I1730" s="29" t="s">
        <v>560</v>
      </c>
      <c r="J1730" s="29" t="s">
        <v>2964</v>
      </c>
      <c r="K1730" s="29" t="s">
        <v>2965</v>
      </c>
      <c r="L1730" s="29" t="s">
        <v>2966</v>
      </c>
      <c r="M1730" s="29" t="s">
        <v>2079</v>
      </c>
      <c r="N1730" s="29" t="s">
        <v>2080</v>
      </c>
      <c r="O1730" s="29" t="s">
        <v>594</v>
      </c>
    </row>
    <row r="1731" spans="1:15">
      <c r="A1731" s="25">
        <v>22267</v>
      </c>
      <c r="B1731" s="34" t="s">
        <v>3011</v>
      </c>
      <c r="C1731" s="31" t="s">
        <v>521</v>
      </c>
      <c r="D1731" s="31" t="s">
        <v>1071</v>
      </c>
      <c r="E1731" s="28">
        <v>43181</v>
      </c>
      <c r="F1731" s="28">
        <v>43212</v>
      </c>
      <c r="G1731" s="28">
        <v>43585</v>
      </c>
      <c r="H1731" s="29" t="s">
        <v>560</v>
      </c>
      <c r="I1731" s="29" t="s">
        <v>560</v>
      </c>
      <c r="J1731" s="29" t="s">
        <v>2964</v>
      </c>
      <c r="K1731" s="29" t="s">
        <v>2965</v>
      </c>
      <c r="L1731" s="29" t="s">
        <v>2966</v>
      </c>
      <c r="M1731" s="29" t="s">
        <v>2354</v>
      </c>
      <c r="N1731" s="29" t="s">
        <v>1434</v>
      </c>
      <c r="O1731" s="29" t="s">
        <v>594</v>
      </c>
    </row>
    <row r="1732" spans="1:15">
      <c r="A1732" s="25">
        <v>22282</v>
      </c>
      <c r="B1732" s="34" t="s">
        <v>3012</v>
      </c>
      <c r="C1732" s="31" t="s">
        <v>521</v>
      </c>
      <c r="D1732" s="31" t="s">
        <v>1191</v>
      </c>
      <c r="E1732" s="28">
        <v>43192</v>
      </c>
      <c r="F1732" s="28">
        <v>43222</v>
      </c>
      <c r="G1732" s="28">
        <v>43585</v>
      </c>
      <c r="H1732" s="29" t="s">
        <v>560</v>
      </c>
      <c r="I1732" s="29" t="s">
        <v>560</v>
      </c>
      <c r="J1732" s="29" t="s">
        <v>2964</v>
      </c>
      <c r="K1732" s="29" t="s">
        <v>2965</v>
      </c>
      <c r="L1732" s="29" t="s">
        <v>2966</v>
      </c>
      <c r="M1732" s="29" t="s">
        <v>2057</v>
      </c>
      <c r="N1732" s="29" t="s">
        <v>2041</v>
      </c>
      <c r="O1732" s="29" t="s">
        <v>594</v>
      </c>
    </row>
    <row r="1733" spans="1:15">
      <c r="A1733" s="25">
        <v>22331</v>
      </c>
      <c r="B1733" s="34" t="s">
        <v>3013</v>
      </c>
      <c r="C1733" s="31" t="s">
        <v>521</v>
      </c>
      <c r="D1733" s="31" t="s">
        <v>694</v>
      </c>
      <c r="E1733" s="28">
        <v>43195</v>
      </c>
      <c r="F1733" s="28">
        <v>43225</v>
      </c>
      <c r="G1733" s="28">
        <v>43585</v>
      </c>
      <c r="H1733" s="29" t="s">
        <v>560</v>
      </c>
      <c r="I1733" s="29" t="s">
        <v>560</v>
      </c>
      <c r="J1733" s="29" t="s">
        <v>2964</v>
      </c>
      <c r="K1733" s="29" t="s">
        <v>2965</v>
      </c>
      <c r="L1733" s="29" t="s">
        <v>2966</v>
      </c>
      <c r="M1733" s="29" t="s">
        <v>3014</v>
      </c>
      <c r="N1733" s="29" t="s">
        <v>2041</v>
      </c>
      <c r="O1733" s="29" t="s">
        <v>594</v>
      </c>
    </row>
    <row r="1734" spans="1:15">
      <c r="A1734" s="25">
        <v>22357</v>
      </c>
      <c r="B1734" s="34" t="s">
        <v>3015</v>
      </c>
      <c r="C1734" s="31" t="s">
        <v>521</v>
      </c>
      <c r="D1734" s="31" t="s">
        <v>694</v>
      </c>
      <c r="E1734" s="28">
        <v>43195</v>
      </c>
      <c r="F1734" s="28">
        <v>43225</v>
      </c>
      <c r="G1734" s="28">
        <v>43585</v>
      </c>
      <c r="H1734" s="29" t="s">
        <v>560</v>
      </c>
      <c r="I1734" s="29" t="s">
        <v>560</v>
      </c>
      <c r="J1734" s="29" t="s">
        <v>2964</v>
      </c>
      <c r="K1734" s="29" t="s">
        <v>2965</v>
      </c>
      <c r="L1734" s="29" t="s">
        <v>2966</v>
      </c>
      <c r="M1734" s="29" t="s">
        <v>2074</v>
      </c>
      <c r="N1734" s="29" t="s">
        <v>1434</v>
      </c>
      <c r="O1734" s="29" t="s">
        <v>594</v>
      </c>
    </row>
    <row r="1735" spans="1:15">
      <c r="A1735" s="25">
        <v>22422</v>
      </c>
      <c r="B1735" s="34" t="s">
        <v>3016</v>
      </c>
      <c r="C1735" s="31" t="s">
        <v>521</v>
      </c>
      <c r="D1735" s="31" t="s">
        <v>805</v>
      </c>
      <c r="E1735" s="28">
        <v>43213</v>
      </c>
      <c r="F1735" s="28">
        <v>43243</v>
      </c>
      <c r="G1735" s="28">
        <v>43616</v>
      </c>
      <c r="H1735" s="29" t="s">
        <v>560</v>
      </c>
      <c r="I1735" s="29" t="s">
        <v>560</v>
      </c>
      <c r="J1735" s="29" t="s">
        <v>2964</v>
      </c>
      <c r="K1735" s="29" t="s">
        <v>2965</v>
      </c>
      <c r="L1735" s="29" t="s">
        <v>2966</v>
      </c>
      <c r="M1735" s="29" t="s">
        <v>2995</v>
      </c>
      <c r="N1735" s="29" t="s">
        <v>1434</v>
      </c>
      <c r="O1735" s="29" t="s">
        <v>594</v>
      </c>
    </row>
    <row r="1736" spans="1:15">
      <c r="A1736" s="25">
        <v>22477</v>
      </c>
      <c r="B1736" s="34" t="s">
        <v>3017</v>
      </c>
      <c r="C1736" s="31" t="s">
        <v>521</v>
      </c>
      <c r="D1736" s="31" t="s">
        <v>773</v>
      </c>
      <c r="E1736" s="28">
        <v>43224</v>
      </c>
      <c r="F1736" s="28">
        <v>43255</v>
      </c>
      <c r="G1736" s="28">
        <v>43616</v>
      </c>
      <c r="H1736" s="29" t="s">
        <v>560</v>
      </c>
      <c r="I1736" s="29" t="s">
        <v>560</v>
      </c>
      <c r="J1736" s="29" t="s">
        <v>2964</v>
      </c>
      <c r="K1736" s="29" t="s">
        <v>2965</v>
      </c>
      <c r="L1736" s="29" t="s">
        <v>2966</v>
      </c>
      <c r="M1736" s="29" t="s">
        <v>2079</v>
      </c>
      <c r="N1736" s="29" t="s">
        <v>2080</v>
      </c>
      <c r="O1736" s="29" t="s">
        <v>594</v>
      </c>
    </row>
    <row r="1737" spans="1:15">
      <c r="A1737" s="25">
        <v>22483</v>
      </c>
      <c r="B1737" s="34" t="s">
        <v>3018</v>
      </c>
      <c r="C1737" s="31" t="s">
        <v>521</v>
      </c>
      <c r="D1737" s="31" t="s">
        <v>773</v>
      </c>
      <c r="E1737" s="28">
        <v>43224</v>
      </c>
      <c r="F1737" s="28">
        <v>43255</v>
      </c>
      <c r="G1737" s="28">
        <v>43616</v>
      </c>
      <c r="H1737" s="29" t="s">
        <v>560</v>
      </c>
      <c r="I1737" s="29" t="s">
        <v>560</v>
      </c>
      <c r="J1737" s="29" t="s">
        <v>2964</v>
      </c>
      <c r="K1737" s="29" t="s">
        <v>2965</v>
      </c>
      <c r="L1737" s="29" t="s">
        <v>2966</v>
      </c>
      <c r="M1737" s="29" t="s">
        <v>2077</v>
      </c>
      <c r="N1737" s="29" t="s">
        <v>2077</v>
      </c>
      <c r="O1737" s="29" t="s">
        <v>594</v>
      </c>
    </row>
    <row r="1738" spans="1:15">
      <c r="A1738" s="25">
        <v>22531</v>
      </c>
      <c r="B1738" s="34" t="s">
        <v>3019</v>
      </c>
      <c r="C1738" s="31" t="s">
        <v>521</v>
      </c>
      <c r="D1738" s="31" t="s">
        <v>773</v>
      </c>
      <c r="E1738" s="28">
        <v>43224</v>
      </c>
      <c r="F1738" s="28">
        <v>43255</v>
      </c>
      <c r="G1738" s="28">
        <v>43616</v>
      </c>
      <c r="H1738" s="29" t="s">
        <v>560</v>
      </c>
      <c r="I1738" s="29" t="s">
        <v>560</v>
      </c>
      <c r="J1738" s="29" t="s">
        <v>2964</v>
      </c>
      <c r="K1738" s="29" t="s">
        <v>2965</v>
      </c>
      <c r="L1738" s="29" t="s">
        <v>2966</v>
      </c>
      <c r="M1738" s="29" t="s">
        <v>3020</v>
      </c>
      <c r="N1738" s="29" t="s">
        <v>1434</v>
      </c>
      <c r="O1738" s="29" t="s">
        <v>594</v>
      </c>
    </row>
    <row r="1739" spans="1:15">
      <c r="A1739" s="25">
        <v>22574</v>
      </c>
      <c r="B1739" s="34" t="s">
        <v>3021</v>
      </c>
      <c r="C1739" s="31" t="s">
        <v>521</v>
      </c>
      <c r="D1739" s="31" t="s">
        <v>773</v>
      </c>
      <c r="E1739" s="28">
        <v>43224</v>
      </c>
      <c r="F1739" s="28">
        <v>43255</v>
      </c>
      <c r="G1739" s="28">
        <v>43616</v>
      </c>
      <c r="H1739" s="29" t="s">
        <v>560</v>
      </c>
      <c r="I1739" s="29" t="s">
        <v>560</v>
      </c>
      <c r="J1739" s="29" t="s">
        <v>2964</v>
      </c>
      <c r="K1739" s="29" t="s">
        <v>2965</v>
      </c>
      <c r="L1739" s="29" t="s">
        <v>2966</v>
      </c>
      <c r="M1739" s="29" t="s">
        <v>3022</v>
      </c>
      <c r="N1739" s="29" t="s">
        <v>2031</v>
      </c>
      <c r="O1739" s="29" t="s">
        <v>594</v>
      </c>
    </row>
    <row r="1740" spans="1:15">
      <c r="A1740" s="25">
        <v>22782</v>
      </c>
      <c r="B1740" s="34" t="s">
        <v>3023</v>
      </c>
      <c r="C1740" s="31" t="s">
        <v>521</v>
      </c>
      <c r="D1740" s="31" t="s">
        <v>1615</v>
      </c>
      <c r="E1740" s="28">
        <v>43283</v>
      </c>
      <c r="F1740" s="28">
        <v>43314</v>
      </c>
      <c r="G1740" s="28">
        <v>43677</v>
      </c>
      <c r="H1740" s="29" t="s">
        <v>560</v>
      </c>
      <c r="I1740" s="29" t="s">
        <v>560</v>
      </c>
      <c r="J1740" s="29" t="s">
        <v>2964</v>
      </c>
      <c r="K1740" s="29" t="s">
        <v>2965</v>
      </c>
      <c r="L1740" s="29" t="s">
        <v>2966</v>
      </c>
      <c r="M1740" s="29" t="s">
        <v>2222</v>
      </c>
      <c r="N1740" s="29" t="s">
        <v>2023</v>
      </c>
      <c r="O1740" s="29" t="s">
        <v>594</v>
      </c>
    </row>
    <row r="1741" spans="1:15">
      <c r="A1741" s="25">
        <v>22836</v>
      </c>
      <c r="B1741" s="34" t="s">
        <v>3024</v>
      </c>
      <c r="C1741" s="31" t="s">
        <v>521</v>
      </c>
      <c r="D1741" s="31" t="s">
        <v>775</v>
      </c>
      <c r="E1741" s="28">
        <v>43333</v>
      </c>
      <c r="F1741" s="28">
        <v>43364</v>
      </c>
      <c r="G1741" s="28">
        <v>43738</v>
      </c>
      <c r="H1741" s="29" t="s">
        <v>560</v>
      </c>
      <c r="I1741" s="29" t="s">
        <v>560</v>
      </c>
      <c r="J1741" s="29" t="s">
        <v>2964</v>
      </c>
      <c r="K1741" s="29" t="s">
        <v>2965</v>
      </c>
      <c r="L1741" s="29" t="s">
        <v>2966</v>
      </c>
      <c r="M1741" s="29" t="s">
        <v>3025</v>
      </c>
      <c r="N1741" s="29" t="s">
        <v>1434</v>
      </c>
      <c r="O1741" s="29" t="s">
        <v>594</v>
      </c>
    </row>
    <row r="1742" spans="1:15">
      <c r="A1742" s="25">
        <v>22862</v>
      </c>
      <c r="B1742" s="34" t="s">
        <v>3026</v>
      </c>
      <c r="C1742" s="31" t="s">
        <v>521</v>
      </c>
      <c r="D1742" s="31" t="s">
        <v>775</v>
      </c>
      <c r="E1742" s="28">
        <v>43333</v>
      </c>
      <c r="F1742" s="28">
        <v>43364</v>
      </c>
      <c r="G1742" s="28">
        <v>43738</v>
      </c>
      <c r="H1742" s="29" t="s">
        <v>560</v>
      </c>
      <c r="I1742" s="29" t="s">
        <v>560</v>
      </c>
      <c r="J1742" s="29" t="s">
        <v>2964</v>
      </c>
      <c r="K1742" s="29" t="s">
        <v>2965</v>
      </c>
      <c r="L1742" s="29" t="s">
        <v>2966</v>
      </c>
      <c r="M1742" s="29" t="s">
        <v>2028</v>
      </c>
      <c r="N1742" s="29" t="s">
        <v>1434</v>
      </c>
      <c r="O1742" s="29" t="s">
        <v>594</v>
      </c>
    </row>
    <row r="1743" spans="1:15">
      <c r="A1743" s="25">
        <v>22868</v>
      </c>
      <c r="B1743" s="34" t="s">
        <v>881</v>
      </c>
      <c r="C1743" s="31" t="s">
        <v>521</v>
      </c>
      <c r="D1743" s="31" t="s">
        <v>775</v>
      </c>
      <c r="E1743" s="28">
        <v>43333</v>
      </c>
      <c r="F1743" s="28">
        <v>43364</v>
      </c>
      <c r="G1743" s="28">
        <v>43738</v>
      </c>
      <c r="H1743" s="29" t="s">
        <v>560</v>
      </c>
      <c r="I1743" s="29" t="s">
        <v>560</v>
      </c>
      <c r="J1743" s="29" t="s">
        <v>2964</v>
      </c>
      <c r="K1743" s="29" t="s">
        <v>2965</v>
      </c>
      <c r="L1743" s="29" t="s">
        <v>2966</v>
      </c>
      <c r="M1743" s="29" t="s">
        <v>3027</v>
      </c>
      <c r="N1743" s="29" t="s">
        <v>1434</v>
      </c>
      <c r="O1743" s="29" t="s">
        <v>594</v>
      </c>
    </row>
    <row r="1744" spans="1:15">
      <c r="A1744" s="25">
        <v>22878</v>
      </c>
      <c r="B1744" s="34" t="s">
        <v>3028</v>
      </c>
      <c r="C1744" s="31" t="s">
        <v>521</v>
      </c>
      <c r="D1744" s="31" t="s">
        <v>775</v>
      </c>
      <c r="E1744" s="28">
        <v>43333</v>
      </c>
      <c r="F1744" s="28">
        <v>43364</v>
      </c>
      <c r="G1744" s="28">
        <v>43738</v>
      </c>
      <c r="H1744" s="29" t="s">
        <v>560</v>
      </c>
      <c r="I1744" s="29" t="s">
        <v>560</v>
      </c>
      <c r="J1744" s="29" t="s">
        <v>2964</v>
      </c>
      <c r="K1744" s="29" t="s">
        <v>2965</v>
      </c>
      <c r="L1744" s="29" t="s">
        <v>2966</v>
      </c>
      <c r="M1744" s="29" t="s">
        <v>3029</v>
      </c>
      <c r="N1744" s="29" t="s">
        <v>2077</v>
      </c>
      <c r="O1744" s="29" t="s">
        <v>594</v>
      </c>
    </row>
    <row r="1745" spans="1:15">
      <c r="A1745" s="25">
        <v>22970</v>
      </c>
      <c r="B1745" s="34" t="s">
        <v>3030</v>
      </c>
      <c r="C1745" s="31" t="s">
        <v>521</v>
      </c>
      <c r="D1745" s="31" t="s">
        <v>1962</v>
      </c>
      <c r="E1745" s="28">
        <v>43343</v>
      </c>
      <c r="F1745" s="28">
        <v>43374</v>
      </c>
      <c r="G1745" s="28">
        <v>43738</v>
      </c>
      <c r="H1745" s="29" t="s">
        <v>560</v>
      </c>
      <c r="I1745" s="29" t="s">
        <v>560</v>
      </c>
      <c r="J1745" s="29" t="s">
        <v>2964</v>
      </c>
      <c r="K1745" s="29" t="s">
        <v>2965</v>
      </c>
      <c r="L1745" s="29" t="s">
        <v>2966</v>
      </c>
      <c r="M1745" s="29" t="s">
        <v>3031</v>
      </c>
      <c r="N1745" s="29" t="s">
        <v>2023</v>
      </c>
      <c r="O1745" s="29" t="s">
        <v>594</v>
      </c>
    </row>
    <row r="1746" spans="1:15">
      <c r="A1746" s="25">
        <v>22987</v>
      </c>
      <c r="B1746" s="34" t="s">
        <v>3032</v>
      </c>
      <c r="C1746" s="31" t="s">
        <v>521</v>
      </c>
      <c r="D1746" s="31" t="s">
        <v>1962</v>
      </c>
      <c r="E1746" s="28">
        <v>43343</v>
      </c>
      <c r="F1746" s="28">
        <v>43374</v>
      </c>
      <c r="G1746" s="28">
        <v>43738</v>
      </c>
      <c r="H1746" s="29" t="s">
        <v>560</v>
      </c>
      <c r="I1746" s="29" t="s">
        <v>560</v>
      </c>
      <c r="J1746" s="29" t="s">
        <v>2964</v>
      </c>
      <c r="K1746" s="29" t="s">
        <v>2965</v>
      </c>
      <c r="L1746" s="29" t="s">
        <v>2966</v>
      </c>
      <c r="M1746" s="29" t="s">
        <v>3033</v>
      </c>
      <c r="N1746" s="29" t="s">
        <v>1434</v>
      </c>
      <c r="O1746" s="29" t="s">
        <v>594</v>
      </c>
    </row>
    <row r="1747" spans="1:15">
      <c r="A1747" s="25">
        <v>23000</v>
      </c>
      <c r="B1747" s="34" t="s">
        <v>3034</v>
      </c>
      <c r="C1747" s="31" t="s">
        <v>521</v>
      </c>
      <c r="D1747" s="31" t="s">
        <v>1872</v>
      </c>
      <c r="E1747" s="28">
        <v>43361</v>
      </c>
      <c r="F1747" s="28">
        <v>43391</v>
      </c>
      <c r="G1747" s="28">
        <v>43769</v>
      </c>
      <c r="H1747" s="29" t="s">
        <v>560</v>
      </c>
      <c r="I1747" s="29" t="s">
        <v>560</v>
      </c>
      <c r="J1747" s="29" t="s">
        <v>2964</v>
      </c>
      <c r="K1747" s="29" t="s">
        <v>2965</v>
      </c>
      <c r="L1747" s="29" t="s">
        <v>2966</v>
      </c>
      <c r="M1747" s="29" t="s">
        <v>2338</v>
      </c>
      <c r="N1747" s="29" t="s">
        <v>1434</v>
      </c>
      <c r="O1747" s="29" t="s">
        <v>594</v>
      </c>
    </row>
    <row r="1748" spans="1:15">
      <c r="A1748" s="25">
        <v>23012</v>
      </c>
      <c r="B1748" s="34" t="s">
        <v>3035</v>
      </c>
      <c r="C1748" s="31" t="s">
        <v>521</v>
      </c>
      <c r="D1748" s="31" t="s">
        <v>1872</v>
      </c>
      <c r="E1748" s="28">
        <v>43361</v>
      </c>
      <c r="F1748" s="28">
        <v>43391</v>
      </c>
      <c r="G1748" s="28">
        <v>43769</v>
      </c>
      <c r="H1748" s="29" t="s">
        <v>560</v>
      </c>
      <c r="I1748" s="29" t="s">
        <v>560</v>
      </c>
      <c r="J1748" s="29" t="s">
        <v>2964</v>
      </c>
      <c r="K1748" s="29" t="s">
        <v>2965</v>
      </c>
      <c r="L1748" s="29" t="s">
        <v>2966</v>
      </c>
      <c r="M1748" s="29" t="s">
        <v>2194</v>
      </c>
      <c r="N1748" s="29" t="s">
        <v>1434</v>
      </c>
      <c r="O1748" s="29" t="s">
        <v>594</v>
      </c>
    </row>
    <row r="1749" spans="1:15">
      <c r="A1749" s="25">
        <v>23066</v>
      </c>
      <c r="B1749" s="34" t="s">
        <v>3036</v>
      </c>
      <c r="C1749" s="31" t="s">
        <v>521</v>
      </c>
      <c r="D1749" s="31" t="s">
        <v>1872</v>
      </c>
      <c r="E1749" s="28">
        <v>43361</v>
      </c>
      <c r="F1749" s="28">
        <v>43391</v>
      </c>
      <c r="G1749" s="28">
        <v>43769</v>
      </c>
      <c r="H1749" s="29" t="s">
        <v>560</v>
      </c>
      <c r="I1749" s="29" t="s">
        <v>560</v>
      </c>
      <c r="J1749" s="29" t="s">
        <v>2964</v>
      </c>
      <c r="K1749" s="29" t="s">
        <v>2965</v>
      </c>
      <c r="L1749" s="29" t="s">
        <v>2966</v>
      </c>
      <c r="M1749" s="29" t="s">
        <v>2035</v>
      </c>
      <c r="N1749" s="29" t="s">
        <v>1434</v>
      </c>
      <c r="O1749" s="29" t="s">
        <v>594</v>
      </c>
    </row>
    <row r="1750" spans="1:15">
      <c r="A1750" s="25">
        <v>23146</v>
      </c>
      <c r="B1750" s="34" t="s">
        <v>1816</v>
      </c>
      <c r="C1750" s="31" t="s">
        <v>521</v>
      </c>
      <c r="D1750" s="31" t="s">
        <v>1523</v>
      </c>
      <c r="E1750" s="28">
        <v>43369</v>
      </c>
      <c r="F1750" s="28">
        <v>43399</v>
      </c>
      <c r="G1750" s="28">
        <v>43769</v>
      </c>
      <c r="H1750" s="29" t="s">
        <v>560</v>
      </c>
      <c r="I1750" s="29" t="s">
        <v>560</v>
      </c>
      <c r="J1750" s="29" t="s">
        <v>2964</v>
      </c>
      <c r="K1750" s="29" t="s">
        <v>2965</v>
      </c>
      <c r="L1750" s="29" t="s">
        <v>2966</v>
      </c>
      <c r="M1750" s="29" t="s">
        <v>2120</v>
      </c>
      <c r="N1750" s="29" t="s">
        <v>1434</v>
      </c>
      <c r="O1750" s="29" t="s">
        <v>594</v>
      </c>
    </row>
    <row r="1751" spans="1:15">
      <c r="A1751" s="25">
        <v>23213</v>
      </c>
      <c r="B1751" s="34" t="s">
        <v>3037</v>
      </c>
      <c r="C1751" s="31" t="s">
        <v>521</v>
      </c>
      <c r="D1751" s="31" t="s">
        <v>1582</v>
      </c>
      <c r="E1751" s="28">
        <v>43421</v>
      </c>
      <c r="F1751" s="28">
        <v>43451</v>
      </c>
      <c r="G1751" s="28">
        <v>43830</v>
      </c>
      <c r="H1751" s="29" t="s">
        <v>560</v>
      </c>
      <c r="I1751" s="29" t="s">
        <v>560</v>
      </c>
      <c r="J1751" s="29" t="s">
        <v>2964</v>
      </c>
      <c r="K1751" s="29" t="s">
        <v>2965</v>
      </c>
      <c r="L1751" s="29" t="s">
        <v>2966</v>
      </c>
      <c r="M1751" s="29" t="s">
        <v>2041</v>
      </c>
      <c r="N1751" s="29" t="s">
        <v>2041</v>
      </c>
      <c r="O1751" s="29" t="s">
        <v>594</v>
      </c>
    </row>
    <row r="1752" spans="1:15">
      <c r="A1752" s="25">
        <v>23342</v>
      </c>
      <c r="B1752" s="34" t="s">
        <v>3038</v>
      </c>
      <c r="C1752" s="31" t="s">
        <v>521</v>
      </c>
      <c r="D1752" s="31" t="s">
        <v>1527</v>
      </c>
      <c r="E1752" s="28">
        <v>43427</v>
      </c>
      <c r="F1752" s="28">
        <v>43457</v>
      </c>
      <c r="G1752" s="28">
        <v>43830</v>
      </c>
      <c r="H1752" s="29" t="s">
        <v>560</v>
      </c>
      <c r="I1752" s="29" t="s">
        <v>560</v>
      </c>
      <c r="J1752" s="29" t="s">
        <v>2964</v>
      </c>
      <c r="K1752" s="29" t="s">
        <v>2965</v>
      </c>
      <c r="L1752" s="29" t="s">
        <v>2966</v>
      </c>
      <c r="M1752" s="29" t="s">
        <v>3039</v>
      </c>
      <c r="N1752" s="29" t="s">
        <v>1586</v>
      </c>
      <c r="O1752" s="29" t="s">
        <v>594</v>
      </c>
    </row>
    <row r="1753" spans="1:15">
      <c r="A1753" s="25">
        <v>23348</v>
      </c>
      <c r="B1753" s="34" t="s">
        <v>3040</v>
      </c>
      <c r="C1753" s="31" t="s">
        <v>521</v>
      </c>
      <c r="D1753" s="31" t="s">
        <v>1527</v>
      </c>
      <c r="E1753" s="28">
        <v>43427</v>
      </c>
      <c r="F1753" s="28">
        <v>43457</v>
      </c>
      <c r="G1753" s="28">
        <v>43830</v>
      </c>
      <c r="H1753" s="29" t="s">
        <v>560</v>
      </c>
      <c r="I1753" s="29" t="s">
        <v>560</v>
      </c>
      <c r="J1753" s="29" t="s">
        <v>2964</v>
      </c>
      <c r="K1753" s="29" t="s">
        <v>2965</v>
      </c>
      <c r="L1753" s="29" t="s">
        <v>2966</v>
      </c>
      <c r="M1753" s="29" t="s">
        <v>3041</v>
      </c>
      <c r="N1753" s="29" t="s">
        <v>1586</v>
      </c>
      <c r="O1753" s="29" t="s">
        <v>594</v>
      </c>
    </row>
    <row r="1754" spans="1:15">
      <c r="A1754" s="25">
        <v>23441</v>
      </c>
      <c r="B1754" s="34" t="s">
        <v>3042</v>
      </c>
      <c r="C1754" s="31" t="s">
        <v>521</v>
      </c>
      <c r="D1754" s="31" t="s">
        <v>882</v>
      </c>
      <c r="E1754" s="28">
        <v>43434</v>
      </c>
      <c r="F1754" s="28">
        <v>43464</v>
      </c>
      <c r="G1754" s="28">
        <v>43830</v>
      </c>
      <c r="H1754" s="29" t="s">
        <v>560</v>
      </c>
      <c r="I1754" s="29" t="s">
        <v>560</v>
      </c>
      <c r="J1754" s="29" t="s">
        <v>2964</v>
      </c>
      <c r="K1754" s="29" t="s">
        <v>2965</v>
      </c>
      <c r="L1754" s="29" t="s">
        <v>2966</v>
      </c>
      <c r="M1754" s="29" t="s">
        <v>2416</v>
      </c>
      <c r="N1754" s="29" t="s">
        <v>1586</v>
      </c>
      <c r="O1754" s="29" t="s">
        <v>594</v>
      </c>
    </row>
    <row r="1755" spans="1:15">
      <c r="A1755" s="25">
        <v>23468</v>
      </c>
      <c r="B1755" s="34" t="s">
        <v>3043</v>
      </c>
      <c r="C1755" s="31" t="s">
        <v>521</v>
      </c>
      <c r="D1755" s="31" t="s">
        <v>882</v>
      </c>
      <c r="E1755" s="28">
        <v>43434</v>
      </c>
      <c r="F1755" s="28">
        <v>43464</v>
      </c>
      <c r="G1755" s="28">
        <v>43830</v>
      </c>
      <c r="H1755" s="29" t="s">
        <v>560</v>
      </c>
      <c r="I1755" s="29" t="s">
        <v>560</v>
      </c>
      <c r="J1755" s="29" t="s">
        <v>2964</v>
      </c>
      <c r="K1755" s="29" t="s">
        <v>2965</v>
      </c>
      <c r="L1755" s="29" t="s">
        <v>2966</v>
      </c>
      <c r="M1755" s="29" t="s">
        <v>3044</v>
      </c>
      <c r="N1755" s="29" t="s">
        <v>1586</v>
      </c>
      <c r="O1755" s="29" t="s">
        <v>594</v>
      </c>
    </row>
    <row r="1756" spans="1:15">
      <c r="A1756" s="25">
        <v>23515</v>
      </c>
      <c r="B1756" s="34" t="s">
        <v>3045</v>
      </c>
      <c r="C1756" s="31" t="s">
        <v>521</v>
      </c>
      <c r="D1756" s="31" t="s">
        <v>1588</v>
      </c>
      <c r="E1756" s="28">
        <v>43441</v>
      </c>
      <c r="F1756" s="28">
        <v>43472</v>
      </c>
      <c r="G1756" s="28">
        <v>43830</v>
      </c>
      <c r="H1756" s="29" t="s">
        <v>560</v>
      </c>
      <c r="I1756" s="29" t="s">
        <v>560</v>
      </c>
      <c r="J1756" s="29" t="s">
        <v>2964</v>
      </c>
      <c r="K1756" s="29" t="s">
        <v>2965</v>
      </c>
      <c r="L1756" s="29" t="s">
        <v>2966</v>
      </c>
      <c r="M1756" s="29" t="s">
        <v>3046</v>
      </c>
      <c r="N1756" s="29" t="s">
        <v>1586</v>
      </c>
      <c r="O1756" s="29" t="s">
        <v>594</v>
      </c>
    </row>
    <row r="1757" spans="1:15">
      <c r="A1757" s="25" t="s">
        <v>3047</v>
      </c>
      <c r="B1757" s="34" t="s">
        <v>3048</v>
      </c>
      <c r="C1757" s="31" t="s">
        <v>521</v>
      </c>
      <c r="D1757" s="31" t="s">
        <v>778</v>
      </c>
      <c r="E1757" s="28">
        <v>40854</v>
      </c>
      <c r="F1757" s="28" t="s">
        <v>35</v>
      </c>
      <c r="G1757" s="28" t="s">
        <v>35</v>
      </c>
      <c r="H1757" s="29" t="s">
        <v>560</v>
      </c>
      <c r="I1757" s="29" t="s">
        <v>560</v>
      </c>
      <c r="J1757" s="29" t="s">
        <v>2964</v>
      </c>
      <c r="K1757" s="29" t="s">
        <v>2965</v>
      </c>
      <c r="L1757" s="29" t="s">
        <v>2966</v>
      </c>
      <c r="M1757" s="29" t="s">
        <v>2030</v>
      </c>
      <c r="N1757" s="29" t="s">
        <v>2031</v>
      </c>
      <c r="O1757" s="29" t="s">
        <v>594</v>
      </c>
    </row>
    <row r="1758" spans="1:15">
      <c r="A1758" s="25">
        <v>5700</v>
      </c>
      <c r="B1758" s="34" t="s">
        <v>3049</v>
      </c>
      <c r="C1758" s="31" t="s">
        <v>521</v>
      </c>
      <c r="D1758" s="31" t="s">
        <v>790</v>
      </c>
      <c r="E1758" s="28">
        <v>39098</v>
      </c>
      <c r="F1758" s="28" t="s">
        <v>35</v>
      </c>
      <c r="G1758" s="28" t="s">
        <v>35</v>
      </c>
      <c r="H1758" s="29" t="s">
        <v>560</v>
      </c>
      <c r="I1758" s="29" t="s">
        <v>560</v>
      </c>
      <c r="J1758" s="29" t="s">
        <v>2964</v>
      </c>
      <c r="K1758" s="29" t="s">
        <v>2965</v>
      </c>
      <c r="L1758" s="29" t="s">
        <v>2966</v>
      </c>
      <c r="M1758" s="29" t="s">
        <v>2030</v>
      </c>
      <c r="N1758" s="29" t="s">
        <v>2031</v>
      </c>
      <c r="O1758" s="29" t="s">
        <v>590</v>
      </c>
    </row>
    <row r="1759" spans="1:15">
      <c r="A1759" s="25">
        <v>8852</v>
      </c>
      <c r="B1759" s="26" t="s">
        <v>3050</v>
      </c>
      <c r="C1759" s="27" t="s">
        <v>521</v>
      </c>
      <c r="D1759" s="27" t="s">
        <v>813</v>
      </c>
      <c r="E1759" s="28">
        <v>39937</v>
      </c>
      <c r="F1759" s="28" t="s">
        <v>35</v>
      </c>
      <c r="G1759" s="28" t="s">
        <v>35</v>
      </c>
      <c r="H1759" s="27" t="s">
        <v>560</v>
      </c>
      <c r="I1759" s="27" t="s">
        <v>560</v>
      </c>
      <c r="J1759" s="27" t="s">
        <v>2964</v>
      </c>
      <c r="K1759" s="27" t="s">
        <v>2965</v>
      </c>
      <c r="L1759" s="29" t="s">
        <v>2966</v>
      </c>
      <c r="M1759" s="29" t="s">
        <v>2215</v>
      </c>
      <c r="N1759" s="29" t="s">
        <v>1434</v>
      </c>
      <c r="O1759" s="29" t="s">
        <v>590</v>
      </c>
    </row>
    <row r="1760" spans="1:15">
      <c r="A1760" s="25">
        <v>9426</v>
      </c>
      <c r="B1760" s="26" t="s">
        <v>3051</v>
      </c>
      <c r="C1760" s="27" t="s">
        <v>521</v>
      </c>
      <c r="D1760" s="27" t="s">
        <v>658</v>
      </c>
      <c r="E1760" s="28">
        <v>40148</v>
      </c>
      <c r="F1760" s="28" t="s">
        <v>35</v>
      </c>
      <c r="G1760" s="28" t="s">
        <v>35</v>
      </c>
      <c r="H1760" s="29" t="s">
        <v>560</v>
      </c>
      <c r="I1760" s="29" t="s">
        <v>560</v>
      </c>
      <c r="J1760" s="29" t="s">
        <v>2964</v>
      </c>
      <c r="K1760" s="29" t="s">
        <v>2965</v>
      </c>
      <c r="L1760" s="29" t="s">
        <v>2966</v>
      </c>
      <c r="M1760" s="29" t="s">
        <v>2030</v>
      </c>
      <c r="N1760" s="29" t="s">
        <v>2031</v>
      </c>
      <c r="O1760" s="29" t="s">
        <v>590</v>
      </c>
    </row>
    <row r="1761" spans="1:15">
      <c r="A1761" s="25">
        <v>9863</v>
      </c>
      <c r="B1761" s="33" t="s">
        <v>3052</v>
      </c>
      <c r="C1761" s="27" t="s">
        <v>521</v>
      </c>
      <c r="D1761" s="27" t="s">
        <v>802</v>
      </c>
      <c r="E1761" s="28">
        <v>40411</v>
      </c>
      <c r="F1761" s="28" t="s">
        <v>35</v>
      </c>
      <c r="G1761" s="28" t="s">
        <v>35</v>
      </c>
      <c r="H1761" s="29" t="s">
        <v>560</v>
      </c>
      <c r="I1761" s="29" t="s">
        <v>560</v>
      </c>
      <c r="J1761" s="29" t="s">
        <v>2964</v>
      </c>
      <c r="K1761" s="29" t="s">
        <v>2965</v>
      </c>
      <c r="L1761" s="29" t="s">
        <v>2966</v>
      </c>
      <c r="M1761" s="29" t="s">
        <v>2030</v>
      </c>
      <c r="N1761" s="29" t="s">
        <v>2031</v>
      </c>
      <c r="O1761" s="29" t="s">
        <v>590</v>
      </c>
    </row>
    <row r="1762" spans="1:15">
      <c r="A1762" s="25">
        <v>9999</v>
      </c>
      <c r="B1762" s="26" t="s">
        <v>3053</v>
      </c>
      <c r="C1762" s="27" t="s">
        <v>521</v>
      </c>
      <c r="D1762" s="27" t="s">
        <v>762</v>
      </c>
      <c r="E1762" s="28">
        <v>40438</v>
      </c>
      <c r="F1762" s="28" t="s">
        <v>35</v>
      </c>
      <c r="G1762" s="28" t="s">
        <v>35</v>
      </c>
      <c r="H1762" s="27" t="s">
        <v>560</v>
      </c>
      <c r="I1762" s="27" t="s">
        <v>560</v>
      </c>
      <c r="J1762" s="27" t="s">
        <v>2964</v>
      </c>
      <c r="K1762" s="27" t="s">
        <v>2965</v>
      </c>
      <c r="L1762" s="29" t="s">
        <v>2966</v>
      </c>
      <c r="M1762" s="29" t="s">
        <v>2280</v>
      </c>
      <c r="N1762" s="29" t="s">
        <v>1434</v>
      </c>
      <c r="O1762" s="29" t="s">
        <v>590</v>
      </c>
    </row>
    <row r="1763" spans="1:15">
      <c r="A1763" s="25">
        <v>10167</v>
      </c>
      <c r="B1763" s="26" t="s">
        <v>3054</v>
      </c>
      <c r="C1763" s="27" t="s">
        <v>521</v>
      </c>
      <c r="D1763" s="27" t="s">
        <v>787</v>
      </c>
      <c r="E1763" s="28">
        <v>40458</v>
      </c>
      <c r="F1763" s="28" t="s">
        <v>35</v>
      </c>
      <c r="G1763" s="28" t="s">
        <v>35</v>
      </c>
      <c r="H1763" s="27" t="s">
        <v>560</v>
      </c>
      <c r="I1763" s="27" t="s">
        <v>560</v>
      </c>
      <c r="J1763" s="29" t="s">
        <v>2964</v>
      </c>
      <c r="K1763" s="29" t="s">
        <v>2965</v>
      </c>
      <c r="L1763" s="29" t="s">
        <v>2966</v>
      </c>
      <c r="M1763" s="29" t="s">
        <v>2293</v>
      </c>
      <c r="N1763" s="29" t="s">
        <v>1434</v>
      </c>
      <c r="O1763" s="29" t="s">
        <v>590</v>
      </c>
    </row>
    <row r="1764" spans="1:15">
      <c r="A1764" s="25">
        <v>10578</v>
      </c>
      <c r="B1764" s="26" t="s">
        <v>3055</v>
      </c>
      <c r="C1764" s="27" t="s">
        <v>521</v>
      </c>
      <c r="D1764" s="27" t="s">
        <v>602</v>
      </c>
      <c r="E1764" s="28">
        <v>40544</v>
      </c>
      <c r="F1764" s="28" t="s">
        <v>35</v>
      </c>
      <c r="G1764" s="28" t="s">
        <v>35</v>
      </c>
      <c r="H1764" s="27" t="s">
        <v>560</v>
      </c>
      <c r="I1764" s="27" t="s">
        <v>560</v>
      </c>
      <c r="J1764" s="27" t="s">
        <v>2964</v>
      </c>
      <c r="K1764" s="27" t="s">
        <v>2965</v>
      </c>
      <c r="L1764" s="29" t="s">
        <v>2966</v>
      </c>
      <c r="M1764" s="29" t="s">
        <v>1550</v>
      </c>
      <c r="N1764" s="29" t="s">
        <v>1045</v>
      </c>
      <c r="O1764" s="29" t="s">
        <v>590</v>
      </c>
    </row>
    <row r="1765" spans="1:15">
      <c r="A1765" s="25">
        <v>10640</v>
      </c>
      <c r="B1765" s="26" t="s">
        <v>3056</v>
      </c>
      <c r="C1765" s="27" t="s">
        <v>521</v>
      </c>
      <c r="D1765" s="27" t="s">
        <v>2426</v>
      </c>
      <c r="E1765" s="28">
        <v>40549</v>
      </c>
      <c r="F1765" s="28" t="s">
        <v>35</v>
      </c>
      <c r="G1765" s="28" t="s">
        <v>35</v>
      </c>
      <c r="H1765" s="27" t="s">
        <v>560</v>
      </c>
      <c r="I1765" s="27" t="s">
        <v>560</v>
      </c>
      <c r="J1765" s="27" t="s">
        <v>2964</v>
      </c>
      <c r="K1765" s="27" t="s">
        <v>2965</v>
      </c>
      <c r="L1765" s="29" t="s">
        <v>2966</v>
      </c>
      <c r="M1765" s="29" t="s">
        <v>2025</v>
      </c>
      <c r="N1765" s="29" t="s">
        <v>2026</v>
      </c>
      <c r="O1765" s="29" t="s">
        <v>590</v>
      </c>
    </row>
    <row r="1766" spans="1:15">
      <c r="A1766" s="25">
        <v>11124</v>
      </c>
      <c r="B1766" s="34" t="s">
        <v>3057</v>
      </c>
      <c r="C1766" s="31" t="s">
        <v>521</v>
      </c>
      <c r="D1766" s="27" t="s">
        <v>1423</v>
      </c>
      <c r="E1766" s="28">
        <v>40603</v>
      </c>
      <c r="F1766" s="28" t="s">
        <v>35</v>
      </c>
      <c r="G1766" s="28" t="s">
        <v>35</v>
      </c>
      <c r="H1766" s="31" t="s">
        <v>560</v>
      </c>
      <c r="I1766" s="31" t="s">
        <v>560</v>
      </c>
      <c r="J1766" s="27" t="s">
        <v>2964</v>
      </c>
      <c r="K1766" s="27" t="s">
        <v>2965</v>
      </c>
      <c r="L1766" s="29" t="s">
        <v>2966</v>
      </c>
      <c r="M1766" s="29" t="s">
        <v>2050</v>
      </c>
      <c r="N1766" s="29" t="s">
        <v>1434</v>
      </c>
      <c r="O1766" s="29" t="s">
        <v>590</v>
      </c>
    </row>
    <row r="1767" spans="1:15">
      <c r="A1767" s="25">
        <v>11404</v>
      </c>
      <c r="B1767" s="26" t="s">
        <v>3058</v>
      </c>
      <c r="C1767" s="27" t="s">
        <v>521</v>
      </c>
      <c r="D1767" s="27" t="s">
        <v>711</v>
      </c>
      <c r="E1767" s="28">
        <v>40701</v>
      </c>
      <c r="F1767" s="28" t="s">
        <v>35</v>
      </c>
      <c r="G1767" s="28" t="s">
        <v>35</v>
      </c>
      <c r="H1767" s="27" t="s">
        <v>560</v>
      </c>
      <c r="I1767" s="27" t="s">
        <v>560</v>
      </c>
      <c r="J1767" s="27" t="s">
        <v>2964</v>
      </c>
      <c r="K1767" s="27" t="s">
        <v>2965</v>
      </c>
      <c r="L1767" s="27" t="s">
        <v>2966</v>
      </c>
      <c r="M1767" s="27" t="s">
        <v>2308</v>
      </c>
      <c r="N1767" s="27" t="s">
        <v>2041</v>
      </c>
      <c r="O1767" s="29" t="s">
        <v>590</v>
      </c>
    </row>
    <row r="1768" spans="1:15">
      <c r="A1768" s="25">
        <v>12044</v>
      </c>
      <c r="B1768" s="26" t="s">
        <v>3059</v>
      </c>
      <c r="C1768" s="27" t="s">
        <v>521</v>
      </c>
      <c r="D1768" s="27" t="s">
        <v>2317</v>
      </c>
      <c r="E1768" s="28">
        <v>40792</v>
      </c>
      <c r="F1768" s="28" t="s">
        <v>35</v>
      </c>
      <c r="G1768" s="28" t="s">
        <v>35</v>
      </c>
      <c r="H1768" s="29" t="s">
        <v>560</v>
      </c>
      <c r="I1768" s="29" t="s">
        <v>560</v>
      </c>
      <c r="J1768" s="29" t="s">
        <v>2964</v>
      </c>
      <c r="K1768" s="29" t="s">
        <v>2965</v>
      </c>
      <c r="L1768" s="29" t="s">
        <v>2966</v>
      </c>
      <c r="M1768" s="29" t="s">
        <v>2030</v>
      </c>
      <c r="N1768" s="29" t="s">
        <v>2031</v>
      </c>
      <c r="O1768" s="29" t="s">
        <v>590</v>
      </c>
    </row>
    <row r="1769" spans="1:15">
      <c r="A1769" s="25">
        <v>12805</v>
      </c>
      <c r="B1769" s="26" t="s">
        <v>3060</v>
      </c>
      <c r="C1769" s="27" t="s">
        <v>521</v>
      </c>
      <c r="D1769" s="27" t="s">
        <v>2950</v>
      </c>
      <c r="E1769" s="28">
        <v>40826</v>
      </c>
      <c r="F1769" s="28" t="s">
        <v>35</v>
      </c>
      <c r="G1769" s="28" t="s">
        <v>35</v>
      </c>
      <c r="H1769" s="27" t="s">
        <v>560</v>
      </c>
      <c r="I1769" s="27" t="s">
        <v>560</v>
      </c>
      <c r="J1769" s="29" t="s">
        <v>2964</v>
      </c>
      <c r="K1769" s="29" t="s">
        <v>2965</v>
      </c>
      <c r="L1769" s="29" t="s">
        <v>2966</v>
      </c>
      <c r="M1769" s="29" t="s">
        <v>2183</v>
      </c>
      <c r="N1769" s="29" t="s">
        <v>1434</v>
      </c>
      <c r="O1769" s="29" t="s">
        <v>590</v>
      </c>
    </row>
    <row r="1770" spans="1:15">
      <c r="A1770" s="25">
        <v>14153</v>
      </c>
      <c r="B1770" s="34" t="s">
        <v>3061</v>
      </c>
      <c r="C1770" s="31" t="s">
        <v>521</v>
      </c>
      <c r="D1770" s="31" t="s">
        <v>3062</v>
      </c>
      <c r="E1770" s="28">
        <v>41360</v>
      </c>
      <c r="F1770" s="28" t="s">
        <v>35</v>
      </c>
      <c r="G1770" s="28" t="s">
        <v>35</v>
      </c>
      <c r="H1770" s="29" t="s">
        <v>560</v>
      </c>
      <c r="I1770" s="29" t="s">
        <v>560</v>
      </c>
      <c r="J1770" s="29" t="s">
        <v>2964</v>
      </c>
      <c r="K1770" s="29" t="s">
        <v>2965</v>
      </c>
      <c r="L1770" s="29" t="s">
        <v>2966</v>
      </c>
      <c r="M1770" s="29" t="s">
        <v>3063</v>
      </c>
      <c r="N1770" s="29" t="s">
        <v>1586</v>
      </c>
      <c r="O1770" s="29" t="s">
        <v>590</v>
      </c>
    </row>
    <row r="1771" spans="1:15">
      <c r="A1771" s="25">
        <v>20429</v>
      </c>
      <c r="B1771" s="26" t="s">
        <v>3064</v>
      </c>
      <c r="C1771" s="27" t="s">
        <v>521</v>
      </c>
      <c r="D1771" s="27" t="s">
        <v>3065</v>
      </c>
      <c r="E1771" s="28">
        <v>42627</v>
      </c>
      <c r="F1771" s="28" t="s">
        <v>35</v>
      </c>
      <c r="G1771" s="28" t="s">
        <v>35</v>
      </c>
      <c r="H1771" s="29" t="s">
        <v>560</v>
      </c>
      <c r="I1771" s="29" t="s">
        <v>560</v>
      </c>
      <c r="J1771" s="29" t="s">
        <v>2964</v>
      </c>
      <c r="K1771" s="29" t="s">
        <v>2965</v>
      </c>
      <c r="L1771" s="29" t="s">
        <v>2966</v>
      </c>
      <c r="M1771" s="29" t="s">
        <v>2222</v>
      </c>
      <c r="N1771" s="29" t="s">
        <v>2023</v>
      </c>
      <c r="O1771" s="29" t="s">
        <v>590</v>
      </c>
    </row>
    <row r="1772" spans="1:15">
      <c r="A1772" s="25">
        <v>20572</v>
      </c>
      <c r="B1772" s="26" t="s">
        <v>3066</v>
      </c>
      <c r="C1772" s="27" t="s">
        <v>521</v>
      </c>
      <c r="D1772" s="27" t="s">
        <v>673</v>
      </c>
      <c r="E1772" s="28">
        <v>42639</v>
      </c>
      <c r="F1772" s="28">
        <v>43132</v>
      </c>
      <c r="G1772" s="28">
        <v>43496</v>
      </c>
      <c r="H1772" s="25" t="s">
        <v>560</v>
      </c>
      <c r="I1772" s="25" t="s">
        <v>560</v>
      </c>
      <c r="J1772" s="29" t="s">
        <v>2964</v>
      </c>
      <c r="K1772" s="29" t="s">
        <v>2965</v>
      </c>
      <c r="L1772" s="29" t="s">
        <v>2966</v>
      </c>
      <c r="M1772" s="29" t="s">
        <v>2772</v>
      </c>
      <c r="N1772" s="29" t="s">
        <v>2023</v>
      </c>
      <c r="O1772" s="29" t="s">
        <v>590</v>
      </c>
    </row>
    <row r="1773" spans="1:15">
      <c r="A1773" s="25">
        <v>20619</v>
      </c>
      <c r="B1773" s="26" t="s">
        <v>3067</v>
      </c>
      <c r="C1773" s="27" t="s">
        <v>521</v>
      </c>
      <c r="D1773" s="27" t="s">
        <v>673</v>
      </c>
      <c r="E1773" s="28">
        <v>42639</v>
      </c>
      <c r="F1773" s="28">
        <v>43132</v>
      </c>
      <c r="G1773" s="28">
        <v>43496</v>
      </c>
      <c r="H1773" s="25" t="s">
        <v>560</v>
      </c>
      <c r="I1773" s="25" t="s">
        <v>560</v>
      </c>
      <c r="J1773" s="27" t="s">
        <v>2964</v>
      </c>
      <c r="K1773" s="27" t="s">
        <v>2965</v>
      </c>
      <c r="L1773" s="29" t="s">
        <v>2966</v>
      </c>
      <c r="M1773" s="29" t="s">
        <v>2995</v>
      </c>
      <c r="N1773" s="29" t="s">
        <v>1434</v>
      </c>
      <c r="O1773" s="29" t="s">
        <v>590</v>
      </c>
    </row>
    <row r="1774" spans="1:15">
      <c r="A1774" s="25">
        <v>20647</v>
      </c>
      <c r="B1774" s="26" t="s">
        <v>3068</v>
      </c>
      <c r="C1774" s="27" t="s">
        <v>521</v>
      </c>
      <c r="D1774" s="27" t="s">
        <v>673</v>
      </c>
      <c r="E1774" s="28">
        <v>42639</v>
      </c>
      <c r="F1774" s="28">
        <v>43132</v>
      </c>
      <c r="G1774" s="28">
        <v>43496</v>
      </c>
      <c r="H1774" s="25" t="s">
        <v>560</v>
      </c>
      <c r="I1774" s="25" t="s">
        <v>560</v>
      </c>
      <c r="J1774" s="27" t="s">
        <v>2964</v>
      </c>
      <c r="K1774" s="27" t="s">
        <v>2965</v>
      </c>
      <c r="L1774" s="29" t="s">
        <v>2966</v>
      </c>
      <c r="M1774" s="29" t="s">
        <v>2061</v>
      </c>
      <c r="N1774" s="29" t="s">
        <v>2041</v>
      </c>
      <c r="O1774" s="29" t="s">
        <v>590</v>
      </c>
    </row>
    <row r="1775" spans="1:15">
      <c r="A1775" s="25">
        <v>20798</v>
      </c>
      <c r="B1775" s="26" t="s">
        <v>3069</v>
      </c>
      <c r="C1775" s="27" t="s">
        <v>521</v>
      </c>
      <c r="D1775" s="27" t="s">
        <v>1684</v>
      </c>
      <c r="E1775" s="28">
        <v>42649</v>
      </c>
      <c r="F1775" s="28">
        <v>43132</v>
      </c>
      <c r="G1775" s="28">
        <v>43496</v>
      </c>
      <c r="H1775" s="25" t="s">
        <v>560</v>
      </c>
      <c r="I1775" s="27" t="s">
        <v>560</v>
      </c>
      <c r="J1775" s="27" t="s">
        <v>2964</v>
      </c>
      <c r="K1775" s="27" t="s">
        <v>2965</v>
      </c>
      <c r="L1775" s="29" t="s">
        <v>2966</v>
      </c>
      <c r="M1775" s="29" t="s">
        <v>2328</v>
      </c>
      <c r="N1775" s="29" t="s">
        <v>2080</v>
      </c>
      <c r="O1775" s="29" t="s">
        <v>590</v>
      </c>
    </row>
    <row r="1776" spans="1:15">
      <c r="A1776" s="25">
        <v>20815</v>
      </c>
      <c r="B1776" s="26" t="s">
        <v>3070</v>
      </c>
      <c r="C1776" s="27" t="s">
        <v>521</v>
      </c>
      <c r="D1776" s="27" t="s">
        <v>1684</v>
      </c>
      <c r="E1776" s="28">
        <v>42649</v>
      </c>
      <c r="F1776" s="28">
        <v>43132</v>
      </c>
      <c r="G1776" s="28">
        <v>43496</v>
      </c>
      <c r="H1776" s="27" t="s">
        <v>560</v>
      </c>
      <c r="I1776" s="27" t="s">
        <v>560</v>
      </c>
      <c r="J1776" s="27" t="s">
        <v>2964</v>
      </c>
      <c r="K1776" s="27" t="s">
        <v>2965</v>
      </c>
      <c r="L1776" s="29" t="s">
        <v>2966</v>
      </c>
      <c r="M1776" s="29" t="s">
        <v>2293</v>
      </c>
      <c r="N1776" s="29" t="s">
        <v>1434</v>
      </c>
      <c r="O1776" s="29" t="s">
        <v>590</v>
      </c>
    </row>
    <row r="1777" spans="1:15">
      <c r="A1777" s="25">
        <v>20823</v>
      </c>
      <c r="B1777" s="26" t="s">
        <v>3071</v>
      </c>
      <c r="C1777" s="27" t="s">
        <v>521</v>
      </c>
      <c r="D1777" s="27" t="s">
        <v>1684</v>
      </c>
      <c r="E1777" s="28">
        <v>42649</v>
      </c>
      <c r="F1777" s="28">
        <v>43132</v>
      </c>
      <c r="G1777" s="28">
        <v>43496</v>
      </c>
      <c r="H1777" s="25" t="s">
        <v>560</v>
      </c>
      <c r="I1777" s="27" t="s">
        <v>560</v>
      </c>
      <c r="J1777" s="27" t="s">
        <v>2964</v>
      </c>
      <c r="K1777" s="27" t="s">
        <v>2965</v>
      </c>
      <c r="L1777" s="29" t="s">
        <v>2966</v>
      </c>
      <c r="M1777" s="29" t="s">
        <v>2227</v>
      </c>
      <c r="N1777" s="29" t="s">
        <v>1434</v>
      </c>
      <c r="O1777" s="29" t="s">
        <v>590</v>
      </c>
    </row>
    <row r="1778" spans="1:15">
      <c r="A1778" s="25">
        <v>20904</v>
      </c>
      <c r="B1778" s="26" t="s">
        <v>3072</v>
      </c>
      <c r="C1778" s="27" t="s">
        <v>521</v>
      </c>
      <c r="D1778" s="27" t="s">
        <v>807</v>
      </c>
      <c r="E1778" s="28">
        <v>42660</v>
      </c>
      <c r="F1778" s="28">
        <v>43160</v>
      </c>
      <c r="G1778" s="28">
        <v>43524</v>
      </c>
      <c r="H1778" s="27" t="s">
        <v>560</v>
      </c>
      <c r="I1778" s="27" t="s">
        <v>560</v>
      </c>
      <c r="J1778" s="27" t="s">
        <v>2964</v>
      </c>
      <c r="K1778" s="27" t="s">
        <v>2965</v>
      </c>
      <c r="L1778" s="29" t="s">
        <v>2966</v>
      </c>
      <c r="M1778" s="29" t="s">
        <v>2077</v>
      </c>
      <c r="N1778" s="29" t="s">
        <v>2077</v>
      </c>
      <c r="O1778" s="29" t="s">
        <v>590</v>
      </c>
    </row>
    <row r="1779" spans="1:15">
      <c r="A1779" s="25">
        <v>20977</v>
      </c>
      <c r="B1779" s="33" t="s">
        <v>3073</v>
      </c>
      <c r="C1779" s="27" t="s">
        <v>521</v>
      </c>
      <c r="D1779" s="27" t="s">
        <v>1184</v>
      </c>
      <c r="E1779" s="28">
        <v>42674</v>
      </c>
      <c r="F1779" s="28">
        <v>43160</v>
      </c>
      <c r="G1779" s="28">
        <v>43524</v>
      </c>
      <c r="H1779" s="31" t="s">
        <v>560</v>
      </c>
      <c r="I1779" s="31" t="s">
        <v>560</v>
      </c>
      <c r="J1779" s="27" t="s">
        <v>2964</v>
      </c>
      <c r="K1779" s="27" t="s">
        <v>2965</v>
      </c>
      <c r="L1779" s="29" t="s">
        <v>2966</v>
      </c>
      <c r="M1779" s="29" t="s">
        <v>2268</v>
      </c>
      <c r="N1779" s="29" t="s">
        <v>1434</v>
      </c>
      <c r="O1779" s="29" t="s">
        <v>590</v>
      </c>
    </row>
    <row r="1780" spans="1:15">
      <c r="A1780" s="25">
        <v>20986</v>
      </c>
      <c r="B1780" s="33" t="s">
        <v>3074</v>
      </c>
      <c r="C1780" s="27" t="s">
        <v>521</v>
      </c>
      <c r="D1780" s="27" t="s">
        <v>1184</v>
      </c>
      <c r="E1780" s="28">
        <v>42674</v>
      </c>
      <c r="F1780" s="28">
        <v>43160</v>
      </c>
      <c r="G1780" s="28">
        <v>43524</v>
      </c>
      <c r="H1780" s="31" t="s">
        <v>560</v>
      </c>
      <c r="I1780" s="31" t="s">
        <v>560</v>
      </c>
      <c r="J1780" s="27" t="s">
        <v>2964</v>
      </c>
      <c r="K1780" s="27" t="s">
        <v>2965</v>
      </c>
      <c r="L1780" s="29" t="s">
        <v>2966</v>
      </c>
      <c r="M1780" s="29" t="s">
        <v>2354</v>
      </c>
      <c r="N1780" s="29" t="s">
        <v>1434</v>
      </c>
      <c r="O1780" s="29" t="s">
        <v>590</v>
      </c>
    </row>
    <row r="1781" spans="1:15">
      <c r="A1781" s="25">
        <v>21320</v>
      </c>
      <c r="B1781" s="34" t="s">
        <v>3075</v>
      </c>
      <c r="C1781" s="31" t="s">
        <v>521</v>
      </c>
      <c r="D1781" s="31" t="s">
        <v>1595</v>
      </c>
      <c r="E1781" s="28">
        <v>43010</v>
      </c>
      <c r="F1781" s="28">
        <v>43405</v>
      </c>
      <c r="G1781" s="28">
        <v>43769</v>
      </c>
      <c r="H1781" s="29" t="s">
        <v>560</v>
      </c>
      <c r="I1781" s="29" t="s">
        <v>560</v>
      </c>
      <c r="J1781" s="29" t="s">
        <v>2964</v>
      </c>
      <c r="K1781" s="29" t="s">
        <v>2965</v>
      </c>
      <c r="L1781" s="29" t="s">
        <v>2966</v>
      </c>
      <c r="M1781" s="29" t="s">
        <v>2280</v>
      </c>
      <c r="N1781" s="29" t="s">
        <v>1434</v>
      </c>
      <c r="O1781" s="29" t="s">
        <v>590</v>
      </c>
    </row>
    <row r="1782" spans="1:15">
      <c r="A1782" s="25">
        <v>21367</v>
      </c>
      <c r="B1782" s="34" t="s">
        <v>3076</v>
      </c>
      <c r="C1782" s="31" t="s">
        <v>521</v>
      </c>
      <c r="D1782" s="31" t="s">
        <v>2162</v>
      </c>
      <c r="E1782" s="28">
        <v>43013</v>
      </c>
      <c r="F1782" s="28">
        <v>43405</v>
      </c>
      <c r="G1782" s="28">
        <v>43769</v>
      </c>
      <c r="H1782" s="29" t="s">
        <v>560</v>
      </c>
      <c r="I1782" s="29" t="s">
        <v>560</v>
      </c>
      <c r="J1782" s="29" t="s">
        <v>2964</v>
      </c>
      <c r="K1782" s="29" t="s">
        <v>2965</v>
      </c>
      <c r="L1782" s="29" t="s">
        <v>2966</v>
      </c>
      <c r="M1782" s="29" t="s">
        <v>2222</v>
      </c>
      <c r="N1782" s="29" t="s">
        <v>2023</v>
      </c>
      <c r="O1782" s="29" t="s">
        <v>590</v>
      </c>
    </row>
    <row r="1783" spans="1:15">
      <c r="A1783" s="25">
        <v>21393</v>
      </c>
      <c r="B1783" s="34" t="s">
        <v>3077</v>
      </c>
      <c r="C1783" s="31" t="s">
        <v>521</v>
      </c>
      <c r="D1783" s="31" t="s">
        <v>2283</v>
      </c>
      <c r="E1783" s="28">
        <v>43018</v>
      </c>
      <c r="F1783" s="28">
        <v>43405</v>
      </c>
      <c r="G1783" s="28">
        <v>43769</v>
      </c>
      <c r="H1783" s="29" t="s">
        <v>560</v>
      </c>
      <c r="I1783" s="29" t="s">
        <v>560</v>
      </c>
      <c r="J1783" s="29" t="s">
        <v>2964</v>
      </c>
      <c r="K1783" s="29" t="s">
        <v>2965</v>
      </c>
      <c r="L1783" s="29" t="s">
        <v>2966</v>
      </c>
      <c r="M1783" s="29" t="s">
        <v>2238</v>
      </c>
      <c r="N1783" s="29" t="s">
        <v>1434</v>
      </c>
      <c r="O1783" s="29" t="s">
        <v>590</v>
      </c>
    </row>
    <row r="1784" spans="1:15">
      <c r="A1784" s="25">
        <v>21416</v>
      </c>
      <c r="B1784" s="34" t="s">
        <v>243</v>
      </c>
      <c r="C1784" s="31" t="s">
        <v>521</v>
      </c>
      <c r="D1784" s="31" t="s">
        <v>2283</v>
      </c>
      <c r="E1784" s="28">
        <v>43018</v>
      </c>
      <c r="F1784" s="28">
        <v>43405</v>
      </c>
      <c r="G1784" s="28">
        <v>43769</v>
      </c>
      <c r="H1784" s="29" t="s">
        <v>560</v>
      </c>
      <c r="I1784" s="29" t="s">
        <v>560</v>
      </c>
      <c r="J1784" s="29" t="s">
        <v>2964</v>
      </c>
      <c r="K1784" s="29" t="s">
        <v>2965</v>
      </c>
      <c r="L1784" s="29" t="s">
        <v>2966</v>
      </c>
      <c r="M1784" s="29" t="s">
        <v>2050</v>
      </c>
      <c r="N1784" s="29" t="s">
        <v>1434</v>
      </c>
      <c r="O1784" s="29" t="s">
        <v>590</v>
      </c>
    </row>
    <row r="1785" spans="1:15">
      <c r="A1785" s="25">
        <v>21560</v>
      </c>
      <c r="B1785" s="34" t="s">
        <v>3078</v>
      </c>
      <c r="C1785" s="31" t="s">
        <v>521</v>
      </c>
      <c r="D1785" s="31" t="s">
        <v>1760</v>
      </c>
      <c r="E1785" s="28">
        <v>43045</v>
      </c>
      <c r="F1785" s="28">
        <v>43435</v>
      </c>
      <c r="G1785" s="28">
        <v>43799</v>
      </c>
      <c r="H1785" s="29" t="s">
        <v>560</v>
      </c>
      <c r="I1785" s="29" t="s">
        <v>560</v>
      </c>
      <c r="J1785" s="29" t="s">
        <v>2964</v>
      </c>
      <c r="K1785" s="29" t="s">
        <v>2965</v>
      </c>
      <c r="L1785" s="29" t="s">
        <v>2966</v>
      </c>
      <c r="M1785" s="29" t="s">
        <v>2057</v>
      </c>
      <c r="N1785" s="29" t="s">
        <v>2041</v>
      </c>
      <c r="O1785" s="29" t="s">
        <v>590</v>
      </c>
    </row>
    <row r="1786" spans="1:15">
      <c r="A1786" s="25">
        <v>21600</v>
      </c>
      <c r="B1786" s="34" t="s">
        <v>3079</v>
      </c>
      <c r="C1786" s="31" t="s">
        <v>521</v>
      </c>
      <c r="D1786" s="31" t="s">
        <v>1603</v>
      </c>
      <c r="E1786" s="28">
        <v>43048</v>
      </c>
      <c r="F1786" s="28">
        <v>43435</v>
      </c>
      <c r="G1786" s="28">
        <v>43799</v>
      </c>
      <c r="H1786" s="29" t="s">
        <v>560</v>
      </c>
      <c r="I1786" s="29" t="s">
        <v>560</v>
      </c>
      <c r="J1786" s="29" t="s">
        <v>2964</v>
      </c>
      <c r="K1786" s="29" t="s">
        <v>2965</v>
      </c>
      <c r="L1786" s="29" t="s">
        <v>2966</v>
      </c>
      <c r="M1786" s="29" t="s">
        <v>3025</v>
      </c>
      <c r="N1786" s="29" t="s">
        <v>1434</v>
      </c>
      <c r="O1786" s="29" t="s">
        <v>590</v>
      </c>
    </row>
    <row r="1787" spans="1:15">
      <c r="A1787" s="25">
        <v>21657</v>
      </c>
      <c r="B1787" s="34" t="s">
        <v>3080</v>
      </c>
      <c r="C1787" s="31" t="s">
        <v>521</v>
      </c>
      <c r="D1787" s="31" t="s">
        <v>1053</v>
      </c>
      <c r="E1787" s="28">
        <v>43055</v>
      </c>
      <c r="F1787" s="28">
        <v>43466</v>
      </c>
      <c r="G1787" s="28">
        <v>43830</v>
      </c>
      <c r="H1787" s="29" t="s">
        <v>560</v>
      </c>
      <c r="I1787" s="29" t="s">
        <v>560</v>
      </c>
      <c r="J1787" s="29" t="s">
        <v>2964</v>
      </c>
      <c r="K1787" s="29" t="s">
        <v>2965</v>
      </c>
      <c r="L1787" s="29" t="s">
        <v>2966</v>
      </c>
      <c r="M1787" s="29" t="s">
        <v>2227</v>
      </c>
      <c r="N1787" s="29" t="s">
        <v>1434</v>
      </c>
      <c r="O1787" s="29" t="s">
        <v>590</v>
      </c>
    </row>
    <row r="1788" spans="1:15">
      <c r="A1788" s="25">
        <v>21678</v>
      </c>
      <c r="B1788" s="34" t="s">
        <v>3081</v>
      </c>
      <c r="C1788" s="31" t="s">
        <v>521</v>
      </c>
      <c r="D1788" s="31" t="s">
        <v>1053</v>
      </c>
      <c r="E1788" s="28">
        <v>43055</v>
      </c>
      <c r="F1788" s="28">
        <v>43466</v>
      </c>
      <c r="G1788" s="28">
        <v>43830</v>
      </c>
      <c r="H1788" s="29" t="s">
        <v>560</v>
      </c>
      <c r="I1788" s="29" t="s">
        <v>560</v>
      </c>
      <c r="J1788" s="29" t="s">
        <v>2964</v>
      </c>
      <c r="K1788" s="29" t="s">
        <v>2965</v>
      </c>
      <c r="L1788" s="29" t="s">
        <v>2966</v>
      </c>
      <c r="M1788" s="29" t="s">
        <v>2324</v>
      </c>
      <c r="N1788" s="29" t="s">
        <v>2080</v>
      </c>
      <c r="O1788" s="29" t="s">
        <v>590</v>
      </c>
    </row>
    <row r="1789" spans="1:15">
      <c r="A1789" s="25">
        <v>21688</v>
      </c>
      <c r="B1789" s="34" t="s">
        <v>3082</v>
      </c>
      <c r="C1789" s="31" t="s">
        <v>521</v>
      </c>
      <c r="D1789" s="31" t="s">
        <v>1053</v>
      </c>
      <c r="E1789" s="28">
        <v>43055</v>
      </c>
      <c r="F1789" s="28">
        <v>43466</v>
      </c>
      <c r="G1789" s="28">
        <v>43830</v>
      </c>
      <c r="H1789" s="29" t="s">
        <v>560</v>
      </c>
      <c r="I1789" s="29" t="s">
        <v>560</v>
      </c>
      <c r="J1789" s="29" t="s">
        <v>2964</v>
      </c>
      <c r="K1789" s="29" t="s">
        <v>2965</v>
      </c>
      <c r="L1789" s="29" t="s">
        <v>2966</v>
      </c>
      <c r="M1789" s="29" t="s">
        <v>2338</v>
      </c>
      <c r="N1789" s="29" t="s">
        <v>1434</v>
      </c>
      <c r="O1789" s="29" t="s">
        <v>590</v>
      </c>
    </row>
    <row r="1790" spans="1:15">
      <c r="A1790" s="25">
        <v>21772</v>
      </c>
      <c r="B1790" s="34" t="s">
        <v>3083</v>
      </c>
      <c r="C1790" s="31" t="s">
        <v>521</v>
      </c>
      <c r="D1790" s="31" t="s">
        <v>1609</v>
      </c>
      <c r="E1790" s="28">
        <v>43090</v>
      </c>
      <c r="F1790" s="28">
        <v>43121</v>
      </c>
      <c r="G1790" s="28">
        <v>43496</v>
      </c>
      <c r="H1790" s="29" t="s">
        <v>560</v>
      </c>
      <c r="I1790" s="29" t="s">
        <v>560</v>
      </c>
      <c r="J1790" s="29" t="s">
        <v>2964</v>
      </c>
      <c r="K1790" s="29" t="s">
        <v>2965</v>
      </c>
      <c r="L1790" s="29" t="s">
        <v>2966</v>
      </c>
      <c r="M1790" s="29" t="s">
        <v>2354</v>
      </c>
      <c r="N1790" s="29" t="s">
        <v>1434</v>
      </c>
      <c r="O1790" s="29" t="s">
        <v>590</v>
      </c>
    </row>
    <row r="1791" spans="1:15">
      <c r="A1791" s="25">
        <v>21908</v>
      </c>
      <c r="B1791" s="34" t="s">
        <v>3084</v>
      </c>
      <c r="C1791" s="31" t="s">
        <v>521</v>
      </c>
      <c r="D1791" s="31" t="s">
        <v>1870</v>
      </c>
      <c r="E1791" s="28">
        <v>43103</v>
      </c>
      <c r="F1791" s="28">
        <v>43134</v>
      </c>
      <c r="G1791" s="28">
        <v>43496</v>
      </c>
      <c r="H1791" s="29" t="s">
        <v>560</v>
      </c>
      <c r="I1791" s="29" t="s">
        <v>560</v>
      </c>
      <c r="J1791" s="29" t="s">
        <v>2964</v>
      </c>
      <c r="K1791" s="29" t="s">
        <v>2965</v>
      </c>
      <c r="L1791" s="29" t="s">
        <v>2966</v>
      </c>
      <c r="M1791" s="29" t="s">
        <v>2593</v>
      </c>
      <c r="N1791" s="29" t="s">
        <v>1434</v>
      </c>
      <c r="O1791" s="29" t="s">
        <v>590</v>
      </c>
    </row>
    <row r="1792" spans="1:15">
      <c r="A1792" s="25">
        <v>21909</v>
      </c>
      <c r="B1792" s="34" t="s">
        <v>3085</v>
      </c>
      <c r="C1792" s="31" t="s">
        <v>521</v>
      </c>
      <c r="D1792" s="31" t="s">
        <v>1870</v>
      </c>
      <c r="E1792" s="28">
        <v>43103</v>
      </c>
      <c r="F1792" s="28">
        <v>43134</v>
      </c>
      <c r="G1792" s="28">
        <v>43496</v>
      </c>
      <c r="H1792" s="29" t="s">
        <v>560</v>
      </c>
      <c r="I1792" s="29" t="s">
        <v>560</v>
      </c>
      <c r="J1792" s="29" t="s">
        <v>2964</v>
      </c>
      <c r="K1792" s="29" t="s">
        <v>2965</v>
      </c>
      <c r="L1792" s="29" t="s">
        <v>2966</v>
      </c>
      <c r="M1792" s="29" t="s">
        <v>2222</v>
      </c>
      <c r="N1792" s="29" t="s">
        <v>2023</v>
      </c>
      <c r="O1792" s="29" t="s">
        <v>590</v>
      </c>
    </row>
    <row r="1793" spans="1:15">
      <c r="A1793" s="25">
        <v>21989</v>
      </c>
      <c r="B1793" s="34" t="s">
        <v>3086</v>
      </c>
      <c r="C1793" s="31" t="s">
        <v>521</v>
      </c>
      <c r="D1793" s="31" t="s">
        <v>1171</v>
      </c>
      <c r="E1793" s="28">
        <v>43139</v>
      </c>
      <c r="F1793" s="28">
        <v>43167</v>
      </c>
      <c r="G1793" s="28">
        <v>43524</v>
      </c>
      <c r="H1793" s="29" t="s">
        <v>560</v>
      </c>
      <c r="I1793" s="29" t="s">
        <v>560</v>
      </c>
      <c r="J1793" s="29" t="s">
        <v>2964</v>
      </c>
      <c r="K1793" s="29" t="s">
        <v>2965</v>
      </c>
      <c r="L1793" s="29" t="s">
        <v>2966</v>
      </c>
      <c r="M1793" s="29" t="s">
        <v>2052</v>
      </c>
      <c r="N1793" s="29" t="s">
        <v>2041</v>
      </c>
      <c r="O1793" s="29" t="s">
        <v>590</v>
      </c>
    </row>
    <row r="1794" spans="1:15">
      <c r="A1794" s="25">
        <v>21991</v>
      </c>
      <c r="B1794" s="34" t="s">
        <v>3087</v>
      </c>
      <c r="C1794" s="31" t="s">
        <v>521</v>
      </c>
      <c r="D1794" s="31" t="s">
        <v>1171</v>
      </c>
      <c r="E1794" s="28">
        <v>43139</v>
      </c>
      <c r="F1794" s="28">
        <v>43167</v>
      </c>
      <c r="G1794" s="28">
        <v>43524</v>
      </c>
      <c r="H1794" s="29" t="s">
        <v>560</v>
      </c>
      <c r="I1794" s="29" t="s">
        <v>560</v>
      </c>
      <c r="J1794" s="29" t="s">
        <v>2964</v>
      </c>
      <c r="K1794" s="29" t="s">
        <v>2965</v>
      </c>
      <c r="L1794" s="29" t="s">
        <v>2966</v>
      </c>
      <c r="M1794" s="29" t="s">
        <v>2040</v>
      </c>
      <c r="N1794" s="29" t="s">
        <v>2041</v>
      </c>
      <c r="O1794" s="29" t="s">
        <v>590</v>
      </c>
    </row>
    <row r="1795" spans="1:15">
      <c r="A1795" s="25">
        <v>22172</v>
      </c>
      <c r="B1795" s="34" t="s">
        <v>3088</v>
      </c>
      <c r="C1795" s="31" t="s">
        <v>521</v>
      </c>
      <c r="D1795" s="31" t="s">
        <v>1201</v>
      </c>
      <c r="E1795" s="28">
        <v>43158</v>
      </c>
      <c r="F1795" s="28">
        <v>43186</v>
      </c>
      <c r="G1795" s="28">
        <v>43555</v>
      </c>
      <c r="H1795" s="29" t="s">
        <v>560</v>
      </c>
      <c r="I1795" s="29" t="s">
        <v>560</v>
      </c>
      <c r="J1795" s="29" t="s">
        <v>2964</v>
      </c>
      <c r="K1795" s="29" t="s">
        <v>2965</v>
      </c>
      <c r="L1795" s="29" t="s">
        <v>2966</v>
      </c>
      <c r="M1795" s="29" t="s">
        <v>2040</v>
      </c>
      <c r="N1795" s="29" t="s">
        <v>2041</v>
      </c>
      <c r="O1795" s="29" t="s">
        <v>590</v>
      </c>
    </row>
    <row r="1796" spans="1:15">
      <c r="A1796" s="25">
        <v>22179</v>
      </c>
      <c r="B1796" s="34" t="s">
        <v>3089</v>
      </c>
      <c r="C1796" s="31" t="s">
        <v>521</v>
      </c>
      <c r="D1796" s="31" t="s">
        <v>1201</v>
      </c>
      <c r="E1796" s="28">
        <v>43158</v>
      </c>
      <c r="F1796" s="28">
        <v>43186</v>
      </c>
      <c r="G1796" s="28">
        <v>43555</v>
      </c>
      <c r="H1796" s="29" t="s">
        <v>560</v>
      </c>
      <c r="I1796" s="29" t="s">
        <v>560</v>
      </c>
      <c r="J1796" s="29" t="s">
        <v>2964</v>
      </c>
      <c r="K1796" s="29" t="s">
        <v>2965</v>
      </c>
      <c r="L1796" s="29" t="s">
        <v>2966</v>
      </c>
      <c r="M1796" s="29" t="s">
        <v>2050</v>
      </c>
      <c r="N1796" s="29" t="s">
        <v>1434</v>
      </c>
      <c r="O1796" s="29" t="s">
        <v>590</v>
      </c>
    </row>
    <row r="1797" spans="1:15">
      <c r="A1797" s="25">
        <v>22189</v>
      </c>
      <c r="B1797" s="34" t="s">
        <v>3090</v>
      </c>
      <c r="C1797" s="31" t="s">
        <v>521</v>
      </c>
      <c r="D1797" s="31" t="s">
        <v>1201</v>
      </c>
      <c r="E1797" s="28">
        <v>43158</v>
      </c>
      <c r="F1797" s="28">
        <v>43186</v>
      </c>
      <c r="G1797" s="28">
        <v>43555</v>
      </c>
      <c r="H1797" s="29" t="s">
        <v>560</v>
      </c>
      <c r="I1797" s="29" t="s">
        <v>560</v>
      </c>
      <c r="J1797" s="29" t="s">
        <v>2964</v>
      </c>
      <c r="K1797" s="29" t="s">
        <v>2965</v>
      </c>
      <c r="L1797" s="29" t="s">
        <v>2966</v>
      </c>
      <c r="M1797" s="29" t="s">
        <v>2077</v>
      </c>
      <c r="N1797" s="29" t="s">
        <v>2077</v>
      </c>
      <c r="O1797" s="29" t="s">
        <v>590</v>
      </c>
    </row>
    <row r="1798" spans="1:15">
      <c r="A1798" s="25">
        <v>22192</v>
      </c>
      <c r="B1798" s="34" t="s">
        <v>3091</v>
      </c>
      <c r="C1798" s="31" t="s">
        <v>521</v>
      </c>
      <c r="D1798" s="31" t="s">
        <v>1201</v>
      </c>
      <c r="E1798" s="28">
        <v>43158</v>
      </c>
      <c r="F1798" s="28">
        <v>43186</v>
      </c>
      <c r="G1798" s="28">
        <v>43555</v>
      </c>
      <c r="H1798" s="29" t="s">
        <v>560</v>
      </c>
      <c r="I1798" s="29" t="s">
        <v>560</v>
      </c>
      <c r="J1798" s="29" t="s">
        <v>2964</v>
      </c>
      <c r="K1798" s="29" t="s">
        <v>2965</v>
      </c>
      <c r="L1798" s="29" t="s">
        <v>2966</v>
      </c>
      <c r="M1798" s="29" t="s">
        <v>2406</v>
      </c>
      <c r="N1798" s="29" t="s">
        <v>1434</v>
      </c>
      <c r="O1798" s="29" t="s">
        <v>590</v>
      </c>
    </row>
    <row r="1799" spans="1:15">
      <c r="A1799" s="25">
        <v>22249</v>
      </c>
      <c r="B1799" s="34" t="s">
        <v>3092</v>
      </c>
      <c r="C1799" s="31" t="s">
        <v>521</v>
      </c>
      <c r="D1799" s="31" t="s">
        <v>1189</v>
      </c>
      <c r="E1799" s="28">
        <v>43171</v>
      </c>
      <c r="F1799" s="28">
        <v>43202</v>
      </c>
      <c r="G1799" s="28">
        <v>43555</v>
      </c>
      <c r="H1799" s="29" t="s">
        <v>560</v>
      </c>
      <c r="I1799" s="29" t="s">
        <v>560</v>
      </c>
      <c r="J1799" s="29" t="s">
        <v>2964</v>
      </c>
      <c r="K1799" s="29" t="s">
        <v>2965</v>
      </c>
      <c r="L1799" s="29" t="s">
        <v>2966</v>
      </c>
      <c r="M1799" s="29" t="s">
        <v>2354</v>
      </c>
      <c r="N1799" s="29" t="s">
        <v>1434</v>
      </c>
      <c r="O1799" s="29" t="s">
        <v>590</v>
      </c>
    </row>
    <row r="1800" spans="1:15">
      <c r="A1800" s="25">
        <v>22251</v>
      </c>
      <c r="B1800" s="34" t="s">
        <v>3093</v>
      </c>
      <c r="C1800" s="31" t="s">
        <v>521</v>
      </c>
      <c r="D1800" s="31" t="s">
        <v>1189</v>
      </c>
      <c r="E1800" s="28">
        <v>43171</v>
      </c>
      <c r="F1800" s="28">
        <v>43202</v>
      </c>
      <c r="G1800" s="28">
        <v>43555</v>
      </c>
      <c r="H1800" s="29" t="s">
        <v>560</v>
      </c>
      <c r="I1800" s="29" t="s">
        <v>560</v>
      </c>
      <c r="J1800" s="29" t="s">
        <v>2964</v>
      </c>
      <c r="K1800" s="29" t="s">
        <v>2965</v>
      </c>
      <c r="L1800" s="29" t="s">
        <v>2966</v>
      </c>
      <c r="M1800" s="29" t="s">
        <v>2627</v>
      </c>
      <c r="N1800" s="29" t="s">
        <v>2080</v>
      </c>
      <c r="O1800" s="29" t="s">
        <v>590</v>
      </c>
    </row>
    <row r="1801" spans="1:15">
      <c r="A1801" s="25">
        <v>22266</v>
      </c>
      <c r="B1801" s="34" t="s">
        <v>3094</v>
      </c>
      <c r="C1801" s="31" t="s">
        <v>521</v>
      </c>
      <c r="D1801" s="31" t="s">
        <v>1071</v>
      </c>
      <c r="E1801" s="28">
        <v>43181</v>
      </c>
      <c r="F1801" s="28">
        <v>43212</v>
      </c>
      <c r="G1801" s="28">
        <v>43585</v>
      </c>
      <c r="H1801" s="29" t="s">
        <v>560</v>
      </c>
      <c r="I1801" s="29" t="s">
        <v>560</v>
      </c>
      <c r="J1801" s="29" t="s">
        <v>2964</v>
      </c>
      <c r="K1801" s="29" t="s">
        <v>2965</v>
      </c>
      <c r="L1801" s="29" t="s">
        <v>2966</v>
      </c>
      <c r="M1801" s="29" t="s">
        <v>2293</v>
      </c>
      <c r="N1801" s="29" t="s">
        <v>1434</v>
      </c>
      <c r="O1801" s="29" t="s">
        <v>590</v>
      </c>
    </row>
    <row r="1802" spans="1:15">
      <c r="A1802" s="25">
        <v>22279</v>
      </c>
      <c r="B1802" s="26" t="s">
        <v>3095</v>
      </c>
      <c r="C1802" s="27" t="s">
        <v>521</v>
      </c>
      <c r="D1802" s="27" t="s">
        <v>1191</v>
      </c>
      <c r="E1802" s="28">
        <v>43192</v>
      </c>
      <c r="F1802" s="28">
        <v>43222</v>
      </c>
      <c r="G1802" s="28">
        <v>43585</v>
      </c>
      <c r="H1802" s="29" t="s">
        <v>560</v>
      </c>
      <c r="I1802" s="29" t="s">
        <v>560</v>
      </c>
      <c r="J1802" s="29" t="s">
        <v>2964</v>
      </c>
      <c r="K1802" s="29" t="s">
        <v>2965</v>
      </c>
      <c r="L1802" s="29" t="s">
        <v>2966</v>
      </c>
      <c r="M1802" s="29" t="s">
        <v>2092</v>
      </c>
      <c r="N1802" s="29" t="s">
        <v>2041</v>
      </c>
      <c r="O1802" s="29" t="s">
        <v>590</v>
      </c>
    </row>
    <row r="1803" spans="1:15">
      <c r="A1803" s="25">
        <v>22335</v>
      </c>
      <c r="B1803" s="34" t="s">
        <v>3096</v>
      </c>
      <c r="C1803" s="31" t="s">
        <v>521</v>
      </c>
      <c r="D1803" s="31" t="s">
        <v>694</v>
      </c>
      <c r="E1803" s="28">
        <v>43195</v>
      </c>
      <c r="F1803" s="28">
        <v>43225</v>
      </c>
      <c r="G1803" s="28">
        <v>43585</v>
      </c>
      <c r="H1803" s="29" t="s">
        <v>560</v>
      </c>
      <c r="I1803" s="29" t="s">
        <v>560</v>
      </c>
      <c r="J1803" s="29" t="s">
        <v>2964</v>
      </c>
      <c r="K1803" s="29" t="s">
        <v>2965</v>
      </c>
      <c r="L1803" s="29" t="s">
        <v>2966</v>
      </c>
      <c r="M1803" s="29" t="s">
        <v>2238</v>
      </c>
      <c r="N1803" s="29" t="s">
        <v>1434</v>
      </c>
      <c r="O1803" s="29" t="s">
        <v>590</v>
      </c>
    </row>
    <row r="1804" spans="1:15">
      <c r="A1804" s="25">
        <v>22414</v>
      </c>
      <c r="B1804" s="34" t="s">
        <v>3097</v>
      </c>
      <c r="C1804" s="31" t="s">
        <v>521</v>
      </c>
      <c r="D1804" s="31" t="s">
        <v>805</v>
      </c>
      <c r="E1804" s="28">
        <v>43213</v>
      </c>
      <c r="F1804" s="28">
        <v>43243</v>
      </c>
      <c r="G1804" s="28">
        <v>43616</v>
      </c>
      <c r="H1804" s="29" t="s">
        <v>560</v>
      </c>
      <c r="I1804" s="29" t="s">
        <v>560</v>
      </c>
      <c r="J1804" s="29" t="s">
        <v>2964</v>
      </c>
      <c r="K1804" s="29" t="s">
        <v>2965</v>
      </c>
      <c r="L1804" s="29" t="s">
        <v>2966</v>
      </c>
      <c r="M1804" s="29" t="s">
        <v>3098</v>
      </c>
      <c r="N1804" s="29" t="s">
        <v>1586</v>
      </c>
      <c r="O1804" s="29" t="s">
        <v>590</v>
      </c>
    </row>
    <row r="1805" spans="1:15">
      <c r="A1805" s="25">
        <v>22646</v>
      </c>
      <c r="B1805" s="26" t="s">
        <v>3099</v>
      </c>
      <c r="C1805" s="27" t="s">
        <v>521</v>
      </c>
      <c r="D1805" s="27" t="s">
        <v>1199</v>
      </c>
      <c r="E1805" s="28">
        <v>43241</v>
      </c>
      <c r="F1805" s="28">
        <v>43272</v>
      </c>
      <c r="G1805" s="28">
        <v>43646</v>
      </c>
      <c r="H1805" s="27" t="s">
        <v>560</v>
      </c>
      <c r="I1805" s="27" t="s">
        <v>560</v>
      </c>
      <c r="J1805" s="29" t="s">
        <v>2964</v>
      </c>
      <c r="K1805" s="29" t="s">
        <v>2965</v>
      </c>
      <c r="L1805" s="29" t="s">
        <v>2966</v>
      </c>
      <c r="M1805" s="29" t="s">
        <v>2215</v>
      </c>
      <c r="N1805" s="29" t="s">
        <v>1434</v>
      </c>
      <c r="O1805" s="29" t="s">
        <v>590</v>
      </c>
    </row>
    <row r="1806" spans="1:15">
      <c r="A1806" s="25">
        <v>22684</v>
      </c>
      <c r="B1806" s="34" t="s">
        <v>3100</v>
      </c>
      <c r="C1806" s="31" t="s">
        <v>521</v>
      </c>
      <c r="D1806" s="31" t="s">
        <v>1199</v>
      </c>
      <c r="E1806" s="28">
        <v>43241</v>
      </c>
      <c r="F1806" s="28">
        <v>43272</v>
      </c>
      <c r="G1806" s="28">
        <v>43646</v>
      </c>
      <c r="H1806" s="29" t="s">
        <v>560</v>
      </c>
      <c r="I1806" s="29" t="s">
        <v>560</v>
      </c>
      <c r="J1806" s="29" t="s">
        <v>2964</v>
      </c>
      <c r="K1806" s="29" t="s">
        <v>2965</v>
      </c>
      <c r="L1806" s="29" t="s">
        <v>2966</v>
      </c>
      <c r="M1806" s="29" t="s">
        <v>2546</v>
      </c>
      <c r="N1806" s="29" t="s">
        <v>1434</v>
      </c>
      <c r="O1806" s="29" t="s">
        <v>590</v>
      </c>
    </row>
    <row r="1807" spans="1:15">
      <c r="A1807" s="25">
        <v>22743</v>
      </c>
      <c r="B1807" s="34" t="s">
        <v>3101</v>
      </c>
      <c r="C1807" s="31" t="s">
        <v>521</v>
      </c>
      <c r="D1807" s="31" t="s">
        <v>771</v>
      </c>
      <c r="E1807" s="28">
        <v>43255</v>
      </c>
      <c r="F1807" s="28">
        <v>43285</v>
      </c>
      <c r="G1807" s="28">
        <v>43646</v>
      </c>
      <c r="H1807" s="27" t="s">
        <v>560</v>
      </c>
      <c r="I1807" s="27" t="s">
        <v>560</v>
      </c>
      <c r="J1807" s="29" t="s">
        <v>2964</v>
      </c>
      <c r="K1807" s="29" t="s">
        <v>2965</v>
      </c>
      <c r="L1807" s="29" t="s">
        <v>2966</v>
      </c>
      <c r="M1807" s="29" t="s">
        <v>2546</v>
      </c>
      <c r="N1807" s="29" t="s">
        <v>1434</v>
      </c>
      <c r="O1807" s="29" t="s">
        <v>590</v>
      </c>
    </row>
    <row r="1808" spans="1:15">
      <c r="A1808" s="25">
        <v>22760</v>
      </c>
      <c r="B1808" s="34" t="s">
        <v>3102</v>
      </c>
      <c r="C1808" s="31" t="s">
        <v>521</v>
      </c>
      <c r="D1808" s="31" t="s">
        <v>771</v>
      </c>
      <c r="E1808" s="28">
        <v>43255</v>
      </c>
      <c r="F1808" s="28">
        <v>43285</v>
      </c>
      <c r="G1808" s="28">
        <v>43646</v>
      </c>
      <c r="H1808" s="29" t="s">
        <v>560</v>
      </c>
      <c r="I1808" s="29" t="s">
        <v>560</v>
      </c>
      <c r="J1808" s="29" t="s">
        <v>2964</v>
      </c>
      <c r="K1808" s="29" t="s">
        <v>2965</v>
      </c>
      <c r="L1808" s="29" t="s">
        <v>2966</v>
      </c>
      <c r="M1808" s="29" t="s">
        <v>2238</v>
      </c>
      <c r="N1808" s="29" t="s">
        <v>1434</v>
      </c>
      <c r="O1808" s="29" t="s">
        <v>590</v>
      </c>
    </row>
    <row r="1809" spans="1:15">
      <c r="A1809" s="25">
        <v>22777</v>
      </c>
      <c r="B1809" s="26" t="s">
        <v>3103</v>
      </c>
      <c r="C1809" s="27" t="s">
        <v>521</v>
      </c>
      <c r="D1809" s="27" t="s">
        <v>771</v>
      </c>
      <c r="E1809" s="28">
        <v>43255</v>
      </c>
      <c r="F1809" s="28">
        <v>43285</v>
      </c>
      <c r="G1809" s="28">
        <v>43646</v>
      </c>
      <c r="H1809" s="27" t="s">
        <v>560</v>
      </c>
      <c r="I1809" s="27" t="s">
        <v>560</v>
      </c>
      <c r="J1809" s="29" t="s">
        <v>2964</v>
      </c>
      <c r="K1809" s="29" t="s">
        <v>2965</v>
      </c>
      <c r="L1809" s="29" t="s">
        <v>2966</v>
      </c>
      <c r="M1809" s="29" t="s">
        <v>2072</v>
      </c>
      <c r="N1809" s="29" t="s">
        <v>1434</v>
      </c>
      <c r="O1809" s="29" t="s">
        <v>590</v>
      </c>
    </row>
    <row r="1810" spans="1:15">
      <c r="A1810" s="25">
        <v>22825</v>
      </c>
      <c r="B1810" s="34" t="s">
        <v>3104</v>
      </c>
      <c r="C1810" s="31" t="s">
        <v>521</v>
      </c>
      <c r="D1810" s="31" t="s">
        <v>775</v>
      </c>
      <c r="E1810" s="28">
        <v>43333</v>
      </c>
      <c r="F1810" s="28">
        <v>43364</v>
      </c>
      <c r="G1810" s="28">
        <v>43738</v>
      </c>
      <c r="H1810" s="29" t="s">
        <v>560</v>
      </c>
      <c r="I1810" s="29" t="s">
        <v>560</v>
      </c>
      <c r="J1810" s="29" t="s">
        <v>2964</v>
      </c>
      <c r="K1810" s="29" t="s">
        <v>2965</v>
      </c>
      <c r="L1810" s="29" t="s">
        <v>2966</v>
      </c>
      <c r="M1810" s="29" t="s">
        <v>2085</v>
      </c>
      <c r="N1810" s="29" t="s">
        <v>1434</v>
      </c>
      <c r="O1810" s="29" t="s">
        <v>590</v>
      </c>
    </row>
    <row r="1811" spans="1:15">
      <c r="A1811" s="25">
        <v>22829</v>
      </c>
      <c r="B1811" s="34" t="s">
        <v>3105</v>
      </c>
      <c r="C1811" s="31" t="s">
        <v>521</v>
      </c>
      <c r="D1811" s="31" t="s">
        <v>775</v>
      </c>
      <c r="E1811" s="28">
        <v>43333</v>
      </c>
      <c r="F1811" s="28">
        <v>43364</v>
      </c>
      <c r="G1811" s="28">
        <v>43738</v>
      </c>
      <c r="H1811" s="29" t="s">
        <v>560</v>
      </c>
      <c r="I1811" s="29" t="s">
        <v>560</v>
      </c>
      <c r="J1811" s="29" t="s">
        <v>2964</v>
      </c>
      <c r="K1811" s="29" t="s">
        <v>2965</v>
      </c>
      <c r="L1811" s="29" t="s">
        <v>2966</v>
      </c>
      <c r="M1811" s="29" t="s">
        <v>3027</v>
      </c>
      <c r="N1811" s="29" t="s">
        <v>1434</v>
      </c>
      <c r="O1811" s="29" t="s">
        <v>590</v>
      </c>
    </row>
    <row r="1812" spans="1:15">
      <c r="A1812" s="25">
        <v>22834</v>
      </c>
      <c r="B1812" s="34" t="s">
        <v>3106</v>
      </c>
      <c r="C1812" s="31" t="s">
        <v>521</v>
      </c>
      <c r="D1812" s="31" t="s">
        <v>775</v>
      </c>
      <c r="E1812" s="28">
        <v>43333</v>
      </c>
      <c r="F1812" s="28">
        <v>43364</v>
      </c>
      <c r="G1812" s="28">
        <v>43738</v>
      </c>
      <c r="H1812" s="29" t="s">
        <v>560</v>
      </c>
      <c r="I1812" s="29" t="s">
        <v>560</v>
      </c>
      <c r="J1812" s="29" t="s">
        <v>2964</v>
      </c>
      <c r="K1812" s="29" t="s">
        <v>2965</v>
      </c>
      <c r="L1812" s="29" t="s">
        <v>2966</v>
      </c>
      <c r="M1812" s="29" t="s">
        <v>2077</v>
      </c>
      <c r="N1812" s="29" t="s">
        <v>2077</v>
      </c>
      <c r="O1812" s="29" t="s">
        <v>590</v>
      </c>
    </row>
    <row r="1813" spans="1:15">
      <c r="A1813" s="25">
        <v>22835</v>
      </c>
      <c r="B1813" s="34" t="s">
        <v>3107</v>
      </c>
      <c r="C1813" s="31" t="s">
        <v>521</v>
      </c>
      <c r="D1813" s="31" t="s">
        <v>775</v>
      </c>
      <c r="E1813" s="28">
        <v>43333</v>
      </c>
      <c r="F1813" s="28">
        <v>43364</v>
      </c>
      <c r="G1813" s="28">
        <v>43738</v>
      </c>
      <c r="H1813" s="29" t="s">
        <v>560</v>
      </c>
      <c r="I1813" s="29" t="s">
        <v>560</v>
      </c>
      <c r="J1813" s="29" t="s">
        <v>2964</v>
      </c>
      <c r="K1813" s="29" t="s">
        <v>2965</v>
      </c>
      <c r="L1813" s="29" t="s">
        <v>2966</v>
      </c>
      <c r="M1813" s="29" t="s">
        <v>3108</v>
      </c>
      <c r="N1813" s="29" t="s">
        <v>1434</v>
      </c>
      <c r="O1813" s="29" t="s">
        <v>590</v>
      </c>
    </row>
    <row r="1814" spans="1:15">
      <c r="A1814" s="25">
        <v>22844</v>
      </c>
      <c r="B1814" s="34" t="s">
        <v>3109</v>
      </c>
      <c r="C1814" s="31" t="s">
        <v>521</v>
      </c>
      <c r="D1814" s="31" t="s">
        <v>775</v>
      </c>
      <c r="E1814" s="28">
        <v>43333</v>
      </c>
      <c r="F1814" s="28">
        <v>43364</v>
      </c>
      <c r="G1814" s="28">
        <v>43738</v>
      </c>
      <c r="H1814" s="29" t="s">
        <v>560</v>
      </c>
      <c r="I1814" s="29" t="s">
        <v>560</v>
      </c>
      <c r="J1814" s="29" t="s">
        <v>2964</v>
      </c>
      <c r="K1814" s="29" t="s">
        <v>2965</v>
      </c>
      <c r="L1814" s="29" t="s">
        <v>2966</v>
      </c>
      <c r="M1814" s="29" t="s">
        <v>2077</v>
      </c>
      <c r="N1814" s="29" t="s">
        <v>2077</v>
      </c>
      <c r="O1814" s="29" t="s">
        <v>590</v>
      </c>
    </row>
    <row r="1815" spans="1:15">
      <c r="A1815" s="25">
        <v>22930</v>
      </c>
      <c r="B1815" s="34" t="s">
        <v>3110</v>
      </c>
      <c r="C1815" s="31" t="s">
        <v>521</v>
      </c>
      <c r="D1815" s="31" t="s">
        <v>1962</v>
      </c>
      <c r="E1815" s="28">
        <v>43343</v>
      </c>
      <c r="F1815" s="28">
        <v>43374</v>
      </c>
      <c r="G1815" s="28">
        <v>43738</v>
      </c>
      <c r="H1815" s="29" t="s">
        <v>560</v>
      </c>
      <c r="I1815" s="29" t="s">
        <v>560</v>
      </c>
      <c r="J1815" s="29" t="s">
        <v>2964</v>
      </c>
      <c r="K1815" s="29" t="s">
        <v>2965</v>
      </c>
      <c r="L1815" s="29" t="s">
        <v>2966</v>
      </c>
      <c r="M1815" s="29" t="s">
        <v>3111</v>
      </c>
      <c r="N1815" s="29" t="s">
        <v>1586</v>
      </c>
      <c r="O1815" s="29" t="s">
        <v>590</v>
      </c>
    </row>
    <row r="1816" spans="1:15">
      <c r="A1816" s="25">
        <v>22937</v>
      </c>
      <c r="B1816" s="34" t="s">
        <v>3112</v>
      </c>
      <c r="C1816" s="31" t="s">
        <v>521</v>
      </c>
      <c r="D1816" s="31" t="s">
        <v>1962</v>
      </c>
      <c r="E1816" s="28">
        <v>43343</v>
      </c>
      <c r="F1816" s="28">
        <v>43374</v>
      </c>
      <c r="G1816" s="28">
        <v>43738</v>
      </c>
      <c r="H1816" s="29" t="s">
        <v>560</v>
      </c>
      <c r="I1816" s="29" t="s">
        <v>560</v>
      </c>
      <c r="J1816" s="29" t="s">
        <v>2964</v>
      </c>
      <c r="K1816" s="29" t="s">
        <v>2965</v>
      </c>
      <c r="L1816" s="29" t="s">
        <v>2966</v>
      </c>
      <c r="M1816" s="29" t="s">
        <v>3113</v>
      </c>
      <c r="N1816" s="29" t="s">
        <v>2023</v>
      </c>
      <c r="O1816" s="29" t="s">
        <v>590</v>
      </c>
    </row>
    <row r="1817" spans="1:15">
      <c r="A1817" s="25">
        <v>23290</v>
      </c>
      <c r="B1817" s="34" t="s">
        <v>3114</v>
      </c>
      <c r="C1817" s="31" t="s">
        <v>521</v>
      </c>
      <c r="D1817" s="31" t="s">
        <v>1527</v>
      </c>
      <c r="E1817" s="28">
        <v>43427</v>
      </c>
      <c r="F1817" s="28">
        <v>43457</v>
      </c>
      <c r="G1817" s="28">
        <v>43830</v>
      </c>
      <c r="H1817" s="29" t="s">
        <v>560</v>
      </c>
      <c r="I1817" s="29" t="s">
        <v>560</v>
      </c>
      <c r="J1817" s="29" t="s">
        <v>2964</v>
      </c>
      <c r="K1817" s="29" t="s">
        <v>2965</v>
      </c>
      <c r="L1817" s="29" t="s">
        <v>2966</v>
      </c>
      <c r="M1817" s="29" t="s">
        <v>2065</v>
      </c>
      <c r="N1817" s="29" t="s">
        <v>1434</v>
      </c>
      <c r="O1817" s="29" t="s">
        <v>590</v>
      </c>
    </row>
    <row r="1818" spans="1:15">
      <c r="A1818" s="25">
        <v>23383</v>
      </c>
      <c r="B1818" s="34" t="s">
        <v>3115</v>
      </c>
      <c r="C1818" s="31" t="s">
        <v>521</v>
      </c>
      <c r="D1818" s="31" t="s">
        <v>1527</v>
      </c>
      <c r="E1818" s="28">
        <v>43427</v>
      </c>
      <c r="F1818" s="28">
        <v>43457</v>
      </c>
      <c r="G1818" s="28">
        <v>43830</v>
      </c>
      <c r="H1818" s="29" t="s">
        <v>560</v>
      </c>
      <c r="I1818" s="29" t="s">
        <v>560</v>
      </c>
      <c r="J1818" s="29" t="s">
        <v>2964</v>
      </c>
      <c r="K1818" s="29" t="s">
        <v>2965</v>
      </c>
      <c r="L1818" s="29" t="s">
        <v>2966</v>
      </c>
      <c r="M1818" s="29" t="s">
        <v>3116</v>
      </c>
      <c r="N1818" s="29" t="s">
        <v>1434</v>
      </c>
      <c r="O1818" s="29" t="s">
        <v>590</v>
      </c>
    </row>
    <row r="1819" spans="1:15">
      <c r="A1819" s="25">
        <v>23411</v>
      </c>
      <c r="B1819" s="34" t="s">
        <v>3117</v>
      </c>
      <c r="C1819" s="31" t="s">
        <v>521</v>
      </c>
      <c r="D1819" s="31" t="s">
        <v>882</v>
      </c>
      <c r="E1819" s="28">
        <v>43434</v>
      </c>
      <c r="F1819" s="28">
        <v>43464</v>
      </c>
      <c r="G1819" s="28">
        <v>43830</v>
      </c>
      <c r="H1819" s="29" t="s">
        <v>560</v>
      </c>
      <c r="I1819" s="29" t="s">
        <v>560</v>
      </c>
      <c r="J1819" s="29" t="s">
        <v>2964</v>
      </c>
      <c r="K1819" s="29" t="s">
        <v>2965</v>
      </c>
      <c r="L1819" s="29" t="s">
        <v>2966</v>
      </c>
      <c r="M1819" s="29" t="s">
        <v>2215</v>
      </c>
      <c r="N1819" s="29" t="s">
        <v>1434</v>
      </c>
      <c r="O1819" s="29" t="s">
        <v>590</v>
      </c>
    </row>
    <row r="1820" spans="1:15">
      <c r="A1820" s="25">
        <v>23467</v>
      </c>
      <c r="B1820" s="34" t="s">
        <v>3118</v>
      </c>
      <c r="C1820" s="31" t="s">
        <v>521</v>
      </c>
      <c r="D1820" s="31" t="s">
        <v>882</v>
      </c>
      <c r="E1820" s="28">
        <v>43434</v>
      </c>
      <c r="F1820" s="28">
        <v>43464</v>
      </c>
      <c r="G1820" s="28">
        <v>43830</v>
      </c>
      <c r="H1820" s="29" t="s">
        <v>560</v>
      </c>
      <c r="I1820" s="29" t="s">
        <v>560</v>
      </c>
      <c r="J1820" s="29" t="s">
        <v>2964</v>
      </c>
      <c r="K1820" s="29" t="s">
        <v>2965</v>
      </c>
      <c r="L1820" s="29" t="s">
        <v>2966</v>
      </c>
      <c r="M1820" s="29" t="s">
        <v>3033</v>
      </c>
      <c r="N1820" s="29" t="s">
        <v>1434</v>
      </c>
      <c r="O1820" s="29" t="s">
        <v>590</v>
      </c>
    </row>
    <row r="1821" spans="1:15">
      <c r="A1821" s="25">
        <v>23477</v>
      </c>
      <c r="B1821" s="34" t="s">
        <v>3119</v>
      </c>
      <c r="C1821" s="31" t="s">
        <v>521</v>
      </c>
      <c r="D1821" s="31" t="s">
        <v>882</v>
      </c>
      <c r="E1821" s="28">
        <v>43434</v>
      </c>
      <c r="F1821" s="28">
        <v>43464</v>
      </c>
      <c r="G1821" s="28">
        <v>43830</v>
      </c>
      <c r="H1821" s="29" t="s">
        <v>560</v>
      </c>
      <c r="I1821" s="29" t="s">
        <v>560</v>
      </c>
      <c r="J1821" s="29" t="s">
        <v>2964</v>
      </c>
      <c r="K1821" s="29" t="s">
        <v>2965</v>
      </c>
      <c r="L1821" s="29" t="s">
        <v>2966</v>
      </c>
      <c r="M1821" s="29" t="s">
        <v>1593</v>
      </c>
      <c r="N1821" s="29" t="s">
        <v>1586</v>
      </c>
      <c r="O1821" s="29" t="s">
        <v>590</v>
      </c>
    </row>
    <row r="1822" spans="1:15">
      <c r="A1822" s="25">
        <v>23514</v>
      </c>
      <c r="B1822" s="34" t="s">
        <v>3120</v>
      </c>
      <c r="C1822" s="31" t="s">
        <v>521</v>
      </c>
      <c r="D1822" s="31" t="s">
        <v>1588</v>
      </c>
      <c r="E1822" s="28">
        <v>43441</v>
      </c>
      <c r="F1822" s="28">
        <v>43472</v>
      </c>
      <c r="G1822" s="28">
        <v>43830</v>
      </c>
      <c r="H1822" s="29" t="s">
        <v>560</v>
      </c>
      <c r="I1822" s="29" t="s">
        <v>560</v>
      </c>
      <c r="J1822" s="29" t="s">
        <v>2964</v>
      </c>
      <c r="K1822" s="29" t="s">
        <v>2965</v>
      </c>
      <c r="L1822" s="29" t="s">
        <v>2966</v>
      </c>
      <c r="M1822" s="29" t="s">
        <v>1593</v>
      </c>
      <c r="N1822" s="29" t="s">
        <v>1586</v>
      </c>
      <c r="O1822" s="29" t="s">
        <v>590</v>
      </c>
    </row>
    <row r="1823" spans="1:15">
      <c r="A1823" s="25" t="s">
        <v>3121</v>
      </c>
      <c r="B1823" s="26" t="s">
        <v>3122</v>
      </c>
      <c r="C1823" s="27" t="s">
        <v>521</v>
      </c>
      <c r="D1823" s="27" t="s">
        <v>1846</v>
      </c>
      <c r="E1823" s="28">
        <v>40840</v>
      </c>
      <c r="F1823" s="28" t="s">
        <v>35</v>
      </c>
      <c r="G1823" s="28" t="s">
        <v>35</v>
      </c>
      <c r="H1823" s="29" t="s">
        <v>560</v>
      </c>
      <c r="I1823" s="29" t="s">
        <v>560</v>
      </c>
      <c r="J1823" s="29" t="s">
        <v>2964</v>
      </c>
      <c r="K1823" s="29" t="s">
        <v>2965</v>
      </c>
      <c r="L1823" s="29" t="s">
        <v>2966</v>
      </c>
      <c r="M1823" s="29" t="s">
        <v>2087</v>
      </c>
      <c r="N1823" s="29" t="s">
        <v>1434</v>
      </c>
      <c r="O1823" s="29" t="s">
        <v>590</v>
      </c>
    </row>
    <row r="1824" spans="1:15">
      <c r="A1824" s="25">
        <v>23578</v>
      </c>
      <c r="B1824" s="34" t="s">
        <v>3123</v>
      </c>
      <c r="C1824" s="31" t="s">
        <v>521</v>
      </c>
      <c r="D1824" s="31" t="s">
        <v>884</v>
      </c>
      <c r="E1824" s="28">
        <v>43452</v>
      </c>
      <c r="F1824" s="28">
        <v>43483</v>
      </c>
      <c r="G1824" s="28">
        <v>43861</v>
      </c>
      <c r="H1824" s="29" t="s">
        <v>560</v>
      </c>
      <c r="I1824" s="29" t="s">
        <v>560</v>
      </c>
      <c r="J1824" s="29" t="s">
        <v>2964</v>
      </c>
      <c r="K1824" s="29" t="s">
        <v>2965</v>
      </c>
      <c r="L1824" s="29" t="s">
        <v>2966</v>
      </c>
      <c r="M1824" s="29" t="s">
        <v>1593</v>
      </c>
      <c r="N1824" s="29" t="s">
        <v>1586</v>
      </c>
      <c r="O1824" s="29" t="s">
        <v>590</v>
      </c>
    </row>
    <row r="1825" spans="1:15">
      <c r="A1825" s="25">
        <v>530</v>
      </c>
      <c r="B1825" s="26" t="s">
        <v>3124</v>
      </c>
      <c r="C1825" s="27" t="s">
        <v>521</v>
      </c>
      <c r="D1825" s="27" t="s">
        <v>1063</v>
      </c>
      <c r="E1825" s="28">
        <v>37767</v>
      </c>
      <c r="F1825" s="28" t="s">
        <v>35</v>
      </c>
      <c r="G1825" s="28" t="s">
        <v>35</v>
      </c>
      <c r="H1825" s="29" t="s">
        <v>560</v>
      </c>
      <c r="I1825" s="29" t="s">
        <v>560</v>
      </c>
      <c r="J1825" s="29" t="s">
        <v>2130</v>
      </c>
      <c r="K1825" s="29" t="s">
        <v>2131</v>
      </c>
      <c r="L1825" s="29" t="s">
        <v>3125</v>
      </c>
      <c r="M1825" s="29" t="s">
        <v>3126</v>
      </c>
      <c r="N1825" s="29" t="s">
        <v>1434</v>
      </c>
      <c r="O1825" s="29" t="s">
        <v>594</v>
      </c>
    </row>
    <row r="1826" spans="1:15">
      <c r="A1826" s="25">
        <v>1200</v>
      </c>
      <c r="B1826" s="26" t="s">
        <v>3127</v>
      </c>
      <c r="C1826" s="27" t="s">
        <v>521</v>
      </c>
      <c r="D1826" s="27" t="s">
        <v>1468</v>
      </c>
      <c r="E1826" s="28">
        <v>37907</v>
      </c>
      <c r="F1826" s="28" t="s">
        <v>35</v>
      </c>
      <c r="G1826" s="28" t="s">
        <v>35</v>
      </c>
      <c r="H1826" s="29" t="s">
        <v>560</v>
      </c>
      <c r="I1826" s="29" t="s">
        <v>560</v>
      </c>
      <c r="J1826" s="29" t="s">
        <v>2130</v>
      </c>
      <c r="K1826" s="29" t="s">
        <v>2131</v>
      </c>
      <c r="L1826" s="29" t="s">
        <v>3125</v>
      </c>
      <c r="M1826" s="29" t="s">
        <v>3128</v>
      </c>
      <c r="N1826" s="29" t="s">
        <v>2023</v>
      </c>
      <c r="O1826" s="29" t="s">
        <v>594</v>
      </c>
    </row>
    <row r="1827" spans="1:15">
      <c r="A1827" s="25">
        <v>9473</v>
      </c>
      <c r="B1827" s="26" t="s">
        <v>3129</v>
      </c>
      <c r="C1827" s="27" t="s">
        <v>521</v>
      </c>
      <c r="D1827" s="27" t="s">
        <v>658</v>
      </c>
      <c r="E1827" s="28">
        <v>40148</v>
      </c>
      <c r="F1827" s="28" t="s">
        <v>35</v>
      </c>
      <c r="G1827" s="28" t="s">
        <v>35</v>
      </c>
      <c r="H1827" s="29" t="s">
        <v>560</v>
      </c>
      <c r="I1827" s="29" t="s">
        <v>560</v>
      </c>
      <c r="J1827" s="29" t="s">
        <v>2130</v>
      </c>
      <c r="K1827" s="29" t="s">
        <v>2131</v>
      </c>
      <c r="L1827" s="29" t="s">
        <v>3125</v>
      </c>
      <c r="M1827" s="29" t="s">
        <v>2030</v>
      </c>
      <c r="N1827" s="29" t="s">
        <v>2031</v>
      </c>
      <c r="O1827" s="29" t="s">
        <v>594</v>
      </c>
    </row>
    <row r="1828" spans="1:15">
      <c r="A1828" s="25">
        <v>9935</v>
      </c>
      <c r="B1828" s="26" t="s">
        <v>3130</v>
      </c>
      <c r="C1828" s="27" t="s">
        <v>521</v>
      </c>
      <c r="D1828" s="27" t="s">
        <v>803</v>
      </c>
      <c r="E1828" s="28">
        <v>40431</v>
      </c>
      <c r="F1828" s="28" t="s">
        <v>35</v>
      </c>
      <c r="G1828" s="28" t="s">
        <v>35</v>
      </c>
      <c r="H1828" s="27" t="s">
        <v>560</v>
      </c>
      <c r="I1828" s="27" t="s">
        <v>560</v>
      </c>
      <c r="J1828" s="29" t="s">
        <v>2130</v>
      </c>
      <c r="K1828" s="29" t="s">
        <v>2131</v>
      </c>
      <c r="L1828" s="29" t="s">
        <v>3125</v>
      </c>
      <c r="M1828" s="29" t="s">
        <v>1550</v>
      </c>
      <c r="N1828" s="29" t="s">
        <v>1045</v>
      </c>
      <c r="O1828" s="29" t="s">
        <v>594</v>
      </c>
    </row>
    <row r="1829" spans="1:15">
      <c r="A1829" s="25">
        <v>19580</v>
      </c>
      <c r="B1829" s="26" t="s">
        <v>915</v>
      </c>
      <c r="C1829" s="27" t="s">
        <v>521</v>
      </c>
      <c r="D1829" s="27" t="s">
        <v>3131</v>
      </c>
      <c r="E1829" s="28">
        <v>42472</v>
      </c>
      <c r="F1829" s="28" t="s">
        <v>35</v>
      </c>
      <c r="G1829" s="28" t="s">
        <v>35</v>
      </c>
      <c r="H1829" s="27" t="s">
        <v>560</v>
      </c>
      <c r="I1829" s="27" t="s">
        <v>560</v>
      </c>
      <c r="J1829" s="29" t="s">
        <v>2130</v>
      </c>
      <c r="K1829" s="29" t="s">
        <v>2131</v>
      </c>
      <c r="L1829" s="29" t="s">
        <v>3125</v>
      </c>
      <c r="M1829" s="29" t="s">
        <v>2110</v>
      </c>
      <c r="N1829" s="29" t="s">
        <v>1434</v>
      </c>
      <c r="O1829" s="29" t="s">
        <v>594</v>
      </c>
    </row>
    <row r="1830" spans="1:15">
      <c r="A1830" s="25">
        <v>20774</v>
      </c>
      <c r="B1830" s="26" t="s">
        <v>3132</v>
      </c>
      <c r="C1830" s="27" t="s">
        <v>521</v>
      </c>
      <c r="D1830" s="27" t="s">
        <v>815</v>
      </c>
      <c r="E1830" s="28">
        <v>42642</v>
      </c>
      <c r="F1830" s="28">
        <v>43132</v>
      </c>
      <c r="G1830" s="28">
        <v>43496</v>
      </c>
      <c r="H1830" s="27" t="s">
        <v>560</v>
      </c>
      <c r="I1830" s="29" t="s">
        <v>560</v>
      </c>
      <c r="J1830" s="29" t="s">
        <v>2130</v>
      </c>
      <c r="K1830" s="29" t="s">
        <v>2131</v>
      </c>
      <c r="L1830" s="29" t="s">
        <v>3125</v>
      </c>
      <c r="M1830" s="29" t="s">
        <v>2280</v>
      </c>
      <c r="N1830" s="29" t="s">
        <v>1434</v>
      </c>
      <c r="O1830" s="29" t="s">
        <v>594</v>
      </c>
    </row>
    <row r="1831" spans="1:15">
      <c r="A1831" s="25">
        <v>20942</v>
      </c>
      <c r="B1831" s="26" t="s">
        <v>3133</v>
      </c>
      <c r="C1831" s="27" t="s">
        <v>521</v>
      </c>
      <c r="D1831" s="27" t="s">
        <v>1149</v>
      </c>
      <c r="E1831" s="28">
        <v>42667</v>
      </c>
      <c r="F1831" s="28">
        <v>43160</v>
      </c>
      <c r="G1831" s="28">
        <v>43524</v>
      </c>
      <c r="H1831" s="27" t="s">
        <v>560</v>
      </c>
      <c r="I1831" s="29" t="s">
        <v>560</v>
      </c>
      <c r="J1831" s="29" t="s">
        <v>2130</v>
      </c>
      <c r="K1831" s="29" t="s">
        <v>2131</v>
      </c>
      <c r="L1831" s="29" t="s">
        <v>3125</v>
      </c>
      <c r="M1831" s="29" t="s">
        <v>2055</v>
      </c>
      <c r="N1831" s="29" t="s">
        <v>1434</v>
      </c>
      <c r="O1831" s="29" t="s">
        <v>594</v>
      </c>
    </row>
    <row r="1832" spans="1:15">
      <c r="A1832" s="25">
        <v>21815</v>
      </c>
      <c r="B1832" s="34" t="s">
        <v>3134</v>
      </c>
      <c r="C1832" s="31" t="s">
        <v>521</v>
      </c>
      <c r="D1832" s="31" t="s">
        <v>732</v>
      </c>
      <c r="E1832" s="28">
        <v>43098</v>
      </c>
      <c r="F1832" s="28">
        <v>43129</v>
      </c>
      <c r="G1832" s="28">
        <v>43496</v>
      </c>
      <c r="H1832" s="29" t="s">
        <v>560</v>
      </c>
      <c r="I1832" s="29" t="s">
        <v>560</v>
      </c>
      <c r="J1832" s="29" t="s">
        <v>2130</v>
      </c>
      <c r="K1832" s="29" t="s">
        <v>2131</v>
      </c>
      <c r="L1832" s="29" t="s">
        <v>3125</v>
      </c>
      <c r="M1832" s="29" t="s">
        <v>2222</v>
      </c>
      <c r="N1832" s="29" t="s">
        <v>1586</v>
      </c>
      <c r="O1832" s="29" t="s">
        <v>594</v>
      </c>
    </row>
    <row r="1833" spans="1:15">
      <c r="A1833" s="25">
        <v>21938</v>
      </c>
      <c r="B1833" s="34" t="s">
        <v>3135</v>
      </c>
      <c r="C1833" s="31" t="s">
        <v>521</v>
      </c>
      <c r="D1833" s="31" t="s">
        <v>1573</v>
      </c>
      <c r="E1833" s="28">
        <v>43116</v>
      </c>
      <c r="F1833" s="28">
        <v>43147</v>
      </c>
      <c r="G1833" s="28">
        <v>43524</v>
      </c>
      <c r="H1833" s="29" t="s">
        <v>560</v>
      </c>
      <c r="I1833" s="29" t="s">
        <v>560</v>
      </c>
      <c r="J1833" s="29" t="s">
        <v>2130</v>
      </c>
      <c r="K1833" s="29" t="s">
        <v>2131</v>
      </c>
      <c r="L1833" s="29" t="s">
        <v>3125</v>
      </c>
      <c r="M1833" s="29" t="s">
        <v>2065</v>
      </c>
      <c r="N1833" s="29" t="s">
        <v>2041</v>
      </c>
      <c r="O1833" s="29" t="s">
        <v>594</v>
      </c>
    </row>
    <row r="1834" spans="1:15">
      <c r="A1834" s="25">
        <v>22015</v>
      </c>
      <c r="B1834" s="34" t="s">
        <v>3136</v>
      </c>
      <c r="C1834" s="31" t="s">
        <v>521</v>
      </c>
      <c r="D1834" s="31" t="s">
        <v>631</v>
      </c>
      <c r="E1834" s="28">
        <v>43144</v>
      </c>
      <c r="F1834" s="28">
        <v>43172</v>
      </c>
      <c r="G1834" s="28">
        <v>43524</v>
      </c>
      <c r="H1834" s="29" t="s">
        <v>560</v>
      </c>
      <c r="I1834" s="29" t="s">
        <v>560</v>
      </c>
      <c r="J1834" s="29" t="s">
        <v>2130</v>
      </c>
      <c r="K1834" s="29" t="s">
        <v>2131</v>
      </c>
      <c r="L1834" s="29" t="s">
        <v>3125</v>
      </c>
      <c r="M1834" s="29" t="s">
        <v>2120</v>
      </c>
      <c r="N1834" s="29" t="s">
        <v>1434</v>
      </c>
      <c r="O1834" s="29" t="s">
        <v>594</v>
      </c>
    </row>
    <row r="1835" spans="1:15">
      <c r="A1835" s="25">
        <v>22119</v>
      </c>
      <c r="B1835" s="34" t="s">
        <v>3137</v>
      </c>
      <c r="C1835" s="31" t="s">
        <v>521</v>
      </c>
      <c r="D1835" s="31" t="s">
        <v>758</v>
      </c>
      <c r="E1835" s="28">
        <v>43153</v>
      </c>
      <c r="F1835" s="28">
        <v>43181</v>
      </c>
      <c r="G1835" s="28">
        <v>43555</v>
      </c>
      <c r="H1835" s="29" t="s">
        <v>560</v>
      </c>
      <c r="I1835" s="29" t="s">
        <v>560</v>
      </c>
      <c r="J1835" s="29" t="s">
        <v>2130</v>
      </c>
      <c r="K1835" s="29" t="s">
        <v>2131</v>
      </c>
      <c r="L1835" s="29" t="s">
        <v>3125</v>
      </c>
      <c r="M1835" s="29" t="s">
        <v>2293</v>
      </c>
      <c r="N1835" s="29" t="s">
        <v>1434</v>
      </c>
      <c r="O1835" s="29" t="s">
        <v>594</v>
      </c>
    </row>
    <row r="1836" spans="1:15">
      <c r="A1836" s="25">
        <v>22624</v>
      </c>
      <c r="B1836" s="34" t="s">
        <v>3138</v>
      </c>
      <c r="C1836" s="31" t="s">
        <v>521</v>
      </c>
      <c r="D1836" s="31" t="s">
        <v>745</v>
      </c>
      <c r="E1836" s="28">
        <v>43236</v>
      </c>
      <c r="F1836" s="28">
        <v>43267</v>
      </c>
      <c r="G1836" s="28">
        <v>43646</v>
      </c>
      <c r="H1836" s="29" t="s">
        <v>560</v>
      </c>
      <c r="I1836" s="29" t="s">
        <v>560</v>
      </c>
      <c r="J1836" s="29" t="s">
        <v>2130</v>
      </c>
      <c r="K1836" s="29" t="s">
        <v>2131</v>
      </c>
      <c r="L1836" s="29" t="s">
        <v>3125</v>
      </c>
      <c r="M1836" s="29" t="s">
        <v>2068</v>
      </c>
      <c r="N1836" s="29" t="s">
        <v>1434</v>
      </c>
      <c r="O1836" s="29" t="s">
        <v>594</v>
      </c>
    </row>
    <row r="1837" spans="1:15">
      <c r="A1837" s="25">
        <v>22634</v>
      </c>
      <c r="B1837" s="34" t="s">
        <v>3139</v>
      </c>
      <c r="C1837" s="31" t="s">
        <v>521</v>
      </c>
      <c r="D1837" s="31" t="s">
        <v>745</v>
      </c>
      <c r="E1837" s="28">
        <v>43236</v>
      </c>
      <c r="F1837" s="28">
        <v>43267</v>
      </c>
      <c r="G1837" s="28">
        <v>43646</v>
      </c>
      <c r="H1837" s="29" t="s">
        <v>560</v>
      </c>
      <c r="I1837" s="29" t="s">
        <v>560</v>
      </c>
      <c r="J1837" s="29" t="s">
        <v>2130</v>
      </c>
      <c r="K1837" s="29" t="s">
        <v>2131</v>
      </c>
      <c r="L1837" s="29" t="s">
        <v>3125</v>
      </c>
      <c r="M1837" s="29" t="s">
        <v>2227</v>
      </c>
      <c r="N1837" s="29" t="s">
        <v>1434</v>
      </c>
      <c r="O1837" s="29" t="s">
        <v>594</v>
      </c>
    </row>
    <row r="1838" spans="1:15">
      <c r="A1838" s="25">
        <v>22863</v>
      </c>
      <c r="B1838" s="34" t="s">
        <v>3140</v>
      </c>
      <c r="C1838" s="31" t="s">
        <v>521</v>
      </c>
      <c r="D1838" s="31" t="s">
        <v>775</v>
      </c>
      <c r="E1838" s="28">
        <v>43333</v>
      </c>
      <c r="F1838" s="28">
        <v>43364</v>
      </c>
      <c r="G1838" s="28">
        <v>43738</v>
      </c>
      <c r="H1838" s="29" t="s">
        <v>560</v>
      </c>
      <c r="I1838" s="29" t="s">
        <v>560</v>
      </c>
      <c r="J1838" s="29" t="s">
        <v>2130</v>
      </c>
      <c r="K1838" s="29" t="s">
        <v>2131</v>
      </c>
      <c r="L1838" s="29" t="s">
        <v>3125</v>
      </c>
      <c r="M1838" s="29" t="s">
        <v>2080</v>
      </c>
      <c r="N1838" s="29" t="s">
        <v>2080</v>
      </c>
      <c r="O1838" s="29" t="s">
        <v>594</v>
      </c>
    </row>
    <row r="1839" spans="1:15">
      <c r="A1839" s="25">
        <v>23121</v>
      </c>
      <c r="B1839" s="34" t="s">
        <v>3141</v>
      </c>
      <c r="C1839" s="31" t="s">
        <v>521</v>
      </c>
      <c r="D1839" s="31" t="s">
        <v>1523</v>
      </c>
      <c r="E1839" s="28">
        <v>43369</v>
      </c>
      <c r="F1839" s="28">
        <v>43399</v>
      </c>
      <c r="G1839" s="28">
        <v>43769</v>
      </c>
      <c r="H1839" s="29" t="s">
        <v>560</v>
      </c>
      <c r="I1839" s="29" t="s">
        <v>560</v>
      </c>
      <c r="J1839" s="29" t="s">
        <v>2130</v>
      </c>
      <c r="K1839" s="29" t="s">
        <v>2131</v>
      </c>
      <c r="L1839" s="29" t="s">
        <v>3125</v>
      </c>
      <c r="M1839" s="29" t="s">
        <v>2057</v>
      </c>
      <c r="N1839" s="29" t="s">
        <v>2041</v>
      </c>
      <c r="O1839" s="29" t="s">
        <v>594</v>
      </c>
    </row>
    <row r="1840" spans="1:15">
      <c r="A1840" s="25">
        <v>23382</v>
      </c>
      <c r="B1840" s="34" t="s">
        <v>3142</v>
      </c>
      <c r="C1840" s="31" t="s">
        <v>521</v>
      </c>
      <c r="D1840" s="31" t="s">
        <v>1527</v>
      </c>
      <c r="E1840" s="28">
        <v>43427</v>
      </c>
      <c r="F1840" s="28">
        <v>43457</v>
      </c>
      <c r="G1840" s="28">
        <v>43830</v>
      </c>
      <c r="H1840" s="29" t="s">
        <v>560</v>
      </c>
      <c r="I1840" s="29" t="s">
        <v>560</v>
      </c>
      <c r="J1840" s="29" t="s">
        <v>2130</v>
      </c>
      <c r="K1840" s="29" t="s">
        <v>2131</v>
      </c>
      <c r="L1840" s="29" t="s">
        <v>3125</v>
      </c>
      <c r="M1840" s="29" t="s">
        <v>3143</v>
      </c>
      <c r="N1840" s="29" t="s">
        <v>1586</v>
      </c>
      <c r="O1840" s="29" t="s">
        <v>594</v>
      </c>
    </row>
    <row r="1841" spans="1:15">
      <c r="A1841" s="25">
        <v>23417</v>
      </c>
      <c r="B1841" s="34" t="s">
        <v>3144</v>
      </c>
      <c r="C1841" s="31" t="s">
        <v>521</v>
      </c>
      <c r="D1841" s="31" t="s">
        <v>882</v>
      </c>
      <c r="E1841" s="28">
        <v>43434</v>
      </c>
      <c r="F1841" s="28">
        <v>43464</v>
      </c>
      <c r="G1841" s="28">
        <v>43830</v>
      </c>
      <c r="H1841" s="29" t="s">
        <v>560</v>
      </c>
      <c r="I1841" s="29" t="s">
        <v>560</v>
      </c>
      <c r="J1841" s="29" t="s">
        <v>2130</v>
      </c>
      <c r="K1841" s="29" t="s">
        <v>2131</v>
      </c>
      <c r="L1841" s="29" t="s">
        <v>3125</v>
      </c>
      <c r="M1841" s="29" t="s">
        <v>2227</v>
      </c>
      <c r="N1841" s="29" t="s">
        <v>1434</v>
      </c>
      <c r="O1841" s="29" t="s">
        <v>594</v>
      </c>
    </row>
    <row r="1842" spans="1:15">
      <c r="A1842" s="25">
        <v>23423</v>
      </c>
      <c r="B1842" s="34" t="s">
        <v>3145</v>
      </c>
      <c r="C1842" s="31" t="s">
        <v>521</v>
      </c>
      <c r="D1842" s="31" t="s">
        <v>882</v>
      </c>
      <c r="E1842" s="28">
        <v>43434</v>
      </c>
      <c r="F1842" s="28">
        <v>43464</v>
      </c>
      <c r="G1842" s="28">
        <v>43830</v>
      </c>
      <c r="H1842" s="29" t="s">
        <v>560</v>
      </c>
      <c r="I1842" s="29" t="s">
        <v>560</v>
      </c>
      <c r="J1842" s="29" t="s">
        <v>2130</v>
      </c>
      <c r="K1842" s="29" t="s">
        <v>2131</v>
      </c>
      <c r="L1842" s="29" t="s">
        <v>3125</v>
      </c>
      <c r="M1842" s="29" t="s">
        <v>2502</v>
      </c>
      <c r="N1842" s="29" t="s">
        <v>1586</v>
      </c>
      <c r="O1842" s="29" t="s">
        <v>594</v>
      </c>
    </row>
    <row r="1843" spans="1:15">
      <c r="A1843" s="25">
        <v>23449</v>
      </c>
      <c r="B1843" s="34" t="s">
        <v>3146</v>
      </c>
      <c r="C1843" s="31" t="s">
        <v>521</v>
      </c>
      <c r="D1843" s="31" t="s">
        <v>882</v>
      </c>
      <c r="E1843" s="28">
        <v>43434</v>
      </c>
      <c r="F1843" s="28">
        <v>43464</v>
      </c>
      <c r="G1843" s="28">
        <v>43830</v>
      </c>
      <c r="H1843" s="29" t="s">
        <v>560</v>
      </c>
      <c r="I1843" s="29" t="s">
        <v>560</v>
      </c>
      <c r="J1843" s="29" t="s">
        <v>2130</v>
      </c>
      <c r="K1843" s="29" t="s">
        <v>2131</v>
      </c>
      <c r="L1843" s="29" t="s">
        <v>3125</v>
      </c>
      <c r="M1843" s="29" t="s">
        <v>1593</v>
      </c>
      <c r="N1843" s="29" t="s">
        <v>1586</v>
      </c>
      <c r="O1843" s="29" t="s">
        <v>594</v>
      </c>
    </row>
    <row r="1844" spans="1:15">
      <c r="A1844" s="25">
        <v>23499</v>
      </c>
      <c r="B1844" s="34" t="s">
        <v>3147</v>
      </c>
      <c r="C1844" s="31" t="s">
        <v>521</v>
      </c>
      <c r="D1844" s="31" t="s">
        <v>1588</v>
      </c>
      <c r="E1844" s="28">
        <v>43441</v>
      </c>
      <c r="F1844" s="28">
        <v>43472</v>
      </c>
      <c r="G1844" s="28">
        <v>43830</v>
      </c>
      <c r="H1844" s="29" t="s">
        <v>560</v>
      </c>
      <c r="I1844" s="29" t="s">
        <v>560</v>
      </c>
      <c r="J1844" s="29" t="s">
        <v>2130</v>
      </c>
      <c r="K1844" s="29" t="s">
        <v>2131</v>
      </c>
      <c r="L1844" s="29" t="s">
        <v>3125</v>
      </c>
      <c r="M1844" s="29" t="s">
        <v>2206</v>
      </c>
      <c r="N1844" s="29" t="s">
        <v>1586</v>
      </c>
      <c r="O1844" s="29" t="s">
        <v>594</v>
      </c>
    </row>
    <row r="1845" spans="1:15">
      <c r="A1845" s="25" t="s">
        <v>3148</v>
      </c>
      <c r="B1845" s="26" t="s">
        <v>3149</v>
      </c>
      <c r="C1845" s="27" t="s">
        <v>521</v>
      </c>
      <c r="D1845" s="27" t="s">
        <v>3150</v>
      </c>
      <c r="E1845" s="28">
        <v>40868</v>
      </c>
      <c r="F1845" s="28" t="s">
        <v>35</v>
      </c>
      <c r="G1845" s="28" t="s">
        <v>35</v>
      </c>
      <c r="H1845" s="27" t="s">
        <v>560</v>
      </c>
      <c r="I1845" s="27" t="s">
        <v>560</v>
      </c>
      <c r="J1845" s="29" t="s">
        <v>2130</v>
      </c>
      <c r="K1845" s="29" t="s">
        <v>2131</v>
      </c>
      <c r="L1845" s="29" t="s">
        <v>3125</v>
      </c>
      <c r="M1845" s="29" t="s">
        <v>2025</v>
      </c>
      <c r="N1845" s="29" t="s">
        <v>2026</v>
      </c>
      <c r="O1845" s="29" t="s">
        <v>594</v>
      </c>
    </row>
    <row r="1846" spans="1:15">
      <c r="A1846" s="25" t="s">
        <v>3151</v>
      </c>
      <c r="B1846" s="26" t="s">
        <v>3152</v>
      </c>
      <c r="C1846" s="27" t="s">
        <v>521</v>
      </c>
      <c r="D1846" s="27" t="s">
        <v>3153</v>
      </c>
      <c r="E1846" s="28">
        <v>42390</v>
      </c>
      <c r="F1846" s="28" t="s">
        <v>35</v>
      </c>
      <c r="G1846" s="28" t="s">
        <v>35</v>
      </c>
      <c r="H1846" s="27" t="s">
        <v>560</v>
      </c>
      <c r="I1846" s="29" t="s">
        <v>560</v>
      </c>
      <c r="J1846" s="29" t="s">
        <v>2130</v>
      </c>
      <c r="K1846" s="29" t="s">
        <v>2131</v>
      </c>
      <c r="L1846" s="29" t="s">
        <v>3125</v>
      </c>
      <c r="M1846" s="29" t="s">
        <v>2061</v>
      </c>
      <c r="N1846" s="29" t="s">
        <v>2041</v>
      </c>
      <c r="O1846" s="29" t="s">
        <v>594</v>
      </c>
    </row>
    <row r="1847" spans="1:15">
      <c r="A1847" s="25">
        <v>23579</v>
      </c>
      <c r="B1847" s="34" t="s">
        <v>3154</v>
      </c>
      <c r="C1847" s="31" t="s">
        <v>521</v>
      </c>
      <c r="D1847" s="31" t="s">
        <v>884</v>
      </c>
      <c r="E1847" s="28">
        <v>43452</v>
      </c>
      <c r="F1847" s="28">
        <v>43483</v>
      </c>
      <c r="G1847" s="28">
        <v>43861</v>
      </c>
      <c r="H1847" s="29" t="s">
        <v>560</v>
      </c>
      <c r="I1847" s="29" t="s">
        <v>560</v>
      </c>
      <c r="J1847" s="29" t="s">
        <v>2130</v>
      </c>
      <c r="K1847" s="29" t="s">
        <v>2131</v>
      </c>
      <c r="L1847" s="29" t="s">
        <v>3125</v>
      </c>
      <c r="M1847" s="29" t="s">
        <v>2167</v>
      </c>
      <c r="N1847" s="29" t="s">
        <v>1586</v>
      </c>
      <c r="O1847" s="29" t="s">
        <v>594</v>
      </c>
    </row>
    <row r="1848" spans="1:15">
      <c r="A1848" s="25" t="s">
        <v>81</v>
      </c>
      <c r="B1848" s="34" t="s">
        <v>82</v>
      </c>
      <c r="C1848" s="31" t="s">
        <v>521</v>
      </c>
      <c r="D1848" s="31" t="s">
        <v>668</v>
      </c>
      <c r="E1848" s="28">
        <v>40826</v>
      </c>
      <c r="F1848" s="28" t="s">
        <v>35</v>
      </c>
      <c r="G1848" s="28" t="s">
        <v>35</v>
      </c>
      <c r="H1848" s="29" t="s">
        <v>560</v>
      </c>
      <c r="I1848" s="29" t="s">
        <v>560</v>
      </c>
      <c r="J1848" s="29" t="s">
        <v>2130</v>
      </c>
      <c r="K1848" s="29" t="s">
        <v>2131</v>
      </c>
      <c r="L1848" s="29" t="s">
        <v>3125</v>
      </c>
      <c r="M1848" s="29" t="s">
        <v>35</v>
      </c>
      <c r="N1848" s="29" t="s">
        <v>659</v>
      </c>
      <c r="O1848" s="29" t="s">
        <v>528</v>
      </c>
    </row>
    <row r="1849" spans="1:15">
      <c r="A1849" s="25">
        <v>903</v>
      </c>
      <c r="B1849" s="26" t="s">
        <v>3155</v>
      </c>
      <c r="C1849" s="27" t="s">
        <v>521</v>
      </c>
      <c r="D1849" s="27" t="s">
        <v>754</v>
      </c>
      <c r="E1849" s="28">
        <v>37858</v>
      </c>
      <c r="F1849" s="28" t="s">
        <v>35</v>
      </c>
      <c r="G1849" s="28" t="s">
        <v>35</v>
      </c>
      <c r="H1849" s="27" t="s">
        <v>560</v>
      </c>
      <c r="I1849" s="27" t="s">
        <v>560</v>
      </c>
      <c r="J1849" s="29" t="s">
        <v>1825</v>
      </c>
      <c r="K1849" s="29" t="s">
        <v>3156</v>
      </c>
      <c r="L1849" s="29" t="s">
        <v>3157</v>
      </c>
      <c r="M1849" s="29" t="s">
        <v>3158</v>
      </c>
      <c r="N1849" s="29" t="s">
        <v>1434</v>
      </c>
      <c r="O1849" s="29" t="s">
        <v>594</v>
      </c>
    </row>
    <row r="1850" spans="1:15">
      <c r="A1850" s="25">
        <v>5802</v>
      </c>
      <c r="B1850" s="34" t="s">
        <v>3159</v>
      </c>
      <c r="C1850" s="31" t="s">
        <v>521</v>
      </c>
      <c r="D1850" s="31" t="s">
        <v>794</v>
      </c>
      <c r="E1850" s="28">
        <v>39114</v>
      </c>
      <c r="F1850" s="28" t="s">
        <v>35</v>
      </c>
      <c r="G1850" s="28" t="s">
        <v>35</v>
      </c>
      <c r="H1850" s="29" t="s">
        <v>560</v>
      </c>
      <c r="I1850" s="29" t="s">
        <v>560</v>
      </c>
      <c r="J1850" s="29" t="s">
        <v>1825</v>
      </c>
      <c r="K1850" s="29" t="s">
        <v>3156</v>
      </c>
      <c r="L1850" s="29" t="s">
        <v>3157</v>
      </c>
      <c r="M1850" s="29" t="s">
        <v>2043</v>
      </c>
      <c r="N1850" s="29" t="s">
        <v>2041</v>
      </c>
      <c r="O1850" s="29" t="s">
        <v>594</v>
      </c>
    </row>
    <row r="1851" spans="1:15">
      <c r="A1851" s="25">
        <v>6070</v>
      </c>
      <c r="B1851" s="26" t="s">
        <v>3160</v>
      </c>
      <c r="C1851" s="27" t="s">
        <v>521</v>
      </c>
      <c r="D1851" s="27" t="s">
        <v>591</v>
      </c>
      <c r="E1851" s="28">
        <v>39142</v>
      </c>
      <c r="F1851" s="28" t="s">
        <v>35</v>
      </c>
      <c r="G1851" s="28" t="s">
        <v>35</v>
      </c>
      <c r="H1851" s="29" t="s">
        <v>560</v>
      </c>
      <c r="I1851" s="29" t="s">
        <v>560</v>
      </c>
      <c r="J1851" s="29" t="s">
        <v>1825</v>
      </c>
      <c r="K1851" s="29" t="s">
        <v>3156</v>
      </c>
      <c r="L1851" s="29" t="s">
        <v>3157</v>
      </c>
      <c r="M1851" s="29" t="s">
        <v>2215</v>
      </c>
      <c r="N1851" s="29" t="s">
        <v>1434</v>
      </c>
      <c r="O1851" s="29" t="s">
        <v>594</v>
      </c>
    </row>
    <row r="1852" spans="1:15">
      <c r="A1852" s="25">
        <v>6358</v>
      </c>
      <c r="B1852" s="26" t="s">
        <v>3161</v>
      </c>
      <c r="C1852" s="27" t="s">
        <v>521</v>
      </c>
      <c r="D1852" s="27" t="s">
        <v>1181</v>
      </c>
      <c r="E1852" s="28">
        <v>39279</v>
      </c>
      <c r="F1852" s="28" t="s">
        <v>35</v>
      </c>
      <c r="G1852" s="28" t="s">
        <v>35</v>
      </c>
      <c r="H1852" s="29" t="s">
        <v>560</v>
      </c>
      <c r="I1852" s="29" t="s">
        <v>560</v>
      </c>
      <c r="J1852" s="29" t="s">
        <v>1825</v>
      </c>
      <c r="K1852" s="29" t="s">
        <v>3156</v>
      </c>
      <c r="L1852" s="29" t="s">
        <v>3157</v>
      </c>
      <c r="M1852" s="29" t="s">
        <v>3162</v>
      </c>
      <c r="N1852" s="29" t="s">
        <v>1586</v>
      </c>
      <c r="O1852" s="29" t="s">
        <v>594</v>
      </c>
    </row>
    <row r="1853" spans="1:15">
      <c r="A1853" s="25">
        <v>8677</v>
      </c>
      <c r="B1853" s="26" t="s">
        <v>3163</v>
      </c>
      <c r="C1853" s="27" t="s">
        <v>521</v>
      </c>
      <c r="D1853" s="27" t="s">
        <v>1493</v>
      </c>
      <c r="E1853" s="28">
        <v>39878</v>
      </c>
      <c r="F1853" s="28" t="s">
        <v>35</v>
      </c>
      <c r="G1853" s="28" t="s">
        <v>35</v>
      </c>
      <c r="H1853" s="27" t="s">
        <v>560</v>
      </c>
      <c r="I1853" s="27" t="s">
        <v>560</v>
      </c>
      <c r="J1853" s="29" t="s">
        <v>1825</v>
      </c>
      <c r="K1853" s="29" t="s">
        <v>3156</v>
      </c>
      <c r="L1853" s="29" t="s">
        <v>3157</v>
      </c>
      <c r="M1853" s="29" t="s">
        <v>1550</v>
      </c>
      <c r="N1853" s="29" t="s">
        <v>1045</v>
      </c>
      <c r="O1853" s="29" t="s">
        <v>594</v>
      </c>
    </row>
    <row r="1854" spans="1:15">
      <c r="A1854" s="25">
        <v>10587</v>
      </c>
      <c r="B1854" s="26" t="s">
        <v>3164</v>
      </c>
      <c r="C1854" s="27" t="s">
        <v>521</v>
      </c>
      <c r="D1854" s="27" t="s">
        <v>602</v>
      </c>
      <c r="E1854" s="28">
        <v>40544</v>
      </c>
      <c r="F1854" s="28" t="s">
        <v>35</v>
      </c>
      <c r="G1854" s="28" t="s">
        <v>35</v>
      </c>
      <c r="H1854" s="29" t="s">
        <v>560</v>
      </c>
      <c r="I1854" s="29" t="s">
        <v>560</v>
      </c>
      <c r="J1854" s="29" t="s">
        <v>1825</v>
      </c>
      <c r="K1854" s="29" t="s">
        <v>3156</v>
      </c>
      <c r="L1854" s="29" t="s">
        <v>3157</v>
      </c>
      <c r="M1854" s="29" t="s">
        <v>1550</v>
      </c>
      <c r="N1854" s="29" t="s">
        <v>1045</v>
      </c>
      <c r="O1854" s="29" t="s">
        <v>594</v>
      </c>
    </row>
    <row r="1855" spans="1:15">
      <c r="A1855" s="25">
        <v>11531</v>
      </c>
      <c r="B1855" s="26" t="s">
        <v>3165</v>
      </c>
      <c r="C1855" s="27" t="s">
        <v>521</v>
      </c>
      <c r="D1855" s="27" t="s">
        <v>841</v>
      </c>
      <c r="E1855" s="28">
        <v>40707</v>
      </c>
      <c r="F1855" s="28" t="s">
        <v>35</v>
      </c>
      <c r="G1855" s="28" t="s">
        <v>35</v>
      </c>
      <c r="H1855" s="27" t="s">
        <v>560</v>
      </c>
      <c r="I1855" s="27" t="s">
        <v>560</v>
      </c>
      <c r="J1855" s="29" t="s">
        <v>1825</v>
      </c>
      <c r="K1855" s="29" t="s">
        <v>3156</v>
      </c>
      <c r="L1855" s="29" t="s">
        <v>3157</v>
      </c>
      <c r="M1855" s="29" t="s">
        <v>3166</v>
      </c>
      <c r="N1855" s="29" t="s">
        <v>1434</v>
      </c>
      <c r="O1855" s="29" t="s">
        <v>594</v>
      </c>
    </row>
    <row r="1856" spans="1:15">
      <c r="A1856" s="25">
        <v>12336</v>
      </c>
      <c r="B1856" s="26" t="s">
        <v>414</v>
      </c>
      <c r="C1856" s="27" t="s">
        <v>521</v>
      </c>
      <c r="D1856" s="27" t="s">
        <v>817</v>
      </c>
      <c r="E1856" s="28">
        <v>40805</v>
      </c>
      <c r="F1856" s="28" t="s">
        <v>35</v>
      </c>
      <c r="G1856" s="28" t="s">
        <v>35</v>
      </c>
      <c r="H1856" s="29" t="s">
        <v>560</v>
      </c>
      <c r="I1856" s="29" t="s">
        <v>560</v>
      </c>
      <c r="J1856" s="29" t="s">
        <v>1825</v>
      </c>
      <c r="K1856" s="29" t="s">
        <v>3156</v>
      </c>
      <c r="L1856" s="29" t="s">
        <v>3157</v>
      </c>
      <c r="M1856" s="29" t="s">
        <v>3167</v>
      </c>
      <c r="N1856" s="29" t="s">
        <v>1586</v>
      </c>
      <c r="O1856" s="29" t="s">
        <v>594</v>
      </c>
    </row>
    <row r="1857" spans="1:15">
      <c r="A1857" s="25">
        <v>12699</v>
      </c>
      <c r="B1857" s="34" t="s">
        <v>405</v>
      </c>
      <c r="C1857" s="31" t="s">
        <v>521</v>
      </c>
      <c r="D1857" s="31" t="s">
        <v>1739</v>
      </c>
      <c r="E1857" s="28">
        <v>40819</v>
      </c>
      <c r="F1857" s="28" t="s">
        <v>35</v>
      </c>
      <c r="G1857" s="28" t="s">
        <v>35</v>
      </c>
      <c r="H1857" s="29" t="s">
        <v>560</v>
      </c>
      <c r="I1857" s="29" t="s">
        <v>560</v>
      </c>
      <c r="J1857" s="29" t="s">
        <v>1825</v>
      </c>
      <c r="K1857" s="29" t="s">
        <v>3156</v>
      </c>
      <c r="L1857" s="29" t="s">
        <v>3157</v>
      </c>
      <c r="M1857" s="29" t="s">
        <v>2700</v>
      </c>
      <c r="N1857" s="29" t="s">
        <v>1434</v>
      </c>
      <c r="O1857" s="29" t="s">
        <v>594</v>
      </c>
    </row>
    <row r="1858" spans="1:15">
      <c r="A1858" s="25">
        <v>13439</v>
      </c>
      <c r="B1858" s="26" t="s">
        <v>3168</v>
      </c>
      <c r="C1858" s="27" t="s">
        <v>521</v>
      </c>
      <c r="D1858" s="27" t="s">
        <v>3169</v>
      </c>
      <c r="E1858" s="28">
        <v>40938</v>
      </c>
      <c r="F1858" s="28" t="s">
        <v>35</v>
      </c>
      <c r="G1858" s="28" t="s">
        <v>35</v>
      </c>
      <c r="H1858" s="27" t="s">
        <v>560</v>
      </c>
      <c r="I1858" s="27" t="s">
        <v>560</v>
      </c>
      <c r="J1858" s="29" t="s">
        <v>1825</v>
      </c>
      <c r="K1858" s="29" t="s">
        <v>3156</v>
      </c>
      <c r="L1858" s="29" t="s">
        <v>3157</v>
      </c>
      <c r="M1858" s="29" t="s">
        <v>2366</v>
      </c>
      <c r="N1858" s="29" t="s">
        <v>2023</v>
      </c>
      <c r="O1858" s="29" t="s">
        <v>594</v>
      </c>
    </row>
    <row r="1859" spans="1:15">
      <c r="A1859" s="25">
        <v>20455</v>
      </c>
      <c r="B1859" s="26" t="s">
        <v>3170</v>
      </c>
      <c r="C1859" s="27" t="s">
        <v>521</v>
      </c>
      <c r="D1859" s="27" t="s">
        <v>1644</v>
      </c>
      <c r="E1859" s="28">
        <v>42634</v>
      </c>
      <c r="F1859" s="28">
        <v>43132</v>
      </c>
      <c r="G1859" s="28">
        <v>43496</v>
      </c>
      <c r="H1859" s="25" t="s">
        <v>560</v>
      </c>
      <c r="I1859" s="27" t="s">
        <v>560</v>
      </c>
      <c r="J1859" s="29" t="s">
        <v>1825</v>
      </c>
      <c r="K1859" s="29" t="s">
        <v>3156</v>
      </c>
      <c r="L1859" s="29" t="s">
        <v>3157</v>
      </c>
      <c r="M1859" s="29" t="s">
        <v>2052</v>
      </c>
      <c r="N1859" s="29" t="s">
        <v>2041</v>
      </c>
      <c r="O1859" s="29" t="s">
        <v>594</v>
      </c>
    </row>
    <row r="1860" spans="1:15">
      <c r="A1860" s="25">
        <v>20469</v>
      </c>
      <c r="B1860" s="26" t="s">
        <v>3171</v>
      </c>
      <c r="C1860" s="27" t="s">
        <v>521</v>
      </c>
      <c r="D1860" s="27" t="s">
        <v>1644</v>
      </c>
      <c r="E1860" s="28">
        <v>42634</v>
      </c>
      <c r="F1860" s="28">
        <v>43132</v>
      </c>
      <c r="G1860" s="28">
        <v>43496</v>
      </c>
      <c r="H1860" s="25" t="s">
        <v>560</v>
      </c>
      <c r="I1860" s="27" t="s">
        <v>560</v>
      </c>
      <c r="J1860" s="29" t="s">
        <v>1825</v>
      </c>
      <c r="K1860" s="29" t="s">
        <v>3156</v>
      </c>
      <c r="L1860" s="29" t="s">
        <v>3157</v>
      </c>
      <c r="M1860" s="29" t="s">
        <v>2085</v>
      </c>
      <c r="N1860" s="29" t="s">
        <v>1434</v>
      </c>
      <c r="O1860" s="29" t="s">
        <v>594</v>
      </c>
    </row>
    <row r="1861" spans="1:15">
      <c r="A1861" s="25">
        <v>20552</v>
      </c>
      <c r="B1861" s="34" t="s">
        <v>3172</v>
      </c>
      <c r="C1861" s="31" t="s">
        <v>521</v>
      </c>
      <c r="D1861" s="27" t="s">
        <v>673</v>
      </c>
      <c r="E1861" s="28">
        <v>42639</v>
      </c>
      <c r="F1861" s="28">
        <v>43132</v>
      </c>
      <c r="G1861" s="28">
        <v>43496</v>
      </c>
      <c r="H1861" s="31" t="s">
        <v>560</v>
      </c>
      <c r="I1861" s="31" t="s">
        <v>560</v>
      </c>
      <c r="J1861" s="29" t="s">
        <v>1825</v>
      </c>
      <c r="K1861" s="29" t="s">
        <v>3156</v>
      </c>
      <c r="L1861" s="29" t="s">
        <v>3157</v>
      </c>
      <c r="M1861" s="29" t="s">
        <v>3173</v>
      </c>
      <c r="N1861" s="29" t="s">
        <v>1434</v>
      </c>
      <c r="O1861" s="29" t="s">
        <v>594</v>
      </c>
    </row>
    <row r="1862" spans="1:15">
      <c r="A1862" s="25">
        <v>20554</v>
      </c>
      <c r="B1862" s="26" t="s">
        <v>3174</v>
      </c>
      <c r="C1862" s="27" t="s">
        <v>521</v>
      </c>
      <c r="D1862" s="27" t="s">
        <v>673</v>
      </c>
      <c r="E1862" s="28">
        <v>42639</v>
      </c>
      <c r="F1862" s="28">
        <v>43132</v>
      </c>
      <c r="G1862" s="28">
        <v>43496</v>
      </c>
      <c r="H1862" s="25" t="s">
        <v>560</v>
      </c>
      <c r="I1862" s="25" t="s">
        <v>560</v>
      </c>
      <c r="J1862" s="29" t="s">
        <v>1825</v>
      </c>
      <c r="K1862" s="29" t="s">
        <v>3156</v>
      </c>
      <c r="L1862" s="29" t="s">
        <v>3157</v>
      </c>
      <c r="M1862" s="29" t="s">
        <v>2089</v>
      </c>
      <c r="N1862" s="29" t="s">
        <v>2090</v>
      </c>
      <c r="O1862" s="29" t="s">
        <v>594</v>
      </c>
    </row>
    <row r="1863" spans="1:15">
      <c r="A1863" s="25">
        <v>20624</v>
      </c>
      <c r="B1863" s="26" t="s">
        <v>3175</v>
      </c>
      <c r="C1863" s="27" t="s">
        <v>521</v>
      </c>
      <c r="D1863" s="27" t="s">
        <v>673</v>
      </c>
      <c r="E1863" s="28">
        <v>42639</v>
      </c>
      <c r="F1863" s="28">
        <v>43132</v>
      </c>
      <c r="G1863" s="28">
        <v>43496</v>
      </c>
      <c r="H1863" s="25" t="s">
        <v>560</v>
      </c>
      <c r="I1863" s="31" t="s">
        <v>560</v>
      </c>
      <c r="J1863" s="29" t="s">
        <v>1825</v>
      </c>
      <c r="K1863" s="29" t="s">
        <v>3156</v>
      </c>
      <c r="L1863" s="29" t="s">
        <v>3157</v>
      </c>
      <c r="M1863" s="29" t="s">
        <v>3176</v>
      </c>
      <c r="N1863" s="29" t="s">
        <v>1434</v>
      </c>
      <c r="O1863" s="29" t="s">
        <v>594</v>
      </c>
    </row>
    <row r="1864" spans="1:15">
      <c r="A1864" s="25">
        <v>20699</v>
      </c>
      <c r="B1864" s="26" t="s">
        <v>3177</v>
      </c>
      <c r="C1864" s="27" t="s">
        <v>521</v>
      </c>
      <c r="D1864" s="27" t="s">
        <v>815</v>
      </c>
      <c r="E1864" s="28">
        <v>42642</v>
      </c>
      <c r="F1864" s="28">
        <v>43132</v>
      </c>
      <c r="G1864" s="28">
        <v>43496</v>
      </c>
      <c r="H1864" s="31" t="s">
        <v>560</v>
      </c>
      <c r="I1864" s="31" t="s">
        <v>560</v>
      </c>
      <c r="J1864" s="29" t="s">
        <v>1825</v>
      </c>
      <c r="K1864" s="29" t="s">
        <v>3156</v>
      </c>
      <c r="L1864" s="29" t="s">
        <v>3157</v>
      </c>
      <c r="M1864" s="29" t="s">
        <v>2244</v>
      </c>
      <c r="N1864" s="29" t="s">
        <v>2023</v>
      </c>
      <c r="O1864" s="29" t="s">
        <v>594</v>
      </c>
    </row>
    <row r="1865" spans="1:15">
      <c r="A1865" s="25">
        <v>20739</v>
      </c>
      <c r="B1865" s="26" t="s">
        <v>68</v>
      </c>
      <c r="C1865" s="27" t="s">
        <v>521</v>
      </c>
      <c r="D1865" s="27" t="s">
        <v>815</v>
      </c>
      <c r="E1865" s="28">
        <v>42642</v>
      </c>
      <c r="F1865" s="28">
        <v>43132</v>
      </c>
      <c r="G1865" s="28">
        <v>43496</v>
      </c>
      <c r="H1865" s="25" t="s">
        <v>560</v>
      </c>
      <c r="I1865" s="25" t="s">
        <v>560</v>
      </c>
      <c r="J1865" s="29" t="s">
        <v>1825</v>
      </c>
      <c r="K1865" s="29" t="s">
        <v>3156</v>
      </c>
      <c r="L1865" s="29" t="s">
        <v>3157</v>
      </c>
      <c r="M1865" s="29" t="s">
        <v>2280</v>
      </c>
      <c r="N1865" s="29" t="s">
        <v>1434</v>
      </c>
      <c r="O1865" s="29" t="s">
        <v>594</v>
      </c>
    </row>
    <row r="1866" spans="1:15">
      <c r="A1866" s="25">
        <v>20746</v>
      </c>
      <c r="B1866" s="26" t="s">
        <v>3178</v>
      </c>
      <c r="C1866" s="27" t="s">
        <v>521</v>
      </c>
      <c r="D1866" s="27" t="s">
        <v>815</v>
      </c>
      <c r="E1866" s="28">
        <v>42642</v>
      </c>
      <c r="F1866" s="28">
        <v>43132</v>
      </c>
      <c r="G1866" s="28">
        <v>43496</v>
      </c>
      <c r="H1866" s="27" t="s">
        <v>560</v>
      </c>
      <c r="I1866" s="27" t="s">
        <v>560</v>
      </c>
      <c r="J1866" s="29" t="s">
        <v>1825</v>
      </c>
      <c r="K1866" s="29" t="s">
        <v>3156</v>
      </c>
      <c r="L1866" s="29" t="s">
        <v>3157</v>
      </c>
      <c r="M1866" s="29" t="s">
        <v>2065</v>
      </c>
      <c r="N1866" s="29" t="s">
        <v>2041</v>
      </c>
      <c r="O1866" s="29" t="s">
        <v>594</v>
      </c>
    </row>
    <row r="1867" spans="1:15">
      <c r="A1867" s="25">
        <v>20749</v>
      </c>
      <c r="B1867" s="26" t="s">
        <v>3179</v>
      </c>
      <c r="C1867" s="27" t="s">
        <v>521</v>
      </c>
      <c r="D1867" s="27" t="s">
        <v>815</v>
      </c>
      <c r="E1867" s="28">
        <v>42642</v>
      </c>
      <c r="F1867" s="28">
        <v>43132</v>
      </c>
      <c r="G1867" s="28">
        <v>43496</v>
      </c>
      <c r="H1867" s="27" t="s">
        <v>560</v>
      </c>
      <c r="I1867" s="27" t="s">
        <v>560</v>
      </c>
      <c r="J1867" s="29" t="s">
        <v>1825</v>
      </c>
      <c r="K1867" s="29" t="s">
        <v>3156</v>
      </c>
      <c r="L1867" s="29" t="s">
        <v>3157</v>
      </c>
      <c r="M1867" s="29" t="s">
        <v>2120</v>
      </c>
      <c r="N1867" s="29" t="s">
        <v>1434</v>
      </c>
      <c r="O1867" s="29" t="s">
        <v>594</v>
      </c>
    </row>
    <row r="1868" spans="1:15">
      <c r="A1868" s="25">
        <v>20759</v>
      </c>
      <c r="B1868" s="26" t="s">
        <v>3180</v>
      </c>
      <c r="C1868" s="27" t="s">
        <v>521</v>
      </c>
      <c r="D1868" s="27" t="s">
        <v>815</v>
      </c>
      <c r="E1868" s="28">
        <v>42642</v>
      </c>
      <c r="F1868" s="28">
        <v>43132</v>
      </c>
      <c r="G1868" s="28">
        <v>43496</v>
      </c>
      <c r="H1868" s="27" t="s">
        <v>560</v>
      </c>
      <c r="I1868" s="27" t="s">
        <v>560</v>
      </c>
      <c r="J1868" s="29" t="s">
        <v>1825</v>
      </c>
      <c r="K1868" s="29" t="s">
        <v>3156</v>
      </c>
      <c r="L1868" s="29" t="s">
        <v>3157</v>
      </c>
      <c r="M1868" s="29" t="s">
        <v>2238</v>
      </c>
      <c r="N1868" s="29" t="s">
        <v>1434</v>
      </c>
      <c r="O1868" s="29" t="s">
        <v>594</v>
      </c>
    </row>
    <row r="1869" spans="1:15">
      <c r="A1869" s="25">
        <v>20805</v>
      </c>
      <c r="B1869" s="26" t="s">
        <v>3181</v>
      </c>
      <c r="C1869" s="27" t="s">
        <v>521</v>
      </c>
      <c r="D1869" s="27" t="s">
        <v>1684</v>
      </c>
      <c r="E1869" s="28">
        <v>42649</v>
      </c>
      <c r="F1869" s="28">
        <v>43132</v>
      </c>
      <c r="G1869" s="28">
        <v>43496</v>
      </c>
      <c r="H1869" s="25" t="s">
        <v>560</v>
      </c>
      <c r="I1869" s="27" t="s">
        <v>560</v>
      </c>
      <c r="J1869" s="29" t="s">
        <v>1825</v>
      </c>
      <c r="K1869" s="29" t="s">
        <v>3156</v>
      </c>
      <c r="L1869" s="29" t="s">
        <v>3157</v>
      </c>
      <c r="M1869" s="29" t="s">
        <v>2085</v>
      </c>
      <c r="N1869" s="29" t="s">
        <v>1434</v>
      </c>
      <c r="O1869" s="29" t="s">
        <v>594</v>
      </c>
    </row>
    <row r="1870" spans="1:15">
      <c r="A1870" s="25">
        <v>21184</v>
      </c>
      <c r="B1870" s="26" t="s">
        <v>3182</v>
      </c>
      <c r="C1870" s="27" t="s">
        <v>521</v>
      </c>
      <c r="D1870" s="27" t="s">
        <v>1676</v>
      </c>
      <c r="E1870" s="28">
        <v>42871</v>
      </c>
      <c r="F1870" s="28">
        <v>43374</v>
      </c>
      <c r="G1870" s="28">
        <v>43738</v>
      </c>
      <c r="H1870" s="25" t="s">
        <v>560</v>
      </c>
      <c r="I1870" s="31" t="s">
        <v>560</v>
      </c>
      <c r="J1870" s="29" t="s">
        <v>1825</v>
      </c>
      <c r="K1870" s="29" t="s">
        <v>3156</v>
      </c>
      <c r="L1870" s="29" t="s">
        <v>3157</v>
      </c>
      <c r="M1870" s="29" t="s">
        <v>2057</v>
      </c>
      <c r="N1870" s="29" t="s">
        <v>2041</v>
      </c>
      <c r="O1870" s="29" t="s">
        <v>594</v>
      </c>
    </row>
    <row r="1871" spans="1:15">
      <c r="A1871" s="25">
        <v>21214</v>
      </c>
      <c r="B1871" s="26" t="s">
        <v>3183</v>
      </c>
      <c r="C1871" s="27" t="s">
        <v>521</v>
      </c>
      <c r="D1871" s="27" t="s">
        <v>2480</v>
      </c>
      <c r="E1871" s="28">
        <v>42877</v>
      </c>
      <c r="F1871" s="28">
        <v>43374</v>
      </c>
      <c r="G1871" s="28">
        <v>43738</v>
      </c>
      <c r="H1871" s="29" t="s">
        <v>560</v>
      </c>
      <c r="I1871" s="29" t="s">
        <v>560</v>
      </c>
      <c r="J1871" s="29" t="s">
        <v>1825</v>
      </c>
      <c r="K1871" s="29" t="s">
        <v>3156</v>
      </c>
      <c r="L1871" s="29" t="s">
        <v>3157</v>
      </c>
      <c r="M1871" s="29" t="s">
        <v>3184</v>
      </c>
      <c r="N1871" s="29" t="s">
        <v>1434</v>
      </c>
      <c r="O1871" s="29" t="s">
        <v>594</v>
      </c>
    </row>
    <row r="1872" spans="1:15">
      <c r="A1872" s="25">
        <v>21352</v>
      </c>
      <c r="B1872" s="34" t="s">
        <v>3185</v>
      </c>
      <c r="C1872" s="31" t="s">
        <v>521</v>
      </c>
      <c r="D1872" s="31" t="s">
        <v>2162</v>
      </c>
      <c r="E1872" s="28">
        <v>43013</v>
      </c>
      <c r="F1872" s="28">
        <v>43405</v>
      </c>
      <c r="G1872" s="28">
        <v>43769</v>
      </c>
      <c r="H1872" s="29" t="s">
        <v>560</v>
      </c>
      <c r="I1872" s="29" t="s">
        <v>560</v>
      </c>
      <c r="J1872" s="29" t="s">
        <v>1825</v>
      </c>
      <c r="K1872" s="29" t="s">
        <v>3156</v>
      </c>
      <c r="L1872" s="29" t="s">
        <v>3157</v>
      </c>
      <c r="M1872" s="29" t="s">
        <v>3186</v>
      </c>
      <c r="N1872" s="29" t="s">
        <v>2031</v>
      </c>
      <c r="O1872" s="29" t="s">
        <v>594</v>
      </c>
    </row>
    <row r="1873" spans="1:15">
      <c r="A1873" s="25">
        <v>21387</v>
      </c>
      <c r="B1873" s="34" t="s">
        <v>3187</v>
      </c>
      <c r="C1873" s="31" t="s">
        <v>521</v>
      </c>
      <c r="D1873" s="31" t="s">
        <v>2283</v>
      </c>
      <c r="E1873" s="28">
        <v>43018</v>
      </c>
      <c r="F1873" s="28">
        <v>43405</v>
      </c>
      <c r="G1873" s="28">
        <v>43769</v>
      </c>
      <c r="H1873" s="31" t="s">
        <v>560</v>
      </c>
      <c r="I1873" s="31" t="s">
        <v>560</v>
      </c>
      <c r="J1873" s="29" t="s">
        <v>1825</v>
      </c>
      <c r="K1873" s="29" t="s">
        <v>3156</v>
      </c>
      <c r="L1873" s="29" t="s">
        <v>3157</v>
      </c>
      <c r="M1873" s="29" t="s">
        <v>3188</v>
      </c>
      <c r="N1873" s="29" t="s">
        <v>2023</v>
      </c>
      <c r="O1873" s="29" t="s">
        <v>594</v>
      </c>
    </row>
    <row r="1874" spans="1:15">
      <c r="A1874" s="25">
        <v>21443</v>
      </c>
      <c r="B1874" s="34" t="s">
        <v>3189</v>
      </c>
      <c r="C1874" s="31" t="s">
        <v>521</v>
      </c>
      <c r="D1874" s="31" t="s">
        <v>2166</v>
      </c>
      <c r="E1874" s="28">
        <v>43024</v>
      </c>
      <c r="F1874" s="28">
        <v>43435</v>
      </c>
      <c r="G1874" s="28">
        <v>43799</v>
      </c>
      <c r="H1874" s="29" t="s">
        <v>560</v>
      </c>
      <c r="I1874" s="29" t="s">
        <v>560</v>
      </c>
      <c r="J1874" s="29" t="s">
        <v>1825</v>
      </c>
      <c r="K1874" s="29" t="s">
        <v>3156</v>
      </c>
      <c r="L1874" s="29" t="s">
        <v>3157</v>
      </c>
      <c r="M1874" s="29" t="s">
        <v>3190</v>
      </c>
      <c r="N1874" s="29" t="s">
        <v>2031</v>
      </c>
      <c r="O1874" s="29" t="s">
        <v>594</v>
      </c>
    </row>
    <row r="1875" spans="1:15">
      <c r="A1875" s="25">
        <v>21454</v>
      </c>
      <c r="B1875" s="34" t="s">
        <v>3191</v>
      </c>
      <c r="C1875" s="31" t="s">
        <v>521</v>
      </c>
      <c r="D1875" s="31" t="s">
        <v>2166</v>
      </c>
      <c r="E1875" s="28">
        <v>43024</v>
      </c>
      <c r="F1875" s="28">
        <v>43435</v>
      </c>
      <c r="G1875" s="28">
        <v>43799</v>
      </c>
      <c r="H1875" s="29" t="s">
        <v>560</v>
      </c>
      <c r="I1875" s="29" t="s">
        <v>560</v>
      </c>
      <c r="J1875" s="29" t="s">
        <v>1825</v>
      </c>
      <c r="K1875" s="29" t="s">
        <v>3156</v>
      </c>
      <c r="L1875" s="29" t="s">
        <v>3157</v>
      </c>
      <c r="M1875" s="29" t="s">
        <v>3192</v>
      </c>
      <c r="N1875" s="29" t="s">
        <v>2041</v>
      </c>
      <c r="O1875" s="29" t="s">
        <v>594</v>
      </c>
    </row>
    <row r="1876" spans="1:15">
      <c r="A1876" s="25">
        <v>21463</v>
      </c>
      <c r="B1876" s="34" t="s">
        <v>3193</v>
      </c>
      <c r="C1876" s="31" t="s">
        <v>521</v>
      </c>
      <c r="D1876" s="31" t="s">
        <v>2166</v>
      </c>
      <c r="E1876" s="28">
        <v>43024</v>
      </c>
      <c r="F1876" s="28">
        <v>43435</v>
      </c>
      <c r="G1876" s="28">
        <v>43799</v>
      </c>
      <c r="H1876" s="29" t="s">
        <v>560</v>
      </c>
      <c r="I1876" s="29" t="s">
        <v>560</v>
      </c>
      <c r="J1876" s="29" t="s">
        <v>1825</v>
      </c>
      <c r="K1876" s="29" t="s">
        <v>3156</v>
      </c>
      <c r="L1876" s="29" t="s">
        <v>3157</v>
      </c>
      <c r="M1876" s="29" t="s">
        <v>3194</v>
      </c>
      <c r="N1876" s="29" t="s">
        <v>2023</v>
      </c>
      <c r="O1876" s="29" t="s">
        <v>594</v>
      </c>
    </row>
    <row r="1877" spans="1:15">
      <c r="A1877" s="25">
        <v>21478</v>
      </c>
      <c r="B1877" s="34" t="s">
        <v>3195</v>
      </c>
      <c r="C1877" s="31" t="s">
        <v>521</v>
      </c>
      <c r="D1877" s="31" t="s">
        <v>1804</v>
      </c>
      <c r="E1877" s="28">
        <v>43031</v>
      </c>
      <c r="F1877" s="28">
        <v>43435</v>
      </c>
      <c r="G1877" s="28">
        <v>43799</v>
      </c>
      <c r="H1877" s="29" t="s">
        <v>560</v>
      </c>
      <c r="I1877" s="29" t="s">
        <v>560</v>
      </c>
      <c r="J1877" s="29" t="s">
        <v>1825</v>
      </c>
      <c r="K1877" s="29" t="s">
        <v>3156</v>
      </c>
      <c r="L1877" s="29" t="s">
        <v>3157</v>
      </c>
      <c r="M1877" s="29" t="s">
        <v>3196</v>
      </c>
      <c r="N1877" s="29" t="s">
        <v>1434</v>
      </c>
      <c r="O1877" s="29" t="s">
        <v>594</v>
      </c>
    </row>
    <row r="1878" spans="1:15">
      <c r="A1878" s="25">
        <v>21525</v>
      </c>
      <c r="B1878" s="34" t="s">
        <v>3197</v>
      </c>
      <c r="C1878" s="31" t="s">
        <v>521</v>
      </c>
      <c r="D1878" s="31" t="s">
        <v>1760</v>
      </c>
      <c r="E1878" s="28">
        <v>43045</v>
      </c>
      <c r="F1878" s="28">
        <v>43435</v>
      </c>
      <c r="G1878" s="28">
        <v>43799</v>
      </c>
      <c r="H1878" s="29" t="s">
        <v>560</v>
      </c>
      <c r="I1878" s="29" t="s">
        <v>560</v>
      </c>
      <c r="J1878" s="29" t="s">
        <v>1825</v>
      </c>
      <c r="K1878" s="29" t="s">
        <v>3156</v>
      </c>
      <c r="L1878" s="29" t="s">
        <v>3157</v>
      </c>
      <c r="M1878" s="29" t="s">
        <v>2227</v>
      </c>
      <c r="N1878" s="29" t="s">
        <v>1434</v>
      </c>
      <c r="O1878" s="29" t="s">
        <v>594</v>
      </c>
    </row>
    <row r="1879" spans="1:15">
      <c r="A1879" s="25">
        <v>21559</v>
      </c>
      <c r="B1879" s="34" t="s">
        <v>3198</v>
      </c>
      <c r="C1879" s="31" t="s">
        <v>521</v>
      </c>
      <c r="D1879" s="31" t="s">
        <v>1760</v>
      </c>
      <c r="E1879" s="28">
        <v>43045</v>
      </c>
      <c r="F1879" s="28">
        <v>43435</v>
      </c>
      <c r="G1879" s="28">
        <v>43799</v>
      </c>
      <c r="H1879" s="29" t="s">
        <v>560</v>
      </c>
      <c r="I1879" s="29" t="s">
        <v>560</v>
      </c>
      <c r="J1879" s="29" t="s">
        <v>1825</v>
      </c>
      <c r="K1879" s="29" t="s">
        <v>3156</v>
      </c>
      <c r="L1879" s="29" t="s">
        <v>3157</v>
      </c>
      <c r="M1879" s="29" t="s">
        <v>3199</v>
      </c>
      <c r="N1879" s="29" t="s">
        <v>2031</v>
      </c>
      <c r="O1879" s="29" t="s">
        <v>594</v>
      </c>
    </row>
    <row r="1880" spans="1:15">
      <c r="A1880" s="25">
        <v>21566</v>
      </c>
      <c r="B1880" s="34" t="s">
        <v>3200</v>
      </c>
      <c r="C1880" s="31" t="s">
        <v>521</v>
      </c>
      <c r="D1880" s="31" t="s">
        <v>1760</v>
      </c>
      <c r="E1880" s="28">
        <v>43045</v>
      </c>
      <c r="F1880" s="28">
        <v>43435</v>
      </c>
      <c r="G1880" s="28">
        <v>43799</v>
      </c>
      <c r="H1880" s="29" t="s">
        <v>560</v>
      </c>
      <c r="I1880" s="29" t="s">
        <v>560</v>
      </c>
      <c r="J1880" s="29" t="s">
        <v>1825</v>
      </c>
      <c r="K1880" s="29" t="s">
        <v>3156</v>
      </c>
      <c r="L1880" s="29" t="s">
        <v>3157</v>
      </c>
      <c r="M1880" s="29" t="s">
        <v>2593</v>
      </c>
      <c r="N1880" s="29" t="s">
        <v>1434</v>
      </c>
      <c r="O1880" s="29" t="s">
        <v>594</v>
      </c>
    </row>
    <row r="1881" spans="1:15">
      <c r="A1881" s="25">
        <v>21574</v>
      </c>
      <c r="B1881" s="34" t="s">
        <v>2441</v>
      </c>
      <c r="C1881" s="31" t="s">
        <v>521</v>
      </c>
      <c r="D1881" s="31" t="s">
        <v>1603</v>
      </c>
      <c r="E1881" s="28">
        <v>43048</v>
      </c>
      <c r="F1881" s="28">
        <v>43435</v>
      </c>
      <c r="G1881" s="28">
        <v>43799</v>
      </c>
      <c r="H1881" s="29" t="s">
        <v>560</v>
      </c>
      <c r="I1881" s="29" t="s">
        <v>560</v>
      </c>
      <c r="J1881" s="29" t="s">
        <v>1825</v>
      </c>
      <c r="K1881" s="29" t="s">
        <v>3156</v>
      </c>
      <c r="L1881" s="29" t="s">
        <v>3157</v>
      </c>
      <c r="M1881" s="29" t="s">
        <v>2077</v>
      </c>
      <c r="N1881" s="29" t="s">
        <v>2077</v>
      </c>
      <c r="O1881" s="29" t="s">
        <v>594</v>
      </c>
    </row>
    <row r="1882" spans="1:15">
      <c r="A1882" s="25">
        <v>21603</v>
      </c>
      <c r="B1882" s="34" t="s">
        <v>3201</v>
      </c>
      <c r="C1882" s="31" t="s">
        <v>521</v>
      </c>
      <c r="D1882" s="31" t="s">
        <v>1603</v>
      </c>
      <c r="E1882" s="28">
        <v>43048</v>
      </c>
      <c r="F1882" s="28">
        <v>43435</v>
      </c>
      <c r="G1882" s="28">
        <v>43799</v>
      </c>
      <c r="H1882" s="29" t="s">
        <v>560</v>
      </c>
      <c r="I1882" s="29" t="s">
        <v>560</v>
      </c>
      <c r="J1882" s="29" t="s">
        <v>1825</v>
      </c>
      <c r="K1882" s="29" t="s">
        <v>3156</v>
      </c>
      <c r="L1882" s="29" t="s">
        <v>3157</v>
      </c>
      <c r="M1882" s="29" t="s">
        <v>2061</v>
      </c>
      <c r="N1882" s="29" t="s">
        <v>2041</v>
      </c>
      <c r="O1882" s="29" t="s">
        <v>594</v>
      </c>
    </row>
    <row r="1883" spans="1:15">
      <c r="A1883" s="25">
        <v>21613</v>
      </c>
      <c r="B1883" s="34" t="s">
        <v>3202</v>
      </c>
      <c r="C1883" s="31" t="s">
        <v>521</v>
      </c>
      <c r="D1883" s="31" t="s">
        <v>1603</v>
      </c>
      <c r="E1883" s="28">
        <v>43048</v>
      </c>
      <c r="F1883" s="28">
        <v>43435</v>
      </c>
      <c r="G1883" s="28">
        <v>43799</v>
      </c>
      <c r="H1883" s="29" t="s">
        <v>560</v>
      </c>
      <c r="I1883" s="29" t="s">
        <v>560</v>
      </c>
      <c r="J1883" s="29" t="s">
        <v>1825</v>
      </c>
      <c r="K1883" s="29" t="s">
        <v>3156</v>
      </c>
      <c r="L1883" s="29" t="s">
        <v>3157</v>
      </c>
      <c r="M1883" s="29" t="s">
        <v>2118</v>
      </c>
      <c r="N1883" s="29" t="s">
        <v>2041</v>
      </c>
      <c r="O1883" s="29" t="s">
        <v>594</v>
      </c>
    </row>
    <row r="1884" spans="1:15">
      <c r="A1884" s="25">
        <v>21629</v>
      </c>
      <c r="B1884" s="34" t="s">
        <v>3203</v>
      </c>
      <c r="C1884" s="31" t="s">
        <v>521</v>
      </c>
      <c r="D1884" s="31" t="s">
        <v>1603</v>
      </c>
      <c r="E1884" s="28">
        <v>43048</v>
      </c>
      <c r="F1884" s="28">
        <v>43435</v>
      </c>
      <c r="G1884" s="28">
        <v>43799</v>
      </c>
      <c r="H1884" s="29" t="s">
        <v>560</v>
      </c>
      <c r="I1884" s="29" t="s">
        <v>560</v>
      </c>
      <c r="J1884" s="29" t="s">
        <v>1825</v>
      </c>
      <c r="K1884" s="29" t="s">
        <v>3156</v>
      </c>
      <c r="L1884" s="29" t="s">
        <v>3157</v>
      </c>
      <c r="M1884" s="29" t="s">
        <v>3204</v>
      </c>
      <c r="N1884" s="29" t="s">
        <v>1434</v>
      </c>
      <c r="O1884" s="29" t="s">
        <v>594</v>
      </c>
    </row>
    <row r="1885" spans="1:15">
      <c r="A1885" s="25">
        <v>21707</v>
      </c>
      <c r="B1885" s="34" t="s">
        <v>3205</v>
      </c>
      <c r="C1885" s="31" t="s">
        <v>521</v>
      </c>
      <c r="D1885" s="31" t="s">
        <v>663</v>
      </c>
      <c r="E1885" s="28">
        <v>43087</v>
      </c>
      <c r="F1885" s="28">
        <v>43118</v>
      </c>
      <c r="G1885" s="28">
        <v>43496</v>
      </c>
      <c r="H1885" s="27" t="s">
        <v>560</v>
      </c>
      <c r="I1885" s="27" t="s">
        <v>560</v>
      </c>
      <c r="J1885" s="29" t="s">
        <v>1825</v>
      </c>
      <c r="K1885" s="29" t="s">
        <v>3156</v>
      </c>
      <c r="L1885" s="29" t="s">
        <v>3157</v>
      </c>
      <c r="M1885" s="29" t="s">
        <v>2502</v>
      </c>
      <c r="N1885" s="29" t="s">
        <v>1586</v>
      </c>
      <c r="O1885" s="29" t="s">
        <v>594</v>
      </c>
    </row>
    <row r="1886" spans="1:15">
      <c r="A1886" s="25">
        <v>21871</v>
      </c>
      <c r="B1886" s="34" t="s">
        <v>3206</v>
      </c>
      <c r="C1886" s="31" t="s">
        <v>521</v>
      </c>
      <c r="D1886" s="31" t="s">
        <v>1870</v>
      </c>
      <c r="E1886" s="28">
        <v>43103</v>
      </c>
      <c r="F1886" s="28">
        <v>43134</v>
      </c>
      <c r="G1886" s="28">
        <v>43496</v>
      </c>
      <c r="H1886" s="29" t="s">
        <v>560</v>
      </c>
      <c r="I1886" s="29" t="s">
        <v>560</v>
      </c>
      <c r="J1886" s="29" t="s">
        <v>1825</v>
      </c>
      <c r="K1886" s="29" t="s">
        <v>3156</v>
      </c>
      <c r="L1886" s="29" t="s">
        <v>3157</v>
      </c>
      <c r="M1886" s="29" t="s">
        <v>2328</v>
      </c>
      <c r="N1886" s="29" t="s">
        <v>2080</v>
      </c>
      <c r="O1886" s="29" t="s">
        <v>594</v>
      </c>
    </row>
    <row r="1887" spans="1:15">
      <c r="A1887" s="25">
        <v>22217</v>
      </c>
      <c r="B1887" s="34" t="s">
        <v>3207</v>
      </c>
      <c r="C1887" s="31" t="s">
        <v>521</v>
      </c>
      <c r="D1887" s="31" t="s">
        <v>1796</v>
      </c>
      <c r="E1887" s="28">
        <v>43161</v>
      </c>
      <c r="F1887" s="28">
        <v>43192</v>
      </c>
      <c r="G1887" s="28">
        <v>43555</v>
      </c>
      <c r="H1887" s="29" t="s">
        <v>560</v>
      </c>
      <c r="I1887" s="29" t="s">
        <v>560</v>
      </c>
      <c r="J1887" s="29" t="s">
        <v>1825</v>
      </c>
      <c r="K1887" s="29" t="s">
        <v>3156</v>
      </c>
      <c r="L1887" s="29" t="s">
        <v>3157</v>
      </c>
      <c r="M1887" s="29" t="s">
        <v>2194</v>
      </c>
      <c r="N1887" s="29" t="s">
        <v>1434</v>
      </c>
      <c r="O1887" s="29" t="s">
        <v>594</v>
      </c>
    </row>
    <row r="1888" spans="1:15">
      <c r="A1888" s="25">
        <v>22484</v>
      </c>
      <c r="B1888" s="34" t="s">
        <v>3208</v>
      </c>
      <c r="C1888" s="31" t="s">
        <v>521</v>
      </c>
      <c r="D1888" s="31" t="s">
        <v>773</v>
      </c>
      <c r="E1888" s="28">
        <v>43224</v>
      </c>
      <c r="F1888" s="28">
        <v>43255</v>
      </c>
      <c r="G1888" s="28">
        <v>43616</v>
      </c>
      <c r="H1888" s="29" t="s">
        <v>560</v>
      </c>
      <c r="I1888" s="29" t="s">
        <v>560</v>
      </c>
      <c r="J1888" s="29" t="s">
        <v>1825</v>
      </c>
      <c r="K1888" s="29" t="s">
        <v>3156</v>
      </c>
      <c r="L1888" s="29" t="s">
        <v>3157</v>
      </c>
      <c r="M1888" s="29" t="s">
        <v>2366</v>
      </c>
      <c r="N1888" s="29" t="s">
        <v>2023</v>
      </c>
      <c r="O1888" s="29" t="s">
        <v>594</v>
      </c>
    </row>
    <row r="1889" spans="1:15">
      <c r="A1889" s="25">
        <v>22491</v>
      </c>
      <c r="B1889" s="34" t="s">
        <v>3209</v>
      </c>
      <c r="C1889" s="31" t="s">
        <v>521</v>
      </c>
      <c r="D1889" s="31" t="s">
        <v>773</v>
      </c>
      <c r="E1889" s="28">
        <v>43224</v>
      </c>
      <c r="F1889" s="28">
        <v>43255</v>
      </c>
      <c r="G1889" s="28">
        <v>43616</v>
      </c>
      <c r="H1889" s="29" t="s">
        <v>560</v>
      </c>
      <c r="I1889" s="29" t="s">
        <v>560</v>
      </c>
      <c r="J1889" s="29" t="s">
        <v>1825</v>
      </c>
      <c r="K1889" s="29" t="s">
        <v>3156</v>
      </c>
      <c r="L1889" s="29" t="s">
        <v>3157</v>
      </c>
      <c r="M1889" s="29" t="s">
        <v>2324</v>
      </c>
      <c r="N1889" s="29" t="s">
        <v>2080</v>
      </c>
      <c r="O1889" s="29" t="s">
        <v>594</v>
      </c>
    </row>
    <row r="1890" spans="1:15">
      <c r="A1890" s="25">
        <v>22898</v>
      </c>
      <c r="B1890" s="34" t="s">
        <v>3210</v>
      </c>
      <c r="C1890" s="31" t="s">
        <v>521</v>
      </c>
      <c r="D1890" s="31" t="s">
        <v>775</v>
      </c>
      <c r="E1890" s="28">
        <v>43333</v>
      </c>
      <c r="F1890" s="28">
        <v>43364</v>
      </c>
      <c r="G1890" s="28">
        <v>43738</v>
      </c>
      <c r="H1890" s="29" t="s">
        <v>560</v>
      </c>
      <c r="I1890" s="29" t="s">
        <v>560</v>
      </c>
      <c r="J1890" s="29" t="s">
        <v>1825</v>
      </c>
      <c r="K1890" s="29" t="s">
        <v>3156</v>
      </c>
      <c r="L1890" s="29" t="s">
        <v>3157</v>
      </c>
      <c r="M1890" s="29" t="s">
        <v>3211</v>
      </c>
      <c r="N1890" s="29" t="s">
        <v>1586</v>
      </c>
      <c r="O1890" s="29" t="s">
        <v>594</v>
      </c>
    </row>
    <row r="1891" spans="1:15">
      <c r="A1891" s="25">
        <v>22912</v>
      </c>
      <c r="B1891" s="34" t="s">
        <v>3212</v>
      </c>
      <c r="C1891" s="31" t="s">
        <v>521</v>
      </c>
      <c r="D1891" s="31" t="s">
        <v>1962</v>
      </c>
      <c r="E1891" s="28">
        <v>43343</v>
      </c>
      <c r="F1891" s="28">
        <v>43374</v>
      </c>
      <c r="G1891" s="28">
        <v>43738</v>
      </c>
      <c r="H1891" s="29" t="s">
        <v>560</v>
      </c>
      <c r="I1891" s="29" t="s">
        <v>560</v>
      </c>
      <c r="J1891" s="29" t="s">
        <v>1825</v>
      </c>
      <c r="K1891" s="29" t="s">
        <v>3156</v>
      </c>
      <c r="L1891" s="29" t="s">
        <v>3157</v>
      </c>
      <c r="M1891" s="29" t="s">
        <v>2079</v>
      </c>
      <c r="N1891" s="29" t="s">
        <v>2080</v>
      </c>
      <c r="O1891" s="29" t="s">
        <v>594</v>
      </c>
    </row>
    <row r="1892" spans="1:15">
      <c r="A1892" s="25">
        <v>22985</v>
      </c>
      <c r="B1892" s="34" t="s">
        <v>3213</v>
      </c>
      <c r="C1892" s="31" t="s">
        <v>521</v>
      </c>
      <c r="D1892" s="31" t="s">
        <v>1962</v>
      </c>
      <c r="E1892" s="28">
        <v>43343</v>
      </c>
      <c r="F1892" s="28">
        <v>43374</v>
      </c>
      <c r="G1892" s="28">
        <v>43738</v>
      </c>
      <c r="H1892" s="29" t="s">
        <v>560</v>
      </c>
      <c r="I1892" s="29" t="s">
        <v>560</v>
      </c>
      <c r="J1892" s="29" t="s">
        <v>1825</v>
      </c>
      <c r="K1892" s="29" t="s">
        <v>3156</v>
      </c>
      <c r="L1892" s="29" t="s">
        <v>3157</v>
      </c>
      <c r="M1892" s="29" t="s">
        <v>3214</v>
      </c>
      <c r="N1892" s="29" t="s">
        <v>1586</v>
      </c>
      <c r="O1892" s="29" t="s">
        <v>594</v>
      </c>
    </row>
    <row r="1893" spans="1:15">
      <c r="A1893" s="25">
        <v>23046</v>
      </c>
      <c r="B1893" s="34" t="s">
        <v>3215</v>
      </c>
      <c r="C1893" s="31" t="s">
        <v>521</v>
      </c>
      <c r="D1893" s="31" t="s">
        <v>1872</v>
      </c>
      <c r="E1893" s="28">
        <v>43361</v>
      </c>
      <c r="F1893" s="28">
        <v>43391</v>
      </c>
      <c r="G1893" s="28">
        <v>43769</v>
      </c>
      <c r="H1893" s="29" t="s">
        <v>560</v>
      </c>
      <c r="I1893" s="29" t="s">
        <v>560</v>
      </c>
      <c r="J1893" s="29" t="s">
        <v>1825</v>
      </c>
      <c r="K1893" s="29" t="s">
        <v>3156</v>
      </c>
      <c r="L1893" s="29" t="s">
        <v>3157</v>
      </c>
      <c r="M1893" s="29" t="s">
        <v>3216</v>
      </c>
      <c r="N1893" s="29" t="s">
        <v>1586</v>
      </c>
      <c r="O1893" s="29" t="s">
        <v>594</v>
      </c>
    </row>
    <row r="1894" spans="1:15">
      <c r="A1894" s="25">
        <v>23055</v>
      </c>
      <c r="B1894" s="34" t="s">
        <v>3217</v>
      </c>
      <c r="C1894" s="31" t="s">
        <v>521</v>
      </c>
      <c r="D1894" s="31" t="s">
        <v>1872</v>
      </c>
      <c r="E1894" s="28">
        <v>43361</v>
      </c>
      <c r="F1894" s="28">
        <v>43391</v>
      </c>
      <c r="G1894" s="28">
        <v>43769</v>
      </c>
      <c r="H1894" s="29" t="s">
        <v>560</v>
      </c>
      <c r="I1894" s="29" t="s">
        <v>560</v>
      </c>
      <c r="J1894" s="29" t="s">
        <v>1825</v>
      </c>
      <c r="K1894" s="29" t="s">
        <v>3156</v>
      </c>
      <c r="L1894" s="29" t="s">
        <v>3157</v>
      </c>
      <c r="M1894" s="29" t="s">
        <v>3218</v>
      </c>
      <c r="N1894" s="29" t="s">
        <v>1586</v>
      </c>
      <c r="O1894" s="29" t="s">
        <v>594</v>
      </c>
    </row>
    <row r="1895" spans="1:15">
      <c r="A1895" s="25">
        <v>23083</v>
      </c>
      <c r="B1895" s="34" t="s">
        <v>3219</v>
      </c>
      <c r="C1895" s="31" t="s">
        <v>521</v>
      </c>
      <c r="D1895" s="31" t="s">
        <v>1872</v>
      </c>
      <c r="E1895" s="28">
        <v>43361</v>
      </c>
      <c r="F1895" s="28">
        <v>43391</v>
      </c>
      <c r="G1895" s="28">
        <v>43769</v>
      </c>
      <c r="H1895" s="29" t="s">
        <v>560</v>
      </c>
      <c r="I1895" s="29" t="s">
        <v>560</v>
      </c>
      <c r="J1895" s="29" t="s">
        <v>1825</v>
      </c>
      <c r="K1895" s="29" t="s">
        <v>3156</v>
      </c>
      <c r="L1895" s="29" t="s">
        <v>3157</v>
      </c>
      <c r="M1895" s="29" t="s">
        <v>2627</v>
      </c>
      <c r="N1895" s="29" t="s">
        <v>2080</v>
      </c>
      <c r="O1895" s="29" t="s">
        <v>594</v>
      </c>
    </row>
    <row r="1896" spans="1:15">
      <c r="A1896" s="25">
        <v>23129</v>
      </c>
      <c r="B1896" s="34" t="s">
        <v>3220</v>
      </c>
      <c r="C1896" s="31" t="s">
        <v>521</v>
      </c>
      <c r="D1896" s="31" t="s">
        <v>1523</v>
      </c>
      <c r="E1896" s="28">
        <v>43369</v>
      </c>
      <c r="F1896" s="28">
        <v>43399</v>
      </c>
      <c r="G1896" s="28">
        <v>43769</v>
      </c>
      <c r="H1896" s="29" t="s">
        <v>560</v>
      </c>
      <c r="I1896" s="29" t="s">
        <v>560</v>
      </c>
      <c r="J1896" s="29" t="s">
        <v>1825</v>
      </c>
      <c r="K1896" s="29" t="s">
        <v>3156</v>
      </c>
      <c r="L1896" s="29" t="s">
        <v>3157</v>
      </c>
      <c r="M1896" s="29" t="s">
        <v>2238</v>
      </c>
      <c r="N1896" s="29" t="s">
        <v>1434</v>
      </c>
      <c r="O1896" s="29" t="s">
        <v>594</v>
      </c>
    </row>
    <row r="1897" spans="1:15">
      <c r="A1897" s="25">
        <v>23262</v>
      </c>
      <c r="B1897" s="34" t="s">
        <v>3221</v>
      </c>
      <c r="C1897" s="31" t="s">
        <v>521</v>
      </c>
      <c r="D1897" s="31" t="s">
        <v>1582</v>
      </c>
      <c r="E1897" s="28">
        <v>43421</v>
      </c>
      <c r="F1897" s="28">
        <v>43451</v>
      </c>
      <c r="G1897" s="28">
        <v>43830</v>
      </c>
      <c r="H1897" s="29" t="s">
        <v>560</v>
      </c>
      <c r="I1897" s="29" t="s">
        <v>560</v>
      </c>
      <c r="J1897" s="29" t="s">
        <v>1825</v>
      </c>
      <c r="K1897" s="29" t="s">
        <v>3156</v>
      </c>
      <c r="L1897" s="29" t="s">
        <v>3157</v>
      </c>
      <c r="M1897" s="29" t="s">
        <v>3222</v>
      </c>
      <c r="N1897" s="29" t="s">
        <v>1434</v>
      </c>
      <c r="O1897" s="29" t="s">
        <v>594</v>
      </c>
    </row>
    <row r="1898" spans="1:15">
      <c r="A1898" s="25">
        <v>23263</v>
      </c>
      <c r="B1898" s="34" t="s">
        <v>3223</v>
      </c>
      <c r="C1898" s="31" t="s">
        <v>521</v>
      </c>
      <c r="D1898" s="31" t="s">
        <v>1582</v>
      </c>
      <c r="E1898" s="28">
        <v>43421</v>
      </c>
      <c r="F1898" s="28">
        <v>43451</v>
      </c>
      <c r="G1898" s="28">
        <v>43830</v>
      </c>
      <c r="H1898" s="29" t="s">
        <v>560</v>
      </c>
      <c r="I1898" s="29" t="s">
        <v>560</v>
      </c>
      <c r="J1898" s="29" t="s">
        <v>1825</v>
      </c>
      <c r="K1898" s="29" t="s">
        <v>3156</v>
      </c>
      <c r="L1898" s="29" t="s">
        <v>3157</v>
      </c>
      <c r="M1898" s="29" t="s">
        <v>2041</v>
      </c>
      <c r="N1898" s="29" t="s">
        <v>2041</v>
      </c>
      <c r="O1898" s="29" t="s">
        <v>594</v>
      </c>
    </row>
    <row r="1899" spans="1:15">
      <c r="A1899" s="25">
        <v>23309</v>
      </c>
      <c r="B1899" s="34" t="s">
        <v>3224</v>
      </c>
      <c r="C1899" s="31" t="s">
        <v>521</v>
      </c>
      <c r="D1899" s="31" t="s">
        <v>1527</v>
      </c>
      <c r="E1899" s="28">
        <v>43427</v>
      </c>
      <c r="F1899" s="28">
        <v>43457</v>
      </c>
      <c r="G1899" s="28">
        <v>43830</v>
      </c>
      <c r="H1899" s="29" t="s">
        <v>560</v>
      </c>
      <c r="I1899" s="29" t="s">
        <v>560</v>
      </c>
      <c r="J1899" s="29" t="s">
        <v>1825</v>
      </c>
      <c r="K1899" s="29" t="s">
        <v>3156</v>
      </c>
      <c r="L1899" s="29" t="s">
        <v>3157</v>
      </c>
      <c r="M1899" s="29" t="s">
        <v>3225</v>
      </c>
      <c r="N1899" s="29" t="s">
        <v>1586</v>
      </c>
      <c r="O1899" s="29" t="s">
        <v>594</v>
      </c>
    </row>
    <row r="1900" spans="1:15">
      <c r="A1900" s="25">
        <v>23315</v>
      </c>
      <c r="B1900" s="34" t="s">
        <v>3226</v>
      </c>
      <c r="C1900" s="31" t="s">
        <v>521</v>
      </c>
      <c r="D1900" s="31" t="s">
        <v>1527</v>
      </c>
      <c r="E1900" s="28">
        <v>43427</v>
      </c>
      <c r="F1900" s="28">
        <v>43457</v>
      </c>
      <c r="G1900" s="28">
        <v>43830</v>
      </c>
      <c r="H1900" s="29" t="s">
        <v>560</v>
      </c>
      <c r="I1900" s="29" t="s">
        <v>560</v>
      </c>
      <c r="J1900" s="29" t="s">
        <v>1825</v>
      </c>
      <c r="K1900" s="29" t="s">
        <v>3156</v>
      </c>
      <c r="L1900" s="29" t="s">
        <v>3157</v>
      </c>
      <c r="M1900" s="29" t="s">
        <v>3227</v>
      </c>
      <c r="N1900" s="29" t="s">
        <v>1586</v>
      </c>
      <c r="O1900" s="29" t="s">
        <v>594</v>
      </c>
    </row>
    <row r="1901" spans="1:15">
      <c r="A1901" s="25">
        <v>23318</v>
      </c>
      <c r="B1901" s="34" t="s">
        <v>3228</v>
      </c>
      <c r="C1901" s="31" t="s">
        <v>521</v>
      </c>
      <c r="D1901" s="31" t="s">
        <v>1527</v>
      </c>
      <c r="E1901" s="28">
        <v>43427</v>
      </c>
      <c r="F1901" s="28">
        <v>43457</v>
      </c>
      <c r="G1901" s="28">
        <v>43830</v>
      </c>
      <c r="H1901" s="29" t="s">
        <v>560</v>
      </c>
      <c r="I1901" s="29" t="s">
        <v>560</v>
      </c>
      <c r="J1901" s="29" t="s">
        <v>1825</v>
      </c>
      <c r="K1901" s="29" t="s">
        <v>3156</v>
      </c>
      <c r="L1901" s="29" t="s">
        <v>3157</v>
      </c>
      <c r="M1901" s="29" t="s">
        <v>3229</v>
      </c>
      <c r="N1901" s="29" t="s">
        <v>1586</v>
      </c>
      <c r="O1901" s="29" t="s">
        <v>594</v>
      </c>
    </row>
    <row r="1902" spans="1:15">
      <c r="A1902" s="25">
        <v>23435</v>
      </c>
      <c r="B1902" s="34" t="s">
        <v>3230</v>
      </c>
      <c r="C1902" s="31" t="s">
        <v>521</v>
      </c>
      <c r="D1902" s="31" t="s">
        <v>882</v>
      </c>
      <c r="E1902" s="28">
        <v>43434</v>
      </c>
      <c r="F1902" s="28">
        <v>43464</v>
      </c>
      <c r="G1902" s="28">
        <v>43830</v>
      </c>
      <c r="H1902" s="29" t="s">
        <v>560</v>
      </c>
      <c r="I1902" s="29" t="s">
        <v>560</v>
      </c>
      <c r="J1902" s="29" t="s">
        <v>1825</v>
      </c>
      <c r="K1902" s="29" t="s">
        <v>3156</v>
      </c>
      <c r="L1902" s="29" t="s">
        <v>3157</v>
      </c>
      <c r="M1902" s="29" t="s">
        <v>2100</v>
      </c>
      <c r="N1902" s="29" t="s">
        <v>2023</v>
      </c>
      <c r="O1902" s="29" t="s">
        <v>594</v>
      </c>
    </row>
    <row r="1903" spans="1:15">
      <c r="A1903" s="25">
        <v>23517</v>
      </c>
      <c r="B1903" s="34" t="s">
        <v>1650</v>
      </c>
      <c r="C1903" s="31" t="s">
        <v>521</v>
      </c>
      <c r="D1903" s="31" t="s">
        <v>1588</v>
      </c>
      <c r="E1903" s="28">
        <v>43441</v>
      </c>
      <c r="F1903" s="28">
        <v>43472</v>
      </c>
      <c r="G1903" s="28">
        <v>43830</v>
      </c>
      <c r="H1903" s="29" t="s">
        <v>560</v>
      </c>
      <c r="I1903" s="29" t="s">
        <v>560</v>
      </c>
      <c r="J1903" s="29" t="s">
        <v>1825</v>
      </c>
      <c r="K1903" s="29" t="s">
        <v>3156</v>
      </c>
      <c r="L1903" s="29" t="s">
        <v>3157</v>
      </c>
      <c r="M1903" s="29" t="s">
        <v>2167</v>
      </c>
      <c r="N1903" s="29" t="s">
        <v>1586</v>
      </c>
      <c r="O1903" s="29" t="s">
        <v>594</v>
      </c>
    </row>
    <row r="1904" spans="1:15">
      <c r="A1904" s="25" t="s">
        <v>3231</v>
      </c>
      <c r="B1904" s="34" t="s">
        <v>3232</v>
      </c>
      <c r="C1904" s="31" t="s">
        <v>521</v>
      </c>
      <c r="D1904" s="31" t="s">
        <v>788</v>
      </c>
      <c r="E1904" s="28">
        <v>40847</v>
      </c>
      <c r="F1904" s="28" t="s">
        <v>35</v>
      </c>
      <c r="G1904" s="28" t="s">
        <v>35</v>
      </c>
      <c r="H1904" s="29" t="s">
        <v>560</v>
      </c>
      <c r="I1904" s="29" t="s">
        <v>560</v>
      </c>
      <c r="J1904" s="29" t="s">
        <v>1825</v>
      </c>
      <c r="K1904" s="29" t="s">
        <v>3156</v>
      </c>
      <c r="L1904" s="29" t="s">
        <v>3157</v>
      </c>
      <c r="M1904" s="29" t="s">
        <v>2025</v>
      </c>
      <c r="N1904" s="29" t="s">
        <v>2026</v>
      </c>
      <c r="O1904" s="29" t="s">
        <v>594</v>
      </c>
    </row>
    <row r="1905" spans="1:15">
      <c r="A1905" s="25" t="s">
        <v>3233</v>
      </c>
      <c r="B1905" s="34" t="s">
        <v>3234</v>
      </c>
      <c r="C1905" s="31" t="s">
        <v>521</v>
      </c>
      <c r="D1905" s="31" t="s">
        <v>3150</v>
      </c>
      <c r="E1905" s="28">
        <v>40868</v>
      </c>
      <c r="F1905" s="28" t="s">
        <v>35</v>
      </c>
      <c r="G1905" s="28" t="s">
        <v>35</v>
      </c>
      <c r="H1905" s="31" t="s">
        <v>560</v>
      </c>
      <c r="I1905" s="31" t="s">
        <v>560</v>
      </c>
      <c r="J1905" s="29" t="s">
        <v>1825</v>
      </c>
      <c r="K1905" s="29" t="s">
        <v>3156</v>
      </c>
      <c r="L1905" s="29" t="s">
        <v>3157</v>
      </c>
      <c r="M1905" s="29" t="s">
        <v>2040</v>
      </c>
      <c r="N1905" s="29" t="s">
        <v>2041</v>
      </c>
      <c r="O1905" s="29" t="s">
        <v>594</v>
      </c>
    </row>
    <row r="1906" spans="1:15">
      <c r="A1906" s="25" t="s">
        <v>3235</v>
      </c>
      <c r="B1906" s="26" t="s">
        <v>3236</v>
      </c>
      <c r="C1906" s="27" t="s">
        <v>521</v>
      </c>
      <c r="D1906" s="27" t="s">
        <v>3150</v>
      </c>
      <c r="E1906" s="28">
        <v>40868</v>
      </c>
      <c r="F1906" s="28" t="s">
        <v>35</v>
      </c>
      <c r="G1906" s="28" t="s">
        <v>35</v>
      </c>
      <c r="H1906" s="27" t="s">
        <v>560</v>
      </c>
      <c r="I1906" s="27" t="s">
        <v>560</v>
      </c>
      <c r="J1906" s="29" t="s">
        <v>1825</v>
      </c>
      <c r="K1906" s="29" t="s">
        <v>3156</v>
      </c>
      <c r="L1906" s="29" t="s">
        <v>3157</v>
      </c>
      <c r="M1906" s="29" t="s">
        <v>2025</v>
      </c>
      <c r="N1906" s="29" t="s">
        <v>2026</v>
      </c>
      <c r="O1906" s="29" t="s">
        <v>594</v>
      </c>
    </row>
    <row r="1907" spans="1:15">
      <c r="A1907" s="25">
        <v>23552</v>
      </c>
      <c r="B1907" s="34" t="s">
        <v>3237</v>
      </c>
      <c r="C1907" s="31" t="s">
        <v>521</v>
      </c>
      <c r="D1907" s="31" t="s">
        <v>884</v>
      </c>
      <c r="E1907" s="28">
        <v>43452</v>
      </c>
      <c r="F1907" s="28">
        <v>43483</v>
      </c>
      <c r="G1907" s="28">
        <v>43861</v>
      </c>
      <c r="H1907" s="29" t="s">
        <v>560</v>
      </c>
      <c r="I1907" s="29" t="s">
        <v>560</v>
      </c>
      <c r="J1907" s="29" t="s">
        <v>1825</v>
      </c>
      <c r="K1907" s="29" t="s">
        <v>3156</v>
      </c>
      <c r="L1907" s="29" t="s">
        <v>3157</v>
      </c>
      <c r="M1907" s="29" t="s">
        <v>3238</v>
      </c>
      <c r="N1907" s="29" t="s">
        <v>1586</v>
      </c>
      <c r="O1907" s="29" t="s">
        <v>594</v>
      </c>
    </row>
    <row r="1908" spans="1:15">
      <c r="A1908" s="25">
        <v>23580</v>
      </c>
      <c r="B1908" s="34" t="s">
        <v>3239</v>
      </c>
      <c r="C1908" s="31" t="s">
        <v>521</v>
      </c>
      <c r="D1908" s="31" t="s">
        <v>884</v>
      </c>
      <c r="E1908" s="28">
        <v>43452</v>
      </c>
      <c r="F1908" s="28">
        <v>43483</v>
      </c>
      <c r="G1908" s="28">
        <v>43861</v>
      </c>
      <c r="H1908" s="29" t="s">
        <v>560</v>
      </c>
      <c r="I1908" s="29" t="s">
        <v>560</v>
      </c>
      <c r="J1908" s="29" t="s">
        <v>1825</v>
      </c>
      <c r="K1908" s="29" t="s">
        <v>3156</v>
      </c>
      <c r="L1908" s="29" t="s">
        <v>3157</v>
      </c>
      <c r="M1908" s="29" t="s">
        <v>2579</v>
      </c>
      <c r="N1908" s="29" t="s">
        <v>1586</v>
      </c>
      <c r="O1908" s="29" t="s">
        <v>594</v>
      </c>
    </row>
    <row r="1909" spans="1:15">
      <c r="A1909" s="25">
        <v>146</v>
      </c>
      <c r="B1909" s="34" t="s">
        <v>3240</v>
      </c>
      <c r="C1909" s="31" t="s">
        <v>521</v>
      </c>
      <c r="D1909" s="27" t="s">
        <v>3241</v>
      </c>
      <c r="E1909" s="28">
        <v>37637</v>
      </c>
      <c r="F1909" s="28" t="s">
        <v>35</v>
      </c>
      <c r="G1909" s="28" t="s">
        <v>35</v>
      </c>
      <c r="H1909" s="31" t="s">
        <v>560</v>
      </c>
      <c r="I1909" s="31" t="s">
        <v>560</v>
      </c>
      <c r="J1909" s="29" t="s">
        <v>1825</v>
      </c>
      <c r="K1909" s="29" t="s">
        <v>3156</v>
      </c>
      <c r="L1909" s="29" t="s">
        <v>3157</v>
      </c>
      <c r="M1909" s="29" t="s">
        <v>2052</v>
      </c>
      <c r="N1909" s="29" t="s">
        <v>2041</v>
      </c>
      <c r="O1909" s="29" t="s">
        <v>590</v>
      </c>
    </row>
    <row r="1910" spans="1:15">
      <c r="A1910" s="25">
        <v>802</v>
      </c>
      <c r="B1910" s="26" t="s">
        <v>131</v>
      </c>
      <c r="C1910" s="27" t="s">
        <v>521</v>
      </c>
      <c r="D1910" s="27" t="s">
        <v>734</v>
      </c>
      <c r="E1910" s="28">
        <v>37837</v>
      </c>
      <c r="F1910" s="28" t="s">
        <v>35</v>
      </c>
      <c r="G1910" s="28" t="s">
        <v>35</v>
      </c>
      <c r="H1910" s="29" t="s">
        <v>560</v>
      </c>
      <c r="I1910" s="29" t="s">
        <v>560</v>
      </c>
      <c r="J1910" s="29" t="s">
        <v>1825</v>
      </c>
      <c r="K1910" s="29" t="s">
        <v>3156</v>
      </c>
      <c r="L1910" s="29" t="s">
        <v>3157</v>
      </c>
      <c r="M1910" s="29" t="s">
        <v>3166</v>
      </c>
      <c r="N1910" s="29" t="s">
        <v>1434</v>
      </c>
      <c r="O1910" s="29" t="s">
        <v>590</v>
      </c>
    </row>
    <row r="1911" spans="1:15">
      <c r="A1911" s="25">
        <v>1052</v>
      </c>
      <c r="B1911" s="33" t="s">
        <v>3242</v>
      </c>
      <c r="C1911" s="27" t="s">
        <v>521</v>
      </c>
      <c r="D1911" s="27" t="s">
        <v>1139</v>
      </c>
      <c r="E1911" s="28">
        <v>37879</v>
      </c>
      <c r="F1911" s="28" t="s">
        <v>35</v>
      </c>
      <c r="G1911" s="28" t="s">
        <v>35</v>
      </c>
      <c r="H1911" s="29" t="s">
        <v>560</v>
      </c>
      <c r="I1911" s="29" t="s">
        <v>560</v>
      </c>
      <c r="J1911" s="29" t="s">
        <v>1825</v>
      </c>
      <c r="K1911" s="29" t="s">
        <v>3156</v>
      </c>
      <c r="L1911" s="29" t="s">
        <v>3157</v>
      </c>
      <c r="M1911" s="29" t="s">
        <v>2244</v>
      </c>
      <c r="N1911" s="29" t="s">
        <v>2023</v>
      </c>
      <c r="O1911" s="29" t="s">
        <v>590</v>
      </c>
    </row>
    <row r="1912" spans="1:15">
      <c r="A1912" s="25">
        <v>5725</v>
      </c>
      <c r="B1912" s="33" t="s">
        <v>3243</v>
      </c>
      <c r="C1912" s="27" t="s">
        <v>521</v>
      </c>
      <c r="D1912" s="27" t="s">
        <v>790</v>
      </c>
      <c r="E1912" s="28">
        <v>39098</v>
      </c>
      <c r="F1912" s="28" t="s">
        <v>35</v>
      </c>
      <c r="G1912" s="28" t="s">
        <v>35</v>
      </c>
      <c r="H1912" s="29" t="s">
        <v>560</v>
      </c>
      <c r="I1912" s="29" t="s">
        <v>560</v>
      </c>
      <c r="J1912" s="29" t="s">
        <v>1825</v>
      </c>
      <c r="K1912" s="29" t="s">
        <v>3156</v>
      </c>
      <c r="L1912" s="29" t="s">
        <v>3157</v>
      </c>
      <c r="M1912" s="29" t="s">
        <v>2331</v>
      </c>
      <c r="N1912" s="29" t="s">
        <v>2023</v>
      </c>
      <c r="O1912" s="29" t="s">
        <v>590</v>
      </c>
    </row>
    <row r="1913" spans="1:15">
      <c r="A1913" s="25">
        <v>5965</v>
      </c>
      <c r="B1913" s="83" t="s">
        <v>3244</v>
      </c>
      <c r="C1913" s="25" t="s">
        <v>521</v>
      </c>
      <c r="D1913" s="25" t="s">
        <v>713</v>
      </c>
      <c r="E1913" s="28">
        <v>39129</v>
      </c>
      <c r="F1913" s="28" t="s">
        <v>35</v>
      </c>
      <c r="G1913" s="28" t="s">
        <v>35</v>
      </c>
      <c r="H1913" s="29" t="s">
        <v>560</v>
      </c>
      <c r="I1913" s="29" t="s">
        <v>560</v>
      </c>
      <c r="J1913" s="29" t="s">
        <v>1825</v>
      </c>
      <c r="K1913" s="29" t="s">
        <v>3156</v>
      </c>
      <c r="L1913" s="29" t="s">
        <v>3157</v>
      </c>
      <c r="M1913" s="29" t="s">
        <v>2192</v>
      </c>
      <c r="N1913" s="29" t="s">
        <v>2031</v>
      </c>
      <c r="O1913" s="29" t="s">
        <v>590</v>
      </c>
    </row>
    <row r="1914" spans="1:15">
      <c r="A1914" s="25">
        <v>9453</v>
      </c>
      <c r="B1914" s="26" t="s">
        <v>3245</v>
      </c>
      <c r="C1914" s="27" t="s">
        <v>521</v>
      </c>
      <c r="D1914" s="27" t="s">
        <v>658</v>
      </c>
      <c r="E1914" s="28">
        <v>40148</v>
      </c>
      <c r="F1914" s="28" t="s">
        <v>35</v>
      </c>
      <c r="G1914" s="28" t="s">
        <v>35</v>
      </c>
      <c r="H1914" s="29" t="s">
        <v>560</v>
      </c>
      <c r="I1914" s="29" t="s">
        <v>560</v>
      </c>
      <c r="J1914" s="29" t="s">
        <v>1825</v>
      </c>
      <c r="K1914" s="29" t="s">
        <v>3156</v>
      </c>
      <c r="L1914" s="29" t="s">
        <v>3157</v>
      </c>
      <c r="M1914" s="29" t="s">
        <v>1550</v>
      </c>
      <c r="N1914" s="29" t="s">
        <v>1045</v>
      </c>
      <c r="O1914" s="29" t="s">
        <v>590</v>
      </c>
    </row>
    <row r="1915" spans="1:15">
      <c r="A1915" s="25">
        <v>9934</v>
      </c>
      <c r="B1915" s="26" t="s">
        <v>3246</v>
      </c>
      <c r="C1915" s="27" t="s">
        <v>521</v>
      </c>
      <c r="D1915" s="27" t="s">
        <v>803</v>
      </c>
      <c r="E1915" s="28">
        <v>40431</v>
      </c>
      <c r="F1915" s="28" t="s">
        <v>35</v>
      </c>
      <c r="G1915" s="28" t="s">
        <v>35</v>
      </c>
      <c r="H1915" s="27" t="s">
        <v>560</v>
      </c>
      <c r="I1915" s="27" t="s">
        <v>560</v>
      </c>
      <c r="J1915" s="29" t="s">
        <v>1825</v>
      </c>
      <c r="K1915" s="29" t="s">
        <v>3156</v>
      </c>
      <c r="L1915" s="29" t="s">
        <v>3157</v>
      </c>
      <c r="M1915" s="29" t="s">
        <v>2025</v>
      </c>
      <c r="N1915" s="29" t="s">
        <v>2026</v>
      </c>
      <c r="O1915" s="29" t="s">
        <v>590</v>
      </c>
    </row>
    <row r="1916" spans="1:15">
      <c r="A1916" s="25">
        <v>10237</v>
      </c>
      <c r="B1916" s="26" t="s">
        <v>3247</v>
      </c>
      <c r="C1916" s="27" t="s">
        <v>521</v>
      </c>
      <c r="D1916" s="27" t="s">
        <v>736</v>
      </c>
      <c r="E1916" s="28">
        <v>40489</v>
      </c>
      <c r="F1916" s="28" t="s">
        <v>35</v>
      </c>
      <c r="G1916" s="28" t="s">
        <v>35</v>
      </c>
      <c r="H1916" s="29" t="s">
        <v>560</v>
      </c>
      <c r="I1916" s="29" t="s">
        <v>560</v>
      </c>
      <c r="J1916" s="29" t="s">
        <v>1825</v>
      </c>
      <c r="K1916" s="29" t="s">
        <v>3156</v>
      </c>
      <c r="L1916" s="29" t="s">
        <v>3157</v>
      </c>
      <c r="M1916" s="29" t="s">
        <v>1550</v>
      </c>
      <c r="N1916" s="29" t="s">
        <v>1045</v>
      </c>
      <c r="O1916" s="29" t="s">
        <v>590</v>
      </c>
    </row>
    <row r="1917" spans="1:15">
      <c r="A1917" s="25">
        <v>12099</v>
      </c>
      <c r="B1917" s="26" t="s">
        <v>3248</v>
      </c>
      <c r="C1917" s="27" t="s">
        <v>521</v>
      </c>
      <c r="D1917" s="27" t="s">
        <v>665</v>
      </c>
      <c r="E1917" s="28">
        <v>40798</v>
      </c>
      <c r="F1917" s="28" t="s">
        <v>35</v>
      </c>
      <c r="G1917" s="28" t="s">
        <v>35</v>
      </c>
      <c r="H1917" s="29" t="s">
        <v>560</v>
      </c>
      <c r="I1917" s="29" t="s">
        <v>560</v>
      </c>
      <c r="J1917" s="29" t="s">
        <v>1825</v>
      </c>
      <c r="K1917" s="29" t="s">
        <v>3156</v>
      </c>
      <c r="L1917" s="29" t="s">
        <v>3157</v>
      </c>
      <c r="M1917" s="29" t="s">
        <v>2141</v>
      </c>
      <c r="N1917" s="29" t="s">
        <v>2031</v>
      </c>
      <c r="O1917" s="29" t="s">
        <v>590</v>
      </c>
    </row>
    <row r="1918" spans="1:15">
      <c r="A1918" s="25">
        <v>12609</v>
      </c>
      <c r="B1918" s="26" t="s">
        <v>3249</v>
      </c>
      <c r="C1918" s="27" t="s">
        <v>521</v>
      </c>
      <c r="D1918" s="27" t="s">
        <v>858</v>
      </c>
      <c r="E1918" s="28">
        <v>40816</v>
      </c>
      <c r="F1918" s="28" t="s">
        <v>35</v>
      </c>
      <c r="G1918" s="28" t="s">
        <v>35</v>
      </c>
      <c r="H1918" s="27" t="s">
        <v>560</v>
      </c>
      <c r="I1918" s="27" t="s">
        <v>560</v>
      </c>
      <c r="J1918" s="29" t="s">
        <v>1825</v>
      </c>
      <c r="K1918" s="29" t="s">
        <v>3156</v>
      </c>
      <c r="L1918" s="29" t="s">
        <v>3157</v>
      </c>
      <c r="M1918" s="29" t="s">
        <v>2120</v>
      </c>
      <c r="N1918" s="29" t="s">
        <v>1434</v>
      </c>
      <c r="O1918" s="29" t="s">
        <v>590</v>
      </c>
    </row>
    <row r="1919" spans="1:15">
      <c r="A1919" s="25">
        <v>16833</v>
      </c>
      <c r="B1919" s="26" t="s">
        <v>3250</v>
      </c>
      <c r="C1919" s="27" t="s">
        <v>521</v>
      </c>
      <c r="D1919" s="27" t="s">
        <v>3251</v>
      </c>
      <c r="E1919" s="28">
        <v>41694</v>
      </c>
      <c r="F1919" s="28" t="s">
        <v>35</v>
      </c>
      <c r="G1919" s="28" t="s">
        <v>35</v>
      </c>
      <c r="H1919" s="27" t="s">
        <v>560</v>
      </c>
      <c r="I1919" s="27" t="s">
        <v>560</v>
      </c>
      <c r="J1919" s="29" t="s">
        <v>1825</v>
      </c>
      <c r="K1919" s="29" t="s">
        <v>3156</v>
      </c>
      <c r="L1919" s="29" t="s">
        <v>3157</v>
      </c>
      <c r="M1919" s="29" t="s">
        <v>2366</v>
      </c>
      <c r="N1919" s="29" t="s">
        <v>2023</v>
      </c>
      <c r="O1919" s="29" t="s">
        <v>590</v>
      </c>
    </row>
    <row r="1920" spans="1:15">
      <c r="A1920" s="25">
        <v>20199</v>
      </c>
      <c r="B1920" s="26" t="s">
        <v>3252</v>
      </c>
      <c r="C1920" s="27" t="s">
        <v>521</v>
      </c>
      <c r="D1920" s="27" t="s">
        <v>2987</v>
      </c>
      <c r="E1920" s="28">
        <v>42604</v>
      </c>
      <c r="F1920" s="28" t="s">
        <v>35</v>
      </c>
      <c r="G1920" s="28" t="s">
        <v>35</v>
      </c>
      <c r="H1920" s="27" t="s">
        <v>560</v>
      </c>
      <c r="I1920" s="27" t="s">
        <v>560</v>
      </c>
      <c r="J1920" s="29" t="s">
        <v>1825</v>
      </c>
      <c r="K1920" s="29" t="s">
        <v>3156</v>
      </c>
      <c r="L1920" s="29" t="s">
        <v>3157</v>
      </c>
      <c r="M1920" s="29" t="s">
        <v>2238</v>
      </c>
      <c r="N1920" s="29" t="s">
        <v>1434</v>
      </c>
      <c r="O1920" s="29" t="s">
        <v>590</v>
      </c>
    </row>
    <row r="1921" spans="1:15">
      <c r="A1921" s="25">
        <v>20446</v>
      </c>
      <c r="B1921" s="26" t="s">
        <v>3253</v>
      </c>
      <c r="C1921" s="27" t="s">
        <v>521</v>
      </c>
      <c r="D1921" s="27" t="s">
        <v>1644</v>
      </c>
      <c r="E1921" s="28">
        <v>42634</v>
      </c>
      <c r="F1921" s="28">
        <v>43132</v>
      </c>
      <c r="G1921" s="28">
        <v>43496</v>
      </c>
      <c r="H1921" s="25" t="s">
        <v>560</v>
      </c>
      <c r="I1921" s="27" t="s">
        <v>560</v>
      </c>
      <c r="J1921" s="29" t="s">
        <v>1825</v>
      </c>
      <c r="K1921" s="29" t="s">
        <v>3156</v>
      </c>
      <c r="L1921" s="29" t="s">
        <v>3157</v>
      </c>
      <c r="M1921" s="29" t="s">
        <v>2040</v>
      </c>
      <c r="N1921" s="29" t="s">
        <v>2041</v>
      </c>
      <c r="O1921" s="29" t="s">
        <v>590</v>
      </c>
    </row>
    <row r="1922" spans="1:15">
      <c r="A1922" s="25">
        <v>20536</v>
      </c>
      <c r="B1922" s="26" t="s">
        <v>3254</v>
      </c>
      <c r="C1922" s="27" t="s">
        <v>521</v>
      </c>
      <c r="D1922" s="27" t="s">
        <v>1644</v>
      </c>
      <c r="E1922" s="28">
        <v>42634</v>
      </c>
      <c r="F1922" s="28">
        <v>43132</v>
      </c>
      <c r="G1922" s="28">
        <v>43496</v>
      </c>
      <c r="H1922" s="27" t="s">
        <v>560</v>
      </c>
      <c r="I1922" s="27" t="s">
        <v>560</v>
      </c>
      <c r="J1922" s="29" t="s">
        <v>1825</v>
      </c>
      <c r="K1922" s="29" t="s">
        <v>3156</v>
      </c>
      <c r="L1922" s="29" t="s">
        <v>3157</v>
      </c>
      <c r="M1922" s="29" t="s">
        <v>2057</v>
      </c>
      <c r="N1922" s="29" t="s">
        <v>2041</v>
      </c>
      <c r="O1922" s="29" t="s">
        <v>590</v>
      </c>
    </row>
    <row r="1923" spans="1:15">
      <c r="A1923" s="25">
        <v>20538</v>
      </c>
      <c r="B1923" s="26" t="s">
        <v>3255</v>
      </c>
      <c r="C1923" s="27" t="s">
        <v>521</v>
      </c>
      <c r="D1923" s="27" t="s">
        <v>1644</v>
      </c>
      <c r="E1923" s="28">
        <v>42634</v>
      </c>
      <c r="F1923" s="28">
        <v>43132</v>
      </c>
      <c r="G1923" s="28">
        <v>43496</v>
      </c>
      <c r="H1923" s="25" t="s">
        <v>560</v>
      </c>
      <c r="I1923" s="27" t="s">
        <v>560</v>
      </c>
      <c r="J1923" s="29" t="s">
        <v>1825</v>
      </c>
      <c r="K1923" s="29" t="s">
        <v>3156</v>
      </c>
      <c r="L1923" s="29" t="s">
        <v>3157</v>
      </c>
      <c r="M1923" s="29" t="s">
        <v>2084</v>
      </c>
      <c r="N1923" s="29" t="s">
        <v>1434</v>
      </c>
      <c r="O1923" s="29" t="s">
        <v>590</v>
      </c>
    </row>
    <row r="1924" spans="1:15">
      <c r="A1924" s="25">
        <v>20783</v>
      </c>
      <c r="B1924" s="26" t="s">
        <v>3256</v>
      </c>
      <c r="C1924" s="27" t="s">
        <v>521</v>
      </c>
      <c r="D1924" s="27" t="s">
        <v>815</v>
      </c>
      <c r="E1924" s="28">
        <v>42642</v>
      </c>
      <c r="F1924" s="28">
        <v>43132</v>
      </c>
      <c r="G1924" s="28">
        <v>43496</v>
      </c>
      <c r="H1924" s="25" t="s">
        <v>560</v>
      </c>
      <c r="I1924" s="25" t="s">
        <v>560</v>
      </c>
      <c r="J1924" s="29" t="s">
        <v>1825</v>
      </c>
      <c r="K1924" s="29" t="s">
        <v>3156</v>
      </c>
      <c r="L1924" s="29" t="s">
        <v>3157</v>
      </c>
      <c r="M1924" s="29" t="s">
        <v>2043</v>
      </c>
      <c r="N1924" s="29" t="s">
        <v>2041</v>
      </c>
      <c r="O1924" s="29" t="s">
        <v>590</v>
      </c>
    </row>
    <row r="1925" spans="1:15">
      <c r="A1925" s="25">
        <v>20797</v>
      </c>
      <c r="B1925" s="26" t="s">
        <v>3257</v>
      </c>
      <c r="C1925" s="27" t="s">
        <v>521</v>
      </c>
      <c r="D1925" s="27" t="s">
        <v>1684</v>
      </c>
      <c r="E1925" s="28">
        <v>42649</v>
      </c>
      <c r="F1925" s="28">
        <v>43132</v>
      </c>
      <c r="G1925" s="28">
        <v>43496</v>
      </c>
      <c r="H1925" s="25" t="s">
        <v>560</v>
      </c>
      <c r="I1925" s="27" t="s">
        <v>560</v>
      </c>
      <c r="J1925" s="29" t="s">
        <v>1825</v>
      </c>
      <c r="K1925" s="29" t="s">
        <v>3156</v>
      </c>
      <c r="L1925" s="29" t="s">
        <v>3157</v>
      </c>
      <c r="M1925" s="29" t="s">
        <v>2061</v>
      </c>
      <c r="N1925" s="29" t="s">
        <v>2041</v>
      </c>
      <c r="O1925" s="29" t="s">
        <v>590</v>
      </c>
    </row>
    <row r="1926" spans="1:15">
      <c r="A1926" s="25">
        <v>20864</v>
      </c>
      <c r="B1926" s="26" t="s">
        <v>3258</v>
      </c>
      <c r="C1926" s="27" t="s">
        <v>521</v>
      </c>
      <c r="D1926" s="27" t="s">
        <v>807</v>
      </c>
      <c r="E1926" s="28">
        <v>42660</v>
      </c>
      <c r="F1926" s="28">
        <v>43160</v>
      </c>
      <c r="G1926" s="28">
        <v>43524</v>
      </c>
      <c r="H1926" s="29" t="s">
        <v>560</v>
      </c>
      <c r="I1926" s="29" t="s">
        <v>560</v>
      </c>
      <c r="J1926" s="29" t="s">
        <v>1825</v>
      </c>
      <c r="K1926" s="29" t="s">
        <v>3156</v>
      </c>
      <c r="L1926" s="29" t="s">
        <v>3157</v>
      </c>
      <c r="M1926" s="29" t="s">
        <v>2352</v>
      </c>
      <c r="N1926" s="29" t="s">
        <v>2023</v>
      </c>
      <c r="O1926" s="29" t="s">
        <v>590</v>
      </c>
    </row>
    <row r="1927" spans="1:15">
      <c r="A1927" s="25">
        <v>20930</v>
      </c>
      <c r="B1927" s="26" t="s">
        <v>3259</v>
      </c>
      <c r="C1927" s="27" t="s">
        <v>521</v>
      </c>
      <c r="D1927" s="27" t="s">
        <v>1149</v>
      </c>
      <c r="E1927" s="28">
        <v>42667</v>
      </c>
      <c r="F1927" s="28">
        <v>43160</v>
      </c>
      <c r="G1927" s="28">
        <v>43524</v>
      </c>
      <c r="H1927" s="29" t="s">
        <v>560</v>
      </c>
      <c r="I1927" s="29" t="s">
        <v>560</v>
      </c>
      <c r="J1927" s="29" t="s">
        <v>1825</v>
      </c>
      <c r="K1927" s="29" t="s">
        <v>3156</v>
      </c>
      <c r="L1927" s="29" t="s">
        <v>3157</v>
      </c>
      <c r="M1927" s="29" t="s">
        <v>2100</v>
      </c>
      <c r="N1927" s="29" t="s">
        <v>2031</v>
      </c>
      <c r="O1927" s="29" t="s">
        <v>590</v>
      </c>
    </row>
    <row r="1928" spans="1:15">
      <c r="A1928" s="25">
        <v>20960</v>
      </c>
      <c r="B1928" s="33" t="s">
        <v>3260</v>
      </c>
      <c r="C1928" s="27" t="s">
        <v>521</v>
      </c>
      <c r="D1928" s="27" t="s">
        <v>1149</v>
      </c>
      <c r="E1928" s="28">
        <v>42667</v>
      </c>
      <c r="F1928" s="28">
        <v>43160</v>
      </c>
      <c r="G1928" s="28">
        <v>43524</v>
      </c>
      <c r="H1928" s="31" t="s">
        <v>560</v>
      </c>
      <c r="I1928" s="31" t="s">
        <v>560</v>
      </c>
      <c r="J1928" s="29" t="s">
        <v>1825</v>
      </c>
      <c r="K1928" s="29" t="s">
        <v>3156</v>
      </c>
      <c r="L1928" s="29" t="s">
        <v>3157</v>
      </c>
      <c r="M1928" s="29" t="s">
        <v>3188</v>
      </c>
      <c r="N1928" s="29" t="s">
        <v>2023</v>
      </c>
      <c r="O1928" s="29" t="s">
        <v>590</v>
      </c>
    </row>
    <row r="1929" spans="1:15">
      <c r="A1929" s="25">
        <v>21166</v>
      </c>
      <c r="B1929" s="26" t="s">
        <v>3261</v>
      </c>
      <c r="C1929" s="27" t="s">
        <v>521</v>
      </c>
      <c r="D1929" s="27" t="s">
        <v>1676</v>
      </c>
      <c r="E1929" s="28">
        <v>42871</v>
      </c>
      <c r="F1929" s="28">
        <v>43374</v>
      </c>
      <c r="G1929" s="28">
        <v>43738</v>
      </c>
      <c r="H1929" s="25" t="s">
        <v>560</v>
      </c>
      <c r="I1929" s="29" t="s">
        <v>560</v>
      </c>
      <c r="J1929" s="29" t="s">
        <v>1825</v>
      </c>
      <c r="K1929" s="29" t="s">
        <v>3156</v>
      </c>
      <c r="L1929" s="29" t="s">
        <v>3157</v>
      </c>
      <c r="M1929" s="29" t="s">
        <v>2063</v>
      </c>
      <c r="N1929" s="29" t="s">
        <v>2041</v>
      </c>
      <c r="O1929" s="29" t="s">
        <v>590</v>
      </c>
    </row>
    <row r="1930" spans="1:15">
      <c r="A1930" s="25">
        <v>21203</v>
      </c>
      <c r="B1930" s="26" t="s">
        <v>3262</v>
      </c>
      <c r="C1930" s="27" t="s">
        <v>521</v>
      </c>
      <c r="D1930" s="27" t="s">
        <v>2480</v>
      </c>
      <c r="E1930" s="28">
        <v>42877</v>
      </c>
      <c r="F1930" s="28">
        <v>43374</v>
      </c>
      <c r="G1930" s="28">
        <v>43738</v>
      </c>
      <c r="H1930" s="29" t="s">
        <v>560</v>
      </c>
      <c r="I1930" s="29" t="s">
        <v>560</v>
      </c>
      <c r="J1930" s="29" t="s">
        <v>1825</v>
      </c>
      <c r="K1930" s="29" t="s">
        <v>3156</v>
      </c>
      <c r="L1930" s="29" t="s">
        <v>3157</v>
      </c>
      <c r="M1930" s="29" t="s">
        <v>3263</v>
      </c>
      <c r="N1930" s="29" t="s">
        <v>1434</v>
      </c>
      <c r="O1930" s="29" t="s">
        <v>590</v>
      </c>
    </row>
    <row r="1931" spans="1:15">
      <c r="A1931" s="25">
        <v>21218</v>
      </c>
      <c r="B1931" s="26" t="s">
        <v>3264</v>
      </c>
      <c r="C1931" s="27" t="s">
        <v>521</v>
      </c>
      <c r="D1931" s="27" t="s">
        <v>2480</v>
      </c>
      <c r="E1931" s="28">
        <v>42877</v>
      </c>
      <c r="F1931" s="28">
        <v>43374</v>
      </c>
      <c r="G1931" s="28">
        <v>43738</v>
      </c>
      <c r="H1931" s="29" t="s">
        <v>560</v>
      </c>
      <c r="I1931" s="29" t="s">
        <v>560</v>
      </c>
      <c r="J1931" s="29" t="s">
        <v>1825</v>
      </c>
      <c r="K1931" s="29" t="s">
        <v>3156</v>
      </c>
      <c r="L1931" s="29" t="s">
        <v>3157</v>
      </c>
      <c r="M1931" s="29" t="s">
        <v>2089</v>
      </c>
      <c r="N1931" s="29" t="s">
        <v>1434</v>
      </c>
      <c r="O1931" s="29" t="s">
        <v>590</v>
      </c>
    </row>
    <row r="1932" spans="1:15">
      <c r="A1932" s="25">
        <v>21238</v>
      </c>
      <c r="B1932" s="26" t="s">
        <v>3265</v>
      </c>
      <c r="C1932" s="27" t="s">
        <v>521</v>
      </c>
      <c r="D1932" s="27" t="s">
        <v>2670</v>
      </c>
      <c r="E1932" s="28">
        <v>42893</v>
      </c>
      <c r="F1932" s="28">
        <v>43374</v>
      </c>
      <c r="G1932" s="28">
        <v>43738</v>
      </c>
      <c r="H1932" s="29" t="s">
        <v>560</v>
      </c>
      <c r="I1932" s="29" t="s">
        <v>560</v>
      </c>
      <c r="J1932" s="29" t="s">
        <v>1825</v>
      </c>
      <c r="K1932" s="29" t="s">
        <v>3156</v>
      </c>
      <c r="L1932" s="29" t="s">
        <v>3157</v>
      </c>
      <c r="M1932" s="29" t="s">
        <v>3266</v>
      </c>
      <c r="N1932" s="29" t="s">
        <v>1434</v>
      </c>
      <c r="O1932" s="29" t="s">
        <v>590</v>
      </c>
    </row>
    <row r="1933" spans="1:15">
      <c r="A1933" s="25">
        <v>21281</v>
      </c>
      <c r="B1933" s="34" t="s">
        <v>3267</v>
      </c>
      <c r="C1933" s="31" t="s">
        <v>521</v>
      </c>
      <c r="D1933" s="31" t="s">
        <v>1595</v>
      </c>
      <c r="E1933" s="28">
        <v>43010</v>
      </c>
      <c r="F1933" s="28">
        <v>43405</v>
      </c>
      <c r="G1933" s="28">
        <v>43769</v>
      </c>
      <c r="H1933" s="29" t="s">
        <v>560</v>
      </c>
      <c r="I1933" s="29" t="s">
        <v>560</v>
      </c>
      <c r="J1933" s="29" t="s">
        <v>1825</v>
      </c>
      <c r="K1933" s="29" t="s">
        <v>3156</v>
      </c>
      <c r="L1933" s="29" t="s">
        <v>3157</v>
      </c>
      <c r="M1933" s="29" t="s">
        <v>3268</v>
      </c>
      <c r="N1933" s="29" t="s">
        <v>2041</v>
      </c>
      <c r="O1933" s="29" t="s">
        <v>590</v>
      </c>
    </row>
    <row r="1934" spans="1:15">
      <c r="A1934" s="25">
        <v>21284</v>
      </c>
      <c r="B1934" s="34" t="s">
        <v>3269</v>
      </c>
      <c r="C1934" s="31" t="s">
        <v>521</v>
      </c>
      <c r="D1934" s="31" t="s">
        <v>1595</v>
      </c>
      <c r="E1934" s="28">
        <v>43010</v>
      </c>
      <c r="F1934" s="28">
        <v>43405</v>
      </c>
      <c r="G1934" s="28">
        <v>43769</v>
      </c>
      <c r="H1934" s="29" t="s">
        <v>560</v>
      </c>
      <c r="I1934" s="29" t="s">
        <v>560</v>
      </c>
      <c r="J1934" s="29" t="s">
        <v>1825</v>
      </c>
      <c r="K1934" s="29" t="s">
        <v>3156</v>
      </c>
      <c r="L1934" s="29" t="s">
        <v>3157</v>
      </c>
      <c r="M1934" s="29" t="s">
        <v>2354</v>
      </c>
      <c r="N1934" s="29" t="s">
        <v>1434</v>
      </c>
      <c r="O1934" s="29" t="s">
        <v>590</v>
      </c>
    </row>
    <row r="1935" spans="1:15">
      <c r="A1935" s="25">
        <v>21296</v>
      </c>
      <c r="B1935" s="34" t="s">
        <v>3270</v>
      </c>
      <c r="C1935" s="31" t="s">
        <v>521</v>
      </c>
      <c r="D1935" s="31" t="s">
        <v>1595</v>
      </c>
      <c r="E1935" s="28">
        <v>43010</v>
      </c>
      <c r="F1935" s="28">
        <v>43405</v>
      </c>
      <c r="G1935" s="28">
        <v>43769</v>
      </c>
      <c r="H1935" s="29" t="s">
        <v>560</v>
      </c>
      <c r="I1935" s="29" t="s">
        <v>560</v>
      </c>
      <c r="J1935" s="29" t="s">
        <v>1825</v>
      </c>
      <c r="K1935" s="29" t="s">
        <v>3156</v>
      </c>
      <c r="L1935" s="29" t="s">
        <v>3157</v>
      </c>
      <c r="M1935" s="29" t="s">
        <v>2293</v>
      </c>
      <c r="N1935" s="29" t="s">
        <v>1434</v>
      </c>
      <c r="O1935" s="29" t="s">
        <v>590</v>
      </c>
    </row>
    <row r="1936" spans="1:15">
      <c r="A1936" s="25">
        <v>21372</v>
      </c>
      <c r="B1936" s="34" t="s">
        <v>3271</v>
      </c>
      <c r="C1936" s="31" t="s">
        <v>521</v>
      </c>
      <c r="D1936" s="31" t="s">
        <v>2162</v>
      </c>
      <c r="E1936" s="28">
        <v>43013</v>
      </c>
      <c r="F1936" s="28">
        <v>43405</v>
      </c>
      <c r="G1936" s="28">
        <v>43769</v>
      </c>
      <c r="H1936" s="29" t="s">
        <v>560</v>
      </c>
      <c r="I1936" s="29" t="s">
        <v>560</v>
      </c>
      <c r="J1936" s="29" t="s">
        <v>1825</v>
      </c>
      <c r="K1936" s="29" t="s">
        <v>3156</v>
      </c>
      <c r="L1936" s="29" t="s">
        <v>3157</v>
      </c>
      <c r="M1936" s="29" t="s">
        <v>3272</v>
      </c>
      <c r="N1936" s="29" t="s">
        <v>1434</v>
      </c>
      <c r="O1936" s="29" t="s">
        <v>590</v>
      </c>
    </row>
    <row r="1937" spans="1:15">
      <c r="A1937" s="25">
        <v>21380</v>
      </c>
      <c r="B1937" s="34" t="s">
        <v>3273</v>
      </c>
      <c r="C1937" s="31" t="s">
        <v>521</v>
      </c>
      <c r="D1937" s="31" t="s">
        <v>2283</v>
      </c>
      <c r="E1937" s="28">
        <v>43018</v>
      </c>
      <c r="F1937" s="28">
        <v>43405</v>
      </c>
      <c r="G1937" s="28">
        <v>43769</v>
      </c>
      <c r="H1937" s="29" t="s">
        <v>560</v>
      </c>
      <c r="I1937" s="29" t="s">
        <v>560</v>
      </c>
      <c r="J1937" s="29" t="s">
        <v>1825</v>
      </c>
      <c r="K1937" s="29" t="s">
        <v>3156</v>
      </c>
      <c r="L1937" s="29" t="s">
        <v>3157</v>
      </c>
      <c r="M1937" s="29" t="s">
        <v>2546</v>
      </c>
      <c r="N1937" s="29" t="s">
        <v>1434</v>
      </c>
      <c r="O1937" s="29" t="s">
        <v>590</v>
      </c>
    </row>
    <row r="1938" spans="1:15">
      <c r="A1938" s="25">
        <v>21382</v>
      </c>
      <c r="B1938" s="34" t="s">
        <v>3274</v>
      </c>
      <c r="C1938" s="31" t="s">
        <v>521</v>
      </c>
      <c r="D1938" s="31" t="s">
        <v>2283</v>
      </c>
      <c r="E1938" s="28">
        <v>43018</v>
      </c>
      <c r="F1938" s="28">
        <v>43405</v>
      </c>
      <c r="G1938" s="28">
        <v>43769</v>
      </c>
      <c r="H1938" s="29" t="s">
        <v>560</v>
      </c>
      <c r="I1938" s="29" t="s">
        <v>560</v>
      </c>
      <c r="J1938" s="29" t="s">
        <v>1825</v>
      </c>
      <c r="K1938" s="29" t="s">
        <v>3156</v>
      </c>
      <c r="L1938" s="29" t="s">
        <v>3157</v>
      </c>
      <c r="M1938" s="29" t="s">
        <v>2092</v>
      </c>
      <c r="N1938" s="29" t="s">
        <v>2041</v>
      </c>
      <c r="O1938" s="29" t="s">
        <v>590</v>
      </c>
    </row>
    <row r="1939" spans="1:15">
      <c r="A1939" s="25">
        <v>21418</v>
      </c>
      <c r="B1939" s="34" t="s">
        <v>3275</v>
      </c>
      <c r="C1939" s="31" t="s">
        <v>521</v>
      </c>
      <c r="D1939" s="31" t="s">
        <v>2283</v>
      </c>
      <c r="E1939" s="28">
        <v>43018</v>
      </c>
      <c r="F1939" s="28">
        <v>43405</v>
      </c>
      <c r="G1939" s="28">
        <v>43769</v>
      </c>
      <c r="H1939" s="29" t="s">
        <v>560</v>
      </c>
      <c r="I1939" s="29" t="s">
        <v>560</v>
      </c>
      <c r="J1939" s="29" t="s">
        <v>1825</v>
      </c>
      <c r="K1939" s="29" t="s">
        <v>3156</v>
      </c>
      <c r="L1939" s="29" t="s">
        <v>3157</v>
      </c>
      <c r="M1939" s="29" t="s">
        <v>2108</v>
      </c>
      <c r="N1939" s="29" t="s">
        <v>2041</v>
      </c>
      <c r="O1939" s="29" t="s">
        <v>590</v>
      </c>
    </row>
    <row r="1940" spans="1:15">
      <c r="A1940" s="25">
        <v>21419</v>
      </c>
      <c r="B1940" s="34" t="s">
        <v>3276</v>
      </c>
      <c r="C1940" s="31" t="s">
        <v>521</v>
      </c>
      <c r="D1940" s="31" t="s">
        <v>2283</v>
      </c>
      <c r="E1940" s="28">
        <v>43018</v>
      </c>
      <c r="F1940" s="28">
        <v>43405</v>
      </c>
      <c r="G1940" s="28">
        <v>43769</v>
      </c>
      <c r="H1940" s="29" t="s">
        <v>560</v>
      </c>
      <c r="I1940" s="29" t="s">
        <v>560</v>
      </c>
      <c r="J1940" s="29" t="s">
        <v>1825</v>
      </c>
      <c r="K1940" s="29" t="s">
        <v>3156</v>
      </c>
      <c r="L1940" s="29" t="s">
        <v>3157</v>
      </c>
      <c r="M1940" s="29" t="s">
        <v>2065</v>
      </c>
      <c r="N1940" s="29" t="s">
        <v>2041</v>
      </c>
      <c r="O1940" s="29" t="s">
        <v>590</v>
      </c>
    </row>
    <row r="1941" spans="1:15">
      <c r="A1941" s="25">
        <v>21535</v>
      </c>
      <c r="B1941" s="34" t="s">
        <v>3277</v>
      </c>
      <c r="C1941" s="31" t="s">
        <v>521</v>
      </c>
      <c r="D1941" s="31" t="s">
        <v>1760</v>
      </c>
      <c r="E1941" s="28">
        <v>43045</v>
      </c>
      <c r="F1941" s="28">
        <v>43435</v>
      </c>
      <c r="G1941" s="28">
        <v>43799</v>
      </c>
      <c r="H1941" s="29" t="s">
        <v>560</v>
      </c>
      <c r="I1941" s="29" t="s">
        <v>560</v>
      </c>
      <c r="J1941" s="29" t="s">
        <v>1825</v>
      </c>
      <c r="K1941" s="29" t="s">
        <v>3156</v>
      </c>
      <c r="L1941" s="29" t="s">
        <v>3157</v>
      </c>
      <c r="M1941" s="29" t="s">
        <v>2227</v>
      </c>
      <c r="N1941" s="29" t="s">
        <v>1434</v>
      </c>
      <c r="O1941" s="29" t="s">
        <v>590</v>
      </c>
    </row>
    <row r="1942" spans="1:15">
      <c r="A1942" s="25">
        <v>21555</v>
      </c>
      <c r="B1942" s="34" t="s">
        <v>3278</v>
      </c>
      <c r="C1942" s="31" t="s">
        <v>521</v>
      </c>
      <c r="D1942" s="31" t="s">
        <v>1760</v>
      </c>
      <c r="E1942" s="28">
        <v>43045</v>
      </c>
      <c r="F1942" s="28">
        <v>43435</v>
      </c>
      <c r="G1942" s="28">
        <v>43799</v>
      </c>
      <c r="H1942" s="29" t="s">
        <v>560</v>
      </c>
      <c r="I1942" s="29" t="s">
        <v>560</v>
      </c>
      <c r="J1942" s="29" t="s">
        <v>1825</v>
      </c>
      <c r="K1942" s="29" t="s">
        <v>3156</v>
      </c>
      <c r="L1942" s="29" t="s">
        <v>3157</v>
      </c>
      <c r="M1942" s="29" t="s">
        <v>2197</v>
      </c>
      <c r="N1942" s="29" t="s">
        <v>2031</v>
      </c>
      <c r="O1942" s="29" t="s">
        <v>590</v>
      </c>
    </row>
    <row r="1943" spans="1:15">
      <c r="A1943" s="25">
        <v>21962</v>
      </c>
      <c r="B1943" s="34" t="s">
        <v>3279</v>
      </c>
      <c r="C1943" s="31" t="s">
        <v>521</v>
      </c>
      <c r="D1943" s="31" t="s">
        <v>1573</v>
      </c>
      <c r="E1943" s="28">
        <v>43116</v>
      </c>
      <c r="F1943" s="28">
        <v>43147</v>
      </c>
      <c r="G1943" s="28">
        <v>43524</v>
      </c>
      <c r="H1943" s="29" t="s">
        <v>560</v>
      </c>
      <c r="I1943" s="29" t="s">
        <v>560</v>
      </c>
      <c r="J1943" s="29" t="s">
        <v>1825</v>
      </c>
      <c r="K1943" s="29" t="s">
        <v>3156</v>
      </c>
      <c r="L1943" s="29" t="s">
        <v>3157</v>
      </c>
      <c r="M1943" s="29" t="s">
        <v>2593</v>
      </c>
      <c r="N1943" s="29" t="s">
        <v>1434</v>
      </c>
      <c r="O1943" s="29" t="s">
        <v>590</v>
      </c>
    </row>
    <row r="1944" spans="1:15">
      <c r="A1944" s="25">
        <v>22097</v>
      </c>
      <c r="B1944" s="34" t="s">
        <v>3280</v>
      </c>
      <c r="C1944" s="31" t="s">
        <v>521</v>
      </c>
      <c r="D1944" s="31" t="s">
        <v>769</v>
      </c>
      <c r="E1944" s="28">
        <v>43150</v>
      </c>
      <c r="F1944" s="28">
        <v>43178</v>
      </c>
      <c r="G1944" s="28">
        <v>43555</v>
      </c>
      <c r="H1944" s="29" t="s">
        <v>560</v>
      </c>
      <c r="I1944" s="29" t="s">
        <v>560</v>
      </c>
      <c r="J1944" s="29" t="s">
        <v>1825</v>
      </c>
      <c r="K1944" s="29" t="s">
        <v>3156</v>
      </c>
      <c r="L1944" s="29" t="s">
        <v>3157</v>
      </c>
      <c r="M1944" s="29" t="s">
        <v>2057</v>
      </c>
      <c r="N1944" s="29" t="s">
        <v>1586</v>
      </c>
      <c r="O1944" s="29" t="s">
        <v>590</v>
      </c>
    </row>
    <row r="1945" spans="1:15">
      <c r="A1945" s="25">
        <v>22395</v>
      </c>
      <c r="B1945" s="34" t="s">
        <v>3281</v>
      </c>
      <c r="C1945" s="31" t="s">
        <v>521</v>
      </c>
      <c r="D1945" s="31" t="s">
        <v>805</v>
      </c>
      <c r="E1945" s="28">
        <v>43213</v>
      </c>
      <c r="F1945" s="28">
        <v>43243</v>
      </c>
      <c r="G1945" s="28">
        <v>43616</v>
      </c>
      <c r="H1945" s="29" t="s">
        <v>560</v>
      </c>
      <c r="I1945" s="29" t="s">
        <v>560</v>
      </c>
      <c r="J1945" s="29" t="s">
        <v>1825</v>
      </c>
      <c r="K1945" s="29" t="s">
        <v>3156</v>
      </c>
      <c r="L1945" s="29" t="s">
        <v>3157</v>
      </c>
      <c r="M1945" s="29" t="s">
        <v>3282</v>
      </c>
      <c r="N1945" s="29" t="s">
        <v>1434</v>
      </c>
      <c r="O1945" s="29" t="s">
        <v>590</v>
      </c>
    </row>
    <row r="1946" spans="1:15">
      <c r="A1946" s="25">
        <v>22457</v>
      </c>
      <c r="B1946" s="34" t="s">
        <v>3283</v>
      </c>
      <c r="C1946" s="31" t="s">
        <v>521</v>
      </c>
      <c r="D1946" s="31" t="s">
        <v>1577</v>
      </c>
      <c r="E1946" s="28">
        <v>43220</v>
      </c>
      <c r="F1946" s="28">
        <v>43250</v>
      </c>
      <c r="G1946" s="28">
        <v>43616</v>
      </c>
      <c r="H1946" s="29" t="s">
        <v>560</v>
      </c>
      <c r="I1946" s="29" t="s">
        <v>560</v>
      </c>
      <c r="J1946" s="29" t="s">
        <v>1825</v>
      </c>
      <c r="K1946" s="29" t="s">
        <v>3156</v>
      </c>
      <c r="L1946" s="29" t="s">
        <v>3157</v>
      </c>
      <c r="M1946" s="29" t="s">
        <v>2328</v>
      </c>
      <c r="N1946" s="29" t="s">
        <v>2080</v>
      </c>
      <c r="O1946" s="29" t="s">
        <v>590</v>
      </c>
    </row>
    <row r="1947" spans="1:15">
      <c r="A1947" s="25">
        <v>22746</v>
      </c>
      <c r="B1947" s="34" t="s">
        <v>3284</v>
      </c>
      <c r="C1947" s="31" t="s">
        <v>521</v>
      </c>
      <c r="D1947" s="31" t="s">
        <v>771</v>
      </c>
      <c r="E1947" s="28">
        <v>43255</v>
      </c>
      <c r="F1947" s="28">
        <v>43285</v>
      </c>
      <c r="G1947" s="28">
        <v>43646</v>
      </c>
      <c r="H1947" s="29" t="s">
        <v>560</v>
      </c>
      <c r="I1947" s="29" t="s">
        <v>560</v>
      </c>
      <c r="J1947" s="29" t="s">
        <v>1825</v>
      </c>
      <c r="K1947" s="29" t="s">
        <v>3156</v>
      </c>
      <c r="L1947" s="29" t="s">
        <v>3157</v>
      </c>
      <c r="M1947" s="29" t="s">
        <v>3285</v>
      </c>
      <c r="N1947" s="29" t="s">
        <v>1434</v>
      </c>
      <c r="O1947" s="29" t="s">
        <v>590</v>
      </c>
    </row>
    <row r="1948" spans="1:15">
      <c r="A1948" s="25">
        <v>22771</v>
      </c>
      <c r="B1948" s="34" t="s">
        <v>3286</v>
      </c>
      <c r="C1948" s="31" t="s">
        <v>521</v>
      </c>
      <c r="D1948" s="31" t="s">
        <v>771</v>
      </c>
      <c r="E1948" s="28">
        <v>43255</v>
      </c>
      <c r="F1948" s="28">
        <v>43285</v>
      </c>
      <c r="G1948" s="28">
        <v>43646</v>
      </c>
      <c r="H1948" s="29" t="s">
        <v>560</v>
      </c>
      <c r="I1948" s="29" t="s">
        <v>560</v>
      </c>
      <c r="J1948" s="29" t="s">
        <v>1825</v>
      </c>
      <c r="K1948" s="29" t="s">
        <v>3156</v>
      </c>
      <c r="L1948" s="29" t="s">
        <v>3157</v>
      </c>
      <c r="M1948" s="29" t="s">
        <v>2627</v>
      </c>
      <c r="N1948" s="29" t="s">
        <v>2080</v>
      </c>
      <c r="O1948" s="29" t="s">
        <v>590</v>
      </c>
    </row>
    <row r="1949" spans="1:15">
      <c r="A1949" s="25">
        <v>22918</v>
      </c>
      <c r="B1949" s="34" t="s">
        <v>3287</v>
      </c>
      <c r="C1949" s="31" t="s">
        <v>521</v>
      </c>
      <c r="D1949" s="31" t="s">
        <v>1962</v>
      </c>
      <c r="E1949" s="28">
        <v>43343</v>
      </c>
      <c r="F1949" s="28">
        <v>43374</v>
      </c>
      <c r="G1949" s="28">
        <v>43738</v>
      </c>
      <c r="H1949" s="29" t="s">
        <v>560</v>
      </c>
      <c r="I1949" s="29" t="s">
        <v>560</v>
      </c>
      <c r="J1949" s="29" t="s">
        <v>1825</v>
      </c>
      <c r="K1949" s="29" t="s">
        <v>3156</v>
      </c>
      <c r="L1949" s="29" t="s">
        <v>3157</v>
      </c>
      <c r="M1949" s="29" t="s">
        <v>3288</v>
      </c>
      <c r="N1949" s="29" t="s">
        <v>1434</v>
      </c>
      <c r="O1949" s="29" t="s">
        <v>590</v>
      </c>
    </row>
    <row r="1950" spans="1:15">
      <c r="A1950" s="25">
        <v>22935</v>
      </c>
      <c r="B1950" s="34" t="s">
        <v>3289</v>
      </c>
      <c r="C1950" s="31" t="s">
        <v>521</v>
      </c>
      <c r="D1950" s="31" t="s">
        <v>1962</v>
      </c>
      <c r="E1950" s="28">
        <v>43343</v>
      </c>
      <c r="F1950" s="28">
        <v>43374</v>
      </c>
      <c r="G1950" s="28">
        <v>43738</v>
      </c>
      <c r="H1950" s="29" t="s">
        <v>560</v>
      </c>
      <c r="I1950" s="29" t="s">
        <v>560</v>
      </c>
      <c r="J1950" s="29" t="s">
        <v>1825</v>
      </c>
      <c r="K1950" s="29" t="s">
        <v>3156</v>
      </c>
      <c r="L1950" s="29" t="s">
        <v>3157</v>
      </c>
      <c r="M1950" s="29" t="s">
        <v>3290</v>
      </c>
      <c r="N1950" s="29" t="s">
        <v>1434</v>
      </c>
      <c r="O1950" s="29" t="s">
        <v>590</v>
      </c>
    </row>
    <row r="1951" spans="1:15">
      <c r="A1951" s="25">
        <v>23024</v>
      </c>
      <c r="B1951" s="34" t="s">
        <v>3291</v>
      </c>
      <c r="C1951" s="31" t="s">
        <v>521</v>
      </c>
      <c r="D1951" s="31" t="s">
        <v>1872</v>
      </c>
      <c r="E1951" s="28">
        <v>43361</v>
      </c>
      <c r="F1951" s="28">
        <v>43391</v>
      </c>
      <c r="G1951" s="28">
        <v>43769</v>
      </c>
      <c r="H1951" s="29" t="s">
        <v>560</v>
      </c>
      <c r="I1951" s="29" t="s">
        <v>560</v>
      </c>
      <c r="J1951" s="29" t="s">
        <v>1825</v>
      </c>
      <c r="K1951" s="29" t="s">
        <v>3156</v>
      </c>
      <c r="L1951" s="29" t="s">
        <v>3157</v>
      </c>
      <c r="M1951" s="29" t="s">
        <v>2324</v>
      </c>
      <c r="N1951" s="29" t="s">
        <v>2080</v>
      </c>
      <c r="O1951" s="29" t="s">
        <v>590</v>
      </c>
    </row>
    <row r="1952" spans="1:15">
      <c r="A1952" s="25">
        <v>23026</v>
      </c>
      <c r="B1952" s="34" t="s">
        <v>3292</v>
      </c>
      <c r="C1952" s="31" t="s">
        <v>521</v>
      </c>
      <c r="D1952" s="31" t="s">
        <v>1872</v>
      </c>
      <c r="E1952" s="28">
        <v>43361</v>
      </c>
      <c r="F1952" s="28">
        <v>43391</v>
      </c>
      <c r="G1952" s="28">
        <v>43769</v>
      </c>
      <c r="H1952" s="29" t="s">
        <v>560</v>
      </c>
      <c r="I1952" s="29" t="s">
        <v>560</v>
      </c>
      <c r="J1952" s="29" t="s">
        <v>1825</v>
      </c>
      <c r="K1952" s="29" t="s">
        <v>3156</v>
      </c>
      <c r="L1952" s="29" t="s">
        <v>3157</v>
      </c>
      <c r="M1952" s="29" t="s">
        <v>3192</v>
      </c>
      <c r="N1952" s="29" t="s">
        <v>2041</v>
      </c>
      <c r="O1952" s="29" t="s">
        <v>590</v>
      </c>
    </row>
    <row r="1953" spans="1:15">
      <c r="A1953" s="25">
        <v>23255</v>
      </c>
      <c r="B1953" s="34" t="s">
        <v>3293</v>
      </c>
      <c r="C1953" s="31" t="s">
        <v>521</v>
      </c>
      <c r="D1953" s="31" t="s">
        <v>1582</v>
      </c>
      <c r="E1953" s="28">
        <v>43421</v>
      </c>
      <c r="F1953" s="28">
        <v>43451</v>
      </c>
      <c r="G1953" s="28">
        <v>43830</v>
      </c>
      <c r="H1953" s="29" t="s">
        <v>560</v>
      </c>
      <c r="I1953" s="29" t="s">
        <v>560</v>
      </c>
      <c r="J1953" s="29" t="s">
        <v>1825</v>
      </c>
      <c r="K1953" s="29" t="s">
        <v>3156</v>
      </c>
      <c r="L1953" s="29" t="s">
        <v>3157</v>
      </c>
      <c r="M1953" s="29" t="s">
        <v>3294</v>
      </c>
      <c r="N1953" s="29" t="s">
        <v>1434</v>
      </c>
      <c r="O1953" s="29" t="s">
        <v>590</v>
      </c>
    </row>
    <row r="1954" spans="1:15">
      <c r="A1954" s="25">
        <v>23265</v>
      </c>
      <c r="B1954" s="34" t="s">
        <v>3295</v>
      </c>
      <c r="C1954" s="31" t="s">
        <v>521</v>
      </c>
      <c r="D1954" s="31" t="s">
        <v>1582</v>
      </c>
      <c r="E1954" s="28">
        <v>43421</v>
      </c>
      <c r="F1954" s="28">
        <v>43451</v>
      </c>
      <c r="G1954" s="28">
        <v>43830</v>
      </c>
      <c r="H1954" s="29" t="s">
        <v>560</v>
      </c>
      <c r="I1954" s="29" t="s">
        <v>560</v>
      </c>
      <c r="J1954" s="29" t="s">
        <v>1825</v>
      </c>
      <c r="K1954" s="29" t="s">
        <v>3156</v>
      </c>
      <c r="L1954" s="29" t="s">
        <v>3157</v>
      </c>
      <c r="M1954" s="29" t="s">
        <v>2072</v>
      </c>
      <c r="N1954" s="29" t="s">
        <v>1434</v>
      </c>
      <c r="O1954" s="29" t="s">
        <v>590</v>
      </c>
    </row>
    <row r="1955" spans="1:15">
      <c r="A1955" s="25">
        <v>23291</v>
      </c>
      <c r="B1955" s="34" t="s">
        <v>3296</v>
      </c>
      <c r="C1955" s="31" t="s">
        <v>521</v>
      </c>
      <c r="D1955" s="31" t="s">
        <v>1527</v>
      </c>
      <c r="E1955" s="28">
        <v>43427</v>
      </c>
      <c r="F1955" s="28">
        <v>43457</v>
      </c>
      <c r="G1955" s="28">
        <v>43830</v>
      </c>
      <c r="H1955" s="29" t="s">
        <v>560</v>
      </c>
      <c r="I1955" s="29" t="s">
        <v>560</v>
      </c>
      <c r="J1955" s="29" t="s">
        <v>1825</v>
      </c>
      <c r="K1955" s="29" t="s">
        <v>3156</v>
      </c>
      <c r="L1955" s="29" t="s">
        <v>3157</v>
      </c>
      <c r="M1955" s="29" t="s">
        <v>2085</v>
      </c>
      <c r="N1955" s="29" t="s">
        <v>1434</v>
      </c>
      <c r="O1955" s="29" t="s">
        <v>590</v>
      </c>
    </row>
    <row r="1956" spans="1:15">
      <c r="A1956" s="25">
        <v>23332</v>
      </c>
      <c r="B1956" s="34" t="s">
        <v>1877</v>
      </c>
      <c r="C1956" s="31" t="s">
        <v>521</v>
      </c>
      <c r="D1956" s="31" t="s">
        <v>1527</v>
      </c>
      <c r="E1956" s="28">
        <v>43427</v>
      </c>
      <c r="F1956" s="28">
        <v>43457</v>
      </c>
      <c r="G1956" s="28">
        <v>43830</v>
      </c>
      <c r="H1956" s="29" t="s">
        <v>560</v>
      </c>
      <c r="I1956" s="29" t="s">
        <v>560</v>
      </c>
      <c r="J1956" s="29" t="s">
        <v>1825</v>
      </c>
      <c r="K1956" s="29" t="s">
        <v>3156</v>
      </c>
      <c r="L1956" s="29" t="s">
        <v>3157</v>
      </c>
      <c r="M1956" s="29" t="s">
        <v>2206</v>
      </c>
      <c r="N1956" s="29" t="s">
        <v>1586</v>
      </c>
      <c r="O1956" s="29" t="s">
        <v>590</v>
      </c>
    </row>
    <row r="1957" spans="1:15">
      <c r="A1957" s="25">
        <v>23343</v>
      </c>
      <c r="B1957" s="34" t="s">
        <v>3297</v>
      </c>
      <c r="C1957" s="31" t="s">
        <v>521</v>
      </c>
      <c r="D1957" s="31" t="s">
        <v>1527</v>
      </c>
      <c r="E1957" s="28">
        <v>43427</v>
      </c>
      <c r="F1957" s="28">
        <v>43457</v>
      </c>
      <c r="G1957" s="28">
        <v>43830</v>
      </c>
      <c r="H1957" s="29" t="s">
        <v>560</v>
      </c>
      <c r="I1957" s="29" t="s">
        <v>560</v>
      </c>
      <c r="J1957" s="29" t="s">
        <v>1825</v>
      </c>
      <c r="K1957" s="29" t="s">
        <v>3156</v>
      </c>
      <c r="L1957" s="29" t="s">
        <v>3157</v>
      </c>
      <c r="M1957" s="29" t="s">
        <v>2502</v>
      </c>
      <c r="N1957" s="29" t="s">
        <v>1586</v>
      </c>
      <c r="O1957" s="29" t="s">
        <v>590</v>
      </c>
    </row>
    <row r="1958" spans="1:15">
      <c r="A1958" s="25">
        <v>23516</v>
      </c>
      <c r="B1958" s="34" t="s">
        <v>3298</v>
      </c>
      <c r="C1958" s="31" t="s">
        <v>521</v>
      </c>
      <c r="D1958" s="31" t="s">
        <v>1588</v>
      </c>
      <c r="E1958" s="28">
        <v>43441</v>
      </c>
      <c r="F1958" s="28">
        <v>43472</v>
      </c>
      <c r="G1958" s="28">
        <v>43830</v>
      </c>
      <c r="H1958" s="29" t="s">
        <v>560</v>
      </c>
      <c r="I1958" s="29" t="s">
        <v>560</v>
      </c>
      <c r="J1958" s="29" t="s">
        <v>1825</v>
      </c>
      <c r="K1958" s="29" t="s">
        <v>3156</v>
      </c>
      <c r="L1958" s="29" t="s">
        <v>3157</v>
      </c>
      <c r="M1958" s="29" t="s">
        <v>1593</v>
      </c>
      <c r="N1958" s="29" t="s">
        <v>1586</v>
      </c>
      <c r="O1958" s="29" t="s">
        <v>590</v>
      </c>
    </row>
    <row r="1959" spans="1:15">
      <c r="A1959" s="25">
        <v>23518</v>
      </c>
      <c r="B1959" s="34" t="s">
        <v>3299</v>
      </c>
      <c r="C1959" s="31" t="s">
        <v>521</v>
      </c>
      <c r="D1959" s="31" t="s">
        <v>1588</v>
      </c>
      <c r="E1959" s="28">
        <v>43441</v>
      </c>
      <c r="F1959" s="28">
        <v>43472</v>
      </c>
      <c r="G1959" s="28">
        <v>43830</v>
      </c>
      <c r="H1959" s="29" t="s">
        <v>560</v>
      </c>
      <c r="I1959" s="29" t="s">
        <v>560</v>
      </c>
      <c r="J1959" s="29" t="s">
        <v>1825</v>
      </c>
      <c r="K1959" s="29" t="s">
        <v>3156</v>
      </c>
      <c r="L1959" s="29" t="s">
        <v>3157</v>
      </c>
      <c r="M1959" s="29" t="s">
        <v>1593</v>
      </c>
      <c r="N1959" s="29" t="s">
        <v>1586</v>
      </c>
      <c r="O1959" s="29" t="s">
        <v>590</v>
      </c>
    </row>
    <row r="1960" spans="1:15">
      <c r="A1960" s="25" t="s">
        <v>3300</v>
      </c>
      <c r="B1960" s="26" t="s">
        <v>3301</v>
      </c>
      <c r="C1960" s="27" t="s">
        <v>521</v>
      </c>
      <c r="D1960" s="27" t="s">
        <v>3302</v>
      </c>
      <c r="E1960" s="28">
        <v>42289</v>
      </c>
      <c r="F1960" s="28" t="s">
        <v>35</v>
      </c>
      <c r="G1960" s="28" t="s">
        <v>35</v>
      </c>
      <c r="H1960" s="27" t="s">
        <v>560</v>
      </c>
      <c r="I1960" s="27" t="s">
        <v>560</v>
      </c>
      <c r="J1960" s="29" t="s">
        <v>1825</v>
      </c>
      <c r="K1960" s="29" t="s">
        <v>3156</v>
      </c>
      <c r="L1960" s="29" t="s">
        <v>3157</v>
      </c>
      <c r="M1960" s="29" t="s">
        <v>2025</v>
      </c>
      <c r="N1960" s="29" t="s">
        <v>2026</v>
      </c>
      <c r="O1960" s="29" t="s">
        <v>590</v>
      </c>
    </row>
    <row r="1961" spans="1:15">
      <c r="A1961" s="25" t="s">
        <v>3303</v>
      </c>
      <c r="B1961" s="26" t="s">
        <v>3304</v>
      </c>
      <c r="C1961" s="27" t="s">
        <v>521</v>
      </c>
      <c r="D1961" s="27" t="s">
        <v>2584</v>
      </c>
      <c r="E1961" s="28">
        <v>42634</v>
      </c>
      <c r="F1961" s="28">
        <v>43132</v>
      </c>
      <c r="G1961" s="28">
        <v>43496</v>
      </c>
      <c r="H1961" s="27" t="s">
        <v>560</v>
      </c>
      <c r="I1961" s="27" t="s">
        <v>560</v>
      </c>
      <c r="J1961" s="29" t="s">
        <v>1825</v>
      </c>
      <c r="K1961" s="29" t="s">
        <v>3156</v>
      </c>
      <c r="L1961" s="29" t="s">
        <v>3157</v>
      </c>
      <c r="M1961" s="29" t="s">
        <v>2077</v>
      </c>
      <c r="N1961" s="29" t="s">
        <v>2077</v>
      </c>
      <c r="O1961" s="29" t="s">
        <v>590</v>
      </c>
    </row>
    <row r="1962" spans="1:15">
      <c r="A1962" s="25">
        <v>23581</v>
      </c>
      <c r="B1962" s="34" t="s">
        <v>1943</v>
      </c>
      <c r="C1962" s="31" t="s">
        <v>521</v>
      </c>
      <c r="D1962" s="31" t="s">
        <v>884</v>
      </c>
      <c r="E1962" s="28">
        <v>43452</v>
      </c>
      <c r="F1962" s="28">
        <v>43483</v>
      </c>
      <c r="G1962" s="28">
        <v>43861</v>
      </c>
      <c r="H1962" s="29" t="s">
        <v>560</v>
      </c>
      <c r="I1962" s="29" t="s">
        <v>560</v>
      </c>
      <c r="J1962" s="29" t="s">
        <v>1825</v>
      </c>
      <c r="K1962" s="29" t="s">
        <v>3156</v>
      </c>
      <c r="L1962" s="29" t="s">
        <v>3157</v>
      </c>
      <c r="M1962" s="29" t="s">
        <v>1593</v>
      </c>
      <c r="N1962" s="29" t="s">
        <v>1586</v>
      </c>
      <c r="O1962" s="29" t="s">
        <v>590</v>
      </c>
    </row>
    <row r="1963" spans="1:15">
      <c r="A1963" s="25">
        <v>5415</v>
      </c>
      <c r="B1963" s="26" t="s">
        <v>2551</v>
      </c>
      <c r="C1963" s="27" t="s">
        <v>521</v>
      </c>
      <c r="D1963" s="27" t="s">
        <v>760</v>
      </c>
      <c r="E1963" s="28">
        <v>38991</v>
      </c>
      <c r="F1963" s="28" t="s">
        <v>35</v>
      </c>
      <c r="G1963" s="28" t="s">
        <v>35</v>
      </c>
      <c r="H1963" s="27" t="s">
        <v>560</v>
      </c>
      <c r="I1963" s="27" t="s">
        <v>560</v>
      </c>
      <c r="J1963" s="29" t="s">
        <v>1825</v>
      </c>
      <c r="K1963" s="29" t="s">
        <v>3305</v>
      </c>
      <c r="L1963" s="29" t="s">
        <v>3306</v>
      </c>
      <c r="M1963" s="29" t="s">
        <v>2108</v>
      </c>
      <c r="N1963" s="29" t="s">
        <v>2041</v>
      </c>
      <c r="O1963" s="29" t="s">
        <v>594</v>
      </c>
    </row>
    <row r="1964" spans="1:15">
      <c r="A1964" s="25">
        <v>9532</v>
      </c>
      <c r="B1964" s="26" t="s">
        <v>3307</v>
      </c>
      <c r="C1964" s="27" t="s">
        <v>521</v>
      </c>
      <c r="D1964" s="27" t="s">
        <v>658</v>
      </c>
      <c r="E1964" s="28">
        <v>40148</v>
      </c>
      <c r="F1964" s="28" t="s">
        <v>35</v>
      </c>
      <c r="G1964" s="28" t="s">
        <v>35</v>
      </c>
      <c r="H1964" s="27" t="s">
        <v>560</v>
      </c>
      <c r="I1964" s="27" t="s">
        <v>560</v>
      </c>
      <c r="J1964" s="29" t="s">
        <v>1825</v>
      </c>
      <c r="K1964" s="29" t="s">
        <v>3305</v>
      </c>
      <c r="L1964" s="29" t="s">
        <v>3306</v>
      </c>
      <c r="M1964" s="29" t="s">
        <v>1550</v>
      </c>
      <c r="N1964" s="29" t="s">
        <v>1045</v>
      </c>
      <c r="O1964" s="29" t="s">
        <v>594</v>
      </c>
    </row>
    <row r="1965" spans="1:15">
      <c r="A1965" s="25">
        <v>10142</v>
      </c>
      <c r="B1965" s="26" t="s">
        <v>3308</v>
      </c>
      <c r="C1965" s="27" t="s">
        <v>521</v>
      </c>
      <c r="D1965" s="27" t="s">
        <v>1768</v>
      </c>
      <c r="E1965" s="28">
        <v>40452</v>
      </c>
      <c r="F1965" s="28" t="s">
        <v>35</v>
      </c>
      <c r="G1965" s="28" t="s">
        <v>35</v>
      </c>
      <c r="H1965" s="29" t="s">
        <v>560</v>
      </c>
      <c r="I1965" s="29" t="s">
        <v>560</v>
      </c>
      <c r="J1965" s="29" t="s">
        <v>1825</v>
      </c>
      <c r="K1965" s="29" t="s">
        <v>3305</v>
      </c>
      <c r="L1965" s="29" t="s">
        <v>3306</v>
      </c>
      <c r="M1965" s="29" t="s">
        <v>1550</v>
      </c>
      <c r="N1965" s="29" t="s">
        <v>1045</v>
      </c>
      <c r="O1965" s="29" t="s">
        <v>594</v>
      </c>
    </row>
    <row r="1966" spans="1:15">
      <c r="A1966" s="25">
        <v>10562</v>
      </c>
      <c r="B1966" s="26" t="s">
        <v>3309</v>
      </c>
      <c r="C1966" s="27" t="s">
        <v>521</v>
      </c>
      <c r="D1966" s="27" t="s">
        <v>1672</v>
      </c>
      <c r="E1966" s="28">
        <v>40542</v>
      </c>
      <c r="F1966" s="28" t="s">
        <v>35</v>
      </c>
      <c r="G1966" s="28" t="s">
        <v>35</v>
      </c>
      <c r="H1966" s="27" t="s">
        <v>560</v>
      </c>
      <c r="I1966" s="27" t="s">
        <v>560</v>
      </c>
      <c r="J1966" s="29" t="s">
        <v>1825</v>
      </c>
      <c r="K1966" s="29" t="s">
        <v>3305</v>
      </c>
      <c r="L1966" s="29" t="s">
        <v>3306</v>
      </c>
      <c r="M1966" s="29" t="s">
        <v>2043</v>
      </c>
      <c r="N1966" s="29" t="s">
        <v>2041</v>
      </c>
      <c r="O1966" s="29" t="s">
        <v>594</v>
      </c>
    </row>
    <row r="1967" spans="1:15">
      <c r="A1967" s="25">
        <v>10949</v>
      </c>
      <c r="B1967" s="26" t="s">
        <v>463</v>
      </c>
      <c r="C1967" s="27" t="s">
        <v>521</v>
      </c>
      <c r="D1967" s="27" t="s">
        <v>670</v>
      </c>
      <c r="E1967" s="28">
        <v>40578</v>
      </c>
      <c r="F1967" s="28" t="s">
        <v>35</v>
      </c>
      <c r="G1967" s="28" t="s">
        <v>35</v>
      </c>
      <c r="H1967" s="29" t="s">
        <v>560</v>
      </c>
      <c r="I1967" s="29" t="s">
        <v>560</v>
      </c>
      <c r="J1967" s="29" t="s">
        <v>1825</v>
      </c>
      <c r="K1967" s="29" t="s">
        <v>3305</v>
      </c>
      <c r="L1967" s="29" t="s">
        <v>3306</v>
      </c>
      <c r="M1967" s="29" t="s">
        <v>2141</v>
      </c>
      <c r="N1967" s="29" t="s">
        <v>2031</v>
      </c>
      <c r="O1967" s="29" t="s">
        <v>594</v>
      </c>
    </row>
    <row r="1968" spans="1:15">
      <c r="A1968" s="25">
        <v>11683</v>
      </c>
      <c r="B1968" s="26" t="s">
        <v>3310</v>
      </c>
      <c r="C1968" s="27" t="s">
        <v>521</v>
      </c>
      <c r="D1968" s="27" t="s">
        <v>675</v>
      </c>
      <c r="E1968" s="28">
        <v>40714</v>
      </c>
      <c r="F1968" s="28" t="s">
        <v>35</v>
      </c>
      <c r="G1968" s="28" t="s">
        <v>35</v>
      </c>
      <c r="H1968" s="29" t="s">
        <v>560</v>
      </c>
      <c r="I1968" s="29" t="s">
        <v>560</v>
      </c>
      <c r="J1968" s="29" t="s">
        <v>1825</v>
      </c>
      <c r="K1968" s="29" t="s">
        <v>3305</v>
      </c>
      <c r="L1968" s="29" t="s">
        <v>3306</v>
      </c>
      <c r="M1968" s="29" t="s">
        <v>2197</v>
      </c>
      <c r="N1968" s="29" t="s">
        <v>2031</v>
      </c>
      <c r="O1968" s="29" t="s">
        <v>594</v>
      </c>
    </row>
    <row r="1969" spans="1:15">
      <c r="A1969" s="25">
        <v>19957</v>
      </c>
      <c r="B1969" s="26" t="s">
        <v>3311</v>
      </c>
      <c r="C1969" s="27" t="s">
        <v>521</v>
      </c>
      <c r="D1969" s="27" t="s">
        <v>2054</v>
      </c>
      <c r="E1969" s="28">
        <v>42506</v>
      </c>
      <c r="F1969" s="28" t="s">
        <v>35</v>
      </c>
      <c r="G1969" s="28" t="s">
        <v>35</v>
      </c>
      <c r="H1969" s="27" t="s">
        <v>560</v>
      </c>
      <c r="I1969" s="27" t="s">
        <v>560</v>
      </c>
      <c r="J1969" s="29" t="s">
        <v>1825</v>
      </c>
      <c r="K1969" s="29" t="s">
        <v>3305</v>
      </c>
      <c r="L1969" s="29" t="s">
        <v>3306</v>
      </c>
      <c r="M1969" s="29" t="s">
        <v>2094</v>
      </c>
      <c r="N1969" s="29" t="s">
        <v>1434</v>
      </c>
      <c r="O1969" s="29" t="s">
        <v>594</v>
      </c>
    </row>
    <row r="1970" spans="1:15">
      <c r="A1970" s="25">
        <v>20684</v>
      </c>
      <c r="B1970" s="26" t="s">
        <v>3312</v>
      </c>
      <c r="C1970" s="27" t="s">
        <v>521</v>
      </c>
      <c r="D1970" s="27" t="s">
        <v>673</v>
      </c>
      <c r="E1970" s="28">
        <v>42639</v>
      </c>
      <c r="F1970" s="28">
        <v>43132</v>
      </c>
      <c r="G1970" s="28">
        <v>43496</v>
      </c>
      <c r="H1970" s="25" t="s">
        <v>560</v>
      </c>
      <c r="I1970" s="25" t="s">
        <v>560</v>
      </c>
      <c r="J1970" s="29" t="s">
        <v>1825</v>
      </c>
      <c r="K1970" s="29" t="s">
        <v>3305</v>
      </c>
      <c r="L1970" s="29" t="s">
        <v>3306</v>
      </c>
      <c r="M1970" s="29" t="s">
        <v>2048</v>
      </c>
      <c r="N1970" s="29" t="s">
        <v>1434</v>
      </c>
      <c r="O1970" s="29" t="s">
        <v>594</v>
      </c>
    </row>
    <row r="1971" spans="1:15">
      <c r="A1971" s="25">
        <v>20793</v>
      </c>
      <c r="B1971" s="26" t="s">
        <v>3313</v>
      </c>
      <c r="C1971" s="27" t="s">
        <v>521</v>
      </c>
      <c r="D1971" s="27" t="s">
        <v>1684</v>
      </c>
      <c r="E1971" s="28">
        <v>42649</v>
      </c>
      <c r="F1971" s="28">
        <v>43132</v>
      </c>
      <c r="G1971" s="28">
        <v>43496</v>
      </c>
      <c r="H1971" s="29" t="s">
        <v>560</v>
      </c>
      <c r="I1971" s="29" t="s">
        <v>560</v>
      </c>
      <c r="J1971" s="29" t="s">
        <v>1825</v>
      </c>
      <c r="K1971" s="29" t="s">
        <v>3305</v>
      </c>
      <c r="L1971" s="29" t="s">
        <v>3306</v>
      </c>
      <c r="M1971" s="29" t="s">
        <v>2331</v>
      </c>
      <c r="N1971" s="29" t="s">
        <v>2023</v>
      </c>
      <c r="O1971" s="29" t="s">
        <v>594</v>
      </c>
    </row>
    <row r="1972" spans="1:15">
      <c r="A1972" s="25">
        <v>21055</v>
      </c>
      <c r="B1972" s="26" t="s">
        <v>3314</v>
      </c>
      <c r="C1972" s="27" t="s">
        <v>521</v>
      </c>
      <c r="D1972" s="27" t="s">
        <v>3315</v>
      </c>
      <c r="E1972" s="28">
        <v>42863</v>
      </c>
      <c r="F1972" s="28">
        <v>43344</v>
      </c>
      <c r="G1972" s="28">
        <v>43708</v>
      </c>
      <c r="H1972" s="25" t="s">
        <v>560</v>
      </c>
      <c r="I1972" s="27" t="s">
        <v>560</v>
      </c>
      <c r="J1972" s="29" t="s">
        <v>1825</v>
      </c>
      <c r="K1972" s="29" t="s">
        <v>3305</v>
      </c>
      <c r="L1972" s="29" t="s">
        <v>3306</v>
      </c>
      <c r="M1972" s="29" t="s">
        <v>3316</v>
      </c>
      <c r="N1972" s="29" t="s">
        <v>1434</v>
      </c>
      <c r="O1972" s="29" t="s">
        <v>594</v>
      </c>
    </row>
    <row r="1973" spans="1:15">
      <c r="A1973" s="25">
        <v>21421</v>
      </c>
      <c r="B1973" s="34" t="s">
        <v>172</v>
      </c>
      <c r="C1973" s="31" t="s">
        <v>521</v>
      </c>
      <c r="D1973" s="31" t="s">
        <v>2283</v>
      </c>
      <c r="E1973" s="28">
        <v>43018</v>
      </c>
      <c r="F1973" s="28">
        <v>43405</v>
      </c>
      <c r="G1973" s="28">
        <v>43769</v>
      </c>
      <c r="H1973" s="29" t="s">
        <v>560</v>
      </c>
      <c r="I1973" s="29" t="s">
        <v>560</v>
      </c>
      <c r="J1973" s="29" t="s">
        <v>1825</v>
      </c>
      <c r="K1973" s="29" t="s">
        <v>3305</v>
      </c>
      <c r="L1973" s="29" t="s">
        <v>3306</v>
      </c>
      <c r="M1973" s="29" t="s">
        <v>3317</v>
      </c>
      <c r="N1973" s="29" t="s">
        <v>1434</v>
      </c>
      <c r="O1973" s="29" t="s">
        <v>594</v>
      </c>
    </row>
    <row r="1974" spans="1:15">
      <c r="A1974" s="25">
        <v>21444</v>
      </c>
      <c r="B1974" s="34" t="s">
        <v>3318</v>
      </c>
      <c r="C1974" s="31" t="s">
        <v>521</v>
      </c>
      <c r="D1974" s="31" t="s">
        <v>2166</v>
      </c>
      <c r="E1974" s="28">
        <v>43024</v>
      </c>
      <c r="F1974" s="28">
        <v>43435</v>
      </c>
      <c r="G1974" s="28">
        <v>43799</v>
      </c>
      <c r="H1974" s="29" t="s">
        <v>560</v>
      </c>
      <c r="I1974" s="29" t="s">
        <v>560</v>
      </c>
      <c r="J1974" s="29" t="s">
        <v>1825</v>
      </c>
      <c r="K1974" s="29" t="s">
        <v>3305</v>
      </c>
      <c r="L1974" s="29" t="s">
        <v>3306</v>
      </c>
      <c r="M1974" s="29" t="s">
        <v>2028</v>
      </c>
      <c r="N1974" s="29" t="s">
        <v>1434</v>
      </c>
      <c r="O1974" s="29" t="s">
        <v>594</v>
      </c>
    </row>
    <row r="1975" spans="1:15">
      <c r="A1975" s="25">
        <v>21453</v>
      </c>
      <c r="B1975" s="34" t="s">
        <v>3319</v>
      </c>
      <c r="C1975" s="31" t="s">
        <v>521</v>
      </c>
      <c r="D1975" s="31" t="s">
        <v>2166</v>
      </c>
      <c r="E1975" s="28">
        <v>43024</v>
      </c>
      <c r="F1975" s="28">
        <v>43435</v>
      </c>
      <c r="G1975" s="28">
        <v>43799</v>
      </c>
      <c r="H1975" s="29" t="s">
        <v>560</v>
      </c>
      <c r="I1975" s="29" t="s">
        <v>560</v>
      </c>
      <c r="J1975" s="29" t="s">
        <v>1825</v>
      </c>
      <c r="K1975" s="29" t="s">
        <v>3305</v>
      </c>
      <c r="L1975" s="29" t="s">
        <v>3306</v>
      </c>
      <c r="M1975" s="29" t="s">
        <v>3282</v>
      </c>
      <c r="N1975" s="29" t="s">
        <v>1434</v>
      </c>
      <c r="O1975" s="29" t="s">
        <v>594</v>
      </c>
    </row>
    <row r="1976" spans="1:15">
      <c r="A1976" s="25">
        <v>21495</v>
      </c>
      <c r="B1976" s="34" t="s">
        <v>3320</v>
      </c>
      <c r="C1976" s="31" t="s">
        <v>521</v>
      </c>
      <c r="D1976" s="31" t="s">
        <v>1804</v>
      </c>
      <c r="E1976" s="28">
        <v>43031</v>
      </c>
      <c r="F1976" s="28">
        <v>43435</v>
      </c>
      <c r="G1976" s="28">
        <v>43799</v>
      </c>
      <c r="H1976" s="29" t="s">
        <v>560</v>
      </c>
      <c r="I1976" s="29" t="s">
        <v>560</v>
      </c>
      <c r="J1976" s="29" t="s">
        <v>1825</v>
      </c>
      <c r="K1976" s="29" t="s">
        <v>3305</v>
      </c>
      <c r="L1976" s="29" t="s">
        <v>3306</v>
      </c>
      <c r="M1976" s="29" t="s">
        <v>2227</v>
      </c>
      <c r="N1976" s="29" t="s">
        <v>1434</v>
      </c>
      <c r="O1976" s="29" t="s">
        <v>594</v>
      </c>
    </row>
    <row r="1977" spans="1:15">
      <c r="A1977" s="25">
        <v>21503</v>
      </c>
      <c r="B1977" s="34" t="s">
        <v>3321</v>
      </c>
      <c r="C1977" s="31" t="s">
        <v>521</v>
      </c>
      <c r="D1977" s="31" t="s">
        <v>1804</v>
      </c>
      <c r="E1977" s="28">
        <v>43031</v>
      </c>
      <c r="F1977" s="28">
        <v>43435</v>
      </c>
      <c r="G1977" s="28">
        <v>43799</v>
      </c>
      <c r="H1977" s="29" t="s">
        <v>560</v>
      </c>
      <c r="I1977" s="29" t="s">
        <v>560</v>
      </c>
      <c r="J1977" s="29" t="s">
        <v>1825</v>
      </c>
      <c r="K1977" s="29" t="s">
        <v>3305</v>
      </c>
      <c r="L1977" s="29" t="s">
        <v>3306</v>
      </c>
      <c r="M1977" s="29" t="s">
        <v>2366</v>
      </c>
      <c r="N1977" s="29" t="s">
        <v>2023</v>
      </c>
      <c r="O1977" s="29" t="s">
        <v>594</v>
      </c>
    </row>
    <row r="1978" spans="1:15">
      <c r="A1978" s="25">
        <v>21512</v>
      </c>
      <c r="B1978" s="34" t="s">
        <v>3322</v>
      </c>
      <c r="C1978" s="31" t="s">
        <v>521</v>
      </c>
      <c r="D1978" s="31" t="s">
        <v>1760</v>
      </c>
      <c r="E1978" s="28">
        <v>43045</v>
      </c>
      <c r="F1978" s="28">
        <v>43435</v>
      </c>
      <c r="G1978" s="28">
        <v>43799</v>
      </c>
      <c r="H1978" s="29" t="s">
        <v>560</v>
      </c>
      <c r="I1978" s="29" t="s">
        <v>560</v>
      </c>
      <c r="J1978" s="29" t="s">
        <v>1825</v>
      </c>
      <c r="K1978" s="29" t="s">
        <v>3305</v>
      </c>
      <c r="L1978" s="29" t="s">
        <v>3306</v>
      </c>
      <c r="M1978" s="29" t="s">
        <v>3263</v>
      </c>
      <c r="N1978" s="29" t="s">
        <v>1434</v>
      </c>
      <c r="O1978" s="29" t="s">
        <v>594</v>
      </c>
    </row>
    <row r="1979" spans="1:15">
      <c r="A1979" s="25">
        <v>21548</v>
      </c>
      <c r="B1979" s="34" t="s">
        <v>3323</v>
      </c>
      <c r="C1979" s="31" t="s">
        <v>521</v>
      </c>
      <c r="D1979" s="31" t="s">
        <v>1760</v>
      </c>
      <c r="E1979" s="28">
        <v>43045</v>
      </c>
      <c r="F1979" s="28">
        <v>43435</v>
      </c>
      <c r="G1979" s="28">
        <v>43799</v>
      </c>
      <c r="H1979" s="29" t="s">
        <v>560</v>
      </c>
      <c r="I1979" s="29" t="s">
        <v>560</v>
      </c>
      <c r="J1979" s="29" t="s">
        <v>1825</v>
      </c>
      <c r="K1979" s="29" t="s">
        <v>3305</v>
      </c>
      <c r="L1979" s="29" t="s">
        <v>3306</v>
      </c>
      <c r="M1979" s="29" t="s">
        <v>2280</v>
      </c>
      <c r="N1979" s="29" t="s">
        <v>1434</v>
      </c>
      <c r="O1979" s="29" t="s">
        <v>594</v>
      </c>
    </row>
    <row r="1980" spans="1:15">
      <c r="A1980" s="25">
        <v>21564</v>
      </c>
      <c r="B1980" s="34" t="s">
        <v>3324</v>
      </c>
      <c r="C1980" s="31" t="s">
        <v>521</v>
      </c>
      <c r="D1980" s="31" t="s">
        <v>1760</v>
      </c>
      <c r="E1980" s="28">
        <v>43045</v>
      </c>
      <c r="F1980" s="28">
        <v>43435</v>
      </c>
      <c r="G1980" s="28">
        <v>43799</v>
      </c>
      <c r="H1980" s="29" t="s">
        <v>560</v>
      </c>
      <c r="I1980" s="29" t="s">
        <v>560</v>
      </c>
      <c r="J1980" s="29" t="s">
        <v>1825</v>
      </c>
      <c r="K1980" s="29" t="s">
        <v>3305</v>
      </c>
      <c r="L1980" s="29" t="s">
        <v>3306</v>
      </c>
      <c r="M1980" s="29" t="s">
        <v>2082</v>
      </c>
      <c r="N1980" s="29" t="s">
        <v>1434</v>
      </c>
      <c r="O1980" s="29" t="s">
        <v>594</v>
      </c>
    </row>
    <row r="1981" spans="1:15">
      <c r="A1981" s="25">
        <v>21616</v>
      </c>
      <c r="B1981" s="34" t="s">
        <v>3325</v>
      </c>
      <c r="C1981" s="31" t="s">
        <v>521</v>
      </c>
      <c r="D1981" s="31" t="s">
        <v>1603</v>
      </c>
      <c r="E1981" s="28">
        <v>43048</v>
      </c>
      <c r="F1981" s="28">
        <v>43435</v>
      </c>
      <c r="G1981" s="28">
        <v>43799</v>
      </c>
      <c r="H1981" s="29" t="s">
        <v>560</v>
      </c>
      <c r="I1981" s="29" t="s">
        <v>560</v>
      </c>
      <c r="J1981" s="29" t="s">
        <v>1825</v>
      </c>
      <c r="K1981" s="29" t="s">
        <v>3305</v>
      </c>
      <c r="L1981" s="29" t="s">
        <v>3306</v>
      </c>
      <c r="M1981" s="29" t="s">
        <v>2040</v>
      </c>
      <c r="N1981" s="29" t="s">
        <v>2041</v>
      </c>
      <c r="O1981" s="29" t="s">
        <v>594</v>
      </c>
    </row>
    <row r="1982" spans="1:15">
      <c r="A1982" s="25">
        <v>21849</v>
      </c>
      <c r="B1982" s="34" t="s">
        <v>3326</v>
      </c>
      <c r="C1982" s="31" t="s">
        <v>521</v>
      </c>
      <c r="D1982" s="31" t="s">
        <v>732</v>
      </c>
      <c r="E1982" s="28">
        <v>43098</v>
      </c>
      <c r="F1982" s="28">
        <v>43129</v>
      </c>
      <c r="G1982" s="28">
        <v>43496</v>
      </c>
      <c r="H1982" s="29" t="s">
        <v>560</v>
      </c>
      <c r="I1982" s="29" t="s">
        <v>560</v>
      </c>
      <c r="J1982" s="29" t="s">
        <v>1825</v>
      </c>
      <c r="K1982" s="29" t="s">
        <v>3305</v>
      </c>
      <c r="L1982" s="29" t="s">
        <v>3306</v>
      </c>
      <c r="M1982" s="29" t="s">
        <v>2063</v>
      </c>
      <c r="N1982" s="29" t="s">
        <v>2041</v>
      </c>
      <c r="O1982" s="29" t="s">
        <v>594</v>
      </c>
    </row>
    <row r="1983" spans="1:15">
      <c r="A1983" s="25">
        <v>21867</v>
      </c>
      <c r="B1983" s="34" t="s">
        <v>3327</v>
      </c>
      <c r="C1983" s="31" t="s">
        <v>521</v>
      </c>
      <c r="D1983" s="31" t="s">
        <v>1870</v>
      </c>
      <c r="E1983" s="28">
        <v>43103</v>
      </c>
      <c r="F1983" s="28">
        <v>43134</v>
      </c>
      <c r="G1983" s="28">
        <v>43496</v>
      </c>
      <c r="H1983" s="29" t="s">
        <v>560</v>
      </c>
      <c r="I1983" s="29" t="s">
        <v>560</v>
      </c>
      <c r="J1983" s="29" t="s">
        <v>1825</v>
      </c>
      <c r="K1983" s="29" t="s">
        <v>3305</v>
      </c>
      <c r="L1983" s="29" t="s">
        <v>3306</v>
      </c>
      <c r="M1983" s="29" t="s">
        <v>2057</v>
      </c>
      <c r="N1983" s="29" t="s">
        <v>2041</v>
      </c>
      <c r="O1983" s="29" t="s">
        <v>594</v>
      </c>
    </row>
    <row r="1984" spans="1:15">
      <c r="A1984" s="25">
        <v>21870</v>
      </c>
      <c r="B1984" s="34" t="s">
        <v>3328</v>
      </c>
      <c r="C1984" s="31" t="s">
        <v>521</v>
      </c>
      <c r="D1984" s="31" t="s">
        <v>1870</v>
      </c>
      <c r="E1984" s="28">
        <v>43103</v>
      </c>
      <c r="F1984" s="28">
        <v>43134</v>
      </c>
      <c r="G1984" s="28">
        <v>43496</v>
      </c>
      <c r="H1984" s="29" t="s">
        <v>560</v>
      </c>
      <c r="I1984" s="29" t="s">
        <v>560</v>
      </c>
      <c r="J1984" s="29" t="s">
        <v>1825</v>
      </c>
      <c r="K1984" s="29" t="s">
        <v>3305</v>
      </c>
      <c r="L1984" s="29" t="s">
        <v>3306</v>
      </c>
      <c r="M1984" s="29" t="s">
        <v>3329</v>
      </c>
      <c r="N1984" s="29" t="s">
        <v>2041</v>
      </c>
      <c r="O1984" s="29" t="s">
        <v>594</v>
      </c>
    </row>
    <row r="1985" spans="1:15">
      <c r="A1985" s="25">
        <v>21877</v>
      </c>
      <c r="B1985" s="34" t="s">
        <v>3330</v>
      </c>
      <c r="C1985" s="31" t="s">
        <v>521</v>
      </c>
      <c r="D1985" s="31" t="s">
        <v>1870</v>
      </c>
      <c r="E1985" s="28">
        <v>43103</v>
      </c>
      <c r="F1985" s="28">
        <v>43134</v>
      </c>
      <c r="G1985" s="28">
        <v>43496</v>
      </c>
      <c r="H1985" s="29" t="s">
        <v>560</v>
      </c>
      <c r="I1985" s="29" t="s">
        <v>560</v>
      </c>
      <c r="J1985" s="29" t="s">
        <v>1825</v>
      </c>
      <c r="K1985" s="29" t="s">
        <v>3305</v>
      </c>
      <c r="L1985" s="29" t="s">
        <v>3306</v>
      </c>
      <c r="M1985" s="29" t="s">
        <v>2085</v>
      </c>
      <c r="N1985" s="29" t="s">
        <v>1434</v>
      </c>
      <c r="O1985" s="29" t="s">
        <v>594</v>
      </c>
    </row>
    <row r="1986" spans="1:15">
      <c r="A1986" s="25">
        <v>21882</v>
      </c>
      <c r="B1986" s="34" t="s">
        <v>3331</v>
      </c>
      <c r="C1986" s="31" t="s">
        <v>521</v>
      </c>
      <c r="D1986" s="31" t="s">
        <v>1870</v>
      </c>
      <c r="E1986" s="28">
        <v>43103</v>
      </c>
      <c r="F1986" s="28">
        <v>43134</v>
      </c>
      <c r="G1986" s="28">
        <v>43496</v>
      </c>
      <c r="H1986" s="29" t="s">
        <v>560</v>
      </c>
      <c r="I1986" s="29" t="s">
        <v>560</v>
      </c>
      <c r="J1986" s="29" t="s">
        <v>1825</v>
      </c>
      <c r="K1986" s="29" t="s">
        <v>3305</v>
      </c>
      <c r="L1986" s="29" t="s">
        <v>3306</v>
      </c>
      <c r="M1986" s="29" t="s">
        <v>3294</v>
      </c>
      <c r="N1986" s="29" t="s">
        <v>1434</v>
      </c>
      <c r="O1986" s="29" t="s">
        <v>594</v>
      </c>
    </row>
    <row r="1987" spans="1:15">
      <c r="A1987" s="25">
        <v>21888</v>
      </c>
      <c r="B1987" s="34" t="s">
        <v>3332</v>
      </c>
      <c r="C1987" s="31" t="s">
        <v>521</v>
      </c>
      <c r="D1987" s="31" t="s">
        <v>1870</v>
      </c>
      <c r="E1987" s="28">
        <v>43103</v>
      </c>
      <c r="F1987" s="28">
        <v>43134</v>
      </c>
      <c r="G1987" s="28">
        <v>43496</v>
      </c>
      <c r="H1987" s="29" t="s">
        <v>560</v>
      </c>
      <c r="I1987" s="29" t="s">
        <v>560</v>
      </c>
      <c r="J1987" s="29" t="s">
        <v>1825</v>
      </c>
      <c r="K1987" s="29" t="s">
        <v>3305</v>
      </c>
      <c r="L1987" s="29" t="s">
        <v>3306</v>
      </c>
      <c r="M1987" s="29" t="s">
        <v>2055</v>
      </c>
      <c r="N1987" s="29" t="s">
        <v>1434</v>
      </c>
      <c r="O1987" s="29" t="s">
        <v>594</v>
      </c>
    </row>
    <row r="1988" spans="1:15">
      <c r="A1988" s="25">
        <v>21895</v>
      </c>
      <c r="B1988" s="34" t="s">
        <v>3333</v>
      </c>
      <c r="C1988" s="31" t="s">
        <v>521</v>
      </c>
      <c r="D1988" s="31" t="s">
        <v>1870</v>
      </c>
      <c r="E1988" s="28">
        <v>43103</v>
      </c>
      <c r="F1988" s="28">
        <v>43134</v>
      </c>
      <c r="G1988" s="28">
        <v>43496</v>
      </c>
      <c r="H1988" s="29" t="s">
        <v>560</v>
      </c>
      <c r="I1988" s="29" t="s">
        <v>560</v>
      </c>
      <c r="J1988" s="29" t="s">
        <v>1825</v>
      </c>
      <c r="K1988" s="29" t="s">
        <v>3305</v>
      </c>
      <c r="L1988" s="29" t="s">
        <v>3306</v>
      </c>
      <c r="M1988" s="29" t="s">
        <v>2077</v>
      </c>
      <c r="N1988" s="29" t="s">
        <v>2077</v>
      </c>
      <c r="O1988" s="29" t="s">
        <v>594</v>
      </c>
    </row>
    <row r="1989" spans="1:15">
      <c r="A1989" s="25">
        <v>21896</v>
      </c>
      <c r="B1989" s="34" t="s">
        <v>3334</v>
      </c>
      <c r="C1989" s="31" t="s">
        <v>521</v>
      </c>
      <c r="D1989" s="31" t="s">
        <v>1870</v>
      </c>
      <c r="E1989" s="28">
        <v>43103</v>
      </c>
      <c r="F1989" s="28">
        <v>43134</v>
      </c>
      <c r="G1989" s="28">
        <v>43496</v>
      </c>
      <c r="H1989" s="29" t="s">
        <v>560</v>
      </c>
      <c r="I1989" s="29" t="s">
        <v>560</v>
      </c>
      <c r="J1989" s="29" t="s">
        <v>1825</v>
      </c>
      <c r="K1989" s="29" t="s">
        <v>3305</v>
      </c>
      <c r="L1989" s="29" t="s">
        <v>3306</v>
      </c>
      <c r="M1989" s="29" t="s">
        <v>2163</v>
      </c>
      <c r="N1989" s="29" t="s">
        <v>2080</v>
      </c>
      <c r="O1989" s="29" t="s">
        <v>594</v>
      </c>
    </row>
    <row r="1990" spans="1:15">
      <c r="A1990" s="25">
        <v>21899</v>
      </c>
      <c r="B1990" s="34" t="s">
        <v>3335</v>
      </c>
      <c r="C1990" s="31" t="s">
        <v>521</v>
      </c>
      <c r="D1990" s="31" t="s">
        <v>1870</v>
      </c>
      <c r="E1990" s="28">
        <v>43103</v>
      </c>
      <c r="F1990" s="28">
        <v>43134</v>
      </c>
      <c r="G1990" s="28">
        <v>43496</v>
      </c>
      <c r="H1990" s="29" t="s">
        <v>560</v>
      </c>
      <c r="I1990" s="29" t="s">
        <v>560</v>
      </c>
      <c r="J1990" s="29" t="s">
        <v>1825</v>
      </c>
      <c r="K1990" s="29" t="s">
        <v>3305</v>
      </c>
      <c r="L1990" s="29" t="s">
        <v>3306</v>
      </c>
      <c r="M1990" s="29" t="s">
        <v>3336</v>
      </c>
      <c r="N1990" s="29" t="s">
        <v>1434</v>
      </c>
      <c r="O1990" s="29" t="s">
        <v>594</v>
      </c>
    </row>
    <row r="1991" spans="1:15">
      <c r="A1991" s="25">
        <v>21905</v>
      </c>
      <c r="B1991" s="34" t="s">
        <v>3337</v>
      </c>
      <c r="C1991" s="31" t="s">
        <v>521</v>
      </c>
      <c r="D1991" s="31" t="s">
        <v>1870</v>
      </c>
      <c r="E1991" s="28">
        <v>43103</v>
      </c>
      <c r="F1991" s="28">
        <v>43134</v>
      </c>
      <c r="G1991" s="28">
        <v>43496</v>
      </c>
      <c r="H1991" s="29" t="s">
        <v>560</v>
      </c>
      <c r="I1991" s="29" t="s">
        <v>560</v>
      </c>
      <c r="J1991" s="29" t="s">
        <v>1825</v>
      </c>
      <c r="K1991" s="29" t="s">
        <v>3305</v>
      </c>
      <c r="L1991" s="29" t="s">
        <v>3306</v>
      </c>
      <c r="M1991" s="29" t="s">
        <v>2100</v>
      </c>
      <c r="N1991" s="29" t="s">
        <v>2031</v>
      </c>
      <c r="O1991" s="29" t="s">
        <v>594</v>
      </c>
    </row>
    <row r="1992" spans="1:15">
      <c r="A1992" s="25">
        <v>21907</v>
      </c>
      <c r="B1992" s="34" t="s">
        <v>3338</v>
      </c>
      <c r="C1992" s="31" t="s">
        <v>521</v>
      </c>
      <c r="D1992" s="31" t="s">
        <v>1870</v>
      </c>
      <c r="E1992" s="28">
        <v>43103</v>
      </c>
      <c r="F1992" s="28">
        <v>43134</v>
      </c>
      <c r="G1992" s="28">
        <v>43496</v>
      </c>
      <c r="H1992" s="29" t="s">
        <v>560</v>
      </c>
      <c r="I1992" s="29" t="s">
        <v>560</v>
      </c>
      <c r="J1992" s="29" t="s">
        <v>1825</v>
      </c>
      <c r="K1992" s="29" t="s">
        <v>3305</v>
      </c>
      <c r="L1992" s="29" t="s">
        <v>3306</v>
      </c>
      <c r="M1992" s="29" t="s">
        <v>2215</v>
      </c>
      <c r="N1992" s="29" t="s">
        <v>1434</v>
      </c>
      <c r="O1992" s="29" t="s">
        <v>594</v>
      </c>
    </row>
    <row r="1993" spans="1:15">
      <c r="A1993" s="25">
        <v>21911</v>
      </c>
      <c r="B1993" s="34" t="s">
        <v>3339</v>
      </c>
      <c r="C1993" s="31" t="s">
        <v>521</v>
      </c>
      <c r="D1993" s="31" t="s">
        <v>1870</v>
      </c>
      <c r="E1993" s="28">
        <v>43103</v>
      </c>
      <c r="F1993" s="28">
        <v>43134</v>
      </c>
      <c r="G1993" s="28">
        <v>43496</v>
      </c>
      <c r="H1993" s="29" t="s">
        <v>560</v>
      </c>
      <c r="I1993" s="29" t="s">
        <v>560</v>
      </c>
      <c r="J1993" s="29" t="s">
        <v>1825</v>
      </c>
      <c r="K1993" s="29" t="s">
        <v>3305</v>
      </c>
      <c r="L1993" s="29" t="s">
        <v>3306</v>
      </c>
      <c r="M1993" s="29" t="s">
        <v>2087</v>
      </c>
      <c r="N1993" s="29" t="s">
        <v>1434</v>
      </c>
      <c r="O1993" s="29" t="s">
        <v>594</v>
      </c>
    </row>
    <row r="1994" spans="1:15">
      <c r="A1994" s="25">
        <v>21919</v>
      </c>
      <c r="B1994" s="34" t="s">
        <v>3340</v>
      </c>
      <c r="C1994" s="31" t="s">
        <v>521</v>
      </c>
      <c r="D1994" s="31" t="s">
        <v>1061</v>
      </c>
      <c r="E1994" s="28">
        <v>43108</v>
      </c>
      <c r="F1994" s="28">
        <v>43139</v>
      </c>
      <c r="G1994" s="28">
        <v>43496</v>
      </c>
      <c r="H1994" s="29" t="s">
        <v>560</v>
      </c>
      <c r="I1994" s="29" t="s">
        <v>560</v>
      </c>
      <c r="J1994" s="29" t="s">
        <v>1825</v>
      </c>
      <c r="K1994" s="29" t="s">
        <v>3305</v>
      </c>
      <c r="L1994" s="29" t="s">
        <v>3306</v>
      </c>
      <c r="M1994" s="29" t="s">
        <v>2454</v>
      </c>
      <c r="N1994" s="29" t="s">
        <v>2041</v>
      </c>
      <c r="O1994" s="29" t="s">
        <v>594</v>
      </c>
    </row>
    <row r="1995" spans="1:15">
      <c r="A1995" s="25">
        <v>22206</v>
      </c>
      <c r="B1995" s="34" t="s">
        <v>3341</v>
      </c>
      <c r="C1995" s="31" t="s">
        <v>521</v>
      </c>
      <c r="D1995" s="31" t="s">
        <v>1201</v>
      </c>
      <c r="E1995" s="28">
        <v>43158</v>
      </c>
      <c r="F1995" s="28">
        <v>43186</v>
      </c>
      <c r="G1995" s="28">
        <v>43555</v>
      </c>
      <c r="H1995" s="29" t="s">
        <v>560</v>
      </c>
      <c r="I1995" s="29" t="s">
        <v>560</v>
      </c>
      <c r="J1995" s="29" t="s">
        <v>1825</v>
      </c>
      <c r="K1995" s="29" t="s">
        <v>3305</v>
      </c>
      <c r="L1995" s="29" t="s">
        <v>3306</v>
      </c>
      <c r="M1995" s="29" t="s">
        <v>3342</v>
      </c>
      <c r="N1995" s="29" t="s">
        <v>1434</v>
      </c>
      <c r="O1995" s="29" t="s">
        <v>594</v>
      </c>
    </row>
    <row r="1996" spans="1:15">
      <c r="A1996" s="25">
        <v>22516</v>
      </c>
      <c r="B1996" s="26" t="s">
        <v>3343</v>
      </c>
      <c r="C1996" s="27" t="s">
        <v>521</v>
      </c>
      <c r="D1996" s="27" t="s">
        <v>773</v>
      </c>
      <c r="E1996" s="28">
        <v>43224</v>
      </c>
      <c r="F1996" s="28">
        <v>43255</v>
      </c>
      <c r="G1996" s="28">
        <v>43616</v>
      </c>
      <c r="H1996" s="29" t="s">
        <v>560</v>
      </c>
      <c r="I1996" s="29" t="s">
        <v>560</v>
      </c>
      <c r="J1996" s="29" t="s">
        <v>1825</v>
      </c>
      <c r="K1996" s="29" t="s">
        <v>3305</v>
      </c>
      <c r="L1996" s="29" t="s">
        <v>3306</v>
      </c>
      <c r="M1996" s="29" t="s">
        <v>3344</v>
      </c>
      <c r="N1996" s="29" t="s">
        <v>2041</v>
      </c>
      <c r="O1996" s="29" t="s">
        <v>594</v>
      </c>
    </row>
    <row r="1997" spans="1:15">
      <c r="A1997" s="25">
        <v>22838</v>
      </c>
      <c r="B1997" s="34" t="s">
        <v>3345</v>
      </c>
      <c r="C1997" s="31" t="s">
        <v>521</v>
      </c>
      <c r="D1997" s="31" t="s">
        <v>775</v>
      </c>
      <c r="E1997" s="28">
        <v>43333</v>
      </c>
      <c r="F1997" s="28">
        <v>43364</v>
      </c>
      <c r="G1997" s="28">
        <v>43738</v>
      </c>
      <c r="H1997" s="29" t="s">
        <v>560</v>
      </c>
      <c r="I1997" s="29" t="s">
        <v>560</v>
      </c>
      <c r="J1997" s="29" t="s">
        <v>1825</v>
      </c>
      <c r="K1997" s="29" t="s">
        <v>3305</v>
      </c>
      <c r="L1997" s="29" t="s">
        <v>3306</v>
      </c>
      <c r="M1997" s="29" t="s">
        <v>2498</v>
      </c>
      <c r="N1997" s="29" t="s">
        <v>2041</v>
      </c>
      <c r="O1997" s="29" t="s">
        <v>594</v>
      </c>
    </row>
    <row r="1998" spans="1:15">
      <c r="A1998" s="25">
        <v>22923</v>
      </c>
      <c r="B1998" s="34" t="s">
        <v>3346</v>
      </c>
      <c r="C1998" s="31" t="s">
        <v>521</v>
      </c>
      <c r="D1998" s="31" t="s">
        <v>1962</v>
      </c>
      <c r="E1998" s="28">
        <v>43343</v>
      </c>
      <c r="F1998" s="28">
        <v>43374</v>
      </c>
      <c r="G1998" s="28">
        <v>43738</v>
      </c>
      <c r="H1998" s="29" t="s">
        <v>560</v>
      </c>
      <c r="I1998" s="29" t="s">
        <v>560</v>
      </c>
      <c r="J1998" s="29" t="s">
        <v>1825</v>
      </c>
      <c r="K1998" s="29" t="s">
        <v>3305</v>
      </c>
      <c r="L1998" s="29" t="s">
        <v>3306</v>
      </c>
      <c r="M1998" s="29" t="s">
        <v>2052</v>
      </c>
      <c r="N1998" s="29" t="s">
        <v>2041</v>
      </c>
      <c r="O1998" s="29" t="s">
        <v>594</v>
      </c>
    </row>
    <row r="1999" spans="1:15">
      <c r="A1999" s="25">
        <v>23017</v>
      </c>
      <c r="B1999" s="34" t="s">
        <v>3347</v>
      </c>
      <c r="C1999" s="31" t="s">
        <v>521</v>
      </c>
      <c r="D1999" s="31" t="s">
        <v>1872</v>
      </c>
      <c r="E1999" s="28">
        <v>43361</v>
      </c>
      <c r="F1999" s="28">
        <v>43391</v>
      </c>
      <c r="G1999" s="28">
        <v>43769</v>
      </c>
      <c r="H1999" s="29" t="s">
        <v>560</v>
      </c>
      <c r="I1999" s="29" t="s">
        <v>560</v>
      </c>
      <c r="J1999" s="29" t="s">
        <v>1825</v>
      </c>
      <c r="K1999" s="29" t="s">
        <v>3305</v>
      </c>
      <c r="L1999" s="29" t="s">
        <v>3306</v>
      </c>
      <c r="M1999" s="29" t="s">
        <v>2050</v>
      </c>
      <c r="N1999" s="29" t="s">
        <v>1434</v>
      </c>
      <c r="O1999" s="29" t="s">
        <v>594</v>
      </c>
    </row>
    <row r="2000" spans="1:15">
      <c r="A2000" s="25">
        <v>23063</v>
      </c>
      <c r="B2000" s="34" t="s">
        <v>3348</v>
      </c>
      <c r="C2000" s="31" t="s">
        <v>521</v>
      </c>
      <c r="D2000" s="31" t="s">
        <v>1872</v>
      </c>
      <c r="E2000" s="28">
        <v>43361</v>
      </c>
      <c r="F2000" s="28">
        <v>43391</v>
      </c>
      <c r="G2000" s="28">
        <v>43769</v>
      </c>
      <c r="H2000" s="29" t="s">
        <v>560</v>
      </c>
      <c r="I2000" s="29" t="s">
        <v>560</v>
      </c>
      <c r="J2000" s="29" t="s">
        <v>1825</v>
      </c>
      <c r="K2000" s="29" t="s">
        <v>3305</v>
      </c>
      <c r="L2000" s="29" t="s">
        <v>3306</v>
      </c>
      <c r="M2000" s="29" t="s">
        <v>3349</v>
      </c>
      <c r="N2000" s="29" t="s">
        <v>1586</v>
      </c>
      <c r="O2000" s="29" t="s">
        <v>594</v>
      </c>
    </row>
    <row r="2001" spans="1:15">
      <c r="A2001" s="25">
        <v>23069</v>
      </c>
      <c r="B2001" s="34" t="s">
        <v>3350</v>
      </c>
      <c r="C2001" s="31" t="s">
        <v>521</v>
      </c>
      <c r="D2001" s="31" t="s">
        <v>1872</v>
      </c>
      <c r="E2001" s="28">
        <v>43361</v>
      </c>
      <c r="F2001" s="28">
        <v>43391</v>
      </c>
      <c r="G2001" s="28">
        <v>43769</v>
      </c>
      <c r="H2001" s="29" t="s">
        <v>560</v>
      </c>
      <c r="I2001" s="29" t="s">
        <v>560</v>
      </c>
      <c r="J2001" s="29" t="s">
        <v>1825</v>
      </c>
      <c r="K2001" s="29" t="s">
        <v>3305</v>
      </c>
      <c r="L2001" s="29" t="s">
        <v>3306</v>
      </c>
      <c r="M2001" s="29" t="s">
        <v>2120</v>
      </c>
      <c r="N2001" s="29" t="s">
        <v>1434</v>
      </c>
      <c r="O2001" s="29" t="s">
        <v>594</v>
      </c>
    </row>
    <row r="2002" spans="1:15">
      <c r="A2002" s="25">
        <v>23152</v>
      </c>
      <c r="B2002" s="34" t="s">
        <v>3351</v>
      </c>
      <c r="C2002" s="31" t="s">
        <v>521</v>
      </c>
      <c r="D2002" s="31" t="s">
        <v>1523</v>
      </c>
      <c r="E2002" s="28">
        <v>43369</v>
      </c>
      <c r="F2002" s="28">
        <v>43399</v>
      </c>
      <c r="G2002" s="28">
        <v>43769</v>
      </c>
      <c r="H2002" s="29" t="s">
        <v>560</v>
      </c>
      <c r="I2002" s="29" t="s">
        <v>560</v>
      </c>
      <c r="J2002" s="29" t="s">
        <v>1825</v>
      </c>
      <c r="K2002" s="29" t="s">
        <v>3305</v>
      </c>
      <c r="L2002" s="29" t="s">
        <v>3306</v>
      </c>
      <c r="M2002" s="29" t="s">
        <v>2181</v>
      </c>
      <c r="N2002" s="29" t="s">
        <v>2080</v>
      </c>
      <c r="O2002" s="29" t="s">
        <v>594</v>
      </c>
    </row>
    <row r="2003" spans="1:15">
      <c r="A2003" s="25">
        <v>23258</v>
      </c>
      <c r="B2003" s="34" t="s">
        <v>3352</v>
      </c>
      <c r="C2003" s="31" t="s">
        <v>521</v>
      </c>
      <c r="D2003" s="31" t="s">
        <v>1582</v>
      </c>
      <c r="E2003" s="28">
        <v>43421</v>
      </c>
      <c r="F2003" s="28">
        <v>43451</v>
      </c>
      <c r="G2003" s="28">
        <v>43830</v>
      </c>
      <c r="H2003" s="29" t="s">
        <v>560</v>
      </c>
      <c r="I2003" s="29" t="s">
        <v>560</v>
      </c>
      <c r="J2003" s="29" t="s">
        <v>1825</v>
      </c>
      <c r="K2003" s="29" t="s">
        <v>3305</v>
      </c>
      <c r="L2003" s="29" t="s">
        <v>3306</v>
      </c>
      <c r="M2003" s="29" t="s">
        <v>3353</v>
      </c>
      <c r="N2003" s="29" t="s">
        <v>1434</v>
      </c>
      <c r="O2003" s="29" t="s">
        <v>594</v>
      </c>
    </row>
    <row r="2004" spans="1:15">
      <c r="A2004" s="25">
        <v>23259</v>
      </c>
      <c r="B2004" s="34" t="s">
        <v>3354</v>
      </c>
      <c r="C2004" s="31" t="s">
        <v>521</v>
      </c>
      <c r="D2004" s="31" t="s">
        <v>1582</v>
      </c>
      <c r="E2004" s="28">
        <v>43421</v>
      </c>
      <c r="F2004" s="28">
        <v>43451</v>
      </c>
      <c r="G2004" s="28">
        <v>43830</v>
      </c>
      <c r="H2004" s="29" t="s">
        <v>560</v>
      </c>
      <c r="I2004" s="29" t="s">
        <v>560</v>
      </c>
      <c r="J2004" s="29" t="s">
        <v>1825</v>
      </c>
      <c r="K2004" s="29" t="s">
        <v>3305</v>
      </c>
      <c r="L2004" s="29" t="s">
        <v>3306</v>
      </c>
      <c r="M2004" s="29" t="s">
        <v>2065</v>
      </c>
      <c r="N2004" s="29" t="s">
        <v>2041</v>
      </c>
      <c r="O2004" s="29" t="s">
        <v>594</v>
      </c>
    </row>
    <row r="2005" spans="1:15">
      <c r="A2005" s="25">
        <v>23310</v>
      </c>
      <c r="B2005" s="34" t="s">
        <v>3355</v>
      </c>
      <c r="C2005" s="31" t="s">
        <v>521</v>
      </c>
      <c r="D2005" s="31" t="s">
        <v>1527</v>
      </c>
      <c r="E2005" s="28">
        <v>43427</v>
      </c>
      <c r="F2005" s="28">
        <v>43457</v>
      </c>
      <c r="G2005" s="28">
        <v>43830</v>
      </c>
      <c r="H2005" s="29" t="s">
        <v>560</v>
      </c>
      <c r="I2005" s="29" t="s">
        <v>560</v>
      </c>
      <c r="J2005" s="29" t="s">
        <v>1825</v>
      </c>
      <c r="K2005" s="29" t="s">
        <v>3305</v>
      </c>
      <c r="L2005" s="29" t="s">
        <v>3306</v>
      </c>
      <c r="M2005" s="29" t="s">
        <v>2638</v>
      </c>
      <c r="N2005" s="29" t="s">
        <v>1586</v>
      </c>
      <c r="O2005" s="29" t="s">
        <v>594</v>
      </c>
    </row>
    <row r="2006" spans="1:15">
      <c r="A2006" s="25">
        <v>23323</v>
      </c>
      <c r="B2006" s="34" t="s">
        <v>3356</v>
      </c>
      <c r="C2006" s="31" t="s">
        <v>521</v>
      </c>
      <c r="D2006" s="31" t="s">
        <v>1527</v>
      </c>
      <c r="E2006" s="28">
        <v>43427</v>
      </c>
      <c r="F2006" s="28">
        <v>43457</v>
      </c>
      <c r="G2006" s="28">
        <v>43830</v>
      </c>
      <c r="H2006" s="29" t="s">
        <v>560</v>
      </c>
      <c r="I2006" s="29" t="s">
        <v>560</v>
      </c>
      <c r="J2006" s="29" t="s">
        <v>1825</v>
      </c>
      <c r="K2006" s="29" t="s">
        <v>3305</v>
      </c>
      <c r="L2006" s="29" t="s">
        <v>3306</v>
      </c>
      <c r="M2006" s="29" t="s">
        <v>3357</v>
      </c>
      <c r="N2006" s="29" t="s">
        <v>1586</v>
      </c>
      <c r="O2006" s="29" t="s">
        <v>594</v>
      </c>
    </row>
    <row r="2007" spans="1:15">
      <c r="A2007" s="25">
        <v>23329</v>
      </c>
      <c r="B2007" s="34" t="s">
        <v>3358</v>
      </c>
      <c r="C2007" s="31" t="s">
        <v>521</v>
      </c>
      <c r="D2007" s="31" t="s">
        <v>1527</v>
      </c>
      <c r="E2007" s="28">
        <v>43427</v>
      </c>
      <c r="F2007" s="28">
        <v>43457</v>
      </c>
      <c r="G2007" s="28">
        <v>43830</v>
      </c>
      <c r="H2007" s="29" t="s">
        <v>560</v>
      </c>
      <c r="I2007" s="29" t="s">
        <v>560</v>
      </c>
      <c r="J2007" s="29" t="s">
        <v>1825</v>
      </c>
      <c r="K2007" s="29" t="s">
        <v>3305</v>
      </c>
      <c r="L2007" s="29" t="s">
        <v>3306</v>
      </c>
      <c r="M2007" s="29" t="s">
        <v>2096</v>
      </c>
      <c r="N2007" s="29" t="s">
        <v>1434</v>
      </c>
      <c r="O2007" s="29" t="s">
        <v>594</v>
      </c>
    </row>
    <row r="2008" spans="1:15">
      <c r="A2008" s="25">
        <v>23418</v>
      </c>
      <c r="B2008" s="34" t="s">
        <v>3359</v>
      </c>
      <c r="C2008" s="31" t="s">
        <v>521</v>
      </c>
      <c r="D2008" s="31" t="s">
        <v>882</v>
      </c>
      <c r="E2008" s="28">
        <v>43434</v>
      </c>
      <c r="F2008" s="28">
        <v>43464</v>
      </c>
      <c r="G2008" s="28">
        <v>43830</v>
      </c>
      <c r="H2008" s="29" t="s">
        <v>560</v>
      </c>
      <c r="I2008" s="29" t="s">
        <v>560</v>
      </c>
      <c r="J2008" s="29" t="s">
        <v>1825</v>
      </c>
      <c r="K2008" s="29" t="s">
        <v>3305</v>
      </c>
      <c r="L2008" s="29" t="s">
        <v>3306</v>
      </c>
      <c r="M2008" s="29" t="s">
        <v>3360</v>
      </c>
      <c r="N2008" s="29" t="s">
        <v>1586</v>
      </c>
      <c r="O2008" s="29" t="s">
        <v>594</v>
      </c>
    </row>
    <row r="2009" spans="1:15">
      <c r="A2009" s="25">
        <v>23501</v>
      </c>
      <c r="B2009" s="34" t="s">
        <v>3361</v>
      </c>
      <c r="C2009" s="31" t="s">
        <v>521</v>
      </c>
      <c r="D2009" s="31" t="s">
        <v>1588</v>
      </c>
      <c r="E2009" s="28">
        <v>43441</v>
      </c>
      <c r="F2009" s="28">
        <v>43472</v>
      </c>
      <c r="G2009" s="28">
        <v>43830</v>
      </c>
      <c r="H2009" s="29" t="s">
        <v>560</v>
      </c>
      <c r="I2009" s="29" t="s">
        <v>560</v>
      </c>
      <c r="J2009" s="29" t="s">
        <v>1825</v>
      </c>
      <c r="K2009" s="29" t="s">
        <v>3305</v>
      </c>
      <c r="L2009" s="29" t="s">
        <v>3306</v>
      </c>
      <c r="M2009" s="29" t="s">
        <v>2128</v>
      </c>
      <c r="N2009" s="29" t="s">
        <v>1586</v>
      </c>
      <c r="O2009" s="29" t="s">
        <v>594</v>
      </c>
    </row>
    <row r="2010" spans="1:15">
      <c r="A2010" s="25">
        <v>23519</v>
      </c>
      <c r="B2010" s="34" t="s">
        <v>3362</v>
      </c>
      <c r="C2010" s="31" t="s">
        <v>521</v>
      </c>
      <c r="D2010" s="31" t="s">
        <v>1588</v>
      </c>
      <c r="E2010" s="28">
        <v>43441</v>
      </c>
      <c r="F2010" s="28">
        <v>43472</v>
      </c>
      <c r="G2010" s="28">
        <v>43830</v>
      </c>
      <c r="H2010" s="29" t="s">
        <v>560</v>
      </c>
      <c r="I2010" s="29" t="s">
        <v>560</v>
      </c>
      <c r="J2010" s="29" t="s">
        <v>1825</v>
      </c>
      <c r="K2010" s="29" t="s">
        <v>3305</v>
      </c>
      <c r="L2010" s="29" t="s">
        <v>3306</v>
      </c>
      <c r="M2010" s="29" t="s">
        <v>3363</v>
      </c>
      <c r="N2010" s="29" t="s">
        <v>1586</v>
      </c>
      <c r="O2010" s="29" t="s">
        <v>594</v>
      </c>
    </row>
    <row r="2011" spans="1:15">
      <c r="A2011" s="25" t="s">
        <v>3364</v>
      </c>
      <c r="B2011" s="26" t="s">
        <v>3365</v>
      </c>
      <c r="C2011" s="27" t="s">
        <v>521</v>
      </c>
      <c r="D2011" s="27" t="s">
        <v>668</v>
      </c>
      <c r="E2011" s="28">
        <v>40826</v>
      </c>
      <c r="F2011" s="28" t="s">
        <v>35</v>
      </c>
      <c r="G2011" s="28" t="s">
        <v>35</v>
      </c>
      <c r="H2011" s="29" t="s">
        <v>560</v>
      </c>
      <c r="I2011" s="29" t="s">
        <v>560</v>
      </c>
      <c r="J2011" s="29" t="s">
        <v>1825</v>
      </c>
      <c r="K2011" s="29" t="s">
        <v>3305</v>
      </c>
      <c r="L2011" s="29" t="s">
        <v>3306</v>
      </c>
      <c r="M2011" s="29" t="s">
        <v>2354</v>
      </c>
      <c r="N2011" s="29" t="s">
        <v>1434</v>
      </c>
      <c r="O2011" s="29" t="s">
        <v>594</v>
      </c>
    </row>
    <row r="2012" spans="1:15">
      <c r="A2012" s="25" t="s">
        <v>3366</v>
      </c>
      <c r="B2012" s="26" t="s">
        <v>3367</v>
      </c>
      <c r="C2012" s="27" t="s">
        <v>521</v>
      </c>
      <c r="D2012" s="27" t="s">
        <v>3368</v>
      </c>
      <c r="E2012" s="28">
        <v>41724</v>
      </c>
      <c r="F2012" s="28" t="s">
        <v>35</v>
      </c>
      <c r="G2012" s="28" t="s">
        <v>35</v>
      </c>
      <c r="H2012" s="27" t="s">
        <v>560</v>
      </c>
      <c r="I2012" s="27" t="s">
        <v>560</v>
      </c>
      <c r="J2012" s="29" t="s">
        <v>1825</v>
      </c>
      <c r="K2012" s="29" t="s">
        <v>3305</v>
      </c>
      <c r="L2012" s="29" t="s">
        <v>3306</v>
      </c>
      <c r="M2012" s="29" t="s">
        <v>2025</v>
      </c>
      <c r="N2012" s="29" t="s">
        <v>2026</v>
      </c>
      <c r="O2012" s="29" t="s">
        <v>594</v>
      </c>
    </row>
    <row r="2013" spans="1:15">
      <c r="A2013" s="25">
        <v>23540</v>
      </c>
      <c r="B2013" s="34" t="s">
        <v>3369</v>
      </c>
      <c r="C2013" s="31" t="s">
        <v>521</v>
      </c>
      <c r="D2013" s="31" t="s">
        <v>884</v>
      </c>
      <c r="E2013" s="28">
        <v>43452</v>
      </c>
      <c r="F2013" s="28">
        <v>43483</v>
      </c>
      <c r="G2013" s="28">
        <v>43861</v>
      </c>
      <c r="H2013" s="29" t="s">
        <v>560</v>
      </c>
      <c r="I2013" s="29" t="s">
        <v>560</v>
      </c>
      <c r="J2013" s="29" t="s">
        <v>1825</v>
      </c>
      <c r="K2013" s="29" t="s">
        <v>3305</v>
      </c>
      <c r="L2013" s="29" t="s">
        <v>3306</v>
      </c>
      <c r="M2013" s="29" t="s">
        <v>2577</v>
      </c>
      <c r="N2013" s="29" t="s">
        <v>1586</v>
      </c>
      <c r="O2013" s="29" t="s">
        <v>594</v>
      </c>
    </row>
    <row r="2014" spans="1:15">
      <c r="A2014" s="25" t="s">
        <v>3370</v>
      </c>
      <c r="B2014" s="34" t="s">
        <v>3371</v>
      </c>
      <c r="C2014" s="31" t="s">
        <v>521</v>
      </c>
      <c r="D2014" s="31" t="s">
        <v>892</v>
      </c>
      <c r="E2014" s="28">
        <v>43467</v>
      </c>
      <c r="F2014" s="28">
        <v>43467</v>
      </c>
      <c r="G2014" s="28">
        <v>43497</v>
      </c>
      <c r="H2014" s="29" t="s">
        <v>560</v>
      </c>
      <c r="I2014" s="29" t="s">
        <v>560</v>
      </c>
      <c r="J2014" s="29" t="s">
        <v>1825</v>
      </c>
      <c r="K2014" s="29" t="s">
        <v>3305</v>
      </c>
      <c r="L2014" s="29" t="s">
        <v>3306</v>
      </c>
      <c r="M2014" s="29" t="s">
        <v>2354</v>
      </c>
      <c r="N2014" s="29" t="s">
        <v>1434</v>
      </c>
      <c r="O2014" s="29" t="s">
        <v>594</v>
      </c>
    </row>
    <row r="2015" spans="1:15">
      <c r="A2015" s="25">
        <v>4852</v>
      </c>
      <c r="B2015" s="26" t="s">
        <v>3372</v>
      </c>
      <c r="C2015" s="27" t="s">
        <v>521</v>
      </c>
      <c r="D2015" s="27" t="s">
        <v>756</v>
      </c>
      <c r="E2015" s="28">
        <v>38930</v>
      </c>
      <c r="F2015" s="28" t="s">
        <v>35</v>
      </c>
      <c r="G2015" s="28" t="s">
        <v>35</v>
      </c>
      <c r="H2015" s="29" t="s">
        <v>560</v>
      </c>
      <c r="I2015" s="29" t="s">
        <v>560</v>
      </c>
      <c r="J2015" s="29" t="s">
        <v>1825</v>
      </c>
      <c r="K2015" s="29" t="s">
        <v>3305</v>
      </c>
      <c r="L2015" s="29" t="s">
        <v>3306</v>
      </c>
      <c r="M2015" s="29" t="s">
        <v>1550</v>
      </c>
      <c r="N2015" s="29" t="s">
        <v>1045</v>
      </c>
      <c r="O2015" s="29" t="s">
        <v>590</v>
      </c>
    </row>
    <row r="2016" spans="1:15">
      <c r="A2016" s="25">
        <v>10481</v>
      </c>
      <c r="B2016" s="26" t="s">
        <v>3373</v>
      </c>
      <c r="C2016" s="27" t="s">
        <v>521</v>
      </c>
      <c r="D2016" s="27" t="s">
        <v>864</v>
      </c>
      <c r="E2016" s="28">
        <v>40524</v>
      </c>
      <c r="F2016" s="28" t="s">
        <v>35</v>
      </c>
      <c r="G2016" s="28" t="s">
        <v>35</v>
      </c>
      <c r="H2016" s="27" t="s">
        <v>560</v>
      </c>
      <c r="I2016" s="27" t="s">
        <v>560</v>
      </c>
      <c r="J2016" s="29" t="s">
        <v>1825</v>
      </c>
      <c r="K2016" s="29" t="s">
        <v>3305</v>
      </c>
      <c r="L2016" s="29" t="s">
        <v>3306</v>
      </c>
      <c r="M2016" s="29" t="s">
        <v>2050</v>
      </c>
      <c r="N2016" s="29" t="s">
        <v>1434</v>
      </c>
      <c r="O2016" s="29" t="s">
        <v>590</v>
      </c>
    </row>
    <row r="2017" spans="1:15">
      <c r="A2017" s="25">
        <v>11172</v>
      </c>
      <c r="B2017" s="26" t="s">
        <v>3374</v>
      </c>
      <c r="C2017" s="27" t="s">
        <v>521</v>
      </c>
      <c r="D2017" s="27" t="s">
        <v>2657</v>
      </c>
      <c r="E2017" s="28">
        <v>40610</v>
      </c>
      <c r="F2017" s="28" t="s">
        <v>35</v>
      </c>
      <c r="G2017" s="28" t="s">
        <v>35</v>
      </c>
      <c r="H2017" s="27" t="s">
        <v>560</v>
      </c>
      <c r="I2017" s="27" t="s">
        <v>560</v>
      </c>
      <c r="J2017" s="29" t="s">
        <v>1825</v>
      </c>
      <c r="K2017" s="29" t="s">
        <v>3305</v>
      </c>
      <c r="L2017" s="29" t="s">
        <v>3306</v>
      </c>
      <c r="M2017" s="29" t="s">
        <v>3317</v>
      </c>
      <c r="N2017" s="29" t="s">
        <v>1434</v>
      </c>
      <c r="O2017" s="29" t="s">
        <v>590</v>
      </c>
    </row>
    <row r="2018" spans="1:15">
      <c r="A2018" s="25">
        <v>11318</v>
      </c>
      <c r="B2018" s="26" t="s">
        <v>3375</v>
      </c>
      <c r="C2018" s="27" t="s">
        <v>521</v>
      </c>
      <c r="D2018" s="27" t="s">
        <v>3376</v>
      </c>
      <c r="E2018" s="28">
        <v>40660</v>
      </c>
      <c r="F2018" s="28" t="s">
        <v>35</v>
      </c>
      <c r="G2018" s="28" t="s">
        <v>35</v>
      </c>
      <c r="H2018" s="29" t="s">
        <v>560</v>
      </c>
      <c r="I2018" s="29" t="s">
        <v>560</v>
      </c>
      <c r="J2018" s="29" t="s">
        <v>1825</v>
      </c>
      <c r="K2018" s="29" t="s">
        <v>3305</v>
      </c>
      <c r="L2018" s="29" t="s">
        <v>3306</v>
      </c>
      <c r="M2018" s="29" t="s">
        <v>2043</v>
      </c>
      <c r="N2018" s="29" t="s">
        <v>2041</v>
      </c>
      <c r="O2018" s="29" t="s">
        <v>590</v>
      </c>
    </row>
    <row r="2019" spans="1:15">
      <c r="A2019" s="25">
        <v>12779</v>
      </c>
      <c r="B2019" s="26" t="s">
        <v>3377</v>
      </c>
      <c r="C2019" s="27" t="s">
        <v>521</v>
      </c>
      <c r="D2019" s="27" t="s">
        <v>1739</v>
      </c>
      <c r="E2019" s="28">
        <v>40819</v>
      </c>
      <c r="F2019" s="28" t="s">
        <v>35</v>
      </c>
      <c r="G2019" s="28" t="s">
        <v>35</v>
      </c>
      <c r="H2019" s="27" t="s">
        <v>560</v>
      </c>
      <c r="I2019" s="31" t="s">
        <v>560</v>
      </c>
      <c r="J2019" s="29" t="s">
        <v>1825</v>
      </c>
      <c r="K2019" s="29" t="s">
        <v>3305</v>
      </c>
      <c r="L2019" s="29" t="s">
        <v>3306</v>
      </c>
      <c r="M2019" s="29" t="s">
        <v>1550</v>
      </c>
      <c r="N2019" s="29" t="s">
        <v>1045</v>
      </c>
      <c r="O2019" s="29" t="s">
        <v>590</v>
      </c>
    </row>
    <row r="2020" spans="1:15">
      <c r="A2020" s="25">
        <v>13376</v>
      </c>
      <c r="B2020" s="26" t="s">
        <v>3378</v>
      </c>
      <c r="C2020" s="27" t="s">
        <v>521</v>
      </c>
      <c r="D2020" s="27" t="s">
        <v>3379</v>
      </c>
      <c r="E2020" s="28">
        <v>40932</v>
      </c>
      <c r="F2020" s="28" t="s">
        <v>35</v>
      </c>
      <c r="G2020" s="28" t="s">
        <v>35</v>
      </c>
      <c r="H2020" s="27" t="s">
        <v>560</v>
      </c>
      <c r="I2020" s="29" t="s">
        <v>560</v>
      </c>
      <c r="J2020" s="29" t="s">
        <v>1825</v>
      </c>
      <c r="K2020" s="29" t="s">
        <v>3305</v>
      </c>
      <c r="L2020" s="29" t="s">
        <v>3306</v>
      </c>
      <c r="M2020" s="29" t="s">
        <v>2108</v>
      </c>
      <c r="N2020" s="29" t="s">
        <v>2041</v>
      </c>
      <c r="O2020" s="29" t="s">
        <v>590</v>
      </c>
    </row>
    <row r="2021" spans="1:15">
      <c r="A2021" s="25">
        <v>14618</v>
      </c>
      <c r="B2021" s="26" t="s">
        <v>3380</v>
      </c>
      <c r="C2021" s="27" t="s">
        <v>521</v>
      </c>
      <c r="D2021" s="27" t="s">
        <v>3381</v>
      </c>
      <c r="E2021" s="28">
        <v>41394</v>
      </c>
      <c r="F2021" s="28" t="s">
        <v>35</v>
      </c>
      <c r="G2021" s="28" t="s">
        <v>35</v>
      </c>
      <c r="H2021" s="29" t="s">
        <v>560</v>
      </c>
      <c r="I2021" s="29" t="s">
        <v>560</v>
      </c>
      <c r="J2021" s="29" t="s">
        <v>1825</v>
      </c>
      <c r="K2021" s="29" t="s">
        <v>3305</v>
      </c>
      <c r="L2021" s="29" t="s">
        <v>3306</v>
      </c>
      <c r="M2021" s="29" t="s">
        <v>3190</v>
      </c>
      <c r="N2021" s="29" t="s">
        <v>2031</v>
      </c>
      <c r="O2021" s="29" t="s">
        <v>590</v>
      </c>
    </row>
    <row r="2022" spans="1:15">
      <c r="A2022" s="25">
        <v>17598</v>
      </c>
      <c r="B2022" s="26" t="s">
        <v>429</v>
      </c>
      <c r="C2022" s="27" t="s">
        <v>521</v>
      </c>
      <c r="D2022" s="27" t="s">
        <v>3382</v>
      </c>
      <c r="E2022" s="28">
        <v>41781</v>
      </c>
      <c r="F2022" s="28" t="s">
        <v>35</v>
      </c>
      <c r="G2022" s="28" t="s">
        <v>35</v>
      </c>
      <c r="H2022" s="27" t="s">
        <v>560</v>
      </c>
      <c r="I2022" s="27" t="s">
        <v>560</v>
      </c>
      <c r="J2022" s="29" t="s">
        <v>1825</v>
      </c>
      <c r="K2022" s="29" t="s">
        <v>3305</v>
      </c>
      <c r="L2022" s="29" t="s">
        <v>3306</v>
      </c>
      <c r="M2022" s="29" t="s">
        <v>2025</v>
      </c>
      <c r="N2022" s="29" t="s">
        <v>2026</v>
      </c>
      <c r="O2022" s="29" t="s">
        <v>590</v>
      </c>
    </row>
    <row r="2023" spans="1:15">
      <c r="A2023" s="25">
        <v>17920</v>
      </c>
      <c r="B2023" s="26" t="s">
        <v>3383</v>
      </c>
      <c r="C2023" s="27" t="s">
        <v>521</v>
      </c>
      <c r="D2023" s="27" t="s">
        <v>3384</v>
      </c>
      <c r="E2023" s="28">
        <v>41830</v>
      </c>
      <c r="F2023" s="28" t="s">
        <v>35</v>
      </c>
      <c r="G2023" s="28" t="s">
        <v>35</v>
      </c>
      <c r="H2023" s="27" t="s">
        <v>560</v>
      </c>
      <c r="I2023" s="27" t="s">
        <v>560</v>
      </c>
      <c r="J2023" s="29" t="s">
        <v>1825</v>
      </c>
      <c r="K2023" s="29" t="s">
        <v>3305</v>
      </c>
      <c r="L2023" s="29" t="s">
        <v>3306</v>
      </c>
      <c r="M2023" s="29" t="s">
        <v>2087</v>
      </c>
      <c r="N2023" s="29" t="s">
        <v>1434</v>
      </c>
      <c r="O2023" s="29" t="s">
        <v>590</v>
      </c>
    </row>
    <row r="2024" spans="1:15">
      <c r="A2024" s="25">
        <v>19378</v>
      </c>
      <c r="B2024" s="26" t="s">
        <v>3385</v>
      </c>
      <c r="C2024" s="27" t="s">
        <v>521</v>
      </c>
      <c r="D2024" s="27" t="s">
        <v>3386</v>
      </c>
      <c r="E2024" s="28">
        <v>42289</v>
      </c>
      <c r="F2024" s="28" t="s">
        <v>35</v>
      </c>
      <c r="G2024" s="28" t="s">
        <v>35</v>
      </c>
      <c r="H2024" s="27" t="s">
        <v>560</v>
      </c>
      <c r="I2024" s="27" t="s">
        <v>560</v>
      </c>
      <c r="J2024" s="29" t="s">
        <v>1825</v>
      </c>
      <c r="K2024" s="29" t="s">
        <v>3305</v>
      </c>
      <c r="L2024" s="29" t="s">
        <v>3306</v>
      </c>
      <c r="M2024" s="29" t="s">
        <v>2354</v>
      </c>
      <c r="N2024" s="29" t="s">
        <v>1434</v>
      </c>
      <c r="O2024" s="29" t="s">
        <v>590</v>
      </c>
    </row>
    <row r="2025" spans="1:15">
      <c r="A2025" s="25">
        <v>19480</v>
      </c>
      <c r="B2025" s="26" t="s">
        <v>3387</v>
      </c>
      <c r="C2025" s="27" t="s">
        <v>521</v>
      </c>
      <c r="D2025" s="27" t="s">
        <v>3388</v>
      </c>
      <c r="E2025" s="28">
        <v>42464</v>
      </c>
      <c r="F2025" s="28" t="s">
        <v>35</v>
      </c>
      <c r="G2025" s="28" t="s">
        <v>35</v>
      </c>
      <c r="H2025" s="27" t="s">
        <v>560</v>
      </c>
      <c r="I2025" s="27" t="s">
        <v>560</v>
      </c>
      <c r="J2025" s="29" t="s">
        <v>1825</v>
      </c>
      <c r="K2025" s="29" t="s">
        <v>3305</v>
      </c>
      <c r="L2025" s="29" t="s">
        <v>3306</v>
      </c>
      <c r="M2025" s="29" t="s">
        <v>2215</v>
      </c>
      <c r="N2025" s="29" t="s">
        <v>1434</v>
      </c>
      <c r="O2025" s="29" t="s">
        <v>590</v>
      </c>
    </row>
    <row r="2026" spans="1:15">
      <c r="A2026" s="25">
        <v>20456</v>
      </c>
      <c r="B2026" s="26" t="s">
        <v>3389</v>
      </c>
      <c r="C2026" s="27" t="s">
        <v>521</v>
      </c>
      <c r="D2026" s="27" t="s">
        <v>1644</v>
      </c>
      <c r="E2026" s="28">
        <v>42634</v>
      </c>
      <c r="F2026" s="28">
        <v>43132</v>
      </c>
      <c r="G2026" s="28">
        <v>43496</v>
      </c>
      <c r="H2026" s="25" t="s">
        <v>560</v>
      </c>
      <c r="I2026" s="27" t="s">
        <v>560</v>
      </c>
      <c r="J2026" s="29" t="s">
        <v>1825</v>
      </c>
      <c r="K2026" s="29" t="s">
        <v>3305</v>
      </c>
      <c r="L2026" s="29" t="s">
        <v>3306</v>
      </c>
      <c r="M2026" s="29" t="s">
        <v>2094</v>
      </c>
      <c r="N2026" s="29" t="s">
        <v>1434</v>
      </c>
      <c r="O2026" s="29" t="s">
        <v>590</v>
      </c>
    </row>
    <row r="2027" spans="1:15">
      <c r="A2027" s="25">
        <v>20458</v>
      </c>
      <c r="B2027" s="26" t="s">
        <v>3390</v>
      </c>
      <c r="C2027" s="27" t="s">
        <v>521</v>
      </c>
      <c r="D2027" s="27" t="s">
        <v>1644</v>
      </c>
      <c r="E2027" s="28">
        <v>42634</v>
      </c>
      <c r="F2027" s="28">
        <v>43132</v>
      </c>
      <c r="G2027" s="28">
        <v>43496</v>
      </c>
      <c r="H2027" s="25" t="s">
        <v>560</v>
      </c>
      <c r="I2027" s="27" t="s">
        <v>560</v>
      </c>
      <c r="J2027" s="29" t="s">
        <v>1825</v>
      </c>
      <c r="K2027" s="29" t="s">
        <v>3305</v>
      </c>
      <c r="L2027" s="29" t="s">
        <v>3306</v>
      </c>
      <c r="M2027" s="29" t="s">
        <v>2057</v>
      </c>
      <c r="N2027" s="29" t="s">
        <v>2041</v>
      </c>
      <c r="O2027" s="29" t="s">
        <v>590</v>
      </c>
    </row>
    <row r="2028" spans="1:15">
      <c r="A2028" s="25">
        <v>20468</v>
      </c>
      <c r="B2028" s="26" t="s">
        <v>3391</v>
      </c>
      <c r="C2028" s="27" t="s">
        <v>521</v>
      </c>
      <c r="D2028" s="27" t="s">
        <v>1644</v>
      </c>
      <c r="E2028" s="28">
        <v>42634</v>
      </c>
      <c r="F2028" s="28">
        <v>43132</v>
      </c>
      <c r="G2028" s="28">
        <v>43496</v>
      </c>
      <c r="H2028" s="25" t="s">
        <v>560</v>
      </c>
      <c r="I2028" s="27" t="s">
        <v>560</v>
      </c>
      <c r="J2028" s="29" t="s">
        <v>1825</v>
      </c>
      <c r="K2028" s="29" t="s">
        <v>3305</v>
      </c>
      <c r="L2028" s="29" t="s">
        <v>3306</v>
      </c>
      <c r="M2028" s="29" t="s">
        <v>2085</v>
      </c>
      <c r="N2028" s="29" t="s">
        <v>1434</v>
      </c>
      <c r="O2028" s="29" t="s">
        <v>590</v>
      </c>
    </row>
    <row r="2029" spans="1:15">
      <c r="A2029" s="25">
        <v>20520</v>
      </c>
      <c r="B2029" s="26" t="s">
        <v>3392</v>
      </c>
      <c r="C2029" s="27" t="s">
        <v>521</v>
      </c>
      <c r="D2029" s="27" t="s">
        <v>1644</v>
      </c>
      <c r="E2029" s="28">
        <v>42634</v>
      </c>
      <c r="F2029" s="28">
        <v>43132</v>
      </c>
      <c r="G2029" s="28">
        <v>43496</v>
      </c>
      <c r="H2029" s="27" t="s">
        <v>560</v>
      </c>
      <c r="I2029" s="27" t="s">
        <v>560</v>
      </c>
      <c r="J2029" s="29" t="s">
        <v>1825</v>
      </c>
      <c r="K2029" s="29" t="s">
        <v>3305</v>
      </c>
      <c r="L2029" s="29" t="s">
        <v>3306</v>
      </c>
      <c r="M2029" s="29" t="s">
        <v>2280</v>
      </c>
      <c r="N2029" s="29" t="s">
        <v>1434</v>
      </c>
      <c r="O2029" s="29" t="s">
        <v>590</v>
      </c>
    </row>
    <row r="2030" spans="1:15">
      <c r="A2030" s="25">
        <v>20609</v>
      </c>
      <c r="B2030" s="26" t="s">
        <v>3393</v>
      </c>
      <c r="C2030" s="27" t="s">
        <v>521</v>
      </c>
      <c r="D2030" s="27" t="s">
        <v>673</v>
      </c>
      <c r="E2030" s="28">
        <v>42639</v>
      </c>
      <c r="F2030" s="28">
        <v>43132</v>
      </c>
      <c r="G2030" s="28">
        <v>43496</v>
      </c>
      <c r="H2030" s="25" t="s">
        <v>560</v>
      </c>
      <c r="I2030" s="25" t="s">
        <v>560</v>
      </c>
      <c r="J2030" s="29" t="s">
        <v>1825</v>
      </c>
      <c r="K2030" s="29" t="s">
        <v>3305</v>
      </c>
      <c r="L2030" s="29" t="s">
        <v>3306</v>
      </c>
      <c r="M2030" s="29" t="s">
        <v>3336</v>
      </c>
      <c r="N2030" s="29" t="s">
        <v>1434</v>
      </c>
      <c r="O2030" s="29" t="s">
        <v>590</v>
      </c>
    </row>
    <row r="2031" spans="1:15">
      <c r="A2031" s="25">
        <v>21003</v>
      </c>
      <c r="B2031" s="33" t="s">
        <v>3394</v>
      </c>
      <c r="C2031" s="27" t="s">
        <v>521</v>
      </c>
      <c r="D2031" s="27" t="s">
        <v>1184</v>
      </c>
      <c r="E2031" s="28">
        <v>42674</v>
      </c>
      <c r="F2031" s="28">
        <v>43160</v>
      </c>
      <c r="G2031" s="28">
        <v>43524</v>
      </c>
      <c r="H2031" s="31" t="s">
        <v>560</v>
      </c>
      <c r="I2031" s="31" t="s">
        <v>560</v>
      </c>
      <c r="J2031" s="29" t="s">
        <v>1825</v>
      </c>
      <c r="K2031" s="29" t="s">
        <v>3305</v>
      </c>
      <c r="L2031" s="29" t="s">
        <v>3306</v>
      </c>
      <c r="M2031" s="29" t="s">
        <v>3282</v>
      </c>
      <c r="N2031" s="29" t="s">
        <v>1434</v>
      </c>
      <c r="O2031" s="29" t="s">
        <v>590</v>
      </c>
    </row>
    <row r="2032" spans="1:15">
      <c r="A2032" s="25">
        <v>21323</v>
      </c>
      <c r="B2032" s="34" t="s">
        <v>3395</v>
      </c>
      <c r="C2032" s="31" t="s">
        <v>521</v>
      </c>
      <c r="D2032" s="31" t="s">
        <v>1595</v>
      </c>
      <c r="E2032" s="28">
        <v>43010</v>
      </c>
      <c r="F2032" s="28">
        <v>43405</v>
      </c>
      <c r="G2032" s="28">
        <v>43769</v>
      </c>
      <c r="H2032" s="29" t="s">
        <v>560</v>
      </c>
      <c r="I2032" s="29" t="s">
        <v>560</v>
      </c>
      <c r="J2032" s="29" t="s">
        <v>1825</v>
      </c>
      <c r="K2032" s="29" t="s">
        <v>3305</v>
      </c>
      <c r="L2032" s="29" t="s">
        <v>3306</v>
      </c>
      <c r="M2032" s="29" t="s">
        <v>2040</v>
      </c>
      <c r="N2032" s="29" t="s">
        <v>2041</v>
      </c>
      <c r="O2032" s="29" t="s">
        <v>590</v>
      </c>
    </row>
    <row r="2033" spans="1:15">
      <c r="A2033" s="25">
        <v>21486</v>
      </c>
      <c r="B2033" s="34" t="s">
        <v>3396</v>
      </c>
      <c r="C2033" s="31" t="s">
        <v>521</v>
      </c>
      <c r="D2033" s="31" t="s">
        <v>1804</v>
      </c>
      <c r="E2033" s="28">
        <v>43031</v>
      </c>
      <c r="F2033" s="28">
        <v>43435</v>
      </c>
      <c r="G2033" s="28">
        <v>43799</v>
      </c>
      <c r="H2033" s="29" t="s">
        <v>560</v>
      </c>
      <c r="I2033" s="29" t="s">
        <v>560</v>
      </c>
      <c r="J2033" s="29" t="s">
        <v>1825</v>
      </c>
      <c r="K2033" s="29" t="s">
        <v>3305</v>
      </c>
      <c r="L2033" s="29" t="s">
        <v>3306</v>
      </c>
      <c r="M2033" s="29" t="s">
        <v>2079</v>
      </c>
      <c r="N2033" s="29" t="s">
        <v>2080</v>
      </c>
      <c r="O2033" s="29" t="s">
        <v>590</v>
      </c>
    </row>
    <row r="2034" spans="1:15">
      <c r="A2034" s="25">
        <v>21727</v>
      </c>
      <c r="B2034" s="34" t="s">
        <v>3397</v>
      </c>
      <c r="C2034" s="31" t="s">
        <v>521</v>
      </c>
      <c r="D2034" s="31" t="s">
        <v>663</v>
      </c>
      <c r="E2034" s="28">
        <v>43087</v>
      </c>
      <c r="F2034" s="28">
        <v>43118</v>
      </c>
      <c r="G2034" s="28">
        <v>43496</v>
      </c>
      <c r="H2034" s="27" t="s">
        <v>560</v>
      </c>
      <c r="I2034" s="27" t="s">
        <v>560</v>
      </c>
      <c r="J2034" s="29" t="s">
        <v>1825</v>
      </c>
      <c r="K2034" s="29" t="s">
        <v>3305</v>
      </c>
      <c r="L2034" s="29" t="s">
        <v>3306</v>
      </c>
      <c r="M2034" s="29" t="s">
        <v>2454</v>
      </c>
      <c r="N2034" s="29" t="s">
        <v>2041</v>
      </c>
      <c r="O2034" s="29" t="s">
        <v>590</v>
      </c>
    </row>
    <row r="2035" spans="1:15">
      <c r="A2035" s="25">
        <v>21890</v>
      </c>
      <c r="B2035" s="34" t="s">
        <v>3398</v>
      </c>
      <c r="C2035" s="31" t="s">
        <v>521</v>
      </c>
      <c r="D2035" s="31" t="s">
        <v>1870</v>
      </c>
      <c r="E2035" s="28">
        <v>43103</v>
      </c>
      <c r="F2035" s="28">
        <v>43134</v>
      </c>
      <c r="G2035" s="28">
        <v>43496</v>
      </c>
      <c r="H2035" s="29" t="s">
        <v>560</v>
      </c>
      <c r="I2035" s="29" t="s">
        <v>560</v>
      </c>
      <c r="J2035" s="29" t="s">
        <v>1825</v>
      </c>
      <c r="K2035" s="29" t="s">
        <v>3305</v>
      </c>
      <c r="L2035" s="29" t="s">
        <v>3306</v>
      </c>
      <c r="M2035" s="29" t="s">
        <v>3399</v>
      </c>
      <c r="N2035" s="29" t="s">
        <v>2023</v>
      </c>
      <c r="O2035" s="29" t="s">
        <v>590</v>
      </c>
    </row>
    <row r="2036" spans="1:15">
      <c r="A2036" s="25">
        <v>21930</v>
      </c>
      <c r="B2036" s="34" t="s">
        <v>3400</v>
      </c>
      <c r="C2036" s="31" t="s">
        <v>521</v>
      </c>
      <c r="D2036" s="31" t="s">
        <v>1061</v>
      </c>
      <c r="E2036" s="28">
        <v>43108</v>
      </c>
      <c r="F2036" s="28">
        <v>43139</v>
      </c>
      <c r="G2036" s="28">
        <v>43496</v>
      </c>
      <c r="H2036" s="29" t="s">
        <v>560</v>
      </c>
      <c r="I2036" s="29" t="s">
        <v>560</v>
      </c>
      <c r="J2036" s="29" t="s">
        <v>1825</v>
      </c>
      <c r="K2036" s="29" t="s">
        <v>3305</v>
      </c>
      <c r="L2036" s="29" t="s">
        <v>3306</v>
      </c>
      <c r="M2036" s="29" t="s">
        <v>2077</v>
      </c>
      <c r="N2036" s="29" t="s">
        <v>2077</v>
      </c>
      <c r="O2036" s="29" t="s">
        <v>590</v>
      </c>
    </row>
    <row r="2037" spans="1:15">
      <c r="A2037" s="25">
        <v>21968</v>
      </c>
      <c r="B2037" s="34" t="s">
        <v>3401</v>
      </c>
      <c r="C2037" s="31" t="s">
        <v>521</v>
      </c>
      <c r="D2037" s="31" t="s">
        <v>1573</v>
      </c>
      <c r="E2037" s="28">
        <v>43116</v>
      </c>
      <c r="F2037" s="28">
        <v>43147</v>
      </c>
      <c r="G2037" s="28">
        <v>43524</v>
      </c>
      <c r="H2037" s="29" t="s">
        <v>560</v>
      </c>
      <c r="I2037" s="29" t="s">
        <v>560</v>
      </c>
      <c r="J2037" s="29" t="s">
        <v>1825</v>
      </c>
      <c r="K2037" s="29" t="s">
        <v>3305</v>
      </c>
      <c r="L2037" s="29" t="s">
        <v>3306</v>
      </c>
      <c r="M2037" s="29" t="s">
        <v>3402</v>
      </c>
      <c r="N2037" s="29" t="s">
        <v>2041</v>
      </c>
      <c r="O2037" s="29" t="s">
        <v>590</v>
      </c>
    </row>
    <row r="2038" spans="1:15">
      <c r="A2038" s="25">
        <v>22001</v>
      </c>
      <c r="B2038" s="34" t="s">
        <v>3403</v>
      </c>
      <c r="C2038" s="31" t="s">
        <v>521</v>
      </c>
      <c r="D2038" s="31" t="s">
        <v>1171</v>
      </c>
      <c r="E2038" s="28">
        <v>43139</v>
      </c>
      <c r="F2038" s="28">
        <v>43167</v>
      </c>
      <c r="G2038" s="28">
        <v>43524</v>
      </c>
      <c r="H2038" s="29" t="s">
        <v>560</v>
      </c>
      <c r="I2038" s="29" t="s">
        <v>560</v>
      </c>
      <c r="J2038" s="29" t="s">
        <v>1825</v>
      </c>
      <c r="K2038" s="29" t="s">
        <v>3305</v>
      </c>
      <c r="L2038" s="29" t="s">
        <v>3306</v>
      </c>
      <c r="M2038" s="29" t="s">
        <v>2096</v>
      </c>
      <c r="N2038" s="29" t="s">
        <v>1434</v>
      </c>
      <c r="O2038" s="29" t="s">
        <v>590</v>
      </c>
    </row>
    <row r="2039" spans="1:15">
      <c r="A2039" s="25">
        <v>22049</v>
      </c>
      <c r="B2039" s="34" t="s">
        <v>3404</v>
      </c>
      <c r="C2039" s="31" t="s">
        <v>521</v>
      </c>
      <c r="D2039" s="31" t="s">
        <v>631</v>
      </c>
      <c r="E2039" s="28">
        <v>43144</v>
      </c>
      <c r="F2039" s="28">
        <v>43172</v>
      </c>
      <c r="G2039" s="28">
        <v>43524</v>
      </c>
      <c r="H2039" s="29" t="s">
        <v>560</v>
      </c>
      <c r="I2039" s="29" t="s">
        <v>560</v>
      </c>
      <c r="J2039" s="29" t="s">
        <v>1825</v>
      </c>
      <c r="K2039" s="29" t="s">
        <v>3305</v>
      </c>
      <c r="L2039" s="29" t="s">
        <v>3306</v>
      </c>
      <c r="M2039" s="29" t="s">
        <v>2079</v>
      </c>
      <c r="N2039" s="29" t="s">
        <v>2080</v>
      </c>
      <c r="O2039" s="29" t="s">
        <v>590</v>
      </c>
    </row>
    <row r="2040" spans="1:15">
      <c r="A2040" s="25">
        <v>22389</v>
      </c>
      <c r="B2040" s="34" t="s">
        <v>3405</v>
      </c>
      <c r="C2040" s="31" t="s">
        <v>521</v>
      </c>
      <c r="D2040" s="31" t="s">
        <v>805</v>
      </c>
      <c r="E2040" s="28">
        <v>43213</v>
      </c>
      <c r="F2040" s="28">
        <v>43243</v>
      </c>
      <c r="G2040" s="28">
        <v>43616</v>
      </c>
      <c r="H2040" s="29" t="s">
        <v>560</v>
      </c>
      <c r="I2040" s="29" t="s">
        <v>560</v>
      </c>
      <c r="J2040" s="29" t="s">
        <v>1825</v>
      </c>
      <c r="K2040" s="29" t="s">
        <v>3305</v>
      </c>
      <c r="L2040" s="29" t="s">
        <v>3306</v>
      </c>
      <c r="M2040" s="29" t="s">
        <v>2100</v>
      </c>
      <c r="N2040" s="29" t="s">
        <v>2031</v>
      </c>
      <c r="O2040" s="29" t="s">
        <v>590</v>
      </c>
    </row>
    <row r="2041" spans="1:15">
      <c r="A2041" s="25">
        <v>22487</v>
      </c>
      <c r="B2041" s="34" t="s">
        <v>3406</v>
      </c>
      <c r="C2041" s="31" t="s">
        <v>521</v>
      </c>
      <c r="D2041" s="31" t="s">
        <v>773</v>
      </c>
      <c r="E2041" s="28">
        <v>43224</v>
      </c>
      <c r="F2041" s="28">
        <v>43255</v>
      </c>
      <c r="G2041" s="28">
        <v>43616</v>
      </c>
      <c r="H2041" s="29" t="s">
        <v>560</v>
      </c>
      <c r="I2041" s="29" t="s">
        <v>560</v>
      </c>
      <c r="J2041" s="29" t="s">
        <v>1825</v>
      </c>
      <c r="K2041" s="29" t="s">
        <v>3305</v>
      </c>
      <c r="L2041" s="29" t="s">
        <v>3306</v>
      </c>
      <c r="M2041" s="29" t="s">
        <v>3342</v>
      </c>
      <c r="N2041" s="29" t="s">
        <v>1434</v>
      </c>
      <c r="O2041" s="29" t="s">
        <v>590</v>
      </c>
    </row>
    <row r="2042" spans="1:15">
      <c r="A2042" s="25">
        <v>22555</v>
      </c>
      <c r="B2042" s="34" t="s">
        <v>3407</v>
      </c>
      <c r="C2042" s="31" t="s">
        <v>521</v>
      </c>
      <c r="D2042" s="31" t="s">
        <v>773</v>
      </c>
      <c r="E2042" s="28">
        <v>43224</v>
      </c>
      <c r="F2042" s="28">
        <v>43255</v>
      </c>
      <c r="G2042" s="28">
        <v>43616</v>
      </c>
      <c r="H2042" s="29" t="s">
        <v>560</v>
      </c>
      <c r="I2042" s="29" t="s">
        <v>560</v>
      </c>
      <c r="J2042" s="29" t="s">
        <v>1825</v>
      </c>
      <c r="K2042" s="29" t="s">
        <v>3305</v>
      </c>
      <c r="L2042" s="29" t="s">
        <v>3306</v>
      </c>
      <c r="M2042" s="29" t="s">
        <v>3294</v>
      </c>
      <c r="N2042" s="29" t="s">
        <v>1434</v>
      </c>
      <c r="O2042" s="29" t="s">
        <v>590</v>
      </c>
    </row>
    <row r="2043" spans="1:15">
      <c r="A2043" s="25">
        <v>22679</v>
      </c>
      <c r="B2043" s="34" t="s">
        <v>3408</v>
      </c>
      <c r="C2043" s="31" t="s">
        <v>521</v>
      </c>
      <c r="D2043" s="31" t="s">
        <v>1199</v>
      </c>
      <c r="E2043" s="28">
        <v>43241</v>
      </c>
      <c r="F2043" s="28">
        <v>43272</v>
      </c>
      <c r="G2043" s="28">
        <v>43646</v>
      </c>
      <c r="H2043" s="29" t="s">
        <v>560</v>
      </c>
      <c r="I2043" s="29" t="s">
        <v>560</v>
      </c>
      <c r="J2043" s="29" t="s">
        <v>1825</v>
      </c>
      <c r="K2043" s="29" t="s">
        <v>3305</v>
      </c>
      <c r="L2043" s="29" t="s">
        <v>3306</v>
      </c>
      <c r="M2043" s="29" t="s">
        <v>2063</v>
      </c>
      <c r="N2043" s="29" t="s">
        <v>2041</v>
      </c>
      <c r="O2043" s="29" t="s">
        <v>590</v>
      </c>
    </row>
    <row r="2044" spans="1:15">
      <c r="A2044" s="25">
        <v>22809</v>
      </c>
      <c r="B2044" s="34" t="s">
        <v>3409</v>
      </c>
      <c r="C2044" s="31" t="s">
        <v>521</v>
      </c>
      <c r="D2044" s="31" t="s">
        <v>775</v>
      </c>
      <c r="E2044" s="28">
        <v>43333</v>
      </c>
      <c r="F2044" s="28">
        <v>43364</v>
      </c>
      <c r="G2044" s="28">
        <v>43738</v>
      </c>
      <c r="H2044" s="29" t="s">
        <v>560</v>
      </c>
      <c r="I2044" s="29" t="s">
        <v>560</v>
      </c>
      <c r="J2044" s="29" t="s">
        <v>1825</v>
      </c>
      <c r="K2044" s="29" t="s">
        <v>3305</v>
      </c>
      <c r="L2044" s="29" t="s">
        <v>3306</v>
      </c>
      <c r="M2044" s="29" t="s">
        <v>2055</v>
      </c>
      <c r="N2044" s="29" t="s">
        <v>1434</v>
      </c>
      <c r="O2044" s="29" t="s">
        <v>590</v>
      </c>
    </row>
    <row r="2045" spans="1:15">
      <c r="A2045" s="25">
        <v>22828</v>
      </c>
      <c r="B2045" s="34" t="s">
        <v>3410</v>
      </c>
      <c r="C2045" s="31" t="s">
        <v>521</v>
      </c>
      <c r="D2045" s="31" t="s">
        <v>775</v>
      </c>
      <c r="E2045" s="28">
        <v>43333</v>
      </c>
      <c r="F2045" s="28">
        <v>43364</v>
      </c>
      <c r="G2045" s="28">
        <v>43738</v>
      </c>
      <c r="H2045" s="29" t="s">
        <v>560</v>
      </c>
      <c r="I2045" s="29" t="s">
        <v>560</v>
      </c>
      <c r="J2045" s="29" t="s">
        <v>1825</v>
      </c>
      <c r="K2045" s="29" t="s">
        <v>3305</v>
      </c>
      <c r="L2045" s="29" t="s">
        <v>3306</v>
      </c>
      <c r="M2045" s="29" t="s">
        <v>2120</v>
      </c>
      <c r="N2045" s="29" t="s">
        <v>1434</v>
      </c>
      <c r="O2045" s="29" t="s">
        <v>590</v>
      </c>
    </row>
    <row r="2046" spans="1:15">
      <c r="A2046" s="25">
        <v>22926</v>
      </c>
      <c r="B2046" s="34" t="s">
        <v>3411</v>
      </c>
      <c r="C2046" s="31" t="s">
        <v>521</v>
      </c>
      <c r="D2046" s="31" t="s">
        <v>1962</v>
      </c>
      <c r="E2046" s="28">
        <v>43343</v>
      </c>
      <c r="F2046" s="28">
        <v>43374</v>
      </c>
      <c r="G2046" s="28">
        <v>43738</v>
      </c>
      <c r="H2046" s="29" t="s">
        <v>560</v>
      </c>
      <c r="I2046" s="29" t="s">
        <v>560</v>
      </c>
      <c r="J2046" s="29" t="s">
        <v>1825</v>
      </c>
      <c r="K2046" s="29" t="s">
        <v>3305</v>
      </c>
      <c r="L2046" s="29" t="s">
        <v>3306</v>
      </c>
      <c r="M2046" s="29" t="s">
        <v>3316</v>
      </c>
      <c r="N2046" s="29" t="s">
        <v>1434</v>
      </c>
      <c r="O2046" s="29" t="s">
        <v>590</v>
      </c>
    </row>
    <row r="2047" spans="1:15">
      <c r="A2047" s="25">
        <v>23059</v>
      </c>
      <c r="B2047" s="34" t="s">
        <v>1849</v>
      </c>
      <c r="C2047" s="31" t="s">
        <v>521</v>
      </c>
      <c r="D2047" s="31" t="s">
        <v>1872</v>
      </c>
      <c r="E2047" s="28">
        <v>43361</v>
      </c>
      <c r="F2047" s="28">
        <v>43391</v>
      </c>
      <c r="G2047" s="28">
        <v>43769</v>
      </c>
      <c r="H2047" s="29" t="s">
        <v>560</v>
      </c>
      <c r="I2047" s="29" t="s">
        <v>560</v>
      </c>
      <c r="J2047" s="29" t="s">
        <v>1825</v>
      </c>
      <c r="K2047" s="29" t="s">
        <v>3305</v>
      </c>
      <c r="L2047" s="29" t="s">
        <v>3306</v>
      </c>
      <c r="M2047" s="29" t="s">
        <v>3329</v>
      </c>
      <c r="N2047" s="29" t="s">
        <v>2041</v>
      </c>
      <c r="O2047" s="29" t="s">
        <v>590</v>
      </c>
    </row>
    <row r="2048" spans="1:15">
      <c r="A2048" s="25">
        <v>23112</v>
      </c>
      <c r="B2048" s="34" t="s">
        <v>3412</v>
      </c>
      <c r="C2048" s="31" t="s">
        <v>521</v>
      </c>
      <c r="D2048" s="31" t="s">
        <v>1523</v>
      </c>
      <c r="E2048" s="28">
        <v>43369</v>
      </c>
      <c r="F2048" s="28">
        <v>43399</v>
      </c>
      <c r="G2048" s="28">
        <v>43769</v>
      </c>
      <c r="H2048" s="29" t="s">
        <v>560</v>
      </c>
      <c r="I2048" s="29" t="s">
        <v>560</v>
      </c>
      <c r="J2048" s="29" t="s">
        <v>1825</v>
      </c>
      <c r="K2048" s="29" t="s">
        <v>3305</v>
      </c>
      <c r="L2048" s="29" t="s">
        <v>3306</v>
      </c>
      <c r="M2048" s="29" t="s">
        <v>3360</v>
      </c>
      <c r="N2048" s="29" t="s">
        <v>1586</v>
      </c>
      <c r="O2048" s="29" t="s">
        <v>590</v>
      </c>
    </row>
    <row r="2049" spans="1:15">
      <c r="A2049" s="25">
        <v>23148</v>
      </c>
      <c r="B2049" s="34" t="s">
        <v>3413</v>
      </c>
      <c r="C2049" s="31" t="s">
        <v>521</v>
      </c>
      <c r="D2049" s="31" t="s">
        <v>1523</v>
      </c>
      <c r="E2049" s="28">
        <v>43369</v>
      </c>
      <c r="F2049" s="28">
        <v>43399</v>
      </c>
      <c r="G2049" s="28">
        <v>43769</v>
      </c>
      <c r="H2049" s="29" t="s">
        <v>560</v>
      </c>
      <c r="I2049" s="29" t="s">
        <v>560</v>
      </c>
      <c r="J2049" s="29" t="s">
        <v>1825</v>
      </c>
      <c r="K2049" s="29" t="s">
        <v>3305</v>
      </c>
      <c r="L2049" s="29" t="s">
        <v>3306</v>
      </c>
      <c r="M2049" s="29" t="s">
        <v>2065</v>
      </c>
      <c r="N2049" s="29" t="s">
        <v>2041</v>
      </c>
      <c r="O2049" s="29" t="s">
        <v>590</v>
      </c>
    </row>
    <row r="2050" spans="1:15">
      <c r="A2050" s="25">
        <v>23153</v>
      </c>
      <c r="B2050" s="34" t="s">
        <v>3414</v>
      </c>
      <c r="C2050" s="31" t="s">
        <v>521</v>
      </c>
      <c r="D2050" s="31" t="s">
        <v>1523</v>
      </c>
      <c r="E2050" s="28">
        <v>43369</v>
      </c>
      <c r="F2050" s="28">
        <v>43399</v>
      </c>
      <c r="G2050" s="28">
        <v>43769</v>
      </c>
      <c r="H2050" s="29" t="s">
        <v>560</v>
      </c>
      <c r="I2050" s="29" t="s">
        <v>560</v>
      </c>
      <c r="J2050" s="29" t="s">
        <v>1825</v>
      </c>
      <c r="K2050" s="29" t="s">
        <v>3305</v>
      </c>
      <c r="L2050" s="29" t="s">
        <v>3306</v>
      </c>
      <c r="M2050" s="29" t="s">
        <v>3415</v>
      </c>
      <c r="N2050" s="29" t="s">
        <v>2023</v>
      </c>
      <c r="O2050" s="29" t="s">
        <v>590</v>
      </c>
    </row>
    <row r="2051" spans="1:15">
      <c r="A2051" s="25">
        <v>23154</v>
      </c>
      <c r="B2051" s="34" t="s">
        <v>2339</v>
      </c>
      <c r="C2051" s="31" t="s">
        <v>521</v>
      </c>
      <c r="D2051" s="31" t="s">
        <v>1523</v>
      </c>
      <c r="E2051" s="28">
        <v>43369</v>
      </c>
      <c r="F2051" s="28">
        <v>43399</v>
      </c>
      <c r="G2051" s="28">
        <v>43769</v>
      </c>
      <c r="H2051" s="29" t="s">
        <v>560</v>
      </c>
      <c r="I2051" s="29" t="s">
        <v>560</v>
      </c>
      <c r="J2051" s="29" t="s">
        <v>1825</v>
      </c>
      <c r="K2051" s="29" t="s">
        <v>3305</v>
      </c>
      <c r="L2051" s="29" t="s">
        <v>3306</v>
      </c>
      <c r="M2051" s="29" t="s">
        <v>2048</v>
      </c>
      <c r="N2051" s="29" t="s">
        <v>1434</v>
      </c>
      <c r="O2051" s="29" t="s">
        <v>590</v>
      </c>
    </row>
    <row r="2052" spans="1:15">
      <c r="A2052" s="25">
        <v>23260</v>
      </c>
      <c r="B2052" s="34" t="s">
        <v>3416</v>
      </c>
      <c r="C2052" s="31" t="s">
        <v>521</v>
      </c>
      <c r="D2052" s="31" t="s">
        <v>1582</v>
      </c>
      <c r="E2052" s="28">
        <v>43421</v>
      </c>
      <c r="F2052" s="28">
        <v>43451</v>
      </c>
      <c r="G2052" s="28">
        <v>43830</v>
      </c>
      <c r="H2052" s="29" t="s">
        <v>560</v>
      </c>
      <c r="I2052" s="29" t="s">
        <v>560</v>
      </c>
      <c r="J2052" s="29" t="s">
        <v>1825</v>
      </c>
      <c r="K2052" s="29" t="s">
        <v>3305</v>
      </c>
      <c r="L2052" s="29" t="s">
        <v>3306</v>
      </c>
      <c r="M2052" s="29" t="s">
        <v>2052</v>
      </c>
      <c r="N2052" s="29" t="s">
        <v>2041</v>
      </c>
      <c r="O2052" s="29" t="s">
        <v>590</v>
      </c>
    </row>
    <row r="2053" spans="1:15">
      <c r="A2053" s="25">
        <v>23261</v>
      </c>
      <c r="B2053" s="34" t="s">
        <v>3417</v>
      </c>
      <c r="C2053" s="31" t="s">
        <v>521</v>
      </c>
      <c r="D2053" s="31" t="s">
        <v>1582</v>
      </c>
      <c r="E2053" s="28">
        <v>43421</v>
      </c>
      <c r="F2053" s="28">
        <v>43451</v>
      </c>
      <c r="G2053" s="28">
        <v>43830</v>
      </c>
      <c r="H2053" s="29" t="s">
        <v>560</v>
      </c>
      <c r="I2053" s="29" t="s">
        <v>560</v>
      </c>
      <c r="J2053" s="29" t="s">
        <v>1825</v>
      </c>
      <c r="K2053" s="29" t="s">
        <v>3305</v>
      </c>
      <c r="L2053" s="29" t="s">
        <v>3306</v>
      </c>
      <c r="M2053" s="29" t="s">
        <v>2227</v>
      </c>
      <c r="N2053" s="29" t="s">
        <v>1434</v>
      </c>
      <c r="O2053" s="29" t="s">
        <v>590</v>
      </c>
    </row>
    <row r="2054" spans="1:15">
      <c r="A2054" s="25">
        <v>23320</v>
      </c>
      <c r="B2054" s="34" t="s">
        <v>3418</v>
      </c>
      <c r="C2054" s="31" t="s">
        <v>521</v>
      </c>
      <c r="D2054" s="31" t="s">
        <v>1527</v>
      </c>
      <c r="E2054" s="28">
        <v>43427</v>
      </c>
      <c r="F2054" s="28">
        <v>43457</v>
      </c>
      <c r="G2054" s="28">
        <v>43830</v>
      </c>
      <c r="H2054" s="29" t="s">
        <v>560</v>
      </c>
      <c r="I2054" s="29" t="s">
        <v>560</v>
      </c>
      <c r="J2054" s="29" t="s">
        <v>1825</v>
      </c>
      <c r="K2054" s="29" t="s">
        <v>3305</v>
      </c>
      <c r="L2054" s="29" t="s">
        <v>3306</v>
      </c>
      <c r="M2054" s="29" t="s">
        <v>2128</v>
      </c>
      <c r="N2054" s="29" t="s">
        <v>1586</v>
      </c>
      <c r="O2054" s="29" t="s">
        <v>590</v>
      </c>
    </row>
    <row r="2055" spans="1:15">
      <c r="A2055" s="25">
        <v>23443</v>
      </c>
      <c r="B2055" s="34" t="s">
        <v>3297</v>
      </c>
      <c r="C2055" s="31" t="s">
        <v>521</v>
      </c>
      <c r="D2055" s="31" t="s">
        <v>882</v>
      </c>
      <c r="E2055" s="28">
        <v>43434</v>
      </c>
      <c r="F2055" s="28">
        <v>43464</v>
      </c>
      <c r="G2055" s="28">
        <v>43830</v>
      </c>
      <c r="H2055" s="29" t="s">
        <v>560</v>
      </c>
      <c r="I2055" s="29" t="s">
        <v>560</v>
      </c>
      <c r="J2055" s="29" t="s">
        <v>1825</v>
      </c>
      <c r="K2055" s="29" t="s">
        <v>3305</v>
      </c>
      <c r="L2055" s="29" t="s">
        <v>3306</v>
      </c>
      <c r="M2055" s="29" t="s">
        <v>2082</v>
      </c>
      <c r="N2055" s="29" t="s">
        <v>1434</v>
      </c>
      <c r="O2055" s="29" t="s">
        <v>590</v>
      </c>
    </row>
    <row r="2056" spans="1:15">
      <c r="A2056" s="25">
        <v>23479</v>
      </c>
      <c r="B2056" s="34" t="s">
        <v>3419</v>
      </c>
      <c r="C2056" s="31" t="s">
        <v>521</v>
      </c>
      <c r="D2056" s="31" t="s">
        <v>882</v>
      </c>
      <c r="E2056" s="28">
        <v>43434</v>
      </c>
      <c r="F2056" s="28">
        <v>43464</v>
      </c>
      <c r="G2056" s="28">
        <v>43830</v>
      </c>
      <c r="H2056" s="29" t="s">
        <v>560</v>
      </c>
      <c r="I2056" s="29" t="s">
        <v>560</v>
      </c>
      <c r="J2056" s="29" t="s">
        <v>1825</v>
      </c>
      <c r="K2056" s="29" t="s">
        <v>3305</v>
      </c>
      <c r="L2056" s="29" t="s">
        <v>3306</v>
      </c>
      <c r="M2056" s="29" t="s">
        <v>2068</v>
      </c>
      <c r="N2056" s="29" t="s">
        <v>1434</v>
      </c>
      <c r="O2056" s="29" t="s">
        <v>590</v>
      </c>
    </row>
    <row r="2057" spans="1:15">
      <c r="A2057" s="25">
        <v>23520</v>
      </c>
      <c r="B2057" s="34" t="s">
        <v>3420</v>
      </c>
      <c r="C2057" s="31" t="s">
        <v>521</v>
      </c>
      <c r="D2057" s="31" t="s">
        <v>1588</v>
      </c>
      <c r="E2057" s="28">
        <v>43441</v>
      </c>
      <c r="F2057" s="28">
        <v>43472</v>
      </c>
      <c r="G2057" s="28">
        <v>43830</v>
      </c>
      <c r="H2057" s="29" t="s">
        <v>560</v>
      </c>
      <c r="I2057" s="29" t="s">
        <v>560</v>
      </c>
      <c r="J2057" s="29" t="s">
        <v>1825</v>
      </c>
      <c r="K2057" s="29" t="s">
        <v>3305</v>
      </c>
      <c r="L2057" s="29" t="s">
        <v>3306</v>
      </c>
      <c r="M2057" s="29" t="s">
        <v>1593</v>
      </c>
      <c r="N2057" s="29" t="s">
        <v>1586</v>
      </c>
      <c r="O2057" s="29" t="s">
        <v>590</v>
      </c>
    </row>
    <row r="2058" spans="1:15">
      <c r="A2058" s="25" t="s">
        <v>3421</v>
      </c>
      <c r="B2058" s="34" t="s">
        <v>3422</v>
      </c>
      <c r="C2058" s="31" t="s">
        <v>521</v>
      </c>
      <c r="D2058" s="31" t="s">
        <v>788</v>
      </c>
      <c r="E2058" s="28">
        <v>40847</v>
      </c>
      <c r="F2058" s="28" t="s">
        <v>35</v>
      </c>
      <c r="G2058" s="28" t="s">
        <v>35</v>
      </c>
      <c r="H2058" s="29" t="s">
        <v>560</v>
      </c>
      <c r="I2058" s="29" t="s">
        <v>560</v>
      </c>
      <c r="J2058" s="29" t="s">
        <v>1825</v>
      </c>
      <c r="K2058" s="29" t="s">
        <v>3305</v>
      </c>
      <c r="L2058" s="29" t="s">
        <v>3306</v>
      </c>
      <c r="M2058" s="29" t="s">
        <v>3186</v>
      </c>
      <c r="N2058" s="29" t="s">
        <v>2031</v>
      </c>
      <c r="O2058" s="29" t="s">
        <v>590</v>
      </c>
    </row>
    <row r="2059" spans="1:15">
      <c r="A2059" s="25" t="s">
        <v>3423</v>
      </c>
      <c r="B2059" s="26" t="s">
        <v>3424</v>
      </c>
      <c r="C2059" s="27" t="s">
        <v>521</v>
      </c>
      <c r="D2059" s="27" t="s">
        <v>2261</v>
      </c>
      <c r="E2059" s="28">
        <v>41165</v>
      </c>
      <c r="F2059" s="28" t="s">
        <v>35</v>
      </c>
      <c r="G2059" s="28" t="s">
        <v>35</v>
      </c>
      <c r="H2059" s="27" t="s">
        <v>560</v>
      </c>
      <c r="I2059" s="27" t="s">
        <v>560</v>
      </c>
      <c r="J2059" s="29" t="s">
        <v>1825</v>
      </c>
      <c r="K2059" s="29" t="s">
        <v>3305</v>
      </c>
      <c r="L2059" s="29" t="s">
        <v>3306</v>
      </c>
      <c r="M2059" s="29" t="s">
        <v>3344</v>
      </c>
      <c r="N2059" s="29" t="s">
        <v>2041</v>
      </c>
      <c r="O2059" s="29" t="s">
        <v>590</v>
      </c>
    </row>
    <row r="2060" spans="1:15">
      <c r="A2060" s="25" t="s">
        <v>3425</v>
      </c>
      <c r="B2060" s="26" t="s">
        <v>3426</v>
      </c>
      <c r="C2060" s="27" t="s">
        <v>521</v>
      </c>
      <c r="D2060" s="27" t="s">
        <v>3427</v>
      </c>
      <c r="E2060" s="28">
        <v>41396</v>
      </c>
      <c r="F2060" s="28" t="s">
        <v>35</v>
      </c>
      <c r="G2060" s="28" t="s">
        <v>35</v>
      </c>
      <c r="H2060" s="27" t="s">
        <v>560</v>
      </c>
      <c r="I2060" s="27" t="s">
        <v>560</v>
      </c>
      <c r="J2060" s="29" t="s">
        <v>1825</v>
      </c>
      <c r="K2060" s="29" t="s">
        <v>3305</v>
      </c>
      <c r="L2060" s="29" t="s">
        <v>3306</v>
      </c>
      <c r="M2060" s="29" t="s">
        <v>2028</v>
      </c>
      <c r="N2060" s="29" t="s">
        <v>1434</v>
      </c>
      <c r="O2060" s="29" t="s">
        <v>590</v>
      </c>
    </row>
    <row r="2061" spans="1:15">
      <c r="A2061" s="25">
        <v>23582</v>
      </c>
      <c r="B2061" s="34" t="s">
        <v>3428</v>
      </c>
      <c r="C2061" s="31" t="s">
        <v>521</v>
      </c>
      <c r="D2061" s="31" t="s">
        <v>884</v>
      </c>
      <c r="E2061" s="28">
        <v>43452</v>
      </c>
      <c r="F2061" s="28">
        <v>43483</v>
      </c>
      <c r="G2061" s="28">
        <v>43861</v>
      </c>
      <c r="H2061" s="29" t="s">
        <v>560</v>
      </c>
      <c r="I2061" s="29" t="s">
        <v>560</v>
      </c>
      <c r="J2061" s="29" t="s">
        <v>1825</v>
      </c>
      <c r="K2061" s="29" t="s">
        <v>3305</v>
      </c>
      <c r="L2061" s="29" t="s">
        <v>3306</v>
      </c>
      <c r="M2061" s="29" t="s">
        <v>1593</v>
      </c>
      <c r="N2061" s="29" t="s">
        <v>1586</v>
      </c>
      <c r="O2061" s="29" t="s">
        <v>590</v>
      </c>
    </row>
    <row r="2062" spans="1:15">
      <c r="A2062" s="25" t="s">
        <v>3429</v>
      </c>
      <c r="B2062" s="34" t="s">
        <v>3430</v>
      </c>
      <c r="C2062" s="31" t="s">
        <v>521</v>
      </c>
      <c r="D2062" s="31" t="s">
        <v>892</v>
      </c>
      <c r="E2062" s="28">
        <v>43467</v>
      </c>
      <c r="F2062" s="28">
        <v>43467</v>
      </c>
      <c r="G2062" s="28">
        <v>43497</v>
      </c>
      <c r="H2062" s="29" t="s">
        <v>560</v>
      </c>
      <c r="I2062" s="29" t="s">
        <v>560</v>
      </c>
      <c r="J2062" s="29" t="s">
        <v>1825</v>
      </c>
      <c r="K2062" s="29" t="s">
        <v>3305</v>
      </c>
      <c r="L2062" s="29" t="s">
        <v>3306</v>
      </c>
      <c r="M2062" s="29" t="s">
        <v>1593</v>
      </c>
      <c r="N2062" s="29" t="s">
        <v>1586</v>
      </c>
      <c r="O2062" s="29" t="s">
        <v>590</v>
      </c>
    </row>
    <row r="2063" spans="1:15">
      <c r="A2063" s="25" t="s">
        <v>3431</v>
      </c>
      <c r="B2063" s="34" t="s">
        <v>3432</v>
      </c>
      <c r="C2063" s="31" t="s">
        <v>521</v>
      </c>
      <c r="D2063" s="31" t="s">
        <v>892</v>
      </c>
      <c r="E2063" s="28">
        <v>43467</v>
      </c>
      <c r="F2063" s="28">
        <v>43467</v>
      </c>
      <c r="G2063" s="28">
        <v>43497</v>
      </c>
      <c r="H2063" s="29" t="s">
        <v>560</v>
      </c>
      <c r="I2063" s="29" t="s">
        <v>560</v>
      </c>
      <c r="J2063" s="29" t="s">
        <v>1825</v>
      </c>
      <c r="K2063" s="29" t="s">
        <v>3305</v>
      </c>
      <c r="L2063" s="29" t="s">
        <v>3306</v>
      </c>
      <c r="M2063" s="29" t="s">
        <v>1593</v>
      </c>
      <c r="N2063" s="29" t="s">
        <v>1586</v>
      </c>
      <c r="O2063" s="29" t="s">
        <v>590</v>
      </c>
    </row>
    <row r="2064" spans="1:15">
      <c r="A2064" s="25">
        <v>22931</v>
      </c>
      <c r="B2064" s="34" t="s">
        <v>3433</v>
      </c>
      <c r="C2064" s="31" t="s">
        <v>521</v>
      </c>
      <c r="D2064" s="31" t="s">
        <v>1962</v>
      </c>
      <c r="E2064" s="28">
        <v>43343</v>
      </c>
      <c r="F2064" s="28">
        <v>43374</v>
      </c>
      <c r="G2064" s="28">
        <v>43738</v>
      </c>
      <c r="H2064" s="29" t="s">
        <v>560</v>
      </c>
      <c r="I2064" s="29" t="s">
        <v>560</v>
      </c>
      <c r="J2064" s="29" t="s">
        <v>1825</v>
      </c>
      <c r="K2064" s="29" t="s">
        <v>3305</v>
      </c>
      <c r="L2064" s="29" t="s">
        <v>3434</v>
      </c>
      <c r="M2064" s="29" t="s">
        <v>3363</v>
      </c>
      <c r="N2064" s="29" t="s">
        <v>1586</v>
      </c>
      <c r="O2064" s="29" t="s">
        <v>594</v>
      </c>
    </row>
    <row r="2065" spans="1:15">
      <c r="A2065" s="25">
        <v>23182</v>
      </c>
      <c r="B2065" s="34" t="s">
        <v>3435</v>
      </c>
      <c r="C2065" s="31" t="s">
        <v>521</v>
      </c>
      <c r="D2065" s="31" t="s">
        <v>1523</v>
      </c>
      <c r="E2065" s="28">
        <v>43369</v>
      </c>
      <c r="F2065" s="28">
        <v>43399</v>
      </c>
      <c r="G2065" s="28">
        <v>43769</v>
      </c>
      <c r="H2065" s="29" t="s">
        <v>560</v>
      </c>
      <c r="I2065" s="29" t="s">
        <v>560</v>
      </c>
      <c r="J2065" s="29" t="s">
        <v>1825</v>
      </c>
      <c r="K2065" s="29" t="s">
        <v>3305</v>
      </c>
      <c r="L2065" s="29" t="s">
        <v>3434</v>
      </c>
      <c r="M2065" s="29" t="s">
        <v>3436</v>
      </c>
      <c r="N2065" s="29" t="s">
        <v>1586</v>
      </c>
      <c r="O2065" s="29" t="s">
        <v>594</v>
      </c>
    </row>
    <row r="2066" spans="1:15">
      <c r="A2066" s="25" t="s">
        <v>3437</v>
      </c>
      <c r="B2066" s="34" t="s">
        <v>3438</v>
      </c>
      <c r="C2066" s="31" t="s">
        <v>521</v>
      </c>
      <c r="D2066" s="31" t="s">
        <v>892</v>
      </c>
      <c r="E2066" s="28">
        <v>43467</v>
      </c>
      <c r="F2066" s="28">
        <v>43467</v>
      </c>
      <c r="G2066" s="28">
        <v>43497</v>
      </c>
      <c r="H2066" s="29" t="s">
        <v>560</v>
      </c>
      <c r="I2066" s="29" t="s">
        <v>560</v>
      </c>
      <c r="J2066" s="29" t="s">
        <v>1825</v>
      </c>
      <c r="K2066" s="29" t="s">
        <v>3305</v>
      </c>
      <c r="L2066" s="29" t="s">
        <v>3434</v>
      </c>
      <c r="M2066" s="29" t="s">
        <v>3439</v>
      </c>
      <c r="N2066" s="29" t="s">
        <v>1586</v>
      </c>
      <c r="O2066" s="29" t="s">
        <v>594</v>
      </c>
    </row>
    <row r="2067" spans="1:15">
      <c r="A2067" s="25" t="s">
        <v>3440</v>
      </c>
      <c r="B2067" s="34" t="s">
        <v>3441</v>
      </c>
      <c r="C2067" s="31" t="s">
        <v>521</v>
      </c>
      <c r="D2067" s="31" t="s">
        <v>892</v>
      </c>
      <c r="E2067" s="28">
        <v>43467</v>
      </c>
      <c r="F2067" s="28">
        <v>43467</v>
      </c>
      <c r="G2067" s="28">
        <v>43497</v>
      </c>
      <c r="H2067" s="29" t="s">
        <v>560</v>
      </c>
      <c r="I2067" s="29" t="s">
        <v>560</v>
      </c>
      <c r="J2067" s="29" t="s">
        <v>1825</v>
      </c>
      <c r="K2067" s="29" t="s">
        <v>3305</v>
      </c>
      <c r="L2067" s="29" t="s">
        <v>3434</v>
      </c>
      <c r="M2067" s="29" t="s">
        <v>1593</v>
      </c>
      <c r="N2067" s="29" t="s">
        <v>1586</v>
      </c>
      <c r="O2067" s="29" t="s">
        <v>594</v>
      </c>
    </row>
    <row r="2068" spans="1:15">
      <c r="A2068" s="25">
        <v>5479</v>
      </c>
      <c r="B2068" s="26" t="s">
        <v>3442</v>
      </c>
      <c r="C2068" s="27" t="s">
        <v>521</v>
      </c>
      <c r="D2068" s="27" t="s">
        <v>1090</v>
      </c>
      <c r="E2068" s="28">
        <v>38991</v>
      </c>
      <c r="F2068" s="28" t="s">
        <v>35</v>
      </c>
      <c r="G2068" s="28" t="s">
        <v>35</v>
      </c>
      <c r="H2068" s="29" t="s">
        <v>560</v>
      </c>
      <c r="I2068" s="29" t="s">
        <v>560</v>
      </c>
      <c r="J2068" s="29" t="s">
        <v>1825</v>
      </c>
      <c r="K2068" s="29" t="s">
        <v>3305</v>
      </c>
      <c r="L2068" s="29" t="s">
        <v>3434</v>
      </c>
      <c r="M2068" s="29" t="s">
        <v>2040</v>
      </c>
      <c r="N2068" s="29" t="s">
        <v>2041</v>
      </c>
      <c r="O2068" s="29" t="s">
        <v>528</v>
      </c>
    </row>
    <row r="2069" spans="1:15">
      <c r="A2069" s="25">
        <v>8832</v>
      </c>
      <c r="B2069" s="26" t="s">
        <v>3443</v>
      </c>
      <c r="C2069" s="27" t="s">
        <v>521</v>
      </c>
      <c r="D2069" s="27" t="s">
        <v>813</v>
      </c>
      <c r="E2069" s="28">
        <v>39937</v>
      </c>
      <c r="F2069" s="28" t="s">
        <v>35</v>
      </c>
      <c r="G2069" s="28" t="s">
        <v>35</v>
      </c>
      <c r="H2069" s="27" t="s">
        <v>560</v>
      </c>
      <c r="I2069" s="27" t="s">
        <v>560</v>
      </c>
      <c r="J2069" s="29" t="s">
        <v>1825</v>
      </c>
      <c r="K2069" s="29" t="s">
        <v>3305</v>
      </c>
      <c r="L2069" s="29" t="s">
        <v>3434</v>
      </c>
      <c r="M2069" s="29" t="s">
        <v>3290</v>
      </c>
      <c r="N2069" s="29" t="s">
        <v>1434</v>
      </c>
      <c r="O2069" s="29" t="s">
        <v>528</v>
      </c>
    </row>
    <row r="2070" spans="1:15">
      <c r="A2070" s="25">
        <v>9057</v>
      </c>
      <c r="B2070" s="26" t="s">
        <v>3444</v>
      </c>
      <c r="C2070" s="27" t="s">
        <v>521</v>
      </c>
      <c r="D2070" s="27" t="s">
        <v>1908</v>
      </c>
      <c r="E2070" s="28">
        <v>39993</v>
      </c>
      <c r="F2070" s="28" t="s">
        <v>35</v>
      </c>
      <c r="G2070" s="28" t="s">
        <v>35</v>
      </c>
      <c r="H2070" s="27" t="s">
        <v>560</v>
      </c>
      <c r="I2070" s="27" t="s">
        <v>560</v>
      </c>
      <c r="J2070" s="29" t="s">
        <v>1825</v>
      </c>
      <c r="K2070" s="29" t="s">
        <v>3305</v>
      </c>
      <c r="L2070" s="29" t="s">
        <v>3434</v>
      </c>
      <c r="M2070" s="29" t="s">
        <v>1550</v>
      </c>
      <c r="N2070" s="29" t="s">
        <v>1045</v>
      </c>
      <c r="O2070" s="29" t="s">
        <v>528</v>
      </c>
    </row>
    <row r="2071" spans="1:15">
      <c r="A2071" s="25">
        <v>9872</v>
      </c>
      <c r="B2071" s="26" t="s">
        <v>3445</v>
      </c>
      <c r="C2071" s="27" t="s">
        <v>521</v>
      </c>
      <c r="D2071" s="27" t="s">
        <v>802</v>
      </c>
      <c r="E2071" s="28">
        <v>40411</v>
      </c>
      <c r="F2071" s="28" t="s">
        <v>35</v>
      </c>
      <c r="G2071" s="28" t="s">
        <v>35</v>
      </c>
      <c r="H2071" s="27" t="s">
        <v>560</v>
      </c>
      <c r="I2071" s="27" t="s">
        <v>560</v>
      </c>
      <c r="J2071" s="29" t="s">
        <v>1825</v>
      </c>
      <c r="K2071" s="29" t="s">
        <v>3305</v>
      </c>
      <c r="L2071" s="29" t="s">
        <v>3434</v>
      </c>
      <c r="M2071" s="29" t="s">
        <v>2050</v>
      </c>
      <c r="N2071" s="29" t="s">
        <v>1434</v>
      </c>
      <c r="O2071" s="29" t="s">
        <v>528</v>
      </c>
    </row>
    <row r="2072" spans="1:15">
      <c r="A2072" s="25">
        <v>10291</v>
      </c>
      <c r="B2072" s="26" t="s">
        <v>3446</v>
      </c>
      <c r="C2072" s="27" t="s">
        <v>521</v>
      </c>
      <c r="D2072" s="27" t="s">
        <v>2527</v>
      </c>
      <c r="E2072" s="28">
        <v>40504</v>
      </c>
      <c r="F2072" s="28" t="s">
        <v>35</v>
      </c>
      <c r="G2072" s="28" t="s">
        <v>35</v>
      </c>
      <c r="H2072" s="27" t="s">
        <v>560</v>
      </c>
      <c r="I2072" s="27" t="s">
        <v>560</v>
      </c>
      <c r="J2072" s="29" t="s">
        <v>1825</v>
      </c>
      <c r="K2072" s="29" t="s">
        <v>3305</v>
      </c>
      <c r="L2072" s="29" t="s">
        <v>3434</v>
      </c>
      <c r="M2072" s="29" t="s">
        <v>2454</v>
      </c>
      <c r="N2072" s="29" t="s">
        <v>2041</v>
      </c>
      <c r="O2072" s="29" t="s">
        <v>528</v>
      </c>
    </row>
    <row r="2073" spans="1:15">
      <c r="A2073" s="25">
        <v>10466</v>
      </c>
      <c r="B2073" s="83" t="s">
        <v>3447</v>
      </c>
      <c r="C2073" s="25" t="s">
        <v>521</v>
      </c>
      <c r="D2073" s="25" t="s">
        <v>864</v>
      </c>
      <c r="E2073" s="28">
        <v>40524</v>
      </c>
      <c r="F2073" s="28" t="s">
        <v>35</v>
      </c>
      <c r="G2073" s="28" t="s">
        <v>35</v>
      </c>
      <c r="H2073" s="29" t="s">
        <v>560</v>
      </c>
      <c r="I2073" s="29" t="s">
        <v>560</v>
      </c>
      <c r="J2073" s="29" t="s">
        <v>1825</v>
      </c>
      <c r="K2073" s="29" t="s">
        <v>3305</v>
      </c>
      <c r="L2073" s="29" t="s">
        <v>3434</v>
      </c>
      <c r="M2073" s="29" t="s">
        <v>2025</v>
      </c>
      <c r="N2073" s="29" t="s">
        <v>2026</v>
      </c>
      <c r="O2073" s="29" t="s">
        <v>528</v>
      </c>
    </row>
    <row r="2074" spans="1:15">
      <c r="A2074" s="25">
        <v>10488</v>
      </c>
      <c r="B2074" s="26" t="s">
        <v>3448</v>
      </c>
      <c r="C2074" s="27" t="s">
        <v>521</v>
      </c>
      <c r="D2074" s="27" t="s">
        <v>864</v>
      </c>
      <c r="E2074" s="28">
        <v>40524</v>
      </c>
      <c r="F2074" s="28" t="s">
        <v>35</v>
      </c>
      <c r="G2074" s="28" t="s">
        <v>35</v>
      </c>
      <c r="H2074" s="27" t="s">
        <v>560</v>
      </c>
      <c r="I2074" s="27" t="s">
        <v>560</v>
      </c>
      <c r="J2074" s="29" t="s">
        <v>1825</v>
      </c>
      <c r="K2074" s="29" t="s">
        <v>3305</v>
      </c>
      <c r="L2074" s="29" t="s">
        <v>3434</v>
      </c>
      <c r="M2074" s="29" t="s">
        <v>2082</v>
      </c>
      <c r="N2074" s="29" t="s">
        <v>1434</v>
      </c>
      <c r="O2074" s="29" t="s">
        <v>528</v>
      </c>
    </row>
    <row r="2075" spans="1:15">
      <c r="A2075" s="25">
        <v>10751</v>
      </c>
      <c r="B2075" s="26" t="s">
        <v>3449</v>
      </c>
      <c r="C2075" s="27" t="s">
        <v>521</v>
      </c>
      <c r="D2075" s="27" t="s">
        <v>730</v>
      </c>
      <c r="E2075" s="28">
        <v>40566</v>
      </c>
      <c r="F2075" s="28" t="s">
        <v>35</v>
      </c>
      <c r="G2075" s="28" t="s">
        <v>35</v>
      </c>
      <c r="H2075" s="27" t="s">
        <v>560</v>
      </c>
      <c r="I2075" s="27" t="s">
        <v>560</v>
      </c>
      <c r="J2075" s="29" t="s">
        <v>1825</v>
      </c>
      <c r="K2075" s="29" t="s">
        <v>3305</v>
      </c>
      <c r="L2075" s="29" t="s">
        <v>3434</v>
      </c>
      <c r="M2075" s="29" t="s">
        <v>2354</v>
      </c>
      <c r="N2075" s="29" t="s">
        <v>1434</v>
      </c>
      <c r="O2075" s="29" t="s">
        <v>528</v>
      </c>
    </row>
    <row r="2076" spans="1:15">
      <c r="A2076" s="25">
        <v>11329</v>
      </c>
      <c r="B2076" s="26" t="s">
        <v>402</v>
      </c>
      <c r="C2076" s="27" t="s">
        <v>521</v>
      </c>
      <c r="D2076" s="27" t="s">
        <v>781</v>
      </c>
      <c r="E2076" s="28">
        <v>40666</v>
      </c>
      <c r="F2076" s="28" t="s">
        <v>35</v>
      </c>
      <c r="G2076" s="28" t="s">
        <v>35</v>
      </c>
      <c r="H2076" s="27" t="s">
        <v>560</v>
      </c>
      <c r="I2076" s="27" t="s">
        <v>560</v>
      </c>
      <c r="J2076" s="29" t="s">
        <v>1825</v>
      </c>
      <c r="K2076" s="29" t="s">
        <v>3305</v>
      </c>
      <c r="L2076" s="29" t="s">
        <v>3434</v>
      </c>
      <c r="M2076" s="29" t="s">
        <v>2215</v>
      </c>
      <c r="N2076" s="29" t="s">
        <v>1434</v>
      </c>
      <c r="O2076" s="29" t="s">
        <v>528</v>
      </c>
    </row>
    <row r="2077" spans="1:15">
      <c r="A2077" s="25">
        <v>11436</v>
      </c>
      <c r="B2077" s="26" t="s">
        <v>3450</v>
      </c>
      <c r="C2077" s="27" t="s">
        <v>521</v>
      </c>
      <c r="D2077" s="27" t="s">
        <v>711</v>
      </c>
      <c r="E2077" s="28">
        <v>40701</v>
      </c>
      <c r="F2077" s="28" t="s">
        <v>35</v>
      </c>
      <c r="G2077" s="28" t="s">
        <v>35</v>
      </c>
      <c r="H2077" s="27" t="s">
        <v>560</v>
      </c>
      <c r="I2077" s="27" t="s">
        <v>560</v>
      </c>
      <c r="J2077" s="29" t="s">
        <v>1825</v>
      </c>
      <c r="K2077" s="29" t="s">
        <v>3305</v>
      </c>
      <c r="L2077" s="29" t="s">
        <v>3434</v>
      </c>
      <c r="M2077" s="29" t="s">
        <v>2085</v>
      </c>
      <c r="N2077" s="29" t="s">
        <v>1434</v>
      </c>
      <c r="O2077" s="29" t="s">
        <v>528</v>
      </c>
    </row>
    <row r="2078" spans="1:15">
      <c r="A2078" s="25">
        <v>11496</v>
      </c>
      <c r="B2078" s="26" t="s">
        <v>3451</v>
      </c>
      <c r="C2078" s="27" t="s">
        <v>521</v>
      </c>
      <c r="D2078" s="27" t="s">
        <v>711</v>
      </c>
      <c r="E2078" s="28">
        <v>40701</v>
      </c>
      <c r="F2078" s="28" t="s">
        <v>35</v>
      </c>
      <c r="G2078" s="28" t="s">
        <v>35</v>
      </c>
      <c r="H2078" s="29" t="s">
        <v>560</v>
      </c>
      <c r="I2078" s="29" t="s">
        <v>560</v>
      </c>
      <c r="J2078" s="29" t="s">
        <v>1825</v>
      </c>
      <c r="K2078" s="29" t="s">
        <v>3305</v>
      </c>
      <c r="L2078" s="29" t="s">
        <v>3434</v>
      </c>
      <c r="M2078" s="29" t="s">
        <v>1550</v>
      </c>
      <c r="N2078" s="29" t="s">
        <v>1045</v>
      </c>
      <c r="O2078" s="29" t="s">
        <v>528</v>
      </c>
    </row>
    <row r="2079" spans="1:15">
      <c r="A2079" s="25">
        <v>12677</v>
      </c>
      <c r="B2079" s="26" t="s">
        <v>3452</v>
      </c>
      <c r="C2079" s="27" t="s">
        <v>521</v>
      </c>
      <c r="D2079" s="27" t="s">
        <v>1739</v>
      </c>
      <c r="E2079" s="28">
        <v>40819</v>
      </c>
      <c r="F2079" s="28" t="s">
        <v>35</v>
      </c>
      <c r="G2079" s="28" t="s">
        <v>35</v>
      </c>
      <c r="H2079" s="29" t="s">
        <v>560</v>
      </c>
      <c r="I2079" s="29" t="s">
        <v>560</v>
      </c>
      <c r="J2079" s="29" t="s">
        <v>1825</v>
      </c>
      <c r="K2079" s="29" t="s">
        <v>3305</v>
      </c>
      <c r="L2079" s="29" t="s">
        <v>3434</v>
      </c>
      <c r="M2079" s="29" t="s">
        <v>2030</v>
      </c>
      <c r="N2079" s="29" t="s">
        <v>2031</v>
      </c>
      <c r="O2079" s="29" t="s">
        <v>528</v>
      </c>
    </row>
    <row r="2080" spans="1:15">
      <c r="A2080" s="25">
        <v>17448</v>
      </c>
      <c r="B2080" s="26" t="s">
        <v>3453</v>
      </c>
      <c r="C2080" s="27" t="s">
        <v>521</v>
      </c>
      <c r="D2080" s="27" t="s">
        <v>2536</v>
      </c>
      <c r="E2080" s="28">
        <v>41778</v>
      </c>
      <c r="F2080" s="28" t="s">
        <v>35</v>
      </c>
      <c r="G2080" s="28" t="s">
        <v>35</v>
      </c>
      <c r="H2080" s="27" t="s">
        <v>560</v>
      </c>
      <c r="I2080" s="27" t="s">
        <v>560</v>
      </c>
      <c r="J2080" s="29" t="s">
        <v>1825</v>
      </c>
      <c r="K2080" s="29" t="s">
        <v>3305</v>
      </c>
      <c r="L2080" s="29" t="s">
        <v>3434</v>
      </c>
      <c r="M2080" s="29" t="s">
        <v>2108</v>
      </c>
      <c r="N2080" s="29" t="s">
        <v>2041</v>
      </c>
      <c r="O2080" s="29" t="s">
        <v>528</v>
      </c>
    </row>
    <row r="2081" spans="1:15">
      <c r="A2081" s="25">
        <v>20462</v>
      </c>
      <c r="B2081" s="26" t="s">
        <v>3454</v>
      </c>
      <c r="C2081" s="27" t="s">
        <v>521</v>
      </c>
      <c r="D2081" s="27" t="s">
        <v>1644</v>
      </c>
      <c r="E2081" s="28">
        <v>42634</v>
      </c>
      <c r="F2081" s="28">
        <v>43132</v>
      </c>
      <c r="G2081" s="28">
        <v>43496</v>
      </c>
      <c r="H2081" s="25" t="s">
        <v>560</v>
      </c>
      <c r="I2081" s="27" t="s">
        <v>560</v>
      </c>
      <c r="J2081" s="29" t="s">
        <v>1825</v>
      </c>
      <c r="K2081" s="29" t="s">
        <v>3305</v>
      </c>
      <c r="L2081" s="29" t="s">
        <v>3434</v>
      </c>
      <c r="M2081" s="29" t="s">
        <v>3336</v>
      </c>
      <c r="N2081" s="29" t="s">
        <v>1434</v>
      </c>
      <c r="O2081" s="29" t="s">
        <v>528</v>
      </c>
    </row>
    <row r="2082" spans="1:15">
      <c r="A2082" s="25">
        <v>20463</v>
      </c>
      <c r="B2082" s="26" t="s">
        <v>3455</v>
      </c>
      <c r="C2082" s="27" t="s">
        <v>521</v>
      </c>
      <c r="D2082" s="27" t="s">
        <v>1644</v>
      </c>
      <c r="E2082" s="28">
        <v>42634</v>
      </c>
      <c r="F2082" s="28">
        <v>43132</v>
      </c>
      <c r="G2082" s="28">
        <v>43496</v>
      </c>
      <c r="H2082" s="25" t="s">
        <v>560</v>
      </c>
      <c r="I2082" s="27" t="s">
        <v>560</v>
      </c>
      <c r="J2082" s="29" t="s">
        <v>1825</v>
      </c>
      <c r="K2082" s="29" t="s">
        <v>3305</v>
      </c>
      <c r="L2082" s="29" t="s">
        <v>3434</v>
      </c>
      <c r="M2082" s="29" t="s">
        <v>2094</v>
      </c>
      <c r="N2082" s="29" t="s">
        <v>1434</v>
      </c>
      <c r="O2082" s="29" t="s">
        <v>528</v>
      </c>
    </row>
    <row r="2083" spans="1:15">
      <c r="A2083" s="25">
        <v>20650</v>
      </c>
      <c r="B2083" s="26" t="s">
        <v>3456</v>
      </c>
      <c r="C2083" s="27" t="s">
        <v>521</v>
      </c>
      <c r="D2083" s="27" t="s">
        <v>673</v>
      </c>
      <c r="E2083" s="28">
        <v>42639</v>
      </c>
      <c r="F2083" s="28">
        <v>43132</v>
      </c>
      <c r="G2083" s="28">
        <v>43496</v>
      </c>
      <c r="H2083" s="25" t="s">
        <v>560</v>
      </c>
      <c r="I2083" s="25" t="s">
        <v>560</v>
      </c>
      <c r="J2083" s="29" t="s">
        <v>1825</v>
      </c>
      <c r="K2083" s="29" t="s">
        <v>3305</v>
      </c>
      <c r="L2083" s="29" t="s">
        <v>3434</v>
      </c>
      <c r="M2083" s="29" t="s">
        <v>2079</v>
      </c>
      <c r="N2083" s="29" t="s">
        <v>2080</v>
      </c>
      <c r="O2083" s="29" t="s">
        <v>528</v>
      </c>
    </row>
    <row r="2084" spans="1:15">
      <c r="A2084" s="25">
        <v>20718</v>
      </c>
      <c r="B2084" s="26" t="s">
        <v>3457</v>
      </c>
      <c r="C2084" s="27" t="s">
        <v>521</v>
      </c>
      <c r="D2084" s="27" t="s">
        <v>815</v>
      </c>
      <c r="E2084" s="28">
        <v>42642</v>
      </c>
      <c r="F2084" s="28">
        <v>43132</v>
      </c>
      <c r="G2084" s="28">
        <v>43496</v>
      </c>
      <c r="H2084" s="31" t="s">
        <v>560</v>
      </c>
      <c r="I2084" s="31" t="s">
        <v>560</v>
      </c>
      <c r="J2084" s="29" t="s">
        <v>1825</v>
      </c>
      <c r="K2084" s="29" t="s">
        <v>3305</v>
      </c>
      <c r="L2084" s="29" t="s">
        <v>3434</v>
      </c>
      <c r="M2084" s="29" t="s">
        <v>3294</v>
      </c>
      <c r="N2084" s="29" t="s">
        <v>1434</v>
      </c>
      <c r="O2084" s="29" t="s">
        <v>528</v>
      </c>
    </row>
    <row r="2085" spans="1:15">
      <c r="A2085" s="25">
        <v>20769</v>
      </c>
      <c r="B2085" s="26" t="s">
        <v>3458</v>
      </c>
      <c r="C2085" s="27" t="s">
        <v>521</v>
      </c>
      <c r="D2085" s="27" t="s">
        <v>815</v>
      </c>
      <c r="E2085" s="28">
        <v>42642</v>
      </c>
      <c r="F2085" s="28">
        <v>43132</v>
      </c>
      <c r="G2085" s="28">
        <v>43496</v>
      </c>
      <c r="H2085" s="27" t="s">
        <v>560</v>
      </c>
      <c r="I2085" s="27" t="s">
        <v>560</v>
      </c>
      <c r="J2085" s="29" t="s">
        <v>1825</v>
      </c>
      <c r="K2085" s="29" t="s">
        <v>3305</v>
      </c>
      <c r="L2085" s="29" t="s">
        <v>3434</v>
      </c>
      <c r="M2085" s="29" t="s">
        <v>2100</v>
      </c>
      <c r="N2085" s="29" t="s">
        <v>2031</v>
      </c>
      <c r="O2085" s="29" t="s">
        <v>528</v>
      </c>
    </row>
    <row r="2086" spans="1:15">
      <c r="A2086" s="25">
        <v>20925</v>
      </c>
      <c r="B2086" s="26" t="s">
        <v>3459</v>
      </c>
      <c r="C2086" s="27" t="s">
        <v>521</v>
      </c>
      <c r="D2086" s="27" t="s">
        <v>1149</v>
      </c>
      <c r="E2086" s="28">
        <v>42667</v>
      </c>
      <c r="F2086" s="28">
        <v>43160</v>
      </c>
      <c r="G2086" s="28">
        <v>43524</v>
      </c>
      <c r="H2086" s="27" t="s">
        <v>560</v>
      </c>
      <c r="I2086" s="27" t="s">
        <v>560</v>
      </c>
      <c r="J2086" s="29" t="s">
        <v>1825</v>
      </c>
      <c r="K2086" s="29" t="s">
        <v>3305</v>
      </c>
      <c r="L2086" s="29" t="s">
        <v>3434</v>
      </c>
      <c r="M2086" s="29" t="s">
        <v>2063</v>
      </c>
      <c r="N2086" s="29" t="s">
        <v>2041</v>
      </c>
      <c r="O2086" s="29" t="s">
        <v>528</v>
      </c>
    </row>
    <row r="2087" spans="1:15">
      <c r="A2087" s="25">
        <v>20934</v>
      </c>
      <c r="B2087" s="26" t="s">
        <v>3460</v>
      </c>
      <c r="C2087" s="27" t="s">
        <v>521</v>
      </c>
      <c r="D2087" s="27" t="s">
        <v>1149</v>
      </c>
      <c r="E2087" s="28">
        <v>42667</v>
      </c>
      <c r="F2087" s="28">
        <v>43160</v>
      </c>
      <c r="G2087" s="28">
        <v>43524</v>
      </c>
      <c r="H2087" s="25" t="s">
        <v>560</v>
      </c>
      <c r="I2087" s="27" t="s">
        <v>560</v>
      </c>
      <c r="J2087" s="29" t="s">
        <v>1825</v>
      </c>
      <c r="K2087" s="29" t="s">
        <v>3305</v>
      </c>
      <c r="L2087" s="29" t="s">
        <v>3434</v>
      </c>
      <c r="M2087" s="29" t="s">
        <v>2030</v>
      </c>
      <c r="N2087" s="29" t="s">
        <v>2031</v>
      </c>
      <c r="O2087" s="29" t="s">
        <v>528</v>
      </c>
    </row>
    <row r="2088" spans="1:15">
      <c r="A2088" s="25">
        <v>21249</v>
      </c>
      <c r="B2088" s="26" t="s">
        <v>3461</v>
      </c>
      <c r="C2088" s="27" t="s">
        <v>521</v>
      </c>
      <c r="D2088" s="27" t="s">
        <v>2670</v>
      </c>
      <c r="E2088" s="28">
        <v>42893</v>
      </c>
      <c r="F2088" s="28">
        <v>43374</v>
      </c>
      <c r="G2088" s="28">
        <v>43738</v>
      </c>
      <c r="H2088" s="29" t="s">
        <v>560</v>
      </c>
      <c r="I2088" s="29" t="s">
        <v>560</v>
      </c>
      <c r="J2088" s="29" t="s">
        <v>1825</v>
      </c>
      <c r="K2088" s="29" t="s">
        <v>3305</v>
      </c>
      <c r="L2088" s="29" t="s">
        <v>3434</v>
      </c>
      <c r="M2088" s="29" t="s">
        <v>2498</v>
      </c>
      <c r="N2088" s="29" t="s">
        <v>2041</v>
      </c>
      <c r="O2088" s="29" t="s">
        <v>528</v>
      </c>
    </row>
    <row r="2089" spans="1:15">
      <c r="A2089" s="25">
        <v>21288</v>
      </c>
      <c r="B2089" s="34" t="s">
        <v>3462</v>
      </c>
      <c r="C2089" s="31" t="s">
        <v>521</v>
      </c>
      <c r="D2089" s="31" t="s">
        <v>1595</v>
      </c>
      <c r="E2089" s="28">
        <v>43010</v>
      </c>
      <c r="F2089" s="28">
        <v>43405</v>
      </c>
      <c r="G2089" s="28">
        <v>43769</v>
      </c>
      <c r="H2089" s="29" t="s">
        <v>560</v>
      </c>
      <c r="I2089" s="29" t="s">
        <v>560</v>
      </c>
      <c r="J2089" s="29" t="s">
        <v>1825</v>
      </c>
      <c r="K2089" s="29" t="s">
        <v>3305</v>
      </c>
      <c r="L2089" s="29" t="s">
        <v>3434</v>
      </c>
      <c r="M2089" s="29" t="s">
        <v>3113</v>
      </c>
      <c r="N2089" s="29" t="s">
        <v>2023</v>
      </c>
      <c r="O2089" s="29" t="s">
        <v>528</v>
      </c>
    </row>
    <row r="2090" spans="1:15">
      <c r="A2090" s="25">
        <v>21400</v>
      </c>
      <c r="B2090" s="34" t="s">
        <v>3463</v>
      </c>
      <c r="C2090" s="31" t="s">
        <v>521</v>
      </c>
      <c r="D2090" s="31" t="s">
        <v>2283</v>
      </c>
      <c r="E2090" s="28">
        <v>43018</v>
      </c>
      <c r="F2090" s="28">
        <v>43405</v>
      </c>
      <c r="G2090" s="28">
        <v>43769</v>
      </c>
      <c r="H2090" s="29" t="s">
        <v>560</v>
      </c>
      <c r="I2090" s="29" t="s">
        <v>560</v>
      </c>
      <c r="J2090" s="29" t="s">
        <v>1825</v>
      </c>
      <c r="K2090" s="29" t="s">
        <v>3305</v>
      </c>
      <c r="L2090" s="29" t="s">
        <v>3434</v>
      </c>
      <c r="M2090" s="29" t="s">
        <v>2120</v>
      </c>
      <c r="N2090" s="29" t="s">
        <v>1434</v>
      </c>
      <c r="O2090" s="29" t="s">
        <v>528</v>
      </c>
    </row>
    <row r="2091" spans="1:15">
      <c r="A2091" s="25">
        <v>21993</v>
      </c>
      <c r="B2091" s="34" t="s">
        <v>3464</v>
      </c>
      <c r="C2091" s="31" t="s">
        <v>521</v>
      </c>
      <c r="D2091" s="31" t="s">
        <v>1171</v>
      </c>
      <c r="E2091" s="28">
        <v>43139</v>
      </c>
      <c r="F2091" s="28">
        <v>43167</v>
      </c>
      <c r="G2091" s="28">
        <v>43524</v>
      </c>
      <c r="H2091" s="29" t="s">
        <v>560</v>
      </c>
      <c r="I2091" s="29" t="s">
        <v>560</v>
      </c>
      <c r="J2091" s="29" t="s">
        <v>1825</v>
      </c>
      <c r="K2091" s="29" t="s">
        <v>3305</v>
      </c>
      <c r="L2091" s="29" t="s">
        <v>3434</v>
      </c>
      <c r="M2091" s="29" t="s">
        <v>2048</v>
      </c>
      <c r="N2091" s="29" t="s">
        <v>1434</v>
      </c>
      <c r="O2091" s="29" t="s">
        <v>528</v>
      </c>
    </row>
    <row r="2092" spans="1:15">
      <c r="A2092" s="25">
        <v>22014</v>
      </c>
      <c r="B2092" s="34" t="s">
        <v>3465</v>
      </c>
      <c r="C2092" s="31" t="s">
        <v>521</v>
      </c>
      <c r="D2092" s="31" t="s">
        <v>631</v>
      </c>
      <c r="E2092" s="28">
        <v>43144</v>
      </c>
      <c r="F2092" s="28">
        <v>43172</v>
      </c>
      <c r="G2092" s="28">
        <v>43524</v>
      </c>
      <c r="H2092" s="29" t="s">
        <v>560</v>
      </c>
      <c r="I2092" s="29" t="s">
        <v>560</v>
      </c>
      <c r="J2092" s="29" t="s">
        <v>1825</v>
      </c>
      <c r="K2092" s="29" t="s">
        <v>3305</v>
      </c>
      <c r="L2092" s="29" t="s">
        <v>3434</v>
      </c>
      <c r="M2092" s="29" t="s">
        <v>3290</v>
      </c>
      <c r="N2092" s="29" t="s">
        <v>1434</v>
      </c>
      <c r="O2092" s="29" t="s">
        <v>528</v>
      </c>
    </row>
    <row r="2093" spans="1:15">
      <c r="A2093" s="25">
        <v>22310</v>
      </c>
      <c r="B2093" s="34" t="s">
        <v>3466</v>
      </c>
      <c r="C2093" s="31" t="s">
        <v>521</v>
      </c>
      <c r="D2093" s="31" t="s">
        <v>1191</v>
      </c>
      <c r="E2093" s="28">
        <v>43192</v>
      </c>
      <c r="F2093" s="28">
        <v>43222</v>
      </c>
      <c r="G2093" s="28">
        <v>43585</v>
      </c>
      <c r="H2093" s="29" t="s">
        <v>560</v>
      </c>
      <c r="I2093" s="29" t="s">
        <v>560</v>
      </c>
      <c r="J2093" s="29" t="s">
        <v>1825</v>
      </c>
      <c r="K2093" s="29" t="s">
        <v>3305</v>
      </c>
      <c r="L2093" s="29" t="s">
        <v>3434</v>
      </c>
      <c r="M2093" s="29" t="s">
        <v>2087</v>
      </c>
      <c r="N2093" s="29" t="s">
        <v>1434</v>
      </c>
      <c r="O2093" s="29" t="s">
        <v>528</v>
      </c>
    </row>
    <row r="2094" spans="1:15">
      <c r="A2094" s="25">
        <v>22506</v>
      </c>
      <c r="B2094" s="26" t="s">
        <v>3467</v>
      </c>
      <c r="C2094" s="27" t="s">
        <v>521</v>
      </c>
      <c r="D2094" s="27" t="s">
        <v>773</v>
      </c>
      <c r="E2094" s="28">
        <v>43224</v>
      </c>
      <c r="F2094" s="28">
        <v>43255</v>
      </c>
      <c r="G2094" s="28">
        <v>43616</v>
      </c>
      <c r="H2094" s="29" t="s">
        <v>560</v>
      </c>
      <c r="I2094" s="29" t="s">
        <v>560</v>
      </c>
      <c r="J2094" s="29" t="s">
        <v>1825</v>
      </c>
      <c r="K2094" s="29" t="s">
        <v>3305</v>
      </c>
      <c r="L2094" s="29" t="s">
        <v>3434</v>
      </c>
      <c r="M2094" s="29" t="s">
        <v>2043</v>
      </c>
      <c r="N2094" s="29" t="s">
        <v>2041</v>
      </c>
      <c r="O2094" s="29" t="s">
        <v>528</v>
      </c>
    </row>
    <row r="2095" spans="1:15">
      <c r="A2095" s="25">
        <v>22664</v>
      </c>
      <c r="B2095" s="34" t="s">
        <v>3468</v>
      </c>
      <c r="C2095" s="31" t="s">
        <v>521</v>
      </c>
      <c r="D2095" s="31" t="s">
        <v>1199</v>
      </c>
      <c r="E2095" s="28">
        <v>43241</v>
      </c>
      <c r="F2095" s="28">
        <v>43272</v>
      </c>
      <c r="G2095" s="28">
        <v>43646</v>
      </c>
      <c r="H2095" s="29" t="s">
        <v>560</v>
      </c>
      <c r="I2095" s="29" t="s">
        <v>560</v>
      </c>
      <c r="J2095" s="29" t="s">
        <v>1825</v>
      </c>
      <c r="K2095" s="29" t="s">
        <v>3305</v>
      </c>
      <c r="L2095" s="29" t="s">
        <v>3434</v>
      </c>
      <c r="M2095" s="29" t="s">
        <v>3263</v>
      </c>
      <c r="N2095" s="29" t="s">
        <v>1434</v>
      </c>
      <c r="O2095" s="29" t="s">
        <v>528</v>
      </c>
    </row>
    <row r="2096" spans="1:15">
      <c r="A2096" s="25">
        <v>22678</v>
      </c>
      <c r="B2096" s="34" t="s">
        <v>3469</v>
      </c>
      <c r="C2096" s="31" t="s">
        <v>521</v>
      </c>
      <c r="D2096" s="31" t="s">
        <v>1199</v>
      </c>
      <c r="E2096" s="28">
        <v>43241</v>
      </c>
      <c r="F2096" s="28">
        <v>43272</v>
      </c>
      <c r="G2096" s="28">
        <v>43646</v>
      </c>
      <c r="H2096" s="29" t="s">
        <v>560</v>
      </c>
      <c r="I2096" s="29" t="s">
        <v>560</v>
      </c>
      <c r="J2096" s="29" t="s">
        <v>1825</v>
      </c>
      <c r="K2096" s="29" t="s">
        <v>3305</v>
      </c>
      <c r="L2096" s="29" t="s">
        <v>3434</v>
      </c>
      <c r="M2096" s="29" t="s">
        <v>2052</v>
      </c>
      <c r="N2096" s="29" t="s">
        <v>2041</v>
      </c>
      <c r="O2096" s="29" t="s">
        <v>528</v>
      </c>
    </row>
    <row r="2097" spans="1:15">
      <c r="A2097" s="25">
        <v>22847</v>
      </c>
      <c r="B2097" s="34" t="s">
        <v>3470</v>
      </c>
      <c r="C2097" s="31" t="s">
        <v>521</v>
      </c>
      <c r="D2097" s="31" t="s">
        <v>775</v>
      </c>
      <c r="E2097" s="28">
        <v>43333</v>
      </c>
      <c r="F2097" s="28">
        <v>43364</v>
      </c>
      <c r="G2097" s="28">
        <v>43738</v>
      </c>
      <c r="H2097" s="29" t="s">
        <v>560</v>
      </c>
      <c r="I2097" s="29" t="s">
        <v>560</v>
      </c>
      <c r="J2097" s="29" t="s">
        <v>1825</v>
      </c>
      <c r="K2097" s="29" t="s">
        <v>3305</v>
      </c>
      <c r="L2097" s="29" t="s">
        <v>3434</v>
      </c>
      <c r="M2097" s="29" t="s">
        <v>3329</v>
      </c>
      <c r="N2097" s="29" t="s">
        <v>2041</v>
      </c>
      <c r="O2097" s="29" t="s">
        <v>528</v>
      </c>
    </row>
    <row r="2098" spans="1:15">
      <c r="A2098" s="25">
        <v>22934</v>
      </c>
      <c r="B2098" s="34" t="s">
        <v>3471</v>
      </c>
      <c r="C2098" s="31" t="s">
        <v>521</v>
      </c>
      <c r="D2098" s="31" t="s">
        <v>1962</v>
      </c>
      <c r="E2098" s="28">
        <v>43343</v>
      </c>
      <c r="F2098" s="28">
        <v>43374</v>
      </c>
      <c r="G2098" s="28">
        <v>43738</v>
      </c>
      <c r="H2098" s="29" t="s">
        <v>560</v>
      </c>
      <c r="I2098" s="29" t="s">
        <v>560</v>
      </c>
      <c r="J2098" s="29" t="s">
        <v>1825</v>
      </c>
      <c r="K2098" s="29" t="s">
        <v>3305</v>
      </c>
      <c r="L2098" s="29" t="s">
        <v>3434</v>
      </c>
      <c r="M2098" s="29" t="s">
        <v>2096</v>
      </c>
      <c r="N2098" s="29" t="s">
        <v>1434</v>
      </c>
      <c r="O2098" s="29" t="s">
        <v>528</v>
      </c>
    </row>
    <row r="2099" spans="1:15">
      <c r="A2099" s="25">
        <v>22960</v>
      </c>
      <c r="B2099" s="34" t="s">
        <v>3472</v>
      </c>
      <c r="C2099" s="31" t="s">
        <v>521</v>
      </c>
      <c r="D2099" s="31" t="s">
        <v>1962</v>
      </c>
      <c r="E2099" s="28">
        <v>43343</v>
      </c>
      <c r="F2099" s="28">
        <v>43374</v>
      </c>
      <c r="G2099" s="28">
        <v>43738</v>
      </c>
      <c r="H2099" s="29" t="s">
        <v>560</v>
      </c>
      <c r="I2099" s="29" t="s">
        <v>560</v>
      </c>
      <c r="J2099" s="29" t="s">
        <v>1825</v>
      </c>
      <c r="K2099" s="29" t="s">
        <v>3305</v>
      </c>
      <c r="L2099" s="29" t="s">
        <v>3434</v>
      </c>
      <c r="M2099" s="29" t="s">
        <v>2280</v>
      </c>
      <c r="N2099" s="29" t="s">
        <v>1434</v>
      </c>
      <c r="O2099" s="29" t="s">
        <v>528</v>
      </c>
    </row>
    <row r="2100" spans="1:15">
      <c r="A2100" s="25">
        <v>23028</v>
      </c>
      <c r="B2100" s="34" t="s">
        <v>3473</v>
      </c>
      <c r="C2100" s="31" t="s">
        <v>521</v>
      </c>
      <c r="D2100" s="31" t="s">
        <v>1872</v>
      </c>
      <c r="E2100" s="28">
        <v>43361</v>
      </c>
      <c r="F2100" s="28">
        <v>43391</v>
      </c>
      <c r="G2100" s="28">
        <v>43769</v>
      </c>
      <c r="H2100" s="29" t="s">
        <v>560</v>
      </c>
      <c r="I2100" s="29" t="s">
        <v>560</v>
      </c>
      <c r="J2100" s="29" t="s">
        <v>1825</v>
      </c>
      <c r="K2100" s="29" t="s">
        <v>3305</v>
      </c>
      <c r="L2100" s="29" t="s">
        <v>3434</v>
      </c>
      <c r="M2100" s="29" t="s">
        <v>2079</v>
      </c>
      <c r="N2100" s="29" t="s">
        <v>2080</v>
      </c>
      <c r="O2100" s="29" t="s">
        <v>528</v>
      </c>
    </row>
    <row r="2101" spans="1:15">
      <c r="A2101" s="25">
        <v>23096</v>
      </c>
      <c r="B2101" s="34" t="s">
        <v>3474</v>
      </c>
      <c r="C2101" s="31" t="s">
        <v>521</v>
      </c>
      <c r="D2101" s="31" t="s">
        <v>1523</v>
      </c>
      <c r="E2101" s="28">
        <v>43369</v>
      </c>
      <c r="F2101" s="28">
        <v>43399</v>
      </c>
      <c r="G2101" s="28">
        <v>43769</v>
      </c>
      <c r="H2101" s="29" t="s">
        <v>560</v>
      </c>
      <c r="I2101" s="29" t="s">
        <v>560</v>
      </c>
      <c r="J2101" s="29" t="s">
        <v>1825</v>
      </c>
      <c r="K2101" s="29" t="s">
        <v>3305</v>
      </c>
      <c r="L2101" s="29" t="s">
        <v>3434</v>
      </c>
      <c r="M2101" s="29" t="s">
        <v>2077</v>
      </c>
      <c r="N2101" s="29" t="s">
        <v>2077</v>
      </c>
      <c r="O2101" s="29" t="s">
        <v>528</v>
      </c>
    </row>
    <row r="2102" spans="1:15">
      <c r="A2102" s="25">
        <v>23159</v>
      </c>
      <c r="B2102" s="34" t="s">
        <v>3475</v>
      </c>
      <c r="C2102" s="31" t="s">
        <v>521</v>
      </c>
      <c r="D2102" s="31" t="s">
        <v>1523</v>
      </c>
      <c r="E2102" s="28">
        <v>43369</v>
      </c>
      <c r="F2102" s="28">
        <v>43399</v>
      </c>
      <c r="G2102" s="28">
        <v>43769</v>
      </c>
      <c r="H2102" s="29" t="s">
        <v>560</v>
      </c>
      <c r="I2102" s="29" t="s">
        <v>560</v>
      </c>
      <c r="J2102" s="29" t="s">
        <v>1825</v>
      </c>
      <c r="K2102" s="29" t="s">
        <v>3305</v>
      </c>
      <c r="L2102" s="29" t="s">
        <v>3434</v>
      </c>
      <c r="M2102" s="29" t="s">
        <v>3476</v>
      </c>
      <c r="N2102" s="29" t="s">
        <v>2023</v>
      </c>
      <c r="O2102" s="29" t="s">
        <v>528</v>
      </c>
    </row>
    <row r="2103" spans="1:15">
      <c r="A2103" s="25">
        <v>23160</v>
      </c>
      <c r="B2103" s="34" t="s">
        <v>3477</v>
      </c>
      <c r="C2103" s="31" t="s">
        <v>521</v>
      </c>
      <c r="D2103" s="31" t="s">
        <v>1523</v>
      </c>
      <c r="E2103" s="28">
        <v>43369</v>
      </c>
      <c r="F2103" s="28">
        <v>43399</v>
      </c>
      <c r="G2103" s="28">
        <v>43769</v>
      </c>
      <c r="H2103" s="29" t="s">
        <v>560</v>
      </c>
      <c r="I2103" s="29" t="s">
        <v>560</v>
      </c>
      <c r="J2103" s="29" t="s">
        <v>1825</v>
      </c>
      <c r="K2103" s="29" t="s">
        <v>3305</v>
      </c>
      <c r="L2103" s="29" t="s">
        <v>3434</v>
      </c>
      <c r="M2103" s="29" t="s">
        <v>3344</v>
      </c>
      <c r="N2103" s="29" t="s">
        <v>2041</v>
      </c>
      <c r="O2103" s="29" t="s">
        <v>528</v>
      </c>
    </row>
    <row r="2104" spans="1:15">
      <c r="A2104" s="25">
        <v>23161</v>
      </c>
      <c r="B2104" s="34" t="s">
        <v>3478</v>
      </c>
      <c r="C2104" s="31" t="s">
        <v>521</v>
      </c>
      <c r="D2104" s="31" t="s">
        <v>1523</v>
      </c>
      <c r="E2104" s="28">
        <v>43369</v>
      </c>
      <c r="F2104" s="28">
        <v>43399</v>
      </c>
      <c r="G2104" s="28">
        <v>43769</v>
      </c>
      <c r="H2104" s="29" t="s">
        <v>560</v>
      </c>
      <c r="I2104" s="29" t="s">
        <v>560</v>
      </c>
      <c r="J2104" s="29" t="s">
        <v>1825</v>
      </c>
      <c r="K2104" s="29" t="s">
        <v>3305</v>
      </c>
      <c r="L2104" s="29" t="s">
        <v>3434</v>
      </c>
      <c r="M2104" s="29" t="s">
        <v>3317</v>
      </c>
      <c r="N2104" s="29" t="s">
        <v>1434</v>
      </c>
      <c r="O2104" s="29" t="s">
        <v>528</v>
      </c>
    </row>
    <row r="2105" spans="1:15">
      <c r="A2105" s="25">
        <v>23254</v>
      </c>
      <c r="B2105" s="34" t="s">
        <v>3479</v>
      </c>
      <c r="C2105" s="31" t="s">
        <v>521</v>
      </c>
      <c r="D2105" s="31" t="s">
        <v>1582</v>
      </c>
      <c r="E2105" s="28">
        <v>43421</v>
      </c>
      <c r="F2105" s="28">
        <v>43451</v>
      </c>
      <c r="G2105" s="28">
        <v>43830</v>
      </c>
      <c r="H2105" s="29" t="s">
        <v>560</v>
      </c>
      <c r="I2105" s="29" t="s">
        <v>560</v>
      </c>
      <c r="J2105" s="29" t="s">
        <v>1825</v>
      </c>
      <c r="K2105" s="29" t="s">
        <v>3305</v>
      </c>
      <c r="L2105" s="29" t="s">
        <v>3434</v>
      </c>
      <c r="M2105" s="29" t="s">
        <v>2057</v>
      </c>
      <c r="N2105" s="29" t="s">
        <v>2041</v>
      </c>
      <c r="O2105" s="29" t="s">
        <v>528</v>
      </c>
    </row>
    <row r="2106" spans="1:15">
      <c r="A2106" s="25">
        <v>23256</v>
      </c>
      <c r="B2106" s="34" t="s">
        <v>3480</v>
      </c>
      <c r="C2106" s="31" t="s">
        <v>521</v>
      </c>
      <c r="D2106" s="31" t="s">
        <v>1582</v>
      </c>
      <c r="E2106" s="28">
        <v>43421</v>
      </c>
      <c r="F2106" s="28">
        <v>43451</v>
      </c>
      <c r="G2106" s="28">
        <v>43830</v>
      </c>
      <c r="H2106" s="29" t="s">
        <v>560</v>
      </c>
      <c r="I2106" s="29" t="s">
        <v>560</v>
      </c>
      <c r="J2106" s="29" t="s">
        <v>1825</v>
      </c>
      <c r="K2106" s="29" t="s">
        <v>3305</v>
      </c>
      <c r="L2106" s="29" t="s">
        <v>3434</v>
      </c>
      <c r="M2106" s="29" t="s">
        <v>2065</v>
      </c>
      <c r="N2106" s="29" t="s">
        <v>2041</v>
      </c>
      <c r="O2106" s="29" t="s">
        <v>528</v>
      </c>
    </row>
    <row r="2107" spans="1:15">
      <c r="A2107" s="25">
        <v>23300</v>
      </c>
      <c r="B2107" s="34" t="s">
        <v>3481</v>
      </c>
      <c r="C2107" s="31" t="s">
        <v>521</v>
      </c>
      <c r="D2107" s="31" t="s">
        <v>1527</v>
      </c>
      <c r="E2107" s="28">
        <v>43427</v>
      </c>
      <c r="F2107" s="28">
        <v>43457</v>
      </c>
      <c r="G2107" s="28">
        <v>43830</v>
      </c>
      <c r="H2107" s="29" t="s">
        <v>560</v>
      </c>
      <c r="I2107" s="29" t="s">
        <v>560</v>
      </c>
      <c r="J2107" s="29" t="s">
        <v>1825</v>
      </c>
      <c r="K2107" s="29" t="s">
        <v>3305</v>
      </c>
      <c r="L2107" s="29" t="s">
        <v>3434</v>
      </c>
      <c r="M2107" s="29" t="s">
        <v>2068</v>
      </c>
      <c r="N2107" s="29" t="s">
        <v>1434</v>
      </c>
      <c r="O2107" s="29" t="s">
        <v>528</v>
      </c>
    </row>
    <row r="2108" spans="1:15">
      <c r="A2108" s="25">
        <v>23440</v>
      </c>
      <c r="B2108" s="34" t="s">
        <v>3482</v>
      </c>
      <c r="C2108" s="31" t="s">
        <v>521</v>
      </c>
      <c r="D2108" s="31" t="s">
        <v>882</v>
      </c>
      <c r="E2108" s="28">
        <v>43434</v>
      </c>
      <c r="F2108" s="28">
        <v>43464</v>
      </c>
      <c r="G2108" s="28">
        <v>43830</v>
      </c>
      <c r="H2108" s="29" t="s">
        <v>560</v>
      </c>
      <c r="I2108" s="29" t="s">
        <v>560</v>
      </c>
      <c r="J2108" s="29" t="s">
        <v>1825</v>
      </c>
      <c r="K2108" s="29" t="s">
        <v>3305</v>
      </c>
      <c r="L2108" s="29" t="s">
        <v>3434</v>
      </c>
      <c r="M2108" s="29" t="s">
        <v>3282</v>
      </c>
      <c r="N2108" s="29" t="s">
        <v>1434</v>
      </c>
      <c r="O2108" s="29" t="s">
        <v>528</v>
      </c>
    </row>
    <row r="2109" spans="1:15">
      <c r="A2109" s="25">
        <v>23521</v>
      </c>
      <c r="B2109" s="34" t="s">
        <v>3483</v>
      </c>
      <c r="C2109" s="31" t="s">
        <v>521</v>
      </c>
      <c r="D2109" s="31" t="s">
        <v>1588</v>
      </c>
      <c r="E2109" s="28">
        <v>43441</v>
      </c>
      <c r="F2109" s="28">
        <v>43472</v>
      </c>
      <c r="G2109" s="28">
        <v>43830</v>
      </c>
      <c r="H2109" s="29" t="s">
        <v>560</v>
      </c>
      <c r="I2109" s="29" t="s">
        <v>560</v>
      </c>
      <c r="J2109" s="29" t="s">
        <v>1825</v>
      </c>
      <c r="K2109" s="29" t="s">
        <v>3305</v>
      </c>
      <c r="L2109" s="29" t="s">
        <v>3434</v>
      </c>
      <c r="M2109" s="29" t="s">
        <v>3360</v>
      </c>
      <c r="N2109" s="29" t="s">
        <v>1586</v>
      </c>
      <c r="O2109" s="29" t="s">
        <v>528</v>
      </c>
    </row>
    <row r="2110" spans="1:15">
      <c r="A2110" s="25">
        <v>23522</v>
      </c>
      <c r="B2110" s="34" t="s">
        <v>3484</v>
      </c>
      <c r="C2110" s="31" t="s">
        <v>521</v>
      </c>
      <c r="D2110" s="31" t="s">
        <v>1588</v>
      </c>
      <c r="E2110" s="28">
        <v>43441</v>
      </c>
      <c r="F2110" s="28">
        <v>43472</v>
      </c>
      <c r="G2110" s="28">
        <v>43830</v>
      </c>
      <c r="H2110" s="29" t="s">
        <v>560</v>
      </c>
      <c r="I2110" s="29" t="s">
        <v>560</v>
      </c>
      <c r="J2110" s="29" t="s">
        <v>1825</v>
      </c>
      <c r="K2110" s="29" t="s">
        <v>3305</v>
      </c>
      <c r="L2110" s="29" t="s">
        <v>3434</v>
      </c>
      <c r="M2110" s="29" t="s">
        <v>3485</v>
      </c>
      <c r="N2110" s="29" t="s">
        <v>1586</v>
      </c>
      <c r="O2110" s="29" t="s">
        <v>528</v>
      </c>
    </row>
    <row r="2111" spans="1:15">
      <c r="A2111" s="25" t="s">
        <v>3486</v>
      </c>
      <c r="B2111" s="26" t="s">
        <v>3487</v>
      </c>
      <c r="C2111" s="27" t="s">
        <v>521</v>
      </c>
      <c r="D2111" s="27" t="s">
        <v>668</v>
      </c>
      <c r="E2111" s="28">
        <v>40826</v>
      </c>
      <c r="F2111" s="28" t="s">
        <v>35</v>
      </c>
      <c r="G2111" s="28" t="s">
        <v>35</v>
      </c>
      <c r="H2111" s="27" t="s">
        <v>560</v>
      </c>
      <c r="I2111" s="27" t="s">
        <v>560</v>
      </c>
      <c r="J2111" s="29" t="s">
        <v>1825</v>
      </c>
      <c r="K2111" s="29" t="s">
        <v>3305</v>
      </c>
      <c r="L2111" s="29" t="s">
        <v>3434</v>
      </c>
      <c r="M2111" s="29" t="s">
        <v>2227</v>
      </c>
      <c r="N2111" s="29" t="s">
        <v>1434</v>
      </c>
      <c r="O2111" s="29" t="s">
        <v>528</v>
      </c>
    </row>
    <row r="2112" spans="1:15">
      <c r="A2112" s="25" t="s">
        <v>3488</v>
      </c>
      <c r="B2112" s="26" t="s">
        <v>3489</v>
      </c>
      <c r="C2112" s="27" t="s">
        <v>521</v>
      </c>
      <c r="D2112" s="27" t="s">
        <v>3490</v>
      </c>
      <c r="E2112" s="28">
        <v>40861</v>
      </c>
      <c r="F2112" s="28" t="s">
        <v>35</v>
      </c>
      <c r="G2112" s="28" t="s">
        <v>35</v>
      </c>
      <c r="H2112" s="27" t="s">
        <v>560</v>
      </c>
      <c r="I2112" s="27" t="s">
        <v>560</v>
      </c>
      <c r="J2112" s="29" t="s">
        <v>1825</v>
      </c>
      <c r="K2112" s="29" t="s">
        <v>3305</v>
      </c>
      <c r="L2112" s="29" t="s">
        <v>3434</v>
      </c>
      <c r="M2112" s="29" t="s">
        <v>2055</v>
      </c>
      <c r="N2112" s="29" t="s">
        <v>1434</v>
      </c>
      <c r="O2112" s="29" t="s">
        <v>528</v>
      </c>
    </row>
    <row r="2113" spans="1:15">
      <c r="A2113" s="25">
        <v>1259</v>
      </c>
      <c r="B2113" s="33" t="s">
        <v>3491</v>
      </c>
      <c r="C2113" s="27" t="s">
        <v>521</v>
      </c>
      <c r="D2113" s="27" t="s">
        <v>1458</v>
      </c>
      <c r="E2113" s="28">
        <v>37921</v>
      </c>
      <c r="F2113" s="28" t="s">
        <v>35</v>
      </c>
      <c r="G2113" s="28" t="s">
        <v>35</v>
      </c>
      <c r="H2113" s="29" t="s">
        <v>560</v>
      </c>
      <c r="I2113" s="29" t="s">
        <v>560</v>
      </c>
      <c r="J2113" s="29" t="s">
        <v>1662</v>
      </c>
      <c r="K2113" s="29" t="s">
        <v>3492</v>
      </c>
      <c r="L2113" s="29" t="s">
        <v>3493</v>
      </c>
      <c r="M2113" s="29" t="s">
        <v>3494</v>
      </c>
      <c r="N2113" s="29" t="s">
        <v>2031</v>
      </c>
      <c r="O2113" s="29" t="s">
        <v>594</v>
      </c>
    </row>
    <row r="2114" spans="1:15">
      <c r="A2114" s="25">
        <v>5957</v>
      </c>
      <c r="B2114" s="26" t="s">
        <v>3495</v>
      </c>
      <c r="C2114" s="27" t="s">
        <v>521</v>
      </c>
      <c r="D2114" s="27" t="s">
        <v>713</v>
      </c>
      <c r="E2114" s="28">
        <v>39129</v>
      </c>
      <c r="F2114" s="28" t="s">
        <v>35</v>
      </c>
      <c r="G2114" s="28" t="s">
        <v>35</v>
      </c>
      <c r="H2114" s="27" t="s">
        <v>560</v>
      </c>
      <c r="I2114" s="29" t="s">
        <v>560</v>
      </c>
      <c r="J2114" s="29" t="s">
        <v>1662</v>
      </c>
      <c r="K2114" s="29" t="s">
        <v>3492</v>
      </c>
      <c r="L2114" s="29" t="s">
        <v>3493</v>
      </c>
      <c r="M2114" s="29" t="s">
        <v>3496</v>
      </c>
      <c r="N2114" s="29" t="s">
        <v>1434</v>
      </c>
      <c r="O2114" s="29" t="s">
        <v>594</v>
      </c>
    </row>
    <row r="2115" spans="1:15">
      <c r="A2115" s="25">
        <v>9027</v>
      </c>
      <c r="B2115" s="26" t="s">
        <v>3497</v>
      </c>
      <c r="C2115" s="27" t="s">
        <v>521</v>
      </c>
      <c r="D2115" s="27" t="s">
        <v>715</v>
      </c>
      <c r="E2115" s="28">
        <v>39975</v>
      </c>
      <c r="F2115" s="28" t="s">
        <v>35</v>
      </c>
      <c r="G2115" s="28" t="s">
        <v>35</v>
      </c>
      <c r="H2115" s="27" t="s">
        <v>560</v>
      </c>
      <c r="I2115" s="27" t="s">
        <v>560</v>
      </c>
      <c r="J2115" s="29" t="s">
        <v>1662</v>
      </c>
      <c r="K2115" s="29" t="s">
        <v>3492</v>
      </c>
      <c r="L2115" s="29" t="s">
        <v>3493</v>
      </c>
      <c r="M2115" s="29" t="s">
        <v>1550</v>
      </c>
      <c r="N2115" s="29" t="s">
        <v>1045</v>
      </c>
      <c r="O2115" s="29" t="s">
        <v>594</v>
      </c>
    </row>
    <row r="2116" spans="1:15">
      <c r="A2116" s="25">
        <v>10084</v>
      </c>
      <c r="B2116" s="26" t="s">
        <v>3498</v>
      </c>
      <c r="C2116" s="27" t="s">
        <v>521</v>
      </c>
      <c r="D2116" s="27" t="s">
        <v>601</v>
      </c>
      <c r="E2116" s="28">
        <v>40444</v>
      </c>
      <c r="F2116" s="28" t="s">
        <v>35</v>
      </c>
      <c r="G2116" s="28" t="s">
        <v>35</v>
      </c>
      <c r="H2116" s="27" t="s">
        <v>560</v>
      </c>
      <c r="I2116" s="31" t="s">
        <v>560</v>
      </c>
      <c r="J2116" s="29" t="s">
        <v>1662</v>
      </c>
      <c r="K2116" s="29" t="s">
        <v>3492</v>
      </c>
      <c r="L2116" s="29" t="s">
        <v>3493</v>
      </c>
      <c r="M2116" s="29" t="s">
        <v>2025</v>
      </c>
      <c r="N2116" s="29" t="s">
        <v>2026</v>
      </c>
      <c r="O2116" s="29" t="s">
        <v>594</v>
      </c>
    </row>
    <row r="2117" spans="1:15">
      <c r="A2117" s="25">
        <v>10186</v>
      </c>
      <c r="B2117" s="26" t="s">
        <v>3499</v>
      </c>
      <c r="C2117" s="27" t="s">
        <v>521</v>
      </c>
      <c r="D2117" s="27" t="s">
        <v>787</v>
      </c>
      <c r="E2117" s="28">
        <v>40458</v>
      </c>
      <c r="F2117" s="28" t="s">
        <v>35</v>
      </c>
      <c r="G2117" s="28" t="s">
        <v>35</v>
      </c>
      <c r="H2117" s="27" t="s">
        <v>560</v>
      </c>
      <c r="I2117" s="29" t="s">
        <v>560</v>
      </c>
      <c r="J2117" s="29" t="s">
        <v>1662</v>
      </c>
      <c r="K2117" s="29" t="s">
        <v>3492</v>
      </c>
      <c r="L2117" s="29" t="s">
        <v>3493</v>
      </c>
      <c r="M2117" s="29" t="s">
        <v>3500</v>
      </c>
      <c r="N2117" s="29" t="s">
        <v>1434</v>
      </c>
      <c r="O2117" s="29" t="s">
        <v>594</v>
      </c>
    </row>
    <row r="2118" spans="1:15">
      <c r="A2118" s="25">
        <v>11316</v>
      </c>
      <c r="B2118" s="26" t="s">
        <v>3501</v>
      </c>
      <c r="C2118" s="27" t="s">
        <v>521</v>
      </c>
      <c r="D2118" s="27" t="s">
        <v>3376</v>
      </c>
      <c r="E2118" s="28">
        <v>40660</v>
      </c>
      <c r="F2118" s="28" t="s">
        <v>35</v>
      </c>
      <c r="G2118" s="28" t="s">
        <v>35</v>
      </c>
      <c r="H2118" s="27" t="s">
        <v>560</v>
      </c>
      <c r="I2118" s="27" t="s">
        <v>560</v>
      </c>
      <c r="J2118" s="29" t="s">
        <v>1662</v>
      </c>
      <c r="K2118" s="29" t="s">
        <v>3492</v>
      </c>
      <c r="L2118" s="29" t="s">
        <v>3493</v>
      </c>
      <c r="M2118" s="29" t="s">
        <v>3502</v>
      </c>
      <c r="N2118" s="29" t="s">
        <v>1434</v>
      </c>
      <c r="O2118" s="29" t="s">
        <v>594</v>
      </c>
    </row>
    <row r="2119" spans="1:15">
      <c r="A2119" s="25">
        <v>13451</v>
      </c>
      <c r="B2119" s="26" t="s">
        <v>3503</v>
      </c>
      <c r="C2119" s="27" t="s">
        <v>521</v>
      </c>
      <c r="D2119" s="27" t="s">
        <v>3169</v>
      </c>
      <c r="E2119" s="28">
        <v>40938</v>
      </c>
      <c r="F2119" s="28" t="s">
        <v>35</v>
      </c>
      <c r="G2119" s="28" t="s">
        <v>35</v>
      </c>
      <c r="H2119" s="29" t="s">
        <v>560</v>
      </c>
      <c r="I2119" s="29" t="s">
        <v>560</v>
      </c>
      <c r="J2119" s="29" t="s">
        <v>1662</v>
      </c>
      <c r="K2119" s="29" t="s">
        <v>3492</v>
      </c>
      <c r="L2119" s="29" t="s">
        <v>3493</v>
      </c>
      <c r="M2119" s="29" t="s">
        <v>3504</v>
      </c>
      <c r="N2119" s="29" t="s">
        <v>2031</v>
      </c>
      <c r="O2119" s="29" t="s">
        <v>594</v>
      </c>
    </row>
    <row r="2120" spans="1:15">
      <c r="A2120" s="25">
        <v>20489</v>
      </c>
      <c r="B2120" s="26" t="s">
        <v>3505</v>
      </c>
      <c r="C2120" s="27" t="s">
        <v>521</v>
      </c>
      <c r="D2120" s="27" t="s">
        <v>1644</v>
      </c>
      <c r="E2120" s="28">
        <v>42634</v>
      </c>
      <c r="F2120" s="28">
        <v>43132</v>
      </c>
      <c r="G2120" s="28">
        <v>43496</v>
      </c>
      <c r="H2120" s="25" t="s">
        <v>560</v>
      </c>
      <c r="I2120" s="29" t="s">
        <v>560</v>
      </c>
      <c r="J2120" s="29" t="s">
        <v>1662</v>
      </c>
      <c r="K2120" s="29" t="s">
        <v>3492</v>
      </c>
      <c r="L2120" s="29" t="s">
        <v>3493</v>
      </c>
      <c r="M2120" s="29" t="s">
        <v>3506</v>
      </c>
      <c r="N2120" s="29" t="s">
        <v>1434</v>
      </c>
      <c r="O2120" s="29" t="s">
        <v>594</v>
      </c>
    </row>
    <row r="2121" spans="1:15">
      <c r="A2121" s="25">
        <v>20667</v>
      </c>
      <c r="B2121" s="26" t="s">
        <v>3507</v>
      </c>
      <c r="C2121" s="27" t="s">
        <v>521</v>
      </c>
      <c r="D2121" s="27" t="s">
        <v>673</v>
      </c>
      <c r="E2121" s="28">
        <v>42639</v>
      </c>
      <c r="F2121" s="28">
        <v>43132</v>
      </c>
      <c r="G2121" s="28">
        <v>43496</v>
      </c>
      <c r="H2121" s="25" t="s">
        <v>560</v>
      </c>
      <c r="I2121" s="29" t="s">
        <v>560</v>
      </c>
      <c r="J2121" s="29" t="s">
        <v>1662</v>
      </c>
      <c r="K2121" s="29" t="s">
        <v>3492</v>
      </c>
      <c r="L2121" s="29" t="s">
        <v>3493</v>
      </c>
      <c r="M2121" s="29" t="s">
        <v>3508</v>
      </c>
      <c r="N2121" s="29" t="s">
        <v>1434</v>
      </c>
      <c r="O2121" s="29" t="s">
        <v>594</v>
      </c>
    </row>
    <row r="2122" spans="1:15">
      <c r="A2122" s="25">
        <v>20826</v>
      </c>
      <c r="B2122" s="26" t="s">
        <v>3509</v>
      </c>
      <c r="C2122" s="27" t="s">
        <v>521</v>
      </c>
      <c r="D2122" s="27" t="s">
        <v>1684</v>
      </c>
      <c r="E2122" s="28">
        <v>42649</v>
      </c>
      <c r="F2122" s="28">
        <v>43132</v>
      </c>
      <c r="G2122" s="28">
        <v>43496</v>
      </c>
      <c r="H2122" s="29" t="s">
        <v>560</v>
      </c>
      <c r="I2122" s="29" t="s">
        <v>560</v>
      </c>
      <c r="J2122" s="29" t="s">
        <v>1662</v>
      </c>
      <c r="K2122" s="29" t="s">
        <v>3492</v>
      </c>
      <c r="L2122" s="29" t="s">
        <v>3493</v>
      </c>
      <c r="M2122" s="29" t="s">
        <v>3510</v>
      </c>
      <c r="N2122" s="29" t="s">
        <v>2031</v>
      </c>
      <c r="O2122" s="29" t="s">
        <v>594</v>
      </c>
    </row>
    <row r="2123" spans="1:15">
      <c r="A2123" s="25">
        <v>20851</v>
      </c>
      <c r="B2123" s="26" t="s">
        <v>3511</v>
      </c>
      <c r="C2123" s="27" t="s">
        <v>521</v>
      </c>
      <c r="D2123" s="27" t="s">
        <v>807</v>
      </c>
      <c r="E2123" s="28">
        <v>42660</v>
      </c>
      <c r="F2123" s="28">
        <v>43160</v>
      </c>
      <c r="G2123" s="28">
        <v>43524</v>
      </c>
      <c r="H2123" s="29" t="s">
        <v>560</v>
      </c>
      <c r="I2123" s="29" t="s">
        <v>560</v>
      </c>
      <c r="J2123" s="29" t="s">
        <v>1662</v>
      </c>
      <c r="K2123" s="29" t="s">
        <v>3492</v>
      </c>
      <c r="L2123" s="29" t="s">
        <v>3493</v>
      </c>
      <c r="M2123" s="29" t="s">
        <v>3512</v>
      </c>
      <c r="N2123" s="29" t="s">
        <v>2023</v>
      </c>
      <c r="O2123" s="29" t="s">
        <v>594</v>
      </c>
    </row>
    <row r="2124" spans="1:15">
      <c r="A2124" s="25">
        <v>20933</v>
      </c>
      <c r="B2124" s="26" t="s">
        <v>3513</v>
      </c>
      <c r="C2124" s="27" t="s">
        <v>521</v>
      </c>
      <c r="D2124" s="27" t="s">
        <v>1149</v>
      </c>
      <c r="E2124" s="28">
        <v>42667</v>
      </c>
      <c r="F2124" s="28">
        <v>43160</v>
      </c>
      <c r="G2124" s="28">
        <v>43524</v>
      </c>
      <c r="H2124" s="27" t="s">
        <v>560</v>
      </c>
      <c r="I2124" s="27" t="s">
        <v>560</v>
      </c>
      <c r="J2124" s="29" t="s">
        <v>1662</v>
      </c>
      <c r="K2124" s="29" t="s">
        <v>3492</v>
      </c>
      <c r="L2124" s="29" t="s">
        <v>3493</v>
      </c>
      <c r="M2124" s="29" t="s">
        <v>3514</v>
      </c>
      <c r="N2124" s="29" t="s">
        <v>1434</v>
      </c>
      <c r="O2124" s="29" t="s">
        <v>594</v>
      </c>
    </row>
    <row r="2125" spans="1:15">
      <c r="A2125" s="25">
        <v>21009</v>
      </c>
      <c r="B2125" s="33" t="s">
        <v>3515</v>
      </c>
      <c r="C2125" s="27" t="s">
        <v>521</v>
      </c>
      <c r="D2125" s="27" t="s">
        <v>2545</v>
      </c>
      <c r="E2125" s="28">
        <v>42682</v>
      </c>
      <c r="F2125" s="28">
        <v>43160</v>
      </c>
      <c r="G2125" s="28">
        <v>43524</v>
      </c>
      <c r="H2125" s="31" t="s">
        <v>560</v>
      </c>
      <c r="I2125" s="29" t="s">
        <v>560</v>
      </c>
      <c r="J2125" s="29" t="s">
        <v>1662</v>
      </c>
      <c r="K2125" s="29" t="s">
        <v>3492</v>
      </c>
      <c r="L2125" s="29" t="s">
        <v>3493</v>
      </c>
      <c r="M2125" s="29" t="s">
        <v>3402</v>
      </c>
      <c r="N2125" s="29" t="s">
        <v>2041</v>
      </c>
      <c r="O2125" s="29" t="s">
        <v>594</v>
      </c>
    </row>
    <row r="2126" spans="1:15">
      <c r="A2126" s="25">
        <v>21060</v>
      </c>
      <c r="B2126" s="26" t="s">
        <v>3516</v>
      </c>
      <c r="C2126" s="27" t="s">
        <v>521</v>
      </c>
      <c r="D2126" s="27" t="s">
        <v>3315</v>
      </c>
      <c r="E2126" s="28">
        <v>42863</v>
      </c>
      <c r="F2126" s="28">
        <v>43344</v>
      </c>
      <c r="G2126" s="28">
        <v>43708</v>
      </c>
      <c r="H2126" s="27" t="s">
        <v>560</v>
      </c>
      <c r="I2126" s="31" t="s">
        <v>560</v>
      </c>
      <c r="J2126" s="29" t="s">
        <v>1662</v>
      </c>
      <c r="K2126" s="29" t="s">
        <v>3492</v>
      </c>
      <c r="L2126" s="29" t="s">
        <v>3493</v>
      </c>
      <c r="M2126" s="29" t="s">
        <v>3517</v>
      </c>
      <c r="N2126" s="29" t="s">
        <v>2041</v>
      </c>
      <c r="O2126" s="29" t="s">
        <v>594</v>
      </c>
    </row>
    <row r="2127" spans="1:15">
      <c r="A2127" s="25">
        <v>21094</v>
      </c>
      <c r="B2127" s="26" t="s">
        <v>3518</v>
      </c>
      <c r="C2127" s="27" t="s">
        <v>521</v>
      </c>
      <c r="D2127" s="27" t="s">
        <v>1686</v>
      </c>
      <c r="E2127" s="28">
        <v>42867</v>
      </c>
      <c r="F2127" s="28">
        <v>43344</v>
      </c>
      <c r="G2127" s="28">
        <v>43708</v>
      </c>
      <c r="H2127" s="25" t="s">
        <v>560</v>
      </c>
      <c r="I2127" s="31" t="s">
        <v>560</v>
      </c>
      <c r="J2127" s="29" t="s">
        <v>1662</v>
      </c>
      <c r="K2127" s="29" t="s">
        <v>3492</v>
      </c>
      <c r="L2127" s="29" t="s">
        <v>3493</v>
      </c>
      <c r="M2127" s="29" t="s">
        <v>3519</v>
      </c>
      <c r="N2127" s="29" t="s">
        <v>1434</v>
      </c>
      <c r="O2127" s="29" t="s">
        <v>594</v>
      </c>
    </row>
    <row r="2128" spans="1:15">
      <c r="A2128" s="25">
        <v>21101</v>
      </c>
      <c r="B2128" s="26" t="s">
        <v>3520</v>
      </c>
      <c r="C2128" s="27" t="s">
        <v>521</v>
      </c>
      <c r="D2128" s="27" t="s">
        <v>1686</v>
      </c>
      <c r="E2128" s="28">
        <v>42867</v>
      </c>
      <c r="F2128" s="28">
        <v>43344</v>
      </c>
      <c r="G2128" s="28">
        <v>43708</v>
      </c>
      <c r="H2128" s="25" t="s">
        <v>560</v>
      </c>
      <c r="I2128" s="31" t="s">
        <v>560</v>
      </c>
      <c r="J2128" s="29" t="s">
        <v>1662</v>
      </c>
      <c r="K2128" s="29" t="s">
        <v>3492</v>
      </c>
      <c r="L2128" s="29" t="s">
        <v>3493</v>
      </c>
      <c r="M2128" s="29" t="s">
        <v>3521</v>
      </c>
      <c r="N2128" s="29" t="s">
        <v>1434</v>
      </c>
      <c r="O2128" s="29" t="s">
        <v>594</v>
      </c>
    </row>
    <row r="2129" spans="1:15">
      <c r="A2129" s="25">
        <v>21102</v>
      </c>
      <c r="B2129" s="26" t="s">
        <v>3522</v>
      </c>
      <c r="C2129" s="27" t="s">
        <v>521</v>
      </c>
      <c r="D2129" s="27" t="s">
        <v>1686</v>
      </c>
      <c r="E2129" s="28">
        <v>42867</v>
      </c>
      <c r="F2129" s="28">
        <v>43344</v>
      </c>
      <c r="G2129" s="28">
        <v>43708</v>
      </c>
      <c r="H2129" s="25" t="s">
        <v>560</v>
      </c>
      <c r="I2129" s="31" t="s">
        <v>560</v>
      </c>
      <c r="J2129" s="29" t="s">
        <v>1662</v>
      </c>
      <c r="K2129" s="29" t="s">
        <v>3492</v>
      </c>
      <c r="L2129" s="29" t="s">
        <v>3493</v>
      </c>
      <c r="M2129" s="29" t="s">
        <v>3523</v>
      </c>
      <c r="N2129" s="29" t="s">
        <v>1434</v>
      </c>
      <c r="O2129" s="29" t="s">
        <v>594</v>
      </c>
    </row>
    <row r="2130" spans="1:15">
      <c r="A2130" s="25">
        <v>21109</v>
      </c>
      <c r="B2130" s="26" t="s">
        <v>3524</v>
      </c>
      <c r="C2130" s="27" t="s">
        <v>521</v>
      </c>
      <c r="D2130" s="27" t="s">
        <v>1686</v>
      </c>
      <c r="E2130" s="28">
        <v>42867</v>
      </c>
      <c r="F2130" s="28">
        <v>43344</v>
      </c>
      <c r="G2130" s="28">
        <v>43708</v>
      </c>
      <c r="H2130" s="25" t="s">
        <v>560</v>
      </c>
      <c r="I2130" s="31" t="s">
        <v>560</v>
      </c>
      <c r="J2130" s="29" t="s">
        <v>1662</v>
      </c>
      <c r="K2130" s="29" t="s">
        <v>3492</v>
      </c>
      <c r="L2130" s="29" t="s">
        <v>3493</v>
      </c>
      <c r="M2130" s="29" t="s">
        <v>3525</v>
      </c>
      <c r="N2130" s="29" t="s">
        <v>1434</v>
      </c>
      <c r="O2130" s="29" t="s">
        <v>594</v>
      </c>
    </row>
    <row r="2131" spans="1:15">
      <c r="A2131" s="25">
        <v>21115</v>
      </c>
      <c r="B2131" s="26" t="s">
        <v>3526</v>
      </c>
      <c r="C2131" s="27" t="s">
        <v>521</v>
      </c>
      <c r="D2131" s="27" t="s">
        <v>1686</v>
      </c>
      <c r="E2131" s="28">
        <v>42867</v>
      </c>
      <c r="F2131" s="28">
        <v>43344</v>
      </c>
      <c r="G2131" s="28">
        <v>43708</v>
      </c>
      <c r="H2131" s="25" t="s">
        <v>560</v>
      </c>
      <c r="I2131" s="31" t="s">
        <v>560</v>
      </c>
      <c r="J2131" s="29" t="s">
        <v>1662</v>
      </c>
      <c r="K2131" s="29" t="s">
        <v>3492</v>
      </c>
      <c r="L2131" s="29" t="s">
        <v>3493</v>
      </c>
      <c r="M2131" s="29" t="s">
        <v>3527</v>
      </c>
      <c r="N2131" s="29" t="s">
        <v>2077</v>
      </c>
      <c r="O2131" s="29" t="s">
        <v>594</v>
      </c>
    </row>
    <row r="2132" spans="1:15">
      <c r="A2132" s="25">
        <v>21125</v>
      </c>
      <c r="B2132" s="26" t="s">
        <v>3528</v>
      </c>
      <c r="C2132" s="27" t="s">
        <v>521</v>
      </c>
      <c r="D2132" s="27" t="s">
        <v>1686</v>
      </c>
      <c r="E2132" s="28">
        <v>42867</v>
      </c>
      <c r="F2132" s="28">
        <v>43344</v>
      </c>
      <c r="G2132" s="28">
        <v>43708</v>
      </c>
      <c r="H2132" s="25" t="s">
        <v>560</v>
      </c>
      <c r="I2132" s="31" t="s">
        <v>560</v>
      </c>
      <c r="J2132" s="29" t="s">
        <v>1662</v>
      </c>
      <c r="K2132" s="29" t="s">
        <v>3492</v>
      </c>
      <c r="L2132" s="29" t="s">
        <v>3493</v>
      </c>
      <c r="M2132" s="29" t="s">
        <v>3529</v>
      </c>
      <c r="N2132" s="29" t="s">
        <v>1434</v>
      </c>
      <c r="O2132" s="29" t="s">
        <v>594</v>
      </c>
    </row>
    <row r="2133" spans="1:15">
      <c r="A2133" s="25">
        <v>21127</v>
      </c>
      <c r="B2133" s="26" t="s">
        <v>3530</v>
      </c>
      <c r="C2133" s="27" t="s">
        <v>521</v>
      </c>
      <c r="D2133" s="27" t="s">
        <v>1686</v>
      </c>
      <c r="E2133" s="28">
        <v>42867</v>
      </c>
      <c r="F2133" s="28">
        <v>43344</v>
      </c>
      <c r="G2133" s="28">
        <v>43708</v>
      </c>
      <c r="H2133" s="25" t="s">
        <v>560</v>
      </c>
      <c r="I2133" s="31" t="s">
        <v>560</v>
      </c>
      <c r="J2133" s="29" t="s">
        <v>1662</v>
      </c>
      <c r="K2133" s="29" t="s">
        <v>3492</v>
      </c>
      <c r="L2133" s="29" t="s">
        <v>3493</v>
      </c>
      <c r="M2133" s="29" t="s">
        <v>3531</v>
      </c>
      <c r="N2133" s="29" t="s">
        <v>1434</v>
      </c>
      <c r="O2133" s="29" t="s">
        <v>594</v>
      </c>
    </row>
    <row r="2134" spans="1:15">
      <c r="A2134" s="25">
        <v>21162</v>
      </c>
      <c r="B2134" s="26" t="s">
        <v>3532</v>
      </c>
      <c r="C2134" s="27" t="s">
        <v>521</v>
      </c>
      <c r="D2134" s="27" t="s">
        <v>1676</v>
      </c>
      <c r="E2134" s="28">
        <v>42871</v>
      </c>
      <c r="F2134" s="28">
        <v>43374</v>
      </c>
      <c r="G2134" s="28">
        <v>43738</v>
      </c>
      <c r="H2134" s="25" t="s">
        <v>560</v>
      </c>
      <c r="I2134" s="31" t="s">
        <v>560</v>
      </c>
      <c r="J2134" s="29" t="s">
        <v>1662</v>
      </c>
      <c r="K2134" s="29" t="s">
        <v>3492</v>
      </c>
      <c r="L2134" s="29" t="s">
        <v>3493</v>
      </c>
      <c r="M2134" s="29" t="s">
        <v>3533</v>
      </c>
      <c r="N2134" s="29" t="s">
        <v>2041</v>
      </c>
      <c r="O2134" s="29" t="s">
        <v>594</v>
      </c>
    </row>
    <row r="2135" spans="1:15">
      <c r="A2135" s="25">
        <v>21173</v>
      </c>
      <c r="B2135" s="26" t="s">
        <v>3534</v>
      </c>
      <c r="C2135" s="27" t="s">
        <v>521</v>
      </c>
      <c r="D2135" s="27" t="s">
        <v>1676</v>
      </c>
      <c r="E2135" s="28">
        <v>42871</v>
      </c>
      <c r="F2135" s="28">
        <v>43374</v>
      </c>
      <c r="G2135" s="28">
        <v>43738</v>
      </c>
      <c r="H2135" s="25" t="s">
        <v>560</v>
      </c>
      <c r="I2135" s="29" t="s">
        <v>560</v>
      </c>
      <c r="J2135" s="29" t="s">
        <v>1662</v>
      </c>
      <c r="K2135" s="29" t="s">
        <v>3492</v>
      </c>
      <c r="L2135" s="29" t="s">
        <v>3493</v>
      </c>
      <c r="M2135" s="29" t="s">
        <v>3535</v>
      </c>
      <c r="N2135" s="29" t="s">
        <v>2041</v>
      </c>
      <c r="O2135" s="29" t="s">
        <v>594</v>
      </c>
    </row>
    <row r="2136" spans="1:15">
      <c r="A2136" s="25">
        <v>21178</v>
      </c>
      <c r="B2136" s="26" t="s">
        <v>3536</v>
      </c>
      <c r="C2136" s="27" t="s">
        <v>521</v>
      </c>
      <c r="D2136" s="27" t="s">
        <v>1676</v>
      </c>
      <c r="E2136" s="28">
        <v>42871</v>
      </c>
      <c r="F2136" s="28">
        <v>43374</v>
      </c>
      <c r="G2136" s="28">
        <v>43738</v>
      </c>
      <c r="H2136" s="25" t="s">
        <v>560</v>
      </c>
      <c r="I2136" s="31" t="s">
        <v>560</v>
      </c>
      <c r="J2136" s="29" t="s">
        <v>1662</v>
      </c>
      <c r="K2136" s="29" t="s">
        <v>3492</v>
      </c>
      <c r="L2136" s="29" t="s">
        <v>3493</v>
      </c>
      <c r="M2136" s="29" t="s">
        <v>3537</v>
      </c>
      <c r="N2136" s="29" t="s">
        <v>2041</v>
      </c>
      <c r="O2136" s="29" t="s">
        <v>594</v>
      </c>
    </row>
    <row r="2137" spans="1:15">
      <c r="A2137" s="25">
        <v>21180</v>
      </c>
      <c r="B2137" s="26" t="s">
        <v>3538</v>
      </c>
      <c r="C2137" s="27" t="s">
        <v>521</v>
      </c>
      <c r="D2137" s="27" t="s">
        <v>1676</v>
      </c>
      <c r="E2137" s="28">
        <v>42871</v>
      </c>
      <c r="F2137" s="28">
        <v>43374</v>
      </c>
      <c r="G2137" s="28">
        <v>43738</v>
      </c>
      <c r="H2137" s="25" t="s">
        <v>560</v>
      </c>
      <c r="I2137" s="31" t="s">
        <v>560</v>
      </c>
      <c r="J2137" s="29" t="s">
        <v>1662</v>
      </c>
      <c r="K2137" s="29" t="s">
        <v>3492</v>
      </c>
      <c r="L2137" s="29" t="s">
        <v>3493</v>
      </c>
      <c r="M2137" s="29" t="s">
        <v>3539</v>
      </c>
      <c r="N2137" s="29" t="s">
        <v>2041</v>
      </c>
      <c r="O2137" s="29" t="s">
        <v>594</v>
      </c>
    </row>
    <row r="2138" spans="1:15">
      <c r="A2138" s="25">
        <v>21196</v>
      </c>
      <c r="B2138" s="26" t="s">
        <v>3540</v>
      </c>
      <c r="C2138" s="27" t="s">
        <v>521</v>
      </c>
      <c r="D2138" s="27" t="s">
        <v>1676</v>
      </c>
      <c r="E2138" s="28">
        <v>42871</v>
      </c>
      <c r="F2138" s="28">
        <v>43374</v>
      </c>
      <c r="G2138" s="28">
        <v>43738</v>
      </c>
      <c r="H2138" s="25" t="s">
        <v>560</v>
      </c>
      <c r="I2138" s="31" t="s">
        <v>560</v>
      </c>
      <c r="J2138" s="29" t="s">
        <v>1662</v>
      </c>
      <c r="K2138" s="29" t="s">
        <v>3492</v>
      </c>
      <c r="L2138" s="29" t="s">
        <v>3493</v>
      </c>
      <c r="M2138" s="29" t="s">
        <v>3541</v>
      </c>
      <c r="N2138" s="29" t="s">
        <v>2041</v>
      </c>
      <c r="O2138" s="29" t="s">
        <v>594</v>
      </c>
    </row>
    <row r="2139" spans="1:15">
      <c r="A2139" s="25">
        <v>21217</v>
      </c>
      <c r="B2139" s="26" t="s">
        <v>3542</v>
      </c>
      <c r="C2139" s="27" t="s">
        <v>521</v>
      </c>
      <c r="D2139" s="27" t="s">
        <v>2480</v>
      </c>
      <c r="E2139" s="28">
        <v>42877</v>
      </c>
      <c r="F2139" s="28">
        <v>43374</v>
      </c>
      <c r="G2139" s="28">
        <v>43738</v>
      </c>
      <c r="H2139" s="29" t="s">
        <v>560</v>
      </c>
      <c r="I2139" s="29" t="s">
        <v>560</v>
      </c>
      <c r="J2139" s="29" t="s">
        <v>1662</v>
      </c>
      <c r="K2139" s="29" t="s">
        <v>3492</v>
      </c>
      <c r="L2139" s="29" t="s">
        <v>3493</v>
      </c>
      <c r="M2139" s="29" t="s">
        <v>3543</v>
      </c>
      <c r="N2139" s="29" t="s">
        <v>2031</v>
      </c>
      <c r="O2139" s="29" t="s">
        <v>594</v>
      </c>
    </row>
    <row r="2140" spans="1:15">
      <c r="A2140" s="25">
        <v>21324</v>
      </c>
      <c r="B2140" s="34" t="s">
        <v>3544</v>
      </c>
      <c r="C2140" s="31" t="s">
        <v>521</v>
      </c>
      <c r="D2140" s="31" t="s">
        <v>2162</v>
      </c>
      <c r="E2140" s="28">
        <v>43013</v>
      </c>
      <c r="F2140" s="28">
        <v>43405</v>
      </c>
      <c r="G2140" s="28">
        <v>43769</v>
      </c>
      <c r="H2140" s="29" t="s">
        <v>560</v>
      </c>
      <c r="I2140" s="29" t="s">
        <v>560</v>
      </c>
      <c r="J2140" s="29" t="s">
        <v>1662</v>
      </c>
      <c r="K2140" s="29" t="s">
        <v>3492</v>
      </c>
      <c r="L2140" s="29" t="s">
        <v>3493</v>
      </c>
      <c r="M2140" s="29" t="s">
        <v>3545</v>
      </c>
      <c r="N2140" s="29" t="s">
        <v>1434</v>
      </c>
      <c r="O2140" s="29" t="s">
        <v>594</v>
      </c>
    </row>
    <row r="2141" spans="1:15">
      <c r="A2141" s="25">
        <v>21376</v>
      </c>
      <c r="B2141" s="34" t="s">
        <v>3546</v>
      </c>
      <c r="C2141" s="31" t="s">
        <v>521</v>
      </c>
      <c r="D2141" s="31" t="s">
        <v>2162</v>
      </c>
      <c r="E2141" s="28">
        <v>43013</v>
      </c>
      <c r="F2141" s="28">
        <v>43405</v>
      </c>
      <c r="G2141" s="28">
        <v>43769</v>
      </c>
      <c r="H2141" s="29" t="s">
        <v>560</v>
      </c>
      <c r="I2141" s="29" t="s">
        <v>560</v>
      </c>
      <c r="J2141" s="29" t="s">
        <v>1662</v>
      </c>
      <c r="K2141" s="29" t="s">
        <v>3492</v>
      </c>
      <c r="L2141" s="29" t="s">
        <v>3493</v>
      </c>
      <c r="M2141" s="29" t="s">
        <v>2079</v>
      </c>
      <c r="N2141" s="29" t="s">
        <v>2080</v>
      </c>
      <c r="O2141" s="29" t="s">
        <v>594</v>
      </c>
    </row>
    <row r="2142" spans="1:15">
      <c r="A2142" s="25">
        <v>21620</v>
      </c>
      <c r="B2142" s="34" t="s">
        <v>3547</v>
      </c>
      <c r="C2142" s="31" t="s">
        <v>521</v>
      </c>
      <c r="D2142" s="31" t="s">
        <v>1603</v>
      </c>
      <c r="E2142" s="28">
        <v>43048</v>
      </c>
      <c r="F2142" s="28">
        <v>43435</v>
      </c>
      <c r="G2142" s="28">
        <v>43799</v>
      </c>
      <c r="H2142" s="29" t="s">
        <v>560</v>
      </c>
      <c r="I2142" s="29" t="s">
        <v>560</v>
      </c>
      <c r="J2142" s="29" t="s">
        <v>1662</v>
      </c>
      <c r="K2142" s="29" t="s">
        <v>3492</v>
      </c>
      <c r="L2142" s="29" t="s">
        <v>3493</v>
      </c>
      <c r="M2142" s="29" t="s">
        <v>3548</v>
      </c>
      <c r="N2142" s="29" t="s">
        <v>1434</v>
      </c>
      <c r="O2142" s="29" t="s">
        <v>594</v>
      </c>
    </row>
    <row r="2143" spans="1:15">
      <c r="A2143" s="25">
        <v>21679</v>
      </c>
      <c r="B2143" s="34" t="s">
        <v>3549</v>
      </c>
      <c r="C2143" s="31" t="s">
        <v>521</v>
      </c>
      <c r="D2143" s="31" t="s">
        <v>1053</v>
      </c>
      <c r="E2143" s="28">
        <v>43055</v>
      </c>
      <c r="F2143" s="28">
        <v>43466</v>
      </c>
      <c r="G2143" s="28">
        <v>43830</v>
      </c>
      <c r="H2143" s="29" t="s">
        <v>560</v>
      </c>
      <c r="I2143" s="29" t="s">
        <v>560</v>
      </c>
      <c r="J2143" s="29" t="s">
        <v>1662</v>
      </c>
      <c r="K2143" s="29" t="s">
        <v>3492</v>
      </c>
      <c r="L2143" s="29" t="s">
        <v>3493</v>
      </c>
      <c r="M2143" s="29" t="s">
        <v>2079</v>
      </c>
      <c r="N2143" s="29" t="s">
        <v>2080</v>
      </c>
      <c r="O2143" s="29" t="s">
        <v>594</v>
      </c>
    </row>
    <row r="2144" spans="1:15">
      <c r="A2144" s="25">
        <v>21681</v>
      </c>
      <c r="B2144" s="34" t="s">
        <v>3550</v>
      </c>
      <c r="C2144" s="31" t="s">
        <v>521</v>
      </c>
      <c r="D2144" s="31" t="s">
        <v>1053</v>
      </c>
      <c r="E2144" s="28">
        <v>43055</v>
      </c>
      <c r="F2144" s="28">
        <v>43466</v>
      </c>
      <c r="G2144" s="28">
        <v>43830</v>
      </c>
      <c r="H2144" s="29" t="s">
        <v>560</v>
      </c>
      <c r="I2144" s="29" t="s">
        <v>560</v>
      </c>
      <c r="J2144" s="29" t="s">
        <v>1662</v>
      </c>
      <c r="K2144" s="29" t="s">
        <v>3492</v>
      </c>
      <c r="L2144" s="29" t="s">
        <v>3493</v>
      </c>
      <c r="M2144" s="29" t="s">
        <v>3551</v>
      </c>
      <c r="N2144" s="29" t="s">
        <v>1434</v>
      </c>
      <c r="O2144" s="29" t="s">
        <v>594</v>
      </c>
    </row>
    <row r="2145" spans="1:15">
      <c r="A2145" s="25">
        <v>21718</v>
      </c>
      <c r="B2145" s="34" t="s">
        <v>3552</v>
      </c>
      <c r="C2145" s="31" t="s">
        <v>521</v>
      </c>
      <c r="D2145" s="31" t="s">
        <v>663</v>
      </c>
      <c r="E2145" s="28">
        <v>43087</v>
      </c>
      <c r="F2145" s="28">
        <v>43118</v>
      </c>
      <c r="G2145" s="28">
        <v>43496</v>
      </c>
      <c r="H2145" s="27" t="s">
        <v>560</v>
      </c>
      <c r="I2145" s="27" t="s">
        <v>560</v>
      </c>
      <c r="J2145" s="29" t="s">
        <v>1662</v>
      </c>
      <c r="K2145" s="29" t="s">
        <v>3492</v>
      </c>
      <c r="L2145" s="29" t="s">
        <v>3493</v>
      </c>
      <c r="M2145" s="29" t="s">
        <v>3553</v>
      </c>
      <c r="N2145" s="29" t="s">
        <v>2077</v>
      </c>
      <c r="O2145" s="29" t="s">
        <v>594</v>
      </c>
    </row>
    <row r="2146" spans="1:15">
      <c r="A2146" s="25">
        <v>22030</v>
      </c>
      <c r="B2146" s="34" t="s">
        <v>3554</v>
      </c>
      <c r="C2146" s="31" t="s">
        <v>521</v>
      </c>
      <c r="D2146" s="31" t="s">
        <v>631</v>
      </c>
      <c r="E2146" s="28">
        <v>43144</v>
      </c>
      <c r="F2146" s="28">
        <v>43172</v>
      </c>
      <c r="G2146" s="28">
        <v>43524</v>
      </c>
      <c r="H2146" s="29" t="s">
        <v>560</v>
      </c>
      <c r="I2146" s="29" t="s">
        <v>560</v>
      </c>
      <c r="J2146" s="29" t="s">
        <v>1662</v>
      </c>
      <c r="K2146" s="29" t="s">
        <v>3492</v>
      </c>
      <c r="L2146" s="29" t="s">
        <v>3493</v>
      </c>
      <c r="M2146" s="29" t="s">
        <v>3555</v>
      </c>
      <c r="N2146" s="29" t="s">
        <v>1434</v>
      </c>
      <c r="O2146" s="29" t="s">
        <v>594</v>
      </c>
    </row>
    <row r="2147" spans="1:15">
      <c r="A2147" s="25">
        <v>22160</v>
      </c>
      <c r="B2147" s="34" t="s">
        <v>3556</v>
      </c>
      <c r="C2147" s="31" t="s">
        <v>521</v>
      </c>
      <c r="D2147" s="31" t="s">
        <v>758</v>
      </c>
      <c r="E2147" s="28">
        <v>43153</v>
      </c>
      <c r="F2147" s="28">
        <v>43181</v>
      </c>
      <c r="G2147" s="28">
        <v>43555</v>
      </c>
      <c r="H2147" s="29" t="s">
        <v>560</v>
      </c>
      <c r="I2147" s="29" t="s">
        <v>560</v>
      </c>
      <c r="J2147" s="29" t="s">
        <v>1662</v>
      </c>
      <c r="K2147" s="29" t="s">
        <v>3492</v>
      </c>
      <c r="L2147" s="29" t="s">
        <v>3493</v>
      </c>
      <c r="M2147" s="29" t="s">
        <v>3557</v>
      </c>
      <c r="N2147" s="29" t="s">
        <v>1434</v>
      </c>
      <c r="O2147" s="29" t="s">
        <v>594</v>
      </c>
    </row>
    <row r="2148" spans="1:15">
      <c r="A2148" s="25">
        <v>22166</v>
      </c>
      <c r="B2148" s="34" t="s">
        <v>3558</v>
      </c>
      <c r="C2148" s="31" t="s">
        <v>521</v>
      </c>
      <c r="D2148" s="31" t="s">
        <v>1201</v>
      </c>
      <c r="E2148" s="28">
        <v>43158</v>
      </c>
      <c r="F2148" s="28">
        <v>43186</v>
      </c>
      <c r="G2148" s="28">
        <v>43555</v>
      </c>
      <c r="H2148" s="29" t="s">
        <v>560</v>
      </c>
      <c r="I2148" s="29" t="s">
        <v>560</v>
      </c>
      <c r="J2148" s="29" t="s">
        <v>1662</v>
      </c>
      <c r="K2148" s="29" t="s">
        <v>3492</v>
      </c>
      <c r="L2148" s="29" t="s">
        <v>3493</v>
      </c>
      <c r="M2148" s="29" t="s">
        <v>3559</v>
      </c>
      <c r="N2148" s="29" t="s">
        <v>2041</v>
      </c>
      <c r="O2148" s="29" t="s">
        <v>594</v>
      </c>
    </row>
    <row r="2149" spans="1:15">
      <c r="A2149" s="25">
        <v>22261</v>
      </c>
      <c r="B2149" s="34" t="s">
        <v>3560</v>
      </c>
      <c r="C2149" s="31" t="s">
        <v>521</v>
      </c>
      <c r="D2149" s="31" t="s">
        <v>2287</v>
      </c>
      <c r="E2149" s="28">
        <v>43175</v>
      </c>
      <c r="F2149" s="28">
        <v>43206</v>
      </c>
      <c r="G2149" s="28">
        <v>43585</v>
      </c>
      <c r="H2149" s="29" t="s">
        <v>560</v>
      </c>
      <c r="I2149" s="29" t="s">
        <v>560</v>
      </c>
      <c r="J2149" s="29" t="s">
        <v>1662</v>
      </c>
      <c r="K2149" s="29" t="s">
        <v>3492</v>
      </c>
      <c r="L2149" s="29" t="s">
        <v>3493</v>
      </c>
      <c r="M2149" s="29" t="s">
        <v>2118</v>
      </c>
      <c r="N2149" s="29" t="s">
        <v>2041</v>
      </c>
      <c r="O2149" s="29" t="s">
        <v>594</v>
      </c>
    </row>
    <row r="2150" spans="1:15">
      <c r="A2150" s="25">
        <v>22523</v>
      </c>
      <c r="B2150" s="34" t="s">
        <v>3561</v>
      </c>
      <c r="C2150" s="31" t="s">
        <v>521</v>
      </c>
      <c r="D2150" s="31" t="s">
        <v>773</v>
      </c>
      <c r="E2150" s="28">
        <v>43224</v>
      </c>
      <c r="F2150" s="28">
        <v>43255</v>
      </c>
      <c r="G2150" s="28">
        <v>43616</v>
      </c>
      <c r="H2150" s="29" t="s">
        <v>560</v>
      </c>
      <c r="I2150" s="29" t="s">
        <v>560</v>
      </c>
      <c r="J2150" s="29" t="s">
        <v>1662</v>
      </c>
      <c r="K2150" s="29" t="s">
        <v>3492</v>
      </c>
      <c r="L2150" s="29" t="s">
        <v>3493</v>
      </c>
      <c r="M2150" s="29" t="s">
        <v>3562</v>
      </c>
      <c r="N2150" s="29" t="s">
        <v>1586</v>
      </c>
      <c r="O2150" s="29" t="s">
        <v>594</v>
      </c>
    </row>
    <row r="2151" spans="1:15">
      <c r="A2151" s="25">
        <v>22573</v>
      </c>
      <c r="B2151" s="34" t="s">
        <v>3563</v>
      </c>
      <c r="C2151" s="31" t="s">
        <v>521</v>
      </c>
      <c r="D2151" s="31" t="s">
        <v>773</v>
      </c>
      <c r="E2151" s="28">
        <v>43224</v>
      </c>
      <c r="F2151" s="28">
        <v>43255</v>
      </c>
      <c r="G2151" s="28">
        <v>43616</v>
      </c>
      <c r="H2151" s="29" t="s">
        <v>560</v>
      </c>
      <c r="I2151" s="29" t="s">
        <v>560</v>
      </c>
      <c r="J2151" s="29" t="s">
        <v>1662</v>
      </c>
      <c r="K2151" s="29" t="s">
        <v>3492</v>
      </c>
      <c r="L2151" s="29" t="s">
        <v>3493</v>
      </c>
      <c r="M2151" s="29" t="s">
        <v>3564</v>
      </c>
      <c r="N2151" s="29" t="s">
        <v>2041</v>
      </c>
      <c r="O2151" s="29" t="s">
        <v>594</v>
      </c>
    </row>
    <row r="2152" spans="1:15">
      <c r="A2152" s="25">
        <v>22681</v>
      </c>
      <c r="B2152" s="34" t="s">
        <v>3565</v>
      </c>
      <c r="C2152" s="31" t="s">
        <v>521</v>
      </c>
      <c r="D2152" s="31" t="s">
        <v>1199</v>
      </c>
      <c r="E2152" s="28">
        <v>43241</v>
      </c>
      <c r="F2152" s="28">
        <v>43272</v>
      </c>
      <c r="G2152" s="28">
        <v>43646</v>
      </c>
      <c r="H2152" s="29" t="s">
        <v>560</v>
      </c>
      <c r="I2152" s="29" t="s">
        <v>560</v>
      </c>
      <c r="J2152" s="29" t="s">
        <v>1662</v>
      </c>
      <c r="K2152" s="29" t="s">
        <v>3492</v>
      </c>
      <c r="L2152" s="29" t="s">
        <v>3493</v>
      </c>
      <c r="M2152" s="29" t="s">
        <v>3566</v>
      </c>
      <c r="N2152" s="29" t="s">
        <v>1434</v>
      </c>
      <c r="O2152" s="29" t="s">
        <v>594</v>
      </c>
    </row>
    <row r="2153" spans="1:15">
      <c r="A2153" s="25">
        <v>22710</v>
      </c>
      <c r="B2153" s="34" t="s">
        <v>3567</v>
      </c>
      <c r="C2153" s="31" t="s">
        <v>521</v>
      </c>
      <c r="D2153" s="31" t="s">
        <v>1195</v>
      </c>
      <c r="E2153" s="28">
        <v>43244</v>
      </c>
      <c r="F2153" s="28">
        <v>43275</v>
      </c>
      <c r="G2153" s="28">
        <v>43646</v>
      </c>
      <c r="H2153" s="29" t="s">
        <v>560</v>
      </c>
      <c r="I2153" s="29" t="s">
        <v>560</v>
      </c>
      <c r="J2153" s="29" t="s">
        <v>1662</v>
      </c>
      <c r="K2153" s="29" t="s">
        <v>3492</v>
      </c>
      <c r="L2153" s="29" t="s">
        <v>3493</v>
      </c>
      <c r="M2153" s="29" t="s">
        <v>3568</v>
      </c>
      <c r="N2153" s="29" t="s">
        <v>2041</v>
      </c>
      <c r="O2153" s="29" t="s">
        <v>594</v>
      </c>
    </row>
    <row r="2154" spans="1:15">
      <c r="A2154" s="25">
        <v>22758</v>
      </c>
      <c r="B2154" s="34" t="s">
        <v>3569</v>
      </c>
      <c r="C2154" s="31" t="s">
        <v>521</v>
      </c>
      <c r="D2154" s="31" t="s">
        <v>771</v>
      </c>
      <c r="E2154" s="28">
        <v>43255</v>
      </c>
      <c r="F2154" s="28">
        <v>43285</v>
      </c>
      <c r="G2154" s="28">
        <v>43646</v>
      </c>
      <c r="H2154" s="29" t="s">
        <v>560</v>
      </c>
      <c r="I2154" s="29" t="s">
        <v>560</v>
      </c>
      <c r="J2154" s="29" t="s">
        <v>1662</v>
      </c>
      <c r="K2154" s="29" t="s">
        <v>3492</v>
      </c>
      <c r="L2154" s="29" t="s">
        <v>3493</v>
      </c>
      <c r="M2154" s="29" t="s">
        <v>3570</v>
      </c>
      <c r="N2154" s="29" t="s">
        <v>1434</v>
      </c>
      <c r="O2154" s="29" t="s">
        <v>594</v>
      </c>
    </row>
    <row r="2155" spans="1:15">
      <c r="A2155" s="25">
        <v>22792</v>
      </c>
      <c r="B2155" s="34" t="s">
        <v>1849</v>
      </c>
      <c r="C2155" s="31" t="s">
        <v>521</v>
      </c>
      <c r="D2155" s="31" t="s">
        <v>1615</v>
      </c>
      <c r="E2155" s="28">
        <v>43283</v>
      </c>
      <c r="F2155" s="28">
        <v>43314</v>
      </c>
      <c r="G2155" s="28">
        <v>43677</v>
      </c>
      <c r="H2155" s="29" t="s">
        <v>560</v>
      </c>
      <c r="I2155" s="29" t="s">
        <v>560</v>
      </c>
      <c r="J2155" s="29" t="s">
        <v>1662</v>
      </c>
      <c r="K2155" s="29" t="s">
        <v>3492</v>
      </c>
      <c r="L2155" s="29" t="s">
        <v>3493</v>
      </c>
      <c r="M2155" s="29" t="s">
        <v>3571</v>
      </c>
      <c r="N2155" s="29" t="s">
        <v>2041</v>
      </c>
      <c r="O2155" s="29" t="s">
        <v>594</v>
      </c>
    </row>
    <row r="2156" spans="1:15">
      <c r="A2156" s="25">
        <v>22852</v>
      </c>
      <c r="B2156" s="34" t="s">
        <v>3572</v>
      </c>
      <c r="C2156" s="31" t="s">
        <v>521</v>
      </c>
      <c r="D2156" s="31" t="s">
        <v>775</v>
      </c>
      <c r="E2156" s="28">
        <v>43333</v>
      </c>
      <c r="F2156" s="28">
        <v>43364</v>
      </c>
      <c r="G2156" s="28">
        <v>43738</v>
      </c>
      <c r="H2156" s="29" t="s">
        <v>560</v>
      </c>
      <c r="I2156" s="29" t="s">
        <v>560</v>
      </c>
      <c r="J2156" s="29" t="s">
        <v>1662</v>
      </c>
      <c r="K2156" s="29" t="s">
        <v>3492</v>
      </c>
      <c r="L2156" s="29" t="s">
        <v>3493</v>
      </c>
      <c r="M2156" s="29" t="s">
        <v>3573</v>
      </c>
      <c r="N2156" s="29" t="s">
        <v>2023</v>
      </c>
      <c r="O2156" s="29" t="s">
        <v>594</v>
      </c>
    </row>
    <row r="2157" spans="1:15">
      <c r="A2157" s="25">
        <v>23127</v>
      </c>
      <c r="B2157" s="34" t="s">
        <v>3574</v>
      </c>
      <c r="C2157" s="31" t="s">
        <v>521</v>
      </c>
      <c r="D2157" s="31" t="s">
        <v>1523</v>
      </c>
      <c r="E2157" s="28">
        <v>43369</v>
      </c>
      <c r="F2157" s="28">
        <v>43399</v>
      </c>
      <c r="G2157" s="28">
        <v>43769</v>
      </c>
      <c r="H2157" s="29" t="s">
        <v>560</v>
      </c>
      <c r="I2157" s="29" t="s">
        <v>560</v>
      </c>
      <c r="J2157" s="29" t="s">
        <v>1662</v>
      </c>
      <c r="K2157" s="29" t="s">
        <v>3492</v>
      </c>
      <c r="L2157" s="29" t="s">
        <v>3493</v>
      </c>
      <c r="M2157" s="29" t="s">
        <v>3575</v>
      </c>
      <c r="N2157" s="29" t="s">
        <v>1434</v>
      </c>
      <c r="O2157" s="29" t="s">
        <v>594</v>
      </c>
    </row>
    <row r="2158" spans="1:15">
      <c r="A2158" s="25">
        <v>23162</v>
      </c>
      <c r="B2158" s="34" t="s">
        <v>3576</v>
      </c>
      <c r="C2158" s="31" t="s">
        <v>521</v>
      </c>
      <c r="D2158" s="31" t="s">
        <v>1523</v>
      </c>
      <c r="E2158" s="28">
        <v>43369</v>
      </c>
      <c r="F2158" s="28">
        <v>43399</v>
      </c>
      <c r="G2158" s="28">
        <v>43769</v>
      </c>
      <c r="H2158" s="29" t="s">
        <v>560</v>
      </c>
      <c r="I2158" s="29" t="s">
        <v>560</v>
      </c>
      <c r="J2158" s="29" t="s">
        <v>1662</v>
      </c>
      <c r="K2158" s="29" t="s">
        <v>3492</v>
      </c>
      <c r="L2158" s="29" t="s">
        <v>3493</v>
      </c>
      <c r="M2158" s="29" t="s">
        <v>3577</v>
      </c>
      <c r="N2158" s="29" t="s">
        <v>2023</v>
      </c>
      <c r="O2158" s="29" t="s">
        <v>594</v>
      </c>
    </row>
    <row r="2159" spans="1:15">
      <c r="A2159" s="25">
        <v>23242</v>
      </c>
      <c r="B2159" s="34" t="s">
        <v>3578</v>
      </c>
      <c r="C2159" s="31" t="s">
        <v>521</v>
      </c>
      <c r="D2159" s="31" t="s">
        <v>1582</v>
      </c>
      <c r="E2159" s="28">
        <v>43421</v>
      </c>
      <c r="F2159" s="28">
        <v>43451</v>
      </c>
      <c r="G2159" s="28">
        <v>43830</v>
      </c>
      <c r="H2159" s="29" t="s">
        <v>560</v>
      </c>
      <c r="I2159" s="29" t="s">
        <v>560</v>
      </c>
      <c r="J2159" s="29" t="s">
        <v>1662</v>
      </c>
      <c r="K2159" s="29" t="s">
        <v>3492</v>
      </c>
      <c r="L2159" s="29" t="s">
        <v>3493</v>
      </c>
      <c r="M2159" s="29" t="s">
        <v>3579</v>
      </c>
      <c r="N2159" s="29" t="s">
        <v>1434</v>
      </c>
      <c r="O2159" s="29" t="s">
        <v>594</v>
      </c>
    </row>
    <row r="2160" spans="1:15">
      <c r="A2160" s="25">
        <v>23384</v>
      </c>
      <c r="B2160" s="34" t="s">
        <v>3580</v>
      </c>
      <c r="C2160" s="31" t="s">
        <v>521</v>
      </c>
      <c r="D2160" s="31" t="s">
        <v>1527</v>
      </c>
      <c r="E2160" s="28">
        <v>43427</v>
      </c>
      <c r="F2160" s="28">
        <v>43457</v>
      </c>
      <c r="G2160" s="28">
        <v>43830</v>
      </c>
      <c r="H2160" s="29" t="s">
        <v>560</v>
      </c>
      <c r="I2160" s="29" t="s">
        <v>560</v>
      </c>
      <c r="J2160" s="29" t="s">
        <v>1662</v>
      </c>
      <c r="K2160" s="29" t="s">
        <v>3492</v>
      </c>
      <c r="L2160" s="29" t="s">
        <v>3493</v>
      </c>
      <c r="M2160" s="29" t="s">
        <v>3581</v>
      </c>
      <c r="N2160" s="29" t="s">
        <v>2041</v>
      </c>
      <c r="O2160" s="29" t="s">
        <v>594</v>
      </c>
    </row>
    <row r="2161" spans="1:15">
      <c r="A2161" s="25">
        <v>23386</v>
      </c>
      <c r="B2161" s="34" t="s">
        <v>3582</v>
      </c>
      <c r="C2161" s="31" t="s">
        <v>521</v>
      </c>
      <c r="D2161" s="31" t="s">
        <v>1527</v>
      </c>
      <c r="E2161" s="28">
        <v>43427</v>
      </c>
      <c r="F2161" s="28">
        <v>43457</v>
      </c>
      <c r="G2161" s="28">
        <v>43830</v>
      </c>
      <c r="H2161" s="29" t="s">
        <v>560</v>
      </c>
      <c r="I2161" s="29" t="s">
        <v>560</v>
      </c>
      <c r="J2161" s="29" t="s">
        <v>1662</v>
      </c>
      <c r="K2161" s="29" t="s">
        <v>3492</v>
      </c>
      <c r="L2161" s="29" t="s">
        <v>3493</v>
      </c>
      <c r="M2161" s="29" t="s">
        <v>3583</v>
      </c>
      <c r="N2161" s="29" t="s">
        <v>2023</v>
      </c>
      <c r="O2161" s="29" t="s">
        <v>594</v>
      </c>
    </row>
    <row r="2162" spans="1:15">
      <c r="A2162" s="25">
        <v>23523</v>
      </c>
      <c r="B2162" s="34" t="s">
        <v>3584</v>
      </c>
      <c r="C2162" s="31" t="s">
        <v>521</v>
      </c>
      <c r="D2162" s="31" t="s">
        <v>1588</v>
      </c>
      <c r="E2162" s="28">
        <v>43441</v>
      </c>
      <c r="F2162" s="28">
        <v>43472</v>
      </c>
      <c r="G2162" s="28">
        <v>43830</v>
      </c>
      <c r="H2162" s="29" t="s">
        <v>560</v>
      </c>
      <c r="I2162" s="29" t="s">
        <v>560</v>
      </c>
      <c r="J2162" s="29" t="s">
        <v>1662</v>
      </c>
      <c r="K2162" s="29" t="s">
        <v>3492</v>
      </c>
      <c r="L2162" s="29" t="s">
        <v>3493</v>
      </c>
      <c r="M2162" s="29" t="s">
        <v>3585</v>
      </c>
      <c r="N2162" s="29" t="s">
        <v>1586</v>
      </c>
      <c r="O2162" s="29" t="s">
        <v>594</v>
      </c>
    </row>
    <row r="2163" spans="1:15">
      <c r="A2163" s="25">
        <v>23586</v>
      </c>
      <c r="B2163" s="34" t="s">
        <v>3586</v>
      </c>
      <c r="C2163" s="31" t="s">
        <v>521</v>
      </c>
      <c r="D2163" s="31" t="s">
        <v>884</v>
      </c>
      <c r="E2163" s="28">
        <v>43452</v>
      </c>
      <c r="F2163" s="28">
        <v>43483</v>
      </c>
      <c r="G2163" s="28">
        <v>43861</v>
      </c>
      <c r="H2163" s="29" t="s">
        <v>560</v>
      </c>
      <c r="I2163" s="29" t="s">
        <v>560</v>
      </c>
      <c r="J2163" s="29" t="s">
        <v>1662</v>
      </c>
      <c r="K2163" s="29" t="s">
        <v>3492</v>
      </c>
      <c r="L2163" s="29" t="s">
        <v>3493</v>
      </c>
      <c r="M2163" s="29" t="s">
        <v>3587</v>
      </c>
      <c r="N2163" s="29" t="s">
        <v>1586</v>
      </c>
      <c r="O2163" s="29" t="s">
        <v>594</v>
      </c>
    </row>
    <row r="2164" spans="1:15">
      <c r="A2164" s="25" t="s">
        <v>3588</v>
      </c>
      <c r="B2164" s="34" t="s">
        <v>3589</v>
      </c>
      <c r="C2164" s="31" t="s">
        <v>521</v>
      </c>
      <c r="D2164" s="31" t="s">
        <v>892</v>
      </c>
      <c r="E2164" s="28">
        <v>43467</v>
      </c>
      <c r="F2164" s="28">
        <v>43467</v>
      </c>
      <c r="G2164" s="28">
        <v>43497</v>
      </c>
      <c r="H2164" s="29" t="s">
        <v>560</v>
      </c>
      <c r="I2164" s="29" t="s">
        <v>560</v>
      </c>
      <c r="J2164" s="29" t="s">
        <v>1662</v>
      </c>
      <c r="K2164" s="29" t="s">
        <v>3492</v>
      </c>
      <c r="L2164" s="29" t="s">
        <v>3493</v>
      </c>
      <c r="M2164" s="29" t="s">
        <v>3590</v>
      </c>
      <c r="N2164" s="29" t="s">
        <v>1434</v>
      </c>
      <c r="O2164" s="29" t="s">
        <v>594</v>
      </c>
    </row>
    <row r="2165" spans="1:15">
      <c r="A2165" s="25">
        <v>5688</v>
      </c>
      <c r="B2165" s="26" t="s">
        <v>3591</v>
      </c>
      <c r="C2165" s="27" t="s">
        <v>521</v>
      </c>
      <c r="D2165" s="27" t="s">
        <v>790</v>
      </c>
      <c r="E2165" s="28">
        <v>39098</v>
      </c>
      <c r="F2165" s="28" t="s">
        <v>35</v>
      </c>
      <c r="G2165" s="28" t="s">
        <v>35</v>
      </c>
      <c r="H2165" s="29" t="s">
        <v>560</v>
      </c>
      <c r="I2165" s="29" t="s">
        <v>560</v>
      </c>
      <c r="J2165" s="29" t="s">
        <v>1662</v>
      </c>
      <c r="K2165" s="29" t="s">
        <v>3492</v>
      </c>
      <c r="L2165" s="29" t="s">
        <v>3493</v>
      </c>
      <c r="M2165" s="29" t="s">
        <v>3543</v>
      </c>
      <c r="N2165" s="29" t="s">
        <v>2031</v>
      </c>
      <c r="O2165" s="29" t="s">
        <v>590</v>
      </c>
    </row>
    <row r="2166" spans="1:15">
      <c r="A2166" s="25">
        <v>8685</v>
      </c>
      <c r="B2166" s="26" t="s">
        <v>3592</v>
      </c>
      <c r="C2166" s="27" t="s">
        <v>521</v>
      </c>
      <c r="D2166" s="27" t="s">
        <v>692</v>
      </c>
      <c r="E2166" s="28">
        <v>39888</v>
      </c>
      <c r="F2166" s="28" t="s">
        <v>35</v>
      </c>
      <c r="G2166" s="28" t="s">
        <v>35</v>
      </c>
      <c r="H2166" s="27" t="s">
        <v>560</v>
      </c>
      <c r="I2166" s="29" t="s">
        <v>560</v>
      </c>
      <c r="J2166" s="29" t="s">
        <v>1662</v>
      </c>
      <c r="K2166" s="29" t="s">
        <v>3492</v>
      </c>
      <c r="L2166" s="29" t="s">
        <v>3493</v>
      </c>
      <c r="M2166" s="29" t="s">
        <v>2025</v>
      </c>
      <c r="N2166" s="29" t="s">
        <v>2026</v>
      </c>
      <c r="O2166" s="29" t="s">
        <v>590</v>
      </c>
    </row>
    <row r="2167" spans="1:15">
      <c r="A2167" s="25">
        <v>8798</v>
      </c>
      <c r="B2167" s="32" t="s">
        <v>3593</v>
      </c>
      <c r="C2167" s="27" t="s">
        <v>521</v>
      </c>
      <c r="D2167" s="27" t="s">
        <v>747</v>
      </c>
      <c r="E2167" s="28">
        <v>39931</v>
      </c>
      <c r="F2167" s="28" t="s">
        <v>35</v>
      </c>
      <c r="G2167" s="28" t="s">
        <v>35</v>
      </c>
      <c r="H2167" s="29" t="s">
        <v>560</v>
      </c>
      <c r="I2167" s="29" t="s">
        <v>560</v>
      </c>
      <c r="J2167" s="29" t="s">
        <v>1662</v>
      </c>
      <c r="K2167" s="29" t="s">
        <v>3492</v>
      </c>
      <c r="L2167" s="29" t="s">
        <v>3493</v>
      </c>
      <c r="M2167" s="29" t="s">
        <v>3594</v>
      </c>
      <c r="N2167" s="29" t="s">
        <v>2031</v>
      </c>
      <c r="O2167" s="29" t="s">
        <v>590</v>
      </c>
    </row>
    <row r="2168" spans="1:15">
      <c r="A2168" s="25">
        <v>10351</v>
      </c>
      <c r="B2168" s="26" t="s">
        <v>3595</v>
      </c>
      <c r="C2168" s="27" t="s">
        <v>521</v>
      </c>
      <c r="D2168" s="27" t="s">
        <v>1497</v>
      </c>
      <c r="E2168" s="28">
        <v>40513</v>
      </c>
      <c r="F2168" s="28" t="s">
        <v>35</v>
      </c>
      <c r="G2168" s="28" t="s">
        <v>35</v>
      </c>
      <c r="H2168" s="27" t="s">
        <v>560</v>
      </c>
      <c r="I2168" s="31" t="s">
        <v>560</v>
      </c>
      <c r="J2168" s="29" t="s">
        <v>1662</v>
      </c>
      <c r="K2168" s="29" t="s">
        <v>3492</v>
      </c>
      <c r="L2168" s="29" t="s">
        <v>3493</v>
      </c>
      <c r="M2168" s="29" t="s">
        <v>1550</v>
      </c>
      <c r="N2168" s="29" t="s">
        <v>1045</v>
      </c>
      <c r="O2168" s="29" t="s">
        <v>590</v>
      </c>
    </row>
    <row r="2169" spans="1:15">
      <c r="A2169" s="25">
        <v>10863</v>
      </c>
      <c r="B2169" s="26" t="s">
        <v>3596</v>
      </c>
      <c r="C2169" s="27" t="s">
        <v>521</v>
      </c>
      <c r="D2169" s="27" t="s">
        <v>795</v>
      </c>
      <c r="E2169" s="28">
        <v>40572</v>
      </c>
      <c r="F2169" s="28" t="s">
        <v>35</v>
      </c>
      <c r="G2169" s="28" t="s">
        <v>35</v>
      </c>
      <c r="H2169" s="27" t="s">
        <v>560</v>
      </c>
      <c r="I2169" s="27" t="s">
        <v>560</v>
      </c>
      <c r="J2169" s="29" t="s">
        <v>1662</v>
      </c>
      <c r="K2169" s="29" t="s">
        <v>3492</v>
      </c>
      <c r="L2169" s="29" t="s">
        <v>3493</v>
      </c>
      <c r="M2169" s="29" t="s">
        <v>3597</v>
      </c>
      <c r="N2169" s="29" t="s">
        <v>1434</v>
      </c>
      <c r="O2169" s="29" t="s">
        <v>590</v>
      </c>
    </row>
    <row r="2170" spans="1:15">
      <c r="A2170" s="25">
        <v>11051</v>
      </c>
      <c r="B2170" s="26" t="s">
        <v>3598</v>
      </c>
      <c r="C2170" s="27" t="s">
        <v>521</v>
      </c>
      <c r="D2170" s="27" t="s">
        <v>1770</v>
      </c>
      <c r="E2170" s="28">
        <v>40592</v>
      </c>
      <c r="F2170" s="28" t="s">
        <v>35</v>
      </c>
      <c r="G2170" s="28" t="s">
        <v>35</v>
      </c>
      <c r="H2170" s="29" t="s">
        <v>560</v>
      </c>
      <c r="I2170" s="29" t="s">
        <v>560</v>
      </c>
      <c r="J2170" s="29" t="s">
        <v>1662</v>
      </c>
      <c r="K2170" s="29" t="s">
        <v>3492</v>
      </c>
      <c r="L2170" s="29" t="s">
        <v>3493</v>
      </c>
      <c r="M2170" s="29" t="s">
        <v>3599</v>
      </c>
      <c r="N2170" s="29" t="s">
        <v>2031</v>
      </c>
      <c r="O2170" s="29" t="s">
        <v>590</v>
      </c>
    </row>
    <row r="2171" spans="1:15">
      <c r="A2171" s="25">
        <v>12452</v>
      </c>
      <c r="B2171" s="26" t="s">
        <v>3600</v>
      </c>
      <c r="C2171" s="27" t="s">
        <v>521</v>
      </c>
      <c r="D2171" s="27" t="s">
        <v>722</v>
      </c>
      <c r="E2171" s="28">
        <v>40812</v>
      </c>
      <c r="F2171" s="28" t="s">
        <v>35</v>
      </c>
      <c r="G2171" s="28" t="s">
        <v>35</v>
      </c>
      <c r="H2171" s="27" t="s">
        <v>560</v>
      </c>
      <c r="I2171" s="29" t="s">
        <v>560</v>
      </c>
      <c r="J2171" s="29" t="s">
        <v>1662</v>
      </c>
      <c r="K2171" s="29" t="s">
        <v>3492</v>
      </c>
      <c r="L2171" s="29" t="s">
        <v>3493</v>
      </c>
      <c r="M2171" s="29" t="s">
        <v>3601</v>
      </c>
      <c r="N2171" s="29" t="s">
        <v>1434</v>
      </c>
      <c r="O2171" s="29" t="s">
        <v>590</v>
      </c>
    </row>
    <row r="2172" spans="1:15">
      <c r="A2172" s="25">
        <v>17801</v>
      </c>
      <c r="B2172" s="26" t="s">
        <v>3602</v>
      </c>
      <c r="C2172" s="27" t="s">
        <v>521</v>
      </c>
      <c r="D2172" s="27" t="s">
        <v>3603</v>
      </c>
      <c r="E2172" s="28">
        <v>41813</v>
      </c>
      <c r="F2172" s="28" t="s">
        <v>35</v>
      </c>
      <c r="G2172" s="28" t="s">
        <v>35</v>
      </c>
      <c r="H2172" s="27" t="s">
        <v>560</v>
      </c>
      <c r="I2172" s="29" t="s">
        <v>560</v>
      </c>
      <c r="J2172" s="29" t="s">
        <v>1662</v>
      </c>
      <c r="K2172" s="29" t="s">
        <v>3492</v>
      </c>
      <c r="L2172" s="29" t="s">
        <v>3493</v>
      </c>
      <c r="M2172" s="29" t="s">
        <v>3531</v>
      </c>
      <c r="N2172" s="29" t="s">
        <v>1434</v>
      </c>
      <c r="O2172" s="29" t="s">
        <v>590</v>
      </c>
    </row>
    <row r="2173" spans="1:15">
      <c r="A2173" s="25">
        <v>19571</v>
      </c>
      <c r="B2173" s="26" t="s">
        <v>3604</v>
      </c>
      <c r="C2173" s="27" t="s">
        <v>521</v>
      </c>
      <c r="D2173" s="27" t="s">
        <v>3131</v>
      </c>
      <c r="E2173" s="28">
        <v>42472</v>
      </c>
      <c r="F2173" s="28" t="s">
        <v>35</v>
      </c>
      <c r="G2173" s="28" t="s">
        <v>35</v>
      </c>
      <c r="H2173" s="27" t="s">
        <v>560</v>
      </c>
      <c r="I2173" s="27" t="s">
        <v>560</v>
      </c>
      <c r="J2173" s="29" t="s">
        <v>1662</v>
      </c>
      <c r="K2173" s="29" t="s">
        <v>3492</v>
      </c>
      <c r="L2173" s="29" t="s">
        <v>3493</v>
      </c>
      <c r="M2173" s="29" t="s">
        <v>3571</v>
      </c>
      <c r="N2173" s="29" t="s">
        <v>2041</v>
      </c>
      <c r="O2173" s="29" t="s">
        <v>590</v>
      </c>
    </row>
    <row r="2174" spans="1:15">
      <c r="A2174" s="25">
        <v>20598</v>
      </c>
      <c r="B2174" s="26" t="s">
        <v>3605</v>
      </c>
      <c r="C2174" s="27" t="s">
        <v>521</v>
      </c>
      <c r="D2174" s="27" t="s">
        <v>673</v>
      </c>
      <c r="E2174" s="28">
        <v>42639</v>
      </c>
      <c r="F2174" s="28">
        <v>43132</v>
      </c>
      <c r="G2174" s="28">
        <v>43496</v>
      </c>
      <c r="H2174" s="25" t="s">
        <v>560</v>
      </c>
      <c r="I2174" s="29" t="s">
        <v>560</v>
      </c>
      <c r="J2174" s="29" t="s">
        <v>1662</v>
      </c>
      <c r="K2174" s="29" t="s">
        <v>3492</v>
      </c>
      <c r="L2174" s="29" t="s">
        <v>3493</v>
      </c>
      <c r="M2174" s="29" t="s">
        <v>3541</v>
      </c>
      <c r="N2174" s="29" t="s">
        <v>2041</v>
      </c>
      <c r="O2174" s="29" t="s">
        <v>590</v>
      </c>
    </row>
    <row r="2175" spans="1:15">
      <c r="A2175" s="25">
        <v>20604</v>
      </c>
      <c r="B2175" s="26" t="s">
        <v>3606</v>
      </c>
      <c r="C2175" s="27" t="s">
        <v>521</v>
      </c>
      <c r="D2175" s="27" t="s">
        <v>673</v>
      </c>
      <c r="E2175" s="28">
        <v>42639</v>
      </c>
      <c r="F2175" s="28">
        <v>43132</v>
      </c>
      <c r="G2175" s="28">
        <v>43496</v>
      </c>
      <c r="H2175" s="25" t="s">
        <v>560</v>
      </c>
      <c r="I2175" s="31" t="s">
        <v>560</v>
      </c>
      <c r="J2175" s="29" t="s">
        <v>1662</v>
      </c>
      <c r="K2175" s="29" t="s">
        <v>3492</v>
      </c>
      <c r="L2175" s="29" t="s">
        <v>3493</v>
      </c>
      <c r="M2175" s="29" t="s">
        <v>3496</v>
      </c>
      <c r="N2175" s="29" t="s">
        <v>1434</v>
      </c>
      <c r="O2175" s="29" t="s">
        <v>590</v>
      </c>
    </row>
    <row r="2176" spans="1:15">
      <c r="A2176" s="25">
        <v>20683</v>
      </c>
      <c r="B2176" s="26" t="s">
        <v>3607</v>
      </c>
      <c r="C2176" s="27" t="s">
        <v>521</v>
      </c>
      <c r="D2176" s="27" t="s">
        <v>673</v>
      </c>
      <c r="E2176" s="28">
        <v>42639</v>
      </c>
      <c r="F2176" s="28">
        <v>43132</v>
      </c>
      <c r="G2176" s="28">
        <v>43496</v>
      </c>
      <c r="H2176" s="25" t="s">
        <v>560</v>
      </c>
      <c r="I2176" s="29" t="s">
        <v>560</v>
      </c>
      <c r="J2176" s="29" t="s">
        <v>1662</v>
      </c>
      <c r="K2176" s="29" t="s">
        <v>3492</v>
      </c>
      <c r="L2176" s="29" t="s">
        <v>3493</v>
      </c>
      <c r="M2176" s="29" t="s">
        <v>3525</v>
      </c>
      <c r="N2176" s="29" t="s">
        <v>1434</v>
      </c>
      <c r="O2176" s="29" t="s">
        <v>590</v>
      </c>
    </row>
    <row r="2177" spans="1:15">
      <c r="A2177" s="25">
        <v>20899</v>
      </c>
      <c r="B2177" s="26" t="s">
        <v>3608</v>
      </c>
      <c r="C2177" s="27" t="s">
        <v>521</v>
      </c>
      <c r="D2177" s="27" t="s">
        <v>807</v>
      </c>
      <c r="E2177" s="28">
        <v>42660</v>
      </c>
      <c r="F2177" s="28">
        <v>43160</v>
      </c>
      <c r="G2177" s="28">
        <v>43524</v>
      </c>
      <c r="H2177" s="27" t="s">
        <v>560</v>
      </c>
      <c r="I2177" s="29" t="s">
        <v>560</v>
      </c>
      <c r="J2177" s="29" t="s">
        <v>1662</v>
      </c>
      <c r="K2177" s="29" t="s">
        <v>3492</v>
      </c>
      <c r="L2177" s="29" t="s">
        <v>3493</v>
      </c>
      <c r="M2177" s="29" t="s">
        <v>3535</v>
      </c>
      <c r="N2177" s="29" t="s">
        <v>2041</v>
      </c>
      <c r="O2177" s="29" t="s">
        <v>590</v>
      </c>
    </row>
    <row r="2178" spans="1:15">
      <c r="A2178" s="25">
        <v>21048</v>
      </c>
      <c r="B2178" s="26" t="s">
        <v>3609</v>
      </c>
      <c r="C2178" s="27" t="s">
        <v>521</v>
      </c>
      <c r="D2178" s="27" t="s">
        <v>3315</v>
      </c>
      <c r="E2178" s="28">
        <v>42863</v>
      </c>
      <c r="F2178" s="28">
        <v>43344</v>
      </c>
      <c r="G2178" s="28">
        <v>43708</v>
      </c>
      <c r="H2178" s="27" t="s">
        <v>560</v>
      </c>
      <c r="I2178" s="31" t="s">
        <v>560</v>
      </c>
      <c r="J2178" s="29" t="s">
        <v>1662</v>
      </c>
      <c r="K2178" s="29" t="s">
        <v>3492</v>
      </c>
      <c r="L2178" s="29" t="s">
        <v>3493</v>
      </c>
      <c r="M2178" s="29" t="s">
        <v>3402</v>
      </c>
      <c r="N2178" s="29" t="s">
        <v>2041</v>
      </c>
      <c r="O2178" s="29" t="s">
        <v>590</v>
      </c>
    </row>
    <row r="2179" spans="1:15">
      <c r="A2179" s="25">
        <v>21090</v>
      </c>
      <c r="B2179" s="26" t="s">
        <v>3610</v>
      </c>
      <c r="C2179" s="27" t="s">
        <v>521</v>
      </c>
      <c r="D2179" s="27" t="s">
        <v>1686</v>
      </c>
      <c r="E2179" s="28">
        <v>42867</v>
      </c>
      <c r="F2179" s="28">
        <v>43344</v>
      </c>
      <c r="G2179" s="28">
        <v>43708</v>
      </c>
      <c r="H2179" s="25" t="s">
        <v>560</v>
      </c>
      <c r="I2179" s="31" t="s">
        <v>560</v>
      </c>
      <c r="J2179" s="29" t="s">
        <v>1662</v>
      </c>
      <c r="K2179" s="29" t="s">
        <v>3492</v>
      </c>
      <c r="L2179" s="29" t="s">
        <v>3493</v>
      </c>
      <c r="M2179" s="29" t="s">
        <v>3579</v>
      </c>
      <c r="N2179" s="29" t="s">
        <v>1434</v>
      </c>
      <c r="O2179" s="29" t="s">
        <v>590</v>
      </c>
    </row>
    <row r="2180" spans="1:15">
      <c r="A2180" s="25">
        <v>21100</v>
      </c>
      <c r="B2180" s="26" t="s">
        <v>3611</v>
      </c>
      <c r="C2180" s="27" t="s">
        <v>521</v>
      </c>
      <c r="D2180" s="27" t="s">
        <v>1686</v>
      </c>
      <c r="E2180" s="28">
        <v>42867</v>
      </c>
      <c r="F2180" s="28">
        <v>43344</v>
      </c>
      <c r="G2180" s="28">
        <v>43708</v>
      </c>
      <c r="H2180" s="25" t="s">
        <v>560</v>
      </c>
      <c r="I2180" s="31" t="s">
        <v>560</v>
      </c>
      <c r="J2180" s="29" t="s">
        <v>1662</v>
      </c>
      <c r="K2180" s="29" t="s">
        <v>3492</v>
      </c>
      <c r="L2180" s="29" t="s">
        <v>3493</v>
      </c>
      <c r="M2180" s="29" t="s">
        <v>3508</v>
      </c>
      <c r="N2180" s="29" t="s">
        <v>1434</v>
      </c>
      <c r="O2180" s="29" t="s">
        <v>590</v>
      </c>
    </row>
    <row r="2181" spans="1:15">
      <c r="A2181" s="25">
        <v>21120</v>
      </c>
      <c r="B2181" s="26" t="s">
        <v>3612</v>
      </c>
      <c r="C2181" s="27" t="s">
        <v>521</v>
      </c>
      <c r="D2181" s="27" t="s">
        <v>1686</v>
      </c>
      <c r="E2181" s="28">
        <v>42867</v>
      </c>
      <c r="F2181" s="28">
        <v>43344</v>
      </c>
      <c r="G2181" s="28">
        <v>43708</v>
      </c>
      <c r="H2181" s="25" t="s">
        <v>560</v>
      </c>
      <c r="I2181" s="31" t="s">
        <v>560</v>
      </c>
      <c r="J2181" s="29" t="s">
        <v>1662</v>
      </c>
      <c r="K2181" s="29" t="s">
        <v>3492</v>
      </c>
      <c r="L2181" s="29" t="s">
        <v>3493</v>
      </c>
      <c r="M2181" s="29" t="s">
        <v>3517</v>
      </c>
      <c r="N2181" s="29" t="s">
        <v>2041</v>
      </c>
      <c r="O2181" s="29" t="s">
        <v>590</v>
      </c>
    </row>
    <row r="2182" spans="1:15">
      <c r="A2182" s="25">
        <v>21124</v>
      </c>
      <c r="B2182" s="26" t="s">
        <v>3613</v>
      </c>
      <c r="C2182" s="27" t="s">
        <v>521</v>
      </c>
      <c r="D2182" s="27" t="s">
        <v>1686</v>
      </c>
      <c r="E2182" s="28">
        <v>42867</v>
      </c>
      <c r="F2182" s="28">
        <v>43344</v>
      </c>
      <c r="G2182" s="28">
        <v>43708</v>
      </c>
      <c r="H2182" s="25" t="s">
        <v>560</v>
      </c>
      <c r="I2182" s="31" t="s">
        <v>560</v>
      </c>
      <c r="J2182" s="29" t="s">
        <v>1662</v>
      </c>
      <c r="K2182" s="29" t="s">
        <v>3492</v>
      </c>
      <c r="L2182" s="29" t="s">
        <v>3493</v>
      </c>
      <c r="M2182" s="29" t="s">
        <v>3529</v>
      </c>
      <c r="N2182" s="29" t="s">
        <v>1434</v>
      </c>
      <c r="O2182" s="29" t="s">
        <v>590</v>
      </c>
    </row>
    <row r="2183" spans="1:15">
      <c r="A2183" s="25">
        <v>21132</v>
      </c>
      <c r="B2183" s="26" t="s">
        <v>3614</v>
      </c>
      <c r="C2183" s="27" t="s">
        <v>521</v>
      </c>
      <c r="D2183" s="27" t="s">
        <v>1686</v>
      </c>
      <c r="E2183" s="28">
        <v>42867</v>
      </c>
      <c r="F2183" s="28">
        <v>43344</v>
      </c>
      <c r="G2183" s="28">
        <v>43708</v>
      </c>
      <c r="H2183" s="25" t="s">
        <v>560</v>
      </c>
      <c r="I2183" s="31" t="s">
        <v>560</v>
      </c>
      <c r="J2183" s="29" t="s">
        <v>1662</v>
      </c>
      <c r="K2183" s="29" t="s">
        <v>3492</v>
      </c>
      <c r="L2183" s="29" t="s">
        <v>3493</v>
      </c>
      <c r="M2183" s="29" t="s">
        <v>3551</v>
      </c>
      <c r="N2183" s="29" t="s">
        <v>1434</v>
      </c>
      <c r="O2183" s="29" t="s">
        <v>590</v>
      </c>
    </row>
    <row r="2184" spans="1:15">
      <c r="A2184" s="25">
        <v>21142</v>
      </c>
      <c r="B2184" s="26" t="s">
        <v>3615</v>
      </c>
      <c r="C2184" s="27" t="s">
        <v>521</v>
      </c>
      <c r="D2184" s="27" t="s">
        <v>1686</v>
      </c>
      <c r="E2184" s="28">
        <v>42867</v>
      </c>
      <c r="F2184" s="28">
        <v>43344</v>
      </c>
      <c r="G2184" s="28">
        <v>43708</v>
      </c>
      <c r="H2184" s="25" t="s">
        <v>560</v>
      </c>
      <c r="I2184" s="31" t="s">
        <v>560</v>
      </c>
      <c r="J2184" s="29" t="s">
        <v>1662</v>
      </c>
      <c r="K2184" s="29" t="s">
        <v>3492</v>
      </c>
      <c r="L2184" s="29" t="s">
        <v>3493</v>
      </c>
      <c r="M2184" s="29" t="s">
        <v>3570</v>
      </c>
      <c r="N2184" s="29" t="s">
        <v>1434</v>
      </c>
      <c r="O2184" s="29" t="s">
        <v>590</v>
      </c>
    </row>
    <row r="2185" spans="1:15">
      <c r="A2185" s="25">
        <v>21168</v>
      </c>
      <c r="B2185" s="26" t="s">
        <v>3616</v>
      </c>
      <c r="C2185" s="27" t="s">
        <v>521</v>
      </c>
      <c r="D2185" s="27" t="s">
        <v>1676</v>
      </c>
      <c r="E2185" s="28">
        <v>42871</v>
      </c>
      <c r="F2185" s="28">
        <v>43374</v>
      </c>
      <c r="G2185" s="28">
        <v>43738</v>
      </c>
      <c r="H2185" s="25" t="s">
        <v>560</v>
      </c>
      <c r="I2185" s="29" t="s">
        <v>560</v>
      </c>
      <c r="J2185" s="29" t="s">
        <v>1662</v>
      </c>
      <c r="K2185" s="29" t="s">
        <v>3492</v>
      </c>
      <c r="L2185" s="29" t="s">
        <v>3493</v>
      </c>
      <c r="M2185" s="29" t="s">
        <v>3527</v>
      </c>
      <c r="N2185" s="29" t="s">
        <v>2077</v>
      </c>
      <c r="O2185" s="29" t="s">
        <v>590</v>
      </c>
    </row>
    <row r="2186" spans="1:15">
      <c r="A2186" s="25">
        <v>21187</v>
      </c>
      <c r="B2186" s="26" t="s">
        <v>3617</v>
      </c>
      <c r="C2186" s="27" t="s">
        <v>521</v>
      </c>
      <c r="D2186" s="27" t="s">
        <v>1676</v>
      </c>
      <c r="E2186" s="28">
        <v>42871</v>
      </c>
      <c r="F2186" s="28">
        <v>43374</v>
      </c>
      <c r="G2186" s="28">
        <v>43738</v>
      </c>
      <c r="H2186" s="25" t="s">
        <v>560</v>
      </c>
      <c r="I2186" s="29" t="s">
        <v>560</v>
      </c>
      <c r="J2186" s="29" t="s">
        <v>1662</v>
      </c>
      <c r="K2186" s="29" t="s">
        <v>3492</v>
      </c>
      <c r="L2186" s="29" t="s">
        <v>3493</v>
      </c>
      <c r="M2186" s="29" t="s">
        <v>3539</v>
      </c>
      <c r="N2186" s="29" t="s">
        <v>2041</v>
      </c>
      <c r="O2186" s="29" t="s">
        <v>590</v>
      </c>
    </row>
    <row r="2187" spans="1:15">
      <c r="A2187" s="25">
        <v>21221</v>
      </c>
      <c r="B2187" s="26" t="s">
        <v>3618</v>
      </c>
      <c r="C2187" s="27" t="s">
        <v>521</v>
      </c>
      <c r="D2187" s="27" t="s">
        <v>2480</v>
      </c>
      <c r="E2187" s="28">
        <v>42877</v>
      </c>
      <c r="F2187" s="28">
        <v>43374</v>
      </c>
      <c r="G2187" s="28">
        <v>43738</v>
      </c>
      <c r="H2187" s="29" t="s">
        <v>560</v>
      </c>
      <c r="I2187" s="29" t="s">
        <v>560</v>
      </c>
      <c r="J2187" s="29" t="s">
        <v>1662</v>
      </c>
      <c r="K2187" s="29" t="s">
        <v>3492</v>
      </c>
      <c r="L2187" s="29" t="s">
        <v>3493</v>
      </c>
      <c r="M2187" s="29" t="s">
        <v>3619</v>
      </c>
      <c r="N2187" s="29" t="s">
        <v>2023</v>
      </c>
      <c r="O2187" s="29" t="s">
        <v>590</v>
      </c>
    </row>
    <row r="2188" spans="1:15">
      <c r="A2188" s="25">
        <v>21251</v>
      </c>
      <c r="B2188" s="26" t="s">
        <v>3620</v>
      </c>
      <c r="C2188" s="27" t="s">
        <v>521</v>
      </c>
      <c r="D2188" s="27" t="s">
        <v>2670</v>
      </c>
      <c r="E2188" s="28">
        <v>42893</v>
      </c>
      <c r="F2188" s="28">
        <v>43374</v>
      </c>
      <c r="G2188" s="28">
        <v>43738</v>
      </c>
      <c r="H2188" s="29" t="s">
        <v>560</v>
      </c>
      <c r="I2188" s="29" t="s">
        <v>560</v>
      </c>
      <c r="J2188" s="29" t="s">
        <v>1662</v>
      </c>
      <c r="K2188" s="29" t="s">
        <v>3492</v>
      </c>
      <c r="L2188" s="29" t="s">
        <v>3493</v>
      </c>
      <c r="M2188" s="29" t="s">
        <v>3514</v>
      </c>
      <c r="N2188" s="29" t="s">
        <v>1434</v>
      </c>
      <c r="O2188" s="29" t="s">
        <v>590</v>
      </c>
    </row>
    <row r="2189" spans="1:15">
      <c r="A2189" s="25">
        <v>21258</v>
      </c>
      <c r="B2189" s="26" t="s">
        <v>3621</v>
      </c>
      <c r="C2189" s="27" t="s">
        <v>521</v>
      </c>
      <c r="D2189" s="27" t="s">
        <v>2670</v>
      </c>
      <c r="E2189" s="28">
        <v>42893</v>
      </c>
      <c r="F2189" s="28">
        <v>43374</v>
      </c>
      <c r="G2189" s="28">
        <v>43738</v>
      </c>
      <c r="H2189" s="29" t="s">
        <v>560</v>
      </c>
      <c r="I2189" s="29" t="s">
        <v>560</v>
      </c>
      <c r="J2189" s="29" t="s">
        <v>1662</v>
      </c>
      <c r="K2189" s="29" t="s">
        <v>3492</v>
      </c>
      <c r="L2189" s="29" t="s">
        <v>3493</v>
      </c>
      <c r="M2189" s="29" t="s">
        <v>3575</v>
      </c>
      <c r="N2189" s="29" t="s">
        <v>1434</v>
      </c>
      <c r="O2189" s="29" t="s">
        <v>590</v>
      </c>
    </row>
    <row r="2190" spans="1:15">
      <c r="A2190" s="25">
        <v>21465</v>
      </c>
      <c r="B2190" s="34" t="s">
        <v>3622</v>
      </c>
      <c r="C2190" s="31" t="s">
        <v>521</v>
      </c>
      <c r="D2190" s="31" t="s">
        <v>2166</v>
      </c>
      <c r="E2190" s="28">
        <v>43024</v>
      </c>
      <c r="F2190" s="28">
        <v>43435</v>
      </c>
      <c r="G2190" s="28">
        <v>43799</v>
      </c>
      <c r="H2190" s="29" t="s">
        <v>560</v>
      </c>
      <c r="I2190" s="29" t="s">
        <v>560</v>
      </c>
      <c r="J2190" s="29" t="s">
        <v>1662</v>
      </c>
      <c r="K2190" s="29" t="s">
        <v>3492</v>
      </c>
      <c r="L2190" s="29" t="s">
        <v>3493</v>
      </c>
      <c r="M2190" s="29" t="s">
        <v>3623</v>
      </c>
      <c r="N2190" s="29" t="s">
        <v>2023</v>
      </c>
      <c r="O2190" s="29" t="s">
        <v>590</v>
      </c>
    </row>
    <row r="2191" spans="1:15">
      <c r="A2191" s="25">
        <v>21513</v>
      </c>
      <c r="B2191" s="34" t="s">
        <v>3624</v>
      </c>
      <c r="C2191" s="31" t="s">
        <v>521</v>
      </c>
      <c r="D2191" s="31" t="s">
        <v>1760</v>
      </c>
      <c r="E2191" s="28">
        <v>43045</v>
      </c>
      <c r="F2191" s="28">
        <v>43435</v>
      </c>
      <c r="G2191" s="28">
        <v>43799</v>
      </c>
      <c r="H2191" s="29" t="s">
        <v>560</v>
      </c>
      <c r="I2191" s="29" t="s">
        <v>560</v>
      </c>
      <c r="J2191" s="29" t="s">
        <v>1662</v>
      </c>
      <c r="K2191" s="29" t="s">
        <v>3492</v>
      </c>
      <c r="L2191" s="29" t="s">
        <v>3493</v>
      </c>
      <c r="M2191" s="29" t="s">
        <v>3548</v>
      </c>
      <c r="N2191" s="29" t="s">
        <v>1434</v>
      </c>
      <c r="O2191" s="29" t="s">
        <v>590</v>
      </c>
    </row>
    <row r="2192" spans="1:15">
      <c r="A2192" s="25">
        <v>21580</v>
      </c>
      <c r="B2192" s="34" t="s">
        <v>3625</v>
      </c>
      <c r="C2192" s="31" t="s">
        <v>521</v>
      </c>
      <c r="D2192" s="31" t="s">
        <v>1603</v>
      </c>
      <c r="E2192" s="28">
        <v>43048</v>
      </c>
      <c r="F2192" s="28">
        <v>43435</v>
      </c>
      <c r="G2192" s="28">
        <v>43799</v>
      </c>
      <c r="H2192" s="29" t="s">
        <v>560</v>
      </c>
      <c r="I2192" s="29" t="s">
        <v>560</v>
      </c>
      <c r="J2192" s="29" t="s">
        <v>1662</v>
      </c>
      <c r="K2192" s="29" t="s">
        <v>3492</v>
      </c>
      <c r="L2192" s="29" t="s">
        <v>3493</v>
      </c>
      <c r="M2192" s="29" t="s">
        <v>3537</v>
      </c>
      <c r="N2192" s="29" t="s">
        <v>2041</v>
      </c>
      <c r="O2192" s="29" t="s">
        <v>590</v>
      </c>
    </row>
    <row r="2193" spans="1:15">
      <c r="A2193" s="25">
        <v>21666</v>
      </c>
      <c r="B2193" s="34" t="s">
        <v>3626</v>
      </c>
      <c r="C2193" s="31" t="s">
        <v>521</v>
      </c>
      <c r="D2193" s="31" t="s">
        <v>1053</v>
      </c>
      <c r="E2193" s="28">
        <v>43055</v>
      </c>
      <c r="F2193" s="28">
        <v>43466</v>
      </c>
      <c r="G2193" s="28">
        <v>43830</v>
      </c>
      <c r="H2193" s="29" t="s">
        <v>560</v>
      </c>
      <c r="I2193" s="29" t="s">
        <v>560</v>
      </c>
      <c r="J2193" s="29" t="s">
        <v>1662</v>
      </c>
      <c r="K2193" s="29" t="s">
        <v>3492</v>
      </c>
      <c r="L2193" s="29" t="s">
        <v>3493</v>
      </c>
      <c r="M2193" s="29" t="s">
        <v>3559</v>
      </c>
      <c r="N2193" s="29" t="s">
        <v>2041</v>
      </c>
      <c r="O2193" s="29" t="s">
        <v>590</v>
      </c>
    </row>
    <row r="2194" spans="1:15">
      <c r="A2194" s="25">
        <v>21671</v>
      </c>
      <c r="B2194" s="34" t="s">
        <v>3627</v>
      </c>
      <c r="C2194" s="31" t="s">
        <v>521</v>
      </c>
      <c r="D2194" s="31" t="s">
        <v>1053</v>
      </c>
      <c r="E2194" s="28">
        <v>43055</v>
      </c>
      <c r="F2194" s="28">
        <v>43466</v>
      </c>
      <c r="G2194" s="28">
        <v>43830</v>
      </c>
      <c r="H2194" s="29" t="s">
        <v>560</v>
      </c>
      <c r="I2194" s="29" t="s">
        <v>560</v>
      </c>
      <c r="J2194" s="29" t="s">
        <v>1662</v>
      </c>
      <c r="K2194" s="29" t="s">
        <v>3492</v>
      </c>
      <c r="L2194" s="29" t="s">
        <v>3493</v>
      </c>
      <c r="M2194" s="29" t="s">
        <v>3590</v>
      </c>
      <c r="N2194" s="29" t="s">
        <v>1434</v>
      </c>
      <c r="O2194" s="29" t="s">
        <v>590</v>
      </c>
    </row>
    <row r="2195" spans="1:15">
      <c r="A2195" s="25">
        <v>21680</v>
      </c>
      <c r="B2195" s="34" t="s">
        <v>3628</v>
      </c>
      <c r="C2195" s="31" t="s">
        <v>521</v>
      </c>
      <c r="D2195" s="31" t="s">
        <v>1053</v>
      </c>
      <c r="E2195" s="28">
        <v>43055</v>
      </c>
      <c r="F2195" s="28">
        <v>43466</v>
      </c>
      <c r="G2195" s="28">
        <v>43830</v>
      </c>
      <c r="H2195" s="29" t="s">
        <v>560</v>
      </c>
      <c r="I2195" s="29" t="s">
        <v>560</v>
      </c>
      <c r="J2195" s="29" t="s">
        <v>1662</v>
      </c>
      <c r="K2195" s="29" t="s">
        <v>3492</v>
      </c>
      <c r="L2195" s="29" t="s">
        <v>3493</v>
      </c>
      <c r="M2195" s="29" t="s">
        <v>3533</v>
      </c>
      <c r="N2195" s="29" t="s">
        <v>2041</v>
      </c>
      <c r="O2195" s="29" t="s">
        <v>590</v>
      </c>
    </row>
    <row r="2196" spans="1:15">
      <c r="A2196" s="25">
        <v>21691</v>
      </c>
      <c r="B2196" s="34" t="s">
        <v>3629</v>
      </c>
      <c r="C2196" s="31" t="s">
        <v>521</v>
      </c>
      <c r="D2196" s="31" t="s">
        <v>1169</v>
      </c>
      <c r="E2196" s="28">
        <v>43073</v>
      </c>
      <c r="F2196" s="28">
        <v>43466</v>
      </c>
      <c r="G2196" s="28">
        <v>43830</v>
      </c>
      <c r="H2196" s="29" t="s">
        <v>560</v>
      </c>
      <c r="I2196" s="29" t="s">
        <v>560</v>
      </c>
      <c r="J2196" s="29" t="s">
        <v>1662</v>
      </c>
      <c r="K2196" s="29" t="s">
        <v>3492</v>
      </c>
      <c r="L2196" s="29" t="s">
        <v>3493</v>
      </c>
      <c r="M2196" s="29" t="s">
        <v>3568</v>
      </c>
      <c r="N2196" s="29" t="s">
        <v>2041</v>
      </c>
      <c r="O2196" s="29" t="s">
        <v>590</v>
      </c>
    </row>
    <row r="2197" spans="1:15">
      <c r="A2197" s="25">
        <v>21723</v>
      </c>
      <c r="B2197" s="34" t="s">
        <v>3630</v>
      </c>
      <c r="C2197" s="31" t="s">
        <v>521</v>
      </c>
      <c r="D2197" s="31" t="s">
        <v>663</v>
      </c>
      <c r="E2197" s="28">
        <v>43087</v>
      </c>
      <c r="F2197" s="28">
        <v>43118</v>
      </c>
      <c r="G2197" s="28">
        <v>43496</v>
      </c>
      <c r="H2197" s="29" t="s">
        <v>560</v>
      </c>
      <c r="I2197" s="29" t="s">
        <v>560</v>
      </c>
      <c r="J2197" s="29" t="s">
        <v>1662</v>
      </c>
      <c r="K2197" s="29" t="s">
        <v>3492</v>
      </c>
      <c r="L2197" s="29" t="s">
        <v>3493</v>
      </c>
      <c r="M2197" s="29" t="s">
        <v>3583</v>
      </c>
      <c r="N2197" s="29" t="s">
        <v>2023</v>
      </c>
      <c r="O2197" s="29" t="s">
        <v>590</v>
      </c>
    </row>
    <row r="2198" spans="1:15">
      <c r="A2198" s="25">
        <v>21934</v>
      </c>
      <c r="B2198" s="26" t="s">
        <v>3631</v>
      </c>
      <c r="C2198" s="27" t="s">
        <v>521</v>
      </c>
      <c r="D2198" s="27" t="s">
        <v>740</v>
      </c>
      <c r="E2198" s="28">
        <v>43111</v>
      </c>
      <c r="F2198" s="28">
        <v>43142</v>
      </c>
      <c r="G2198" s="28">
        <v>43496</v>
      </c>
      <c r="H2198" s="29" t="s">
        <v>560</v>
      </c>
      <c r="I2198" s="29" t="s">
        <v>560</v>
      </c>
      <c r="J2198" s="29" t="s">
        <v>1662</v>
      </c>
      <c r="K2198" s="29" t="s">
        <v>3492</v>
      </c>
      <c r="L2198" s="29" t="s">
        <v>3493</v>
      </c>
      <c r="M2198" s="29" t="s">
        <v>2118</v>
      </c>
      <c r="N2198" s="29" t="s">
        <v>2041</v>
      </c>
      <c r="O2198" s="29" t="s">
        <v>590</v>
      </c>
    </row>
    <row r="2199" spans="1:15">
      <c r="A2199" s="25">
        <v>22163</v>
      </c>
      <c r="B2199" s="34" t="s">
        <v>3632</v>
      </c>
      <c r="C2199" s="31" t="s">
        <v>521</v>
      </c>
      <c r="D2199" s="31" t="s">
        <v>1201</v>
      </c>
      <c r="E2199" s="28">
        <v>43158</v>
      </c>
      <c r="F2199" s="28">
        <v>43186</v>
      </c>
      <c r="G2199" s="28">
        <v>43555</v>
      </c>
      <c r="H2199" s="29" t="s">
        <v>560</v>
      </c>
      <c r="I2199" s="29" t="s">
        <v>560</v>
      </c>
      <c r="J2199" s="29" t="s">
        <v>1662</v>
      </c>
      <c r="K2199" s="29" t="s">
        <v>3492</v>
      </c>
      <c r="L2199" s="29" t="s">
        <v>3493</v>
      </c>
      <c r="M2199" s="29" t="s">
        <v>3523</v>
      </c>
      <c r="N2199" s="29" t="s">
        <v>1434</v>
      </c>
      <c r="O2199" s="29" t="s">
        <v>590</v>
      </c>
    </row>
    <row r="2200" spans="1:15">
      <c r="A2200" s="25">
        <v>22349</v>
      </c>
      <c r="B2200" s="34" t="s">
        <v>2804</v>
      </c>
      <c r="C2200" s="31" t="s">
        <v>521</v>
      </c>
      <c r="D2200" s="31" t="s">
        <v>694</v>
      </c>
      <c r="E2200" s="28">
        <v>43195</v>
      </c>
      <c r="F2200" s="28">
        <v>43225</v>
      </c>
      <c r="G2200" s="28">
        <v>43585</v>
      </c>
      <c r="H2200" s="29" t="s">
        <v>560</v>
      </c>
      <c r="I2200" s="29" t="s">
        <v>560</v>
      </c>
      <c r="J2200" s="29" t="s">
        <v>1662</v>
      </c>
      <c r="K2200" s="29" t="s">
        <v>3492</v>
      </c>
      <c r="L2200" s="29" t="s">
        <v>3493</v>
      </c>
      <c r="M2200" s="29" t="s">
        <v>3555</v>
      </c>
      <c r="N2200" s="29" t="s">
        <v>1434</v>
      </c>
      <c r="O2200" s="29" t="s">
        <v>590</v>
      </c>
    </row>
    <row r="2201" spans="1:15">
      <c r="A2201" s="25">
        <v>22411</v>
      </c>
      <c r="B2201" s="34" t="s">
        <v>3633</v>
      </c>
      <c r="C2201" s="31" t="s">
        <v>521</v>
      </c>
      <c r="D2201" s="31" t="s">
        <v>805</v>
      </c>
      <c r="E2201" s="28">
        <v>43213</v>
      </c>
      <c r="F2201" s="28">
        <v>43243</v>
      </c>
      <c r="G2201" s="28">
        <v>43616</v>
      </c>
      <c r="H2201" s="29" t="s">
        <v>560</v>
      </c>
      <c r="I2201" s="29" t="s">
        <v>560</v>
      </c>
      <c r="J2201" s="29" t="s">
        <v>1662</v>
      </c>
      <c r="K2201" s="29" t="s">
        <v>3492</v>
      </c>
      <c r="L2201" s="29" t="s">
        <v>3493</v>
      </c>
      <c r="M2201" s="29" t="s">
        <v>3566</v>
      </c>
      <c r="N2201" s="29" t="s">
        <v>1434</v>
      </c>
      <c r="O2201" s="29" t="s">
        <v>590</v>
      </c>
    </row>
    <row r="2202" spans="1:15">
      <c r="A2202" s="25">
        <v>22606</v>
      </c>
      <c r="B2202" s="34" t="s">
        <v>3634</v>
      </c>
      <c r="C2202" s="31" t="s">
        <v>521</v>
      </c>
      <c r="D2202" s="31" t="s">
        <v>745</v>
      </c>
      <c r="E2202" s="28">
        <v>43236</v>
      </c>
      <c r="F2202" s="28">
        <v>43267</v>
      </c>
      <c r="G2202" s="28">
        <v>43646</v>
      </c>
      <c r="H2202" s="29" t="s">
        <v>560</v>
      </c>
      <c r="I2202" s="29" t="s">
        <v>560</v>
      </c>
      <c r="J2202" s="29" t="s">
        <v>1662</v>
      </c>
      <c r="K2202" s="29" t="s">
        <v>3492</v>
      </c>
      <c r="L2202" s="29" t="s">
        <v>3493</v>
      </c>
      <c r="M2202" s="29" t="s">
        <v>3502</v>
      </c>
      <c r="N2202" s="29" t="s">
        <v>1434</v>
      </c>
      <c r="O2202" s="29" t="s">
        <v>590</v>
      </c>
    </row>
    <row r="2203" spans="1:15">
      <c r="A2203" s="25">
        <v>22648</v>
      </c>
      <c r="B2203" s="34" t="s">
        <v>3635</v>
      </c>
      <c r="C2203" s="31" t="s">
        <v>521</v>
      </c>
      <c r="D2203" s="31" t="s">
        <v>1199</v>
      </c>
      <c r="E2203" s="28">
        <v>43241</v>
      </c>
      <c r="F2203" s="28">
        <v>43272</v>
      </c>
      <c r="G2203" s="28">
        <v>43646</v>
      </c>
      <c r="H2203" s="29" t="s">
        <v>560</v>
      </c>
      <c r="I2203" s="29" t="s">
        <v>560</v>
      </c>
      <c r="J2203" s="29" t="s">
        <v>1662</v>
      </c>
      <c r="K2203" s="29" t="s">
        <v>3492</v>
      </c>
      <c r="L2203" s="29" t="s">
        <v>3493</v>
      </c>
      <c r="M2203" s="29" t="s">
        <v>3506</v>
      </c>
      <c r="N2203" s="29" t="s">
        <v>1434</v>
      </c>
      <c r="O2203" s="29" t="s">
        <v>590</v>
      </c>
    </row>
    <row r="2204" spans="1:15">
      <c r="A2204" s="25">
        <v>22759</v>
      </c>
      <c r="B2204" s="34" t="s">
        <v>3636</v>
      </c>
      <c r="C2204" s="31" t="s">
        <v>521</v>
      </c>
      <c r="D2204" s="31" t="s">
        <v>771</v>
      </c>
      <c r="E2204" s="28">
        <v>43255</v>
      </c>
      <c r="F2204" s="28">
        <v>43285</v>
      </c>
      <c r="G2204" s="28">
        <v>43646</v>
      </c>
      <c r="H2204" s="29" t="s">
        <v>560</v>
      </c>
      <c r="I2204" s="29" t="s">
        <v>560</v>
      </c>
      <c r="J2204" s="29" t="s">
        <v>1662</v>
      </c>
      <c r="K2204" s="29" t="s">
        <v>3492</v>
      </c>
      <c r="L2204" s="29" t="s">
        <v>3493</v>
      </c>
      <c r="M2204" s="29" t="s">
        <v>3637</v>
      </c>
      <c r="N2204" s="29" t="s">
        <v>2080</v>
      </c>
      <c r="O2204" s="29" t="s">
        <v>590</v>
      </c>
    </row>
    <row r="2205" spans="1:15">
      <c r="A2205" s="25">
        <v>22845</v>
      </c>
      <c r="B2205" s="34" t="s">
        <v>3638</v>
      </c>
      <c r="C2205" s="31" t="s">
        <v>521</v>
      </c>
      <c r="D2205" s="31" t="s">
        <v>775</v>
      </c>
      <c r="E2205" s="28">
        <v>43333</v>
      </c>
      <c r="F2205" s="28">
        <v>43364</v>
      </c>
      <c r="G2205" s="28">
        <v>43738</v>
      </c>
      <c r="H2205" s="29" t="s">
        <v>560</v>
      </c>
      <c r="I2205" s="29" t="s">
        <v>560</v>
      </c>
      <c r="J2205" s="29" t="s">
        <v>1662</v>
      </c>
      <c r="K2205" s="29" t="s">
        <v>3492</v>
      </c>
      <c r="L2205" s="29" t="s">
        <v>3493</v>
      </c>
      <c r="M2205" s="29" t="s">
        <v>3521</v>
      </c>
      <c r="N2205" s="29" t="s">
        <v>1434</v>
      </c>
      <c r="O2205" s="29" t="s">
        <v>590</v>
      </c>
    </row>
    <row r="2206" spans="1:15">
      <c r="A2206" s="25">
        <v>22927</v>
      </c>
      <c r="B2206" s="34" t="s">
        <v>3639</v>
      </c>
      <c r="C2206" s="31" t="s">
        <v>521</v>
      </c>
      <c r="D2206" s="31" t="s">
        <v>1962</v>
      </c>
      <c r="E2206" s="28">
        <v>43343</v>
      </c>
      <c r="F2206" s="28">
        <v>43374</v>
      </c>
      <c r="G2206" s="28">
        <v>43738</v>
      </c>
      <c r="H2206" s="29" t="s">
        <v>560</v>
      </c>
      <c r="I2206" s="29" t="s">
        <v>560</v>
      </c>
      <c r="J2206" s="29" t="s">
        <v>1662</v>
      </c>
      <c r="K2206" s="29" t="s">
        <v>3492</v>
      </c>
      <c r="L2206" s="29" t="s">
        <v>3493</v>
      </c>
      <c r="M2206" s="29" t="s">
        <v>3553</v>
      </c>
      <c r="N2206" s="29" t="s">
        <v>2077</v>
      </c>
      <c r="O2206" s="29" t="s">
        <v>590</v>
      </c>
    </row>
    <row r="2207" spans="1:15">
      <c r="A2207" s="25">
        <v>23070</v>
      </c>
      <c r="B2207" s="34" t="s">
        <v>3640</v>
      </c>
      <c r="C2207" s="31" t="s">
        <v>521</v>
      </c>
      <c r="D2207" s="31" t="s">
        <v>1872</v>
      </c>
      <c r="E2207" s="28">
        <v>43361</v>
      </c>
      <c r="F2207" s="28">
        <v>43391</v>
      </c>
      <c r="G2207" s="28">
        <v>43769</v>
      </c>
      <c r="H2207" s="29" t="s">
        <v>560</v>
      </c>
      <c r="I2207" s="29" t="s">
        <v>560</v>
      </c>
      <c r="J2207" s="29" t="s">
        <v>1662</v>
      </c>
      <c r="K2207" s="29" t="s">
        <v>3492</v>
      </c>
      <c r="L2207" s="29" t="s">
        <v>3493</v>
      </c>
      <c r="M2207" s="29" t="s">
        <v>3581</v>
      </c>
      <c r="N2207" s="29" t="s">
        <v>2041</v>
      </c>
      <c r="O2207" s="29" t="s">
        <v>590</v>
      </c>
    </row>
    <row r="2208" spans="1:15">
      <c r="A2208" s="25">
        <v>23076</v>
      </c>
      <c r="B2208" s="34" t="s">
        <v>3617</v>
      </c>
      <c r="C2208" s="31" t="s">
        <v>521</v>
      </c>
      <c r="D2208" s="31" t="s">
        <v>1872</v>
      </c>
      <c r="E2208" s="28">
        <v>43361</v>
      </c>
      <c r="F2208" s="28">
        <v>43391</v>
      </c>
      <c r="G2208" s="28">
        <v>43769</v>
      </c>
      <c r="H2208" s="29" t="s">
        <v>560</v>
      </c>
      <c r="I2208" s="29" t="s">
        <v>560</v>
      </c>
      <c r="J2208" s="29" t="s">
        <v>1662</v>
      </c>
      <c r="K2208" s="29" t="s">
        <v>3492</v>
      </c>
      <c r="L2208" s="29" t="s">
        <v>3493</v>
      </c>
      <c r="M2208" s="29" t="s">
        <v>3641</v>
      </c>
      <c r="N2208" s="29" t="s">
        <v>2080</v>
      </c>
      <c r="O2208" s="29" t="s">
        <v>590</v>
      </c>
    </row>
    <row r="2209" spans="1:15">
      <c r="A2209" s="25">
        <v>23128</v>
      </c>
      <c r="B2209" s="34" t="s">
        <v>3642</v>
      </c>
      <c r="C2209" s="31" t="s">
        <v>521</v>
      </c>
      <c r="D2209" s="31" t="s">
        <v>1523</v>
      </c>
      <c r="E2209" s="28">
        <v>43369</v>
      </c>
      <c r="F2209" s="28">
        <v>43399</v>
      </c>
      <c r="G2209" s="28">
        <v>43769</v>
      </c>
      <c r="H2209" s="29" t="s">
        <v>560</v>
      </c>
      <c r="I2209" s="29" t="s">
        <v>560</v>
      </c>
      <c r="J2209" s="29" t="s">
        <v>1662</v>
      </c>
      <c r="K2209" s="29" t="s">
        <v>3492</v>
      </c>
      <c r="L2209" s="29" t="s">
        <v>3493</v>
      </c>
      <c r="M2209" s="29" t="s">
        <v>3564</v>
      </c>
      <c r="N2209" s="29" t="s">
        <v>2041</v>
      </c>
      <c r="O2209" s="29" t="s">
        <v>590</v>
      </c>
    </row>
    <row r="2210" spans="1:15">
      <c r="A2210" s="25">
        <v>23244</v>
      </c>
      <c r="B2210" s="34" t="s">
        <v>3643</v>
      </c>
      <c r="C2210" s="31" t="s">
        <v>521</v>
      </c>
      <c r="D2210" s="31" t="s">
        <v>1582</v>
      </c>
      <c r="E2210" s="28">
        <v>43421</v>
      </c>
      <c r="F2210" s="28">
        <v>43451</v>
      </c>
      <c r="G2210" s="28">
        <v>43830</v>
      </c>
      <c r="H2210" s="29" t="s">
        <v>560</v>
      </c>
      <c r="I2210" s="29" t="s">
        <v>560</v>
      </c>
      <c r="J2210" s="29" t="s">
        <v>1662</v>
      </c>
      <c r="K2210" s="29" t="s">
        <v>3492</v>
      </c>
      <c r="L2210" s="29" t="s">
        <v>3493</v>
      </c>
      <c r="M2210" s="29" t="s">
        <v>3519</v>
      </c>
      <c r="N2210" s="29" t="s">
        <v>1434</v>
      </c>
      <c r="O2210" s="29" t="s">
        <v>590</v>
      </c>
    </row>
    <row r="2211" spans="1:15">
      <c r="A2211" s="25">
        <v>23353</v>
      </c>
      <c r="B2211" s="34" t="s">
        <v>3644</v>
      </c>
      <c r="C2211" s="31" t="s">
        <v>521</v>
      </c>
      <c r="D2211" s="31" t="s">
        <v>1527</v>
      </c>
      <c r="E2211" s="28">
        <v>43427</v>
      </c>
      <c r="F2211" s="28">
        <v>43457</v>
      </c>
      <c r="G2211" s="28">
        <v>43830</v>
      </c>
      <c r="H2211" s="29" t="s">
        <v>560</v>
      </c>
      <c r="I2211" s="29" t="s">
        <v>560</v>
      </c>
      <c r="J2211" s="29" t="s">
        <v>1662</v>
      </c>
      <c r="K2211" s="29" t="s">
        <v>3492</v>
      </c>
      <c r="L2211" s="29" t="s">
        <v>3493</v>
      </c>
      <c r="M2211" s="29" t="s">
        <v>3229</v>
      </c>
      <c r="N2211" s="29" t="s">
        <v>1586</v>
      </c>
      <c r="O2211" s="29" t="s">
        <v>590</v>
      </c>
    </row>
    <row r="2212" spans="1:15">
      <c r="A2212" s="25">
        <v>23471</v>
      </c>
      <c r="B2212" s="34" t="s">
        <v>3645</v>
      </c>
      <c r="C2212" s="31" t="s">
        <v>521</v>
      </c>
      <c r="D2212" s="31" t="s">
        <v>882</v>
      </c>
      <c r="E2212" s="28">
        <v>43434</v>
      </c>
      <c r="F2212" s="28">
        <v>43464</v>
      </c>
      <c r="G2212" s="28">
        <v>43830</v>
      </c>
      <c r="H2212" s="29" t="s">
        <v>560</v>
      </c>
      <c r="I2212" s="29" t="s">
        <v>560</v>
      </c>
      <c r="J2212" s="29" t="s">
        <v>1662</v>
      </c>
      <c r="K2212" s="29" t="s">
        <v>3492</v>
      </c>
      <c r="L2212" s="29" t="s">
        <v>3493</v>
      </c>
      <c r="M2212" s="29" t="s">
        <v>2084</v>
      </c>
      <c r="N2212" s="29" t="s">
        <v>1586</v>
      </c>
      <c r="O2212" s="29" t="s">
        <v>590</v>
      </c>
    </row>
    <row r="2213" spans="1:15">
      <c r="A2213" s="25">
        <v>23524</v>
      </c>
      <c r="B2213" s="34" t="s">
        <v>3646</v>
      </c>
      <c r="C2213" s="31" t="s">
        <v>521</v>
      </c>
      <c r="D2213" s="31" t="s">
        <v>1588</v>
      </c>
      <c r="E2213" s="28">
        <v>43441</v>
      </c>
      <c r="F2213" s="28">
        <v>43472</v>
      </c>
      <c r="G2213" s="28">
        <v>43830</v>
      </c>
      <c r="H2213" s="29" t="s">
        <v>560</v>
      </c>
      <c r="I2213" s="29" t="s">
        <v>560</v>
      </c>
      <c r="J2213" s="29" t="s">
        <v>1662</v>
      </c>
      <c r="K2213" s="29" t="s">
        <v>3492</v>
      </c>
      <c r="L2213" s="29" t="s">
        <v>3493</v>
      </c>
      <c r="M2213" s="29" t="s">
        <v>1593</v>
      </c>
      <c r="N2213" s="29" t="s">
        <v>1586</v>
      </c>
      <c r="O2213" s="29" t="s">
        <v>590</v>
      </c>
    </row>
    <row r="2214" spans="1:15">
      <c r="A2214" s="25" t="s">
        <v>3647</v>
      </c>
      <c r="B2214" s="34" t="s">
        <v>3648</v>
      </c>
      <c r="C2214" s="31" t="s">
        <v>521</v>
      </c>
      <c r="D2214" s="31" t="s">
        <v>788</v>
      </c>
      <c r="E2214" s="28">
        <v>40847</v>
      </c>
      <c r="F2214" s="28" t="s">
        <v>35</v>
      </c>
      <c r="G2214" s="28" t="s">
        <v>35</v>
      </c>
      <c r="H2214" s="29" t="s">
        <v>560</v>
      </c>
      <c r="I2214" s="29" t="s">
        <v>560</v>
      </c>
      <c r="J2214" s="29" t="s">
        <v>1662</v>
      </c>
      <c r="K2214" s="29" t="s">
        <v>3492</v>
      </c>
      <c r="L2214" s="29" t="s">
        <v>3493</v>
      </c>
      <c r="M2214" s="29" t="s">
        <v>3494</v>
      </c>
      <c r="N2214" s="29" t="s">
        <v>2031</v>
      </c>
      <c r="O2214" s="29" t="s">
        <v>590</v>
      </c>
    </row>
    <row r="2215" spans="1:15">
      <c r="A2215" s="25">
        <v>23585</v>
      </c>
      <c r="B2215" s="34" t="s">
        <v>3649</v>
      </c>
      <c r="C2215" s="31" t="s">
        <v>521</v>
      </c>
      <c r="D2215" s="31" t="s">
        <v>884</v>
      </c>
      <c r="E2215" s="28">
        <v>43452</v>
      </c>
      <c r="F2215" s="28">
        <v>43483</v>
      </c>
      <c r="G2215" s="28">
        <v>43861</v>
      </c>
      <c r="H2215" s="29" t="s">
        <v>560</v>
      </c>
      <c r="I2215" s="29" t="s">
        <v>560</v>
      </c>
      <c r="J2215" s="29" t="s">
        <v>1662</v>
      </c>
      <c r="K2215" s="29" t="s">
        <v>3492</v>
      </c>
      <c r="L2215" s="29" t="s">
        <v>3493</v>
      </c>
      <c r="M2215" s="29" t="s">
        <v>1593</v>
      </c>
      <c r="N2215" s="29" t="s">
        <v>1586</v>
      </c>
      <c r="O2215" s="29" t="s">
        <v>590</v>
      </c>
    </row>
    <row r="2216" spans="1:15">
      <c r="A2216" s="25" t="s">
        <v>3650</v>
      </c>
      <c r="B2216" s="34" t="s">
        <v>3651</v>
      </c>
      <c r="C2216" s="31" t="s">
        <v>521</v>
      </c>
      <c r="D2216" s="31" t="s">
        <v>892</v>
      </c>
      <c r="E2216" s="28">
        <v>43467</v>
      </c>
      <c r="F2216" s="28">
        <v>43467</v>
      </c>
      <c r="G2216" s="28">
        <v>43497</v>
      </c>
      <c r="H2216" s="27" t="s">
        <v>560</v>
      </c>
      <c r="I2216" s="27" t="s">
        <v>560</v>
      </c>
      <c r="J2216" s="27" t="s">
        <v>1662</v>
      </c>
      <c r="K2216" s="27" t="s">
        <v>3492</v>
      </c>
      <c r="L2216" s="27" t="s">
        <v>3493</v>
      </c>
      <c r="M2216" s="31" t="s">
        <v>1593</v>
      </c>
      <c r="N2216" s="31" t="s">
        <v>1586</v>
      </c>
      <c r="O2216" s="31" t="s">
        <v>590</v>
      </c>
    </row>
    <row r="2217" spans="1:15">
      <c r="A2217" s="25">
        <v>280</v>
      </c>
      <c r="B2217" s="26" t="s">
        <v>3652</v>
      </c>
      <c r="C2217" s="27" t="s">
        <v>521</v>
      </c>
      <c r="D2217" s="27" t="s">
        <v>812</v>
      </c>
      <c r="E2217" s="28">
        <v>37718</v>
      </c>
      <c r="F2217" s="28" t="s">
        <v>35</v>
      </c>
      <c r="G2217" s="28" t="s">
        <v>35</v>
      </c>
      <c r="H2217" s="27" t="s">
        <v>560</v>
      </c>
      <c r="I2217" s="31" t="s">
        <v>560</v>
      </c>
      <c r="J2217" s="29" t="s">
        <v>1662</v>
      </c>
      <c r="K2217" s="29" t="s">
        <v>3653</v>
      </c>
      <c r="L2217" s="29" t="s">
        <v>3654</v>
      </c>
      <c r="M2217" s="29" t="s">
        <v>1550</v>
      </c>
      <c r="N2217" s="29" t="s">
        <v>1045</v>
      </c>
      <c r="O2217" s="29" t="s">
        <v>594</v>
      </c>
    </row>
    <row r="2218" spans="1:15">
      <c r="A2218" s="25">
        <v>11901</v>
      </c>
      <c r="B2218" s="26" t="s">
        <v>3655</v>
      </c>
      <c r="C2218" s="27" t="s">
        <v>521</v>
      </c>
      <c r="D2218" s="27" t="s">
        <v>701</v>
      </c>
      <c r="E2218" s="28">
        <v>40735</v>
      </c>
      <c r="F2218" s="28" t="s">
        <v>35</v>
      </c>
      <c r="G2218" s="28" t="s">
        <v>35</v>
      </c>
      <c r="H2218" s="31" t="s">
        <v>560</v>
      </c>
      <c r="I2218" s="31" t="s">
        <v>560</v>
      </c>
      <c r="J2218" s="29" t="s">
        <v>1662</v>
      </c>
      <c r="K2218" s="29" t="s">
        <v>3653</v>
      </c>
      <c r="L2218" s="29" t="s">
        <v>3654</v>
      </c>
      <c r="M2218" s="29" t="s">
        <v>2025</v>
      </c>
      <c r="N2218" s="29" t="s">
        <v>2026</v>
      </c>
      <c r="O2218" s="29" t="s">
        <v>594</v>
      </c>
    </row>
    <row r="2219" spans="1:15">
      <c r="A2219" s="25">
        <v>20689</v>
      </c>
      <c r="B2219" s="26" t="s">
        <v>313</v>
      </c>
      <c r="C2219" s="27" t="s">
        <v>521</v>
      </c>
      <c r="D2219" s="27" t="s">
        <v>673</v>
      </c>
      <c r="E2219" s="28">
        <v>42639</v>
      </c>
      <c r="F2219" s="28">
        <v>43132</v>
      </c>
      <c r="G2219" s="28">
        <v>43496</v>
      </c>
      <c r="H2219" s="25" t="s">
        <v>560</v>
      </c>
      <c r="I2219" s="25" t="s">
        <v>560</v>
      </c>
      <c r="J2219" s="29" t="s">
        <v>1662</v>
      </c>
      <c r="K2219" s="29" t="s">
        <v>3653</v>
      </c>
      <c r="L2219" s="29" t="s">
        <v>3654</v>
      </c>
      <c r="M2219" s="29" t="s">
        <v>2061</v>
      </c>
      <c r="N2219" s="29" t="s">
        <v>2041</v>
      </c>
      <c r="O2219" s="29" t="s">
        <v>594</v>
      </c>
    </row>
    <row r="2220" spans="1:15">
      <c r="A2220" s="25">
        <v>21381</v>
      </c>
      <c r="B2220" s="34" t="s">
        <v>3656</v>
      </c>
      <c r="C2220" s="31" t="s">
        <v>521</v>
      </c>
      <c r="D2220" s="31" t="s">
        <v>2283</v>
      </c>
      <c r="E2220" s="28">
        <v>43018</v>
      </c>
      <c r="F2220" s="28">
        <v>43405</v>
      </c>
      <c r="G2220" s="28">
        <v>43769</v>
      </c>
      <c r="H2220" s="29" t="s">
        <v>560</v>
      </c>
      <c r="I2220" s="29" t="s">
        <v>560</v>
      </c>
      <c r="J2220" s="29" t="s">
        <v>1662</v>
      </c>
      <c r="K2220" s="29" t="s">
        <v>3653</v>
      </c>
      <c r="L2220" s="29" t="s">
        <v>3654</v>
      </c>
      <c r="M2220" s="29" t="s">
        <v>2280</v>
      </c>
      <c r="N2220" s="29" t="s">
        <v>1434</v>
      </c>
      <c r="O2220" s="29" t="s">
        <v>594</v>
      </c>
    </row>
    <row r="2221" spans="1:15">
      <c r="A2221" s="25">
        <v>21394</v>
      </c>
      <c r="B2221" s="34" t="s">
        <v>3657</v>
      </c>
      <c r="C2221" s="31" t="s">
        <v>521</v>
      </c>
      <c r="D2221" s="31" t="s">
        <v>2283</v>
      </c>
      <c r="E2221" s="28">
        <v>43018</v>
      </c>
      <c r="F2221" s="28">
        <v>43405</v>
      </c>
      <c r="G2221" s="28">
        <v>43769</v>
      </c>
      <c r="H2221" s="29" t="s">
        <v>560</v>
      </c>
      <c r="I2221" s="29" t="s">
        <v>560</v>
      </c>
      <c r="J2221" s="29" t="s">
        <v>1662</v>
      </c>
      <c r="K2221" s="29" t="s">
        <v>3653</v>
      </c>
      <c r="L2221" s="29" t="s">
        <v>3654</v>
      </c>
      <c r="M2221" s="29" t="s">
        <v>2293</v>
      </c>
      <c r="N2221" s="29" t="s">
        <v>1434</v>
      </c>
      <c r="O2221" s="29" t="s">
        <v>594</v>
      </c>
    </row>
    <row r="2222" spans="1:15">
      <c r="A2222" s="25">
        <v>21569</v>
      </c>
      <c r="B2222" s="34" t="s">
        <v>3658</v>
      </c>
      <c r="C2222" s="31" t="s">
        <v>521</v>
      </c>
      <c r="D2222" s="31" t="s">
        <v>1760</v>
      </c>
      <c r="E2222" s="28">
        <v>43045</v>
      </c>
      <c r="F2222" s="28">
        <v>43435</v>
      </c>
      <c r="G2222" s="28">
        <v>43799</v>
      </c>
      <c r="H2222" s="29" t="s">
        <v>560</v>
      </c>
      <c r="I2222" s="29" t="s">
        <v>560</v>
      </c>
      <c r="J2222" s="29" t="s">
        <v>1662</v>
      </c>
      <c r="K2222" s="29" t="s">
        <v>3653</v>
      </c>
      <c r="L2222" s="29" t="s">
        <v>3654</v>
      </c>
      <c r="M2222" s="29" t="s">
        <v>2222</v>
      </c>
      <c r="N2222" s="29" t="s">
        <v>2023</v>
      </c>
      <c r="O2222" s="29" t="s">
        <v>594</v>
      </c>
    </row>
    <row r="2223" spans="1:15">
      <c r="A2223" s="25">
        <v>22203</v>
      </c>
      <c r="B2223" s="34" t="s">
        <v>3659</v>
      </c>
      <c r="C2223" s="31" t="s">
        <v>521</v>
      </c>
      <c r="D2223" s="31" t="s">
        <v>1201</v>
      </c>
      <c r="E2223" s="28">
        <v>43158</v>
      </c>
      <c r="F2223" s="28">
        <v>43186</v>
      </c>
      <c r="G2223" s="28">
        <v>43555</v>
      </c>
      <c r="H2223" s="29" t="s">
        <v>560</v>
      </c>
      <c r="I2223" s="29" t="s">
        <v>560</v>
      </c>
      <c r="J2223" s="29" t="s">
        <v>1662</v>
      </c>
      <c r="K2223" s="29" t="s">
        <v>3653</v>
      </c>
      <c r="L2223" s="29" t="s">
        <v>3654</v>
      </c>
      <c r="M2223" s="29" t="s">
        <v>2052</v>
      </c>
      <c r="N2223" s="29" t="s">
        <v>2041</v>
      </c>
      <c r="O2223" s="29" t="s">
        <v>594</v>
      </c>
    </row>
    <row r="2224" spans="1:15">
      <c r="A2224" s="25">
        <v>22405</v>
      </c>
      <c r="B2224" s="34" t="s">
        <v>2290</v>
      </c>
      <c r="C2224" s="31" t="s">
        <v>521</v>
      </c>
      <c r="D2224" s="31" t="s">
        <v>805</v>
      </c>
      <c r="E2224" s="28">
        <v>43213</v>
      </c>
      <c r="F2224" s="28">
        <v>43243</v>
      </c>
      <c r="G2224" s="28">
        <v>43616</v>
      </c>
      <c r="H2224" s="29" t="s">
        <v>560</v>
      </c>
      <c r="I2224" s="29" t="s">
        <v>560</v>
      </c>
      <c r="J2224" s="29" t="s">
        <v>1662</v>
      </c>
      <c r="K2224" s="29" t="s">
        <v>3653</v>
      </c>
      <c r="L2224" s="29" t="s">
        <v>3654</v>
      </c>
      <c r="M2224" s="29" t="s">
        <v>2065</v>
      </c>
      <c r="N2224" s="29" t="s">
        <v>2041</v>
      </c>
      <c r="O2224" s="29" t="s">
        <v>594</v>
      </c>
    </row>
    <row r="2225" spans="1:15">
      <c r="A2225" s="25">
        <v>22889</v>
      </c>
      <c r="B2225" s="34" t="s">
        <v>3660</v>
      </c>
      <c r="C2225" s="31" t="s">
        <v>521</v>
      </c>
      <c r="D2225" s="31" t="s">
        <v>775</v>
      </c>
      <c r="E2225" s="28">
        <v>43333</v>
      </c>
      <c r="F2225" s="28">
        <v>43364</v>
      </c>
      <c r="G2225" s="28">
        <v>43738</v>
      </c>
      <c r="H2225" s="29" t="s">
        <v>560</v>
      </c>
      <c r="I2225" s="29" t="s">
        <v>560</v>
      </c>
      <c r="J2225" s="29" t="s">
        <v>1662</v>
      </c>
      <c r="K2225" s="29" t="s">
        <v>3653</v>
      </c>
      <c r="L2225" s="29" t="s">
        <v>3654</v>
      </c>
      <c r="M2225" s="29" t="s">
        <v>2238</v>
      </c>
      <c r="N2225" s="29" t="s">
        <v>1434</v>
      </c>
      <c r="O2225" s="29" t="s">
        <v>594</v>
      </c>
    </row>
    <row r="2226" spans="1:15">
      <c r="A2226" s="25">
        <v>22991</v>
      </c>
      <c r="B2226" s="34" t="s">
        <v>218</v>
      </c>
      <c r="C2226" s="31" t="s">
        <v>521</v>
      </c>
      <c r="D2226" s="31" t="s">
        <v>1872</v>
      </c>
      <c r="E2226" s="28">
        <v>43361</v>
      </c>
      <c r="F2226" s="28">
        <v>43391</v>
      </c>
      <c r="G2226" s="28">
        <v>43769</v>
      </c>
      <c r="H2226" s="29" t="s">
        <v>560</v>
      </c>
      <c r="I2226" s="29" t="s">
        <v>560</v>
      </c>
      <c r="J2226" s="29" t="s">
        <v>1662</v>
      </c>
      <c r="K2226" s="29" t="s">
        <v>3653</v>
      </c>
      <c r="L2226" s="29" t="s">
        <v>3654</v>
      </c>
      <c r="M2226" s="29" t="s">
        <v>2057</v>
      </c>
      <c r="N2226" s="29" t="s">
        <v>2041</v>
      </c>
      <c r="O2226" s="29" t="s">
        <v>594</v>
      </c>
    </row>
    <row r="2227" spans="1:15">
      <c r="A2227" s="25">
        <v>23245</v>
      </c>
      <c r="B2227" s="34" t="s">
        <v>3661</v>
      </c>
      <c r="C2227" s="31" t="s">
        <v>521</v>
      </c>
      <c r="D2227" s="31" t="s">
        <v>1582</v>
      </c>
      <c r="E2227" s="28">
        <v>43421</v>
      </c>
      <c r="F2227" s="28">
        <v>43451</v>
      </c>
      <c r="G2227" s="28">
        <v>43830</v>
      </c>
      <c r="H2227" s="29" t="s">
        <v>560</v>
      </c>
      <c r="I2227" s="29" t="s">
        <v>560</v>
      </c>
      <c r="J2227" s="29" t="s">
        <v>1662</v>
      </c>
      <c r="K2227" s="29" t="s">
        <v>3653</v>
      </c>
      <c r="L2227" s="29" t="s">
        <v>3654</v>
      </c>
      <c r="M2227" s="29" t="s">
        <v>2079</v>
      </c>
      <c r="N2227" s="29" t="s">
        <v>2080</v>
      </c>
      <c r="O2227" s="29" t="s">
        <v>594</v>
      </c>
    </row>
    <row r="2228" spans="1:15">
      <c r="A2228" s="25">
        <v>23400</v>
      </c>
      <c r="B2228" s="34" t="s">
        <v>3662</v>
      </c>
      <c r="C2228" s="31" t="s">
        <v>521</v>
      </c>
      <c r="D2228" s="31" t="s">
        <v>882</v>
      </c>
      <c r="E2228" s="28">
        <v>43434</v>
      </c>
      <c r="F2228" s="28">
        <v>43464</v>
      </c>
      <c r="G2228" s="28">
        <v>43830</v>
      </c>
      <c r="H2228" s="29" t="s">
        <v>560</v>
      </c>
      <c r="I2228" s="29" t="s">
        <v>560</v>
      </c>
      <c r="J2228" s="29" t="s">
        <v>1662</v>
      </c>
      <c r="K2228" s="29" t="s">
        <v>3653</v>
      </c>
      <c r="L2228" s="29" t="s">
        <v>3654</v>
      </c>
      <c r="M2228" s="29" t="s">
        <v>2579</v>
      </c>
      <c r="N2228" s="29" t="s">
        <v>1586</v>
      </c>
      <c r="O2228" s="29" t="s">
        <v>594</v>
      </c>
    </row>
    <row r="2229" spans="1:15">
      <c r="A2229" s="25">
        <v>23587</v>
      </c>
      <c r="B2229" s="34" t="s">
        <v>3663</v>
      </c>
      <c r="C2229" s="31" t="s">
        <v>521</v>
      </c>
      <c r="D2229" s="31" t="s">
        <v>884</v>
      </c>
      <c r="E2229" s="28">
        <v>43452</v>
      </c>
      <c r="F2229" s="28">
        <v>43483</v>
      </c>
      <c r="G2229" s="28">
        <v>43861</v>
      </c>
      <c r="H2229" s="29" t="s">
        <v>560</v>
      </c>
      <c r="I2229" s="29" t="s">
        <v>560</v>
      </c>
      <c r="J2229" s="29" t="s">
        <v>1662</v>
      </c>
      <c r="K2229" s="29" t="s">
        <v>3664</v>
      </c>
      <c r="L2229" s="29" t="s">
        <v>3654</v>
      </c>
      <c r="M2229" s="29" t="s">
        <v>2189</v>
      </c>
      <c r="N2229" s="29" t="s">
        <v>1586</v>
      </c>
      <c r="O2229" s="29" t="s">
        <v>594</v>
      </c>
    </row>
    <row r="2230" spans="1:15">
      <c r="A2230" s="25">
        <v>213</v>
      </c>
      <c r="B2230" s="26" t="s">
        <v>3665</v>
      </c>
      <c r="C2230" s="27" t="s">
        <v>521</v>
      </c>
      <c r="D2230" s="27" t="s">
        <v>679</v>
      </c>
      <c r="E2230" s="28">
        <v>37697</v>
      </c>
      <c r="F2230" s="28" t="s">
        <v>35</v>
      </c>
      <c r="G2230" s="28" t="s">
        <v>35</v>
      </c>
      <c r="H2230" s="27" t="s">
        <v>560</v>
      </c>
      <c r="I2230" s="27" t="s">
        <v>560</v>
      </c>
      <c r="J2230" s="29" t="s">
        <v>1662</v>
      </c>
      <c r="K2230" s="29" t="s">
        <v>3653</v>
      </c>
      <c r="L2230" s="29" t="s">
        <v>3654</v>
      </c>
      <c r="M2230" s="29" t="s">
        <v>1550</v>
      </c>
      <c r="N2230" s="29" t="s">
        <v>1045</v>
      </c>
      <c r="O2230" s="29" t="s">
        <v>590</v>
      </c>
    </row>
    <row r="2231" spans="1:15">
      <c r="A2231" s="25">
        <v>5495</v>
      </c>
      <c r="B2231" s="26" t="s">
        <v>3666</v>
      </c>
      <c r="C2231" s="27" t="s">
        <v>521</v>
      </c>
      <c r="D2231" s="27" t="s">
        <v>792</v>
      </c>
      <c r="E2231" s="28">
        <v>39022</v>
      </c>
      <c r="F2231" s="28" t="s">
        <v>35</v>
      </c>
      <c r="G2231" s="28" t="s">
        <v>35</v>
      </c>
      <c r="H2231" s="29" t="s">
        <v>560</v>
      </c>
      <c r="I2231" s="31" t="s">
        <v>560</v>
      </c>
      <c r="J2231" s="29" t="s">
        <v>1662</v>
      </c>
      <c r="K2231" s="29" t="s">
        <v>3653</v>
      </c>
      <c r="L2231" s="29" t="s">
        <v>3654</v>
      </c>
      <c r="M2231" s="29" t="s">
        <v>2025</v>
      </c>
      <c r="N2231" s="29" t="s">
        <v>2026</v>
      </c>
      <c r="O2231" s="29" t="s">
        <v>590</v>
      </c>
    </row>
    <row r="2232" spans="1:15">
      <c r="A2232" s="25">
        <v>21245</v>
      </c>
      <c r="B2232" s="26" t="s">
        <v>3667</v>
      </c>
      <c r="C2232" s="27" t="s">
        <v>521</v>
      </c>
      <c r="D2232" s="27" t="s">
        <v>2670</v>
      </c>
      <c r="E2232" s="28">
        <v>42893</v>
      </c>
      <c r="F2232" s="28">
        <v>43374</v>
      </c>
      <c r="G2232" s="28">
        <v>43738</v>
      </c>
      <c r="H2232" s="29" t="s">
        <v>560</v>
      </c>
      <c r="I2232" s="29" t="s">
        <v>560</v>
      </c>
      <c r="J2232" s="29" t="s">
        <v>1662</v>
      </c>
      <c r="K2232" s="29" t="s">
        <v>3653</v>
      </c>
      <c r="L2232" s="29" t="s">
        <v>3654</v>
      </c>
      <c r="M2232" s="29" t="s">
        <v>2227</v>
      </c>
      <c r="N2232" s="29" t="s">
        <v>1434</v>
      </c>
      <c r="O2232" s="29" t="s">
        <v>590</v>
      </c>
    </row>
    <row r="2233" spans="1:15">
      <c r="A2233" s="25">
        <v>21399</v>
      </c>
      <c r="B2233" s="34" t="s">
        <v>3668</v>
      </c>
      <c r="C2233" s="31" t="s">
        <v>521</v>
      </c>
      <c r="D2233" s="31" t="s">
        <v>2283</v>
      </c>
      <c r="E2233" s="28">
        <v>43018</v>
      </c>
      <c r="F2233" s="28">
        <v>43405</v>
      </c>
      <c r="G2233" s="28">
        <v>43769</v>
      </c>
      <c r="H2233" s="29" t="s">
        <v>560</v>
      </c>
      <c r="I2233" s="29" t="s">
        <v>560</v>
      </c>
      <c r="J2233" s="29" t="s">
        <v>1662</v>
      </c>
      <c r="K2233" s="29" t="s">
        <v>3653</v>
      </c>
      <c r="L2233" s="29" t="s">
        <v>3654</v>
      </c>
      <c r="M2233" s="29" t="s">
        <v>2293</v>
      </c>
      <c r="N2233" s="29" t="s">
        <v>1434</v>
      </c>
      <c r="O2233" s="29" t="s">
        <v>590</v>
      </c>
    </row>
    <row r="2234" spans="1:15">
      <c r="A2234" s="25">
        <v>21426</v>
      </c>
      <c r="B2234" s="34" t="s">
        <v>286</v>
      </c>
      <c r="C2234" s="31" t="s">
        <v>521</v>
      </c>
      <c r="D2234" s="31" t="s">
        <v>2283</v>
      </c>
      <c r="E2234" s="28">
        <v>43018</v>
      </c>
      <c r="F2234" s="28">
        <v>43405</v>
      </c>
      <c r="G2234" s="28">
        <v>43769</v>
      </c>
      <c r="H2234" s="29" t="s">
        <v>560</v>
      </c>
      <c r="I2234" s="29" t="s">
        <v>560</v>
      </c>
      <c r="J2234" s="29" t="s">
        <v>1662</v>
      </c>
      <c r="K2234" s="29" t="s">
        <v>3653</v>
      </c>
      <c r="L2234" s="29" t="s">
        <v>3654</v>
      </c>
      <c r="M2234" s="29" t="s">
        <v>2057</v>
      </c>
      <c r="N2234" s="29" t="s">
        <v>2041</v>
      </c>
      <c r="O2234" s="29" t="s">
        <v>590</v>
      </c>
    </row>
    <row r="2235" spans="1:15">
      <c r="A2235" s="25">
        <v>22150</v>
      </c>
      <c r="B2235" s="34" t="s">
        <v>3669</v>
      </c>
      <c r="C2235" s="31" t="s">
        <v>521</v>
      </c>
      <c r="D2235" s="31" t="s">
        <v>758</v>
      </c>
      <c r="E2235" s="28">
        <v>43153</v>
      </c>
      <c r="F2235" s="28">
        <v>43181</v>
      </c>
      <c r="G2235" s="28">
        <v>43555</v>
      </c>
      <c r="H2235" s="29" t="s">
        <v>560</v>
      </c>
      <c r="I2235" s="29" t="s">
        <v>560</v>
      </c>
      <c r="J2235" s="29" t="s">
        <v>1662</v>
      </c>
      <c r="K2235" s="29" t="s">
        <v>3653</v>
      </c>
      <c r="L2235" s="29" t="s">
        <v>3654</v>
      </c>
      <c r="M2235" s="29" t="s">
        <v>2238</v>
      </c>
      <c r="N2235" s="29" t="s">
        <v>1434</v>
      </c>
      <c r="O2235" s="29" t="s">
        <v>590</v>
      </c>
    </row>
    <row r="2236" spans="1:15">
      <c r="A2236" s="25">
        <v>22328</v>
      </c>
      <c r="B2236" s="34" t="s">
        <v>244</v>
      </c>
      <c r="C2236" s="31" t="s">
        <v>521</v>
      </c>
      <c r="D2236" s="31" t="s">
        <v>694</v>
      </c>
      <c r="E2236" s="28">
        <v>43195</v>
      </c>
      <c r="F2236" s="28">
        <v>43225</v>
      </c>
      <c r="G2236" s="28">
        <v>43585</v>
      </c>
      <c r="H2236" s="29" t="s">
        <v>560</v>
      </c>
      <c r="I2236" s="29" t="s">
        <v>560</v>
      </c>
      <c r="J2236" s="29" t="s">
        <v>1662</v>
      </c>
      <c r="K2236" s="29" t="s">
        <v>3653</v>
      </c>
      <c r="L2236" s="29" t="s">
        <v>3654</v>
      </c>
      <c r="M2236" s="29" t="s">
        <v>2061</v>
      </c>
      <c r="N2236" s="29" t="s">
        <v>2041</v>
      </c>
      <c r="O2236" s="29" t="s">
        <v>590</v>
      </c>
    </row>
    <row r="2237" spans="1:15">
      <c r="A2237" s="25">
        <v>22406</v>
      </c>
      <c r="B2237" s="34" t="s">
        <v>3670</v>
      </c>
      <c r="C2237" s="31" t="s">
        <v>521</v>
      </c>
      <c r="D2237" s="31" t="s">
        <v>805</v>
      </c>
      <c r="E2237" s="28">
        <v>43213</v>
      </c>
      <c r="F2237" s="28">
        <v>43243</v>
      </c>
      <c r="G2237" s="28">
        <v>43616</v>
      </c>
      <c r="H2237" s="29" t="s">
        <v>560</v>
      </c>
      <c r="I2237" s="29" t="s">
        <v>560</v>
      </c>
      <c r="J2237" s="29" t="s">
        <v>1662</v>
      </c>
      <c r="K2237" s="29" t="s">
        <v>3653</v>
      </c>
      <c r="L2237" s="29" t="s">
        <v>3654</v>
      </c>
      <c r="M2237" s="29" t="s">
        <v>2280</v>
      </c>
      <c r="N2237" s="29" t="s">
        <v>1434</v>
      </c>
      <c r="O2237" s="29" t="s">
        <v>590</v>
      </c>
    </row>
    <row r="2238" spans="1:15">
      <c r="A2238" s="25">
        <v>22562</v>
      </c>
      <c r="B2238" s="34" t="s">
        <v>3671</v>
      </c>
      <c r="C2238" s="31" t="s">
        <v>521</v>
      </c>
      <c r="D2238" s="31" t="s">
        <v>773</v>
      </c>
      <c r="E2238" s="28">
        <v>43224</v>
      </c>
      <c r="F2238" s="28">
        <v>43255</v>
      </c>
      <c r="G2238" s="28">
        <v>43616</v>
      </c>
      <c r="H2238" s="29" t="s">
        <v>560</v>
      </c>
      <c r="I2238" s="29" t="s">
        <v>560</v>
      </c>
      <c r="J2238" s="29" t="s">
        <v>1662</v>
      </c>
      <c r="K2238" s="29" t="s">
        <v>3653</v>
      </c>
      <c r="L2238" s="29" t="s">
        <v>3654</v>
      </c>
      <c r="M2238" s="29" t="s">
        <v>3263</v>
      </c>
      <c r="N2238" s="29" t="s">
        <v>1434</v>
      </c>
      <c r="O2238" s="29" t="s">
        <v>590</v>
      </c>
    </row>
    <row r="2239" spans="1:15">
      <c r="A2239" s="25">
        <v>23169</v>
      </c>
      <c r="B2239" s="34" t="s">
        <v>3672</v>
      </c>
      <c r="C2239" s="31" t="s">
        <v>521</v>
      </c>
      <c r="D2239" s="31" t="s">
        <v>1523</v>
      </c>
      <c r="E2239" s="28">
        <v>43369</v>
      </c>
      <c r="F2239" s="28">
        <v>43399</v>
      </c>
      <c r="G2239" s="28">
        <v>43769</v>
      </c>
      <c r="H2239" s="29" t="s">
        <v>560</v>
      </c>
      <c r="I2239" s="29" t="s">
        <v>560</v>
      </c>
      <c r="J2239" s="29" t="s">
        <v>1662</v>
      </c>
      <c r="K2239" s="29" t="s">
        <v>3653</v>
      </c>
      <c r="L2239" s="29" t="s">
        <v>3654</v>
      </c>
      <c r="M2239" s="29" t="s">
        <v>2052</v>
      </c>
      <c r="N2239" s="29" t="s">
        <v>2041</v>
      </c>
      <c r="O2239" s="29" t="s">
        <v>590</v>
      </c>
    </row>
    <row r="2240" spans="1:15">
      <c r="A2240" s="25">
        <v>23246</v>
      </c>
      <c r="B2240" s="34" t="s">
        <v>3673</v>
      </c>
      <c r="C2240" s="31" t="s">
        <v>521</v>
      </c>
      <c r="D2240" s="31" t="s">
        <v>1582</v>
      </c>
      <c r="E2240" s="28">
        <v>43421</v>
      </c>
      <c r="F2240" s="28">
        <v>43451</v>
      </c>
      <c r="G2240" s="28">
        <v>43830</v>
      </c>
      <c r="H2240" s="29" t="s">
        <v>560</v>
      </c>
      <c r="I2240" s="29" t="s">
        <v>560</v>
      </c>
      <c r="J2240" s="29" t="s">
        <v>1662</v>
      </c>
      <c r="K2240" s="29" t="s">
        <v>3653</v>
      </c>
      <c r="L2240" s="29" t="s">
        <v>3654</v>
      </c>
      <c r="M2240" s="29" t="s">
        <v>3674</v>
      </c>
      <c r="N2240" s="29" t="s">
        <v>2077</v>
      </c>
      <c r="O2240" s="29" t="s">
        <v>590</v>
      </c>
    </row>
    <row r="2241" spans="1:15">
      <c r="A2241" s="25">
        <v>23392</v>
      </c>
      <c r="B2241" s="34" t="s">
        <v>3675</v>
      </c>
      <c r="C2241" s="31" t="s">
        <v>521</v>
      </c>
      <c r="D2241" s="31" t="s">
        <v>882</v>
      </c>
      <c r="E2241" s="28">
        <v>43434</v>
      </c>
      <c r="F2241" s="28">
        <v>43464</v>
      </c>
      <c r="G2241" s="28">
        <v>43830</v>
      </c>
      <c r="H2241" s="29" t="s">
        <v>560</v>
      </c>
      <c r="I2241" s="29" t="s">
        <v>560</v>
      </c>
      <c r="J2241" s="29" t="s">
        <v>1662</v>
      </c>
      <c r="K2241" s="29" t="s">
        <v>3653</v>
      </c>
      <c r="L2241" s="29" t="s">
        <v>3654</v>
      </c>
      <c r="M2241" s="29" t="s">
        <v>2065</v>
      </c>
      <c r="N2241" s="29" t="s">
        <v>2041</v>
      </c>
      <c r="O2241" s="29" t="s">
        <v>590</v>
      </c>
    </row>
    <row r="2242" spans="1:15">
      <c r="A2242" s="25">
        <v>23399</v>
      </c>
      <c r="B2242" s="34" t="s">
        <v>3676</v>
      </c>
      <c r="C2242" s="31" t="s">
        <v>521</v>
      </c>
      <c r="D2242" s="31" t="s">
        <v>882</v>
      </c>
      <c r="E2242" s="28">
        <v>43434</v>
      </c>
      <c r="F2242" s="28">
        <v>43464</v>
      </c>
      <c r="G2242" s="28">
        <v>43830</v>
      </c>
      <c r="H2242" s="29" t="s">
        <v>560</v>
      </c>
      <c r="I2242" s="29" t="s">
        <v>560</v>
      </c>
      <c r="J2242" s="29" t="s">
        <v>1662</v>
      </c>
      <c r="K2242" s="29" t="s">
        <v>3653</v>
      </c>
      <c r="L2242" s="29" t="s">
        <v>3654</v>
      </c>
      <c r="M2242" s="29" t="s">
        <v>2079</v>
      </c>
      <c r="N2242" s="29" t="s">
        <v>1586</v>
      </c>
      <c r="O2242" s="29" t="s">
        <v>590</v>
      </c>
    </row>
    <row r="2243" spans="1:15">
      <c r="A2243" s="25">
        <v>23488</v>
      </c>
      <c r="B2243" s="34" t="s">
        <v>3677</v>
      </c>
      <c r="C2243" s="31" t="s">
        <v>521</v>
      </c>
      <c r="D2243" s="31" t="s">
        <v>1588</v>
      </c>
      <c r="E2243" s="28">
        <v>43441</v>
      </c>
      <c r="F2243" s="28">
        <v>43472</v>
      </c>
      <c r="G2243" s="28">
        <v>43830</v>
      </c>
      <c r="H2243" s="29" t="s">
        <v>560</v>
      </c>
      <c r="I2243" s="29" t="s">
        <v>560</v>
      </c>
      <c r="J2243" s="29" t="s">
        <v>1662</v>
      </c>
      <c r="K2243" s="29" t="s">
        <v>3653</v>
      </c>
      <c r="L2243" s="29" t="s">
        <v>3654</v>
      </c>
      <c r="M2243" s="29" t="s">
        <v>2222</v>
      </c>
      <c r="N2243" s="29" t="s">
        <v>2023</v>
      </c>
      <c r="O2243" s="29" t="s">
        <v>590</v>
      </c>
    </row>
    <row r="2244" spans="1:15">
      <c r="A2244" s="25">
        <v>1188</v>
      </c>
      <c r="B2244" s="26" t="s">
        <v>3678</v>
      </c>
      <c r="C2244" s="27" t="s">
        <v>521</v>
      </c>
      <c r="D2244" s="27" t="s">
        <v>1468</v>
      </c>
      <c r="E2244" s="28">
        <v>37907</v>
      </c>
      <c r="F2244" s="28" t="s">
        <v>35</v>
      </c>
      <c r="G2244" s="28" t="s">
        <v>35</v>
      </c>
      <c r="H2244" s="29" t="s">
        <v>560</v>
      </c>
      <c r="I2244" s="29" t="s">
        <v>560</v>
      </c>
      <c r="J2244" s="29" t="s">
        <v>1662</v>
      </c>
      <c r="K2244" s="29" t="s">
        <v>3679</v>
      </c>
      <c r="L2244" s="29" t="s">
        <v>3680</v>
      </c>
      <c r="M2244" s="29" t="s">
        <v>1550</v>
      </c>
      <c r="N2244" s="29" t="s">
        <v>1045</v>
      </c>
      <c r="O2244" s="29" t="s">
        <v>594</v>
      </c>
    </row>
    <row r="2245" spans="1:15">
      <c r="A2245" s="25">
        <v>9857</v>
      </c>
      <c r="B2245" s="26" t="s">
        <v>3681</v>
      </c>
      <c r="C2245" s="27" t="s">
        <v>521</v>
      </c>
      <c r="D2245" s="27" t="s">
        <v>802</v>
      </c>
      <c r="E2245" s="28">
        <v>40411</v>
      </c>
      <c r="F2245" s="28" t="s">
        <v>35</v>
      </c>
      <c r="G2245" s="28" t="s">
        <v>35</v>
      </c>
      <c r="H2245" s="29" t="s">
        <v>560</v>
      </c>
      <c r="I2245" s="31" t="s">
        <v>560</v>
      </c>
      <c r="J2245" s="29" t="s">
        <v>1662</v>
      </c>
      <c r="K2245" s="29" t="s">
        <v>3679</v>
      </c>
      <c r="L2245" s="29" t="s">
        <v>3680</v>
      </c>
      <c r="M2245" s="29" t="s">
        <v>2025</v>
      </c>
      <c r="N2245" s="29" t="s">
        <v>2026</v>
      </c>
      <c r="O2245" s="29" t="s">
        <v>594</v>
      </c>
    </row>
    <row r="2246" spans="1:15">
      <c r="A2246" s="25">
        <v>9939</v>
      </c>
      <c r="B2246" s="26" t="s">
        <v>3682</v>
      </c>
      <c r="C2246" s="27" t="s">
        <v>521</v>
      </c>
      <c r="D2246" s="27" t="s">
        <v>803</v>
      </c>
      <c r="E2246" s="28">
        <v>40431</v>
      </c>
      <c r="F2246" s="28" t="s">
        <v>35</v>
      </c>
      <c r="G2246" s="28" t="s">
        <v>35</v>
      </c>
      <c r="H2246" s="29" t="s">
        <v>560</v>
      </c>
      <c r="I2246" s="29" t="s">
        <v>560</v>
      </c>
      <c r="J2246" s="29" t="s">
        <v>1662</v>
      </c>
      <c r="K2246" s="29" t="s">
        <v>3679</v>
      </c>
      <c r="L2246" s="29" t="s">
        <v>3680</v>
      </c>
      <c r="M2246" s="29" t="s">
        <v>2030</v>
      </c>
      <c r="N2246" s="29" t="s">
        <v>2031</v>
      </c>
      <c r="O2246" s="29" t="s">
        <v>594</v>
      </c>
    </row>
    <row r="2247" spans="1:15">
      <c r="A2247" s="25">
        <v>11774</v>
      </c>
      <c r="B2247" s="26" t="s">
        <v>3683</v>
      </c>
      <c r="C2247" s="27" t="s">
        <v>521</v>
      </c>
      <c r="D2247" s="25" t="s">
        <v>675</v>
      </c>
      <c r="E2247" s="28">
        <v>40714</v>
      </c>
      <c r="F2247" s="28" t="s">
        <v>35</v>
      </c>
      <c r="G2247" s="28" t="s">
        <v>35</v>
      </c>
      <c r="H2247" s="29" t="s">
        <v>560</v>
      </c>
      <c r="I2247" s="29" t="s">
        <v>560</v>
      </c>
      <c r="J2247" s="29" t="s">
        <v>1662</v>
      </c>
      <c r="K2247" s="29" t="s">
        <v>3679</v>
      </c>
      <c r="L2247" s="29" t="s">
        <v>3680</v>
      </c>
      <c r="M2247" s="29" t="s">
        <v>2030</v>
      </c>
      <c r="N2247" s="29" t="s">
        <v>2031</v>
      </c>
      <c r="O2247" s="29" t="s">
        <v>594</v>
      </c>
    </row>
    <row r="2248" spans="1:15">
      <c r="A2248" s="25">
        <v>20737</v>
      </c>
      <c r="B2248" s="26" t="s">
        <v>3684</v>
      </c>
      <c r="C2248" s="27" t="s">
        <v>521</v>
      </c>
      <c r="D2248" s="27" t="s">
        <v>815</v>
      </c>
      <c r="E2248" s="28">
        <v>42642</v>
      </c>
      <c r="F2248" s="28">
        <v>43132</v>
      </c>
      <c r="G2248" s="28">
        <v>43496</v>
      </c>
      <c r="H2248" s="31" t="s">
        <v>560</v>
      </c>
      <c r="I2248" s="31" t="s">
        <v>560</v>
      </c>
      <c r="J2248" s="29" t="s">
        <v>1662</v>
      </c>
      <c r="K2248" s="29" t="s">
        <v>3679</v>
      </c>
      <c r="L2248" s="29" t="s">
        <v>3680</v>
      </c>
      <c r="M2248" s="29" t="s">
        <v>3575</v>
      </c>
      <c r="N2248" s="29" t="s">
        <v>1434</v>
      </c>
      <c r="O2248" s="29" t="s">
        <v>594</v>
      </c>
    </row>
    <row r="2249" spans="1:15">
      <c r="A2249" s="25">
        <v>20756</v>
      </c>
      <c r="B2249" s="26" t="s">
        <v>3685</v>
      </c>
      <c r="C2249" s="27" t="s">
        <v>521</v>
      </c>
      <c r="D2249" s="27" t="s">
        <v>815</v>
      </c>
      <c r="E2249" s="28">
        <v>42642</v>
      </c>
      <c r="F2249" s="28">
        <v>43132</v>
      </c>
      <c r="G2249" s="28">
        <v>43496</v>
      </c>
      <c r="H2249" s="27" t="s">
        <v>560</v>
      </c>
      <c r="I2249" s="27" t="s">
        <v>560</v>
      </c>
      <c r="J2249" s="29" t="s">
        <v>1662</v>
      </c>
      <c r="K2249" s="29" t="s">
        <v>3679</v>
      </c>
      <c r="L2249" s="29" t="s">
        <v>3680</v>
      </c>
      <c r="M2249" s="29" t="s">
        <v>3686</v>
      </c>
      <c r="N2249" s="29" t="s">
        <v>1434</v>
      </c>
      <c r="O2249" s="29" t="s">
        <v>594</v>
      </c>
    </row>
    <row r="2250" spans="1:15">
      <c r="A2250" s="25">
        <v>20857</v>
      </c>
      <c r="B2250" s="26" t="s">
        <v>306</v>
      </c>
      <c r="C2250" s="27" t="s">
        <v>521</v>
      </c>
      <c r="D2250" s="27" t="s">
        <v>807</v>
      </c>
      <c r="E2250" s="28">
        <v>42660</v>
      </c>
      <c r="F2250" s="28">
        <v>43160</v>
      </c>
      <c r="G2250" s="28">
        <v>43524</v>
      </c>
      <c r="H2250" s="27" t="s">
        <v>560</v>
      </c>
      <c r="I2250" s="27" t="s">
        <v>560</v>
      </c>
      <c r="J2250" s="29" t="s">
        <v>1662</v>
      </c>
      <c r="K2250" s="29" t="s">
        <v>3679</v>
      </c>
      <c r="L2250" s="29" t="s">
        <v>3680</v>
      </c>
      <c r="M2250" s="29" t="s">
        <v>3568</v>
      </c>
      <c r="N2250" s="29" t="s">
        <v>2041</v>
      </c>
      <c r="O2250" s="29" t="s">
        <v>594</v>
      </c>
    </row>
    <row r="2251" spans="1:15">
      <c r="A2251" s="25">
        <v>21056</v>
      </c>
      <c r="B2251" s="26" t="s">
        <v>3687</v>
      </c>
      <c r="C2251" s="27" t="s">
        <v>521</v>
      </c>
      <c r="D2251" s="27" t="s">
        <v>3315</v>
      </c>
      <c r="E2251" s="28">
        <v>42863</v>
      </c>
      <c r="F2251" s="28">
        <v>43344</v>
      </c>
      <c r="G2251" s="28">
        <v>43708</v>
      </c>
      <c r="H2251" s="27" t="s">
        <v>560</v>
      </c>
      <c r="I2251" s="31" t="s">
        <v>560</v>
      </c>
      <c r="J2251" s="29" t="s">
        <v>1662</v>
      </c>
      <c r="K2251" s="29" t="s">
        <v>3679</v>
      </c>
      <c r="L2251" s="29" t="s">
        <v>3680</v>
      </c>
      <c r="M2251" s="29" t="s">
        <v>3519</v>
      </c>
      <c r="N2251" s="29" t="s">
        <v>1434</v>
      </c>
      <c r="O2251" s="29" t="s">
        <v>594</v>
      </c>
    </row>
    <row r="2252" spans="1:15">
      <c r="A2252" s="25">
        <v>21145</v>
      </c>
      <c r="B2252" s="26" t="s">
        <v>294</v>
      </c>
      <c r="C2252" s="27" t="s">
        <v>521</v>
      </c>
      <c r="D2252" s="27" t="s">
        <v>1676</v>
      </c>
      <c r="E2252" s="28">
        <v>42871</v>
      </c>
      <c r="F2252" s="28">
        <v>43374</v>
      </c>
      <c r="G2252" s="28">
        <v>43738</v>
      </c>
      <c r="H2252" s="25" t="s">
        <v>560</v>
      </c>
      <c r="I2252" s="31" t="s">
        <v>560</v>
      </c>
      <c r="J2252" s="29" t="s">
        <v>1662</v>
      </c>
      <c r="K2252" s="29" t="s">
        <v>3679</v>
      </c>
      <c r="L2252" s="29" t="s">
        <v>3680</v>
      </c>
      <c r="M2252" s="29" t="s">
        <v>3537</v>
      </c>
      <c r="N2252" s="29" t="s">
        <v>2041</v>
      </c>
      <c r="O2252" s="29" t="s">
        <v>594</v>
      </c>
    </row>
    <row r="2253" spans="1:15">
      <c r="A2253" s="25">
        <v>21152</v>
      </c>
      <c r="B2253" s="26" t="s">
        <v>293</v>
      </c>
      <c r="C2253" s="27" t="s">
        <v>521</v>
      </c>
      <c r="D2253" s="27" t="s">
        <v>1676</v>
      </c>
      <c r="E2253" s="28">
        <v>42871</v>
      </c>
      <c r="F2253" s="28">
        <v>43374</v>
      </c>
      <c r="G2253" s="28">
        <v>43738</v>
      </c>
      <c r="H2253" s="25" t="s">
        <v>560</v>
      </c>
      <c r="I2253" s="29" t="s">
        <v>560</v>
      </c>
      <c r="J2253" s="29" t="s">
        <v>1662</v>
      </c>
      <c r="K2253" s="29" t="s">
        <v>3679</v>
      </c>
      <c r="L2253" s="29" t="s">
        <v>3680</v>
      </c>
      <c r="M2253" s="29" t="s">
        <v>3539</v>
      </c>
      <c r="N2253" s="29" t="s">
        <v>2041</v>
      </c>
      <c r="O2253" s="29" t="s">
        <v>594</v>
      </c>
    </row>
    <row r="2254" spans="1:15">
      <c r="A2254" s="25">
        <v>21172</v>
      </c>
      <c r="B2254" s="26" t="s">
        <v>3688</v>
      </c>
      <c r="C2254" s="27" t="s">
        <v>521</v>
      </c>
      <c r="D2254" s="27" t="s">
        <v>1676</v>
      </c>
      <c r="E2254" s="28">
        <v>42871</v>
      </c>
      <c r="F2254" s="28">
        <v>43374</v>
      </c>
      <c r="G2254" s="28">
        <v>43738</v>
      </c>
      <c r="H2254" s="25" t="s">
        <v>560</v>
      </c>
      <c r="I2254" s="29" t="s">
        <v>560</v>
      </c>
      <c r="J2254" s="29" t="s">
        <v>1662</v>
      </c>
      <c r="K2254" s="29" t="s">
        <v>3679</v>
      </c>
      <c r="L2254" s="29" t="s">
        <v>3680</v>
      </c>
      <c r="M2254" s="29" t="s">
        <v>3689</v>
      </c>
      <c r="N2254" s="29" t="s">
        <v>1434</v>
      </c>
      <c r="O2254" s="29" t="s">
        <v>594</v>
      </c>
    </row>
    <row r="2255" spans="1:15">
      <c r="A2255" s="25">
        <v>21240</v>
      </c>
      <c r="B2255" s="26" t="s">
        <v>3690</v>
      </c>
      <c r="C2255" s="27" t="s">
        <v>521</v>
      </c>
      <c r="D2255" s="27" t="s">
        <v>2670</v>
      </c>
      <c r="E2255" s="28">
        <v>42893</v>
      </c>
      <c r="F2255" s="28">
        <v>43374</v>
      </c>
      <c r="G2255" s="28">
        <v>43738</v>
      </c>
      <c r="H2255" s="29" t="s">
        <v>560</v>
      </c>
      <c r="I2255" s="29" t="s">
        <v>560</v>
      </c>
      <c r="J2255" s="29" t="s">
        <v>1662</v>
      </c>
      <c r="K2255" s="29" t="s">
        <v>3679</v>
      </c>
      <c r="L2255" s="29" t="s">
        <v>3680</v>
      </c>
      <c r="M2255" s="29" t="s">
        <v>3517</v>
      </c>
      <c r="N2255" s="29" t="s">
        <v>2041</v>
      </c>
      <c r="O2255" s="29" t="s">
        <v>594</v>
      </c>
    </row>
    <row r="2256" spans="1:15">
      <c r="A2256" s="25">
        <v>21341</v>
      </c>
      <c r="B2256" s="34" t="s">
        <v>3691</v>
      </c>
      <c r="C2256" s="31" t="s">
        <v>521</v>
      </c>
      <c r="D2256" s="31" t="s">
        <v>2162</v>
      </c>
      <c r="E2256" s="28">
        <v>43013</v>
      </c>
      <c r="F2256" s="28">
        <v>43405</v>
      </c>
      <c r="G2256" s="28">
        <v>43769</v>
      </c>
      <c r="H2256" s="29" t="s">
        <v>560</v>
      </c>
      <c r="I2256" s="29" t="s">
        <v>560</v>
      </c>
      <c r="J2256" s="29" t="s">
        <v>1662</v>
      </c>
      <c r="K2256" s="29" t="s">
        <v>3679</v>
      </c>
      <c r="L2256" s="29" t="s">
        <v>3680</v>
      </c>
      <c r="M2256" s="29" t="s">
        <v>2222</v>
      </c>
      <c r="N2256" s="29" t="s">
        <v>2023</v>
      </c>
      <c r="O2256" s="29" t="s">
        <v>594</v>
      </c>
    </row>
    <row r="2257" spans="1:15">
      <c r="A2257" s="25">
        <v>21344</v>
      </c>
      <c r="B2257" s="34" t="s">
        <v>3692</v>
      </c>
      <c r="C2257" s="31" t="s">
        <v>521</v>
      </c>
      <c r="D2257" s="31" t="s">
        <v>2162</v>
      </c>
      <c r="E2257" s="28">
        <v>43013</v>
      </c>
      <c r="F2257" s="28">
        <v>43405</v>
      </c>
      <c r="G2257" s="28">
        <v>43769</v>
      </c>
      <c r="H2257" s="29" t="s">
        <v>560</v>
      </c>
      <c r="I2257" s="29" t="s">
        <v>560</v>
      </c>
      <c r="J2257" s="29" t="s">
        <v>1662</v>
      </c>
      <c r="K2257" s="29" t="s">
        <v>3679</v>
      </c>
      <c r="L2257" s="29" t="s">
        <v>3680</v>
      </c>
      <c r="M2257" s="29" t="s">
        <v>3551</v>
      </c>
      <c r="N2257" s="29" t="s">
        <v>1434</v>
      </c>
      <c r="O2257" s="29" t="s">
        <v>594</v>
      </c>
    </row>
    <row r="2258" spans="1:15">
      <c r="A2258" s="25">
        <v>21360</v>
      </c>
      <c r="B2258" s="34" t="s">
        <v>3693</v>
      </c>
      <c r="C2258" s="31" t="s">
        <v>521</v>
      </c>
      <c r="D2258" s="31" t="s">
        <v>2162</v>
      </c>
      <c r="E2258" s="28">
        <v>43013</v>
      </c>
      <c r="F2258" s="28">
        <v>43405</v>
      </c>
      <c r="G2258" s="28">
        <v>43769</v>
      </c>
      <c r="H2258" s="29" t="s">
        <v>560</v>
      </c>
      <c r="I2258" s="29" t="s">
        <v>560</v>
      </c>
      <c r="J2258" s="29" t="s">
        <v>1662</v>
      </c>
      <c r="K2258" s="29" t="s">
        <v>3679</v>
      </c>
      <c r="L2258" s="29" t="s">
        <v>3680</v>
      </c>
      <c r="M2258" s="29" t="s">
        <v>3694</v>
      </c>
      <c r="N2258" s="29" t="s">
        <v>1434</v>
      </c>
      <c r="O2258" s="29" t="s">
        <v>594</v>
      </c>
    </row>
    <row r="2259" spans="1:15">
      <c r="A2259" s="25">
        <v>21377</v>
      </c>
      <c r="B2259" s="34" t="s">
        <v>3695</v>
      </c>
      <c r="C2259" s="31" t="s">
        <v>521</v>
      </c>
      <c r="D2259" s="31" t="s">
        <v>2162</v>
      </c>
      <c r="E2259" s="28">
        <v>43013</v>
      </c>
      <c r="F2259" s="28">
        <v>43405</v>
      </c>
      <c r="G2259" s="28">
        <v>43769</v>
      </c>
      <c r="H2259" s="29" t="s">
        <v>560</v>
      </c>
      <c r="I2259" s="29" t="s">
        <v>560</v>
      </c>
      <c r="J2259" s="29" t="s">
        <v>1662</v>
      </c>
      <c r="K2259" s="29" t="s">
        <v>3679</v>
      </c>
      <c r="L2259" s="29" t="s">
        <v>3680</v>
      </c>
      <c r="M2259" s="29" t="s">
        <v>3533</v>
      </c>
      <c r="N2259" s="29" t="s">
        <v>2041</v>
      </c>
      <c r="O2259" s="29" t="s">
        <v>594</v>
      </c>
    </row>
    <row r="2260" spans="1:15">
      <c r="A2260" s="25">
        <v>21431</v>
      </c>
      <c r="B2260" s="34" t="s">
        <v>3696</v>
      </c>
      <c r="C2260" s="31" t="s">
        <v>521</v>
      </c>
      <c r="D2260" s="31" t="s">
        <v>2166</v>
      </c>
      <c r="E2260" s="28">
        <v>43024</v>
      </c>
      <c r="F2260" s="28">
        <v>43435</v>
      </c>
      <c r="G2260" s="28">
        <v>43799</v>
      </c>
      <c r="H2260" s="29" t="s">
        <v>560</v>
      </c>
      <c r="I2260" s="29" t="s">
        <v>560</v>
      </c>
      <c r="J2260" s="29" t="s">
        <v>1662</v>
      </c>
      <c r="K2260" s="29" t="s">
        <v>3679</v>
      </c>
      <c r="L2260" s="29" t="s">
        <v>3680</v>
      </c>
      <c r="M2260" s="29" t="s">
        <v>3402</v>
      </c>
      <c r="N2260" s="29" t="s">
        <v>2041</v>
      </c>
      <c r="O2260" s="29" t="s">
        <v>594</v>
      </c>
    </row>
    <row r="2261" spans="1:15">
      <c r="A2261" s="25">
        <v>21432</v>
      </c>
      <c r="B2261" s="34" t="s">
        <v>3697</v>
      </c>
      <c r="C2261" s="31" t="s">
        <v>521</v>
      </c>
      <c r="D2261" s="31" t="s">
        <v>2166</v>
      </c>
      <c r="E2261" s="28">
        <v>43024</v>
      </c>
      <c r="F2261" s="28">
        <v>43435</v>
      </c>
      <c r="G2261" s="28">
        <v>43799</v>
      </c>
      <c r="H2261" s="29" t="s">
        <v>560</v>
      </c>
      <c r="I2261" s="29" t="s">
        <v>560</v>
      </c>
      <c r="J2261" s="29" t="s">
        <v>1662</v>
      </c>
      <c r="K2261" s="29" t="s">
        <v>3679</v>
      </c>
      <c r="L2261" s="29" t="s">
        <v>3680</v>
      </c>
      <c r="M2261" s="29" t="s">
        <v>2222</v>
      </c>
      <c r="N2261" s="29" t="s">
        <v>2023</v>
      </c>
      <c r="O2261" s="29" t="s">
        <v>594</v>
      </c>
    </row>
    <row r="2262" spans="1:15">
      <c r="A2262" s="25">
        <v>21473</v>
      </c>
      <c r="B2262" s="34" t="s">
        <v>3698</v>
      </c>
      <c r="C2262" s="31" t="s">
        <v>521</v>
      </c>
      <c r="D2262" s="31" t="s">
        <v>2166</v>
      </c>
      <c r="E2262" s="28">
        <v>43024</v>
      </c>
      <c r="F2262" s="28">
        <v>43435</v>
      </c>
      <c r="G2262" s="28">
        <v>43799</v>
      </c>
      <c r="H2262" s="29" t="s">
        <v>560</v>
      </c>
      <c r="I2262" s="29" t="s">
        <v>560</v>
      </c>
      <c r="J2262" s="29" t="s">
        <v>1662</v>
      </c>
      <c r="K2262" s="29" t="s">
        <v>3679</v>
      </c>
      <c r="L2262" s="29" t="s">
        <v>3680</v>
      </c>
      <c r="M2262" s="29" t="s">
        <v>3111</v>
      </c>
      <c r="N2262" s="29" t="s">
        <v>1434</v>
      </c>
      <c r="O2262" s="29" t="s">
        <v>594</v>
      </c>
    </row>
    <row r="2263" spans="1:15">
      <c r="A2263" s="25">
        <v>21795</v>
      </c>
      <c r="B2263" s="34" t="s">
        <v>3699</v>
      </c>
      <c r="C2263" s="31" t="s">
        <v>521</v>
      </c>
      <c r="D2263" s="31" t="s">
        <v>1609</v>
      </c>
      <c r="E2263" s="28">
        <v>43090</v>
      </c>
      <c r="F2263" s="28">
        <v>43121</v>
      </c>
      <c r="G2263" s="28">
        <v>43496</v>
      </c>
      <c r="H2263" s="27" t="s">
        <v>560</v>
      </c>
      <c r="I2263" s="27" t="s">
        <v>560</v>
      </c>
      <c r="J2263" s="29" t="s">
        <v>1662</v>
      </c>
      <c r="K2263" s="29" t="s">
        <v>3679</v>
      </c>
      <c r="L2263" s="29" t="s">
        <v>3680</v>
      </c>
      <c r="M2263" s="29" t="s">
        <v>3700</v>
      </c>
      <c r="N2263" s="29" t="s">
        <v>1434</v>
      </c>
      <c r="O2263" s="29" t="s">
        <v>594</v>
      </c>
    </row>
    <row r="2264" spans="1:15">
      <c r="A2264" s="25">
        <v>22101</v>
      </c>
      <c r="B2264" s="34" t="s">
        <v>3701</v>
      </c>
      <c r="C2264" s="31" t="s">
        <v>521</v>
      </c>
      <c r="D2264" s="31" t="s">
        <v>769</v>
      </c>
      <c r="E2264" s="28">
        <v>43150</v>
      </c>
      <c r="F2264" s="28">
        <v>43178</v>
      </c>
      <c r="G2264" s="28">
        <v>43555</v>
      </c>
      <c r="H2264" s="29" t="s">
        <v>560</v>
      </c>
      <c r="I2264" s="29" t="s">
        <v>560</v>
      </c>
      <c r="J2264" s="29" t="s">
        <v>1662</v>
      </c>
      <c r="K2264" s="29" t="s">
        <v>3679</v>
      </c>
      <c r="L2264" s="29" t="s">
        <v>3680</v>
      </c>
      <c r="M2264" s="29" t="s">
        <v>3702</v>
      </c>
      <c r="N2264" s="29" t="s">
        <v>2077</v>
      </c>
      <c r="O2264" s="29" t="s">
        <v>594</v>
      </c>
    </row>
    <row r="2265" spans="1:15">
      <c r="A2265" s="25">
        <v>22148</v>
      </c>
      <c r="B2265" s="34" t="s">
        <v>3703</v>
      </c>
      <c r="C2265" s="31" t="s">
        <v>521</v>
      </c>
      <c r="D2265" s="31" t="s">
        <v>758</v>
      </c>
      <c r="E2265" s="28">
        <v>43153</v>
      </c>
      <c r="F2265" s="28">
        <v>43181</v>
      </c>
      <c r="G2265" s="28">
        <v>43555</v>
      </c>
      <c r="H2265" s="29" t="s">
        <v>560</v>
      </c>
      <c r="I2265" s="29" t="s">
        <v>560</v>
      </c>
      <c r="J2265" s="29" t="s">
        <v>1662</v>
      </c>
      <c r="K2265" s="29" t="s">
        <v>3679</v>
      </c>
      <c r="L2265" s="29" t="s">
        <v>3680</v>
      </c>
      <c r="M2265" s="29" t="s">
        <v>3535</v>
      </c>
      <c r="N2265" s="29" t="s">
        <v>2041</v>
      </c>
      <c r="O2265" s="29" t="s">
        <v>594</v>
      </c>
    </row>
    <row r="2266" spans="1:15">
      <c r="A2266" s="25">
        <v>22218</v>
      </c>
      <c r="B2266" s="34" t="s">
        <v>3704</v>
      </c>
      <c r="C2266" s="31" t="s">
        <v>521</v>
      </c>
      <c r="D2266" s="31" t="s">
        <v>1796</v>
      </c>
      <c r="E2266" s="28">
        <v>43161</v>
      </c>
      <c r="F2266" s="28">
        <v>43192</v>
      </c>
      <c r="G2266" s="28">
        <v>43555</v>
      </c>
      <c r="H2266" s="29" t="s">
        <v>560</v>
      </c>
      <c r="I2266" s="29" t="s">
        <v>560</v>
      </c>
      <c r="J2266" s="29" t="s">
        <v>1662</v>
      </c>
      <c r="K2266" s="29" t="s">
        <v>3679</v>
      </c>
      <c r="L2266" s="29" t="s">
        <v>3680</v>
      </c>
      <c r="M2266" s="29" t="s">
        <v>3705</v>
      </c>
      <c r="N2266" s="29" t="s">
        <v>2077</v>
      </c>
      <c r="O2266" s="29" t="s">
        <v>594</v>
      </c>
    </row>
    <row r="2267" spans="1:15">
      <c r="A2267" s="25">
        <v>22368</v>
      </c>
      <c r="B2267" s="34" t="s">
        <v>3706</v>
      </c>
      <c r="C2267" s="31" t="s">
        <v>521</v>
      </c>
      <c r="D2267" s="31" t="s">
        <v>805</v>
      </c>
      <c r="E2267" s="28">
        <v>43213</v>
      </c>
      <c r="F2267" s="28">
        <v>43243</v>
      </c>
      <c r="G2267" s="28">
        <v>43616</v>
      </c>
      <c r="H2267" s="29" t="s">
        <v>560</v>
      </c>
      <c r="I2267" s="29" t="s">
        <v>560</v>
      </c>
      <c r="J2267" s="29" t="s">
        <v>1662</v>
      </c>
      <c r="K2267" s="29" t="s">
        <v>3679</v>
      </c>
      <c r="L2267" s="29" t="s">
        <v>3680</v>
      </c>
      <c r="M2267" s="29" t="s">
        <v>3508</v>
      </c>
      <c r="N2267" s="29" t="s">
        <v>1434</v>
      </c>
      <c r="O2267" s="29" t="s">
        <v>594</v>
      </c>
    </row>
    <row r="2268" spans="1:15">
      <c r="A2268" s="25">
        <v>23060</v>
      </c>
      <c r="B2268" s="34" t="s">
        <v>3707</v>
      </c>
      <c r="C2268" s="31" t="s">
        <v>521</v>
      </c>
      <c r="D2268" s="31" t="s">
        <v>1872</v>
      </c>
      <c r="E2268" s="28">
        <v>43361</v>
      </c>
      <c r="F2268" s="28">
        <v>43391</v>
      </c>
      <c r="G2268" s="28">
        <v>43769</v>
      </c>
      <c r="H2268" s="29" t="s">
        <v>560</v>
      </c>
      <c r="I2268" s="29" t="s">
        <v>560</v>
      </c>
      <c r="J2268" s="29" t="s">
        <v>1662</v>
      </c>
      <c r="K2268" s="29" t="s">
        <v>3679</v>
      </c>
      <c r="L2268" s="29" t="s">
        <v>3680</v>
      </c>
      <c r="M2268" s="29" t="s">
        <v>2694</v>
      </c>
      <c r="N2268" s="29" t="s">
        <v>1434</v>
      </c>
      <c r="O2268" s="29" t="s">
        <v>594</v>
      </c>
    </row>
    <row r="2269" spans="1:15">
      <c r="A2269" s="25">
        <v>23247</v>
      </c>
      <c r="B2269" s="34" t="s">
        <v>2931</v>
      </c>
      <c r="C2269" s="31" t="s">
        <v>521</v>
      </c>
      <c r="D2269" s="31" t="s">
        <v>1582</v>
      </c>
      <c r="E2269" s="28">
        <v>43421</v>
      </c>
      <c r="F2269" s="28">
        <v>43451</v>
      </c>
      <c r="G2269" s="28">
        <v>43830</v>
      </c>
      <c r="H2269" s="29" t="s">
        <v>560</v>
      </c>
      <c r="I2269" s="29" t="s">
        <v>560</v>
      </c>
      <c r="J2269" s="29" t="s">
        <v>1662</v>
      </c>
      <c r="K2269" s="29" t="s">
        <v>3653</v>
      </c>
      <c r="L2269" s="29" t="s">
        <v>3680</v>
      </c>
      <c r="M2269" s="29" t="s">
        <v>2079</v>
      </c>
      <c r="N2269" s="29" t="s">
        <v>2080</v>
      </c>
      <c r="O2269" s="29" t="s">
        <v>594</v>
      </c>
    </row>
    <row r="2270" spans="1:15">
      <c r="A2270" s="25">
        <v>23403</v>
      </c>
      <c r="B2270" s="34" t="s">
        <v>3708</v>
      </c>
      <c r="C2270" s="31" t="s">
        <v>521</v>
      </c>
      <c r="D2270" s="31" t="s">
        <v>882</v>
      </c>
      <c r="E2270" s="28">
        <v>43434</v>
      </c>
      <c r="F2270" s="28">
        <v>43464</v>
      </c>
      <c r="G2270" s="28">
        <v>43830</v>
      </c>
      <c r="H2270" s="29" t="s">
        <v>560</v>
      </c>
      <c r="I2270" s="29" t="s">
        <v>560</v>
      </c>
      <c r="J2270" s="29" t="s">
        <v>1662</v>
      </c>
      <c r="K2270" s="29" t="s">
        <v>3653</v>
      </c>
      <c r="L2270" s="29" t="s">
        <v>3680</v>
      </c>
      <c r="M2270" s="29" t="s">
        <v>3541</v>
      </c>
      <c r="N2270" s="29" t="s">
        <v>2041</v>
      </c>
      <c r="O2270" s="29" t="s">
        <v>594</v>
      </c>
    </row>
    <row r="2271" spans="1:15">
      <c r="A2271" s="25">
        <v>23588</v>
      </c>
      <c r="B2271" s="34" t="s">
        <v>3709</v>
      </c>
      <c r="C2271" s="31" t="s">
        <v>521</v>
      </c>
      <c r="D2271" s="31" t="s">
        <v>884</v>
      </c>
      <c r="E2271" s="28">
        <v>43452</v>
      </c>
      <c r="F2271" s="28">
        <v>43483</v>
      </c>
      <c r="G2271" s="28">
        <v>43861</v>
      </c>
      <c r="H2271" s="29" t="s">
        <v>560</v>
      </c>
      <c r="I2271" s="29" t="s">
        <v>560</v>
      </c>
      <c r="J2271" s="29" t="s">
        <v>1662</v>
      </c>
      <c r="K2271" s="29" t="s">
        <v>3679</v>
      </c>
      <c r="L2271" s="29" t="s">
        <v>3680</v>
      </c>
      <c r="M2271" s="29" t="s">
        <v>3710</v>
      </c>
      <c r="N2271" s="29" t="s">
        <v>1586</v>
      </c>
      <c r="O2271" s="29" t="s">
        <v>594</v>
      </c>
    </row>
    <row r="2272" spans="1:15">
      <c r="A2272" s="25" t="s">
        <v>3711</v>
      </c>
      <c r="B2272" s="34" t="s">
        <v>3712</v>
      </c>
      <c r="C2272" s="31" t="s">
        <v>521</v>
      </c>
      <c r="D2272" s="31" t="s">
        <v>892</v>
      </c>
      <c r="E2272" s="28">
        <v>43467</v>
      </c>
      <c r="F2272" s="28">
        <v>43467</v>
      </c>
      <c r="G2272" s="28">
        <v>43497</v>
      </c>
      <c r="H2272" s="29" t="s">
        <v>560</v>
      </c>
      <c r="I2272" s="29" t="s">
        <v>560</v>
      </c>
      <c r="J2272" s="29" t="s">
        <v>1662</v>
      </c>
      <c r="K2272" s="29" t="s">
        <v>3679</v>
      </c>
      <c r="L2272" s="29" t="s">
        <v>3680</v>
      </c>
      <c r="M2272" s="29" t="s">
        <v>3713</v>
      </c>
      <c r="N2272" s="29" t="s">
        <v>1586</v>
      </c>
      <c r="O2272" s="29" t="s">
        <v>594</v>
      </c>
    </row>
    <row r="2273" spans="1:15">
      <c r="A2273" s="25">
        <v>60</v>
      </c>
      <c r="B2273" s="26" t="s">
        <v>3714</v>
      </c>
      <c r="C2273" s="27" t="s">
        <v>521</v>
      </c>
      <c r="D2273" s="27" t="s">
        <v>3715</v>
      </c>
      <c r="E2273" s="28">
        <v>37578</v>
      </c>
      <c r="F2273" s="28" t="s">
        <v>35</v>
      </c>
      <c r="G2273" s="28" t="s">
        <v>35</v>
      </c>
      <c r="H2273" s="27" t="s">
        <v>560</v>
      </c>
      <c r="I2273" s="31" t="s">
        <v>560</v>
      </c>
      <c r="J2273" s="29" t="s">
        <v>1662</v>
      </c>
      <c r="K2273" s="29" t="s">
        <v>3679</v>
      </c>
      <c r="L2273" s="29" t="s">
        <v>3680</v>
      </c>
      <c r="M2273" s="29" t="s">
        <v>1550</v>
      </c>
      <c r="N2273" s="29" t="s">
        <v>1045</v>
      </c>
      <c r="O2273" s="29" t="s">
        <v>590</v>
      </c>
    </row>
    <row r="2274" spans="1:15">
      <c r="A2274" s="25">
        <v>10335</v>
      </c>
      <c r="B2274" s="26" t="s">
        <v>3716</v>
      </c>
      <c r="C2274" s="27" t="s">
        <v>521</v>
      </c>
      <c r="D2274" s="27" t="s">
        <v>825</v>
      </c>
      <c r="E2274" s="28">
        <v>40511</v>
      </c>
      <c r="F2274" s="28" t="s">
        <v>35</v>
      </c>
      <c r="G2274" s="28" t="s">
        <v>35</v>
      </c>
      <c r="H2274" s="27" t="s">
        <v>560</v>
      </c>
      <c r="I2274" s="27" t="s">
        <v>560</v>
      </c>
      <c r="J2274" s="29" t="s">
        <v>1662</v>
      </c>
      <c r="K2274" s="29" t="s">
        <v>3679</v>
      </c>
      <c r="L2274" s="29" t="s">
        <v>3680</v>
      </c>
      <c r="M2274" s="29" t="s">
        <v>2025</v>
      </c>
      <c r="N2274" s="29" t="s">
        <v>2026</v>
      </c>
      <c r="O2274" s="29" t="s">
        <v>590</v>
      </c>
    </row>
    <row r="2275" spans="1:15">
      <c r="A2275" s="25">
        <v>11167</v>
      </c>
      <c r="B2275" s="33" t="s">
        <v>3717</v>
      </c>
      <c r="C2275" s="27" t="s">
        <v>521</v>
      </c>
      <c r="D2275" s="27" t="s">
        <v>2657</v>
      </c>
      <c r="E2275" s="28">
        <v>40610</v>
      </c>
      <c r="F2275" s="28" t="s">
        <v>35</v>
      </c>
      <c r="G2275" s="28" t="s">
        <v>35</v>
      </c>
      <c r="H2275" s="29" t="s">
        <v>560</v>
      </c>
      <c r="I2275" s="29" t="s">
        <v>560</v>
      </c>
      <c r="J2275" s="29" t="s">
        <v>1662</v>
      </c>
      <c r="K2275" s="29" t="s">
        <v>3679</v>
      </c>
      <c r="L2275" s="29" t="s">
        <v>3680</v>
      </c>
      <c r="M2275" s="29" t="s">
        <v>2030</v>
      </c>
      <c r="N2275" s="29" t="s">
        <v>2031</v>
      </c>
      <c r="O2275" s="29" t="s">
        <v>590</v>
      </c>
    </row>
    <row r="2276" spans="1:15">
      <c r="A2276" s="25">
        <v>21189</v>
      </c>
      <c r="B2276" s="26" t="s">
        <v>291</v>
      </c>
      <c r="C2276" s="27" t="s">
        <v>521</v>
      </c>
      <c r="D2276" s="27" t="s">
        <v>1676</v>
      </c>
      <c r="E2276" s="28">
        <v>42871</v>
      </c>
      <c r="F2276" s="28">
        <v>43374</v>
      </c>
      <c r="G2276" s="28">
        <v>43738</v>
      </c>
      <c r="H2276" s="25" t="s">
        <v>560</v>
      </c>
      <c r="I2276" s="31" t="s">
        <v>560</v>
      </c>
      <c r="J2276" s="29" t="s">
        <v>1662</v>
      </c>
      <c r="K2276" s="29" t="s">
        <v>3679</v>
      </c>
      <c r="L2276" s="29" t="s">
        <v>3680</v>
      </c>
      <c r="M2276" s="29" t="s">
        <v>3537</v>
      </c>
      <c r="N2276" s="29" t="s">
        <v>2041</v>
      </c>
      <c r="O2276" s="29" t="s">
        <v>590</v>
      </c>
    </row>
    <row r="2277" spans="1:15">
      <c r="A2277" s="25">
        <v>21336</v>
      </c>
      <c r="B2277" s="34" t="s">
        <v>288</v>
      </c>
      <c r="C2277" s="31" t="s">
        <v>521</v>
      </c>
      <c r="D2277" s="31" t="s">
        <v>2162</v>
      </c>
      <c r="E2277" s="28">
        <v>43013</v>
      </c>
      <c r="F2277" s="28">
        <v>43405</v>
      </c>
      <c r="G2277" s="28">
        <v>43769</v>
      </c>
      <c r="H2277" s="29" t="s">
        <v>560</v>
      </c>
      <c r="I2277" s="29" t="s">
        <v>560</v>
      </c>
      <c r="J2277" s="29" t="s">
        <v>1662</v>
      </c>
      <c r="K2277" s="29" t="s">
        <v>3679</v>
      </c>
      <c r="L2277" s="29" t="s">
        <v>3680</v>
      </c>
      <c r="M2277" s="29" t="s">
        <v>3568</v>
      </c>
      <c r="N2277" s="29" t="s">
        <v>2041</v>
      </c>
      <c r="O2277" s="29" t="s">
        <v>590</v>
      </c>
    </row>
    <row r="2278" spans="1:15">
      <c r="A2278" s="25">
        <v>21351</v>
      </c>
      <c r="B2278" s="34" t="s">
        <v>3718</v>
      </c>
      <c r="C2278" s="31" t="s">
        <v>521</v>
      </c>
      <c r="D2278" s="31" t="s">
        <v>2162</v>
      </c>
      <c r="E2278" s="28">
        <v>43013</v>
      </c>
      <c r="F2278" s="28">
        <v>43405</v>
      </c>
      <c r="G2278" s="28">
        <v>43769</v>
      </c>
      <c r="H2278" s="29" t="s">
        <v>560</v>
      </c>
      <c r="I2278" s="29" t="s">
        <v>560</v>
      </c>
      <c r="J2278" s="29" t="s">
        <v>1662</v>
      </c>
      <c r="K2278" s="29" t="s">
        <v>3679</v>
      </c>
      <c r="L2278" s="29" t="s">
        <v>3680</v>
      </c>
      <c r="M2278" s="29" t="s">
        <v>3700</v>
      </c>
      <c r="N2278" s="29" t="s">
        <v>1434</v>
      </c>
      <c r="O2278" s="29" t="s">
        <v>590</v>
      </c>
    </row>
    <row r="2279" spans="1:15">
      <c r="A2279" s="25">
        <v>21363</v>
      </c>
      <c r="B2279" s="34" t="s">
        <v>3719</v>
      </c>
      <c r="C2279" s="31" t="s">
        <v>521</v>
      </c>
      <c r="D2279" s="31" t="s">
        <v>2162</v>
      </c>
      <c r="E2279" s="28">
        <v>43013</v>
      </c>
      <c r="F2279" s="28">
        <v>43405</v>
      </c>
      <c r="G2279" s="28">
        <v>43769</v>
      </c>
      <c r="H2279" s="29" t="s">
        <v>560</v>
      </c>
      <c r="I2279" s="29" t="s">
        <v>560</v>
      </c>
      <c r="J2279" s="29" t="s">
        <v>1662</v>
      </c>
      <c r="K2279" s="29" t="s">
        <v>3679</v>
      </c>
      <c r="L2279" s="29" t="s">
        <v>3680</v>
      </c>
      <c r="M2279" s="29" t="s">
        <v>2222</v>
      </c>
      <c r="N2279" s="29" t="s">
        <v>2023</v>
      </c>
      <c r="O2279" s="29" t="s">
        <v>590</v>
      </c>
    </row>
    <row r="2280" spans="1:15">
      <c r="A2280" s="25">
        <v>21368</v>
      </c>
      <c r="B2280" s="34" t="s">
        <v>287</v>
      </c>
      <c r="C2280" s="31" t="s">
        <v>521</v>
      </c>
      <c r="D2280" s="31" t="s">
        <v>2162</v>
      </c>
      <c r="E2280" s="28">
        <v>43013</v>
      </c>
      <c r="F2280" s="28">
        <v>43405</v>
      </c>
      <c r="G2280" s="28">
        <v>43769</v>
      </c>
      <c r="H2280" s="29" t="s">
        <v>560</v>
      </c>
      <c r="I2280" s="29" t="s">
        <v>560</v>
      </c>
      <c r="J2280" s="29" t="s">
        <v>1662</v>
      </c>
      <c r="K2280" s="29" t="s">
        <v>3679</v>
      </c>
      <c r="L2280" s="29" t="s">
        <v>3680</v>
      </c>
      <c r="M2280" s="29" t="s">
        <v>3517</v>
      </c>
      <c r="N2280" s="29" t="s">
        <v>2041</v>
      </c>
      <c r="O2280" s="29" t="s">
        <v>590</v>
      </c>
    </row>
    <row r="2281" spans="1:15">
      <c r="A2281" s="25">
        <v>21428</v>
      </c>
      <c r="B2281" s="34" t="s">
        <v>3720</v>
      </c>
      <c r="C2281" s="31" t="s">
        <v>521</v>
      </c>
      <c r="D2281" s="31" t="s">
        <v>2166</v>
      </c>
      <c r="E2281" s="28">
        <v>43024</v>
      </c>
      <c r="F2281" s="28">
        <v>43435</v>
      </c>
      <c r="G2281" s="28">
        <v>43799</v>
      </c>
      <c r="H2281" s="29" t="s">
        <v>560</v>
      </c>
      <c r="I2281" s="29" t="s">
        <v>560</v>
      </c>
      <c r="J2281" s="29" t="s">
        <v>1662</v>
      </c>
      <c r="K2281" s="29" t="s">
        <v>3679</v>
      </c>
      <c r="L2281" s="29" t="s">
        <v>3680</v>
      </c>
      <c r="M2281" s="29" t="s">
        <v>3689</v>
      </c>
      <c r="N2281" s="29" t="s">
        <v>1434</v>
      </c>
      <c r="O2281" s="29" t="s">
        <v>590</v>
      </c>
    </row>
    <row r="2282" spans="1:15">
      <c r="A2282" s="25">
        <v>21438</v>
      </c>
      <c r="B2282" s="34" t="s">
        <v>3721</v>
      </c>
      <c r="C2282" s="31" t="s">
        <v>521</v>
      </c>
      <c r="D2282" s="31" t="s">
        <v>2166</v>
      </c>
      <c r="E2282" s="28">
        <v>43024</v>
      </c>
      <c r="F2282" s="28">
        <v>43435</v>
      </c>
      <c r="G2282" s="28">
        <v>43799</v>
      </c>
      <c r="H2282" s="29" t="s">
        <v>560</v>
      </c>
      <c r="I2282" s="29" t="s">
        <v>560</v>
      </c>
      <c r="J2282" s="29" t="s">
        <v>1662</v>
      </c>
      <c r="K2282" s="29" t="s">
        <v>3679</v>
      </c>
      <c r="L2282" s="29" t="s">
        <v>3680</v>
      </c>
      <c r="M2282" s="29" t="s">
        <v>2222</v>
      </c>
      <c r="N2282" s="29" t="s">
        <v>2023</v>
      </c>
      <c r="O2282" s="29" t="s">
        <v>590</v>
      </c>
    </row>
    <row r="2283" spans="1:15">
      <c r="A2283" s="25">
        <v>21467</v>
      </c>
      <c r="B2283" s="34" t="s">
        <v>3722</v>
      </c>
      <c r="C2283" s="31" t="s">
        <v>521</v>
      </c>
      <c r="D2283" s="31" t="s">
        <v>2166</v>
      </c>
      <c r="E2283" s="28">
        <v>43024</v>
      </c>
      <c r="F2283" s="28">
        <v>43435</v>
      </c>
      <c r="G2283" s="28">
        <v>43799</v>
      </c>
      <c r="H2283" s="29" t="s">
        <v>560</v>
      </c>
      <c r="I2283" s="29" t="s">
        <v>560</v>
      </c>
      <c r="J2283" s="29" t="s">
        <v>1662</v>
      </c>
      <c r="K2283" s="29" t="s">
        <v>3679</v>
      </c>
      <c r="L2283" s="29" t="s">
        <v>3680</v>
      </c>
      <c r="M2283" s="29" t="s">
        <v>3723</v>
      </c>
      <c r="N2283" s="29" t="s">
        <v>2077</v>
      </c>
      <c r="O2283" s="29" t="s">
        <v>590</v>
      </c>
    </row>
    <row r="2284" spans="1:15">
      <c r="A2284" s="25">
        <v>21770</v>
      </c>
      <c r="B2284" s="34" t="s">
        <v>3724</v>
      </c>
      <c r="C2284" s="31" t="s">
        <v>521</v>
      </c>
      <c r="D2284" s="31" t="s">
        <v>1609</v>
      </c>
      <c r="E2284" s="28">
        <v>43090</v>
      </c>
      <c r="F2284" s="28">
        <v>43121</v>
      </c>
      <c r="G2284" s="28">
        <v>43496</v>
      </c>
      <c r="H2284" s="29" t="s">
        <v>560</v>
      </c>
      <c r="I2284" s="29" t="s">
        <v>560</v>
      </c>
      <c r="J2284" s="29" t="s">
        <v>1662</v>
      </c>
      <c r="K2284" s="29" t="s">
        <v>3679</v>
      </c>
      <c r="L2284" s="29" t="s">
        <v>3680</v>
      </c>
      <c r="M2284" s="29" t="s">
        <v>3694</v>
      </c>
      <c r="N2284" s="29" t="s">
        <v>1434</v>
      </c>
      <c r="O2284" s="29" t="s">
        <v>590</v>
      </c>
    </row>
    <row r="2285" spans="1:15">
      <c r="A2285" s="25">
        <v>22098</v>
      </c>
      <c r="B2285" s="34" t="s">
        <v>3725</v>
      </c>
      <c r="C2285" s="31" t="s">
        <v>521</v>
      </c>
      <c r="D2285" s="31" t="s">
        <v>769</v>
      </c>
      <c r="E2285" s="28">
        <v>43150</v>
      </c>
      <c r="F2285" s="28">
        <v>43178</v>
      </c>
      <c r="G2285" s="28">
        <v>43555</v>
      </c>
      <c r="H2285" s="29" t="s">
        <v>560</v>
      </c>
      <c r="I2285" s="29" t="s">
        <v>560</v>
      </c>
      <c r="J2285" s="29" t="s">
        <v>1662</v>
      </c>
      <c r="K2285" s="29" t="s">
        <v>3679</v>
      </c>
      <c r="L2285" s="29" t="s">
        <v>3680</v>
      </c>
      <c r="M2285" s="29" t="s">
        <v>2030</v>
      </c>
      <c r="N2285" s="29" t="s">
        <v>2031</v>
      </c>
      <c r="O2285" s="29" t="s">
        <v>590</v>
      </c>
    </row>
    <row r="2286" spans="1:15">
      <c r="A2286" s="25">
        <v>22257</v>
      </c>
      <c r="B2286" s="34" t="s">
        <v>3726</v>
      </c>
      <c r="C2286" s="31" t="s">
        <v>521</v>
      </c>
      <c r="D2286" s="31" t="s">
        <v>1189</v>
      </c>
      <c r="E2286" s="28">
        <v>43171</v>
      </c>
      <c r="F2286" s="28">
        <v>43202</v>
      </c>
      <c r="G2286" s="28">
        <v>43555</v>
      </c>
      <c r="H2286" s="29" t="s">
        <v>560</v>
      </c>
      <c r="I2286" s="29" t="s">
        <v>560</v>
      </c>
      <c r="J2286" s="29" t="s">
        <v>1662</v>
      </c>
      <c r="K2286" s="29" t="s">
        <v>3679</v>
      </c>
      <c r="L2286" s="29" t="s">
        <v>3680</v>
      </c>
      <c r="M2286" s="29" t="s">
        <v>3686</v>
      </c>
      <c r="N2286" s="29" t="s">
        <v>1434</v>
      </c>
      <c r="O2286" s="29" t="s">
        <v>590</v>
      </c>
    </row>
    <row r="2287" spans="1:15">
      <c r="A2287" s="25">
        <v>22271</v>
      </c>
      <c r="B2287" s="26" t="s">
        <v>3727</v>
      </c>
      <c r="C2287" s="27" t="s">
        <v>521</v>
      </c>
      <c r="D2287" s="27" t="s">
        <v>1071</v>
      </c>
      <c r="E2287" s="28">
        <v>43181</v>
      </c>
      <c r="F2287" s="28">
        <v>43212</v>
      </c>
      <c r="G2287" s="28">
        <v>43585</v>
      </c>
      <c r="H2287" s="29" t="s">
        <v>560</v>
      </c>
      <c r="I2287" s="29" t="s">
        <v>560</v>
      </c>
      <c r="J2287" s="29" t="s">
        <v>1662</v>
      </c>
      <c r="K2287" s="29" t="s">
        <v>3679</v>
      </c>
      <c r="L2287" s="29" t="s">
        <v>3680</v>
      </c>
      <c r="M2287" s="29" t="s">
        <v>3402</v>
      </c>
      <c r="N2287" s="29" t="s">
        <v>2041</v>
      </c>
      <c r="O2287" s="29" t="s">
        <v>590</v>
      </c>
    </row>
    <row r="2288" spans="1:15">
      <c r="A2288" s="25">
        <v>22348</v>
      </c>
      <c r="B2288" s="34" t="s">
        <v>3728</v>
      </c>
      <c r="C2288" s="31" t="s">
        <v>521</v>
      </c>
      <c r="D2288" s="31" t="s">
        <v>694</v>
      </c>
      <c r="E2288" s="28">
        <v>43195</v>
      </c>
      <c r="F2288" s="28">
        <v>43225</v>
      </c>
      <c r="G2288" s="28">
        <v>43585</v>
      </c>
      <c r="H2288" s="29" t="s">
        <v>560</v>
      </c>
      <c r="I2288" s="29" t="s">
        <v>560</v>
      </c>
      <c r="J2288" s="29" t="s">
        <v>1662</v>
      </c>
      <c r="K2288" s="29" t="s">
        <v>3679</v>
      </c>
      <c r="L2288" s="29" t="s">
        <v>3680</v>
      </c>
      <c r="M2288" s="29" t="s">
        <v>3519</v>
      </c>
      <c r="N2288" s="29" t="s">
        <v>1434</v>
      </c>
      <c r="O2288" s="29" t="s">
        <v>590</v>
      </c>
    </row>
    <row r="2289" spans="1:15">
      <c r="A2289" s="25">
        <v>22425</v>
      </c>
      <c r="B2289" s="34" t="s">
        <v>3729</v>
      </c>
      <c r="C2289" s="31" t="s">
        <v>521</v>
      </c>
      <c r="D2289" s="31" t="s">
        <v>805</v>
      </c>
      <c r="E2289" s="28">
        <v>43213</v>
      </c>
      <c r="F2289" s="28">
        <v>43243</v>
      </c>
      <c r="G2289" s="28">
        <v>43616</v>
      </c>
      <c r="H2289" s="29" t="s">
        <v>560</v>
      </c>
      <c r="I2289" s="29" t="s">
        <v>560</v>
      </c>
      <c r="J2289" s="29" t="s">
        <v>1662</v>
      </c>
      <c r="K2289" s="29" t="s">
        <v>3679</v>
      </c>
      <c r="L2289" s="29" t="s">
        <v>3680</v>
      </c>
      <c r="M2289" s="29" t="s">
        <v>3551</v>
      </c>
      <c r="N2289" s="29" t="s">
        <v>1434</v>
      </c>
      <c r="O2289" s="29" t="s">
        <v>590</v>
      </c>
    </row>
    <row r="2290" spans="1:15">
      <c r="A2290" s="25">
        <v>22474</v>
      </c>
      <c r="B2290" s="34" t="s">
        <v>3730</v>
      </c>
      <c r="C2290" s="31" t="s">
        <v>521</v>
      </c>
      <c r="D2290" s="31" t="s">
        <v>1577</v>
      </c>
      <c r="E2290" s="28">
        <v>43220</v>
      </c>
      <c r="F2290" s="28">
        <v>43250</v>
      </c>
      <c r="G2290" s="28">
        <v>43616</v>
      </c>
      <c r="H2290" s="29" t="s">
        <v>560</v>
      </c>
      <c r="I2290" s="29" t="s">
        <v>560</v>
      </c>
      <c r="J2290" s="29" t="s">
        <v>1662</v>
      </c>
      <c r="K2290" s="29" t="s">
        <v>3679</v>
      </c>
      <c r="L2290" s="29" t="s">
        <v>3680</v>
      </c>
      <c r="M2290" s="29" t="s">
        <v>2079</v>
      </c>
      <c r="N2290" s="29" t="s">
        <v>2080</v>
      </c>
      <c r="O2290" s="29" t="s">
        <v>590</v>
      </c>
    </row>
    <row r="2291" spans="1:15">
      <c r="A2291" s="25">
        <v>22775</v>
      </c>
      <c r="B2291" s="34" t="s">
        <v>3731</v>
      </c>
      <c r="C2291" s="31" t="s">
        <v>521</v>
      </c>
      <c r="D2291" s="31" t="s">
        <v>771</v>
      </c>
      <c r="E2291" s="28">
        <v>43255</v>
      </c>
      <c r="F2291" s="28">
        <v>43285</v>
      </c>
      <c r="G2291" s="28">
        <v>43646</v>
      </c>
      <c r="H2291" s="29" t="s">
        <v>560</v>
      </c>
      <c r="I2291" s="29" t="s">
        <v>560</v>
      </c>
      <c r="J2291" s="29" t="s">
        <v>1662</v>
      </c>
      <c r="K2291" s="29" t="s">
        <v>3679</v>
      </c>
      <c r="L2291" s="29" t="s">
        <v>3680</v>
      </c>
      <c r="M2291" s="29" t="s">
        <v>3575</v>
      </c>
      <c r="N2291" s="29" t="s">
        <v>1434</v>
      </c>
      <c r="O2291" s="29" t="s">
        <v>590</v>
      </c>
    </row>
    <row r="2292" spans="1:15">
      <c r="A2292" s="25">
        <v>22841</v>
      </c>
      <c r="B2292" s="26" t="s">
        <v>3732</v>
      </c>
      <c r="C2292" s="27" t="s">
        <v>521</v>
      </c>
      <c r="D2292" s="27" t="s">
        <v>775</v>
      </c>
      <c r="E2292" s="28">
        <v>43333</v>
      </c>
      <c r="F2292" s="28">
        <v>43364</v>
      </c>
      <c r="G2292" s="28">
        <v>43738</v>
      </c>
      <c r="H2292" s="27" t="s">
        <v>560</v>
      </c>
      <c r="I2292" s="29" t="s">
        <v>560</v>
      </c>
      <c r="J2292" s="29" t="s">
        <v>1662</v>
      </c>
      <c r="K2292" s="29" t="s">
        <v>3679</v>
      </c>
      <c r="L2292" s="29" t="s">
        <v>3680</v>
      </c>
      <c r="M2292" s="29" t="s">
        <v>3541</v>
      </c>
      <c r="N2292" s="29" t="s">
        <v>2041</v>
      </c>
      <c r="O2292" s="29" t="s">
        <v>590</v>
      </c>
    </row>
    <row r="2293" spans="1:15">
      <c r="A2293" s="25">
        <v>22843</v>
      </c>
      <c r="B2293" s="34" t="s">
        <v>221</v>
      </c>
      <c r="C2293" s="31" t="s">
        <v>521</v>
      </c>
      <c r="D2293" s="31" t="s">
        <v>775</v>
      </c>
      <c r="E2293" s="28">
        <v>43333</v>
      </c>
      <c r="F2293" s="28">
        <v>43364</v>
      </c>
      <c r="G2293" s="28">
        <v>43738</v>
      </c>
      <c r="H2293" s="29" t="s">
        <v>560</v>
      </c>
      <c r="I2293" s="29" t="s">
        <v>560</v>
      </c>
      <c r="J2293" s="29" t="s">
        <v>1662</v>
      </c>
      <c r="K2293" s="29" t="s">
        <v>3679</v>
      </c>
      <c r="L2293" s="29" t="s">
        <v>3680</v>
      </c>
      <c r="M2293" s="29" t="s">
        <v>3539</v>
      </c>
      <c r="N2293" s="29" t="s">
        <v>2041</v>
      </c>
      <c r="O2293" s="29" t="s">
        <v>590</v>
      </c>
    </row>
    <row r="2294" spans="1:15">
      <c r="A2294" s="25">
        <v>23075</v>
      </c>
      <c r="B2294" s="34" t="s">
        <v>3733</v>
      </c>
      <c r="C2294" s="31" t="s">
        <v>521</v>
      </c>
      <c r="D2294" s="31" t="s">
        <v>1872</v>
      </c>
      <c r="E2294" s="28">
        <v>43361</v>
      </c>
      <c r="F2294" s="28">
        <v>43391</v>
      </c>
      <c r="G2294" s="28">
        <v>43769</v>
      </c>
      <c r="H2294" s="29" t="s">
        <v>560</v>
      </c>
      <c r="I2294" s="29" t="s">
        <v>560</v>
      </c>
      <c r="J2294" s="29" t="s">
        <v>1662</v>
      </c>
      <c r="K2294" s="29" t="s">
        <v>3679</v>
      </c>
      <c r="L2294" s="29" t="s">
        <v>3680</v>
      </c>
      <c r="M2294" s="29" t="s">
        <v>3533</v>
      </c>
      <c r="N2294" s="29" t="s">
        <v>2041</v>
      </c>
      <c r="O2294" s="29" t="s">
        <v>590</v>
      </c>
    </row>
    <row r="2295" spans="1:15">
      <c r="A2295" s="25">
        <v>23201</v>
      </c>
      <c r="B2295" s="34" t="s">
        <v>3734</v>
      </c>
      <c r="C2295" s="31" t="s">
        <v>521</v>
      </c>
      <c r="D2295" s="31" t="s">
        <v>1582</v>
      </c>
      <c r="E2295" s="28">
        <v>43421</v>
      </c>
      <c r="F2295" s="28">
        <v>43451</v>
      </c>
      <c r="G2295" s="28">
        <v>43830</v>
      </c>
      <c r="H2295" s="29" t="s">
        <v>560</v>
      </c>
      <c r="I2295" s="29" t="s">
        <v>560</v>
      </c>
      <c r="J2295" s="29" t="s">
        <v>1662</v>
      </c>
      <c r="K2295" s="29" t="s">
        <v>3653</v>
      </c>
      <c r="L2295" s="29" t="s">
        <v>3680</v>
      </c>
      <c r="M2295" s="29" t="s">
        <v>3508</v>
      </c>
      <c r="N2295" s="29" t="s">
        <v>1434</v>
      </c>
      <c r="O2295" s="29" t="s">
        <v>590</v>
      </c>
    </row>
    <row r="2296" spans="1:15">
      <c r="A2296" s="25">
        <v>23393</v>
      </c>
      <c r="B2296" s="34" t="s">
        <v>3735</v>
      </c>
      <c r="C2296" s="31" t="s">
        <v>521</v>
      </c>
      <c r="D2296" s="31" t="s">
        <v>882</v>
      </c>
      <c r="E2296" s="28">
        <v>43434</v>
      </c>
      <c r="F2296" s="28">
        <v>43464</v>
      </c>
      <c r="G2296" s="28">
        <v>43830</v>
      </c>
      <c r="H2296" s="29" t="s">
        <v>560</v>
      </c>
      <c r="I2296" s="29" t="s">
        <v>560</v>
      </c>
      <c r="J2296" s="29" t="s">
        <v>1662</v>
      </c>
      <c r="K2296" s="29" t="s">
        <v>3653</v>
      </c>
      <c r="L2296" s="29" t="s">
        <v>3680</v>
      </c>
      <c r="M2296" s="29" t="s">
        <v>3535</v>
      </c>
      <c r="N2296" s="29" t="s">
        <v>2041</v>
      </c>
      <c r="O2296" s="29" t="s">
        <v>590</v>
      </c>
    </row>
    <row r="2297" spans="1:15">
      <c r="A2297" s="25">
        <v>23487</v>
      </c>
      <c r="B2297" s="34" t="s">
        <v>3736</v>
      </c>
      <c r="C2297" s="31" t="s">
        <v>521</v>
      </c>
      <c r="D2297" s="31" t="s">
        <v>1588</v>
      </c>
      <c r="E2297" s="28">
        <v>43441</v>
      </c>
      <c r="F2297" s="28">
        <v>43472</v>
      </c>
      <c r="G2297" s="28">
        <v>43830</v>
      </c>
      <c r="H2297" s="29" t="s">
        <v>560</v>
      </c>
      <c r="I2297" s="29" t="s">
        <v>560</v>
      </c>
      <c r="J2297" s="29" t="s">
        <v>1662</v>
      </c>
      <c r="K2297" s="29" t="s">
        <v>3679</v>
      </c>
      <c r="L2297" s="29" t="s">
        <v>3680</v>
      </c>
      <c r="M2297" s="29" t="s">
        <v>3737</v>
      </c>
      <c r="N2297" s="29" t="s">
        <v>2077</v>
      </c>
      <c r="O2297" s="29" t="s">
        <v>590</v>
      </c>
    </row>
    <row r="2298" spans="1:15">
      <c r="A2298" s="25" t="s">
        <v>3738</v>
      </c>
      <c r="B2298" s="26" t="s">
        <v>3739</v>
      </c>
      <c r="C2298" s="27" t="s">
        <v>521</v>
      </c>
      <c r="D2298" s="27" t="s">
        <v>1846</v>
      </c>
      <c r="E2298" s="28">
        <v>40840</v>
      </c>
      <c r="F2298" s="28" t="s">
        <v>35</v>
      </c>
      <c r="G2298" s="28" t="s">
        <v>35</v>
      </c>
      <c r="H2298" s="27" t="s">
        <v>560</v>
      </c>
      <c r="I2298" s="27" t="s">
        <v>560</v>
      </c>
      <c r="J2298" s="29" t="s">
        <v>1662</v>
      </c>
      <c r="K2298" s="29" t="s">
        <v>3679</v>
      </c>
      <c r="L2298" s="29" t="s">
        <v>3680</v>
      </c>
      <c r="M2298" s="29" t="s">
        <v>2238</v>
      </c>
      <c r="N2298" s="29" t="s">
        <v>1434</v>
      </c>
      <c r="O2298" s="29" t="s">
        <v>590</v>
      </c>
    </row>
    <row r="2299" spans="1:15">
      <c r="A2299" s="25">
        <v>23601</v>
      </c>
      <c r="B2299" s="34" t="s">
        <v>3740</v>
      </c>
      <c r="C2299" s="31" t="s">
        <v>521</v>
      </c>
      <c r="D2299" s="31" t="s">
        <v>884</v>
      </c>
      <c r="E2299" s="28">
        <v>43452</v>
      </c>
      <c r="F2299" s="28">
        <v>43483</v>
      </c>
      <c r="G2299" s="28">
        <v>43861</v>
      </c>
      <c r="H2299" s="29" t="s">
        <v>560</v>
      </c>
      <c r="I2299" s="29" t="s">
        <v>560</v>
      </c>
      <c r="J2299" s="29" t="s">
        <v>1662</v>
      </c>
      <c r="K2299" s="29" t="s">
        <v>3679</v>
      </c>
      <c r="L2299" s="29" t="s">
        <v>3680</v>
      </c>
      <c r="M2299" s="29" t="s">
        <v>3111</v>
      </c>
      <c r="N2299" s="29" t="s">
        <v>1434</v>
      </c>
      <c r="O2299" s="29" t="s">
        <v>590</v>
      </c>
    </row>
    <row r="2300" spans="1:15">
      <c r="A2300" s="25">
        <v>10383</v>
      </c>
      <c r="B2300" s="26" t="s">
        <v>3741</v>
      </c>
      <c r="C2300" s="27" t="s">
        <v>521</v>
      </c>
      <c r="D2300" s="27" t="s">
        <v>1497</v>
      </c>
      <c r="E2300" s="28">
        <v>40513</v>
      </c>
      <c r="F2300" s="28" t="s">
        <v>35</v>
      </c>
      <c r="G2300" s="28" t="s">
        <v>35</v>
      </c>
      <c r="H2300" s="27" t="s">
        <v>560</v>
      </c>
      <c r="I2300" s="31" t="s">
        <v>560</v>
      </c>
      <c r="J2300" s="29" t="s">
        <v>1662</v>
      </c>
      <c r="K2300" s="29" t="s">
        <v>3742</v>
      </c>
      <c r="L2300" s="29" t="s">
        <v>3743</v>
      </c>
      <c r="M2300" s="29" t="s">
        <v>1550</v>
      </c>
      <c r="N2300" s="29" t="s">
        <v>1045</v>
      </c>
      <c r="O2300" s="29" t="s">
        <v>594</v>
      </c>
    </row>
    <row r="2301" spans="1:15">
      <c r="A2301" s="25">
        <v>12782</v>
      </c>
      <c r="B2301" s="26" t="s">
        <v>3744</v>
      </c>
      <c r="C2301" s="27" t="s">
        <v>521</v>
      </c>
      <c r="D2301" s="27" t="s">
        <v>1739</v>
      </c>
      <c r="E2301" s="28">
        <v>40819</v>
      </c>
      <c r="F2301" s="28" t="s">
        <v>35</v>
      </c>
      <c r="G2301" s="28" t="s">
        <v>35</v>
      </c>
      <c r="H2301" s="27" t="s">
        <v>560</v>
      </c>
      <c r="I2301" s="31" t="s">
        <v>560</v>
      </c>
      <c r="J2301" s="29" t="s">
        <v>1662</v>
      </c>
      <c r="K2301" s="29" t="s">
        <v>3742</v>
      </c>
      <c r="L2301" s="29" t="s">
        <v>3743</v>
      </c>
      <c r="M2301" s="29" t="s">
        <v>3745</v>
      </c>
      <c r="N2301" s="29" t="s">
        <v>1586</v>
      </c>
      <c r="O2301" s="29" t="s">
        <v>594</v>
      </c>
    </row>
    <row r="2302" spans="1:15">
      <c r="A2302" s="25">
        <v>20535</v>
      </c>
      <c r="B2302" s="26" t="s">
        <v>3746</v>
      </c>
      <c r="C2302" s="27" t="s">
        <v>521</v>
      </c>
      <c r="D2302" s="27" t="s">
        <v>1644</v>
      </c>
      <c r="E2302" s="28">
        <v>42634</v>
      </c>
      <c r="F2302" s="28">
        <v>43132</v>
      </c>
      <c r="G2302" s="28">
        <v>43496</v>
      </c>
      <c r="H2302" s="25" t="s">
        <v>560</v>
      </c>
      <c r="I2302" s="31" t="s">
        <v>560</v>
      </c>
      <c r="J2302" s="29" t="s">
        <v>1662</v>
      </c>
      <c r="K2302" s="29" t="s">
        <v>3742</v>
      </c>
      <c r="L2302" s="29" t="s">
        <v>3743</v>
      </c>
      <c r="M2302" s="29" t="s">
        <v>2025</v>
      </c>
      <c r="N2302" s="29" t="s">
        <v>2026</v>
      </c>
      <c r="O2302" s="29" t="s">
        <v>594</v>
      </c>
    </row>
    <row r="2303" spans="1:15">
      <c r="A2303" s="25">
        <v>20615</v>
      </c>
      <c r="B2303" s="26" t="s">
        <v>3747</v>
      </c>
      <c r="C2303" s="27" t="s">
        <v>521</v>
      </c>
      <c r="D2303" s="27" t="s">
        <v>673</v>
      </c>
      <c r="E2303" s="28">
        <v>42639</v>
      </c>
      <c r="F2303" s="28">
        <v>43132</v>
      </c>
      <c r="G2303" s="28">
        <v>43496</v>
      </c>
      <c r="H2303" s="25" t="s">
        <v>560</v>
      </c>
      <c r="I2303" s="29" t="s">
        <v>560</v>
      </c>
      <c r="J2303" s="29" t="s">
        <v>1662</v>
      </c>
      <c r="K2303" s="29" t="s">
        <v>3742</v>
      </c>
      <c r="L2303" s="29" t="s">
        <v>3743</v>
      </c>
      <c r="M2303" s="29" t="s">
        <v>2118</v>
      </c>
      <c r="N2303" s="29" t="s">
        <v>2041</v>
      </c>
      <c r="O2303" s="29" t="s">
        <v>594</v>
      </c>
    </row>
    <row r="2304" spans="1:15">
      <c r="A2304" s="25">
        <v>20660</v>
      </c>
      <c r="B2304" s="26" t="s">
        <v>3748</v>
      </c>
      <c r="C2304" s="27" t="s">
        <v>521</v>
      </c>
      <c r="D2304" s="27" t="s">
        <v>673</v>
      </c>
      <c r="E2304" s="28">
        <v>42639</v>
      </c>
      <c r="F2304" s="28">
        <v>43132</v>
      </c>
      <c r="G2304" s="28">
        <v>43496</v>
      </c>
      <c r="H2304" s="25" t="s">
        <v>560</v>
      </c>
      <c r="I2304" s="31" t="s">
        <v>560</v>
      </c>
      <c r="J2304" s="29" t="s">
        <v>1662</v>
      </c>
      <c r="K2304" s="29" t="s">
        <v>3742</v>
      </c>
      <c r="L2304" s="29" t="s">
        <v>3743</v>
      </c>
      <c r="M2304" s="29" t="s">
        <v>3290</v>
      </c>
      <c r="N2304" s="29" t="s">
        <v>1434</v>
      </c>
      <c r="O2304" s="29" t="s">
        <v>594</v>
      </c>
    </row>
    <row r="2305" spans="1:15">
      <c r="A2305" s="25">
        <v>21235</v>
      </c>
      <c r="B2305" s="26" t="s">
        <v>3749</v>
      </c>
      <c r="C2305" s="27" t="s">
        <v>521</v>
      </c>
      <c r="D2305" s="27" t="s">
        <v>2670</v>
      </c>
      <c r="E2305" s="28">
        <v>42893</v>
      </c>
      <c r="F2305" s="28">
        <v>43374</v>
      </c>
      <c r="G2305" s="28">
        <v>43738</v>
      </c>
      <c r="H2305" s="29" t="s">
        <v>560</v>
      </c>
      <c r="I2305" s="29" t="s">
        <v>560</v>
      </c>
      <c r="J2305" s="29" t="s">
        <v>1662</v>
      </c>
      <c r="K2305" s="29" t="s">
        <v>3742</v>
      </c>
      <c r="L2305" s="29" t="s">
        <v>3743</v>
      </c>
      <c r="M2305" s="29" t="s">
        <v>3700</v>
      </c>
      <c r="N2305" s="29" t="s">
        <v>1434</v>
      </c>
      <c r="O2305" s="29" t="s">
        <v>594</v>
      </c>
    </row>
    <row r="2306" spans="1:15">
      <c r="A2306" s="25">
        <v>21355</v>
      </c>
      <c r="B2306" s="34" t="s">
        <v>3750</v>
      </c>
      <c r="C2306" s="31" t="s">
        <v>521</v>
      </c>
      <c r="D2306" s="31" t="s">
        <v>2162</v>
      </c>
      <c r="E2306" s="28">
        <v>43013</v>
      </c>
      <c r="F2306" s="28">
        <v>43405</v>
      </c>
      <c r="G2306" s="28">
        <v>43769</v>
      </c>
      <c r="H2306" s="29" t="s">
        <v>560</v>
      </c>
      <c r="I2306" s="29" t="s">
        <v>560</v>
      </c>
      <c r="J2306" s="29" t="s">
        <v>1662</v>
      </c>
      <c r="K2306" s="29" t="s">
        <v>3742</v>
      </c>
      <c r="L2306" s="29" t="s">
        <v>3743</v>
      </c>
      <c r="M2306" s="29" t="s">
        <v>2222</v>
      </c>
      <c r="N2306" s="29" t="s">
        <v>2023</v>
      </c>
      <c r="O2306" s="29" t="s">
        <v>594</v>
      </c>
    </row>
    <row r="2307" spans="1:15">
      <c r="A2307" s="25">
        <v>21581</v>
      </c>
      <c r="B2307" s="34" t="s">
        <v>3751</v>
      </c>
      <c r="C2307" s="31" t="s">
        <v>521</v>
      </c>
      <c r="D2307" s="31" t="s">
        <v>1603</v>
      </c>
      <c r="E2307" s="28">
        <v>43048</v>
      </c>
      <c r="F2307" s="28">
        <v>43435</v>
      </c>
      <c r="G2307" s="28">
        <v>43799</v>
      </c>
      <c r="H2307" s="29" t="s">
        <v>560</v>
      </c>
      <c r="I2307" s="29" t="s">
        <v>560</v>
      </c>
      <c r="J2307" s="29" t="s">
        <v>1662</v>
      </c>
      <c r="K2307" s="29" t="s">
        <v>3742</v>
      </c>
      <c r="L2307" s="29" t="s">
        <v>3743</v>
      </c>
      <c r="M2307" s="29" t="s">
        <v>3752</v>
      </c>
      <c r="N2307" s="29" t="s">
        <v>2041</v>
      </c>
      <c r="O2307" s="29" t="s">
        <v>594</v>
      </c>
    </row>
    <row r="2308" spans="1:15">
      <c r="A2308" s="25">
        <v>21733</v>
      </c>
      <c r="B2308" s="34" t="s">
        <v>3753</v>
      </c>
      <c r="C2308" s="31" t="s">
        <v>521</v>
      </c>
      <c r="D2308" s="31" t="s">
        <v>663</v>
      </c>
      <c r="E2308" s="28">
        <v>43087</v>
      </c>
      <c r="F2308" s="28">
        <v>43118</v>
      </c>
      <c r="G2308" s="28">
        <v>43496</v>
      </c>
      <c r="H2308" s="29" t="s">
        <v>560</v>
      </c>
      <c r="I2308" s="29" t="s">
        <v>560</v>
      </c>
      <c r="J2308" s="29" t="s">
        <v>1662</v>
      </c>
      <c r="K2308" s="29" t="s">
        <v>3742</v>
      </c>
      <c r="L2308" s="29" t="s">
        <v>3743</v>
      </c>
      <c r="M2308" s="29" t="s">
        <v>2222</v>
      </c>
      <c r="N2308" s="29" t="s">
        <v>2023</v>
      </c>
      <c r="O2308" s="29" t="s">
        <v>594</v>
      </c>
    </row>
    <row r="2309" spans="1:15">
      <c r="A2309" s="25">
        <v>21786</v>
      </c>
      <c r="B2309" s="34" t="s">
        <v>3754</v>
      </c>
      <c r="C2309" s="31" t="s">
        <v>521</v>
      </c>
      <c r="D2309" s="31" t="s">
        <v>1609</v>
      </c>
      <c r="E2309" s="28">
        <v>43090</v>
      </c>
      <c r="F2309" s="28">
        <v>43121</v>
      </c>
      <c r="G2309" s="28">
        <v>43496</v>
      </c>
      <c r="H2309" s="29" t="s">
        <v>560</v>
      </c>
      <c r="I2309" s="29" t="s">
        <v>560</v>
      </c>
      <c r="J2309" s="29" t="s">
        <v>1662</v>
      </c>
      <c r="K2309" s="29" t="s">
        <v>3742</v>
      </c>
      <c r="L2309" s="29" t="s">
        <v>3743</v>
      </c>
      <c r="M2309" s="29" t="s">
        <v>3689</v>
      </c>
      <c r="N2309" s="29" t="s">
        <v>1434</v>
      </c>
      <c r="O2309" s="29" t="s">
        <v>594</v>
      </c>
    </row>
    <row r="2310" spans="1:15">
      <c r="A2310" s="25">
        <v>21803</v>
      </c>
      <c r="B2310" s="34" t="s">
        <v>3755</v>
      </c>
      <c r="C2310" s="31" t="s">
        <v>521</v>
      </c>
      <c r="D2310" s="31" t="s">
        <v>1609</v>
      </c>
      <c r="E2310" s="28">
        <v>43090</v>
      </c>
      <c r="F2310" s="28">
        <v>43121</v>
      </c>
      <c r="G2310" s="28">
        <v>43496</v>
      </c>
      <c r="H2310" s="27" t="s">
        <v>560</v>
      </c>
      <c r="I2310" s="27" t="s">
        <v>560</v>
      </c>
      <c r="J2310" s="29" t="s">
        <v>1662</v>
      </c>
      <c r="K2310" s="29" t="s">
        <v>3742</v>
      </c>
      <c r="L2310" s="29" t="s">
        <v>3743</v>
      </c>
      <c r="M2310" s="29" t="s">
        <v>2619</v>
      </c>
      <c r="N2310" s="29" t="s">
        <v>2041</v>
      </c>
      <c r="O2310" s="29" t="s">
        <v>594</v>
      </c>
    </row>
    <row r="2311" spans="1:15">
      <c r="A2311" s="25">
        <v>22392</v>
      </c>
      <c r="B2311" s="34" t="s">
        <v>3756</v>
      </c>
      <c r="C2311" s="31" t="s">
        <v>521</v>
      </c>
      <c r="D2311" s="31" t="s">
        <v>805</v>
      </c>
      <c r="E2311" s="28">
        <v>43213</v>
      </c>
      <c r="F2311" s="28">
        <v>43243</v>
      </c>
      <c r="G2311" s="28">
        <v>43616</v>
      </c>
      <c r="H2311" s="29" t="s">
        <v>560</v>
      </c>
      <c r="I2311" s="29" t="s">
        <v>560</v>
      </c>
      <c r="J2311" s="29" t="s">
        <v>1662</v>
      </c>
      <c r="K2311" s="29" t="s">
        <v>3742</v>
      </c>
      <c r="L2311" s="29" t="s">
        <v>3743</v>
      </c>
      <c r="M2311" s="29" t="s">
        <v>3111</v>
      </c>
      <c r="N2311" s="29" t="s">
        <v>1434</v>
      </c>
      <c r="O2311" s="29" t="s">
        <v>594</v>
      </c>
    </row>
    <row r="2312" spans="1:15">
      <c r="A2312" s="25">
        <v>22482</v>
      </c>
      <c r="B2312" s="34" t="s">
        <v>3757</v>
      </c>
      <c r="C2312" s="31" t="s">
        <v>521</v>
      </c>
      <c r="D2312" s="31" t="s">
        <v>773</v>
      </c>
      <c r="E2312" s="28">
        <v>43224</v>
      </c>
      <c r="F2312" s="28">
        <v>43255</v>
      </c>
      <c r="G2312" s="28">
        <v>43616</v>
      </c>
      <c r="H2312" s="29" t="s">
        <v>560</v>
      </c>
      <c r="I2312" s="29" t="s">
        <v>560</v>
      </c>
      <c r="J2312" s="29" t="s">
        <v>1662</v>
      </c>
      <c r="K2312" s="29" t="s">
        <v>3742</v>
      </c>
      <c r="L2312" s="29" t="s">
        <v>3743</v>
      </c>
      <c r="M2312" s="29" t="s">
        <v>3758</v>
      </c>
      <c r="N2312" s="29" t="s">
        <v>2041</v>
      </c>
      <c r="O2312" s="29" t="s">
        <v>594</v>
      </c>
    </row>
    <row r="2313" spans="1:15">
      <c r="A2313" s="25">
        <v>23248</v>
      </c>
      <c r="B2313" s="34" t="s">
        <v>3759</v>
      </c>
      <c r="C2313" s="31" t="s">
        <v>521</v>
      </c>
      <c r="D2313" s="31" t="s">
        <v>1582</v>
      </c>
      <c r="E2313" s="28">
        <v>43421</v>
      </c>
      <c r="F2313" s="28">
        <v>43451</v>
      </c>
      <c r="G2313" s="28">
        <v>43830</v>
      </c>
      <c r="H2313" s="29" t="s">
        <v>560</v>
      </c>
      <c r="I2313" s="29" t="s">
        <v>560</v>
      </c>
      <c r="J2313" s="29" t="s">
        <v>1662</v>
      </c>
      <c r="K2313" s="29" t="s">
        <v>3742</v>
      </c>
      <c r="L2313" s="29" t="s">
        <v>3743</v>
      </c>
      <c r="M2313" s="29" t="s">
        <v>2118</v>
      </c>
      <c r="N2313" s="29" t="s">
        <v>2041</v>
      </c>
      <c r="O2313" s="29" t="s">
        <v>594</v>
      </c>
    </row>
    <row r="2314" spans="1:15">
      <c r="A2314" s="25">
        <v>23495</v>
      </c>
      <c r="B2314" s="34" t="s">
        <v>3760</v>
      </c>
      <c r="C2314" s="31" t="s">
        <v>521</v>
      </c>
      <c r="D2314" s="31" t="s">
        <v>1588</v>
      </c>
      <c r="E2314" s="28">
        <v>43441</v>
      </c>
      <c r="F2314" s="28">
        <v>43472</v>
      </c>
      <c r="G2314" s="28">
        <v>43830</v>
      </c>
      <c r="H2314" s="29" t="s">
        <v>560</v>
      </c>
      <c r="I2314" s="29" t="s">
        <v>560</v>
      </c>
      <c r="J2314" s="29" t="s">
        <v>1662</v>
      </c>
      <c r="K2314" s="29" t="s">
        <v>3742</v>
      </c>
      <c r="L2314" s="29" t="s">
        <v>3743</v>
      </c>
      <c r="M2314" s="29" t="s">
        <v>2296</v>
      </c>
      <c r="N2314" s="29" t="s">
        <v>1586</v>
      </c>
      <c r="O2314" s="29" t="s">
        <v>594</v>
      </c>
    </row>
    <row r="2315" spans="1:15">
      <c r="A2315" s="25">
        <v>23526</v>
      </c>
      <c r="B2315" s="34" t="s">
        <v>3761</v>
      </c>
      <c r="C2315" s="31" t="s">
        <v>521</v>
      </c>
      <c r="D2315" s="31" t="s">
        <v>1588</v>
      </c>
      <c r="E2315" s="28">
        <v>43441</v>
      </c>
      <c r="F2315" s="28">
        <v>43472</v>
      </c>
      <c r="G2315" s="28">
        <v>43830</v>
      </c>
      <c r="H2315" s="29" t="s">
        <v>560</v>
      </c>
      <c r="I2315" s="29" t="s">
        <v>560</v>
      </c>
      <c r="J2315" s="29" t="s">
        <v>1662</v>
      </c>
      <c r="K2315" s="29" t="s">
        <v>3742</v>
      </c>
      <c r="L2315" s="29" t="s">
        <v>3743</v>
      </c>
      <c r="M2315" s="29" t="s">
        <v>3762</v>
      </c>
      <c r="N2315" s="29" t="s">
        <v>1586</v>
      </c>
      <c r="O2315" s="29" t="s">
        <v>594</v>
      </c>
    </row>
    <row r="2316" spans="1:15">
      <c r="A2316" s="25">
        <v>23572</v>
      </c>
      <c r="B2316" s="34" t="s">
        <v>3763</v>
      </c>
      <c r="C2316" s="31" t="s">
        <v>521</v>
      </c>
      <c r="D2316" s="31" t="s">
        <v>884</v>
      </c>
      <c r="E2316" s="28">
        <v>43452</v>
      </c>
      <c r="F2316" s="28">
        <v>43483</v>
      </c>
      <c r="G2316" s="28">
        <v>43861</v>
      </c>
      <c r="H2316" s="29" t="s">
        <v>560</v>
      </c>
      <c r="I2316" s="29" t="s">
        <v>560</v>
      </c>
      <c r="J2316" s="29" t="s">
        <v>1662</v>
      </c>
      <c r="K2316" s="29" t="s">
        <v>3742</v>
      </c>
      <c r="L2316" s="29" t="s">
        <v>3743</v>
      </c>
      <c r="M2316" s="29" t="s">
        <v>3162</v>
      </c>
      <c r="N2316" s="29" t="s">
        <v>1586</v>
      </c>
      <c r="O2316" s="29" t="s">
        <v>594</v>
      </c>
    </row>
    <row r="2317" spans="1:15">
      <c r="A2317" s="25">
        <v>8786</v>
      </c>
      <c r="B2317" s="26" t="s">
        <v>3764</v>
      </c>
      <c r="C2317" s="27" t="s">
        <v>521</v>
      </c>
      <c r="D2317" s="27" t="s">
        <v>747</v>
      </c>
      <c r="E2317" s="28">
        <v>39931</v>
      </c>
      <c r="F2317" s="28" t="s">
        <v>35</v>
      </c>
      <c r="G2317" s="28" t="s">
        <v>35</v>
      </c>
      <c r="H2317" s="27" t="s">
        <v>560</v>
      </c>
      <c r="I2317" s="31" t="s">
        <v>560</v>
      </c>
      <c r="J2317" s="29" t="s">
        <v>1662</v>
      </c>
      <c r="K2317" s="29" t="s">
        <v>3742</v>
      </c>
      <c r="L2317" s="29" t="s">
        <v>3743</v>
      </c>
      <c r="M2317" s="29" t="s">
        <v>1550</v>
      </c>
      <c r="N2317" s="29" t="s">
        <v>1045</v>
      </c>
      <c r="O2317" s="29" t="s">
        <v>590</v>
      </c>
    </row>
    <row r="2318" spans="1:15">
      <c r="A2318" s="25">
        <v>11189</v>
      </c>
      <c r="B2318" s="26" t="s">
        <v>3765</v>
      </c>
      <c r="C2318" s="27" t="s">
        <v>521</v>
      </c>
      <c r="D2318" s="27" t="s">
        <v>2657</v>
      </c>
      <c r="E2318" s="28">
        <v>40610</v>
      </c>
      <c r="F2318" s="28" t="s">
        <v>35</v>
      </c>
      <c r="G2318" s="28" t="s">
        <v>35</v>
      </c>
      <c r="H2318" s="29" t="s">
        <v>560</v>
      </c>
      <c r="I2318" s="29" t="s">
        <v>560</v>
      </c>
      <c r="J2318" s="29" t="s">
        <v>1662</v>
      </c>
      <c r="K2318" s="29" t="s">
        <v>3742</v>
      </c>
      <c r="L2318" s="29" t="s">
        <v>3743</v>
      </c>
      <c r="M2318" s="29" t="s">
        <v>3752</v>
      </c>
      <c r="N2318" s="29" t="s">
        <v>2041</v>
      </c>
      <c r="O2318" s="29" t="s">
        <v>590</v>
      </c>
    </row>
    <row r="2319" spans="1:15">
      <c r="A2319" s="25">
        <v>12201</v>
      </c>
      <c r="B2319" s="26" t="s">
        <v>420</v>
      </c>
      <c r="C2319" s="27" t="s">
        <v>521</v>
      </c>
      <c r="D2319" s="27" t="s">
        <v>750</v>
      </c>
      <c r="E2319" s="28">
        <v>40802</v>
      </c>
      <c r="F2319" s="28" t="s">
        <v>35</v>
      </c>
      <c r="G2319" s="28" t="s">
        <v>35</v>
      </c>
      <c r="H2319" s="29" t="s">
        <v>560</v>
      </c>
      <c r="I2319" s="29" t="s">
        <v>560</v>
      </c>
      <c r="J2319" s="29" t="s">
        <v>1662</v>
      </c>
      <c r="K2319" s="29" t="s">
        <v>3742</v>
      </c>
      <c r="L2319" s="29" t="s">
        <v>3743</v>
      </c>
      <c r="M2319" s="29" t="s">
        <v>3766</v>
      </c>
      <c r="N2319" s="29" t="s">
        <v>1586</v>
      </c>
      <c r="O2319" s="29" t="s">
        <v>590</v>
      </c>
    </row>
    <row r="2320" spans="1:15">
      <c r="A2320" s="25">
        <v>20518</v>
      </c>
      <c r="B2320" s="26" t="s">
        <v>3767</v>
      </c>
      <c r="C2320" s="27" t="s">
        <v>521</v>
      </c>
      <c r="D2320" s="27" t="s">
        <v>1644</v>
      </c>
      <c r="E2320" s="28">
        <v>42634</v>
      </c>
      <c r="F2320" s="28">
        <v>43132</v>
      </c>
      <c r="G2320" s="28">
        <v>43496</v>
      </c>
      <c r="H2320" s="25" t="s">
        <v>560</v>
      </c>
      <c r="I2320" s="27" t="s">
        <v>560</v>
      </c>
      <c r="J2320" s="29" t="s">
        <v>1662</v>
      </c>
      <c r="K2320" s="29" t="s">
        <v>3742</v>
      </c>
      <c r="L2320" s="29" t="s">
        <v>3743</v>
      </c>
      <c r="M2320" s="29" t="s">
        <v>3700</v>
      </c>
      <c r="N2320" s="29" t="s">
        <v>1434</v>
      </c>
      <c r="O2320" s="29" t="s">
        <v>590</v>
      </c>
    </row>
    <row r="2321" spans="1:15">
      <c r="A2321" s="25">
        <v>20692</v>
      </c>
      <c r="B2321" s="26" t="s">
        <v>3768</v>
      </c>
      <c r="C2321" s="27" t="s">
        <v>521</v>
      </c>
      <c r="D2321" s="27" t="s">
        <v>673</v>
      </c>
      <c r="E2321" s="28">
        <v>42639</v>
      </c>
      <c r="F2321" s="28">
        <v>43132</v>
      </c>
      <c r="G2321" s="28">
        <v>43496</v>
      </c>
      <c r="H2321" s="25" t="s">
        <v>560</v>
      </c>
      <c r="I2321" s="31" t="s">
        <v>560</v>
      </c>
      <c r="J2321" s="29" t="s">
        <v>1662</v>
      </c>
      <c r="K2321" s="29" t="s">
        <v>3742</v>
      </c>
      <c r="L2321" s="29" t="s">
        <v>3743</v>
      </c>
      <c r="M2321" s="29" t="s">
        <v>2025</v>
      </c>
      <c r="N2321" s="29" t="s">
        <v>2026</v>
      </c>
      <c r="O2321" s="29" t="s">
        <v>590</v>
      </c>
    </row>
    <row r="2322" spans="1:15">
      <c r="A2322" s="25">
        <v>21151</v>
      </c>
      <c r="B2322" s="26" t="s">
        <v>3769</v>
      </c>
      <c r="C2322" s="27" t="s">
        <v>521</v>
      </c>
      <c r="D2322" s="27" t="s">
        <v>1676</v>
      </c>
      <c r="E2322" s="28">
        <v>42871</v>
      </c>
      <c r="F2322" s="28">
        <v>43374</v>
      </c>
      <c r="G2322" s="28">
        <v>43738</v>
      </c>
      <c r="H2322" s="25" t="s">
        <v>560</v>
      </c>
      <c r="I2322" s="31" t="s">
        <v>560</v>
      </c>
      <c r="J2322" s="29" t="s">
        <v>1662</v>
      </c>
      <c r="K2322" s="29" t="s">
        <v>3742</v>
      </c>
      <c r="L2322" s="29" t="s">
        <v>3743</v>
      </c>
      <c r="M2322" s="29" t="s">
        <v>3111</v>
      </c>
      <c r="N2322" s="29" t="s">
        <v>1434</v>
      </c>
      <c r="O2322" s="29" t="s">
        <v>590</v>
      </c>
    </row>
    <row r="2323" spans="1:15">
      <c r="A2323" s="25">
        <v>22064</v>
      </c>
      <c r="B2323" s="34" t="s">
        <v>3770</v>
      </c>
      <c r="C2323" s="31" t="s">
        <v>521</v>
      </c>
      <c r="D2323" s="31" t="s">
        <v>769</v>
      </c>
      <c r="E2323" s="28">
        <v>43150</v>
      </c>
      <c r="F2323" s="28">
        <v>43178</v>
      </c>
      <c r="G2323" s="28">
        <v>43555</v>
      </c>
      <c r="H2323" s="29" t="s">
        <v>560</v>
      </c>
      <c r="I2323" s="29" t="s">
        <v>560</v>
      </c>
      <c r="J2323" s="29" t="s">
        <v>1662</v>
      </c>
      <c r="K2323" s="29" t="s">
        <v>3742</v>
      </c>
      <c r="L2323" s="29" t="s">
        <v>3743</v>
      </c>
      <c r="M2323" s="29" t="s">
        <v>3771</v>
      </c>
      <c r="N2323" s="29" t="s">
        <v>2041</v>
      </c>
      <c r="O2323" s="29" t="s">
        <v>590</v>
      </c>
    </row>
    <row r="2324" spans="1:15">
      <c r="A2324" s="25">
        <v>22091</v>
      </c>
      <c r="B2324" s="34" t="s">
        <v>3772</v>
      </c>
      <c r="C2324" s="31" t="s">
        <v>521</v>
      </c>
      <c r="D2324" s="31" t="s">
        <v>769</v>
      </c>
      <c r="E2324" s="28">
        <v>43150</v>
      </c>
      <c r="F2324" s="28">
        <v>43178</v>
      </c>
      <c r="G2324" s="28">
        <v>43555</v>
      </c>
      <c r="H2324" s="29" t="s">
        <v>560</v>
      </c>
      <c r="I2324" s="29" t="s">
        <v>560</v>
      </c>
      <c r="J2324" s="29" t="s">
        <v>1662</v>
      </c>
      <c r="K2324" s="29" t="s">
        <v>3742</v>
      </c>
      <c r="L2324" s="29" t="s">
        <v>3743</v>
      </c>
      <c r="M2324" s="29" t="s">
        <v>3773</v>
      </c>
      <c r="N2324" s="29" t="s">
        <v>2041</v>
      </c>
      <c r="O2324" s="29" t="s">
        <v>590</v>
      </c>
    </row>
    <row r="2325" spans="1:15">
      <c r="A2325" s="25">
        <v>22536</v>
      </c>
      <c r="B2325" s="34" t="s">
        <v>3774</v>
      </c>
      <c r="C2325" s="31" t="s">
        <v>521</v>
      </c>
      <c r="D2325" s="31" t="s">
        <v>773</v>
      </c>
      <c r="E2325" s="28">
        <v>43224</v>
      </c>
      <c r="F2325" s="28">
        <v>43255</v>
      </c>
      <c r="G2325" s="28">
        <v>43616</v>
      </c>
      <c r="H2325" s="29" t="s">
        <v>560</v>
      </c>
      <c r="I2325" s="29" t="s">
        <v>560</v>
      </c>
      <c r="J2325" s="29" t="s">
        <v>1662</v>
      </c>
      <c r="K2325" s="29" t="s">
        <v>3742</v>
      </c>
      <c r="L2325" s="29" t="s">
        <v>3743</v>
      </c>
      <c r="M2325" s="29" t="s">
        <v>3758</v>
      </c>
      <c r="N2325" s="29" t="s">
        <v>2041</v>
      </c>
      <c r="O2325" s="29" t="s">
        <v>590</v>
      </c>
    </row>
    <row r="2326" spans="1:15">
      <c r="A2326" s="25">
        <v>22818</v>
      </c>
      <c r="B2326" s="34" t="s">
        <v>3775</v>
      </c>
      <c r="C2326" s="31" t="s">
        <v>521</v>
      </c>
      <c r="D2326" s="31" t="s">
        <v>775</v>
      </c>
      <c r="E2326" s="28">
        <v>43333</v>
      </c>
      <c r="F2326" s="28">
        <v>43364</v>
      </c>
      <c r="G2326" s="28">
        <v>43738</v>
      </c>
      <c r="H2326" s="29" t="s">
        <v>560</v>
      </c>
      <c r="I2326" s="29" t="s">
        <v>560</v>
      </c>
      <c r="J2326" s="29" t="s">
        <v>1662</v>
      </c>
      <c r="K2326" s="29" t="s">
        <v>3742</v>
      </c>
      <c r="L2326" s="29" t="s">
        <v>3743</v>
      </c>
      <c r="M2326" s="29" t="s">
        <v>3776</v>
      </c>
      <c r="N2326" s="29" t="s">
        <v>2023</v>
      </c>
      <c r="O2326" s="29" t="s">
        <v>590</v>
      </c>
    </row>
    <row r="2327" spans="1:15">
      <c r="A2327" s="25">
        <v>22933</v>
      </c>
      <c r="B2327" s="34" t="s">
        <v>3777</v>
      </c>
      <c r="C2327" s="31" t="s">
        <v>521</v>
      </c>
      <c r="D2327" s="31" t="s">
        <v>1962</v>
      </c>
      <c r="E2327" s="28">
        <v>43343</v>
      </c>
      <c r="F2327" s="28">
        <v>43374</v>
      </c>
      <c r="G2327" s="28">
        <v>43738</v>
      </c>
      <c r="H2327" s="29" t="s">
        <v>560</v>
      </c>
      <c r="I2327" s="29" t="s">
        <v>560</v>
      </c>
      <c r="J2327" s="29" t="s">
        <v>1662</v>
      </c>
      <c r="K2327" s="29" t="s">
        <v>3742</v>
      </c>
      <c r="L2327" s="29" t="s">
        <v>3743</v>
      </c>
      <c r="M2327" s="29" t="s">
        <v>3778</v>
      </c>
      <c r="N2327" s="29" t="s">
        <v>2023</v>
      </c>
      <c r="O2327" s="29" t="s">
        <v>590</v>
      </c>
    </row>
    <row r="2328" spans="1:15">
      <c r="A2328" s="25">
        <v>22986</v>
      </c>
      <c r="B2328" s="34" t="s">
        <v>3779</v>
      </c>
      <c r="C2328" s="31" t="s">
        <v>521</v>
      </c>
      <c r="D2328" s="31" t="s">
        <v>1962</v>
      </c>
      <c r="E2328" s="28">
        <v>43343</v>
      </c>
      <c r="F2328" s="28">
        <v>43374</v>
      </c>
      <c r="G2328" s="28">
        <v>43738</v>
      </c>
      <c r="H2328" s="29" t="s">
        <v>560</v>
      </c>
      <c r="I2328" s="29" t="s">
        <v>560</v>
      </c>
      <c r="J2328" s="29" t="s">
        <v>1662</v>
      </c>
      <c r="K2328" s="29" t="s">
        <v>3742</v>
      </c>
      <c r="L2328" s="29" t="s">
        <v>3743</v>
      </c>
      <c r="M2328" s="29" t="s">
        <v>3290</v>
      </c>
      <c r="N2328" s="29" t="s">
        <v>1434</v>
      </c>
      <c r="O2328" s="29" t="s">
        <v>590</v>
      </c>
    </row>
    <row r="2329" spans="1:15">
      <c r="A2329" s="25">
        <v>23057</v>
      </c>
      <c r="B2329" s="34" t="s">
        <v>3780</v>
      </c>
      <c r="C2329" s="31" t="s">
        <v>521</v>
      </c>
      <c r="D2329" s="31" t="s">
        <v>1872</v>
      </c>
      <c r="E2329" s="28">
        <v>43361</v>
      </c>
      <c r="F2329" s="28">
        <v>43391</v>
      </c>
      <c r="G2329" s="28">
        <v>43769</v>
      </c>
      <c r="H2329" s="29" t="s">
        <v>560</v>
      </c>
      <c r="I2329" s="29" t="s">
        <v>560</v>
      </c>
      <c r="J2329" s="29" t="s">
        <v>1662</v>
      </c>
      <c r="K2329" s="29" t="s">
        <v>3742</v>
      </c>
      <c r="L2329" s="29" t="s">
        <v>3743</v>
      </c>
      <c r="M2329" s="29" t="s">
        <v>3694</v>
      </c>
      <c r="N2329" s="29" t="s">
        <v>1434</v>
      </c>
      <c r="O2329" s="29" t="s">
        <v>590</v>
      </c>
    </row>
    <row r="2330" spans="1:15">
      <c r="A2330" s="25">
        <v>23249</v>
      </c>
      <c r="B2330" s="34" t="s">
        <v>3781</v>
      </c>
      <c r="C2330" s="31" t="s">
        <v>521</v>
      </c>
      <c r="D2330" s="31" t="s">
        <v>1582</v>
      </c>
      <c r="E2330" s="28">
        <v>43421</v>
      </c>
      <c r="F2330" s="28">
        <v>43451</v>
      </c>
      <c r="G2330" s="28">
        <v>43830</v>
      </c>
      <c r="H2330" s="29" t="s">
        <v>560</v>
      </c>
      <c r="I2330" s="29" t="s">
        <v>560</v>
      </c>
      <c r="J2330" s="29" t="s">
        <v>1662</v>
      </c>
      <c r="K2330" s="29" t="s">
        <v>3742</v>
      </c>
      <c r="L2330" s="29" t="s">
        <v>3743</v>
      </c>
      <c r="M2330" s="29" t="s">
        <v>2619</v>
      </c>
      <c r="N2330" s="29" t="s">
        <v>2041</v>
      </c>
      <c r="O2330" s="29" t="s">
        <v>590</v>
      </c>
    </row>
    <row r="2331" spans="1:15">
      <c r="A2331" s="25">
        <v>23442</v>
      </c>
      <c r="B2331" s="34" t="s">
        <v>3782</v>
      </c>
      <c r="C2331" s="31" t="s">
        <v>521</v>
      </c>
      <c r="D2331" s="31" t="s">
        <v>882</v>
      </c>
      <c r="E2331" s="28">
        <v>43434</v>
      </c>
      <c r="F2331" s="28">
        <v>43464</v>
      </c>
      <c r="G2331" s="28">
        <v>43830</v>
      </c>
      <c r="H2331" s="29" t="s">
        <v>560</v>
      </c>
      <c r="I2331" s="29" t="s">
        <v>560</v>
      </c>
      <c r="J2331" s="29" t="s">
        <v>1662</v>
      </c>
      <c r="K2331" s="29" t="s">
        <v>3742</v>
      </c>
      <c r="L2331" s="29" t="s">
        <v>3743</v>
      </c>
      <c r="M2331" s="29" t="s">
        <v>3783</v>
      </c>
      <c r="N2331" s="29" t="s">
        <v>1586</v>
      </c>
      <c r="O2331" s="29" t="s">
        <v>590</v>
      </c>
    </row>
    <row r="2332" spans="1:15">
      <c r="A2332" s="25">
        <v>23589</v>
      </c>
      <c r="B2332" s="34" t="s">
        <v>3784</v>
      </c>
      <c r="C2332" s="31" t="s">
        <v>521</v>
      </c>
      <c r="D2332" s="31" t="s">
        <v>884</v>
      </c>
      <c r="E2332" s="28">
        <v>43452</v>
      </c>
      <c r="F2332" s="28">
        <v>43483</v>
      </c>
      <c r="G2332" s="28">
        <v>43861</v>
      </c>
      <c r="H2332" s="29" t="s">
        <v>560</v>
      </c>
      <c r="I2332" s="29" t="s">
        <v>560</v>
      </c>
      <c r="J2332" s="29" t="s">
        <v>1662</v>
      </c>
      <c r="K2332" s="29" t="s">
        <v>3742</v>
      </c>
      <c r="L2332" s="29" t="s">
        <v>3743</v>
      </c>
      <c r="M2332" s="29" t="s">
        <v>1593</v>
      </c>
      <c r="N2332" s="29" t="s">
        <v>1586</v>
      </c>
      <c r="O2332" s="29" t="s">
        <v>590</v>
      </c>
    </row>
    <row r="2333" spans="1:15">
      <c r="A2333" s="25">
        <v>74</v>
      </c>
      <c r="B2333" s="26" t="s">
        <v>1481</v>
      </c>
      <c r="C2333" s="27" t="s">
        <v>521</v>
      </c>
      <c r="D2333" s="27" t="s">
        <v>3715</v>
      </c>
      <c r="E2333" s="28">
        <v>37578</v>
      </c>
      <c r="F2333" s="28" t="s">
        <v>35</v>
      </c>
      <c r="G2333" s="28" t="s">
        <v>35</v>
      </c>
      <c r="H2333" s="29" t="s">
        <v>560</v>
      </c>
      <c r="I2333" s="29" t="s">
        <v>560</v>
      </c>
      <c r="J2333" s="29" t="s">
        <v>1662</v>
      </c>
      <c r="K2333" s="29" t="s">
        <v>3785</v>
      </c>
      <c r="L2333" s="29" t="s">
        <v>3786</v>
      </c>
      <c r="M2333" s="29" t="s">
        <v>1550</v>
      </c>
      <c r="N2333" s="29" t="s">
        <v>1045</v>
      </c>
      <c r="O2333" s="29" t="s">
        <v>594</v>
      </c>
    </row>
    <row r="2334" spans="1:15">
      <c r="A2334" s="25">
        <v>10679</v>
      </c>
      <c r="B2334" s="34" t="s">
        <v>3787</v>
      </c>
      <c r="C2334" s="31" t="s">
        <v>521</v>
      </c>
      <c r="D2334" s="27" t="s">
        <v>847</v>
      </c>
      <c r="E2334" s="28">
        <v>40553</v>
      </c>
      <c r="F2334" s="28" t="s">
        <v>35</v>
      </c>
      <c r="G2334" s="28" t="s">
        <v>35</v>
      </c>
      <c r="H2334" s="31" t="s">
        <v>560</v>
      </c>
      <c r="I2334" s="31" t="s">
        <v>560</v>
      </c>
      <c r="J2334" s="29" t="s">
        <v>1662</v>
      </c>
      <c r="K2334" s="29" t="s">
        <v>3785</v>
      </c>
      <c r="L2334" s="29" t="s">
        <v>3786</v>
      </c>
      <c r="M2334" s="29" t="s">
        <v>3788</v>
      </c>
      <c r="N2334" s="29" t="s">
        <v>1434</v>
      </c>
      <c r="O2334" s="29" t="s">
        <v>594</v>
      </c>
    </row>
    <row r="2335" spans="1:15">
      <c r="A2335" s="25">
        <v>11587</v>
      </c>
      <c r="B2335" s="26" t="s">
        <v>3707</v>
      </c>
      <c r="C2335" s="27" t="s">
        <v>521</v>
      </c>
      <c r="D2335" s="27" t="s">
        <v>841</v>
      </c>
      <c r="E2335" s="28">
        <v>40707</v>
      </c>
      <c r="F2335" s="28" t="s">
        <v>35</v>
      </c>
      <c r="G2335" s="28" t="s">
        <v>35</v>
      </c>
      <c r="H2335" s="29" t="s">
        <v>560</v>
      </c>
      <c r="I2335" s="29" t="s">
        <v>560</v>
      </c>
      <c r="J2335" s="29" t="s">
        <v>1662</v>
      </c>
      <c r="K2335" s="29" t="s">
        <v>3785</v>
      </c>
      <c r="L2335" s="29" t="s">
        <v>3786</v>
      </c>
      <c r="M2335" s="29" t="s">
        <v>2025</v>
      </c>
      <c r="N2335" s="29" t="s">
        <v>2026</v>
      </c>
      <c r="O2335" s="29" t="s">
        <v>594</v>
      </c>
    </row>
    <row r="2336" spans="1:15">
      <c r="A2336" s="25">
        <v>22053</v>
      </c>
      <c r="B2336" s="34" t="s">
        <v>3789</v>
      </c>
      <c r="C2336" s="31" t="s">
        <v>521</v>
      </c>
      <c r="D2336" s="31" t="s">
        <v>631</v>
      </c>
      <c r="E2336" s="28">
        <v>43144</v>
      </c>
      <c r="F2336" s="28">
        <v>43172</v>
      </c>
      <c r="G2336" s="28">
        <v>43524</v>
      </c>
      <c r="H2336" s="29" t="s">
        <v>560</v>
      </c>
      <c r="I2336" s="29" t="s">
        <v>560</v>
      </c>
      <c r="J2336" s="29" t="s">
        <v>1662</v>
      </c>
      <c r="K2336" s="29" t="s">
        <v>3785</v>
      </c>
      <c r="L2336" s="29" t="s">
        <v>3786</v>
      </c>
      <c r="M2336" s="29" t="s">
        <v>3790</v>
      </c>
      <c r="N2336" s="29" t="s">
        <v>1434</v>
      </c>
      <c r="O2336" s="29" t="s">
        <v>594</v>
      </c>
    </row>
    <row r="2337" spans="1:15">
      <c r="A2337" s="25">
        <v>23250</v>
      </c>
      <c r="B2337" s="34" t="s">
        <v>3791</v>
      </c>
      <c r="C2337" s="31" t="s">
        <v>521</v>
      </c>
      <c r="D2337" s="31" t="s">
        <v>1582</v>
      </c>
      <c r="E2337" s="28">
        <v>43421</v>
      </c>
      <c r="F2337" s="28">
        <v>43451</v>
      </c>
      <c r="G2337" s="28">
        <v>43830</v>
      </c>
      <c r="H2337" s="29" t="s">
        <v>560</v>
      </c>
      <c r="I2337" s="29" t="s">
        <v>560</v>
      </c>
      <c r="J2337" s="29" t="s">
        <v>1662</v>
      </c>
      <c r="K2337" s="29" t="s">
        <v>3785</v>
      </c>
      <c r="L2337" s="29" t="s">
        <v>3786</v>
      </c>
      <c r="M2337" s="29" t="s">
        <v>3792</v>
      </c>
      <c r="N2337" s="29" t="s">
        <v>1434</v>
      </c>
      <c r="O2337" s="29" t="s">
        <v>594</v>
      </c>
    </row>
    <row r="2338" spans="1:15">
      <c r="A2338" s="25">
        <v>23404</v>
      </c>
      <c r="B2338" s="34" t="s">
        <v>3793</v>
      </c>
      <c r="C2338" s="31" t="s">
        <v>521</v>
      </c>
      <c r="D2338" s="31" t="s">
        <v>882</v>
      </c>
      <c r="E2338" s="28">
        <v>43434</v>
      </c>
      <c r="F2338" s="28">
        <v>43464</v>
      </c>
      <c r="G2338" s="28">
        <v>43830</v>
      </c>
      <c r="H2338" s="29" t="s">
        <v>560</v>
      </c>
      <c r="I2338" s="29" t="s">
        <v>560</v>
      </c>
      <c r="J2338" s="29" t="s">
        <v>1662</v>
      </c>
      <c r="K2338" s="29" t="s">
        <v>3785</v>
      </c>
      <c r="L2338" s="29" t="s">
        <v>3786</v>
      </c>
      <c r="M2338" s="29" t="s">
        <v>1566</v>
      </c>
      <c r="N2338" s="29" t="s">
        <v>1586</v>
      </c>
      <c r="O2338" s="29" t="s">
        <v>594</v>
      </c>
    </row>
    <row r="2339" spans="1:15">
      <c r="A2339" s="25">
        <v>23407</v>
      </c>
      <c r="B2339" s="34" t="s">
        <v>3794</v>
      </c>
      <c r="C2339" s="31" t="s">
        <v>521</v>
      </c>
      <c r="D2339" s="31" t="s">
        <v>882</v>
      </c>
      <c r="E2339" s="28">
        <v>43434</v>
      </c>
      <c r="F2339" s="28">
        <v>43464</v>
      </c>
      <c r="G2339" s="28">
        <v>43830</v>
      </c>
      <c r="H2339" s="29" t="s">
        <v>560</v>
      </c>
      <c r="I2339" s="29" t="s">
        <v>560</v>
      </c>
      <c r="J2339" s="29" t="s">
        <v>1662</v>
      </c>
      <c r="K2339" s="29" t="s">
        <v>3785</v>
      </c>
      <c r="L2339" s="29" t="s">
        <v>3786</v>
      </c>
      <c r="M2339" s="29" t="s">
        <v>1566</v>
      </c>
      <c r="N2339" s="29" t="s">
        <v>1586</v>
      </c>
      <c r="O2339" s="29" t="s">
        <v>594</v>
      </c>
    </row>
    <row r="2340" spans="1:15">
      <c r="A2340" s="25">
        <v>299</v>
      </c>
      <c r="B2340" s="26" t="s">
        <v>3795</v>
      </c>
      <c r="C2340" s="27" t="s">
        <v>521</v>
      </c>
      <c r="D2340" s="27" t="s">
        <v>812</v>
      </c>
      <c r="E2340" s="28">
        <v>37718</v>
      </c>
      <c r="F2340" s="28" t="s">
        <v>35</v>
      </c>
      <c r="G2340" s="28" t="s">
        <v>35</v>
      </c>
      <c r="H2340" s="29" t="s">
        <v>560</v>
      </c>
      <c r="I2340" s="29" t="s">
        <v>560</v>
      </c>
      <c r="J2340" s="29" t="s">
        <v>1662</v>
      </c>
      <c r="K2340" s="29" t="s">
        <v>3785</v>
      </c>
      <c r="L2340" s="29" t="s">
        <v>3786</v>
      </c>
      <c r="M2340" s="29" t="s">
        <v>1550</v>
      </c>
      <c r="N2340" s="29" t="s">
        <v>1045</v>
      </c>
      <c r="O2340" s="29" t="s">
        <v>590</v>
      </c>
    </row>
    <row r="2341" spans="1:15">
      <c r="A2341" s="25">
        <v>8646</v>
      </c>
      <c r="B2341" s="34" t="s">
        <v>3796</v>
      </c>
      <c r="C2341" s="31" t="s">
        <v>521</v>
      </c>
      <c r="D2341" s="31" t="s">
        <v>1493</v>
      </c>
      <c r="E2341" s="28">
        <v>39878</v>
      </c>
      <c r="F2341" s="28" t="s">
        <v>35</v>
      </c>
      <c r="G2341" s="28" t="s">
        <v>35</v>
      </c>
      <c r="H2341" s="29" t="s">
        <v>560</v>
      </c>
      <c r="I2341" s="29" t="s">
        <v>560</v>
      </c>
      <c r="J2341" s="29" t="s">
        <v>1662</v>
      </c>
      <c r="K2341" s="29" t="s">
        <v>3785</v>
      </c>
      <c r="L2341" s="29" t="s">
        <v>3786</v>
      </c>
      <c r="M2341" s="29" t="s">
        <v>2025</v>
      </c>
      <c r="N2341" s="29" t="s">
        <v>2026</v>
      </c>
      <c r="O2341" s="29" t="s">
        <v>590</v>
      </c>
    </row>
    <row r="2342" spans="1:15">
      <c r="A2342" s="25">
        <v>21255</v>
      </c>
      <c r="B2342" s="26" t="s">
        <v>3797</v>
      </c>
      <c r="C2342" s="27" t="s">
        <v>521</v>
      </c>
      <c r="D2342" s="27" t="s">
        <v>2670</v>
      </c>
      <c r="E2342" s="28">
        <v>42893</v>
      </c>
      <c r="F2342" s="28">
        <v>43374</v>
      </c>
      <c r="G2342" s="28">
        <v>43738</v>
      </c>
      <c r="H2342" s="29" t="s">
        <v>560</v>
      </c>
      <c r="I2342" s="29" t="s">
        <v>560</v>
      </c>
      <c r="J2342" s="29" t="s">
        <v>1662</v>
      </c>
      <c r="K2342" s="29" t="s">
        <v>3785</v>
      </c>
      <c r="L2342" s="29" t="s">
        <v>3786</v>
      </c>
      <c r="M2342" s="29" t="s">
        <v>3790</v>
      </c>
      <c r="N2342" s="29" t="s">
        <v>1434</v>
      </c>
      <c r="O2342" s="29" t="s">
        <v>590</v>
      </c>
    </row>
    <row r="2343" spans="1:15">
      <c r="A2343" s="25">
        <v>21976</v>
      </c>
      <c r="B2343" s="34" t="s">
        <v>3798</v>
      </c>
      <c r="C2343" s="31" t="s">
        <v>521</v>
      </c>
      <c r="D2343" s="31" t="s">
        <v>1573</v>
      </c>
      <c r="E2343" s="28">
        <v>43116</v>
      </c>
      <c r="F2343" s="28">
        <v>43147</v>
      </c>
      <c r="G2343" s="28">
        <v>43524</v>
      </c>
      <c r="H2343" s="29" t="s">
        <v>560</v>
      </c>
      <c r="I2343" s="29" t="s">
        <v>560</v>
      </c>
      <c r="J2343" s="29" t="s">
        <v>1662</v>
      </c>
      <c r="K2343" s="29" t="s">
        <v>3785</v>
      </c>
      <c r="L2343" s="29" t="s">
        <v>3786</v>
      </c>
      <c r="M2343" s="29" t="s">
        <v>3799</v>
      </c>
      <c r="N2343" s="29" t="s">
        <v>1434</v>
      </c>
      <c r="O2343" s="29" t="s">
        <v>590</v>
      </c>
    </row>
    <row r="2344" spans="1:15">
      <c r="A2344" s="25">
        <v>22029</v>
      </c>
      <c r="B2344" s="34" t="s">
        <v>3800</v>
      </c>
      <c r="C2344" s="31" t="s">
        <v>521</v>
      </c>
      <c r="D2344" s="31" t="s">
        <v>631</v>
      </c>
      <c r="E2344" s="28">
        <v>43144</v>
      </c>
      <c r="F2344" s="28">
        <v>43172</v>
      </c>
      <c r="G2344" s="28">
        <v>43524</v>
      </c>
      <c r="H2344" s="29" t="s">
        <v>560</v>
      </c>
      <c r="I2344" s="29" t="s">
        <v>560</v>
      </c>
      <c r="J2344" s="29" t="s">
        <v>1662</v>
      </c>
      <c r="K2344" s="29" t="s">
        <v>3785</v>
      </c>
      <c r="L2344" s="29" t="s">
        <v>3786</v>
      </c>
      <c r="M2344" s="29" t="s">
        <v>3788</v>
      </c>
      <c r="N2344" s="29" t="s">
        <v>1434</v>
      </c>
      <c r="O2344" s="29" t="s">
        <v>590</v>
      </c>
    </row>
    <row r="2345" spans="1:15">
      <c r="A2345" s="25">
        <v>23251</v>
      </c>
      <c r="B2345" s="34" t="s">
        <v>3801</v>
      </c>
      <c r="C2345" s="31" t="s">
        <v>521</v>
      </c>
      <c r="D2345" s="31" t="s">
        <v>1582</v>
      </c>
      <c r="E2345" s="28">
        <v>43421</v>
      </c>
      <c r="F2345" s="28">
        <v>43451</v>
      </c>
      <c r="G2345" s="28">
        <v>43830</v>
      </c>
      <c r="H2345" s="29" t="s">
        <v>560</v>
      </c>
      <c r="I2345" s="29" t="s">
        <v>560</v>
      </c>
      <c r="J2345" s="29" t="s">
        <v>1662</v>
      </c>
      <c r="K2345" s="29" t="s">
        <v>3785</v>
      </c>
      <c r="L2345" s="29" t="s">
        <v>3786</v>
      </c>
      <c r="M2345" s="29" t="s">
        <v>3792</v>
      </c>
      <c r="N2345" s="29" t="s">
        <v>1434</v>
      </c>
      <c r="O2345" s="29" t="s">
        <v>590</v>
      </c>
    </row>
    <row r="2346" spans="1:15">
      <c r="A2346" s="25">
        <v>23394</v>
      </c>
      <c r="B2346" s="34" t="s">
        <v>3802</v>
      </c>
      <c r="C2346" s="31" t="s">
        <v>521</v>
      </c>
      <c r="D2346" s="31" t="s">
        <v>882</v>
      </c>
      <c r="E2346" s="28">
        <v>43434</v>
      </c>
      <c r="F2346" s="28">
        <v>43464</v>
      </c>
      <c r="G2346" s="28">
        <v>43830</v>
      </c>
      <c r="H2346" s="29" t="s">
        <v>560</v>
      </c>
      <c r="I2346" s="29" t="s">
        <v>560</v>
      </c>
      <c r="J2346" s="29" t="s">
        <v>1662</v>
      </c>
      <c r="K2346" s="29" t="s">
        <v>3785</v>
      </c>
      <c r="L2346" s="29" t="s">
        <v>3786</v>
      </c>
      <c r="M2346" s="29" t="s">
        <v>3803</v>
      </c>
      <c r="N2346" s="29" t="s">
        <v>1434</v>
      </c>
      <c r="O2346" s="29" t="s">
        <v>590</v>
      </c>
    </row>
    <row r="2347" spans="1:15">
      <c r="A2347" s="25">
        <v>1168</v>
      </c>
      <c r="B2347" s="26" t="s">
        <v>3804</v>
      </c>
      <c r="C2347" s="27" t="s">
        <v>521</v>
      </c>
      <c r="D2347" s="27" t="s">
        <v>1468</v>
      </c>
      <c r="E2347" s="28">
        <v>37907</v>
      </c>
      <c r="F2347" s="28" t="s">
        <v>35</v>
      </c>
      <c r="G2347" s="28" t="s">
        <v>35</v>
      </c>
      <c r="H2347" s="27" t="s">
        <v>560</v>
      </c>
      <c r="I2347" s="27" t="s">
        <v>560</v>
      </c>
      <c r="J2347" s="29" t="s">
        <v>3805</v>
      </c>
      <c r="K2347" s="29" t="s">
        <v>3806</v>
      </c>
      <c r="L2347" s="29" t="s">
        <v>3807</v>
      </c>
      <c r="M2347" s="29" t="s">
        <v>1550</v>
      </c>
      <c r="N2347" s="29" t="s">
        <v>1045</v>
      </c>
      <c r="O2347" s="29" t="s">
        <v>594</v>
      </c>
    </row>
    <row r="2348" spans="1:15">
      <c r="A2348" s="25">
        <v>9058</v>
      </c>
      <c r="B2348" s="33" t="s">
        <v>3808</v>
      </c>
      <c r="C2348" s="27" t="s">
        <v>521</v>
      </c>
      <c r="D2348" s="27" t="s">
        <v>1908</v>
      </c>
      <c r="E2348" s="28">
        <v>39993</v>
      </c>
      <c r="F2348" s="28" t="s">
        <v>35</v>
      </c>
      <c r="G2348" s="28" t="s">
        <v>35</v>
      </c>
      <c r="H2348" s="29" t="s">
        <v>560</v>
      </c>
      <c r="I2348" s="29" t="s">
        <v>560</v>
      </c>
      <c r="J2348" s="29" t="s">
        <v>3805</v>
      </c>
      <c r="K2348" s="29" t="s">
        <v>3806</v>
      </c>
      <c r="L2348" s="29" t="s">
        <v>3807</v>
      </c>
      <c r="M2348" s="29" t="s">
        <v>2030</v>
      </c>
      <c r="N2348" s="29" t="s">
        <v>2031</v>
      </c>
      <c r="O2348" s="29" t="s">
        <v>594</v>
      </c>
    </row>
    <row r="2349" spans="1:15">
      <c r="A2349" s="25">
        <v>10320</v>
      </c>
      <c r="B2349" s="26" t="s">
        <v>3809</v>
      </c>
      <c r="C2349" s="27" t="s">
        <v>521</v>
      </c>
      <c r="D2349" s="27" t="s">
        <v>825</v>
      </c>
      <c r="E2349" s="28">
        <v>40511</v>
      </c>
      <c r="F2349" s="28" t="s">
        <v>35</v>
      </c>
      <c r="G2349" s="28" t="s">
        <v>35</v>
      </c>
      <c r="H2349" s="29" t="s">
        <v>560</v>
      </c>
      <c r="I2349" s="29" t="s">
        <v>560</v>
      </c>
      <c r="J2349" s="29" t="s">
        <v>3805</v>
      </c>
      <c r="K2349" s="29" t="s">
        <v>3806</v>
      </c>
      <c r="L2349" s="29" t="s">
        <v>3807</v>
      </c>
      <c r="M2349" s="29" t="s">
        <v>2222</v>
      </c>
      <c r="N2349" s="29" t="s">
        <v>2023</v>
      </c>
      <c r="O2349" s="29" t="s">
        <v>594</v>
      </c>
    </row>
    <row r="2350" spans="1:15">
      <c r="A2350" s="25">
        <v>12237</v>
      </c>
      <c r="B2350" s="26" t="s">
        <v>3810</v>
      </c>
      <c r="C2350" s="27" t="s">
        <v>521</v>
      </c>
      <c r="D2350" s="27" t="s">
        <v>817</v>
      </c>
      <c r="E2350" s="28">
        <v>40805</v>
      </c>
      <c r="F2350" s="28" t="s">
        <v>35</v>
      </c>
      <c r="G2350" s="28" t="s">
        <v>35</v>
      </c>
      <c r="H2350" s="27" t="s">
        <v>560</v>
      </c>
      <c r="I2350" s="27" t="s">
        <v>560</v>
      </c>
      <c r="J2350" s="29" t="s">
        <v>3805</v>
      </c>
      <c r="K2350" s="29" t="s">
        <v>3806</v>
      </c>
      <c r="L2350" s="29" t="s">
        <v>3807</v>
      </c>
      <c r="M2350" s="29" t="s">
        <v>2025</v>
      </c>
      <c r="N2350" s="29" t="s">
        <v>2026</v>
      </c>
      <c r="O2350" s="29" t="s">
        <v>594</v>
      </c>
    </row>
    <row r="2351" spans="1:15">
      <c r="A2351" s="25">
        <v>12339</v>
      </c>
      <c r="B2351" s="34" t="s">
        <v>429</v>
      </c>
      <c r="C2351" s="31" t="s">
        <v>521</v>
      </c>
      <c r="D2351" s="31" t="s">
        <v>817</v>
      </c>
      <c r="E2351" s="28">
        <v>40805</v>
      </c>
      <c r="F2351" s="28" t="s">
        <v>35</v>
      </c>
      <c r="G2351" s="28" t="s">
        <v>35</v>
      </c>
      <c r="H2351" s="29" t="s">
        <v>560</v>
      </c>
      <c r="I2351" s="29" t="s">
        <v>560</v>
      </c>
      <c r="J2351" s="29" t="s">
        <v>3805</v>
      </c>
      <c r="K2351" s="29" t="s">
        <v>3806</v>
      </c>
      <c r="L2351" s="29" t="s">
        <v>3807</v>
      </c>
      <c r="M2351" s="29" t="s">
        <v>2450</v>
      </c>
      <c r="N2351" s="29" t="s">
        <v>1434</v>
      </c>
      <c r="O2351" s="29" t="s">
        <v>594</v>
      </c>
    </row>
    <row r="2352" spans="1:15">
      <c r="A2352" s="25">
        <v>20493</v>
      </c>
      <c r="B2352" s="26" t="s">
        <v>3811</v>
      </c>
      <c r="C2352" s="27" t="s">
        <v>521</v>
      </c>
      <c r="D2352" s="27" t="s">
        <v>1644</v>
      </c>
      <c r="E2352" s="28">
        <v>42634</v>
      </c>
      <c r="F2352" s="28">
        <v>43132</v>
      </c>
      <c r="G2352" s="28">
        <v>43496</v>
      </c>
      <c r="H2352" s="27" t="s">
        <v>560</v>
      </c>
      <c r="I2352" s="27" t="s">
        <v>560</v>
      </c>
      <c r="J2352" s="29" t="s">
        <v>3805</v>
      </c>
      <c r="K2352" s="29" t="s">
        <v>3806</v>
      </c>
      <c r="L2352" s="29" t="s">
        <v>3807</v>
      </c>
      <c r="M2352" s="29" t="s">
        <v>2055</v>
      </c>
      <c r="N2352" s="29" t="s">
        <v>1434</v>
      </c>
      <c r="O2352" s="29" t="s">
        <v>594</v>
      </c>
    </row>
    <row r="2353" spans="1:15">
      <c r="A2353" s="25">
        <v>20630</v>
      </c>
      <c r="B2353" s="34" t="s">
        <v>3812</v>
      </c>
      <c r="C2353" s="31" t="s">
        <v>521</v>
      </c>
      <c r="D2353" s="27" t="s">
        <v>673</v>
      </c>
      <c r="E2353" s="28">
        <v>42639</v>
      </c>
      <c r="F2353" s="28">
        <v>43132</v>
      </c>
      <c r="G2353" s="28">
        <v>43496</v>
      </c>
      <c r="H2353" s="31" t="s">
        <v>560</v>
      </c>
      <c r="I2353" s="31" t="s">
        <v>560</v>
      </c>
      <c r="J2353" s="29" t="s">
        <v>3805</v>
      </c>
      <c r="K2353" s="29" t="s">
        <v>3806</v>
      </c>
      <c r="L2353" s="29" t="s">
        <v>3807</v>
      </c>
      <c r="M2353" s="29" t="s">
        <v>2084</v>
      </c>
      <c r="N2353" s="29" t="s">
        <v>1434</v>
      </c>
      <c r="O2353" s="29" t="s">
        <v>594</v>
      </c>
    </row>
    <row r="2354" spans="1:15">
      <c r="A2354" s="25">
        <v>20631</v>
      </c>
      <c r="B2354" s="26" t="s">
        <v>3813</v>
      </c>
      <c r="C2354" s="27" t="s">
        <v>521</v>
      </c>
      <c r="D2354" s="27" t="s">
        <v>673</v>
      </c>
      <c r="E2354" s="28">
        <v>42639</v>
      </c>
      <c r="F2354" s="28">
        <v>43132</v>
      </c>
      <c r="G2354" s="28">
        <v>43496</v>
      </c>
      <c r="H2354" s="27" t="s">
        <v>560</v>
      </c>
      <c r="I2354" s="27" t="s">
        <v>560</v>
      </c>
      <c r="J2354" s="29" t="s">
        <v>3805</v>
      </c>
      <c r="K2354" s="29" t="s">
        <v>3806</v>
      </c>
      <c r="L2354" s="29" t="s">
        <v>3807</v>
      </c>
      <c r="M2354" s="29" t="s">
        <v>2072</v>
      </c>
      <c r="N2354" s="29" t="s">
        <v>1434</v>
      </c>
      <c r="O2354" s="29" t="s">
        <v>594</v>
      </c>
    </row>
    <row r="2355" spans="1:15">
      <c r="A2355" s="25">
        <v>20685</v>
      </c>
      <c r="B2355" s="26" t="s">
        <v>3814</v>
      </c>
      <c r="C2355" s="27" t="s">
        <v>521</v>
      </c>
      <c r="D2355" s="27" t="s">
        <v>673</v>
      </c>
      <c r="E2355" s="28">
        <v>42639</v>
      </c>
      <c r="F2355" s="28">
        <v>43132</v>
      </c>
      <c r="G2355" s="28">
        <v>43496</v>
      </c>
      <c r="H2355" s="25" t="s">
        <v>560</v>
      </c>
      <c r="I2355" s="25" t="s">
        <v>560</v>
      </c>
      <c r="J2355" s="29" t="s">
        <v>3805</v>
      </c>
      <c r="K2355" s="29" t="s">
        <v>3806</v>
      </c>
      <c r="L2355" s="29" t="s">
        <v>3807</v>
      </c>
      <c r="M2355" s="29" t="s">
        <v>2061</v>
      </c>
      <c r="N2355" s="29" t="s">
        <v>2041</v>
      </c>
      <c r="O2355" s="29" t="s">
        <v>594</v>
      </c>
    </row>
    <row r="2356" spans="1:15">
      <c r="A2356" s="25">
        <v>20830</v>
      </c>
      <c r="B2356" s="26" t="s">
        <v>3815</v>
      </c>
      <c r="C2356" s="27" t="s">
        <v>521</v>
      </c>
      <c r="D2356" s="27" t="s">
        <v>786</v>
      </c>
      <c r="E2356" s="28">
        <v>42656</v>
      </c>
      <c r="F2356" s="28">
        <v>43132</v>
      </c>
      <c r="G2356" s="28">
        <v>43496</v>
      </c>
      <c r="H2356" s="27" t="s">
        <v>560</v>
      </c>
      <c r="I2356" s="27" t="s">
        <v>560</v>
      </c>
      <c r="J2356" s="29" t="s">
        <v>3805</v>
      </c>
      <c r="K2356" s="29" t="s">
        <v>3806</v>
      </c>
      <c r="L2356" s="29" t="s">
        <v>3807</v>
      </c>
      <c r="M2356" s="29" t="s">
        <v>2065</v>
      </c>
      <c r="N2356" s="29" t="s">
        <v>2041</v>
      </c>
      <c r="O2356" s="29" t="s">
        <v>594</v>
      </c>
    </row>
    <row r="2357" spans="1:15">
      <c r="A2357" s="25">
        <v>20834</v>
      </c>
      <c r="B2357" s="26" t="s">
        <v>3816</v>
      </c>
      <c r="C2357" s="27" t="s">
        <v>521</v>
      </c>
      <c r="D2357" s="27" t="s">
        <v>786</v>
      </c>
      <c r="E2357" s="28">
        <v>42656</v>
      </c>
      <c r="F2357" s="28">
        <v>43132</v>
      </c>
      <c r="G2357" s="28">
        <v>43496</v>
      </c>
      <c r="H2357" s="25" t="s">
        <v>560</v>
      </c>
      <c r="I2357" s="27" t="s">
        <v>560</v>
      </c>
      <c r="J2357" s="29" t="s">
        <v>3805</v>
      </c>
      <c r="K2357" s="29" t="s">
        <v>3806</v>
      </c>
      <c r="L2357" s="29" t="s">
        <v>3807</v>
      </c>
      <c r="M2357" s="29" t="s">
        <v>2057</v>
      </c>
      <c r="N2357" s="29" t="s">
        <v>2041</v>
      </c>
      <c r="O2357" s="29" t="s">
        <v>594</v>
      </c>
    </row>
    <row r="2358" spans="1:15">
      <c r="A2358" s="25">
        <v>20842</v>
      </c>
      <c r="B2358" s="26" t="s">
        <v>3817</v>
      </c>
      <c r="C2358" s="27" t="s">
        <v>521</v>
      </c>
      <c r="D2358" s="27" t="s">
        <v>786</v>
      </c>
      <c r="E2358" s="28">
        <v>42656</v>
      </c>
      <c r="F2358" s="28">
        <v>43132</v>
      </c>
      <c r="G2358" s="28">
        <v>43496</v>
      </c>
      <c r="H2358" s="27" t="s">
        <v>560</v>
      </c>
      <c r="I2358" s="29" t="s">
        <v>560</v>
      </c>
      <c r="J2358" s="29" t="s">
        <v>3805</v>
      </c>
      <c r="K2358" s="29" t="s">
        <v>3806</v>
      </c>
      <c r="L2358" s="29" t="s">
        <v>3807</v>
      </c>
      <c r="M2358" s="29" t="s">
        <v>2040</v>
      </c>
      <c r="N2358" s="29" t="s">
        <v>2041</v>
      </c>
      <c r="O2358" s="29" t="s">
        <v>594</v>
      </c>
    </row>
    <row r="2359" spans="1:15">
      <c r="A2359" s="25">
        <v>20927</v>
      </c>
      <c r="B2359" s="26" t="s">
        <v>3818</v>
      </c>
      <c r="C2359" s="27" t="s">
        <v>521</v>
      </c>
      <c r="D2359" s="27" t="s">
        <v>1149</v>
      </c>
      <c r="E2359" s="28">
        <v>42667</v>
      </c>
      <c r="F2359" s="28">
        <v>43160</v>
      </c>
      <c r="G2359" s="28">
        <v>43524</v>
      </c>
      <c r="H2359" s="27" t="s">
        <v>560</v>
      </c>
      <c r="I2359" s="27" t="s">
        <v>560</v>
      </c>
      <c r="J2359" s="29" t="s">
        <v>3805</v>
      </c>
      <c r="K2359" s="29" t="s">
        <v>3806</v>
      </c>
      <c r="L2359" s="29" t="s">
        <v>3807</v>
      </c>
      <c r="M2359" s="29" t="s">
        <v>2215</v>
      </c>
      <c r="N2359" s="29" t="s">
        <v>1434</v>
      </c>
      <c r="O2359" s="29" t="s">
        <v>594</v>
      </c>
    </row>
    <row r="2360" spans="1:15">
      <c r="A2360" s="25">
        <v>21244</v>
      </c>
      <c r="B2360" s="26" t="s">
        <v>3819</v>
      </c>
      <c r="C2360" s="27" t="s">
        <v>521</v>
      </c>
      <c r="D2360" s="27" t="s">
        <v>2670</v>
      </c>
      <c r="E2360" s="28">
        <v>42893</v>
      </c>
      <c r="F2360" s="28">
        <v>43374</v>
      </c>
      <c r="G2360" s="28">
        <v>43738</v>
      </c>
      <c r="H2360" s="29" t="s">
        <v>560</v>
      </c>
      <c r="I2360" s="29" t="s">
        <v>560</v>
      </c>
      <c r="J2360" s="29" t="s">
        <v>3805</v>
      </c>
      <c r="K2360" s="29" t="s">
        <v>3806</v>
      </c>
      <c r="L2360" s="29" t="s">
        <v>3807</v>
      </c>
      <c r="M2360" s="29" t="s">
        <v>2293</v>
      </c>
      <c r="N2360" s="29" t="s">
        <v>1434</v>
      </c>
      <c r="O2360" s="29" t="s">
        <v>594</v>
      </c>
    </row>
    <row r="2361" spans="1:15">
      <c r="A2361" s="25">
        <v>21248</v>
      </c>
      <c r="B2361" s="26" t="s">
        <v>3820</v>
      </c>
      <c r="C2361" s="27" t="s">
        <v>521</v>
      </c>
      <c r="D2361" s="27" t="s">
        <v>2670</v>
      </c>
      <c r="E2361" s="28">
        <v>42893</v>
      </c>
      <c r="F2361" s="28">
        <v>43374</v>
      </c>
      <c r="G2361" s="28">
        <v>43738</v>
      </c>
      <c r="H2361" s="29" t="s">
        <v>560</v>
      </c>
      <c r="I2361" s="29" t="s">
        <v>560</v>
      </c>
      <c r="J2361" s="29" t="s">
        <v>3805</v>
      </c>
      <c r="K2361" s="29" t="s">
        <v>3806</v>
      </c>
      <c r="L2361" s="29" t="s">
        <v>3807</v>
      </c>
      <c r="M2361" s="29" t="s">
        <v>2120</v>
      </c>
      <c r="N2361" s="29" t="s">
        <v>1434</v>
      </c>
      <c r="O2361" s="29" t="s">
        <v>594</v>
      </c>
    </row>
    <row r="2362" spans="1:15">
      <c r="A2362" s="25">
        <v>21257</v>
      </c>
      <c r="B2362" s="26" t="s">
        <v>3821</v>
      </c>
      <c r="C2362" s="27" t="s">
        <v>521</v>
      </c>
      <c r="D2362" s="27" t="s">
        <v>2670</v>
      </c>
      <c r="E2362" s="28">
        <v>42893</v>
      </c>
      <c r="F2362" s="28">
        <v>43374</v>
      </c>
      <c r="G2362" s="28">
        <v>43738</v>
      </c>
      <c r="H2362" s="29" t="s">
        <v>560</v>
      </c>
      <c r="I2362" s="29" t="s">
        <v>560</v>
      </c>
      <c r="J2362" s="29" t="s">
        <v>3805</v>
      </c>
      <c r="K2362" s="29" t="s">
        <v>3806</v>
      </c>
      <c r="L2362" s="29" t="s">
        <v>3807</v>
      </c>
      <c r="M2362" s="29" t="s">
        <v>2050</v>
      </c>
      <c r="N2362" s="29" t="s">
        <v>1434</v>
      </c>
      <c r="O2362" s="29" t="s">
        <v>594</v>
      </c>
    </row>
    <row r="2363" spans="1:15">
      <c r="A2363" s="25">
        <v>21315</v>
      </c>
      <c r="B2363" s="34" t="s">
        <v>3822</v>
      </c>
      <c r="C2363" s="31" t="s">
        <v>521</v>
      </c>
      <c r="D2363" s="31" t="s">
        <v>1595</v>
      </c>
      <c r="E2363" s="28">
        <v>43010</v>
      </c>
      <c r="F2363" s="28">
        <v>43405</v>
      </c>
      <c r="G2363" s="28">
        <v>43769</v>
      </c>
      <c r="H2363" s="29" t="s">
        <v>560</v>
      </c>
      <c r="I2363" s="29" t="s">
        <v>560</v>
      </c>
      <c r="J2363" s="29" t="s">
        <v>3805</v>
      </c>
      <c r="K2363" s="29" t="s">
        <v>3806</v>
      </c>
      <c r="L2363" s="29" t="s">
        <v>3807</v>
      </c>
      <c r="M2363" s="29" t="s">
        <v>2068</v>
      </c>
      <c r="N2363" s="29" t="s">
        <v>1434</v>
      </c>
      <c r="O2363" s="29" t="s">
        <v>594</v>
      </c>
    </row>
    <row r="2364" spans="1:15">
      <c r="A2364" s="25">
        <v>21390</v>
      </c>
      <c r="B2364" s="34" t="s">
        <v>3823</v>
      </c>
      <c r="C2364" s="31" t="s">
        <v>521</v>
      </c>
      <c r="D2364" s="31" t="s">
        <v>2283</v>
      </c>
      <c r="E2364" s="28">
        <v>43018</v>
      </c>
      <c r="F2364" s="28">
        <v>43405</v>
      </c>
      <c r="G2364" s="28">
        <v>43769</v>
      </c>
      <c r="H2364" s="29" t="s">
        <v>560</v>
      </c>
      <c r="I2364" s="29" t="s">
        <v>560</v>
      </c>
      <c r="J2364" s="29" t="s">
        <v>3805</v>
      </c>
      <c r="K2364" s="29" t="s">
        <v>3806</v>
      </c>
      <c r="L2364" s="29" t="s">
        <v>3807</v>
      </c>
      <c r="M2364" s="29" t="s">
        <v>2227</v>
      </c>
      <c r="N2364" s="29" t="s">
        <v>1434</v>
      </c>
      <c r="O2364" s="29" t="s">
        <v>594</v>
      </c>
    </row>
    <row r="2365" spans="1:15">
      <c r="A2365" s="25">
        <v>21482</v>
      </c>
      <c r="B2365" s="34" t="s">
        <v>3824</v>
      </c>
      <c r="C2365" s="31" t="s">
        <v>521</v>
      </c>
      <c r="D2365" s="31" t="s">
        <v>1804</v>
      </c>
      <c r="E2365" s="28">
        <v>43031</v>
      </c>
      <c r="F2365" s="28">
        <v>43435</v>
      </c>
      <c r="G2365" s="28">
        <v>43799</v>
      </c>
      <c r="H2365" s="29" t="s">
        <v>560</v>
      </c>
      <c r="I2365" s="29" t="s">
        <v>560</v>
      </c>
      <c r="J2365" s="29" t="s">
        <v>3805</v>
      </c>
      <c r="K2365" s="29" t="s">
        <v>3806</v>
      </c>
      <c r="L2365" s="29" t="s">
        <v>3807</v>
      </c>
      <c r="M2365" s="29" t="s">
        <v>2222</v>
      </c>
      <c r="N2365" s="29" t="s">
        <v>2023</v>
      </c>
      <c r="O2365" s="29" t="s">
        <v>594</v>
      </c>
    </row>
    <row r="2366" spans="1:15">
      <c r="A2366" s="25">
        <v>21515</v>
      </c>
      <c r="B2366" s="34" t="s">
        <v>3825</v>
      </c>
      <c r="C2366" s="31" t="s">
        <v>521</v>
      </c>
      <c r="D2366" s="31" t="s">
        <v>1760</v>
      </c>
      <c r="E2366" s="28">
        <v>43045</v>
      </c>
      <c r="F2366" s="28">
        <v>43435</v>
      </c>
      <c r="G2366" s="28">
        <v>43799</v>
      </c>
      <c r="H2366" s="29" t="s">
        <v>560</v>
      </c>
      <c r="I2366" s="29" t="s">
        <v>560</v>
      </c>
      <c r="J2366" s="29" t="s">
        <v>3805</v>
      </c>
      <c r="K2366" s="29" t="s">
        <v>3806</v>
      </c>
      <c r="L2366" s="29" t="s">
        <v>3807</v>
      </c>
      <c r="M2366" s="29" t="s">
        <v>2082</v>
      </c>
      <c r="N2366" s="29" t="s">
        <v>1434</v>
      </c>
      <c r="O2366" s="29" t="s">
        <v>594</v>
      </c>
    </row>
    <row r="2367" spans="1:15">
      <c r="A2367" s="25">
        <v>21592</v>
      </c>
      <c r="B2367" s="34" t="s">
        <v>3826</v>
      </c>
      <c r="C2367" s="31" t="s">
        <v>521</v>
      </c>
      <c r="D2367" s="31" t="s">
        <v>1603</v>
      </c>
      <c r="E2367" s="28">
        <v>43048</v>
      </c>
      <c r="F2367" s="28">
        <v>43435</v>
      </c>
      <c r="G2367" s="28">
        <v>43799</v>
      </c>
      <c r="H2367" s="29" t="s">
        <v>560</v>
      </c>
      <c r="I2367" s="29" t="s">
        <v>560</v>
      </c>
      <c r="J2367" s="29" t="s">
        <v>3805</v>
      </c>
      <c r="K2367" s="29" t="s">
        <v>3806</v>
      </c>
      <c r="L2367" s="29" t="s">
        <v>3807</v>
      </c>
      <c r="M2367" s="29" t="s">
        <v>2079</v>
      </c>
      <c r="N2367" s="29" t="s">
        <v>2080</v>
      </c>
      <c r="O2367" s="29" t="s">
        <v>594</v>
      </c>
    </row>
    <row r="2368" spans="1:15">
      <c r="A2368" s="25">
        <v>21705</v>
      </c>
      <c r="B2368" s="34" t="s">
        <v>3827</v>
      </c>
      <c r="C2368" s="31" t="s">
        <v>521</v>
      </c>
      <c r="D2368" s="31" t="s">
        <v>663</v>
      </c>
      <c r="E2368" s="28">
        <v>43087</v>
      </c>
      <c r="F2368" s="28">
        <v>43118</v>
      </c>
      <c r="G2368" s="28">
        <v>43496</v>
      </c>
      <c r="H2368" s="27" t="s">
        <v>560</v>
      </c>
      <c r="I2368" s="27" t="s">
        <v>560</v>
      </c>
      <c r="J2368" s="29" t="s">
        <v>3805</v>
      </c>
      <c r="K2368" s="29" t="s">
        <v>3806</v>
      </c>
      <c r="L2368" s="29" t="s">
        <v>3807</v>
      </c>
      <c r="M2368" s="29" t="s">
        <v>2077</v>
      </c>
      <c r="N2368" s="29" t="s">
        <v>2077</v>
      </c>
      <c r="O2368" s="29" t="s">
        <v>594</v>
      </c>
    </row>
    <row r="2369" spans="1:15">
      <c r="A2369" s="25">
        <v>21743</v>
      </c>
      <c r="B2369" s="34" t="s">
        <v>3828</v>
      </c>
      <c r="C2369" s="31" t="s">
        <v>521</v>
      </c>
      <c r="D2369" s="31" t="s">
        <v>663</v>
      </c>
      <c r="E2369" s="28">
        <v>43087</v>
      </c>
      <c r="F2369" s="28">
        <v>43118</v>
      </c>
      <c r="G2369" s="28">
        <v>43496</v>
      </c>
      <c r="H2369" s="27" t="s">
        <v>560</v>
      </c>
      <c r="I2369" s="27" t="s">
        <v>560</v>
      </c>
      <c r="J2369" s="29" t="s">
        <v>3805</v>
      </c>
      <c r="K2369" s="29" t="s">
        <v>3806</v>
      </c>
      <c r="L2369" s="29" t="s">
        <v>3807</v>
      </c>
      <c r="M2369" s="29" t="s">
        <v>2444</v>
      </c>
      <c r="N2369" s="29" t="s">
        <v>1434</v>
      </c>
      <c r="O2369" s="29" t="s">
        <v>594</v>
      </c>
    </row>
    <row r="2370" spans="1:15">
      <c r="A2370" s="25">
        <v>21894</v>
      </c>
      <c r="B2370" s="34" t="s">
        <v>3829</v>
      </c>
      <c r="C2370" s="31" t="s">
        <v>521</v>
      </c>
      <c r="D2370" s="31" t="s">
        <v>1870</v>
      </c>
      <c r="E2370" s="28">
        <v>43103</v>
      </c>
      <c r="F2370" s="28">
        <v>43134</v>
      </c>
      <c r="G2370" s="28">
        <v>43496</v>
      </c>
      <c r="H2370" s="29" t="s">
        <v>560</v>
      </c>
      <c r="I2370" s="29" t="s">
        <v>560</v>
      </c>
      <c r="J2370" s="29" t="s">
        <v>3805</v>
      </c>
      <c r="K2370" s="29" t="s">
        <v>3806</v>
      </c>
      <c r="L2370" s="29" t="s">
        <v>3807</v>
      </c>
      <c r="M2370" s="29" t="s">
        <v>3830</v>
      </c>
      <c r="N2370" s="29" t="s">
        <v>2023</v>
      </c>
      <c r="O2370" s="29" t="s">
        <v>594</v>
      </c>
    </row>
    <row r="2371" spans="1:15">
      <c r="A2371" s="25">
        <v>21903</v>
      </c>
      <c r="B2371" s="34" t="s">
        <v>3831</v>
      </c>
      <c r="C2371" s="31" t="s">
        <v>521</v>
      </c>
      <c r="D2371" s="31" t="s">
        <v>1870</v>
      </c>
      <c r="E2371" s="28">
        <v>43103</v>
      </c>
      <c r="F2371" s="28">
        <v>43134</v>
      </c>
      <c r="G2371" s="28">
        <v>43496</v>
      </c>
      <c r="H2371" s="29" t="s">
        <v>560</v>
      </c>
      <c r="I2371" s="29" t="s">
        <v>560</v>
      </c>
      <c r="J2371" s="29" t="s">
        <v>3805</v>
      </c>
      <c r="K2371" s="29" t="s">
        <v>3806</v>
      </c>
      <c r="L2371" s="29" t="s">
        <v>3807</v>
      </c>
      <c r="M2371" s="29" t="s">
        <v>2089</v>
      </c>
      <c r="N2371" s="29" t="s">
        <v>2090</v>
      </c>
      <c r="O2371" s="29" t="s">
        <v>594</v>
      </c>
    </row>
    <row r="2372" spans="1:15">
      <c r="A2372" s="25">
        <v>21954</v>
      </c>
      <c r="B2372" s="34" t="s">
        <v>3832</v>
      </c>
      <c r="C2372" s="31" t="s">
        <v>521</v>
      </c>
      <c r="D2372" s="31" t="s">
        <v>1573</v>
      </c>
      <c r="E2372" s="28">
        <v>43116</v>
      </c>
      <c r="F2372" s="28">
        <v>43147</v>
      </c>
      <c r="G2372" s="28">
        <v>43524</v>
      </c>
      <c r="H2372" s="29" t="s">
        <v>560</v>
      </c>
      <c r="I2372" s="29" t="s">
        <v>560</v>
      </c>
      <c r="J2372" s="29" t="s">
        <v>3805</v>
      </c>
      <c r="K2372" s="29" t="s">
        <v>3806</v>
      </c>
      <c r="L2372" s="29" t="s">
        <v>3807</v>
      </c>
      <c r="M2372" s="29" t="s">
        <v>2052</v>
      </c>
      <c r="N2372" s="29" t="s">
        <v>2041</v>
      </c>
      <c r="O2372" s="29" t="s">
        <v>594</v>
      </c>
    </row>
    <row r="2373" spans="1:15">
      <c r="A2373" s="25">
        <v>21959</v>
      </c>
      <c r="B2373" s="34" t="s">
        <v>3833</v>
      </c>
      <c r="C2373" s="31" t="s">
        <v>521</v>
      </c>
      <c r="D2373" s="31" t="s">
        <v>1573</v>
      </c>
      <c r="E2373" s="28">
        <v>43116</v>
      </c>
      <c r="F2373" s="28">
        <v>43147</v>
      </c>
      <c r="G2373" s="28">
        <v>43524</v>
      </c>
      <c r="H2373" s="29" t="s">
        <v>560</v>
      </c>
      <c r="I2373" s="29" t="s">
        <v>560</v>
      </c>
      <c r="J2373" s="29" t="s">
        <v>3805</v>
      </c>
      <c r="K2373" s="29" t="s">
        <v>3806</v>
      </c>
      <c r="L2373" s="29" t="s">
        <v>3807</v>
      </c>
      <c r="M2373" s="29" t="s">
        <v>2077</v>
      </c>
      <c r="N2373" s="29" t="s">
        <v>2077</v>
      </c>
      <c r="O2373" s="29" t="s">
        <v>594</v>
      </c>
    </row>
    <row r="2374" spans="1:15">
      <c r="A2374" s="25">
        <v>22209</v>
      </c>
      <c r="B2374" s="34" t="s">
        <v>3834</v>
      </c>
      <c r="C2374" s="31" t="s">
        <v>521</v>
      </c>
      <c r="D2374" s="31" t="s">
        <v>1201</v>
      </c>
      <c r="E2374" s="28">
        <v>43158</v>
      </c>
      <c r="F2374" s="28">
        <v>43186</v>
      </c>
      <c r="G2374" s="28">
        <v>43555</v>
      </c>
      <c r="H2374" s="29" t="s">
        <v>560</v>
      </c>
      <c r="I2374" s="29" t="s">
        <v>560</v>
      </c>
      <c r="J2374" s="29" t="s">
        <v>3805</v>
      </c>
      <c r="K2374" s="29" t="s">
        <v>3806</v>
      </c>
      <c r="L2374" s="29" t="s">
        <v>3807</v>
      </c>
      <c r="M2374" s="29" t="s">
        <v>3835</v>
      </c>
      <c r="N2374" s="29" t="s">
        <v>1586</v>
      </c>
      <c r="O2374" s="29" t="s">
        <v>594</v>
      </c>
    </row>
    <row r="2375" spans="1:15">
      <c r="A2375" s="25">
        <v>22544</v>
      </c>
      <c r="B2375" s="34" t="s">
        <v>3836</v>
      </c>
      <c r="C2375" s="31" t="s">
        <v>521</v>
      </c>
      <c r="D2375" s="31" t="s">
        <v>773</v>
      </c>
      <c r="E2375" s="28">
        <v>43224</v>
      </c>
      <c r="F2375" s="28">
        <v>43255</v>
      </c>
      <c r="G2375" s="28">
        <v>43616</v>
      </c>
      <c r="H2375" s="29" t="s">
        <v>560</v>
      </c>
      <c r="I2375" s="29" t="s">
        <v>560</v>
      </c>
      <c r="J2375" s="29" t="s">
        <v>3805</v>
      </c>
      <c r="K2375" s="29" t="s">
        <v>3806</v>
      </c>
      <c r="L2375" s="29" t="s">
        <v>3807</v>
      </c>
      <c r="M2375" s="29" t="s">
        <v>3541</v>
      </c>
      <c r="N2375" s="29" t="s">
        <v>1586</v>
      </c>
      <c r="O2375" s="29" t="s">
        <v>594</v>
      </c>
    </row>
    <row r="2376" spans="1:15">
      <c r="A2376" s="25">
        <v>22706</v>
      </c>
      <c r="B2376" s="34" t="s">
        <v>3837</v>
      </c>
      <c r="C2376" s="31" t="s">
        <v>521</v>
      </c>
      <c r="D2376" s="31" t="s">
        <v>1195</v>
      </c>
      <c r="E2376" s="28">
        <v>43244</v>
      </c>
      <c r="F2376" s="28">
        <v>43275</v>
      </c>
      <c r="G2376" s="28">
        <v>43646</v>
      </c>
      <c r="H2376" s="29" t="s">
        <v>560</v>
      </c>
      <c r="I2376" s="29" t="s">
        <v>560</v>
      </c>
      <c r="J2376" s="29" t="s">
        <v>3805</v>
      </c>
      <c r="K2376" s="29" t="s">
        <v>3806</v>
      </c>
      <c r="L2376" s="29" t="s">
        <v>3807</v>
      </c>
      <c r="M2376" s="29" t="s">
        <v>2118</v>
      </c>
      <c r="N2376" s="29" t="s">
        <v>2041</v>
      </c>
      <c r="O2376" s="29" t="s">
        <v>594</v>
      </c>
    </row>
    <row r="2377" spans="1:15">
      <c r="A2377" s="25">
        <v>22708</v>
      </c>
      <c r="B2377" s="34" t="s">
        <v>3838</v>
      </c>
      <c r="C2377" s="31" t="s">
        <v>521</v>
      </c>
      <c r="D2377" s="31" t="s">
        <v>1195</v>
      </c>
      <c r="E2377" s="28">
        <v>43244</v>
      </c>
      <c r="F2377" s="28">
        <v>43275</v>
      </c>
      <c r="G2377" s="28">
        <v>43646</v>
      </c>
      <c r="H2377" s="29" t="s">
        <v>560</v>
      </c>
      <c r="I2377" s="29" t="s">
        <v>560</v>
      </c>
      <c r="J2377" s="29" t="s">
        <v>3805</v>
      </c>
      <c r="K2377" s="29" t="s">
        <v>3806</v>
      </c>
      <c r="L2377" s="29" t="s">
        <v>3807</v>
      </c>
      <c r="M2377" s="29" t="s">
        <v>3272</v>
      </c>
      <c r="N2377" s="29" t="s">
        <v>1434</v>
      </c>
      <c r="O2377" s="29" t="s">
        <v>594</v>
      </c>
    </row>
    <row r="2378" spans="1:15">
      <c r="A2378" s="25">
        <v>22770</v>
      </c>
      <c r="B2378" s="34" t="s">
        <v>2207</v>
      </c>
      <c r="C2378" s="31" t="s">
        <v>521</v>
      </c>
      <c r="D2378" s="31" t="s">
        <v>771</v>
      </c>
      <c r="E2378" s="28">
        <v>43255</v>
      </c>
      <c r="F2378" s="28">
        <v>43285</v>
      </c>
      <c r="G2378" s="28">
        <v>43646</v>
      </c>
      <c r="H2378" s="29" t="s">
        <v>560</v>
      </c>
      <c r="I2378" s="29" t="s">
        <v>560</v>
      </c>
      <c r="J2378" s="29" t="s">
        <v>3805</v>
      </c>
      <c r="K2378" s="29" t="s">
        <v>3806</v>
      </c>
      <c r="L2378" s="29" t="s">
        <v>3807</v>
      </c>
      <c r="M2378" s="29" t="s">
        <v>2092</v>
      </c>
      <c r="N2378" s="29" t="s">
        <v>2041</v>
      </c>
      <c r="O2378" s="29" t="s">
        <v>594</v>
      </c>
    </row>
    <row r="2379" spans="1:15">
      <c r="A2379" s="25">
        <v>22856</v>
      </c>
      <c r="B2379" s="34" t="s">
        <v>3839</v>
      </c>
      <c r="C2379" s="31" t="s">
        <v>521</v>
      </c>
      <c r="D2379" s="31" t="s">
        <v>775</v>
      </c>
      <c r="E2379" s="28">
        <v>43333</v>
      </c>
      <c r="F2379" s="28">
        <v>43364</v>
      </c>
      <c r="G2379" s="28">
        <v>43738</v>
      </c>
      <c r="H2379" s="29" t="s">
        <v>560</v>
      </c>
      <c r="I2379" s="29" t="s">
        <v>560</v>
      </c>
      <c r="J2379" s="29" t="s">
        <v>3805</v>
      </c>
      <c r="K2379" s="29" t="s">
        <v>3806</v>
      </c>
      <c r="L2379" s="29" t="s">
        <v>3807</v>
      </c>
      <c r="M2379" s="29" t="s">
        <v>3840</v>
      </c>
      <c r="N2379" s="29" t="s">
        <v>1434</v>
      </c>
      <c r="O2379" s="29" t="s">
        <v>594</v>
      </c>
    </row>
    <row r="2380" spans="1:15">
      <c r="A2380" s="25">
        <v>22886</v>
      </c>
      <c r="B2380" s="34" t="s">
        <v>3841</v>
      </c>
      <c r="C2380" s="31" t="s">
        <v>521</v>
      </c>
      <c r="D2380" s="31" t="s">
        <v>775</v>
      </c>
      <c r="E2380" s="28">
        <v>43333</v>
      </c>
      <c r="F2380" s="28">
        <v>43364</v>
      </c>
      <c r="G2380" s="28">
        <v>43738</v>
      </c>
      <c r="H2380" s="29" t="s">
        <v>560</v>
      </c>
      <c r="I2380" s="29" t="s">
        <v>560</v>
      </c>
      <c r="J2380" s="29" t="s">
        <v>3805</v>
      </c>
      <c r="K2380" s="29" t="s">
        <v>3806</v>
      </c>
      <c r="L2380" s="29" t="s">
        <v>3807</v>
      </c>
      <c r="M2380" s="29" t="s">
        <v>2028</v>
      </c>
      <c r="N2380" s="29" t="s">
        <v>1434</v>
      </c>
      <c r="O2380" s="29" t="s">
        <v>594</v>
      </c>
    </row>
    <row r="2381" spans="1:15">
      <c r="A2381" s="25">
        <v>22914</v>
      </c>
      <c r="B2381" s="34" t="s">
        <v>3842</v>
      </c>
      <c r="C2381" s="31" t="s">
        <v>521</v>
      </c>
      <c r="D2381" s="31" t="s">
        <v>1962</v>
      </c>
      <c r="E2381" s="28">
        <v>43343</v>
      </c>
      <c r="F2381" s="28">
        <v>43374</v>
      </c>
      <c r="G2381" s="28">
        <v>43738</v>
      </c>
      <c r="H2381" s="29" t="s">
        <v>560</v>
      </c>
      <c r="I2381" s="29" t="s">
        <v>560</v>
      </c>
      <c r="J2381" s="29" t="s">
        <v>3805</v>
      </c>
      <c r="K2381" s="29" t="s">
        <v>3806</v>
      </c>
      <c r="L2381" s="29" t="s">
        <v>3807</v>
      </c>
      <c r="M2381" s="29" t="s">
        <v>2842</v>
      </c>
      <c r="N2381" s="29" t="s">
        <v>1586</v>
      </c>
      <c r="O2381" s="29" t="s">
        <v>594</v>
      </c>
    </row>
    <row r="2382" spans="1:15">
      <c r="A2382" s="25">
        <v>23084</v>
      </c>
      <c r="B2382" s="34" t="s">
        <v>3843</v>
      </c>
      <c r="C2382" s="31" t="s">
        <v>521</v>
      </c>
      <c r="D2382" s="31" t="s">
        <v>1872</v>
      </c>
      <c r="E2382" s="28">
        <v>43361</v>
      </c>
      <c r="F2382" s="28">
        <v>43391</v>
      </c>
      <c r="G2382" s="28">
        <v>43769</v>
      </c>
      <c r="H2382" s="29" t="s">
        <v>560</v>
      </c>
      <c r="I2382" s="29" t="s">
        <v>560</v>
      </c>
      <c r="J2382" s="29" t="s">
        <v>3805</v>
      </c>
      <c r="K2382" s="29" t="s">
        <v>3806</v>
      </c>
      <c r="L2382" s="29" t="s">
        <v>3807</v>
      </c>
      <c r="M2382" s="29" t="s">
        <v>2079</v>
      </c>
      <c r="N2382" s="29" t="s">
        <v>2080</v>
      </c>
      <c r="O2382" s="29" t="s">
        <v>594</v>
      </c>
    </row>
    <row r="2383" spans="1:15">
      <c r="A2383" s="25">
        <v>23209</v>
      </c>
      <c r="B2383" s="34" t="s">
        <v>3844</v>
      </c>
      <c r="C2383" s="31" t="s">
        <v>521</v>
      </c>
      <c r="D2383" s="31" t="s">
        <v>1582</v>
      </c>
      <c r="E2383" s="28">
        <v>43421</v>
      </c>
      <c r="F2383" s="28">
        <v>43451</v>
      </c>
      <c r="G2383" s="28">
        <v>43830</v>
      </c>
      <c r="H2383" s="29" t="s">
        <v>560</v>
      </c>
      <c r="I2383" s="29" t="s">
        <v>560</v>
      </c>
      <c r="J2383" s="29" t="s">
        <v>3805</v>
      </c>
      <c r="K2383" s="29" t="s">
        <v>3806</v>
      </c>
      <c r="L2383" s="29" t="s">
        <v>3807</v>
      </c>
      <c r="M2383" s="29" t="s">
        <v>2085</v>
      </c>
      <c r="N2383" s="29" t="s">
        <v>1434</v>
      </c>
      <c r="O2383" s="29" t="s">
        <v>594</v>
      </c>
    </row>
    <row r="2384" spans="1:15">
      <c r="A2384" s="25">
        <v>23295</v>
      </c>
      <c r="B2384" s="34" t="s">
        <v>3845</v>
      </c>
      <c r="C2384" s="31" t="s">
        <v>521</v>
      </c>
      <c r="D2384" s="31" t="s">
        <v>1527</v>
      </c>
      <c r="E2384" s="28">
        <v>43427</v>
      </c>
      <c r="F2384" s="28">
        <v>43457</v>
      </c>
      <c r="G2384" s="28">
        <v>43830</v>
      </c>
      <c r="H2384" s="29" t="s">
        <v>560</v>
      </c>
      <c r="I2384" s="29" t="s">
        <v>560</v>
      </c>
      <c r="J2384" s="29" t="s">
        <v>3805</v>
      </c>
      <c r="K2384" s="29" t="s">
        <v>3806</v>
      </c>
      <c r="L2384" s="29" t="s">
        <v>3807</v>
      </c>
      <c r="M2384" s="29" t="s">
        <v>2593</v>
      </c>
      <c r="N2384" s="29" t="s">
        <v>1434</v>
      </c>
      <c r="O2384" s="29" t="s">
        <v>594</v>
      </c>
    </row>
    <row r="2385" spans="1:15">
      <c r="A2385" s="25">
        <v>23305</v>
      </c>
      <c r="B2385" s="34" t="s">
        <v>3846</v>
      </c>
      <c r="C2385" s="31" t="s">
        <v>521</v>
      </c>
      <c r="D2385" s="31" t="s">
        <v>1527</v>
      </c>
      <c r="E2385" s="28">
        <v>43427</v>
      </c>
      <c r="F2385" s="28">
        <v>43457</v>
      </c>
      <c r="G2385" s="28">
        <v>43830</v>
      </c>
      <c r="H2385" s="29" t="s">
        <v>560</v>
      </c>
      <c r="I2385" s="29" t="s">
        <v>560</v>
      </c>
      <c r="J2385" s="29" t="s">
        <v>3805</v>
      </c>
      <c r="K2385" s="29" t="s">
        <v>3806</v>
      </c>
      <c r="L2385" s="29" t="s">
        <v>3807</v>
      </c>
      <c r="M2385" s="29" t="s">
        <v>2502</v>
      </c>
      <c r="N2385" s="29" t="s">
        <v>1586</v>
      </c>
      <c r="O2385" s="29" t="s">
        <v>594</v>
      </c>
    </row>
    <row r="2386" spans="1:15">
      <c r="A2386" s="25">
        <v>23321</v>
      </c>
      <c r="B2386" s="34" t="s">
        <v>3847</v>
      </c>
      <c r="C2386" s="31" t="s">
        <v>521</v>
      </c>
      <c r="D2386" s="31" t="s">
        <v>1527</v>
      </c>
      <c r="E2386" s="28">
        <v>43427</v>
      </c>
      <c r="F2386" s="28">
        <v>43457</v>
      </c>
      <c r="G2386" s="28">
        <v>43830</v>
      </c>
      <c r="H2386" s="29" t="s">
        <v>560</v>
      </c>
      <c r="I2386" s="29" t="s">
        <v>560</v>
      </c>
      <c r="J2386" s="29" t="s">
        <v>3805</v>
      </c>
      <c r="K2386" s="29" t="s">
        <v>3806</v>
      </c>
      <c r="L2386" s="29" t="s">
        <v>3807</v>
      </c>
      <c r="M2386" s="29" t="s">
        <v>2206</v>
      </c>
      <c r="N2386" s="29" t="s">
        <v>1586</v>
      </c>
      <c r="O2386" s="29" t="s">
        <v>594</v>
      </c>
    </row>
    <row r="2387" spans="1:15">
      <c r="A2387" s="25">
        <v>23325</v>
      </c>
      <c r="B2387" s="34" t="s">
        <v>3848</v>
      </c>
      <c r="C2387" s="31" t="s">
        <v>521</v>
      </c>
      <c r="D2387" s="31" t="s">
        <v>1527</v>
      </c>
      <c r="E2387" s="28">
        <v>43427</v>
      </c>
      <c r="F2387" s="28">
        <v>43457</v>
      </c>
      <c r="G2387" s="28">
        <v>43830</v>
      </c>
      <c r="H2387" s="29" t="s">
        <v>560</v>
      </c>
      <c r="I2387" s="29" t="s">
        <v>560</v>
      </c>
      <c r="J2387" s="29" t="s">
        <v>3805</v>
      </c>
      <c r="K2387" s="29" t="s">
        <v>3806</v>
      </c>
      <c r="L2387" s="29" t="s">
        <v>3807</v>
      </c>
      <c r="M2387" s="29" t="s">
        <v>2206</v>
      </c>
      <c r="N2387" s="29" t="s">
        <v>1586</v>
      </c>
      <c r="O2387" s="29" t="s">
        <v>594</v>
      </c>
    </row>
    <row r="2388" spans="1:15">
      <c r="A2388" s="25" t="s">
        <v>3849</v>
      </c>
      <c r="B2388" s="26" t="s">
        <v>3850</v>
      </c>
      <c r="C2388" s="27" t="s">
        <v>521</v>
      </c>
      <c r="D2388" s="27" t="s">
        <v>3150</v>
      </c>
      <c r="E2388" s="28">
        <v>40868</v>
      </c>
      <c r="F2388" s="28" t="s">
        <v>35</v>
      </c>
      <c r="G2388" s="28" t="s">
        <v>35</v>
      </c>
      <c r="H2388" s="27" t="s">
        <v>560</v>
      </c>
      <c r="I2388" s="27" t="s">
        <v>560</v>
      </c>
      <c r="J2388" s="29" t="s">
        <v>3805</v>
      </c>
      <c r="K2388" s="29" t="s">
        <v>3806</v>
      </c>
      <c r="L2388" s="29" t="s">
        <v>3807</v>
      </c>
      <c r="M2388" s="29" t="s">
        <v>3285</v>
      </c>
      <c r="N2388" s="29" t="s">
        <v>1434</v>
      </c>
      <c r="O2388" s="29" t="s">
        <v>594</v>
      </c>
    </row>
    <row r="2389" spans="1:15">
      <c r="A2389" s="25">
        <v>23541</v>
      </c>
      <c r="B2389" s="34" t="s">
        <v>3851</v>
      </c>
      <c r="C2389" s="31" t="s">
        <v>521</v>
      </c>
      <c r="D2389" s="31" t="s">
        <v>884</v>
      </c>
      <c r="E2389" s="28">
        <v>43452</v>
      </c>
      <c r="F2389" s="28">
        <v>43483</v>
      </c>
      <c r="G2389" s="28">
        <v>43861</v>
      </c>
      <c r="H2389" s="29" t="s">
        <v>560</v>
      </c>
      <c r="I2389" s="29" t="s">
        <v>560</v>
      </c>
      <c r="J2389" s="29" t="s">
        <v>3805</v>
      </c>
      <c r="K2389" s="29" t="s">
        <v>3806</v>
      </c>
      <c r="L2389" s="29" t="s">
        <v>3807</v>
      </c>
      <c r="M2389" s="29" t="s">
        <v>1593</v>
      </c>
      <c r="N2389" s="29" t="s">
        <v>1586</v>
      </c>
      <c r="O2389" s="29" t="s">
        <v>594</v>
      </c>
    </row>
    <row r="2390" spans="1:15">
      <c r="A2390" s="25">
        <v>5824</v>
      </c>
      <c r="B2390" s="26" t="s">
        <v>3852</v>
      </c>
      <c r="C2390" s="27" t="s">
        <v>521</v>
      </c>
      <c r="D2390" s="27" t="s">
        <v>794</v>
      </c>
      <c r="E2390" s="28">
        <v>39114</v>
      </c>
      <c r="F2390" s="28" t="s">
        <v>35</v>
      </c>
      <c r="G2390" s="28" t="s">
        <v>35</v>
      </c>
      <c r="H2390" s="29" t="s">
        <v>560</v>
      </c>
      <c r="I2390" s="29" t="s">
        <v>560</v>
      </c>
      <c r="J2390" s="29" t="s">
        <v>3805</v>
      </c>
      <c r="K2390" s="29" t="s">
        <v>3806</v>
      </c>
      <c r="L2390" s="29" t="s">
        <v>3807</v>
      </c>
      <c r="M2390" s="29" t="s">
        <v>1550</v>
      </c>
      <c r="N2390" s="29" t="s">
        <v>1045</v>
      </c>
      <c r="O2390" s="29" t="s">
        <v>590</v>
      </c>
    </row>
    <row r="2391" spans="1:15">
      <c r="A2391" s="25">
        <v>6125</v>
      </c>
      <c r="B2391" s="26" t="s">
        <v>3853</v>
      </c>
      <c r="C2391" s="27" t="s">
        <v>521</v>
      </c>
      <c r="D2391" s="27" t="s">
        <v>576</v>
      </c>
      <c r="E2391" s="28">
        <v>39157</v>
      </c>
      <c r="F2391" s="28" t="s">
        <v>35</v>
      </c>
      <c r="G2391" s="28" t="s">
        <v>35</v>
      </c>
      <c r="H2391" s="29" t="s">
        <v>560</v>
      </c>
      <c r="I2391" s="29" t="s">
        <v>560</v>
      </c>
      <c r="J2391" s="29" t="s">
        <v>3805</v>
      </c>
      <c r="K2391" s="29" t="s">
        <v>3806</v>
      </c>
      <c r="L2391" s="29" t="s">
        <v>3807</v>
      </c>
      <c r="M2391" s="29" t="s">
        <v>2082</v>
      </c>
      <c r="N2391" s="29" t="s">
        <v>1434</v>
      </c>
      <c r="O2391" s="29" t="s">
        <v>590</v>
      </c>
    </row>
    <row r="2392" spans="1:15">
      <c r="A2392" s="25">
        <v>9527</v>
      </c>
      <c r="B2392" s="26" t="s">
        <v>99</v>
      </c>
      <c r="C2392" s="27" t="s">
        <v>521</v>
      </c>
      <c r="D2392" s="27" t="s">
        <v>658</v>
      </c>
      <c r="E2392" s="28">
        <v>40148</v>
      </c>
      <c r="F2392" s="28" t="s">
        <v>35</v>
      </c>
      <c r="G2392" s="28" t="s">
        <v>35</v>
      </c>
      <c r="H2392" s="29" t="s">
        <v>560</v>
      </c>
      <c r="I2392" s="29" t="s">
        <v>560</v>
      </c>
      <c r="J2392" s="29" t="s">
        <v>3805</v>
      </c>
      <c r="K2392" s="29" t="s">
        <v>3806</v>
      </c>
      <c r="L2392" s="29" t="s">
        <v>3807</v>
      </c>
      <c r="M2392" s="29" t="s">
        <v>2222</v>
      </c>
      <c r="N2392" s="29" t="s">
        <v>2023</v>
      </c>
      <c r="O2392" s="29" t="s">
        <v>590</v>
      </c>
    </row>
    <row r="2393" spans="1:15">
      <c r="A2393" s="25">
        <v>11783</v>
      </c>
      <c r="B2393" s="26" t="s">
        <v>3854</v>
      </c>
      <c r="C2393" s="27" t="s">
        <v>521</v>
      </c>
      <c r="D2393" s="27" t="s">
        <v>675</v>
      </c>
      <c r="E2393" s="28">
        <v>40714</v>
      </c>
      <c r="F2393" s="28" t="s">
        <v>35</v>
      </c>
      <c r="G2393" s="28" t="s">
        <v>35</v>
      </c>
      <c r="H2393" s="29" t="s">
        <v>560</v>
      </c>
      <c r="I2393" s="29" t="s">
        <v>560</v>
      </c>
      <c r="J2393" s="29" t="s">
        <v>3805</v>
      </c>
      <c r="K2393" s="29" t="s">
        <v>3806</v>
      </c>
      <c r="L2393" s="29" t="s">
        <v>3807</v>
      </c>
      <c r="M2393" s="29" t="s">
        <v>2025</v>
      </c>
      <c r="N2393" s="29" t="s">
        <v>2026</v>
      </c>
      <c r="O2393" s="29" t="s">
        <v>590</v>
      </c>
    </row>
    <row r="2394" spans="1:15">
      <c r="A2394" s="25">
        <v>12234</v>
      </c>
      <c r="B2394" s="26" t="s">
        <v>3855</v>
      </c>
      <c r="C2394" s="27" t="s">
        <v>521</v>
      </c>
      <c r="D2394" s="27" t="s">
        <v>817</v>
      </c>
      <c r="E2394" s="28">
        <v>40805</v>
      </c>
      <c r="F2394" s="28" t="s">
        <v>35</v>
      </c>
      <c r="G2394" s="28" t="s">
        <v>35</v>
      </c>
      <c r="H2394" s="27" t="s">
        <v>560</v>
      </c>
      <c r="I2394" s="27" t="s">
        <v>560</v>
      </c>
      <c r="J2394" s="29" t="s">
        <v>3805</v>
      </c>
      <c r="K2394" s="29" t="s">
        <v>3806</v>
      </c>
      <c r="L2394" s="29" t="s">
        <v>3807</v>
      </c>
      <c r="M2394" s="29" t="s">
        <v>3272</v>
      </c>
      <c r="N2394" s="29" t="s">
        <v>1434</v>
      </c>
      <c r="O2394" s="29" t="s">
        <v>590</v>
      </c>
    </row>
    <row r="2395" spans="1:15">
      <c r="A2395" s="25">
        <v>12883</v>
      </c>
      <c r="B2395" s="26" t="s">
        <v>3856</v>
      </c>
      <c r="C2395" s="27" t="s">
        <v>521</v>
      </c>
      <c r="D2395" s="27" t="s">
        <v>688</v>
      </c>
      <c r="E2395" s="28">
        <v>40833</v>
      </c>
      <c r="F2395" s="28" t="s">
        <v>35</v>
      </c>
      <c r="G2395" s="28" t="s">
        <v>35</v>
      </c>
      <c r="H2395" s="29" t="s">
        <v>560</v>
      </c>
      <c r="I2395" s="29" t="s">
        <v>560</v>
      </c>
      <c r="J2395" s="29" t="s">
        <v>3805</v>
      </c>
      <c r="K2395" s="29" t="s">
        <v>3806</v>
      </c>
      <c r="L2395" s="29" t="s">
        <v>3807</v>
      </c>
      <c r="M2395" s="29" t="s">
        <v>2030</v>
      </c>
      <c r="N2395" s="29" t="s">
        <v>2031</v>
      </c>
      <c r="O2395" s="29" t="s">
        <v>590</v>
      </c>
    </row>
    <row r="2396" spans="1:15">
      <c r="A2396" s="25">
        <v>20441</v>
      </c>
      <c r="B2396" s="26" t="s">
        <v>3857</v>
      </c>
      <c r="C2396" s="27" t="s">
        <v>521</v>
      </c>
      <c r="D2396" s="27" t="s">
        <v>1644</v>
      </c>
      <c r="E2396" s="28">
        <v>42634</v>
      </c>
      <c r="F2396" s="28">
        <v>43132</v>
      </c>
      <c r="G2396" s="28">
        <v>43496</v>
      </c>
      <c r="H2396" s="27" t="s">
        <v>560</v>
      </c>
      <c r="I2396" s="27" t="s">
        <v>560</v>
      </c>
      <c r="J2396" s="29" t="s">
        <v>3805</v>
      </c>
      <c r="K2396" s="29" t="s">
        <v>3806</v>
      </c>
      <c r="L2396" s="29" t="s">
        <v>3807</v>
      </c>
      <c r="M2396" s="29" t="s">
        <v>2065</v>
      </c>
      <c r="N2396" s="29" t="s">
        <v>2041</v>
      </c>
      <c r="O2396" s="29" t="s">
        <v>590</v>
      </c>
    </row>
    <row r="2397" spans="1:15">
      <c r="A2397" s="25">
        <v>20551</v>
      </c>
      <c r="B2397" s="26" t="s">
        <v>3858</v>
      </c>
      <c r="C2397" s="27" t="s">
        <v>521</v>
      </c>
      <c r="D2397" s="27" t="s">
        <v>673</v>
      </c>
      <c r="E2397" s="28">
        <v>42639</v>
      </c>
      <c r="F2397" s="28">
        <v>43132</v>
      </c>
      <c r="G2397" s="28">
        <v>43496</v>
      </c>
      <c r="H2397" s="25" t="s">
        <v>560</v>
      </c>
      <c r="I2397" s="25" t="s">
        <v>560</v>
      </c>
      <c r="J2397" s="29" t="s">
        <v>3805</v>
      </c>
      <c r="K2397" s="29" t="s">
        <v>3806</v>
      </c>
      <c r="L2397" s="29" t="s">
        <v>3807</v>
      </c>
      <c r="M2397" s="29" t="s">
        <v>3840</v>
      </c>
      <c r="N2397" s="29" t="s">
        <v>1434</v>
      </c>
      <c r="O2397" s="29" t="s">
        <v>590</v>
      </c>
    </row>
    <row r="2398" spans="1:15">
      <c r="A2398" s="25">
        <v>20617</v>
      </c>
      <c r="B2398" s="26" t="s">
        <v>3859</v>
      </c>
      <c r="C2398" s="27" t="s">
        <v>521</v>
      </c>
      <c r="D2398" s="27" t="s">
        <v>673</v>
      </c>
      <c r="E2398" s="28">
        <v>42639</v>
      </c>
      <c r="F2398" s="28">
        <v>43132</v>
      </c>
      <c r="G2398" s="28">
        <v>43496</v>
      </c>
      <c r="H2398" s="25" t="s">
        <v>560</v>
      </c>
      <c r="I2398" s="25" t="s">
        <v>560</v>
      </c>
      <c r="J2398" s="29" t="s">
        <v>3805</v>
      </c>
      <c r="K2398" s="29" t="s">
        <v>3806</v>
      </c>
      <c r="L2398" s="29" t="s">
        <v>3807</v>
      </c>
      <c r="M2398" s="29" t="s">
        <v>2089</v>
      </c>
      <c r="N2398" s="29" t="s">
        <v>2090</v>
      </c>
      <c r="O2398" s="29" t="s">
        <v>590</v>
      </c>
    </row>
    <row r="2399" spans="1:15">
      <c r="A2399" s="25">
        <v>20743</v>
      </c>
      <c r="B2399" s="26" t="s">
        <v>3860</v>
      </c>
      <c r="C2399" s="27" t="s">
        <v>521</v>
      </c>
      <c r="D2399" s="27" t="s">
        <v>815</v>
      </c>
      <c r="E2399" s="28">
        <v>42642</v>
      </c>
      <c r="F2399" s="28">
        <v>43132</v>
      </c>
      <c r="G2399" s="28">
        <v>43496</v>
      </c>
      <c r="H2399" s="31" t="s">
        <v>560</v>
      </c>
      <c r="I2399" s="31" t="s">
        <v>560</v>
      </c>
      <c r="J2399" s="29" t="s">
        <v>3805</v>
      </c>
      <c r="K2399" s="29" t="s">
        <v>3806</v>
      </c>
      <c r="L2399" s="29" t="s">
        <v>3807</v>
      </c>
      <c r="M2399" s="29" t="s">
        <v>2050</v>
      </c>
      <c r="N2399" s="29" t="s">
        <v>1434</v>
      </c>
      <c r="O2399" s="29" t="s">
        <v>590</v>
      </c>
    </row>
    <row r="2400" spans="1:15">
      <c r="A2400" s="25">
        <v>20856</v>
      </c>
      <c r="B2400" s="26" t="s">
        <v>3861</v>
      </c>
      <c r="C2400" s="27" t="s">
        <v>521</v>
      </c>
      <c r="D2400" s="27" t="s">
        <v>807</v>
      </c>
      <c r="E2400" s="28">
        <v>42660</v>
      </c>
      <c r="F2400" s="28">
        <v>43160</v>
      </c>
      <c r="G2400" s="28">
        <v>43524</v>
      </c>
      <c r="H2400" s="27" t="s">
        <v>560</v>
      </c>
      <c r="I2400" s="27" t="s">
        <v>560</v>
      </c>
      <c r="J2400" s="29" t="s">
        <v>3805</v>
      </c>
      <c r="K2400" s="29" t="s">
        <v>3806</v>
      </c>
      <c r="L2400" s="29" t="s">
        <v>3807</v>
      </c>
      <c r="M2400" s="29" t="s">
        <v>2450</v>
      </c>
      <c r="N2400" s="29" t="s">
        <v>1434</v>
      </c>
      <c r="O2400" s="29" t="s">
        <v>590</v>
      </c>
    </row>
    <row r="2401" spans="1:15">
      <c r="A2401" s="25">
        <v>21010</v>
      </c>
      <c r="B2401" s="33" t="s">
        <v>3862</v>
      </c>
      <c r="C2401" s="27" t="s">
        <v>521</v>
      </c>
      <c r="D2401" s="27" t="s">
        <v>2545</v>
      </c>
      <c r="E2401" s="28">
        <v>42682</v>
      </c>
      <c r="F2401" s="28">
        <v>43160</v>
      </c>
      <c r="G2401" s="28">
        <v>43524</v>
      </c>
      <c r="H2401" s="31" t="s">
        <v>560</v>
      </c>
      <c r="I2401" s="29" t="s">
        <v>560</v>
      </c>
      <c r="J2401" s="29" t="s">
        <v>3805</v>
      </c>
      <c r="K2401" s="29" t="s">
        <v>3806</v>
      </c>
      <c r="L2401" s="29" t="s">
        <v>3807</v>
      </c>
      <c r="M2401" s="29" t="s">
        <v>2052</v>
      </c>
      <c r="N2401" s="29" t="s">
        <v>2041</v>
      </c>
      <c r="O2401" s="29" t="s">
        <v>590</v>
      </c>
    </row>
    <row r="2402" spans="1:15">
      <c r="A2402" s="25">
        <v>21098</v>
      </c>
      <c r="B2402" s="26" t="s">
        <v>3863</v>
      </c>
      <c r="C2402" s="27" t="s">
        <v>521</v>
      </c>
      <c r="D2402" s="27" t="s">
        <v>1686</v>
      </c>
      <c r="E2402" s="28">
        <v>42867</v>
      </c>
      <c r="F2402" s="28">
        <v>43344</v>
      </c>
      <c r="G2402" s="28">
        <v>43708</v>
      </c>
      <c r="H2402" s="25" t="s">
        <v>560</v>
      </c>
      <c r="I2402" s="27" t="s">
        <v>560</v>
      </c>
      <c r="J2402" s="29" t="s">
        <v>3805</v>
      </c>
      <c r="K2402" s="29" t="s">
        <v>3806</v>
      </c>
      <c r="L2402" s="29" t="s">
        <v>3807</v>
      </c>
      <c r="M2402" s="29" t="s">
        <v>2068</v>
      </c>
      <c r="N2402" s="29" t="s">
        <v>1434</v>
      </c>
      <c r="O2402" s="29" t="s">
        <v>590</v>
      </c>
    </row>
    <row r="2403" spans="1:15">
      <c r="A2403" s="25">
        <v>21130</v>
      </c>
      <c r="B2403" s="26" t="s">
        <v>3864</v>
      </c>
      <c r="C2403" s="27" t="s">
        <v>521</v>
      </c>
      <c r="D2403" s="27" t="s">
        <v>1686</v>
      </c>
      <c r="E2403" s="28">
        <v>42867</v>
      </c>
      <c r="F2403" s="28">
        <v>43344</v>
      </c>
      <c r="G2403" s="28">
        <v>43708</v>
      </c>
      <c r="H2403" s="25" t="s">
        <v>560</v>
      </c>
      <c r="I2403" s="27" t="s">
        <v>560</v>
      </c>
      <c r="J2403" s="29" t="s">
        <v>3805</v>
      </c>
      <c r="K2403" s="29" t="s">
        <v>3806</v>
      </c>
      <c r="L2403" s="29" t="s">
        <v>3807</v>
      </c>
      <c r="M2403" s="29" t="s">
        <v>2084</v>
      </c>
      <c r="N2403" s="29" t="s">
        <v>1434</v>
      </c>
      <c r="O2403" s="29" t="s">
        <v>590</v>
      </c>
    </row>
    <row r="2404" spans="1:15">
      <c r="A2404" s="25">
        <v>21231</v>
      </c>
      <c r="B2404" s="34" t="s">
        <v>3865</v>
      </c>
      <c r="C2404" s="31" t="s">
        <v>521</v>
      </c>
      <c r="D2404" s="31" t="s">
        <v>2670</v>
      </c>
      <c r="E2404" s="28">
        <v>42893</v>
      </c>
      <c r="F2404" s="28">
        <v>43374</v>
      </c>
      <c r="G2404" s="28">
        <v>43738</v>
      </c>
      <c r="H2404" s="29" t="s">
        <v>560</v>
      </c>
      <c r="I2404" s="29" t="s">
        <v>560</v>
      </c>
      <c r="J2404" s="29" t="s">
        <v>3805</v>
      </c>
      <c r="K2404" s="29" t="s">
        <v>3806</v>
      </c>
      <c r="L2404" s="29" t="s">
        <v>3807</v>
      </c>
      <c r="M2404" s="29" t="s">
        <v>2222</v>
      </c>
      <c r="N2404" s="29" t="s">
        <v>2023</v>
      </c>
      <c r="O2404" s="29" t="s">
        <v>590</v>
      </c>
    </row>
    <row r="2405" spans="1:15">
      <c r="A2405" s="25">
        <v>21405</v>
      </c>
      <c r="B2405" s="34" t="s">
        <v>3866</v>
      </c>
      <c r="C2405" s="31" t="s">
        <v>521</v>
      </c>
      <c r="D2405" s="31" t="s">
        <v>2283</v>
      </c>
      <c r="E2405" s="28">
        <v>43018</v>
      </c>
      <c r="F2405" s="28">
        <v>43405</v>
      </c>
      <c r="G2405" s="28">
        <v>43769</v>
      </c>
      <c r="H2405" s="29" t="s">
        <v>560</v>
      </c>
      <c r="I2405" s="29" t="s">
        <v>560</v>
      </c>
      <c r="J2405" s="29" t="s">
        <v>3805</v>
      </c>
      <c r="K2405" s="29" t="s">
        <v>3806</v>
      </c>
      <c r="L2405" s="29" t="s">
        <v>3807</v>
      </c>
      <c r="M2405" s="29" t="s">
        <v>2215</v>
      </c>
      <c r="N2405" s="29" t="s">
        <v>1434</v>
      </c>
      <c r="O2405" s="29" t="s">
        <v>590</v>
      </c>
    </row>
    <row r="2406" spans="1:15">
      <c r="A2406" s="25">
        <v>21528</v>
      </c>
      <c r="B2406" s="34" t="s">
        <v>3867</v>
      </c>
      <c r="C2406" s="31" t="s">
        <v>521</v>
      </c>
      <c r="D2406" s="31" t="s">
        <v>1760</v>
      </c>
      <c r="E2406" s="28">
        <v>43045</v>
      </c>
      <c r="F2406" s="28">
        <v>43435</v>
      </c>
      <c r="G2406" s="28">
        <v>43799</v>
      </c>
      <c r="H2406" s="29" t="s">
        <v>560</v>
      </c>
      <c r="I2406" s="29" t="s">
        <v>560</v>
      </c>
      <c r="J2406" s="29" t="s">
        <v>3805</v>
      </c>
      <c r="K2406" s="29" t="s">
        <v>3806</v>
      </c>
      <c r="L2406" s="29" t="s">
        <v>3807</v>
      </c>
      <c r="M2406" s="29" t="s">
        <v>2061</v>
      </c>
      <c r="N2406" s="29" t="s">
        <v>2041</v>
      </c>
      <c r="O2406" s="29" t="s">
        <v>590</v>
      </c>
    </row>
    <row r="2407" spans="1:15">
      <c r="A2407" s="25">
        <v>21749</v>
      </c>
      <c r="B2407" s="34" t="s">
        <v>3868</v>
      </c>
      <c r="C2407" s="31" t="s">
        <v>521</v>
      </c>
      <c r="D2407" s="31" t="s">
        <v>663</v>
      </c>
      <c r="E2407" s="28">
        <v>43087</v>
      </c>
      <c r="F2407" s="28">
        <v>43118</v>
      </c>
      <c r="G2407" s="28">
        <v>43496</v>
      </c>
      <c r="H2407" s="29" t="s">
        <v>560</v>
      </c>
      <c r="I2407" s="29" t="s">
        <v>560</v>
      </c>
      <c r="J2407" s="29" t="s">
        <v>3805</v>
      </c>
      <c r="K2407" s="29" t="s">
        <v>3806</v>
      </c>
      <c r="L2407" s="29" t="s">
        <v>3807</v>
      </c>
      <c r="M2407" s="29" t="s">
        <v>2227</v>
      </c>
      <c r="N2407" s="29" t="s">
        <v>1434</v>
      </c>
      <c r="O2407" s="29" t="s">
        <v>590</v>
      </c>
    </row>
    <row r="2408" spans="1:15">
      <c r="A2408" s="25">
        <v>21878</v>
      </c>
      <c r="B2408" s="34" t="s">
        <v>3869</v>
      </c>
      <c r="C2408" s="31" t="s">
        <v>521</v>
      </c>
      <c r="D2408" s="31" t="s">
        <v>1870</v>
      </c>
      <c r="E2408" s="28">
        <v>43103</v>
      </c>
      <c r="F2408" s="28">
        <v>43134</v>
      </c>
      <c r="G2408" s="28">
        <v>43496</v>
      </c>
      <c r="H2408" s="29" t="s">
        <v>560</v>
      </c>
      <c r="I2408" s="29" t="s">
        <v>560</v>
      </c>
      <c r="J2408" s="29" t="s">
        <v>3805</v>
      </c>
      <c r="K2408" s="29" t="s">
        <v>3806</v>
      </c>
      <c r="L2408" s="29" t="s">
        <v>3807</v>
      </c>
      <c r="M2408" s="29" t="s">
        <v>2092</v>
      </c>
      <c r="N2408" s="29" t="s">
        <v>2041</v>
      </c>
      <c r="O2408" s="29" t="s">
        <v>590</v>
      </c>
    </row>
    <row r="2409" spans="1:15">
      <c r="A2409" s="25">
        <v>21948</v>
      </c>
      <c r="B2409" s="34" t="s">
        <v>3870</v>
      </c>
      <c r="C2409" s="31" t="s">
        <v>521</v>
      </c>
      <c r="D2409" s="31" t="s">
        <v>1573</v>
      </c>
      <c r="E2409" s="28">
        <v>43116</v>
      </c>
      <c r="F2409" s="28">
        <v>43147</v>
      </c>
      <c r="G2409" s="28">
        <v>43524</v>
      </c>
      <c r="H2409" s="29" t="s">
        <v>560</v>
      </c>
      <c r="I2409" s="29" t="s">
        <v>560</v>
      </c>
      <c r="J2409" s="29" t="s">
        <v>3805</v>
      </c>
      <c r="K2409" s="29" t="s">
        <v>3806</v>
      </c>
      <c r="L2409" s="29" t="s">
        <v>3807</v>
      </c>
      <c r="M2409" s="29" t="s">
        <v>2057</v>
      </c>
      <c r="N2409" s="29" t="s">
        <v>2041</v>
      </c>
      <c r="O2409" s="29" t="s">
        <v>590</v>
      </c>
    </row>
    <row r="2410" spans="1:15">
      <c r="A2410" s="25">
        <v>22090</v>
      </c>
      <c r="B2410" s="34" t="s">
        <v>3871</v>
      </c>
      <c r="C2410" s="31" t="s">
        <v>521</v>
      </c>
      <c r="D2410" s="31" t="s">
        <v>769</v>
      </c>
      <c r="E2410" s="28">
        <v>43150</v>
      </c>
      <c r="F2410" s="28">
        <v>43178</v>
      </c>
      <c r="G2410" s="28">
        <v>43555</v>
      </c>
      <c r="H2410" s="29" t="s">
        <v>560</v>
      </c>
      <c r="I2410" s="29" t="s">
        <v>560</v>
      </c>
      <c r="J2410" s="29" t="s">
        <v>3805</v>
      </c>
      <c r="K2410" s="29" t="s">
        <v>3806</v>
      </c>
      <c r="L2410" s="29" t="s">
        <v>3807</v>
      </c>
      <c r="M2410" s="29" t="s">
        <v>2040</v>
      </c>
      <c r="N2410" s="29" t="s">
        <v>2041</v>
      </c>
      <c r="O2410" s="29" t="s">
        <v>590</v>
      </c>
    </row>
    <row r="2411" spans="1:15">
      <c r="A2411" s="25">
        <v>22113</v>
      </c>
      <c r="B2411" s="34" t="s">
        <v>3872</v>
      </c>
      <c r="C2411" s="31" t="s">
        <v>521</v>
      </c>
      <c r="D2411" s="31" t="s">
        <v>758</v>
      </c>
      <c r="E2411" s="28">
        <v>43153</v>
      </c>
      <c r="F2411" s="28">
        <v>43181</v>
      </c>
      <c r="G2411" s="28">
        <v>43555</v>
      </c>
      <c r="H2411" s="29" t="s">
        <v>560</v>
      </c>
      <c r="I2411" s="29" t="s">
        <v>560</v>
      </c>
      <c r="J2411" s="29" t="s">
        <v>3805</v>
      </c>
      <c r="K2411" s="29" t="s">
        <v>3806</v>
      </c>
      <c r="L2411" s="29" t="s">
        <v>3807</v>
      </c>
      <c r="M2411" s="29" t="s">
        <v>2496</v>
      </c>
      <c r="N2411" s="29" t="s">
        <v>2077</v>
      </c>
      <c r="O2411" s="29" t="s">
        <v>590</v>
      </c>
    </row>
    <row r="2412" spans="1:15">
      <c r="A2412" s="25">
        <v>22270</v>
      </c>
      <c r="B2412" s="34" t="s">
        <v>3873</v>
      </c>
      <c r="C2412" s="31" t="s">
        <v>521</v>
      </c>
      <c r="D2412" s="31" t="s">
        <v>1071</v>
      </c>
      <c r="E2412" s="28">
        <v>43181</v>
      </c>
      <c r="F2412" s="28">
        <v>43212</v>
      </c>
      <c r="G2412" s="28">
        <v>43585</v>
      </c>
      <c r="H2412" s="29" t="s">
        <v>560</v>
      </c>
      <c r="I2412" s="29" t="s">
        <v>560</v>
      </c>
      <c r="J2412" s="29" t="s">
        <v>3805</v>
      </c>
      <c r="K2412" s="29" t="s">
        <v>3806</v>
      </c>
      <c r="L2412" s="29" t="s">
        <v>3807</v>
      </c>
      <c r="M2412" s="29" t="s">
        <v>2181</v>
      </c>
      <c r="N2412" s="29" t="s">
        <v>2080</v>
      </c>
      <c r="O2412" s="29" t="s">
        <v>590</v>
      </c>
    </row>
    <row r="2413" spans="1:15">
      <c r="A2413" s="25">
        <v>22653</v>
      </c>
      <c r="B2413" s="34" t="s">
        <v>3874</v>
      </c>
      <c r="C2413" s="31" t="s">
        <v>521</v>
      </c>
      <c r="D2413" s="31" t="s">
        <v>1199</v>
      </c>
      <c r="E2413" s="28">
        <v>43241</v>
      </c>
      <c r="F2413" s="28">
        <v>43272</v>
      </c>
      <c r="G2413" s="28">
        <v>43646</v>
      </c>
      <c r="H2413" s="29" t="s">
        <v>560</v>
      </c>
      <c r="I2413" s="29" t="s">
        <v>560</v>
      </c>
      <c r="J2413" s="29" t="s">
        <v>3805</v>
      </c>
      <c r="K2413" s="29" t="s">
        <v>3806</v>
      </c>
      <c r="L2413" s="29" t="s">
        <v>3807</v>
      </c>
      <c r="M2413" s="29" t="s">
        <v>3285</v>
      </c>
      <c r="N2413" s="29" t="s">
        <v>1434</v>
      </c>
      <c r="O2413" s="29" t="s">
        <v>590</v>
      </c>
    </row>
    <row r="2414" spans="1:15">
      <c r="A2414" s="25">
        <v>22702</v>
      </c>
      <c r="B2414" s="34" t="s">
        <v>3875</v>
      </c>
      <c r="C2414" s="31" t="s">
        <v>521</v>
      </c>
      <c r="D2414" s="31" t="s">
        <v>1195</v>
      </c>
      <c r="E2414" s="28">
        <v>43244</v>
      </c>
      <c r="F2414" s="28">
        <v>43275</v>
      </c>
      <c r="G2414" s="28">
        <v>43646</v>
      </c>
      <c r="H2414" s="29" t="s">
        <v>560</v>
      </c>
      <c r="I2414" s="29" t="s">
        <v>560</v>
      </c>
      <c r="J2414" s="29" t="s">
        <v>3805</v>
      </c>
      <c r="K2414" s="29" t="s">
        <v>3806</v>
      </c>
      <c r="L2414" s="29" t="s">
        <v>3807</v>
      </c>
      <c r="M2414" s="29" t="s">
        <v>2085</v>
      </c>
      <c r="N2414" s="29" t="s">
        <v>1434</v>
      </c>
      <c r="O2414" s="29" t="s">
        <v>590</v>
      </c>
    </row>
    <row r="2415" spans="1:15">
      <c r="A2415" s="25">
        <v>22732</v>
      </c>
      <c r="B2415" s="34" t="s">
        <v>3876</v>
      </c>
      <c r="C2415" s="31" t="s">
        <v>521</v>
      </c>
      <c r="D2415" s="31" t="s">
        <v>771</v>
      </c>
      <c r="E2415" s="28">
        <v>43255</v>
      </c>
      <c r="F2415" s="28">
        <v>43285</v>
      </c>
      <c r="G2415" s="28">
        <v>43646</v>
      </c>
      <c r="H2415" s="29" t="s">
        <v>560</v>
      </c>
      <c r="I2415" s="29" t="s">
        <v>560</v>
      </c>
      <c r="J2415" s="29" t="s">
        <v>3805</v>
      </c>
      <c r="K2415" s="29" t="s">
        <v>3806</v>
      </c>
      <c r="L2415" s="29" t="s">
        <v>3807</v>
      </c>
      <c r="M2415" s="29" t="s">
        <v>2293</v>
      </c>
      <c r="N2415" s="29" t="s">
        <v>1434</v>
      </c>
      <c r="O2415" s="29" t="s">
        <v>590</v>
      </c>
    </row>
    <row r="2416" spans="1:15">
      <c r="A2416" s="25">
        <v>22920</v>
      </c>
      <c r="B2416" s="34" t="s">
        <v>3877</v>
      </c>
      <c r="C2416" s="31" t="s">
        <v>521</v>
      </c>
      <c r="D2416" s="31" t="s">
        <v>1962</v>
      </c>
      <c r="E2416" s="28">
        <v>43343</v>
      </c>
      <c r="F2416" s="28">
        <v>43374</v>
      </c>
      <c r="G2416" s="28">
        <v>43738</v>
      </c>
      <c r="H2416" s="29" t="s">
        <v>560</v>
      </c>
      <c r="I2416" s="29" t="s">
        <v>560</v>
      </c>
      <c r="J2416" s="29" t="s">
        <v>3805</v>
      </c>
      <c r="K2416" s="29" t="s">
        <v>3806</v>
      </c>
      <c r="L2416" s="29" t="s">
        <v>3807</v>
      </c>
      <c r="M2416" s="29" t="s">
        <v>3878</v>
      </c>
      <c r="N2416" s="29" t="s">
        <v>2041</v>
      </c>
      <c r="O2416" s="29" t="s">
        <v>590</v>
      </c>
    </row>
    <row r="2417" spans="1:15">
      <c r="A2417" s="25">
        <v>22921</v>
      </c>
      <c r="B2417" s="34" t="s">
        <v>3879</v>
      </c>
      <c r="C2417" s="31" t="s">
        <v>521</v>
      </c>
      <c r="D2417" s="31" t="s">
        <v>1962</v>
      </c>
      <c r="E2417" s="28">
        <v>43343</v>
      </c>
      <c r="F2417" s="28">
        <v>43374</v>
      </c>
      <c r="G2417" s="28">
        <v>43738</v>
      </c>
      <c r="H2417" s="29" t="s">
        <v>560</v>
      </c>
      <c r="I2417" s="29" t="s">
        <v>560</v>
      </c>
      <c r="J2417" s="29" t="s">
        <v>3805</v>
      </c>
      <c r="K2417" s="29" t="s">
        <v>3806</v>
      </c>
      <c r="L2417" s="29" t="s">
        <v>3807</v>
      </c>
      <c r="M2417" s="29" t="s">
        <v>2055</v>
      </c>
      <c r="N2417" s="29" t="s">
        <v>1434</v>
      </c>
      <c r="O2417" s="29" t="s">
        <v>590</v>
      </c>
    </row>
    <row r="2418" spans="1:15">
      <c r="A2418" s="25">
        <v>22955</v>
      </c>
      <c r="B2418" s="34" t="s">
        <v>3880</v>
      </c>
      <c r="C2418" s="31" t="s">
        <v>521</v>
      </c>
      <c r="D2418" s="31" t="s">
        <v>1962</v>
      </c>
      <c r="E2418" s="28">
        <v>43343</v>
      </c>
      <c r="F2418" s="28">
        <v>43374</v>
      </c>
      <c r="G2418" s="28">
        <v>43738</v>
      </c>
      <c r="H2418" s="29" t="s">
        <v>560</v>
      </c>
      <c r="I2418" s="29" t="s">
        <v>560</v>
      </c>
      <c r="J2418" s="29" t="s">
        <v>3805</v>
      </c>
      <c r="K2418" s="29" t="s">
        <v>3806</v>
      </c>
      <c r="L2418" s="29" t="s">
        <v>3807</v>
      </c>
      <c r="M2418" s="29" t="s">
        <v>2244</v>
      </c>
      <c r="N2418" s="29" t="s">
        <v>1434</v>
      </c>
      <c r="O2418" s="29" t="s">
        <v>590</v>
      </c>
    </row>
    <row r="2419" spans="1:15">
      <c r="A2419" s="25">
        <v>23033</v>
      </c>
      <c r="B2419" s="34" t="s">
        <v>2265</v>
      </c>
      <c r="C2419" s="31" t="s">
        <v>521</v>
      </c>
      <c r="D2419" s="31" t="s">
        <v>1872</v>
      </c>
      <c r="E2419" s="28">
        <v>43361</v>
      </c>
      <c r="F2419" s="28">
        <v>43391</v>
      </c>
      <c r="G2419" s="28">
        <v>43769</v>
      </c>
      <c r="H2419" s="29" t="s">
        <v>560</v>
      </c>
      <c r="I2419" s="29" t="s">
        <v>560</v>
      </c>
      <c r="J2419" s="29" t="s">
        <v>3805</v>
      </c>
      <c r="K2419" s="29" t="s">
        <v>3806</v>
      </c>
      <c r="L2419" s="29" t="s">
        <v>3807</v>
      </c>
      <c r="M2419" s="29" t="s">
        <v>2324</v>
      </c>
      <c r="N2419" s="29" t="s">
        <v>2080</v>
      </c>
      <c r="O2419" s="29" t="s">
        <v>590</v>
      </c>
    </row>
    <row r="2420" spans="1:15">
      <c r="A2420" s="25">
        <v>23047</v>
      </c>
      <c r="B2420" s="34" t="s">
        <v>3881</v>
      </c>
      <c r="C2420" s="31" t="s">
        <v>521</v>
      </c>
      <c r="D2420" s="31" t="s">
        <v>1872</v>
      </c>
      <c r="E2420" s="28">
        <v>43361</v>
      </c>
      <c r="F2420" s="28">
        <v>43391</v>
      </c>
      <c r="G2420" s="28">
        <v>43769</v>
      </c>
      <c r="H2420" s="29" t="s">
        <v>560</v>
      </c>
      <c r="I2420" s="29" t="s">
        <v>560</v>
      </c>
      <c r="J2420" s="29" t="s">
        <v>3805</v>
      </c>
      <c r="K2420" s="29" t="s">
        <v>3806</v>
      </c>
      <c r="L2420" s="29" t="s">
        <v>3807</v>
      </c>
      <c r="M2420" s="29" t="s">
        <v>2444</v>
      </c>
      <c r="N2420" s="29" t="s">
        <v>1434</v>
      </c>
      <c r="O2420" s="29" t="s">
        <v>590</v>
      </c>
    </row>
    <row r="2421" spans="1:15">
      <c r="A2421" s="25">
        <v>23054</v>
      </c>
      <c r="B2421" s="34" t="s">
        <v>3882</v>
      </c>
      <c r="C2421" s="31" t="s">
        <v>521</v>
      </c>
      <c r="D2421" s="31" t="s">
        <v>1872</v>
      </c>
      <c r="E2421" s="28">
        <v>43361</v>
      </c>
      <c r="F2421" s="28">
        <v>43391</v>
      </c>
      <c r="G2421" s="28">
        <v>43769</v>
      </c>
      <c r="H2421" s="29" t="s">
        <v>560</v>
      </c>
      <c r="I2421" s="29" t="s">
        <v>560</v>
      </c>
      <c r="J2421" s="29" t="s">
        <v>3805</v>
      </c>
      <c r="K2421" s="29" t="s">
        <v>3806</v>
      </c>
      <c r="L2421" s="29" t="s">
        <v>3807</v>
      </c>
      <c r="M2421" s="29" t="s">
        <v>2028</v>
      </c>
      <c r="N2421" s="29" t="s">
        <v>1434</v>
      </c>
      <c r="O2421" s="29" t="s">
        <v>590</v>
      </c>
    </row>
    <row r="2422" spans="1:15">
      <c r="A2422" s="25">
        <v>23210</v>
      </c>
      <c r="B2422" s="34" t="s">
        <v>3883</v>
      </c>
      <c r="C2422" s="31" t="s">
        <v>521</v>
      </c>
      <c r="D2422" s="31" t="s">
        <v>1582</v>
      </c>
      <c r="E2422" s="28">
        <v>43421</v>
      </c>
      <c r="F2422" s="28">
        <v>43451</v>
      </c>
      <c r="G2422" s="28">
        <v>43830</v>
      </c>
      <c r="H2422" s="29" t="s">
        <v>560</v>
      </c>
      <c r="I2422" s="29" t="s">
        <v>560</v>
      </c>
      <c r="J2422" s="29" t="s">
        <v>3805</v>
      </c>
      <c r="K2422" s="29" t="s">
        <v>3806</v>
      </c>
      <c r="L2422" s="29" t="s">
        <v>3807</v>
      </c>
      <c r="M2422" s="29" t="s">
        <v>2462</v>
      </c>
      <c r="N2422" s="29" t="s">
        <v>1434</v>
      </c>
      <c r="O2422" s="29" t="s">
        <v>590</v>
      </c>
    </row>
    <row r="2423" spans="1:15">
      <c r="A2423" s="25">
        <v>23211</v>
      </c>
      <c r="B2423" s="34" t="s">
        <v>3884</v>
      </c>
      <c r="C2423" s="31" t="s">
        <v>521</v>
      </c>
      <c r="D2423" s="31" t="s">
        <v>1582</v>
      </c>
      <c r="E2423" s="28">
        <v>43421</v>
      </c>
      <c r="F2423" s="28">
        <v>43451</v>
      </c>
      <c r="G2423" s="28">
        <v>43830</v>
      </c>
      <c r="H2423" s="29" t="s">
        <v>560</v>
      </c>
      <c r="I2423" s="29" t="s">
        <v>560</v>
      </c>
      <c r="J2423" s="29" t="s">
        <v>3805</v>
      </c>
      <c r="K2423" s="29" t="s">
        <v>3806</v>
      </c>
      <c r="L2423" s="29" t="s">
        <v>3807</v>
      </c>
      <c r="M2423" s="29" t="s">
        <v>2072</v>
      </c>
      <c r="N2423" s="29" t="s">
        <v>1434</v>
      </c>
      <c r="O2423" s="29" t="s">
        <v>590</v>
      </c>
    </row>
    <row r="2424" spans="1:15">
      <c r="A2424" s="25">
        <v>23337</v>
      </c>
      <c r="B2424" s="34" t="s">
        <v>3885</v>
      </c>
      <c r="C2424" s="31" t="s">
        <v>521</v>
      </c>
      <c r="D2424" s="31" t="s">
        <v>1527</v>
      </c>
      <c r="E2424" s="28">
        <v>43427</v>
      </c>
      <c r="F2424" s="28">
        <v>43457</v>
      </c>
      <c r="G2424" s="28">
        <v>43830</v>
      </c>
      <c r="H2424" s="29" t="s">
        <v>560</v>
      </c>
      <c r="I2424" s="29" t="s">
        <v>560</v>
      </c>
      <c r="J2424" s="29" t="s">
        <v>3805</v>
      </c>
      <c r="K2424" s="29" t="s">
        <v>3806</v>
      </c>
      <c r="L2424" s="29" t="s">
        <v>3807</v>
      </c>
      <c r="M2424" s="29" t="s">
        <v>3886</v>
      </c>
      <c r="N2424" s="29" t="s">
        <v>1586</v>
      </c>
      <c r="O2424" s="29" t="s">
        <v>590</v>
      </c>
    </row>
    <row r="2425" spans="1:15">
      <c r="A2425" s="25">
        <v>23338</v>
      </c>
      <c r="B2425" s="34" t="s">
        <v>3887</v>
      </c>
      <c r="C2425" s="31" t="s">
        <v>521</v>
      </c>
      <c r="D2425" s="31" t="s">
        <v>1527</v>
      </c>
      <c r="E2425" s="28">
        <v>43427</v>
      </c>
      <c r="F2425" s="28">
        <v>43457</v>
      </c>
      <c r="G2425" s="28">
        <v>43830</v>
      </c>
      <c r="H2425" s="29" t="s">
        <v>560</v>
      </c>
      <c r="I2425" s="29" t="s">
        <v>560</v>
      </c>
      <c r="J2425" s="29" t="s">
        <v>3805</v>
      </c>
      <c r="K2425" s="29" t="s">
        <v>3806</v>
      </c>
      <c r="L2425" s="29" t="s">
        <v>3807</v>
      </c>
      <c r="M2425" s="29" t="s">
        <v>3888</v>
      </c>
      <c r="N2425" s="29" t="s">
        <v>1586</v>
      </c>
      <c r="O2425" s="29" t="s">
        <v>590</v>
      </c>
    </row>
    <row r="2426" spans="1:15">
      <c r="A2426" s="25">
        <v>23554</v>
      </c>
      <c r="B2426" s="34" t="s">
        <v>3889</v>
      </c>
      <c r="C2426" s="31" t="s">
        <v>521</v>
      </c>
      <c r="D2426" s="31" t="s">
        <v>884</v>
      </c>
      <c r="E2426" s="28">
        <v>43452</v>
      </c>
      <c r="F2426" s="28">
        <v>43483</v>
      </c>
      <c r="G2426" s="28">
        <v>43861</v>
      </c>
      <c r="H2426" s="29" t="s">
        <v>560</v>
      </c>
      <c r="I2426" s="29" t="s">
        <v>560</v>
      </c>
      <c r="J2426" s="29" t="s">
        <v>3805</v>
      </c>
      <c r="K2426" s="29" t="s">
        <v>3806</v>
      </c>
      <c r="L2426" s="29" t="s">
        <v>3807</v>
      </c>
      <c r="M2426" s="29" t="s">
        <v>1593</v>
      </c>
      <c r="N2426" s="29" t="s">
        <v>1586</v>
      </c>
      <c r="O2426" s="29" t="s">
        <v>590</v>
      </c>
    </row>
    <row r="2427" spans="1:15">
      <c r="A2427" s="25">
        <v>23590</v>
      </c>
      <c r="B2427" s="34" t="s">
        <v>3890</v>
      </c>
      <c r="C2427" s="31" t="s">
        <v>521</v>
      </c>
      <c r="D2427" s="31" t="s">
        <v>884</v>
      </c>
      <c r="E2427" s="28">
        <v>43452</v>
      </c>
      <c r="F2427" s="28">
        <v>43483</v>
      </c>
      <c r="G2427" s="28">
        <v>43861</v>
      </c>
      <c r="H2427" s="29" t="s">
        <v>560</v>
      </c>
      <c r="I2427" s="29" t="s">
        <v>560</v>
      </c>
      <c r="J2427" s="29" t="s">
        <v>3805</v>
      </c>
      <c r="K2427" s="29" t="s">
        <v>3806</v>
      </c>
      <c r="L2427" s="29" t="s">
        <v>3807</v>
      </c>
      <c r="M2427" s="29" t="s">
        <v>1593</v>
      </c>
      <c r="N2427" s="29" t="s">
        <v>1586</v>
      </c>
      <c r="O2427" s="29" t="s">
        <v>590</v>
      </c>
    </row>
    <row r="2428" spans="1:15">
      <c r="A2428" s="25">
        <v>23591</v>
      </c>
      <c r="B2428" s="34" t="s">
        <v>3891</v>
      </c>
      <c r="C2428" s="31" t="s">
        <v>521</v>
      </c>
      <c r="D2428" s="31" t="s">
        <v>884</v>
      </c>
      <c r="E2428" s="28">
        <v>43452</v>
      </c>
      <c r="F2428" s="28">
        <v>43483</v>
      </c>
      <c r="G2428" s="28">
        <v>43861</v>
      </c>
      <c r="H2428" s="29" t="s">
        <v>560</v>
      </c>
      <c r="I2428" s="29" t="s">
        <v>560</v>
      </c>
      <c r="J2428" s="29" t="s">
        <v>3805</v>
      </c>
      <c r="K2428" s="29" t="s">
        <v>3806</v>
      </c>
      <c r="L2428" s="29" t="s">
        <v>3807</v>
      </c>
      <c r="M2428" s="29" t="s">
        <v>1593</v>
      </c>
      <c r="N2428" s="29" t="s">
        <v>1586</v>
      </c>
      <c r="O2428" s="29" t="s">
        <v>590</v>
      </c>
    </row>
    <row r="2429" spans="1:15">
      <c r="A2429" s="25" t="s">
        <v>3892</v>
      </c>
      <c r="B2429" s="34" t="s">
        <v>3893</v>
      </c>
      <c r="C2429" s="31" t="s">
        <v>521</v>
      </c>
      <c r="D2429" s="31" t="s">
        <v>892</v>
      </c>
      <c r="E2429" s="28">
        <v>43467</v>
      </c>
      <c r="F2429" s="28">
        <v>43467</v>
      </c>
      <c r="G2429" s="28">
        <v>43497</v>
      </c>
      <c r="H2429" s="29" t="s">
        <v>560</v>
      </c>
      <c r="I2429" s="29" t="s">
        <v>560</v>
      </c>
      <c r="J2429" s="29" t="s">
        <v>3805</v>
      </c>
      <c r="K2429" s="29" t="s">
        <v>3806</v>
      </c>
      <c r="L2429" s="29" t="s">
        <v>3807</v>
      </c>
      <c r="M2429" s="29" t="s">
        <v>1593</v>
      </c>
      <c r="N2429" s="29" t="s">
        <v>1586</v>
      </c>
      <c r="O2429" s="29" t="s">
        <v>590</v>
      </c>
    </row>
    <row r="2430" spans="1:15">
      <c r="A2430" s="25" t="s">
        <v>3894</v>
      </c>
      <c r="B2430" s="34" t="s">
        <v>3895</v>
      </c>
      <c r="C2430" s="31" t="s">
        <v>521</v>
      </c>
      <c r="D2430" s="31" t="s">
        <v>892</v>
      </c>
      <c r="E2430" s="28">
        <v>43467</v>
      </c>
      <c r="F2430" s="28">
        <v>43467</v>
      </c>
      <c r="G2430" s="28">
        <v>43497</v>
      </c>
      <c r="H2430" s="29" t="s">
        <v>560</v>
      </c>
      <c r="I2430" s="29" t="s">
        <v>560</v>
      </c>
      <c r="J2430" s="29" t="s">
        <v>3805</v>
      </c>
      <c r="K2430" s="29" t="s">
        <v>3806</v>
      </c>
      <c r="L2430" s="29" t="s">
        <v>3807</v>
      </c>
      <c r="M2430" s="29" t="s">
        <v>1593</v>
      </c>
      <c r="N2430" s="29" t="s">
        <v>1586</v>
      </c>
      <c r="O2430" s="29" t="s">
        <v>590</v>
      </c>
    </row>
    <row r="2431" spans="1:15">
      <c r="A2431" s="25">
        <v>5713</v>
      </c>
      <c r="B2431" s="26" t="s">
        <v>175</v>
      </c>
      <c r="C2431" s="27" t="s">
        <v>521</v>
      </c>
      <c r="D2431" s="27" t="s">
        <v>790</v>
      </c>
      <c r="E2431" s="28">
        <v>39098</v>
      </c>
      <c r="F2431" s="28" t="s">
        <v>35</v>
      </c>
      <c r="G2431" s="28" t="s">
        <v>35</v>
      </c>
      <c r="H2431" s="27" t="s">
        <v>560</v>
      </c>
      <c r="I2431" s="27" t="s">
        <v>560</v>
      </c>
      <c r="J2431" s="29" t="s">
        <v>2304</v>
      </c>
      <c r="K2431" s="29" t="s">
        <v>2369</v>
      </c>
      <c r="L2431" s="29" t="s">
        <v>3896</v>
      </c>
      <c r="M2431" s="29" t="s">
        <v>2310</v>
      </c>
      <c r="N2431" s="29" t="s">
        <v>1434</v>
      </c>
      <c r="O2431" s="29" t="s">
        <v>594</v>
      </c>
    </row>
    <row r="2432" spans="1:15">
      <c r="A2432" s="25">
        <v>8952</v>
      </c>
      <c r="B2432" s="34" t="s">
        <v>3897</v>
      </c>
      <c r="C2432" s="31" t="s">
        <v>521</v>
      </c>
      <c r="D2432" s="31" t="s">
        <v>3898</v>
      </c>
      <c r="E2432" s="28">
        <v>39968</v>
      </c>
      <c r="F2432" s="28" t="s">
        <v>35</v>
      </c>
      <c r="G2432" s="28" t="s">
        <v>35</v>
      </c>
      <c r="H2432" s="29" t="s">
        <v>560</v>
      </c>
      <c r="I2432" s="29" t="s">
        <v>560</v>
      </c>
      <c r="J2432" s="29" t="s">
        <v>2304</v>
      </c>
      <c r="K2432" s="29" t="s">
        <v>2369</v>
      </c>
      <c r="L2432" s="29" t="s">
        <v>3896</v>
      </c>
      <c r="M2432" s="29" t="s">
        <v>2366</v>
      </c>
      <c r="N2432" s="29" t="s">
        <v>2023</v>
      </c>
      <c r="O2432" s="29" t="s">
        <v>594</v>
      </c>
    </row>
    <row r="2433" spans="1:15">
      <c r="A2433" s="25">
        <v>9488</v>
      </c>
      <c r="B2433" s="26" t="s">
        <v>3899</v>
      </c>
      <c r="C2433" s="27" t="s">
        <v>521</v>
      </c>
      <c r="D2433" s="27" t="s">
        <v>658</v>
      </c>
      <c r="E2433" s="28">
        <v>40148</v>
      </c>
      <c r="F2433" s="28" t="s">
        <v>35</v>
      </c>
      <c r="G2433" s="28" t="s">
        <v>35</v>
      </c>
      <c r="H2433" s="27" t="s">
        <v>560</v>
      </c>
      <c r="I2433" s="27" t="s">
        <v>560</v>
      </c>
      <c r="J2433" s="29" t="s">
        <v>2304</v>
      </c>
      <c r="K2433" s="29" t="s">
        <v>2369</v>
      </c>
      <c r="L2433" s="29" t="s">
        <v>3896</v>
      </c>
      <c r="M2433" s="29" t="s">
        <v>2025</v>
      </c>
      <c r="N2433" s="29" t="s">
        <v>2026</v>
      </c>
      <c r="O2433" s="29" t="s">
        <v>594</v>
      </c>
    </row>
    <row r="2434" spans="1:15">
      <c r="A2434" s="25">
        <v>10568</v>
      </c>
      <c r="B2434" s="26" t="s">
        <v>3900</v>
      </c>
      <c r="C2434" s="27" t="s">
        <v>521</v>
      </c>
      <c r="D2434" s="27" t="s">
        <v>1672</v>
      </c>
      <c r="E2434" s="28">
        <v>40542</v>
      </c>
      <c r="F2434" s="28" t="s">
        <v>35</v>
      </c>
      <c r="G2434" s="28" t="s">
        <v>35</v>
      </c>
      <c r="H2434" s="29" t="s">
        <v>560</v>
      </c>
      <c r="I2434" s="29" t="s">
        <v>560</v>
      </c>
      <c r="J2434" s="29" t="s">
        <v>2304</v>
      </c>
      <c r="K2434" s="29" t="s">
        <v>2369</v>
      </c>
      <c r="L2434" s="29" t="s">
        <v>3896</v>
      </c>
      <c r="M2434" s="29" t="s">
        <v>2057</v>
      </c>
      <c r="N2434" s="29" t="s">
        <v>2041</v>
      </c>
      <c r="O2434" s="29" t="s">
        <v>594</v>
      </c>
    </row>
    <row r="2435" spans="1:15">
      <c r="A2435" s="25">
        <v>10580</v>
      </c>
      <c r="B2435" s="26" t="s">
        <v>3901</v>
      </c>
      <c r="C2435" s="27" t="s">
        <v>521</v>
      </c>
      <c r="D2435" s="27" t="s">
        <v>602</v>
      </c>
      <c r="E2435" s="28">
        <v>40544</v>
      </c>
      <c r="F2435" s="28" t="s">
        <v>35</v>
      </c>
      <c r="G2435" s="28" t="s">
        <v>35</v>
      </c>
      <c r="H2435" s="27" t="s">
        <v>560</v>
      </c>
      <c r="I2435" s="27" t="s">
        <v>560</v>
      </c>
      <c r="J2435" s="29" t="s">
        <v>2304</v>
      </c>
      <c r="K2435" s="29" t="s">
        <v>2369</v>
      </c>
      <c r="L2435" s="29" t="s">
        <v>3896</v>
      </c>
      <c r="M2435" s="29" t="s">
        <v>1550</v>
      </c>
      <c r="N2435" s="29" t="s">
        <v>1045</v>
      </c>
      <c r="O2435" s="29" t="s">
        <v>594</v>
      </c>
    </row>
    <row r="2436" spans="1:15">
      <c r="A2436" s="25">
        <v>10695</v>
      </c>
      <c r="B2436" s="26" t="s">
        <v>3902</v>
      </c>
      <c r="C2436" s="27" t="s">
        <v>521</v>
      </c>
      <c r="D2436" s="27" t="s">
        <v>3903</v>
      </c>
      <c r="E2436" s="28">
        <v>40560</v>
      </c>
      <c r="F2436" s="28" t="s">
        <v>35</v>
      </c>
      <c r="G2436" s="28" t="s">
        <v>35</v>
      </c>
      <c r="H2436" s="29" t="s">
        <v>560</v>
      </c>
      <c r="I2436" s="29" t="s">
        <v>560</v>
      </c>
      <c r="J2436" s="29" t="s">
        <v>2304</v>
      </c>
      <c r="K2436" s="29" t="s">
        <v>2369</v>
      </c>
      <c r="L2436" s="29" t="s">
        <v>3896</v>
      </c>
      <c r="M2436" s="29" t="s">
        <v>2333</v>
      </c>
      <c r="N2436" s="29" t="s">
        <v>2041</v>
      </c>
      <c r="O2436" s="29" t="s">
        <v>594</v>
      </c>
    </row>
    <row r="2437" spans="1:15">
      <c r="A2437" s="25">
        <v>11894</v>
      </c>
      <c r="B2437" s="26" t="s">
        <v>3904</v>
      </c>
      <c r="C2437" s="27" t="s">
        <v>521</v>
      </c>
      <c r="D2437" s="27" t="s">
        <v>701</v>
      </c>
      <c r="E2437" s="28">
        <v>40735</v>
      </c>
      <c r="F2437" s="28" t="s">
        <v>35</v>
      </c>
      <c r="G2437" s="28" t="s">
        <v>35</v>
      </c>
      <c r="H2437" s="29" t="s">
        <v>560</v>
      </c>
      <c r="I2437" s="29" t="s">
        <v>560</v>
      </c>
      <c r="J2437" s="29" t="s">
        <v>2304</v>
      </c>
      <c r="K2437" s="29" t="s">
        <v>2369</v>
      </c>
      <c r="L2437" s="29" t="s">
        <v>3896</v>
      </c>
      <c r="M2437" s="29" t="s">
        <v>2244</v>
      </c>
      <c r="N2437" s="29" t="s">
        <v>2023</v>
      </c>
      <c r="O2437" s="29" t="s">
        <v>594</v>
      </c>
    </row>
    <row r="2438" spans="1:15">
      <c r="A2438" s="25">
        <v>12538</v>
      </c>
      <c r="B2438" s="26" t="s">
        <v>3905</v>
      </c>
      <c r="C2438" s="27" t="s">
        <v>521</v>
      </c>
      <c r="D2438" s="27" t="s">
        <v>722</v>
      </c>
      <c r="E2438" s="28">
        <v>40812</v>
      </c>
      <c r="F2438" s="28" t="s">
        <v>35</v>
      </c>
      <c r="G2438" s="28" t="s">
        <v>35</v>
      </c>
      <c r="H2438" s="29" t="s">
        <v>560</v>
      </c>
      <c r="I2438" s="29" t="s">
        <v>560</v>
      </c>
      <c r="J2438" s="29" t="s">
        <v>2304</v>
      </c>
      <c r="K2438" s="29" t="s">
        <v>2369</v>
      </c>
      <c r="L2438" s="29" t="s">
        <v>3896</v>
      </c>
      <c r="M2438" s="29" t="s">
        <v>2030</v>
      </c>
      <c r="N2438" s="29" t="s">
        <v>2031</v>
      </c>
      <c r="O2438" s="29" t="s">
        <v>594</v>
      </c>
    </row>
    <row r="2439" spans="1:15">
      <c r="A2439" s="25">
        <v>12709</v>
      </c>
      <c r="B2439" s="26" t="s">
        <v>3906</v>
      </c>
      <c r="C2439" s="27" t="s">
        <v>521</v>
      </c>
      <c r="D2439" s="27" t="s">
        <v>1739</v>
      </c>
      <c r="E2439" s="28">
        <v>40819</v>
      </c>
      <c r="F2439" s="28" t="s">
        <v>35</v>
      </c>
      <c r="G2439" s="28" t="s">
        <v>35</v>
      </c>
      <c r="H2439" s="27" t="s">
        <v>560</v>
      </c>
      <c r="I2439" s="27" t="s">
        <v>560</v>
      </c>
      <c r="J2439" s="29" t="s">
        <v>2304</v>
      </c>
      <c r="K2439" s="29" t="s">
        <v>2369</v>
      </c>
      <c r="L2439" s="29" t="s">
        <v>3896</v>
      </c>
      <c r="M2439" s="29" t="s">
        <v>2028</v>
      </c>
      <c r="N2439" s="29" t="s">
        <v>1434</v>
      </c>
      <c r="O2439" s="29" t="s">
        <v>594</v>
      </c>
    </row>
    <row r="2440" spans="1:15">
      <c r="A2440" s="25">
        <v>12764</v>
      </c>
      <c r="B2440" s="26" t="s">
        <v>3907</v>
      </c>
      <c r="C2440" s="27" t="s">
        <v>521</v>
      </c>
      <c r="D2440" s="27" t="s">
        <v>1739</v>
      </c>
      <c r="E2440" s="28">
        <v>40819</v>
      </c>
      <c r="F2440" s="28" t="s">
        <v>35</v>
      </c>
      <c r="G2440" s="28" t="s">
        <v>35</v>
      </c>
      <c r="H2440" s="29" t="s">
        <v>560</v>
      </c>
      <c r="I2440" s="29" t="s">
        <v>560</v>
      </c>
      <c r="J2440" s="29" t="s">
        <v>2304</v>
      </c>
      <c r="K2440" s="29" t="s">
        <v>2369</v>
      </c>
      <c r="L2440" s="29" t="s">
        <v>3896</v>
      </c>
      <c r="M2440" s="29" t="s">
        <v>2025</v>
      </c>
      <c r="N2440" s="29" t="s">
        <v>2026</v>
      </c>
      <c r="O2440" s="29" t="s">
        <v>594</v>
      </c>
    </row>
    <row r="2441" spans="1:15">
      <c r="A2441" s="25">
        <v>12813</v>
      </c>
      <c r="B2441" s="26" t="s">
        <v>3908</v>
      </c>
      <c r="C2441" s="27" t="s">
        <v>521</v>
      </c>
      <c r="D2441" s="27" t="s">
        <v>2950</v>
      </c>
      <c r="E2441" s="28">
        <v>40826</v>
      </c>
      <c r="F2441" s="28" t="s">
        <v>35</v>
      </c>
      <c r="G2441" s="28" t="s">
        <v>35</v>
      </c>
      <c r="H2441" s="27" t="s">
        <v>560</v>
      </c>
      <c r="I2441" s="27" t="s">
        <v>560</v>
      </c>
      <c r="J2441" s="29" t="s">
        <v>2304</v>
      </c>
      <c r="K2441" s="29" t="s">
        <v>2369</v>
      </c>
      <c r="L2441" s="29" t="s">
        <v>3896</v>
      </c>
      <c r="M2441" s="29" t="s">
        <v>1550</v>
      </c>
      <c r="N2441" s="29" t="s">
        <v>1045</v>
      </c>
      <c r="O2441" s="29" t="s">
        <v>594</v>
      </c>
    </row>
    <row r="2442" spans="1:15">
      <c r="A2442" s="25">
        <v>12981</v>
      </c>
      <c r="B2442" s="34" t="s">
        <v>3909</v>
      </c>
      <c r="C2442" s="31" t="s">
        <v>521</v>
      </c>
      <c r="D2442" s="31" t="s">
        <v>717</v>
      </c>
      <c r="E2442" s="28">
        <v>40840</v>
      </c>
      <c r="F2442" s="28" t="s">
        <v>35</v>
      </c>
      <c r="G2442" s="28" t="s">
        <v>35</v>
      </c>
      <c r="H2442" s="29" t="s">
        <v>560</v>
      </c>
      <c r="I2442" s="29" t="s">
        <v>560</v>
      </c>
      <c r="J2442" s="29" t="s">
        <v>2304</v>
      </c>
      <c r="K2442" s="29" t="s">
        <v>2369</v>
      </c>
      <c r="L2442" s="29" t="s">
        <v>3896</v>
      </c>
      <c r="M2442" s="29" t="s">
        <v>2084</v>
      </c>
      <c r="N2442" s="29" t="s">
        <v>1434</v>
      </c>
      <c r="O2442" s="29" t="s">
        <v>594</v>
      </c>
    </row>
    <row r="2443" spans="1:15">
      <c r="A2443" s="25">
        <v>18844</v>
      </c>
      <c r="B2443" s="26" t="s">
        <v>3910</v>
      </c>
      <c r="C2443" s="27" t="s">
        <v>521</v>
      </c>
      <c r="D2443" s="27" t="s">
        <v>3911</v>
      </c>
      <c r="E2443" s="28">
        <v>42210</v>
      </c>
      <c r="F2443" s="28" t="s">
        <v>35</v>
      </c>
      <c r="G2443" s="28" t="s">
        <v>35</v>
      </c>
      <c r="H2443" s="27" t="s">
        <v>560</v>
      </c>
      <c r="I2443" s="27" t="s">
        <v>560</v>
      </c>
      <c r="J2443" s="29" t="s">
        <v>2304</v>
      </c>
      <c r="K2443" s="29" t="s">
        <v>2369</v>
      </c>
      <c r="L2443" s="29" t="s">
        <v>3896</v>
      </c>
      <c r="M2443" s="29" t="s">
        <v>2354</v>
      </c>
      <c r="N2443" s="29" t="s">
        <v>1434</v>
      </c>
      <c r="O2443" s="29" t="s">
        <v>594</v>
      </c>
    </row>
    <row r="2444" spans="1:15">
      <c r="A2444" s="25">
        <v>20439</v>
      </c>
      <c r="B2444" s="26" t="s">
        <v>3912</v>
      </c>
      <c r="C2444" s="27" t="s">
        <v>521</v>
      </c>
      <c r="D2444" s="27" t="s">
        <v>1644</v>
      </c>
      <c r="E2444" s="28">
        <v>42634</v>
      </c>
      <c r="F2444" s="28">
        <v>43132</v>
      </c>
      <c r="G2444" s="28">
        <v>43496</v>
      </c>
      <c r="H2444" s="25" t="s">
        <v>560</v>
      </c>
      <c r="I2444" s="27" t="s">
        <v>560</v>
      </c>
      <c r="J2444" s="29" t="s">
        <v>2304</v>
      </c>
      <c r="K2444" s="29" t="s">
        <v>2369</v>
      </c>
      <c r="L2444" s="29" t="s">
        <v>3896</v>
      </c>
      <c r="M2444" s="29" t="s">
        <v>2120</v>
      </c>
      <c r="N2444" s="29" t="s">
        <v>1434</v>
      </c>
      <c r="O2444" s="29" t="s">
        <v>594</v>
      </c>
    </row>
    <row r="2445" spans="1:15">
      <c r="A2445" s="25">
        <v>20457</v>
      </c>
      <c r="B2445" s="26" t="s">
        <v>3913</v>
      </c>
      <c r="C2445" s="27" t="s">
        <v>521</v>
      </c>
      <c r="D2445" s="27" t="s">
        <v>1644</v>
      </c>
      <c r="E2445" s="28">
        <v>42634</v>
      </c>
      <c r="F2445" s="28">
        <v>43132</v>
      </c>
      <c r="G2445" s="28">
        <v>43496</v>
      </c>
      <c r="H2445" s="27" t="s">
        <v>560</v>
      </c>
      <c r="I2445" s="27" t="s">
        <v>560</v>
      </c>
      <c r="J2445" s="29" t="s">
        <v>2304</v>
      </c>
      <c r="K2445" s="29" t="s">
        <v>2369</v>
      </c>
      <c r="L2445" s="29" t="s">
        <v>3896</v>
      </c>
      <c r="M2445" s="29" t="s">
        <v>2072</v>
      </c>
      <c r="N2445" s="29" t="s">
        <v>1434</v>
      </c>
      <c r="O2445" s="29" t="s">
        <v>594</v>
      </c>
    </row>
    <row r="2446" spans="1:15">
      <c r="A2446" s="25">
        <v>20491</v>
      </c>
      <c r="B2446" s="26" t="s">
        <v>3914</v>
      </c>
      <c r="C2446" s="27" t="s">
        <v>521</v>
      </c>
      <c r="D2446" s="27" t="s">
        <v>1644</v>
      </c>
      <c r="E2446" s="28">
        <v>42634</v>
      </c>
      <c r="F2446" s="28">
        <v>43132</v>
      </c>
      <c r="G2446" s="28">
        <v>43496</v>
      </c>
      <c r="H2446" s="27" t="s">
        <v>560</v>
      </c>
      <c r="I2446" s="31" t="s">
        <v>560</v>
      </c>
      <c r="J2446" s="29" t="s">
        <v>2304</v>
      </c>
      <c r="K2446" s="29" t="s">
        <v>2369</v>
      </c>
      <c r="L2446" s="29" t="s">
        <v>3896</v>
      </c>
      <c r="M2446" s="29" t="s">
        <v>2342</v>
      </c>
      <c r="N2446" s="29" t="s">
        <v>2041</v>
      </c>
      <c r="O2446" s="29" t="s">
        <v>594</v>
      </c>
    </row>
    <row r="2447" spans="1:15">
      <c r="A2447" s="25">
        <v>20642</v>
      </c>
      <c r="B2447" s="26" t="s">
        <v>3915</v>
      </c>
      <c r="C2447" s="27" t="s">
        <v>521</v>
      </c>
      <c r="D2447" s="27" t="s">
        <v>673</v>
      </c>
      <c r="E2447" s="28">
        <v>42639</v>
      </c>
      <c r="F2447" s="28">
        <v>43132</v>
      </c>
      <c r="G2447" s="28">
        <v>43496</v>
      </c>
      <c r="H2447" s="25" t="s">
        <v>560</v>
      </c>
      <c r="I2447" s="25" t="s">
        <v>560</v>
      </c>
      <c r="J2447" s="29" t="s">
        <v>2304</v>
      </c>
      <c r="K2447" s="29" t="s">
        <v>2369</v>
      </c>
      <c r="L2447" s="29" t="s">
        <v>3896</v>
      </c>
      <c r="M2447" s="29" t="s">
        <v>2106</v>
      </c>
      <c r="N2447" s="29" t="s">
        <v>1434</v>
      </c>
      <c r="O2447" s="29" t="s">
        <v>594</v>
      </c>
    </row>
    <row r="2448" spans="1:15">
      <c r="A2448" s="25">
        <v>20690</v>
      </c>
      <c r="B2448" s="26" t="s">
        <v>3916</v>
      </c>
      <c r="C2448" s="27" t="s">
        <v>521</v>
      </c>
      <c r="D2448" s="27" t="s">
        <v>673</v>
      </c>
      <c r="E2448" s="28">
        <v>42639</v>
      </c>
      <c r="F2448" s="28">
        <v>43132</v>
      </c>
      <c r="G2448" s="28">
        <v>43496</v>
      </c>
      <c r="H2448" s="29" t="s">
        <v>560</v>
      </c>
      <c r="I2448" s="29" t="s">
        <v>560</v>
      </c>
      <c r="J2448" s="29" t="s">
        <v>2304</v>
      </c>
      <c r="K2448" s="29" t="s">
        <v>2369</v>
      </c>
      <c r="L2448" s="29" t="s">
        <v>3896</v>
      </c>
      <c r="M2448" s="29" t="s">
        <v>2328</v>
      </c>
      <c r="N2448" s="29" t="s">
        <v>2080</v>
      </c>
      <c r="O2448" s="29" t="s">
        <v>594</v>
      </c>
    </row>
    <row r="2449" spans="1:15">
      <c r="A2449" s="25">
        <v>20705</v>
      </c>
      <c r="B2449" s="26" t="s">
        <v>3917</v>
      </c>
      <c r="C2449" s="27" t="s">
        <v>521</v>
      </c>
      <c r="D2449" s="27" t="s">
        <v>815</v>
      </c>
      <c r="E2449" s="28">
        <v>42642</v>
      </c>
      <c r="F2449" s="28">
        <v>43132</v>
      </c>
      <c r="G2449" s="28">
        <v>43496</v>
      </c>
      <c r="H2449" s="27" t="s">
        <v>560</v>
      </c>
      <c r="I2449" s="29" t="s">
        <v>560</v>
      </c>
      <c r="J2449" s="29" t="s">
        <v>2304</v>
      </c>
      <c r="K2449" s="29" t="s">
        <v>2369</v>
      </c>
      <c r="L2449" s="29" t="s">
        <v>3896</v>
      </c>
      <c r="M2449" s="29" t="s">
        <v>2082</v>
      </c>
      <c r="N2449" s="29" t="s">
        <v>1434</v>
      </c>
      <c r="O2449" s="29" t="s">
        <v>594</v>
      </c>
    </row>
    <row r="2450" spans="1:15">
      <c r="A2450" s="25">
        <v>20782</v>
      </c>
      <c r="B2450" s="26" t="s">
        <v>3918</v>
      </c>
      <c r="C2450" s="27" t="s">
        <v>521</v>
      </c>
      <c r="D2450" s="27" t="s">
        <v>815</v>
      </c>
      <c r="E2450" s="28">
        <v>42642</v>
      </c>
      <c r="F2450" s="28">
        <v>43132</v>
      </c>
      <c r="G2450" s="28">
        <v>43496</v>
      </c>
      <c r="H2450" s="27" t="s">
        <v>560</v>
      </c>
      <c r="I2450" s="27" t="s">
        <v>560</v>
      </c>
      <c r="J2450" s="29" t="s">
        <v>2304</v>
      </c>
      <c r="K2450" s="29" t="s">
        <v>2369</v>
      </c>
      <c r="L2450" s="29" t="s">
        <v>3896</v>
      </c>
      <c r="M2450" s="29" t="s">
        <v>2402</v>
      </c>
      <c r="N2450" s="29" t="s">
        <v>1521</v>
      </c>
      <c r="O2450" s="29" t="s">
        <v>594</v>
      </c>
    </row>
    <row r="2451" spans="1:15">
      <c r="A2451" s="25">
        <v>20841</v>
      </c>
      <c r="B2451" s="26" t="s">
        <v>3919</v>
      </c>
      <c r="C2451" s="27" t="s">
        <v>521</v>
      </c>
      <c r="D2451" s="27" t="s">
        <v>786</v>
      </c>
      <c r="E2451" s="28">
        <v>42656</v>
      </c>
      <c r="F2451" s="28">
        <v>43132</v>
      </c>
      <c r="G2451" s="28">
        <v>43496</v>
      </c>
      <c r="H2451" s="25" t="s">
        <v>560</v>
      </c>
      <c r="I2451" s="29" t="s">
        <v>560</v>
      </c>
      <c r="J2451" s="29" t="s">
        <v>2304</v>
      </c>
      <c r="K2451" s="29" t="s">
        <v>2369</v>
      </c>
      <c r="L2451" s="29" t="s">
        <v>3896</v>
      </c>
      <c r="M2451" s="29" t="s">
        <v>2035</v>
      </c>
      <c r="N2451" s="29" t="s">
        <v>1434</v>
      </c>
      <c r="O2451" s="29" t="s">
        <v>594</v>
      </c>
    </row>
    <row r="2452" spans="1:15">
      <c r="A2452" s="25">
        <v>20866</v>
      </c>
      <c r="B2452" s="26" t="s">
        <v>3920</v>
      </c>
      <c r="C2452" s="27" t="s">
        <v>521</v>
      </c>
      <c r="D2452" s="27" t="s">
        <v>807</v>
      </c>
      <c r="E2452" s="28">
        <v>42660</v>
      </c>
      <c r="F2452" s="28">
        <v>43160</v>
      </c>
      <c r="G2452" s="28">
        <v>43524</v>
      </c>
      <c r="H2452" s="27" t="s">
        <v>560</v>
      </c>
      <c r="I2452" s="27" t="s">
        <v>560</v>
      </c>
      <c r="J2452" s="29" t="s">
        <v>2304</v>
      </c>
      <c r="K2452" s="29" t="s">
        <v>2369</v>
      </c>
      <c r="L2452" s="29" t="s">
        <v>3896</v>
      </c>
      <c r="M2452" s="29" t="s">
        <v>2815</v>
      </c>
      <c r="N2452" s="29" t="s">
        <v>1434</v>
      </c>
      <c r="O2452" s="29" t="s">
        <v>594</v>
      </c>
    </row>
    <row r="2453" spans="1:15">
      <c r="A2453" s="25">
        <v>20972</v>
      </c>
      <c r="B2453" s="26" t="s">
        <v>3921</v>
      </c>
      <c r="C2453" s="27" t="s">
        <v>521</v>
      </c>
      <c r="D2453" s="27" t="s">
        <v>1184</v>
      </c>
      <c r="E2453" s="28">
        <v>42674</v>
      </c>
      <c r="F2453" s="28">
        <v>43160</v>
      </c>
      <c r="G2453" s="28">
        <v>43524</v>
      </c>
      <c r="H2453" s="25" t="s">
        <v>560</v>
      </c>
      <c r="I2453" s="27" t="s">
        <v>560</v>
      </c>
      <c r="J2453" s="29" t="s">
        <v>2304</v>
      </c>
      <c r="K2453" s="29" t="s">
        <v>2369</v>
      </c>
      <c r="L2453" s="29" t="s">
        <v>3896</v>
      </c>
      <c r="M2453" s="29" t="s">
        <v>2048</v>
      </c>
      <c r="N2453" s="29" t="s">
        <v>1434</v>
      </c>
      <c r="O2453" s="29" t="s">
        <v>594</v>
      </c>
    </row>
    <row r="2454" spans="1:15">
      <c r="A2454" s="25">
        <v>21206</v>
      </c>
      <c r="B2454" s="26" t="s">
        <v>3922</v>
      </c>
      <c r="C2454" s="27" t="s">
        <v>521</v>
      </c>
      <c r="D2454" s="27" t="s">
        <v>2480</v>
      </c>
      <c r="E2454" s="28">
        <v>42877</v>
      </c>
      <c r="F2454" s="28">
        <v>43374</v>
      </c>
      <c r="G2454" s="28">
        <v>43738</v>
      </c>
      <c r="H2454" s="29" t="s">
        <v>560</v>
      </c>
      <c r="I2454" s="29" t="s">
        <v>560</v>
      </c>
      <c r="J2454" s="29" t="s">
        <v>2304</v>
      </c>
      <c r="K2454" s="29" t="s">
        <v>2369</v>
      </c>
      <c r="L2454" s="29" t="s">
        <v>3896</v>
      </c>
      <c r="M2454" s="29" t="s">
        <v>2050</v>
      </c>
      <c r="N2454" s="29" t="s">
        <v>1434</v>
      </c>
      <c r="O2454" s="29" t="s">
        <v>594</v>
      </c>
    </row>
    <row r="2455" spans="1:15">
      <c r="A2455" s="25">
        <v>21209</v>
      </c>
      <c r="B2455" s="26" t="s">
        <v>3923</v>
      </c>
      <c r="C2455" s="27" t="s">
        <v>521</v>
      </c>
      <c r="D2455" s="27" t="s">
        <v>2480</v>
      </c>
      <c r="E2455" s="28">
        <v>42877</v>
      </c>
      <c r="F2455" s="28">
        <v>43374</v>
      </c>
      <c r="G2455" s="28">
        <v>43738</v>
      </c>
      <c r="H2455" s="29" t="s">
        <v>560</v>
      </c>
      <c r="I2455" s="29" t="s">
        <v>560</v>
      </c>
      <c r="J2455" s="29" t="s">
        <v>2304</v>
      </c>
      <c r="K2455" s="29" t="s">
        <v>2369</v>
      </c>
      <c r="L2455" s="29" t="s">
        <v>3896</v>
      </c>
      <c r="M2455" s="29" t="s">
        <v>2815</v>
      </c>
      <c r="N2455" s="29" t="s">
        <v>1434</v>
      </c>
      <c r="O2455" s="29" t="s">
        <v>594</v>
      </c>
    </row>
    <row r="2456" spans="1:15">
      <c r="A2456" s="25">
        <v>21246</v>
      </c>
      <c r="B2456" s="26" t="s">
        <v>2598</v>
      </c>
      <c r="C2456" s="27" t="s">
        <v>521</v>
      </c>
      <c r="D2456" s="27" t="s">
        <v>2670</v>
      </c>
      <c r="E2456" s="28">
        <v>42893</v>
      </c>
      <c r="F2456" s="28">
        <v>43374</v>
      </c>
      <c r="G2456" s="28">
        <v>43738</v>
      </c>
      <c r="H2456" s="29" t="s">
        <v>560</v>
      </c>
      <c r="I2456" s="29" t="s">
        <v>560</v>
      </c>
      <c r="J2456" s="29" t="s">
        <v>2304</v>
      </c>
      <c r="K2456" s="29" t="s">
        <v>2369</v>
      </c>
      <c r="L2456" s="29" t="s">
        <v>3896</v>
      </c>
      <c r="M2456" s="29" t="s">
        <v>2087</v>
      </c>
      <c r="N2456" s="29" t="s">
        <v>1434</v>
      </c>
      <c r="O2456" s="29" t="s">
        <v>594</v>
      </c>
    </row>
    <row r="2457" spans="1:15">
      <c r="A2457" s="25">
        <v>21259</v>
      </c>
      <c r="B2457" s="26" t="s">
        <v>3924</v>
      </c>
      <c r="C2457" s="27" t="s">
        <v>521</v>
      </c>
      <c r="D2457" s="27" t="s">
        <v>2670</v>
      </c>
      <c r="E2457" s="28">
        <v>42893</v>
      </c>
      <c r="F2457" s="28">
        <v>43374</v>
      </c>
      <c r="G2457" s="28">
        <v>43738</v>
      </c>
      <c r="H2457" s="29" t="s">
        <v>560</v>
      </c>
      <c r="I2457" s="29" t="s">
        <v>560</v>
      </c>
      <c r="J2457" s="29" t="s">
        <v>2304</v>
      </c>
      <c r="K2457" s="29" t="s">
        <v>2369</v>
      </c>
      <c r="L2457" s="29" t="s">
        <v>3896</v>
      </c>
      <c r="M2457" s="29" t="s">
        <v>2055</v>
      </c>
      <c r="N2457" s="29" t="s">
        <v>1434</v>
      </c>
      <c r="O2457" s="29" t="s">
        <v>594</v>
      </c>
    </row>
    <row r="2458" spans="1:15">
      <c r="A2458" s="25">
        <v>21263</v>
      </c>
      <c r="B2458" s="26" t="s">
        <v>3925</v>
      </c>
      <c r="C2458" s="27" t="s">
        <v>521</v>
      </c>
      <c r="D2458" s="27" t="s">
        <v>3926</v>
      </c>
      <c r="E2458" s="28">
        <v>42919</v>
      </c>
      <c r="F2458" s="28">
        <v>43374</v>
      </c>
      <c r="G2458" s="28">
        <v>43738</v>
      </c>
      <c r="H2458" s="29" t="s">
        <v>560</v>
      </c>
      <c r="I2458" s="29" t="s">
        <v>560</v>
      </c>
      <c r="J2458" s="29" t="s">
        <v>2304</v>
      </c>
      <c r="K2458" s="29" t="s">
        <v>2369</v>
      </c>
      <c r="L2458" s="29" t="s">
        <v>3896</v>
      </c>
      <c r="M2458" s="29" t="s">
        <v>2092</v>
      </c>
      <c r="N2458" s="29" t="s">
        <v>2041</v>
      </c>
      <c r="O2458" s="29" t="s">
        <v>594</v>
      </c>
    </row>
    <row r="2459" spans="1:15">
      <c r="A2459" s="25">
        <v>21279</v>
      </c>
      <c r="B2459" s="34" t="s">
        <v>3927</v>
      </c>
      <c r="C2459" s="31" t="s">
        <v>521</v>
      </c>
      <c r="D2459" s="31" t="s">
        <v>1595</v>
      </c>
      <c r="E2459" s="28">
        <v>43010</v>
      </c>
      <c r="F2459" s="28">
        <v>43405</v>
      </c>
      <c r="G2459" s="28">
        <v>43769</v>
      </c>
      <c r="H2459" s="29" t="s">
        <v>560</v>
      </c>
      <c r="I2459" s="29" t="s">
        <v>560</v>
      </c>
      <c r="J2459" s="29" t="s">
        <v>2304</v>
      </c>
      <c r="K2459" s="29" t="s">
        <v>2369</v>
      </c>
      <c r="L2459" s="29" t="s">
        <v>3896</v>
      </c>
      <c r="M2459" s="29" t="s">
        <v>2183</v>
      </c>
      <c r="N2459" s="29" t="s">
        <v>1434</v>
      </c>
      <c r="O2459" s="29" t="s">
        <v>594</v>
      </c>
    </row>
    <row r="2460" spans="1:15">
      <c r="A2460" s="25">
        <v>21343</v>
      </c>
      <c r="B2460" s="34" t="s">
        <v>3928</v>
      </c>
      <c r="C2460" s="31" t="s">
        <v>521</v>
      </c>
      <c r="D2460" s="31" t="s">
        <v>2162</v>
      </c>
      <c r="E2460" s="28">
        <v>43013</v>
      </c>
      <c r="F2460" s="28">
        <v>43405</v>
      </c>
      <c r="G2460" s="28">
        <v>43769</v>
      </c>
      <c r="H2460" s="29" t="s">
        <v>560</v>
      </c>
      <c r="I2460" s="29" t="s">
        <v>560</v>
      </c>
      <c r="J2460" s="29" t="s">
        <v>2304</v>
      </c>
      <c r="K2460" s="29" t="s">
        <v>2369</v>
      </c>
      <c r="L2460" s="29" t="s">
        <v>3896</v>
      </c>
      <c r="M2460" s="29" t="s">
        <v>2352</v>
      </c>
      <c r="N2460" s="29" t="s">
        <v>2023</v>
      </c>
      <c r="O2460" s="29" t="s">
        <v>594</v>
      </c>
    </row>
    <row r="2461" spans="1:15">
      <c r="A2461" s="25">
        <v>21357</v>
      </c>
      <c r="B2461" s="34" t="s">
        <v>3929</v>
      </c>
      <c r="C2461" s="31" t="s">
        <v>521</v>
      </c>
      <c r="D2461" s="31" t="s">
        <v>2162</v>
      </c>
      <c r="E2461" s="28">
        <v>43013</v>
      </c>
      <c r="F2461" s="28">
        <v>43405</v>
      </c>
      <c r="G2461" s="28">
        <v>43769</v>
      </c>
      <c r="H2461" s="29" t="s">
        <v>560</v>
      </c>
      <c r="I2461" s="29" t="s">
        <v>560</v>
      </c>
      <c r="J2461" s="29" t="s">
        <v>2304</v>
      </c>
      <c r="K2461" s="29" t="s">
        <v>2369</v>
      </c>
      <c r="L2461" s="29" t="s">
        <v>3896</v>
      </c>
      <c r="M2461" s="29" t="s">
        <v>2068</v>
      </c>
      <c r="N2461" s="29" t="s">
        <v>1434</v>
      </c>
      <c r="O2461" s="29" t="s">
        <v>594</v>
      </c>
    </row>
    <row r="2462" spans="1:15">
      <c r="A2462" s="25">
        <v>21425</v>
      </c>
      <c r="B2462" s="34" t="s">
        <v>3930</v>
      </c>
      <c r="C2462" s="31" t="s">
        <v>521</v>
      </c>
      <c r="D2462" s="31" t="s">
        <v>2283</v>
      </c>
      <c r="E2462" s="28">
        <v>43018</v>
      </c>
      <c r="F2462" s="28">
        <v>43405</v>
      </c>
      <c r="G2462" s="28">
        <v>43769</v>
      </c>
      <c r="H2462" s="29" t="s">
        <v>560</v>
      </c>
      <c r="I2462" s="29" t="s">
        <v>560</v>
      </c>
      <c r="J2462" s="29" t="s">
        <v>2304</v>
      </c>
      <c r="K2462" s="29" t="s">
        <v>2369</v>
      </c>
      <c r="L2462" s="29" t="s">
        <v>3896</v>
      </c>
      <c r="M2462" s="29" t="s">
        <v>2061</v>
      </c>
      <c r="N2462" s="29" t="s">
        <v>2041</v>
      </c>
      <c r="O2462" s="29" t="s">
        <v>594</v>
      </c>
    </row>
    <row r="2463" spans="1:15">
      <c r="A2463" s="25">
        <v>21430</v>
      </c>
      <c r="B2463" s="34" t="s">
        <v>3931</v>
      </c>
      <c r="C2463" s="31" t="s">
        <v>521</v>
      </c>
      <c r="D2463" s="31" t="s">
        <v>2166</v>
      </c>
      <c r="E2463" s="28">
        <v>43024</v>
      </c>
      <c r="F2463" s="28">
        <v>43435</v>
      </c>
      <c r="G2463" s="28">
        <v>43799</v>
      </c>
      <c r="H2463" s="29" t="s">
        <v>560</v>
      </c>
      <c r="I2463" s="29" t="s">
        <v>560</v>
      </c>
      <c r="J2463" s="29" t="s">
        <v>2304</v>
      </c>
      <c r="K2463" s="29" t="s">
        <v>2369</v>
      </c>
      <c r="L2463" s="29" t="s">
        <v>3896</v>
      </c>
      <c r="M2463" s="29" t="s">
        <v>2094</v>
      </c>
      <c r="N2463" s="29" t="s">
        <v>1434</v>
      </c>
      <c r="O2463" s="29" t="s">
        <v>594</v>
      </c>
    </row>
    <row r="2464" spans="1:15">
      <c r="A2464" s="25">
        <v>21456</v>
      </c>
      <c r="B2464" s="34" t="s">
        <v>3932</v>
      </c>
      <c r="C2464" s="31" t="s">
        <v>521</v>
      </c>
      <c r="D2464" s="31" t="s">
        <v>2166</v>
      </c>
      <c r="E2464" s="28">
        <v>43024</v>
      </c>
      <c r="F2464" s="28">
        <v>43435</v>
      </c>
      <c r="G2464" s="28">
        <v>43799</v>
      </c>
      <c r="H2464" s="29" t="s">
        <v>560</v>
      </c>
      <c r="I2464" s="29" t="s">
        <v>560</v>
      </c>
      <c r="J2464" s="29" t="s">
        <v>2304</v>
      </c>
      <c r="K2464" s="29" t="s">
        <v>2369</v>
      </c>
      <c r="L2464" s="29" t="s">
        <v>3896</v>
      </c>
      <c r="M2464" s="29" t="s">
        <v>2074</v>
      </c>
      <c r="N2464" s="29" t="s">
        <v>1434</v>
      </c>
      <c r="O2464" s="29" t="s">
        <v>594</v>
      </c>
    </row>
    <row r="2465" spans="1:15">
      <c r="A2465" s="25">
        <v>21491</v>
      </c>
      <c r="B2465" s="34" t="s">
        <v>3933</v>
      </c>
      <c r="C2465" s="31" t="s">
        <v>521</v>
      </c>
      <c r="D2465" s="31" t="s">
        <v>1804</v>
      </c>
      <c r="E2465" s="28">
        <v>43031</v>
      </c>
      <c r="F2465" s="28">
        <v>43435</v>
      </c>
      <c r="G2465" s="28">
        <v>43799</v>
      </c>
      <c r="H2465" s="29" t="s">
        <v>560</v>
      </c>
      <c r="I2465" s="29" t="s">
        <v>560</v>
      </c>
      <c r="J2465" s="29" t="s">
        <v>2304</v>
      </c>
      <c r="K2465" s="29" t="s">
        <v>2369</v>
      </c>
      <c r="L2465" s="29" t="s">
        <v>3896</v>
      </c>
      <c r="M2465" s="29" t="s">
        <v>2085</v>
      </c>
      <c r="N2465" s="29" t="s">
        <v>1434</v>
      </c>
      <c r="O2465" s="29" t="s">
        <v>594</v>
      </c>
    </row>
    <row r="2466" spans="1:15">
      <c r="A2466" s="25">
        <v>21572</v>
      </c>
      <c r="B2466" s="34" t="s">
        <v>3934</v>
      </c>
      <c r="C2466" s="31" t="s">
        <v>521</v>
      </c>
      <c r="D2466" s="31" t="s">
        <v>1603</v>
      </c>
      <c r="E2466" s="28">
        <v>43048</v>
      </c>
      <c r="F2466" s="28">
        <v>43435</v>
      </c>
      <c r="G2466" s="28">
        <v>43799</v>
      </c>
      <c r="H2466" s="29" t="s">
        <v>560</v>
      </c>
      <c r="I2466" s="29" t="s">
        <v>560</v>
      </c>
      <c r="J2466" s="29" t="s">
        <v>2304</v>
      </c>
      <c r="K2466" s="29" t="s">
        <v>2369</v>
      </c>
      <c r="L2466" s="29" t="s">
        <v>3896</v>
      </c>
      <c r="M2466" s="29" t="s">
        <v>2089</v>
      </c>
      <c r="N2466" s="29" t="s">
        <v>2090</v>
      </c>
      <c r="O2466" s="29" t="s">
        <v>594</v>
      </c>
    </row>
    <row r="2467" spans="1:15">
      <c r="A2467" s="25">
        <v>21585</v>
      </c>
      <c r="B2467" s="34" t="s">
        <v>3935</v>
      </c>
      <c r="C2467" s="31" t="s">
        <v>521</v>
      </c>
      <c r="D2467" s="31" t="s">
        <v>1603</v>
      </c>
      <c r="E2467" s="28">
        <v>43048</v>
      </c>
      <c r="F2467" s="28">
        <v>43435</v>
      </c>
      <c r="G2467" s="28">
        <v>43799</v>
      </c>
      <c r="H2467" s="29" t="s">
        <v>560</v>
      </c>
      <c r="I2467" s="29" t="s">
        <v>560</v>
      </c>
      <c r="J2467" s="29" t="s">
        <v>2304</v>
      </c>
      <c r="K2467" s="29" t="s">
        <v>2369</v>
      </c>
      <c r="L2467" s="29" t="s">
        <v>3896</v>
      </c>
      <c r="M2467" s="29" t="s">
        <v>2077</v>
      </c>
      <c r="N2467" s="29" t="s">
        <v>2077</v>
      </c>
      <c r="O2467" s="29" t="s">
        <v>594</v>
      </c>
    </row>
    <row r="2468" spans="1:15">
      <c r="A2468" s="25">
        <v>21778</v>
      </c>
      <c r="B2468" s="34" t="s">
        <v>3936</v>
      </c>
      <c r="C2468" s="31" t="s">
        <v>521</v>
      </c>
      <c r="D2468" s="31" t="s">
        <v>1609</v>
      </c>
      <c r="E2468" s="28">
        <v>43090</v>
      </c>
      <c r="F2468" s="28">
        <v>43121</v>
      </c>
      <c r="G2468" s="28">
        <v>43496</v>
      </c>
      <c r="H2468" s="27" t="s">
        <v>560</v>
      </c>
      <c r="I2468" s="27" t="s">
        <v>560</v>
      </c>
      <c r="J2468" s="29" t="s">
        <v>2304</v>
      </c>
      <c r="K2468" s="29" t="s">
        <v>2369</v>
      </c>
      <c r="L2468" s="29" t="s">
        <v>3896</v>
      </c>
      <c r="M2468" s="29" t="s">
        <v>2118</v>
      </c>
      <c r="N2468" s="29" t="s">
        <v>2041</v>
      </c>
      <c r="O2468" s="29" t="s">
        <v>594</v>
      </c>
    </row>
    <row r="2469" spans="1:15">
      <c r="A2469" s="25">
        <v>21855</v>
      </c>
      <c r="B2469" s="34" t="s">
        <v>3937</v>
      </c>
      <c r="C2469" s="31" t="s">
        <v>521</v>
      </c>
      <c r="D2469" s="31" t="s">
        <v>732</v>
      </c>
      <c r="E2469" s="28">
        <v>43098</v>
      </c>
      <c r="F2469" s="28">
        <v>43129</v>
      </c>
      <c r="G2469" s="28">
        <v>43496</v>
      </c>
      <c r="H2469" s="29" t="s">
        <v>560</v>
      </c>
      <c r="I2469" s="29" t="s">
        <v>560</v>
      </c>
      <c r="J2469" s="29" t="s">
        <v>2304</v>
      </c>
      <c r="K2469" s="29" t="s">
        <v>2369</v>
      </c>
      <c r="L2469" s="29" t="s">
        <v>3896</v>
      </c>
      <c r="M2469" s="29" t="s">
        <v>2104</v>
      </c>
      <c r="N2469" s="29" t="s">
        <v>1434</v>
      </c>
      <c r="O2469" s="29" t="s">
        <v>594</v>
      </c>
    </row>
    <row r="2470" spans="1:15">
      <c r="A2470" s="25">
        <v>21994</v>
      </c>
      <c r="B2470" s="34" t="s">
        <v>3938</v>
      </c>
      <c r="C2470" s="31" t="s">
        <v>521</v>
      </c>
      <c r="D2470" s="31" t="s">
        <v>1171</v>
      </c>
      <c r="E2470" s="28">
        <v>43139</v>
      </c>
      <c r="F2470" s="28">
        <v>43167</v>
      </c>
      <c r="G2470" s="28">
        <v>43524</v>
      </c>
      <c r="H2470" s="29" t="s">
        <v>560</v>
      </c>
      <c r="I2470" s="29" t="s">
        <v>560</v>
      </c>
      <c r="J2470" s="29" t="s">
        <v>2304</v>
      </c>
      <c r="K2470" s="29" t="s">
        <v>2369</v>
      </c>
      <c r="L2470" s="29" t="s">
        <v>3896</v>
      </c>
      <c r="M2470" s="29" t="s">
        <v>2643</v>
      </c>
      <c r="N2470" s="29" t="s">
        <v>1586</v>
      </c>
      <c r="O2470" s="29" t="s">
        <v>594</v>
      </c>
    </row>
    <row r="2471" spans="1:15">
      <c r="A2471" s="25">
        <v>22124</v>
      </c>
      <c r="B2471" s="34" t="s">
        <v>3939</v>
      </c>
      <c r="C2471" s="31" t="s">
        <v>521</v>
      </c>
      <c r="D2471" s="31" t="s">
        <v>758</v>
      </c>
      <c r="E2471" s="28">
        <v>43153</v>
      </c>
      <c r="F2471" s="28">
        <v>43181</v>
      </c>
      <c r="G2471" s="28">
        <v>43555</v>
      </c>
      <c r="H2471" s="29" t="s">
        <v>560</v>
      </c>
      <c r="I2471" s="29" t="s">
        <v>560</v>
      </c>
      <c r="J2471" s="29" t="s">
        <v>2304</v>
      </c>
      <c r="K2471" s="29" t="s">
        <v>2369</v>
      </c>
      <c r="L2471" s="29" t="s">
        <v>3896</v>
      </c>
      <c r="M2471" s="29" t="s">
        <v>2052</v>
      </c>
      <c r="N2471" s="29" t="s">
        <v>1434</v>
      </c>
      <c r="O2471" s="29" t="s">
        <v>594</v>
      </c>
    </row>
    <row r="2472" spans="1:15">
      <c r="A2472" s="25">
        <v>22228</v>
      </c>
      <c r="B2472" s="34" t="s">
        <v>3940</v>
      </c>
      <c r="C2472" s="31" t="s">
        <v>521</v>
      </c>
      <c r="D2472" s="31" t="s">
        <v>1796</v>
      </c>
      <c r="E2472" s="28">
        <v>43161</v>
      </c>
      <c r="F2472" s="28">
        <v>43192</v>
      </c>
      <c r="G2472" s="28">
        <v>43555</v>
      </c>
      <c r="H2472" s="29" t="s">
        <v>560</v>
      </c>
      <c r="I2472" s="29" t="s">
        <v>560</v>
      </c>
      <c r="J2472" s="29" t="s">
        <v>2304</v>
      </c>
      <c r="K2472" s="29" t="s">
        <v>2369</v>
      </c>
      <c r="L2472" s="29" t="s">
        <v>3896</v>
      </c>
      <c r="M2472" s="29" t="s">
        <v>2077</v>
      </c>
      <c r="N2472" s="29" t="s">
        <v>2077</v>
      </c>
      <c r="O2472" s="29" t="s">
        <v>594</v>
      </c>
    </row>
    <row r="2473" spans="1:15">
      <c r="A2473" s="25">
        <v>22419</v>
      </c>
      <c r="B2473" s="34" t="s">
        <v>3941</v>
      </c>
      <c r="C2473" s="31" t="s">
        <v>521</v>
      </c>
      <c r="D2473" s="31" t="s">
        <v>805</v>
      </c>
      <c r="E2473" s="28">
        <v>43213</v>
      </c>
      <c r="F2473" s="28">
        <v>43243</v>
      </c>
      <c r="G2473" s="28">
        <v>43616</v>
      </c>
      <c r="H2473" s="29" t="s">
        <v>560</v>
      </c>
      <c r="I2473" s="29" t="s">
        <v>560</v>
      </c>
      <c r="J2473" s="29" t="s">
        <v>2304</v>
      </c>
      <c r="K2473" s="29" t="s">
        <v>2369</v>
      </c>
      <c r="L2473" s="29" t="s">
        <v>3896</v>
      </c>
      <c r="M2473" s="29" t="s">
        <v>3942</v>
      </c>
      <c r="N2473" s="29" t="s">
        <v>1586</v>
      </c>
      <c r="O2473" s="29" t="s">
        <v>594</v>
      </c>
    </row>
    <row r="2474" spans="1:15">
      <c r="A2474" s="25">
        <v>22510</v>
      </c>
      <c r="B2474" s="34" t="s">
        <v>3943</v>
      </c>
      <c r="C2474" s="31" t="s">
        <v>521</v>
      </c>
      <c r="D2474" s="31" t="s">
        <v>773</v>
      </c>
      <c r="E2474" s="28">
        <v>43224</v>
      </c>
      <c r="F2474" s="28">
        <v>43255</v>
      </c>
      <c r="G2474" s="28">
        <v>43616</v>
      </c>
      <c r="H2474" s="29" t="s">
        <v>560</v>
      </c>
      <c r="I2474" s="29" t="s">
        <v>560</v>
      </c>
      <c r="J2474" s="29" t="s">
        <v>2304</v>
      </c>
      <c r="K2474" s="29" t="s">
        <v>2369</v>
      </c>
      <c r="L2474" s="29" t="s">
        <v>3896</v>
      </c>
      <c r="M2474" s="29" t="s">
        <v>2096</v>
      </c>
      <c r="N2474" s="29" t="s">
        <v>1434</v>
      </c>
      <c r="O2474" s="29" t="s">
        <v>594</v>
      </c>
    </row>
    <row r="2475" spans="1:15">
      <c r="A2475" s="25">
        <v>22877</v>
      </c>
      <c r="B2475" s="34" t="s">
        <v>3944</v>
      </c>
      <c r="C2475" s="31" t="s">
        <v>521</v>
      </c>
      <c r="D2475" s="31" t="s">
        <v>775</v>
      </c>
      <c r="E2475" s="28">
        <v>43333</v>
      </c>
      <c r="F2475" s="28">
        <v>43364</v>
      </c>
      <c r="G2475" s="28">
        <v>43738</v>
      </c>
      <c r="H2475" s="29" t="s">
        <v>560</v>
      </c>
      <c r="I2475" s="29" t="s">
        <v>560</v>
      </c>
      <c r="J2475" s="29" t="s">
        <v>2304</v>
      </c>
      <c r="K2475" s="29" t="s">
        <v>2369</v>
      </c>
      <c r="L2475" s="29" t="s">
        <v>3896</v>
      </c>
      <c r="M2475" s="29" t="s">
        <v>2331</v>
      </c>
      <c r="N2475" s="29" t="s">
        <v>2023</v>
      </c>
      <c r="O2475" s="29" t="s">
        <v>594</v>
      </c>
    </row>
    <row r="2476" spans="1:15">
      <c r="A2476" s="25">
        <v>23117</v>
      </c>
      <c r="B2476" s="34" t="s">
        <v>3945</v>
      </c>
      <c r="C2476" s="31" t="s">
        <v>521</v>
      </c>
      <c r="D2476" s="31" t="s">
        <v>1523</v>
      </c>
      <c r="E2476" s="28">
        <v>43369</v>
      </c>
      <c r="F2476" s="28">
        <v>43399</v>
      </c>
      <c r="G2476" s="28">
        <v>43769</v>
      </c>
      <c r="H2476" s="29" t="s">
        <v>560</v>
      </c>
      <c r="I2476" s="29" t="s">
        <v>560</v>
      </c>
      <c r="J2476" s="29" t="s">
        <v>2304</v>
      </c>
      <c r="K2476" s="29" t="s">
        <v>2369</v>
      </c>
      <c r="L2476" s="29" t="s">
        <v>3896</v>
      </c>
      <c r="M2476" s="29" t="s">
        <v>2402</v>
      </c>
      <c r="N2476" s="29" t="s">
        <v>1521</v>
      </c>
      <c r="O2476" s="29" t="s">
        <v>594</v>
      </c>
    </row>
    <row r="2477" spans="1:15">
      <c r="A2477" s="25">
        <v>23219</v>
      </c>
      <c r="B2477" s="34" t="s">
        <v>3946</v>
      </c>
      <c r="C2477" s="31" t="s">
        <v>521</v>
      </c>
      <c r="D2477" s="31" t="s">
        <v>1582</v>
      </c>
      <c r="E2477" s="28">
        <v>43421</v>
      </c>
      <c r="F2477" s="28">
        <v>43451</v>
      </c>
      <c r="G2477" s="28">
        <v>43830</v>
      </c>
      <c r="H2477" s="29" t="s">
        <v>560</v>
      </c>
      <c r="I2477" s="29" t="s">
        <v>560</v>
      </c>
      <c r="J2477" s="29" t="s">
        <v>2304</v>
      </c>
      <c r="K2477" s="29" t="s">
        <v>2369</v>
      </c>
      <c r="L2477" s="29" t="s">
        <v>3896</v>
      </c>
      <c r="M2477" s="29" t="s">
        <v>2040</v>
      </c>
      <c r="N2477" s="29" t="s">
        <v>2041</v>
      </c>
      <c r="O2477" s="29" t="s">
        <v>594</v>
      </c>
    </row>
    <row r="2478" spans="1:15">
      <c r="A2478" s="25">
        <v>23304</v>
      </c>
      <c r="B2478" s="34" t="s">
        <v>3947</v>
      </c>
      <c r="C2478" s="31" t="s">
        <v>521</v>
      </c>
      <c r="D2478" s="31" t="s">
        <v>1527</v>
      </c>
      <c r="E2478" s="28">
        <v>43427</v>
      </c>
      <c r="F2478" s="28">
        <v>43457</v>
      </c>
      <c r="G2478" s="28">
        <v>43830</v>
      </c>
      <c r="H2478" s="29" t="s">
        <v>560</v>
      </c>
      <c r="I2478" s="29" t="s">
        <v>560</v>
      </c>
      <c r="J2478" s="29" t="s">
        <v>2304</v>
      </c>
      <c r="K2478" s="29" t="s">
        <v>2369</v>
      </c>
      <c r="L2478" s="29" t="s">
        <v>3896</v>
      </c>
      <c r="M2478" s="29" t="s">
        <v>3227</v>
      </c>
      <c r="N2478" s="29" t="s">
        <v>1586</v>
      </c>
      <c r="O2478" s="29" t="s">
        <v>594</v>
      </c>
    </row>
    <row r="2479" spans="1:15">
      <c r="A2479" s="25">
        <v>23366</v>
      </c>
      <c r="B2479" s="34" t="s">
        <v>3043</v>
      </c>
      <c r="C2479" s="31" t="s">
        <v>521</v>
      </c>
      <c r="D2479" s="31" t="s">
        <v>1527</v>
      </c>
      <c r="E2479" s="28">
        <v>43427</v>
      </c>
      <c r="F2479" s="28">
        <v>43457</v>
      </c>
      <c r="G2479" s="28">
        <v>43830</v>
      </c>
      <c r="H2479" s="29" t="s">
        <v>560</v>
      </c>
      <c r="I2479" s="29" t="s">
        <v>560</v>
      </c>
      <c r="J2479" s="29" t="s">
        <v>2304</v>
      </c>
      <c r="K2479" s="29" t="s">
        <v>2369</v>
      </c>
      <c r="L2479" s="29" t="s">
        <v>3896</v>
      </c>
      <c r="M2479" s="29" t="s">
        <v>2082</v>
      </c>
      <c r="N2479" s="29" t="s">
        <v>1434</v>
      </c>
      <c r="O2479" s="29" t="s">
        <v>594</v>
      </c>
    </row>
    <row r="2480" spans="1:15">
      <c r="A2480" s="25">
        <v>23401</v>
      </c>
      <c r="B2480" s="34" t="s">
        <v>3948</v>
      </c>
      <c r="C2480" s="31" t="s">
        <v>521</v>
      </c>
      <c r="D2480" s="31" t="s">
        <v>882</v>
      </c>
      <c r="E2480" s="28">
        <v>43434</v>
      </c>
      <c r="F2480" s="28">
        <v>43464</v>
      </c>
      <c r="G2480" s="28">
        <v>43830</v>
      </c>
      <c r="H2480" s="29" t="s">
        <v>560</v>
      </c>
      <c r="I2480" s="29" t="s">
        <v>560</v>
      </c>
      <c r="J2480" s="29" t="s">
        <v>2304</v>
      </c>
      <c r="K2480" s="29" t="s">
        <v>2369</v>
      </c>
      <c r="L2480" s="29" t="s">
        <v>3896</v>
      </c>
      <c r="M2480" s="29" t="s">
        <v>3585</v>
      </c>
      <c r="N2480" s="29" t="s">
        <v>1586</v>
      </c>
      <c r="O2480" s="29" t="s">
        <v>594</v>
      </c>
    </row>
    <row r="2481" spans="1:15">
      <c r="A2481" s="25">
        <v>23462</v>
      </c>
      <c r="B2481" s="34" t="s">
        <v>3949</v>
      </c>
      <c r="C2481" s="31" t="s">
        <v>521</v>
      </c>
      <c r="D2481" s="31" t="s">
        <v>882</v>
      </c>
      <c r="E2481" s="28">
        <v>43434</v>
      </c>
      <c r="F2481" s="28">
        <v>43464</v>
      </c>
      <c r="G2481" s="28">
        <v>43830</v>
      </c>
      <c r="H2481" s="29" t="s">
        <v>560</v>
      </c>
      <c r="I2481" s="29" t="s">
        <v>560</v>
      </c>
      <c r="J2481" s="29" t="s">
        <v>2304</v>
      </c>
      <c r="K2481" s="29" t="s">
        <v>2369</v>
      </c>
      <c r="L2481" s="29" t="s">
        <v>3896</v>
      </c>
      <c r="M2481" s="29" t="s">
        <v>2194</v>
      </c>
      <c r="N2481" s="29" t="s">
        <v>1434</v>
      </c>
      <c r="O2481" s="29" t="s">
        <v>594</v>
      </c>
    </row>
    <row r="2482" spans="1:15">
      <c r="A2482" s="25" t="s">
        <v>3950</v>
      </c>
      <c r="B2482" s="34" t="s">
        <v>3951</v>
      </c>
      <c r="C2482" s="31" t="s">
        <v>521</v>
      </c>
      <c r="D2482" s="31" t="s">
        <v>1856</v>
      </c>
      <c r="E2482" s="28">
        <v>40955</v>
      </c>
      <c r="F2482" s="28" t="s">
        <v>35</v>
      </c>
      <c r="G2482" s="28" t="s">
        <v>35</v>
      </c>
      <c r="H2482" s="29" t="s">
        <v>560</v>
      </c>
      <c r="I2482" s="29" t="s">
        <v>560</v>
      </c>
      <c r="J2482" s="29" t="s">
        <v>2304</v>
      </c>
      <c r="K2482" s="29" t="s">
        <v>2369</v>
      </c>
      <c r="L2482" s="29" t="s">
        <v>3896</v>
      </c>
      <c r="M2482" s="29" t="s">
        <v>3190</v>
      </c>
      <c r="N2482" s="29" t="s">
        <v>2031</v>
      </c>
      <c r="O2482" s="29" t="s">
        <v>594</v>
      </c>
    </row>
    <row r="2483" spans="1:15">
      <c r="A2483" s="25">
        <v>23602</v>
      </c>
      <c r="B2483" s="34" t="s">
        <v>3952</v>
      </c>
      <c r="C2483" s="31" t="s">
        <v>521</v>
      </c>
      <c r="D2483" s="31" t="s">
        <v>884</v>
      </c>
      <c r="E2483" s="28">
        <v>43452</v>
      </c>
      <c r="F2483" s="28">
        <v>43483</v>
      </c>
      <c r="G2483" s="28">
        <v>43861</v>
      </c>
      <c r="H2483" s="29" t="s">
        <v>560</v>
      </c>
      <c r="I2483" s="29" t="s">
        <v>560</v>
      </c>
      <c r="J2483" s="29" t="s">
        <v>2304</v>
      </c>
      <c r="K2483" s="29" t="s">
        <v>2369</v>
      </c>
      <c r="L2483" s="29" t="s">
        <v>3896</v>
      </c>
      <c r="M2483" s="29" t="s">
        <v>2167</v>
      </c>
      <c r="N2483" s="29" t="s">
        <v>1586</v>
      </c>
      <c r="O2483" s="29" t="s">
        <v>594</v>
      </c>
    </row>
    <row r="2484" spans="1:15">
      <c r="A2484" s="25" t="s">
        <v>3953</v>
      </c>
      <c r="B2484" s="34" t="s">
        <v>3954</v>
      </c>
      <c r="C2484" s="31" t="s">
        <v>521</v>
      </c>
      <c r="D2484" s="31" t="s">
        <v>892</v>
      </c>
      <c r="E2484" s="28">
        <v>43467</v>
      </c>
      <c r="F2484" s="28">
        <v>43467</v>
      </c>
      <c r="G2484" s="28">
        <v>43497</v>
      </c>
      <c r="H2484" s="29" t="s">
        <v>560</v>
      </c>
      <c r="I2484" s="29" t="s">
        <v>560</v>
      </c>
      <c r="J2484" s="29" t="s">
        <v>2304</v>
      </c>
      <c r="K2484" s="29" t="s">
        <v>2369</v>
      </c>
      <c r="L2484" s="29" t="s">
        <v>3896</v>
      </c>
      <c r="M2484" s="29" t="s">
        <v>3955</v>
      </c>
      <c r="N2484" s="29" t="s">
        <v>1586</v>
      </c>
      <c r="O2484" s="29" t="s">
        <v>594</v>
      </c>
    </row>
    <row r="2485" spans="1:15">
      <c r="A2485" s="25">
        <v>298</v>
      </c>
      <c r="B2485" s="34" t="s">
        <v>3956</v>
      </c>
      <c r="C2485" s="31" t="s">
        <v>521</v>
      </c>
      <c r="D2485" s="31" t="s">
        <v>812</v>
      </c>
      <c r="E2485" s="28">
        <v>37718</v>
      </c>
      <c r="F2485" s="28" t="s">
        <v>35</v>
      </c>
      <c r="G2485" s="28" t="s">
        <v>35</v>
      </c>
      <c r="H2485" s="29" t="s">
        <v>560</v>
      </c>
      <c r="I2485" s="29" t="s">
        <v>560</v>
      </c>
      <c r="J2485" s="29" t="s">
        <v>3957</v>
      </c>
      <c r="K2485" s="29" t="s">
        <v>3958</v>
      </c>
      <c r="L2485" s="29" t="s">
        <v>3959</v>
      </c>
      <c r="M2485" s="29" t="s">
        <v>1550</v>
      </c>
      <c r="N2485" s="29" t="s">
        <v>1045</v>
      </c>
      <c r="O2485" s="29" t="s">
        <v>594</v>
      </c>
    </row>
    <row r="2486" spans="1:15">
      <c r="A2486" s="25">
        <v>1083</v>
      </c>
      <c r="B2486" s="26" t="s">
        <v>3960</v>
      </c>
      <c r="C2486" s="27" t="s">
        <v>521</v>
      </c>
      <c r="D2486" s="27" t="s">
        <v>1411</v>
      </c>
      <c r="E2486" s="28">
        <v>37887</v>
      </c>
      <c r="F2486" s="28" t="s">
        <v>35</v>
      </c>
      <c r="G2486" s="28" t="s">
        <v>35</v>
      </c>
      <c r="H2486" s="27" t="s">
        <v>560</v>
      </c>
      <c r="I2486" s="27" t="s">
        <v>560</v>
      </c>
      <c r="J2486" s="29" t="s">
        <v>3957</v>
      </c>
      <c r="K2486" s="29" t="s">
        <v>3958</v>
      </c>
      <c r="L2486" s="29" t="s">
        <v>3959</v>
      </c>
      <c r="M2486" s="29" t="s">
        <v>2328</v>
      </c>
      <c r="N2486" s="29" t="s">
        <v>2080</v>
      </c>
      <c r="O2486" s="29" t="s">
        <v>594</v>
      </c>
    </row>
    <row r="2487" spans="1:15">
      <c r="A2487" s="25">
        <v>11066</v>
      </c>
      <c r="B2487" s="33" t="s">
        <v>3961</v>
      </c>
      <c r="C2487" s="27" t="s">
        <v>521</v>
      </c>
      <c r="D2487" s="27" t="s">
        <v>1420</v>
      </c>
      <c r="E2487" s="28">
        <v>40595</v>
      </c>
      <c r="F2487" s="28" t="s">
        <v>35</v>
      </c>
      <c r="G2487" s="28" t="s">
        <v>35</v>
      </c>
      <c r="H2487" s="31" t="s">
        <v>560</v>
      </c>
      <c r="I2487" s="31" t="s">
        <v>560</v>
      </c>
      <c r="J2487" s="29" t="s">
        <v>3957</v>
      </c>
      <c r="K2487" s="29" t="s">
        <v>3958</v>
      </c>
      <c r="L2487" s="29" t="s">
        <v>3959</v>
      </c>
      <c r="M2487" s="29" t="s">
        <v>3962</v>
      </c>
      <c r="N2487" s="29" t="s">
        <v>2041</v>
      </c>
      <c r="O2487" s="29" t="s">
        <v>594</v>
      </c>
    </row>
    <row r="2488" spans="1:15">
      <c r="A2488" s="25">
        <v>11356</v>
      </c>
      <c r="B2488" s="26" t="s">
        <v>3963</v>
      </c>
      <c r="C2488" s="27" t="s">
        <v>521</v>
      </c>
      <c r="D2488" s="27" t="s">
        <v>2976</v>
      </c>
      <c r="E2488" s="28">
        <v>40674</v>
      </c>
      <c r="F2488" s="28" t="s">
        <v>35</v>
      </c>
      <c r="G2488" s="28" t="s">
        <v>35</v>
      </c>
      <c r="H2488" s="27" t="s">
        <v>560</v>
      </c>
      <c r="I2488" s="27" t="s">
        <v>560</v>
      </c>
      <c r="J2488" s="27" t="s">
        <v>3957</v>
      </c>
      <c r="K2488" s="27" t="s">
        <v>3958</v>
      </c>
      <c r="L2488" s="27" t="s">
        <v>3959</v>
      </c>
      <c r="M2488" s="29" t="s">
        <v>2025</v>
      </c>
      <c r="N2488" s="29" t="s">
        <v>2026</v>
      </c>
      <c r="O2488" s="29" t="s">
        <v>594</v>
      </c>
    </row>
    <row r="2489" spans="1:15">
      <c r="A2489" s="25">
        <v>12140</v>
      </c>
      <c r="B2489" s="26" t="s">
        <v>3964</v>
      </c>
      <c r="C2489" s="27" t="s">
        <v>521</v>
      </c>
      <c r="D2489" s="27" t="s">
        <v>665</v>
      </c>
      <c r="E2489" s="28">
        <v>40798</v>
      </c>
      <c r="F2489" s="28" t="s">
        <v>35</v>
      </c>
      <c r="G2489" s="28" t="s">
        <v>35</v>
      </c>
      <c r="H2489" s="27" t="s">
        <v>560</v>
      </c>
      <c r="I2489" s="27" t="s">
        <v>560</v>
      </c>
      <c r="J2489" s="27" t="s">
        <v>3957</v>
      </c>
      <c r="K2489" s="27" t="s">
        <v>3958</v>
      </c>
      <c r="L2489" s="27" t="s">
        <v>3959</v>
      </c>
      <c r="M2489" s="29" t="s">
        <v>3965</v>
      </c>
      <c r="N2489" s="29" t="s">
        <v>1434</v>
      </c>
      <c r="O2489" s="29" t="s">
        <v>594</v>
      </c>
    </row>
    <row r="2490" spans="1:15">
      <c r="A2490" s="25">
        <v>20571</v>
      </c>
      <c r="B2490" s="26" t="s">
        <v>3966</v>
      </c>
      <c r="C2490" s="27" t="s">
        <v>521</v>
      </c>
      <c r="D2490" s="27" t="s">
        <v>673</v>
      </c>
      <c r="E2490" s="28">
        <v>42639</v>
      </c>
      <c r="F2490" s="28">
        <v>43132</v>
      </c>
      <c r="G2490" s="28">
        <v>43496</v>
      </c>
      <c r="H2490" s="25" t="s">
        <v>560</v>
      </c>
      <c r="I2490" s="25" t="s">
        <v>560</v>
      </c>
      <c r="J2490" s="29" t="s">
        <v>3957</v>
      </c>
      <c r="K2490" s="29" t="s">
        <v>3958</v>
      </c>
      <c r="L2490" s="29" t="s">
        <v>3959</v>
      </c>
      <c r="M2490" s="29" t="s">
        <v>3967</v>
      </c>
      <c r="N2490" s="29" t="s">
        <v>1434</v>
      </c>
      <c r="O2490" s="29" t="s">
        <v>594</v>
      </c>
    </row>
    <row r="2491" spans="1:15">
      <c r="A2491" s="25">
        <v>20731</v>
      </c>
      <c r="B2491" s="26" t="s">
        <v>3968</v>
      </c>
      <c r="C2491" s="27" t="s">
        <v>521</v>
      </c>
      <c r="D2491" s="27" t="s">
        <v>815</v>
      </c>
      <c r="E2491" s="28">
        <v>42642</v>
      </c>
      <c r="F2491" s="28">
        <v>43132</v>
      </c>
      <c r="G2491" s="28">
        <v>43496</v>
      </c>
      <c r="H2491" s="27" t="s">
        <v>560</v>
      </c>
      <c r="I2491" s="27" t="s">
        <v>560</v>
      </c>
      <c r="J2491" s="27" t="s">
        <v>3957</v>
      </c>
      <c r="K2491" s="27" t="s">
        <v>3958</v>
      </c>
      <c r="L2491" s="27" t="s">
        <v>3959</v>
      </c>
      <c r="M2491" s="29" t="s">
        <v>3969</v>
      </c>
      <c r="N2491" s="29" t="s">
        <v>2041</v>
      </c>
      <c r="O2491" s="29" t="s">
        <v>594</v>
      </c>
    </row>
    <row r="2492" spans="1:15">
      <c r="A2492" s="25">
        <v>20738</v>
      </c>
      <c r="B2492" s="26" t="s">
        <v>3970</v>
      </c>
      <c r="C2492" s="27" t="s">
        <v>521</v>
      </c>
      <c r="D2492" s="27" t="s">
        <v>815</v>
      </c>
      <c r="E2492" s="28">
        <v>42642</v>
      </c>
      <c r="F2492" s="28">
        <v>43132</v>
      </c>
      <c r="G2492" s="28">
        <v>43496</v>
      </c>
      <c r="H2492" s="25" t="s">
        <v>560</v>
      </c>
      <c r="I2492" s="29" t="s">
        <v>560</v>
      </c>
      <c r="J2492" s="29" t="s">
        <v>3957</v>
      </c>
      <c r="K2492" s="29" t="s">
        <v>3958</v>
      </c>
      <c r="L2492" s="29" t="s">
        <v>3959</v>
      </c>
      <c r="M2492" s="29" t="s">
        <v>3971</v>
      </c>
      <c r="N2492" s="29" t="s">
        <v>2041</v>
      </c>
      <c r="O2492" s="29" t="s">
        <v>594</v>
      </c>
    </row>
    <row r="2493" spans="1:15">
      <c r="A2493" s="25">
        <v>20760</v>
      </c>
      <c r="B2493" s="26" t="s">
        <v>3972</v>
      </c>
      <c r="C2493" s="27" t="s">
        <v>521</v>
      </c>
      <c r="D2493" s="27" t="s">
        <v>815</v>
      </c>
      <c r="E2493" s="28">
        <v>42642</v>
      </c>
      <c r="F2493" s="28">
        <v>43132</v>
      </c>
      <c r="G2493" s="28">
        <v>43496</v>
      </c>
      <c r="H2493" s="29" t="s">
        <v>560</v>
      </c>
      <c r="I2493" s="29" t="s">
        <v>560</v>
      </c>
      <c r="J2493" s="29" t="s">
        <v>3957</v>
      </c>
      <c r="K2493" s="29" t="s">
        <v>3958</v>
      </c>
      <c r="L2493" s="29" t="s">
        <v>3959</v>
      </c>
      <c r="M2493" s="29" t="s">
        <v>3973</v>
      </c>
      <c r="N2493" s="29" t="s">
        <v>2031</v>
      </c>
      <c r="O2493" s="29" t="s">
        <v>594</v>
      </c>
    </row>
    <row r="2494" spans="1:15">
      <c r="A2494" s="25">
        <v>20880</v>
      </c>
      <c r="B2494" s="26" t="s">
        <v>3974</v>
      </c>
      <c r="C2494" s="27" t="s">
        <v>521</v>
      </c>
      <c r="D2494" s="27" t="s">
        <v>807</v>
      </c>
      <c r="E2494" s="28">
        <v>42660</v>
      </c>
      <c r="F2494" s="28">
        <v>43160</v>
      </c>
      <c r="G2494" s="28">
        <v>43524</v>
      </c>
      <c r="H2494" s="25" t="s">
        <v>560</v>
      </c>
      <c r="I2494" s="27" t="s">
        <v>560</v>
      </c>
      <c r="J2494" s="29" t="s">
        <v>3957</v>
      </c>
      <c r="K2494" s="29" t="s">
        <v>3958</v>
      </c>
      <c r="L2494" s="29" t="s">
        <v>3959</v>
      </c>
      <c r="M2494" s="29" t="s">
        <v>3975</v>
      </c>
      <c r="N2494" s="29" t="s">
        <v>2041</v>
      </c>
      <c r="O2494" s="29" t="s">
        <v>594</v>
      </c>
    </row>
    <row r="2495" spans="1:15">
      <c r="A2495" s="25">
        <v>21312</v>
      </c>
      <c r="B2495" s="34" t="s">
        <v>3976</v>
      </c>
      <c r="C2495" s="31" t="s">
        <v>521</v>
      </c>
      <c r="D2495" s="31" t="s">
        <v>1595</v>
      </c>
      <c r="E2495" s="28">
        <v>43010</v>
      </c>
      <c r="F2495" s="28">
        <v>43405</v>
      </c>
      <c r="G2495" s="28">
        <v>43769</v>
      </c>
      <c r="H2495" s="29" t="s">
        <v>560</v>
      </c>
      <c r="I2495" s="29" t="s">
        <v>560</v>
      </c>
      <c r="J2495" s="29" t="s">
        <v>3957</v>
      </c>
      <c r="K2495" s="29" t="s">
        <v>3958</v>
      </c>
      <c r="L2495" s="29" t="s">
        <v>3959</v>
      </c>
      <c r="M2495" s="29" t="s">
        <v>3977</v>
      </c>
      <c r="N2495" s="29" t="s">
        <v>2041</v>
      </c>
      <c r="O2495" s="29" t="s">
        <v>594</v>
      </c>
    </row>
    <row r="2496" spans="1:15">
      <c r="A2496" s="25">
        <v>21328</v>
      </c>
      <c r="B2496" s="34" t="s">
        <v>3978</v>
      </c>
      <c r="C2496" s="31" t="s">
        <v>521</v>
      </c>
      <c r="D2496" s="31" t="s">
        <v>2162</v>
      </c>
      <c r="E2496" s="28">
        <v>43013</v>
      </c>
      <c r="F2496" s="28">
        <v>43405</v>
      </c>
      <c r="G2496" s="28">
        <v>43769</v>
      </c>
      <c r="H2496" s="29" t="s">
        <v>560</v>
      </c>
      <c r="I2496" s="29" t="s">
        <v>560</v>
      </c>
      <c r="J2496" s="29" t="s">
        <v>3957</v>
      </c>
      <c r="K2496" s="29" t="s">
        <v>3958</v>
      </c>
      <c r="L2496" s="29" t="s">
        <v>3959</v>
      </c>
      <c r="M2496" s="29" t="s">
        <v>3979</v>
      </c>
      <c r="N2496" s="29" t="s">
        <v>2041</v>
      </c>
      <c r="O2496" s="29" t="s">
        <v>594</v>
      </c>
    </row>
    <row r="2497" spans="1:15">
      <c r="A2497" s="25">
        <v>21373</v>
      </c>
      <c r="B2497" s="34" t="s">
        <v>3980</v>
      </c>
      <c r="C2497" s="31" t="s">
        <v>521</v>
      </c>
      <c r="D2497" s="31" t="s">
        <v>2162</v>
      </c>
      <c r="E2497" s="28">
        <v>43013</v>
      </c>
      <c r="F2497" s="28">
        <v>43405</v>
      </c>
      <c r="G2497" s="28">
        <v>43769</v>
      </c>
      <c r="H2497" s="29" t="s">
        <v>560</v>
      </c>
      <c r="I2497" s="29" t="s">
        <v>560</v>
      </c>
      <c r="J2497" s="29" t="s">
        <v>3957</v>
      </c>
      <c r="K2497" s="29" t="s">
        <v>3958</v>
      </c>
      <c r="L2497" s="29" t="s">
        <v>3959</v>
      </c>
      <c r="M2497" s="29" t="s">
        <v>3981</v>
      </c>
      <c r="N2497" s="29" t="s">
        <v>1586</v>
      </c>
      <c r="O2497" s="29" t="s">
        <v>594</v>
      </c>
    </row>
    <row r="2498" spans="1:15">
      <c r="A2498" s="25">
        <v>21378</v>
      </c>
      <c r="B2498" s="34" t="s">
        <v>3982</v>
      </c>
      <c r="C2498" s="31" t="s">
        <v>521</v>
      </c>
      <c r="D2498" s="31" t="s">
        <v>2283</v>
      </c>
      <c r="E2498" s="28">
        <v>43018</v>
      </c>
      <c r="F2498" s="28">
        <v>43405</v>
      </c>
      <c r="G2498" s="28">
        <v>43769</v>
      </c>
      <c r="H2498" s="29" t="s">
        <v>560</v>
      </c>
      <c r="I2498" s="29" t="s">
        <v>560</v>
      </c>
      <c r="J2498" s="29" t="s">
        <v>3957</v>
      </c>
      <c r="K2498" s="29" t="s">
        <v>3958</v>
      </c>
      <c r="L2498" s="29" t="s">
        <v>3959</v>
      </c>
      <c r="M2498" s="29" t="s">
        <v>3983</v>
      </c>
      <c r="N2498" s="29" t="s">
        <v>2041</v>
      </c>
      <c r="O2498" s="29" t="s">
        <v>594</v>
      </c>
    </row>
    <row r="2499" spans="1:15">
      <c r="A2499" s="25">
        <v>21427</v>
      </c>
      <c r="B2499" s="34" t="s">
        <v>3984</v>
      </c>
      <c r="C2499" s="31" t="s">
        <v>521</v>
      </c>
      <c r="D2499" s="31" t="s">
        <v>2283</v>
      </c>
      <c r="E2499" s="28">
        <v>43018</v>
      </c>
      <c r="F2499" s="28">
        <v>43405</v>
      </c>
      <c r="G2499" s="28">
        <v>43769</v>
      </c>
      <c r="H2499" s="29" t="s">
        <v>560</v>
      </c>
      <c r="I2499" s="29" t="s">
        <v>560</v>
      </c>
      <c r="J2499" s="29" t="s">
        <v>3957</v>
      </c>
      <c r="K2499" s="29" t="s">
        <v>3958</v>
      </c>
      <c r="L2499" s="29" t="s">
        <v>3959</v>
      </c>
      <c r="M2499" s="29" t="s">
        <v>3985</v>
      </c>
      <c r="N2499" s="29" t="s">
        <v>2041</v>
      </c>
      <c r="O2499" s="29" t="s">
        <v>594</v>
      </c>
    </row>
    <row r="2500" spans="1:15">
      <c r="A2500" s="25">
        <v>21547</v>
      </c>
      <c r="B2500" s="34" t="s">
        <v>3986</v>
      </c>
      <c r="C2500" s="31" t="s">
        <v>521</v>
      </c>
      <c r="D2500" s="31" t="s">
        <v>1760</v>
      </c>
      <c r="E2500" s="28">
        <v>43045</v>
      </c>
      <c r="F2500" s="28">
        <v>43435</v>
      </c>
      <c r="G2500" s="28">
        <v>43799</v>
      </c>
      <c r="H2500" s="29" t="s">
        <v>560</v>
      </c>
      <c r="I2500" s="29" t="s">
        <v>560</v>
      </c>
      <c r="J2500" s="29" t="s">
        <v>3957</v>
      </c>
      <c r="K2500" s="29" t="s">
        <v>3958</v>
      </c>
      <c r="L2500" s="29" t="s">
        <v>3959</v>
      </c>
      <c r="M2500" s="29" t="s">
        <v>3987</v>
      </c>
      <c r="N2500" s="29" t="s">
        <v>1434</v>
      </c>
      <c r="O2500" s="29" t="s">
        <v>594</v>
      </c>
    </row>
    <row r="2501" spans="1:15">
      <c r="A2501" s="25">
        <v>21549</v>
      </c>
      <c r="B2501" s="34" t="s">
        <v>3988</v>
      </c>
      <c r="C2501" s="31" t="s">
        <v>521</v>
      </c>
      <c r="D2501" s="31" t="s">
        <v>1760</v>
      </c>
      <c r="E2501" s="28">
        <v>43045</v>
      </c>
      <c r="F2501" s="28">
        <v>43435</v>
      </c>
      <c r="G2501" s="28">
        <v>43799</v>
      </c>
      <c r="H2501" s="29" t="s">
        <v>560</v>
      </c>
      <c r="I2501" s="29" t="s">
        <v>560</v>
      </c>
      <c r="J2501" s="29" t="s">
        <v>3957</v>
      </c>
      <c r="K2501" s="29" t="s">
        <v>3958</v>
      </c>
      <c r="L2501" s="29" t="s">
        <v>3959</v>
      </c>
      <c r="M2501" s="29" t="s">
        <v>3989</v>
      </c>
      <c r="N2501" s="29" t="s">
        <v>2041</v>
      </c>
      <c r="O2501" s="29" t="s">
        <v>594</v>
      </c>
    </row>
    <row r="2502" spans="1:15">
      <c r="A2502" s="25">
        <v>21765</v>
      </c>
      <c r="B2502" s="34" t="s">
        <v>3990</v>
      </c>
      <c r="C2502" s="31" t="s">
        <v>521</v>
      </c>
      <c r="D2502" s="31" t="s">
        <v>1609</v>
      </c>
      <c r="E2502" s="28">
        <v>43090</v>
      </c>
      <c r="F2502" s="28">
        <v>43121</v>
      </c>
      <c r="G2502" s="28">
        <v>43496</v>
      </c>
      <c r="H2502" s="29" t="s">
        <v>560</v>
      </c>
      <c r="I2502" s="29" t="s">
        <v>560</v>
      </c>
      <c r="J2502" s="29" t="s">
        <v>3957</v>
      </c>
      <c r="K2502" s="29" t="s">
        <v>3958</v>
      </c>
      <c r="L2502" s="29" t="s">
        <v>3959</v>
      </c>
      <c r="M2502" s="29" t="s">
        <v>3991</v>
      </c>
      <c r="N2502" s="29" t="s">
        <v>2031</v>
      </c>
      <c r="O2502" s="29" t="s">
        <v>594</v>
      </c>
    </row>
    <row r="2503" spans="1:15">
      <c r="A2503" s="25">
        <v>22086</v>
      </c>
      <c r="B2503" s="34" t="s">
        <v>3992</v>
      </c>
      <c r="C2503" s="31" t="s">
        <v>521</v>
      </c>
      <c r="D2503" s="31" t="s">
        <v>769</v>
      </c>
      <c r="E2503" s="28">
        <v>43150</v>
      </c>
      <c r="F2503" s="28">
        <v>43178</v>
      </c>
      <c r="G2503" s="28">
        <v>43555</v>
      </c>
      <c r="H2503" s="29" t="s">
        <v>560</v>
      </c>
      <c r="I2503" s="29" t="s">
        <v>560</v>
      </c>
      <c r="J2503" s="29" t="s">
        <v>3957</v>
      </c>
      <c r="K2503" s="29" t="s">
        <v>3958</v>
      </c>
      <c r="L2503" s="29" t="s">
        <v>3959</v>
      </c>
      <c r="M2503" s="29" t="s">
        <v>3993</v>
      </c>
      <c r="N2503" s="29" t="s">
        <v>2023</v>
      </c>
      <c r="O2503" s="29" t="s">
        <v>594</v>
      </c>
    </row>
    <row r="2504" spans="1:15">
      <c r="A2504" s="25">
        <v>22294</v>
      </c>
      <c r="B2504" s="34" t="s">
        <v>3994</v>
      </c>
      <c r="C2504" s="31" t="s">
        <v>521</v>
      </c>
      <c r="D2504" s="31" t="s">
        <v>1191</v>
      </c>
      <c r="E2504" s="28">
        <v>43192</v>
      </c>
      <c r="F2504" s="28">
        <v>43222</v>
      </c>
      <c r="G2504" s="28">
        <v>43585</v>
      </c>
      <c r="H2504" s="29" t="s">
        <v>560</v>
      </c>
      <c r="I2504" s="29" t="s">
        <v>560</v>
      </c>
      <c r="J2504" s="29" t="s">
        <v>3957</v>
      </c>
      <c r="K2504" s="29" t="s">
        <v>3958</v>
      </c>
      <c r="L2504" s="29" t="s">
        <v>3959</v>
      </c>
      <c r="M2504" s="29" t="s">
        <v>3995</v>
      </c>
      <c r="N2504" s="29" t="s">
        <v>1434</v>
      </c>
      <c r="O2504" s="29" t="s">
        <v>594</v>
      </c>
    </row>
    <row r="2505" spans="1:15">
      <c r="A2505" s="25">
        <v>22657</v>
      </c>
      <c r="B2505" s="34" t="s">
        <v>3996</v>
      </c>
      <c r="C2505" s="31" t="s">
        <v>521</v>
      </c>
      <c r="D2505" s="31" t="s">
        <v>1199</v>
      </c>
      <c r="E2505" s="28">
        <v>43241</v>
      </c>
      <c r="F2505" s="28">
        <v>43272</v>
      </c>
      <c r="G2505" s="28">
        <v>43646</v>
      </c>
      <c r="H2505" s="29" t="s">
        <v>560</v>
      </c>
      <c r="I2505" s="29" t="s">
        <v>560</v>
      </c>
      <c r="J2505" s="29" t="s">
        <v>3957</v>
      </c>
      <c r="K2505" s="29" t="s">
        <v>3958</v>
      </c>
      <c r="L2505" s="29" t="s">
        <v>3959</v>
      </c>
      <c r="M2505" s="29" t="s">
        <v>3997</v>
      </c>
      <c r="N2505" s="29" t="s">
        <v>1434</v>
      </c>
      <c r="O2505" s="29" t="s">
        <v>594</v>
      </c>
    </row>
    <row r="2506" spans="1:15">
      <c r="A2506" s="25">
        <v>23132</v>
      </c>
      <c r="B2506" s="34" t="s">
        <v>3998</v>
      </c>
      <c r="C2506" s="31" t="s">
        <v>521</v>
      </c>
      <c r="D2506" s="31" t="s">
        <v>1523</v>
      </c>
      <c r="E2506" s="28">
        <v>43369</v>
      </c>
      <c r="F2506" s="28">
        <v>43399</v>
      </c>
      <c r="G2506" s="28">
        <v>43769</v>
      </c>
      <c r="H2506" s="29" t="s">
        <v>560</v>
      </c>
      <c r="I2506" s="29" t="s">
        <v>560</v>
      </c>
      <c r="J2506" s="29" t="s">
        <v>3957</v>
      </c>
      <c r="K2506" s="29" t="s">
        <v>3958</v>
      </c>
      <c r="L2506" s="29" t="s">
        <v>3959</v>
      </c>
      <c r="M2506" s="29" t="s">
        <v>3999</v>
      </c>
      <c r="N2506" s="29" t="s">
        <v>2041</v>
      </c>
      <c r="O2506" s="29" t="s">
        <v>594</v>
      </c>
    </row>
    <row r="2507" spans="1:15">
      <c r="A2507" s="25">
        <v>23270</v>
      </c>
      <c r="B2507" s="34" t="s">
        <v>4000</v>
      </c>
      <c r="C2507" s="31" t="s">
        <v>521</v>
      </c>
      <c r="D2507" s="31" t="s">
        <v>1582</v>
      </c>
      <c r="E2507" s="28">
        <v>43421</v>
      </c>
      <c r="F2507" s="28">
        <v>43451</v>
      </c>
      <c r="G2507" s="28">
        <v>43830</v>
      </c>
      <c r="H2507" s="29" t="s">
        <v>560</v>
      </c>
      <c r="I2507" s="29" t="s">
        <v>560</v>
      </c>
      <c r="J2507" s="29" t="s">
        <v>3957</v>
      </c>
      <c r="K2507" s="29" t="s">
        <v>3958</v>
      </c>
      <c r="L2507" s="29" t="s">
        <v>3959</v>
      </c>
      <c r="M2507" s="29" t="s">
        <v>4001</v>
      </c>
      <c r="N2507" s="29" t="s">
        <v>1434</v>
      </c>
      <c r="O2507" s="29" t="s">
        <v>594</v>
      </c>
    </row>
    <row r="2508" spans="1:15">
      <c r="A2508" s="25">
        <v>23271</v>
      </c>
      <c r="B2508" s="34" t="s">
        <v>4002</v>
      </c>
      <c r="C2508" s="31" t="s">
        <v>521</v>
      </c>
      <c r="D2508" s="31" t="s">
        <v>1582</v>
      </c>
      <c r="E2508" s="28">
        <v>43421</v>
      </c>
      <c r="F2508" s="28">
        <v>43451</v>
      </c>
      <c r="G2508" s="28">
        <v>43830</v>
      </c>
      <c r="H2508" s="29" t="s">
        <v>560</v>
      </c>
      <c r="I2508" s="29" t="s">
        <v>560</v>
      </c>
      <c r="J2508" s="29" t="s">
        <v>3957</v>
      </c>
      <c r="K2508" s="29" t="s">
        <v>3958</v>
      </c>
      <c r="L2508" s="29" t="s">
        <v>3959</v>
      </c>
      <c r="M2508" s="29" t="s">
        <v>4003</v>
      </c>
      <c r="N2508" s="29" t="s">
        <v>2023</v>
      </c>
      <c r="O2508" s="29" t="s">
        <v>594</v>
      </c>
    </row>
    <row r="2509" spans="1:15">
      <c r="A2509" s="25">
        <v>23274</v>
      </c>
      <c r="B2509" s="34" t="s">
        <v>4004</v>
      </c>
      <c r="C2509" s="31" t="s">
        <v>521</v>
      </c>
      <c r="D2509" s="31" t="s">
        <v>1582</v>
      </c>
      <c r="E2509" s="28">
        <v>43421</v>
      </c>
      <c r="F2509" s="28">
        <v>43451</v>
      </c>
      <c r="G2509" s="28">
        <v>43830</v>
      </c>
      <c r="H2509" s="29" t="s">
        <v>560</v>
      </c>
      <c r="I2509" s="29" t="s">
        <v>560</v>
      </c>
      <c r="J2509" s="29" t="s">
        <v>3957</v>
      </c>
      <c r="K2509" s="29" t="s">
        <v>3958</v>
      </c>
      <c r="L2509" s="29" t="s">
        <v>3959</v>
      </c>
      <c r="M2509" s="29" t="s">
        <v>2079</v>
      </c>
      <c r="N2509" s="29" t="s">
        <v>2080</v>
      </c>
      <c r="O2509" s="29" t="s">
        <v>594</v>
      </c>
    </row>
    <row r="2510" spans="1:15">
      <c r="A2510" s="25">
        <v>23367</v>
      </c>
      <c r="B2510" s="34" t="s">
        <v>2616</v>
      </c>
      <c r="C2510" s="31" t="s">
        <v>521</v>
      </c>
      <c r="D2510" s="31" t="s">
        <v>1527</v>
      </c>
      <c r="E2510" s="28">
        <v>43427</v>
      </c>
      <c r="F2510" s="28">
        <v>43457</v>
      </c>
      <c r="G2510" s="28">
        <v>43830</v>
      </c>
      <c r="H2510" s="29" t="s">
        <v>560</v>
      </c>
      <c r="I2510" s="29" t="s">
        <v>560</v>
      </c>
      <c r="J2510" s="29" t="s">
        <v>3957</v>
      </c>
      <c r="K2510" s="29" t="s">
        <v>3958</v>
      </c>
      <c r="L2510" s="29" t="s">
        <v>3959</v>
      </c>
      <c r="M2510" s="29" t="s">
        <v>2079</v>
      </c>
      <c r="N2510" s="29" t="s">
        <v>2080</v>
      </c>
      <c r="O2510" s="29" t="s">
        <v>594</v>
      </c>
    </row>
    <row r="2511" spans="1:15">
      <c r="A2511" s="25">
        <v>23527</v>
      </c>
      <c r="B2511" s="34" t="s">
        <v>4005</v>
      </c>
      <c r="C2511" s="31" t="s">
        <v>521</v>
      </c>
      <c r="D2511" s="31" t="s">
        <v>1588</v>
      </c>
      <c r="E2511" s="28">
        <v>43441</v>
      </c>
      <c r="F2511" s="28">
        <v>43472</v>
      </c>
      <c r="G2511" s="28">
        <v>43830</v>
      </c>
      <c r="H2511" s="29" t="s">
        <v>560</v>
      </c>
      <c r="I2511" s="29" t="s">
        <v>560</v>
      </c>
      <c r="J2511" s="29" t="s">
        <v>3957</v>
      </c>
      <c r="K2511" s="29" t="s">
        <v>3958</v>
      </c>
      <c r="L2511" s="29" t="s">
        <v>3959</v>
      </c>
      <c r="M2511" s="29" t="s">
        <v>4006</v>
      </c>
      <c r="N2511" s="29" t="s">
        <v>2041</v>
      </c>
      <c r="O2511" s="29" t="s">
        <v>594</v>
      </c>
    </row>
    <row r="2512" spans="1:15">
      <c r="A2512" s="25">
        <v>1032</v>
      </c>
      <c r="B2512" s="26" t="s">
        <v>4007</v>
      </c>
      <c r="C2512" s="27" t="s">
        <v>521</v>
      </c>
      <c r="D2512" s="27" t="s">
        <v>1139</v>
      </c>
      <c r="E2512" s="28">
        <v>37879</v>
      </c>
      <c r="F2512" s="28" t="s">
        <v>35</v>
      </c>
      <c r="G2512" s="28" t="s">
        <v>35</v>
      </c>
      <c r="H2512" s="27" t="s">
        <v>560</v>
      </c>
      <c r="I2512" s="27" t="s">
        <v>560</v>
      </c>
      <c r="J2512" s="27" t="s">
        <v>3957</v>
      </c>
      <c r="K2512" s="27" t="s">
        <v>3958</v>
      </c>
      <c r="L2512" s="27" t="s">
        <v>3959</v>
      </c>
      <c r="M2512" s="29" t="s">
        <v>4008</v>
      </c>
      <c r="N2512" s="29" t="s">
        <v>2041</v>
      </c>
      <c r="O2512" s="29" t="s">
        <v>590</v>
      </c>
    </row>
    <row r="2513" spans="1:15">
      <c r="A2513" s="25">
        <v>5932</v>
      </c>
      <c r="B2513" s="26" t="s">
        <v>4009</v>
      </c>
      <c r="C2513" s="27" t="s">
        <v>521</v>
      </c>
      <c r="D2513" s="27" t="s">
        <v>713</v>
      </c>
      <c r="E2513" s="28">
        <v>39129</v>
      </c>
      <c r="F2513" s="28" t="s">
        <v>35</v>
      </c>
      <c r="G2513" s="28" t="s">
        <v>35</v>
      </c>
      <c r="H2513" s="29" t="s">
        <v>560</v>
      </c>
      <c r="I2513" s="29" t="s">
        <v>560</v>
      </c>
      <c r="J2513" s="29" t="s">
        <v>3957</v>
      </c>
      <c r="K2513" s="29" t="s">
        <v>3958</v>
      </c>
      <c r="L2513" s="29" t="s">
        <v>3959</v>
      </c>
      <c r="M2513" s="29" t="s">
        <v>4010</v>
      </c>
      <c r="N2513" s="29" t="s">
        <v>2023</v>
      </c>
      <c r="O2513" s="29" t="s">
        <v>590</v>
      </c>
    </row>
    <row r="2514" spans="1:15">
      <c r="A2514" s="25">
        <v>9267</v>
      </c>
      <c r="B2514" s="26" t="s">
        <v>4011</v>
      </c>
      <c r="C2514" s="27" t="s">
        <v>521</v>
      </c>
      <c r="D2514" s="27" t="s">
        <v>658</v>
      </c>
      <c r="E2514" s="28">
        <v>40148</v>
      </c>
      <c r="F2514" s="28" t="s">
        <v>35</v>
      </c>
      <c r="G2514" s="28" t="s">
        <v>35</v>
      </c>
      <c r="H2514" s="27" t="s">
        <v>560</v>
      </c>
      <c r="I2514" s="27" t="s">
        <v>560</v>
      </c>
      <c r="J2514" s="29" t="s">
        <v>3957</v>
      </c>
      <c r="K2514" s="29" t="s">
        <v>3958</v>
      </c>
      <c r="L2514" s="29" t="s">
        <v>3959</v>
      </c>
      <c r="M2514" s="29" t="s">
        <v>4012</v>
      </c>
      <c r="N2514" s="29" t="s">
        <v>2041</v>
      </c>
      <c r="O2514" s="29" t="s">
        <v>590</v>
      </c>
    </row>
    <row r="2515" spans="1:15">
      <c r="A2515" s="25">
        <v>10187</v>
      </c>
      <c r="B2515" s="26" t="s">
        <v>4013</v>
      </c>
      <c r="C2515" s="27" t="s">
        <v>521</v>
      </c>
      <c r="D2515" s="27" t="s">
        <v>787</v>
      </c>
      <c r="E2515" s="28">
        <v>40458</v>
      </c>
      <c r="F2515" s="28" t="s">
        <v>35</v>
      </c>
      <c r="G2515" s="28" t="s">
        <v>35</v>
      </c>
      <c r="H2515" s="27" t="s">
        <v>560</v>
      </c>
      <c r="I2515" s="27" t="s">
        <v>560</v>
      </c>
      <c r="J2515" s="29" t="s">
        <v>3957</v>
      </c>
      <c r="K2515" s="29" t="s">
        <v>3958</v>
      </c>
      <c r="L2515" s="29" t="s">
        <v>3959</v>
      </c>
      <c r="M2515" s="29" t="s">
        <v>2025</v>
      </c>
      <c r="N2515" s="29" t="s">
        <v>2026</v>
      </c>
      <c r="O2515" s="29" t="s">
        <v>590</v>
      </c>
    </row>
    <row r="2516" spans="1:15">
      <c r="A2516" s="25">
        <v>10446</v>
      </c>
      <c r="B2516" s="26" t="s">
        <v>4014</v>
      </c>
      <c r="C2516" s="27" t="s">
        <v>521</v>
      </c>
      <c r="D2516" s="27" t="s">
        <v>864</v>
      </c>
      <c r="E2516" s="28">
        <v>40524</v>
      </c>
      <c r="F2516" s="28" t="s">
        <v>35</v>
      </c>
      <c r="G2516" s="28" t="s">
        <v>35</v>
      </c>
      <c r="H2516" s="27" t="s">
        <v>560</v>
      </c>
      <c r="I2516" s="27" t="s">
        <v>560</v>
      </c>
      <c r="J2516" s="29" t="s">
        <v>3957</v>
      </c>
      <c r="K2516" s="29" t="s">
        <v>3958</v>
      </c>
      <c r="L2516" s="29" t="s">
        <v>3959</v>
      </c>
      <c r="M2516" s="29" t="s">
        <v>1550</v>
      </c>
      <c r="N2516" s="29" t="s">
        <v>1045</v>
      </c>
      <c r="O2516" s="29" t="s">
        <v>590</v>
      </c>
    </row>
    <row r="2517" spans="1:15">
      <c r="A2517" s="25">
        <v>11618</v>
      </c>
      <c r="B2517" s="26" t="s">
        <v>243</v>
      </c>
      <c r="C2517" s="27" t="s">
        <v>521</v>
      </c>
      <c r="D2517" s="27" t="s">
        <v>841</v>
      </c>
      <c r="E2517" s="28">
        <v>40707</v>
      </c>
      <c r="F2517" s="28" t="s">
        <v>35</v>
      </c>
      <c r="G2517" s="28" t="s">
        <v>35</v>
      </c>
      <c r="H2517" s="27" t="s">
        <v>560</v>
      </c>
      <c r="I2517" s="27" t="s">
        <v>560</v>
      </c>
      <c r="J2517" s="27" t="s">
        <v>3957</v>
      </c>
      <c r="K2517" s="27" t="s">
        <v>3958</v>
      </c>
      <c r="L2517" s="27" t="s">
        <v>3959</v>
      </c>
      <c r="M2517" s="29" t="s">
        <v>4015</v>
      </c>
      <c r="N2517" s="29" t="s">
        <v>2041</v>
      </c>
      <c r="O2517" s="29" t="s">
        <v>590</v>
      </c>
    </row>
    <row r="2518" spans="1:15">
      <c r="A2518" s="25">
        <v>12484</v>
      </c>
      <c r="B2518" s="26" t="s">
        <v>4016</v>
      </c>
      <c r="C2518" s="27" t="s">
        <v>521</v>
      </c>
      <c r="D2518" s="27" t="s">
        <v>722</v>
      </c>
      <c r="E2518" s="28">
        <v>40812</v>
      </c>
      <c r="F2518" s="28" t="s">
        <v>35</v>
      </c>
      <c r="G2518" s="28" t="s">
        <v>35</v>
      </c>
      <c r="H2518" s="29" t="s">
        <v>560</v>
      </c>
      <c r="I2518" s="29" t="s">
        <v>560</v>
      </c>
      <c r="J2518" s="29" t="s">
        <v>3957</v>
      </c>
      <c r="K2518" s="29" t="s">
        <v>3958</v>
      </c>
      <c r="L2518" s="29" t="s">
        <v>3959</v>
      </c>
      <c r="M2518" s="29" t="s">
        <v>4017</v>
      </c>
      <c r="N2518" s="29" t="s">
        <v>2031</v>
      </c>
      <c r="O2518" s="29" t="s">
        <v>590</v>
      </c>
    </row>
    <row r="2519" spans="1:15">
      <c r="A2519" s="25">
        <v>12562</v>
      </c>
      <c r="B2519" s="26" t="s">
        <v>4018</v>
      </c>
      <c r="C2519" s="27" t="s">
        <v>521</v>
      </c>
      <c r="D2519" s="27" t="s">
        <v>722</v>
      </c>
      <c r="E2519" s="28">
        <v>40812</v>
      </c>
      <c r="F2519" s="28" t="s">
        <v>35</v>
      </c>
      <c r="G2519" s="28" t="s">
        <v>35</v>
      </c>
      <c r="H2519" s="27" t="s">
        <v>560</v>
      </c>
      <c r="I2519" s="27" t="s">
        <v>560</v>
      </c>
      <c r="J2519" s="27" t="s">
        <v>3957</v>
      </c>
      <c r="K2519" s="27" t="s">
        <v>3958</v>
      </c>
      <c r="L2519" s="27" t="s">
        <v>3959</v>
      </c>
      <c r="M2519" s="29" t="s">
        <v>4019</v>
      </c>
      <c r="N2519" s="29" t="s">
        <v>2041</v>
      </c>
      <c r="O2519" s="29" t="s">
        <v>590</v>
      </c>
    </row>
    <row r="2520" spans="1:15">
      <c r="A2520" s="25">
        <v>12840</v>
      </c>
      <c r="B2520" s="26" t="s">
        <v>4020</v>
      </c>
      <c r="C2520" s="27" t="s">
        <v>521</v>
      </c>
      <c r="D2520" s="27" t="s">
        <v>688</v>
      </c>
      <c r="E2520" s="28">
        <v>40833</v>
      </c>
      <c r="F2520" s="28" t="s">
        <v>35</v>
      </c>
      <c r="G2520" s="28" t="s">
        <v>35</v>
      </c>
      <c r="H2520" s="27" t="s">
        <v>560</v>
      </c>
      <c r="I2520" s="27" t="s">
        <v>560</v>
      </c>
      <c r="J2520" s="27" t="s">
        <v>3957</v>
      </c>
      <c r="K2520" s="27" t="s">
        <v>3958</v>
      </c>
      <c r="L2520" s="27" t="s">
        <v>3959</v>
      </c>
      <c r="M2520" s="29" t="s">
        <v>4021</v>
      </c>
      <c r="N2520" s="29" t="s">
        <v>1434</v>
      </c>
      <c r="O2520" s="29" t="s">
        <v>590</v>
      </c>
    </row>
    <row r="2521" spans="1:15">
      <c r="A2521" s="25">
        <v>19607</v>
      </c>
      <c r="B2521" s="26" t="s">
        <v>4022</v>
      </c>
      <c r="C2521" s="27" t="s">
        <v>521</v>
      </c>
      <c r="D2521" s="27" t="s">
        <v>3131</v>
      </c>
      <c r="E2521" s="28">
        <v>42472</v>
      </c>
      <c r="F2521" s="28" t="s">
        <v>35</v>
      </c>
      <c r="G2521" s="28" t="s">
        <v>35</v>
      </c>
      <c r="H2521" s="27" t="s">
        <v>560</v>
      </c>
      <c r="I2521" s="27" t="s">
        <v>560</v>
      </c>
      <c r="J2521" s="27" t="s">
        <v>3957</v>
      </c>
      <c r="K2521" s="27" t="s">
        <v>3958</v>
      </c>
      <c r="L2521" s="27" t="s">
        <v>3959</v>
      </c>
      <c r="M2521" s="27" t="s">
        <v>2815</v>
      </c>
      <c r="N2521" s="27" t="s">
        <v>1434</v>
      </c>
      <c r="O2521" s="27" t="s">
        <v>590</v>
      </c>
    </row>
    <row r="2522" spans="1:15">
      <c r="A2522" s="25">
        <v>20502</v>
      </c>
      <c r="B2522" s="26" t="s">
        <v>4023</v>
      </c>
      <c r="C2522" s="27" t="s">
        <v>521</v>
      </c>
      <c r="D2522" s="27" t="s">
        <v>1644</v>
      </c>
      <c r="E2522" s="28">
        <v>42634</v>
      </c>
      <c r="F2522" s="28">
        <v>43132</v>
      </c>
      <c r="G2522" s="28">
        <v>43496</v>
      </c>
      <c r="H2522" s="25" t="s">
        <v>560</v>
      </c>
      <c r="I2522" s="27" t="s">
        <v>560</v>
      </c>
      <c r="J2522" s="31" t="s">
        <v>3957</v>
      </c>
      <c r="K2522" s="27" t="s">
        <v>3958</v>
      </c>
      <c r="L2522" s="27" t="s">
        <v>3959</v>
      </c>
      <c r="M2522" s="29" t="s">
        <v>4024</v>
      </c>
      <c r="N2522" s="29" t="s">
        <v>2041</v>
      </c>
      <c r="O2522" s="29" t="s">
        <v>590</v>
      </c>
    </row>
    <row r="2523" spans="1:15">
      <c r="A2523" s="25">
        <v>20661</v>
      </c>
      <c r="B2523" s="26" t="s">
        <v>4025</v>
      </c>
      <c r="C2523" s="27" t="s">
        <v>521</v>
      </c>
      <c r="D2523" s="27" t="s">
        <v>673</v>
      </c>
      <c r="E2523" s="28">
        <v>42639</v>
      </c>
      <c r="F2523" s="28">
        <v>43132</v>
      </c>
      <c r="G2523" s="28">
        <v>43496</v>
      </c>
      <c r="H2523" s="25" t="s">
        <v>560</v>
      </c>
      <c r="I2523" s="25" t="s">
        <v>560</v>
      </c>
      <c r="J2523" s="29" t="s">
        <v>3957</v>
      </c>
      <c r="K2523" s="29" t="s">
        <v>3958</v>
      </c>
      <c r="L2523" s="29" t="s">
        <v>3959</v>
      </c>
      <c r="M2523" s="29" t="s">
        <v>3989</v>
      </c>
      <c r="N2523" s="29" t="s">
        <v>2041</v>
      </c>
      <c r="O2523" s="29" t="s">
        <v>590</v>
      </c>
    </row>
    <row r="2524" spans="1:15">
      <c r="A2524" s="25">
        <v>21712</v>
      </c>
      <c r="B2524" s="34" t="s">
        <v>4026</v>
      </c>
      <c r="C2524" s="31" t="s">
        <v>521</v>
      </c>
      <c r="D2524" s="31" t="s">
        <v>663</v>
      </c>
      <c r="E2524" s="28">
        <v>43087</v>
      </c>
      <c r="F2524" s="28">
        <v>43118</v>
      </c>
      <c r="G2524" s="28">
        <v>43496</v>
      </c>
      <c r="H2524" s="27" t="s">
        <v>560</v>
      </c>
      <c r="I2524" s="27" t="s">
        <v>560</v>
      </c>
      <c r="J2524" s="27" t="s">
        <v>3957</v>
      </c>
      <c r="K2524" s="27" t="s">
        <v>3958</v>
      </c>
      <c r="L2524" s="27" t="s">
        <v>3959</v>
      </c>
      <c r="M2524" s="29" t="s">
        <v>4027</v>
      </c>
      <c r="N2524" s="29" t="s">
        <v>2041</v>
      </c>
      <c r="O2524" s="29" t="s">
        <v>590</v>
      </c>
    </row>
    <row r="2525" spans="1:15">
      <c r="A2525" s="25">
        <v>21734</v>
      </c>
      <c r="B2525" s="34" t="s">
        <v>4028</v>
      </c>
      <c r="C2525" s="31" t="s">
        <v>521</v>
      </c>
      <c r="D2525" s="31" t="s">
        <v>663</v>
      </c>
      <c r="E2525" s="28">
        <v>43087</v>
      </c>
      <c r="F2525" s="28">
        <v>43118</v>
      </c>
      <c r="G2525" s="28">
        <v>43496</v>
      </c>
      <c r="H2525" s="27" t="s">
        <v>560</v>
      </c>
      <c r="I2525" s="27" t="s">
        <v>560</v>
      </c>
      <c r="J2525" s="27" t="s">
        <v>3957</v>
      </c>
      <c r="K2525" s="27" t="s">
        <v>3958</v>
      </c>
      <c r="L2525" s="27" t="s">
        <v>3959</v>
      </c>
      <c r="M2525" s="29" t="s">
        <v>4029</v>
      </c>
      <c r="N2525" s="29" t="s">
        <v>1434</v>
      </c>
      <c r="O2525" s="29" t="s">
        <v>590</v>
      </c>
    </row>
    <row r="2526" spans="1:15">
      <c r="A2526" s="25">
        <v>22027</v>
      </c>
      <c r="B2526" s="34" t="s">
        <v>4030</v>
      </c>
      <c r="C2526" s="31" t="s">
        <v>521</v>
      </c>
      <c r="D2526" s="31" t="s">
        <v>631</v>
      </c>
      <c r="E2526" s="28">
        <v>43144</v>
      </c>
      <c r="F2526" s="28">
        <v>43172</v>
      </c>
      <c r="G2526" s="28">
        <v>43524</v>
      </c>
      <c r="H2526" s="29" t="s">
        <v>560</v>
      </c>
      <c r="I2526" s="29" t="s">
        <v>560</v>
      </c>
      <c r="J2526" s="29" t="s">
        <v>3957</v>
      </c>
      <c r="K2526" s="29" t="s">
        <v>3958</v>
      </c>
      <c r="L2526" s="29" t="s">
        <v>3959</v>
      </c>
      <c r="M2526" s="29" t="s">
        <v>4031</v>
      </c>
      <c r="N2526" s="29" t="s">
        <v>2041</v>
      </c>
      <c r="O2526" s="29" t="s">
        <v>590</v>
      </c>
    </row>
    <row r="2527" spans="1:15">
      <c r="A2527" s="25">
        <v>22286</v>
      </c>
      <c r="B2527" s="34" t="s">
        <v>4032</v>
      </c>
      <c r="C2527" s="31" t="s">
        <v>521</v>
      </c>
      <c r="D2527" s="31" t="s">
        <v>1191</v>
      </c>
      <c r="E2527" s="28">
        <v>43192</v>
      </c>
      <c r="F2527" s="28">
        <v>43222</v>
      </c>
      <c r="G2527" s="28">
        <v>43585</v>
      </c>
      <c r="H2527" s="29" t="s">
        <v>560</v>
      </c>
      <c r="I2527" s="29" t="s">
        <v>560</v>
      </c>
      <c r="J2527" s="29" t="s">
        <v>3957</v>
      </c>
      <c r="K2527" s="29" t="s">
        <v>3958</v>
      </c>
      <c r="L2527" s="29" t="s">
        <v>3959</v>
      </c>
      <c r="M2527" s="29" t="s">
        <v>4033</v>
      </c>
      <c r="N2527" s="29" t="s">
        <v>2031</v>
      </c>
      <c r="O2527" s="29" t="s">
        <v>590</v>
      </c>
    </row>
    <row r="2528" spans="1:15">
      <c r="A2528" s="25">
        <v>22953</v>
      </c>
      <c r="B2528" s="34" t="s">
        <v>4034</v>
      </c>
      <c r="C2528" s="31" t="s">
        <v>521</v>
      </c>
      <c r="D2528" s="31" t="s">
        <v>1962</v>
      </c>
      <c r="E2528" s="28">
        <v>43343</v>
      </c>
      <c r="F2528" s="28">
        <v>43374</v>
      </c>
      <c r="G2528" s="28">
        <v>43738</v>
      </c>
      <c r="H2528" s="29" t="s">
        <v>560</v>
      </c>
      <c r="I2528" s="29" t="s">
        <v>560</v>
      </c>
      <c r="J2528" s="29" t="s">
        <v>3957</v>
      </c>
      <c r="K2528" s="29" t="s">
        <v>3958</v>
      </c>
      <c r="L2528" s="29" t="s">
        <v>3959</v>
      </c>
      <c r="M2528" s="29" t="s">
        <v>4035</v>
      </c>
      <c r="N2528" s="29" t="s">
        <v>2041</v>
      </c>
      <c r="O2528" s="29" t="s">
        <v>590</v>
      </c>
    </row>
    <row r="2529" spans="1:15">
      <c r="A2529" s="25">
        <v>22959</v>
      </c>
      <c r="B2529" s="34" t="s">
        <v>4036</v>
      </c>
      <c r="C2529" s="31" t="s">
        <v>521</v>
      </c>
      <c r="D2529" s="31" t="s">
        <v>1962</v>
      </c>
      <c r="E2529" s="28">
        <v>43343</v>
      </c>
      <c r="F2529" s="28">
        <v>43374</v>
      </c>
      <c r="G2529" s="28">
        <v>43738</v>
      </c>
      <c r="H2529" s="29" t="s">
        <v>560</v>
      </c>
      <c r="I2529" s="29" t="s">
        <v>560</v>
      </c>
      <c r="J2529" s="29" t="s">
        <v>3957</v>
      </c>
      <c r="K2529" s="29" t="s">
        <v>3958</v>
      </c>
      <c r="L2529" s="29" t="s">
        <v>3959</v>
      </c>
      <c r="M2529" s="29" t="s">
        <v>4037</v>
      </c>
      <c r="N2529" s="29" t="s">
        <v>2041</v>
      </c>
      <c r="O2529" s="29" t="s">
        <v>590</v>
      </c>
    </row>
    <row r="2530" spans="1:15">
      <c r="A2530" s="25">
        <v>23086</v>
      </c>
      <c r="B2530" s="34" t="s">
        <v>4038</v>
      </c>
      <c r="C2530" s="31" t="s">
        <v>521</v>
      </c>
      <c r="D2530" s="31" t="s">
        <v>1872</v>
      </c>
      <c r="E2530" s="28">
        <v>43361</v>
      </c>
      <c r="F2530" s="28">
        <v>43391</v>
      </c>
      <c r="G2530" s="28">
        <v>43769</v>
      </c>
      <c r="H2530" s="29" t="s">
        <v>560</v>
      </c>
      <c r="I2530" s="29" t="s">
        <v>560</v>
      </c>
      <c r="J2530" s="29" t="s">
        <v>3957</v>
      </c>
      <c r="K2530" s="29" t="s">
        <v>3958</v>
      </c>
      <c r="L2530" s="29" t="s">
        <v>3959</v>
      </c>
      <c r="M2530" s="29" t="s">
        <v>4039</v>
      </c>
      <c r="N2530" s="29" t="s">
        <v>2041</v>
      </c>
      <c r="O2530" s="29" t="s">
        <v>590</v>
      </c>
    </row>
    <row r="2531" spans="1:15">
      <c r="A2531" s="25">
        <v>23141</v>
      </c>
      <c r="B2531" s="34" t="s">
        <v>4040</v>
      </c>
      <c r="C2531" s="31" t="s">
        <v>521</v>
      </c>
      <c r="D2531" s="31" t="s">
        <v>1523</v>
      </c>
      <c r="E2531" s="28">
        <v>43369</v>
      </c>
      <c r="F2531" s="28">
        <v>43399</v>
      </c>
      <c r="G2531" s="28">
        <v>43769</v>
      </c>
      <c r="H2531" s="29" t="s">
        <v>560</v>
      </c>
      <c r="I2531" s="29" t="s">
        <v>560</v>
      </c>
      <c r="J2531" s="29" t="s">
        <v>3957</v>
      </c>
      <c r="K2531" s="29" t="s">
        <v>3958</v>
      </c>
      <c r="L2531" s="29" t="s">
        <v>3959</v>
      </c>
      <c r="M2531" s="29" t="s">
        <v>3967</v>
      </c>
      <c r="N2531" s="29" t="s">
        <v>1434</v>
      </c>
      <c r="O2531" s="29" t="s">
        <v>590</v>
      </c>
    </row>
    <row r="2532" spans="1:15">
      <c r="A2532" s="25">
        <v>23272</v>
      </c>
      <c r="B2532" s="34" t="s">
        <v>4041</v>
      </c>
      <c r="C2532" s="31" t="s">
        <v>521</v>
      </c>
      <c r="D2532" s="31" t="s">
        <v>1582</v>
      </c>
      <c r="E2532" s="28">
        <v>43421</v>
      </c>
      <c r="F2532" s="28">
        <v>43451</v>
      </c>
      <c r="G2532" s="28">
        <v>43830</v>
      </c>
      <c r="H2532" s="29" t="s">
        <v>560</v>
      </c>
      <c r="I2532" s="29" t="s">
        <v>560</v>
      </c>
      <c r="J2532" s="29" t="s">
        <v>3957</v>
      </c>
      <c r="K2532" s="29" t="s">
        <v>3958</v>
      </c>
      <c r="L2532" s="29" t="s">
        <v>3959</v>
      </c>
      <c r="M2532" s="29" t="s">
        <v>2328</v>
      </c>
      <c r="N2532" s="29" t="s">
        <v>2080</v>
      </c>
      <c r="O2532" s="29" t="s">
        <v>590</v>
      </c>
    </row>
    <row r="2533" spans="1:15">
      <c r="A2533" s="25">
        <v>23273</v>
      </c>
      <c r="B2533" s="34" t="s">
        <v>4042</v>
      </c>
      <c r="C2533" s="31" t="s">
        <v>521</v>
      </c>
      <c r="D2533" s="31" t="s">
        <v>1582</v>
      </c>
      <c r="E2533" s="28">
        <v>43421</v>
      </c>
      <c r="F2533" s="28">
        <v>43451</v>
      </c>
      <c r="G2533" s="28">
        <v>43830</v>
      </c>
      <c r="H2533" s="29" t="s">
        <v>560</v>
      </c>
      <c r="I2533" s="29" t="s">
        <v>560</v>
      </c>
      <c r="J2533" s="29" t="s">
        <v>3957</v>
      </c>
      <c r="K2533" s="29" t="s">
        <v>3958</v>
      </c>
      <c r="L2533" s="29" t="s">
        <v>3959</v>
      </c>
      <c r="M2533" s="29" t="s">
        <v>2324</v>
      </c>
      <c r="N2533" s="29" t="s">
        <v>2080</v>
      </c>
      <c r="O2533" s="29" t="s">
        <v>590</v>
      </c>
    </row>
    <row r="2534" spans="1:15">
      <c r="A2534" s="25">
        <v>23361</v>
      </c>
      <c r="B2534" s="34" t="s">
        <v>4043</v>
      </c>
      <c r="C2534" s="31" t="s">
        <v>521</v>
      </c>
      <c r="D2534" s="31" t="s">
        <v>1527</v>
      </c>
      <c r="E2534" s="28">
        <v>43427</v>
      </c>
      <c r="F2534" s="28">
        <v>43457</v>
      </c>
      <c r="G2534" s="28">
        <v>43830</v>
      </c>
      <c r="H2534" s="29" t="s">
        <v>560</v>
      </c>
      <c r="I2534" s="29" t="s">
        <v>560</v>
      </c>
      <c r="J2534" s="29" t="s">
        <v>3957</v>
      </c>
      <c r="K2534" s="29" t="s">
        <v>3958</v>
      </c>
      <c r="L2534" s="29" t="s">
        <v>3959</v>
      </c>
      <c r="M2534" s="29" t="s">
        <v>4044</v>
      </c>
      <c r="N2534" s="29" t="s">
        <v>1434</v>
      </c>
      <c r="O2534" s="29" t="s">
        <v>590</v>
      </c>
    </row>
    <row r="2535" spans="1:15">
      <c r="A2535" s="25">
        <v>23432</v>
      </c>
      <c r="B2535" s="34" t="s">
        <v>4045</v>
      </c>
      <c r="C2535" s="31" t="s">
        <v>521</v>
      </c>
      <c r="D2535" s="31" t="s">
        <v>882</v>
      </c>
      <c r="E2535" s="28">
        <v>43434</v>
      </c>
      <c r="F2535" s="28">
        <v>43464</v>
      </c>
      <c r="G2535" s="28">
        <v>43830</v>
      </c>
      <c r="H2535" s="29" t="s">
        <v>560</v>
      </c>
      <c r="I2535" s="29" t="s">
        <v>560</v>
      </c>
      <c r="J2535" s="29" t="s">
        <v>3957</v>
      </c>
      <c r="K2535" s="29" t="s">
        <v>3958</v>
      </c>
      <c r="L2535" s="29" t="s">
        <v>3959</v>
      </c>
      <c r="M2535" s="29" t="s">
        <v>4046</v>
      </c>
      <c r="N2535" s="29" t="s">
        <v>2023</v>
      </c>
      <c r="O2535" s="29" t="s">
        <v>590</v>
      </c>
    </row>
    <row r="2536" spans="1:15">
      <c r="A2536" s="25">
        <v>23446</v>
      </c>
      <c r="B2536" s="34" t="s">
        <v>4047</v>
      </c>
      <c r="C2536" s="31" t="s">
        <v>521</v>
      </c>
      <c r="D2536" s="31" t="s">
        <v>882</v>
      </c>
      <c r="E2536" s="28">
        <v>43434</v>
      </c>
      <c r="F2536" s="28">
        <v>43464</v>
      </c>
      <c r="G2536" s="28">
        <v>43830</v>
      </c>
      <c r="H2536" s="29" t="s">
        <v>560</v>
      </c>
      <c r="I2536" s="29" t="s">
        <v>560</v>
      </c>
      <c r="J2536" s="29" t="s">
        <v>3957</v>
      </c>
      <c r="K2536" s="29" t="s">
        <v>3958</v>
      </c>
      <c r="L2536" s="29" t="s">
        <v>3959</v>
      </c>
      <c r="M2536" s="29" t="s">
        <v>1593</v>
      </c>
      <c r="N2536" s="29" t="s">
        <v>1586</v>
      </c>
      <c r="O2536" s="29" t="s">
        <v>590</v>
      </c>
    </row>
    <row r="2537" spans="1:15">
      <c r="A2537" s="25">
        <v>23470</v>
      </c>
      <c r="B2537" s="34" t="s">
        <v>4048</v>
      </c>
      <c r="C2537" s="31" t="s">
        <v>521</v>
      </c>
      <c r="D2537" s="31" t="s">
        <v>882</v>
      </c>
      <c r="E2537" s="28">
        <v>43434</v>
      </c>
      <c r="F2537" s="28">
        <v>43464</v>
      </c>
      <c r="G2537" s="28">
        <v>43830</v>
      </c>
      <c r="H2537" s="29" t="s">
        <v>560</v>
      </c>
      <c r="I2537" s="29" t="s">
        <v>560</v>
      </c>
      <c r="J2537" s="29" t="s">
        <v>3957</v>
      </c>
      <c r="K2537" s="29" t="s">
        <v>3958</v>
      </c>
      <c r="L2537" s="29" t="s">
        <v>3959</v>
      </c>
      <c r="M2537" s="29" t="s">
        <v>1593</v>
      </c>
      <c r="N2537" s="29" t="s">
        <v>1586</v>
      </c>
      <c r="O2537" s="29" t="s">
        <v>590</v>
      </c>
    </row>
    <row r="2538" spans="1:15">
      <c r="A2538" s="25">
        <v>23595</v>
      </c>
      <c r="B2538" s="34" t="s">
        <v>4049</v>
      </c>
      <c r="C2538" s="31" t="s">
        <v>521</v>
      </c>
      <c r="D2538" s="31" t="s">
        <v>884</v>
      </c>
      <c r="E2538" s="28">
        <v>43452</v>
      </c>
      <c r="F2538" s="28">
        <v>43483</v>
      </c>
      <c r="G2538" s="28">
        <v>43861</v>
      </c>
      <c r="H2538" s="29" t="s">
        <v>560</v>
      </c>
      <c r="I2538" s="29" t="s">
        <v>560</v>
      </c>
      <c r="J2538" s="29" t="s">
        <v>3957</v>
      </c>
      <c r="K2538" s="29" t="s">
        <v>3958</v>
      </c>
      <c r="L2538" s="29" t="s">
        <v>3959</v>
      </c>
      <c r="M2538" s="29" t="s">
        <v>1593</v>
      </c>
      <c r="N2538" s="29" t="s">
        <v>1586</v>
      </c>
      <c r="O2538" s="29" t="s">
        <v>590</v>
      </c>
    </row>
    <row r="2539" spans="1:15">
      <c r="A2539" s="25">
        <v>8695</v>
      </c>
      <c r="B2539" s="26" t="s">
        <v>4050</v>
      </c>
      <c r="C2539" s="27" t="s">
        <v>521</v>
      </c>
      <c r="D2539" s="27" t="s">
        <v>692</v>
      </c>
      <c r="E2539" s="28">
        <v>39888</v>
      </c>
      <c r="F2539" s="28" t="s">
        <v>35</v>
      </c>
      <c r="G2539" s="28" t="s">
        <v>35</v>
      </c>
      <c r="H2539" s="29" t="s">
        <v>560</v>
      </c>
      <c r="I2539" s="29" t="s">
        <v>560</v>
      </c>
      <c r="J2539" s="29" t="s">
        <v>1930</v>
      </c>
      <c r="K2539" s="29" t="s">
        <v>4051</v>
      </c>
      <c r="L2539" s="29" t="s">
        <v>4052</v>
      </c>
      <c r="M2539" s="29" t="s">
        <v>1550</v>
      </c>
      <c r="N2539" s="29" t="s">
        <v>1045</v>
      </c>
      <c r="O2539" s="29" t="s">
        <v>594</v>
      </c>
    </row>
    <row r="2540" spans="1:15">
      <c r="A2540" s="25">
        <v>12965</v>
      </c>
      <c r="B2540" s="26" t="s">
        <v>4053</v>
      </c>
      <c r="C2540" s="27" t="s">
        <v>521</v>
      </c>
      <c r="D2540" s="27" t="s">
        <v>717</v>
      </c>
      <c r="E2540" s="28">
        <v>40840</v>
      </c>
      <c r="F2540" s="28" t="s">
        <v>35</v>
      </c>
      <c r="G2540" s="28" t="s">
        <v>35</v>
      </c>
      <c r="H2540" s="27" t="s">
        <v>560</v>
      </c>
      <c r="I2540" s="27" t="s">
        <v>560</v>
      </c>
      <c r="J2540" s="29" t="s">
        <v>1930</v>
      </c>
      <c r="K2540" s="29" t="s">
        <v>4051</v>
      </c>
      <c r="L2540" s="29" t="s">
        <v>4052</v>
      </c>
      <c r="M2540" s="29" t="s">
        <v>2025</v>
      </c>
      <c r="N2540" s="29" t="s">
        <v>2026</v>
      </c>
      <c r="O2540" s="29" t="s">
        <v>594</v>
      </c>
    </row>
    <row r="2541" spans="1:15">
      <c r="A2541" s="25">
        <v>21722</v>
      </c>
      <c r="B2541" s="34" t="s">
        <v>4054</v>
      </c>
      <c r="C2541" s="31" t="s">
        <v>521</v>
      </c>
      <c r="D2541" s="31" t="s">
        <v>663</v>
      </c>
      <c r="E2541" s="28">
        <v>43087</v>
      </c>
      <c r="F2541" s="28">
        <v>43118</v>
      </c>
      <c r="G2541" s="28">
        <v>43496</v>
      </c>
      <c r="H2541" s="29" t="s">
        <v>560</v>
      </c>
      <c r="I2541" s="29" t="s">
        <v>560</v>
      </c>
      <c r="J2541" s="29" t="s">
        <v>1930</v>
      </c>
      <c r="K2541" s="29" t="s">
        <v>4051</v>
      </c>
      <c r="L2541" s="29" t="s">
        <v>4052</v>
      </c>
      <c r="M2541" s="29" t="s">
        <v>4037</v>
      </c>
      <c r="N2541" s="29" t="s">
        <v>2041</v>
      </c>
      <c r="O2541" s="29" t="s">
        <v>594</v>
      </c>
    </row>
    <row r="2542" spans="1:15">
      <c r="A2542" s="25">
        <v>22205</v>
      </c>
      <c r="B2542" s="34" t="s">
        <v>4055</v>
      </c>
      <c r="C2542" s="31" t="s">
        <v>521</v>
      </c>
      <c r="D2542" s="31" t="s">
        <v>1201</v>
      </c>
      <c r="E2542" s="28">
        <v>43158</v>
      </c>
      <c r="F2542" s="28">
        <v>43186</v>
      </c>
      <c r="G2542" s="28">
        <v>43555</v>
      </c>
      <c r="H2542" s="29" t="s">
        <v>560</v>
      </c>
      <c r="I2542" s="29" t="s">
        <v>560</v>
      </c>
      <c r="J2542" s="29" t="s">
        <v>1930</v>
      </c>
      <c r="K2542" s="29" t="s">
        <v>4051</v>
      </c>
      <c r="L2542" s="29" t="s">
        <v>4052</v>
      </c>
      <c r="M2542" s="29" t="s">
        <v>4056</v>
      </c>
      <c r="N2542" s="29" t="s">
        <v>1511</v>
      </c>
      <c r="O2542" s="29" t="s">
        <v>594</v>
      </c>
    </row>
    <row r="2543" spans="1:15">
      <c r="A2543" s="25">
        <v>23410</v>
      </c>
      <c r="B2543" s="34" t="s">
        <v>4057</v>
      </c>
      <c r="C2543" s="31" t="s">
        <v>521</v>
      </c>
      <c r="D2543" s="31" t="s">
        <v>882</v>
      </c>
      <c r="E2543" s="28">
        <v>43434</v>
      </c>
      <c r="F2543" s="28">
        <v>43464</v>
      </c>
      <c r="G2543" s="28">
        <v>43830</v>
      </c>
      <c r="H2543" s="29" t="s">
        <v>560</v>
      </c>
      <c r="I2543" s="29" t="s">
        <v>560</v>
      </c>
      <c r="J2543" s="29" t="s">
        <v>1930</v>
      </c>
      <c r="K2543" s="29" t="s">
        <v>4051</v>
      </c>
      <c r="L2543" s="29" t="s">
        <v>4052</v>
      </c>
      <c r="M2543" s="29" t="s">
        <v>1593</v>
      </c>
      <c r="N2543" s="29" t="s">
        <v>1586</v>
      </c>
      <c r="O2543" s="29" t="s">
        <v>594</v>
      </c>
    </row>
    <row r="2544" spans="1:15">
      <c r="A2544" s="25" t="s">
        <v>4058</v>
      </c>
      <c r="B2544" s="26" t="s">
        <v>4059</v>
      </c>
      <c r="C2544" s="27" t="s">
        <v>521</v>
      </c>
      <c r="D2544" s="27" t="s">
        <v>2261</v>
      </c>
      <c r="E2544" s="28">
        <v>41165</v>
      </c>
      <c r="F2544" s="28" t="s">
        <v>35</v>
      </c>
      <c r="G2544" s="28" t="s">
        <v>35</v>
      </c>
      <c r="H2544" s="27" t="s">
        <v>560</v>
      </c>
      <c r="I2544" s="27" t="s">
        <v>560</v>
      </c>
      <c r="J2544" s="29" t="s">
        <v>1930</v>
      </c>
      <c r="K2544" s="29" t="s">
        <v>4051</v>
      </c>
      <c r="L2544" s="29" t="s">
        <v>4052</v>
      </c>
      <c r="M2544" s="29" t="s">
        <v>4060</v>
      </c>
      <c r="N2544" s="29" t="s">
        <v>1434</v>
      </c>
      <c r="O2544" s="29" t="s">
        <v>594</v>
      </c>
    </row>
    <row r="2545" spans="1:15">
      <c r="A2545" s="25" t="s">
        <v>4061</v>
      </c>
      <c r="B2545" s="26" t="s">
        <v>4062</v>
      </c>
      <c r="C2545" s="27" t="s">
        <v>521</v>
      </c>
      <c r="D2545" s="27" t="s">
        <v>2584</v>
      </c>
      <c r="E2545" s="28">
        <v>42634</v>
      </c>
      <c r="F2545" s="28">
        <v>43132</v>
      </c>
      <c r="G2545" s="28">
        <v>43496</v>
      </c>
      <c r="H2545" s="29" t="s">
        <v>560</v>
      </c>
      <c r="I2545" s="29" t="s">
        <v>560</v>
      </c>
      <c r="J2545" s="29" t="s">
        <v>1930</v>
      </c>
      <c r="K2545" s="29" t="s">
        <v>4051</v>
      </c>
      <c r="L2545" s="29" t="s">
        <v>4052</v>
      </c>
      <c r="M2545" s="29" t="s">
        <v>2079</v>
      </c>
      <c r="N2545" s="29" t="s">
        <v>2080</v>
      </c>
      <c r="O2545" s="29" t="s">
        <v>594</v>
      </c>
    </row>
    <row r="2546" spans="1:15">
      <c r="A2546" s="25">
        <v>23596</v>
      </c>
      <c r="B2546" s="34" t="s">
        <v>4063</v>
      </c>
      <c r="C2546" s="31" t="s">
        <v>521</v>
      </c>
      <c r="D2546" s="31" t="s">
        <v>884</v>
      </c>
      <c r="E2546" s="28">
        <v>43452</v>
      </c>
      <c r="F2546" s="28">
        <v>43483</v>
      </c>
      <c r="G2546" s="28">
        <v>43861</v>
      </c>
      <c r="H2546" s="29" t="s">
        <v>560</v>
      </c>
      <c r="I2546" s="29" t="s">
        <v>560</v>
      </c>
      <c r="J2546" s="29" t="s">
        <v>1930</v>
      </c>
      <c r="K2546" s="29" t="s">
        <v>4051</v>
      </c>
      <c r="L2546" s="29" t="s">
        <v>4052</v>
      </c>
      <c r="M2546" s="29" t="s">
        <v>1593</v>
      </c>
      <c r="N2546" s="29" t="s">
        <v>1586</v>
      </c>
      <c r="O2546" s="29" t="s">
        <v>594</v>
      </c>
    </row>
    <row r="2547" spans="1:15">
      <c r="A2547" s="25">
        <v>11023</v>
      </c>
      <c r="B2547" s="26" t="s">
        <v>4064</v>
      </c>
      <c r="C2547" s="27" t="s">
        <v>521</v>
      </c>
      <c r="D2547" s="27" t="s">
        <v>1516</v>
      </c>
      <c r="E2547" s="28">
        <v>40585</v>
      </c>
      <c r="F2547" s="28" t="s">
        <v>35</v>
      </c>
      <c r="G2547" s="28" t="s">
        <v>35</v>
      </c>
      <c r="H2547" s="27" t="s">
        <v>560</v>
      </c>
      <c r="I2547" s="27" t="s">
        <v>560</v>
      </c>
      <c r="J2547" s="29" t="s">
        <v>1930</v>
      </c>
      <c r="K2547" s="29" t="s">
        <v>4051</v>
      </c>
      <c r="L2547" s="29" t="s">
        <v>4052</v>
      </c>
      <c r="M2547" s="29" t="s">
        <v>1550</v>
      </c>
      <c r="N2547" s="29" t="s">
        <v>1045</v>
      </c>
      <c r="O2547" s="29" t="s">
        <v>590</v>
      </c>
    </row>
    <row r="2548" spans="1:15">
      <c r="A2548" s="25">
        <v>12040</v>
      </c>
      <c r="B2548" s="26" t="s">
        <v>4065</v>
      </c>
      <c r="C2548" s="27" t="s">
        <v>521</v>
      </c>
      <c r="D2548" s="27" t="s">
        <v>2317</v>
      </c>
      <c r="E2548" s="28">
        <v>40792</v>
      </c>
      <c r="F2548" s="28" t="s">
        <v>35</v>
      </c>
      <c r="G2548" s="28" t="s">
        <v>35</v>
      </c>
      <c r="H2548" s="27" t="s">
        <v>560</v>
      </c>
      <c r="I2548" s="27" t="s">
        <v>560</v>
      </c>
      <c r="J2548" s="29" t="s">
        <v>1930</v>
      </c>
      <c r="K2548" s="29" t="s">
        <v>4051</v>
      </c>
      <c r="L2548" s="29" t="s">
        <v>4052</v>
      </c>
      <c r="M2548" s="29" t="s">
        <v>2025</v>
      </c>
      <c r="N2548" s="29" t="s">
        <v>2026</v>
      </c>
      <c r="O2548" s="29" t="s">
        <v>590</v>
      </c>
    </row>
    <row r="2549" spans="1:15">
      <c r="A2549" s="25">
        <v>20440</v>
      </c>
      <c r="B2549" s="26" t="s">
        <v>4066</v>
      </c>
      <c r="C2549" s="27" t="s">
        <v>521</v>
      </c>
      <c r="D2549" s="27" t="s">
        <v>1644</v>
      </c>
      <c r="E2549" s="28">
        <v>42634</v>
      </c>
      <c r="F2549" s="28">
        <v>43132</v>
      </c>
      <c r="G2549" s="28">
        <v>43496</v>
      </c>
      <c r="H2549" s="27" t="s">
        <v>560</v>
      </c>
      <c r="I2549" s="27" t="s">
        <v>560</v>
      </c>
      <c r="J2549" s="29" t="s">
        <v>1930</v>
      </c>
      <c r="K2549" s="29" t="s">
        <v>4051</v>
      </c>
      <c r="L2549" s="29" t="s">
        <v>4052</v>
      </c>
      <c r="M2549" s="29" t="s">
        <v>4067</v>
      </c>
      <c r="N2549" s="29" t="s">
        <v>1434</v>
      </c>
      <c r="O2549" s="29" t="s">
        <v>590</v>
      </c>
    </row>
    <row r="2550" spans="1:15">
      <c r="A2550" s="25">
        <v>21561</v>
      </c>
      <c r="B2550" s="34" t="s">
        <v>4068</v>
      </c>
      <c r="C2550" s="31" t="s">
        <v>521</v>
      </c>
      <c r="D2550" s="31" t="s">
        <v>1760</v>
      </c>
      <c r="E2550" s="28">
        <v>43045</v>
      </c>
      <c r="F2550" s="28">
        <v>43435</v>
      </c>
      <c r="G2550" s="28">
        <v>43799</v>
      </c>
      <c r="H2550" s="29" t="s">
        <v>560</v>
      </c>
      <c r="I2550" s="29" t="s">
        <v>560</v>
      </c>
      <c r="J2550" s="29" t="s">
        <v>1930</v>
      </c>
      <c r="K2550" s="29" t="s">
        <v>4051</v>
      </c>
      <c r="L2550" s="29" t="s">
        <v>4052</v>
      </c>
      <c r="M2550" s="29" t="s">
        <v>4069</v>
      </c>
      <c r="N2550" s="29" t="s">
        <v>2031</v>
      </c>
      <c r="O2550" s="29" t="s">
        <v>590</v>
      </c>
    </row>
    <row r="2551" spans="1:15">
      <c r="A2551" s="25">
        <v>21782</v>
      </c>
      <c r="B2551" s="34" t="s">
        <v>4070</v>
      </c>
      <c r="C2551" s="31" t="s">
        <v>521</v>
      </c>
      <c r="D2551" s="31" t="s">
        <v>1609</v>
      </c>
      <c r="E2551" s="28">
        <v>43090</v>
      </c>
      <c r="F2551" s="28">
        <v>43121</v>
      </c>
      <c r="G2551" s="28">
        <v>43496</v>
      </c>
      <c r="H2551" s="29" t="s">
        <v>560</v>
      </c>
      <c r="I2551" s="29" t="s">
        <v>560</v>
      </c>
      <c r="J2551" s="29" t="s">
        <v>1930</v>
      </c>
      <c r="K2551" s="29" t="s">
        <v>4051</v>
      </c>
      <c r="L2551" s="29" t="s">
        <v>4052</v>
      </c>
      <c r="M2551" s="29" t="s">
        <v>4071</v>
      </c>
      <c r="N2551" s="29" t="s">
        <v>1434</v>
      </c>
      <c r="O2551" s="29" t="s">
        <v>590</v>
      </c>
    </row>
    <row r="2552" spans="1:15">
      <c r="A2552" s="25">
        <v>21835</v>
      </c>
      <c r="B2552" s="34" t="s">
        <v>4072</v>
      </c>
      <c r="C2552" s="31" t="s">
        <v>521</v>
      </c>
      <c r="D2552" s="31" t="s">
        <v>732</v>
      </c>
      <c r="E2552" s="28">
        <v>43098</v>
      </c>
      <c r="F2552" s="28">
        <v>43129</v>
      </c>
      <c r="G2552" s="28">
        <v>43496</v>
      </c>
      <c r="H2552" s="29" t="s">
        <v>560</v>
      </c>
      <c r="I2552" s="29" t="s">
        <v>560</v>
      </c>
      <c r="J2552" s="29" t="s">
        <v>1930</v>
      </c>
      <c r="K2552" s="29" t="s">
        <v>4051</v>
      </c>
      <c r="L2552" s="29" t="s">
        <v>4052</v>
      </c>
      <c r="M2552" s="29" t="s">
        <v>4073</v>
      </c>
      <c r="N2552" s="29" t="s">
        <v>1434</v>
      </c>
      <c r="O2552" s="29" t="s">
        <v>590</v>
      </c>
    </row>
    <row r="2553" spans="1:15">
      <c r="A2553" s="25">
        <v>22100</v>
      </c>
      <c r="B2553" s="34" t="s">
        <v>4074</v>
      </c>
      <c r="C2553" s="31" t="s">
        <v>521</v>
      </c>
      <c r="D2553" s="31" t="s">
        <v>769</v>
      </c>
      <c r="E2553" s="28">
        <v>43150</v>
      </c>
      <c r="F2553" s="28">
        <v>43178</v>
      </c>
      <c r="G2553" s="28">
        <v>43555</v>
      </c>
      <c r="H2553" s="29" t="s">
        <v>560</v>
      </c>
      <c r="I2553" s="29" t="s">
        <v>560</v>
      </c>
      <c r="J2553" s="29" t="s">
        <v>1930</v>
      </c>
      <c r="K2553" s="29" t="s">
        <v>4051</v>
      </c>
      <c r="L2553" s="29" t="s">
        <v>4052</v>
      </c>
      <c r="M2553" s="29" t="s">
        <v>4075</v>
      </c>
      <c r="N2553" s="29" t="s">
        <v>2041</v>
      </c>
      <c r="O2553" s="29" t="s">
        <v>590</v>
      </c>
    </row>
    <row r="2554" spans="1:15">
      <c r="A2554" s="25">
        <v>22910</v>
      </c>
      <c r="B2554" s="34" t="s">
        <v>4076</v>
      </c>
      <c r="C2554" s="31" t="s">
        <v>521</v>
      </c>
      <c r="D2554" s="31" t="s">
        <v>1962</v>
      </c>
      <c r="E2554" s="28">
        <v>43343</v>
      </c>
      <c r="F2554" s="28">
        <v>43374</v>
      </c>
      <c r="G2554" s="28">
        <v>43738</v>
      </c>
      <c r="H2554" s="29" t="s">
        <v>560</v>
      </c>
      <c r="I2554" s="29" t="s">
        <v>560</v>
      </c>
      <c r="J2554" s="29" t="s">
        <v>1930</v>
      </c>
      <c r="K2554" s="29" t="s">
        <v>4051</v>
      </c>
      <c r="L2554" s="29" t="s">
        <v>4052</v>
      </c>
      <c r="M2554" s="29" t="s">
        <v>2079</v>
      </c>
      <c r="N2554" s="29" t="s">
        <v>2080</v>
      </c>
      <c r="O2554" s="29" t="s">
        <v>590</v>
      </c>
    </row>
    <row r="2555" spans="1:15">
      <c r="A2555" s="25">
        <v>23328</v>
      </c>
      <c r="B2555" s="34" t="s">
        <v>4077</v>
      </c>
      <c r="C2555" s="31" t="s">
        <v>521</v>
      </c>
      <c r="D2555" s="31" t="s">
        <v>1527</v>
      </c>
      <c r="E2555" s="28">
        <v>43427</v>
      </c>
      <c r="F2555" s="28">
        <v>43457</v>
      </c>
      <c r="G2555" s="28">
        <v>43830</v>
      </c>
      <c r="H2555" s="29" t="s">
        <v>560</v>
      </c>
      <c r="I2555" s="29" t="s">
        <v>560</v>
      </c>
      <c r="J2555" s="29" t="s">
        <v>1930</v>
      </c>
      <c r="K2555" s="29" t="s">
        <v>4051</v>
      </c>
      <c r="L2555" s="29" t="s">
        <v>4052</v>
      </c>
      <c r="M2555" s="29" t="s">
        <v>4078</v>
      </c>
      <c r="N2555" s="29" t="s">
        <v>1586</v>
      </c>
      <c r="O2555" s="29" t="s">
        <v>590</v>
      </c>
    </row>
    <row r="2556" spans="1:15">
      <c r="A2556" s="25">
        <v>23437</v>
      </c>
      <c r="B2556" s="34" t="s">
        <v>4079</v>
      </c>
      <c r="C2556" s="31" t="s">
        <v>521</v>
      </c>
      <c r="D2556" s="31" t="s">
        <v>882</v>
      </c>
      <c r="E2556" s="28">
        <v>43434</v>
      </c>
      <c r="F2556" s="28">
        <v>43464</v>
      </c>
      <c r="G2556" s="28">
        <v>43830</v>
      </c>
      <c r="H2556" s="29" t="s">
        <v>560</v>
      </c>
      <c r="I2556" s="29" t="s">
        <v>560</v>
      </c>
      <c r="J2556" s="29" t="s">
        <v>1930</v>
      </c>
      <c r="K2556" s="29" t="s">
        <v>4051</v>
      </c>
      <c r="L2556" s="29" t="s">
        <v>4052</v>
      </c>
      <c r="M2556" s="29" t="s">
        <v>2643</v>
      </c>
      <c r="N2556" s="29" t="s">
        <v>1586</v>
      </c>
      <c r="O2556" s="29" t="s">
        <v>590</v>
      </c>
    </row>
    <row r="2557" spans="1:15">
      <c r="A2557" s="25">
        <v>23489</v>
      </c>
      <c r="B2557" s="34" t="s">
        <v>4080</v>
      </c>
      <c r="C2557" s="31" t="s">
        <v>521</v>
      </c>
      <c r="D2557" s="31" t="s">
        <v>1588</v>
      </c>
      <c r="E2557" s="28">
        <v>43441</v>
      </c>
      <c r="F2557" s="28">
        <v>43472</v>
      </c>
      <c r="G2557" s="28">
        <v>43830</v>
      </c>
      <c r="H2557" s="29" t="s">
        <v>560</v>
      </c>
      <c r="I2557" s="29" t="s">
        <v>560</v>
      </c>
      <c r="J2557" s="29" t="s">
        <v>1930</v>
      </c>
      <c r="K2557" s="29" t="s">
        <v>4051</v>
      </c>
      <c r="L2557" s="29" t="s">
        <v>4081</v>
      </c>
      <c r="M2557" s="29" t="s">
        <v>1593</v>
      </c>
      <c r="N2557" s="29" t="s">
        <v>1586</v>
      </c>
      <c r="O2557" s="29" t="s">
        <v>594</v>
      </c>
    </row>
    <row r="2558" spans="1:15">
      <c r="A2558" s="25">
        <v>23492</v>
      </c>
      <c r="B2558" s="34" t="s">
        <v>4082</v>
      </c>
      <c r="C2558" s="31" t="s">
        <v>521</v>
      </c>
      <c r="D2558" s="31" t="s">
        <v>1588</v>
      </c>
      <c r="E2558" s="28">
        <v>43441</v>
      </c>
      <c r="F2558" s="28">
        <v>43472</v>
      </c>
      <c r="G2558" s="28">
        <v>43830</v>
      </c>
      <c r="H2558" s="29" t="s">
        <v>560</v>
      </c>
      <c r="I2558" s="29" t="s">
        <v>560</v>
      </c>
      <c r="J2558" s="29" t="s">
        <v>1930</v>
      </c>
      <c r="K2558" s="29" t="s">
        <v>4051</v>
      </c>
      <c r="L2558" s="29" t="s">
        <v>4081</v>
      </c>
      <c r="M2558" s="29" t="s">
        <v>1593</v>
      </c>
      <c r="N2558" s="29" t="s">
        <v>1586</v>
      </c>
      <c r="O2558" s="29" t="s">
        <v>590</v>
      </c>
    </row>
    <row r="2559" spans="1:15">
      <c r="A2559" s="25">
        <v>8636</v>
      </c>
      <c r="B2559" s="26" t="s">
        <v>4083</v>
      </c>
      <c r="C2559" s="27" t="s">
        <v>521</v>
      </c>
      <c r="D2559" s="27" t="s">
        <v>1493</v>
      </c>
      <c r="E2559" s="28">
        <v>39878</v>
      </c>
      <c r="F2559" s="28" t="s">
        <v>35</v>
      </c>
      <c r="G2559" s="28" t="s">
        <v>35</v>
      </c>
      <c r="H2559" s="27" t="s">
        <v>560</v>
      </c>
      <c r="I2559" s="27" t="s">
        <v>560</v>
      </c>
      <c r="J2559" s="29" t="s">
        <v>1654</v>
      </c>
      <c r="K2559" s="29" t="s">
        <v>1800</v>
      </c>
      <c r="L2559" s="29" t="s">
        <v>4084</v>
      </c>
      <c r="M2559" s="29" t="s">
        <v>1550</v>
      </c>
      <c r="N2559" s="29" t="s">
        <v>1045</v>
      </c>
      <c r="O2559" s="29" t="s">
        <v>594</v>
      </c>
    </row>
    <row r="2560" spans="1:15">
      <c r="A2560" s="25">
        <v>9571</v>
      </c>
      <c r="B2560" s="26" t="s">
        <v>4085</v>
      </c>
      <c r="C2560" s="27" t="s">
        <v>521</v>
      </c>
      <c r="D2560" s="27" t="s">
        <v>810</v>
      </c>
      <c r="E2560" s="28">
        <v>40179</v>
      </c>
      <c r="F2560" s="28" t="s">
        <v>35</v>
      </c>
      <c r="G2560" s="28" t="s">
        <v>35</v>
      </c>
      <c r="H2560" s="29" t="s">
        <v>560</v>
      </c>
      <c r="I2560" s="29" t="s">
        <v>560</v>
      </c>
      <c r="J2560" s="29" t="s">
        <v>1654</v>
      </c>
      <c r="K2560" s="29" t="s">
        <v>1800</v>
      </c>
      <c r="L2560" s="29" t="s">
        <v>4084</v>
      </c>
      <c r="M2560" s="29" t="s">
        <v>4086</v>
      </c>
      <c r="N2560" s="29" t="s">
        <v>2023</v>
      </c>
      <c r="O2560" s="29" t="s">
        <v>594</v>
      </c>
    </row>
    <row r="2561" spans="1:15">
      <c r="A2561" s="25">
        <v>10366</v>
      </c>
      <c r="B2561" s="26" t="s">
        <v>4087</v>
      </c>
      <c r="C2561" s="27" t="s">
        <v>521</v>
      </c>
      <c r="D2561" s="27" t="s">
        <v>1497</v>
      </c>
      <c r="E2561" s="28">
        <v>40513</v>
      </c>
      <c r="F2561" s="28" t="s">
        <v>35</v>
      </c>
      <c r="G2561" s="28" t="s">
        <v>35</v>
      </c>
      <c r="H2561" s="29" t="s">
        <v>560</v>
      </c>
      <c r="I2561" s="29" t="s">
        <v>560</v>
      </c>
      <c r="J2561" s="29" t="s">
        <v>1654</v>
      </c>
      <c r="K2561" s="29" t="s">
        <v>1800</v>
      </c>
      <c r="L2561" s="29" t="s">
        <v>4084</v>
      </c>
      <c r="M2561" s="29" t="s">
        <v>2025</v>
      </c>
      <c r="N2561" s="29" t="s">
        <v>2026</v>
      </c>
      <c r="O2561" s="29" t="s">
        <v>594</v>
      </c>
    </row>
    <row r="2562" spans="1:15">
      <c r="A2562" s="25">
        <v>11368</v>
      </c>
      <c r="B2562" s="26" t="s">
        <v>4088</v>
      </c>
      <c r="C2562" s="27" t="s">
        <v>521</v>
      </c>
      <c r="D2562" s="27" t="s">
        <v>1639</v>
      </c>
      <c r="E2562" s="28">
        <v>40696</v>
      </c>
      <c r="F2562" s="28" t="s">
        <v>35</v>
      </c>
      <c r="G2562" s="28" t="s">
        <v>35</v>
      </c>
      <c r="H2562" s="27" t="s">
        <v>560</v>
      </c>
      <c r="I2562" s="27" t="s">
        <v>560</v>
      </c>
      <c r="J2562" s="27" t="s">
        <v>1654</v>
      </c>
      <c r="K2562" s="27" t="s">
        <v>1800</v>
      </c>
      <c r="L2562" s="27" t="s">
        <v>4084</v>
      </c>
      <c r="M2562" s="29" t="s">
        <v>4089</v>
      </c>
      <c r="N2562" s="29" t="s">
        <v>2041</v>
      </c>
      <c r="O2562" s="29" t="s">
        <v>594</v>
      </c>
    </row>
    <row r="2563" spans="1:15">
      <c r="A2563" s="25">
        <v>11959</v>
      </c>
      <c r="B2563" s="26" t="s">
        <v>4090</v>
      </c>
      <c r="C2563" s="27" t="s">
        <v>521</v>
      </c>
      <c r="D2563" s="27" t="s">
        <v>699</v>
      </c>
      <c r="E2563" s="28">
        <v>40770</v>
      </c>
      <c r="F2563" s="28" t="s">
        <v>35</v>
      </c>
      <c r="G2563" s="28" t="s">
        <v>35</v>
      </c>
      <c r="H2563" s="27" t="s">
        <v>560</v>
      </c>
      <c r="I2563" s="27" t="s">
        <v>560</v>
      </c>
      <c r="J2563" s="29" t="s">
        <v>1654</v>
      </c>
      <c r="K2563" s="29" t="s">
        <v>1800</v>
      </c>
      <c r="L2563" s="29" t="s">
        <v>4084</v>
      </c>
      <c r="M2563" s="29" t="s">
        <v>4091</v>
      </c>
      <c r="N2563" s="29" t="s">
        <v>2041</v>
      </c>
      <c r="O2563" s="29" t="s">
        <v>594</v>
      </c>
    </row>
    <row r="2564" spans="1:15">
      <c r="A2564" s="25">
        <v>12670</v>
      </c>
      <c r="B2564" s="26" t="s">
        <v>4092</v>
      </c>
      <c r="C2564" s="27" t="s">
        <v>521</v>
      </c>
      <c r="D2564" s="27" t="s">
        <v>1739</v>
      </c>
      <c r="E2564" s="28">
        <v>40819</v>
      </c>
      <c r="F2564" s="28" t="s">
        <v>35</v>
      </c>
      <c r="G2564" s="28" t="s">
        <v>35</v>
      </c>
      <c r="H2564" s="27" t="s">
        <v>560</v>
      </c>
      <c r="I2564" s="27" t="s">
        <v>560</v>
      </c>
      <c r="J2564" s="27" t="s">
        <v>1654</v>
      </c>
      <c r="K2564" s="27" t="s">
        <v>1800</v>
      </c>
      <c r="L2564" s="27" t="s">
        <v>4084</v>
      </c>
      <c r="M2564" s="29" t="s">
        <v>4093</v>
      </c>
      <c r="N2564" s="29" t="s">
        <v>2041</v>
      </c>
      <c r="O2564" s="29" t="s">
        <v>594</v>
      </c>
    </row>
    <row r="2565" spans="1:15">
      <c r="A2565" s="25">
        <v>20460</v>
      </c>
      <c r="B2565" s="26" t="s">
        <v>4094</v>
      </c>
      <c r="C2565" s="27" t="s">
        <v>521</v>
      </c>
      <c r="D2565" s="27" t="s">
        <v>1644</v>
      </c>
      <c r="E2565" s="28">
        <v>42634</v>
      </c>
      <c r="F2565" s="28">
        <v>43132</v>
      </c>
      <c r="G2565" s="28">
        <v>43496</v>
      </c>
      <c r="H2565" s="25" t="s">
        <v>560</v>
      </c>
      <c r="I2565" s="27" t="s">
        <v>560</v>
      </c>
      <c r="J2565" s="31" t="s">
        <v>1654</v>
      </c>
      <c r="K2565" s="27" t="s">
        <v>1800</v>
      </c>
      <c r="L2565" s="27" t="s">
        <v>4084</v>
      </c>
      <c r="M2565" s="29" t="s">
        <v>4095</v>
      </c>
      <c r="N2565" s="29" t="s">
        <v>2041</v>
      </c>
      <c r="O2565" s="29" t="s">
        <v>594</v>
      </c>
    </row>
    <row r="2566" spans="1:15">
      <c r="A2566" s="25">
        <v>22031</v>
      </c>
      <c r="B2566" s="34" t="s">
        <v>4096</v>
      </c>
      <c r="C2566" s="31" t="s">
        <v>521</v>
      </c>
      <c r="D2566" s="31" t="s">
        <v>631</v>
      </c>
      <c r="E2566" s="28">
        <v>43144</v>
      </c>
      <c r="F2566" s="28">
        <v>43172</v>
      </c>
      <c r="G2566" s="28">
        <v>43524</v>
      </c>
      <c r="H2566" s="29" t="s">
        <v>560</v>
      </c>
      <c r="I2566" s="29" t="s">
        <v>560</v>
      </c>
      <c r="J2566" s="29" t="s">
        <v>1654</v>
      </c>
      <c r="K2566" s="29" t="s">
        <v>1800</v>
      </c>
      <c r="L2566" s="29" t="s">
        <v>4084</v>
      </c>
      <c r="M2566" s="29" t="s">
        <v>4097</v>
      </c>
      <c r="N2566" s="29" t="s">
        <v>2041</v>
      </c>
      <c r="O2566" s="29" t="s">
        <v>594</v>
      </c>
    </row>
    <row r="2567" spans="1:15">
      <c r="A2567" s="25">
        <v>22370</v>
      </c>
      <c r="B2567" s="34" t="s">
        <v>4098</v>
      </c>
      <c r="C2567" s="31" t="s">
        <v>521</v>
      </c>
      <c r="D2567" s="31" t="s">
        <v>805</v>
      </c>
      <c r="E2567" s="28">
        <v>43213</v>
      </c>
      <c r="F2567" s="28">
        <v>43243</v>
      </c>
      <c r="G2567" s="28">
        <v>43616</v>
      </c>
      <c r="H2567" s="29" t="s">
        <v>560</v>
      </c>
      <c r="I2567" s="29" t="s">
        <v>560</v>
      </c>
      <c r="J2567" s="29" t="s">
        <v>1654</v>
      </c>
      <c r="K2567" s="29" t="s">
        <v>1800</v>
      </c>
      <c r="L2567" s="29" t="s">
        <v>4084</v>
      </c>
      <c r="M2567" s="29" t="s">
        <v>4099</v>
      </c>
      <c r="N2567" s="29" t="s">
        <v>2041</v>
      </c>
      <c r="O2567" s="29" t="s">
        <v>594</v>
      </c>
    </row>
    <row r="2568" spans="1:15">
      <c r="A2568" s="25">
        <v>22727</v>
      </c>
      <c r="B2568" s="34" t="s">
        <v>4100</v>
      </c>
      <c r="C2568" s="31" t="s">
        <v>521</v>
      </c>
      <c r="D2568" s="31" t="s">
        <v>771</v>
      </c>
      <c r="E2568" s="28">
        <v>43255</v>
      </c>
      <c r="F2568" s="28">
        <v>43285</v>
      </c>
      <c r="G2568" s="28">
        <v>43646</v>
      </c>
      <c r="H2568" s="27" t="s">
        <v>560</v>
      </c>
      <c r="I2568" s="27" t="s">
        <v>560</v>
      </c>
      <c r="J2568" s="29" t="s">
        <v>1654</v>
      </c>
      <c r="K2568" s="29" t="s">
        <v>1800</v>
      </c>
      <c r="L2568" s="29" t="s">
        <v>4084</v>
      </c>
      <c r="M2568" s="29" t="s">
        <v>4101</v>
      </c>
      <c r="N2568" s="29" t="s">
        <v>2023</v>
      </c>
      <c r="O2568" s="29" t="s">
        <v>594</v>
      </c>
    </row>
    <row r="2569" spans="1:15">
      <c r="A2569" s="25">
        <v>22879</v>
      </c>
      <c r="B2569" s="34" t="s">
        <v>4102</v>
      </c>
      <c r="C2569" s="31" t="s">
        <v>521</v>
      </c>
      <c r="D2569" s="31" t="s">
        <v>775</v>
      </c>
      <c r="E2569" s="28">
        <v>43333</v>
      </c>
      <c r="F2569" s="28">
        <v>43364</v>
      </c>
      <c r="G2569" s="28">
        <v>43738</v>
      </c>
      <c r="H2569" s="29" t="s">
        <v>560</v>
      </c>
      <c r="I2569" s="29" t="s">
        <v>560</v>
      </c>
      <c r="J2569" s="29" t="s">
        <v>1654</v>
      </c>
      <c r="K2569" s="29" t="s">
        <v>1800</v>
      </c>
      <c r="L2569" s="29" t="s">
        <v>4084</v>
      </c>
      <c r="M2569" s="29" t="s">
        <v>4103</v>
      </c>
      <c r="N2569" s="29" t="s">
        <v>2023</v>
      </c>
      <c r="O2569" s="29" t="s">
        <v>594</v>
      </c>
    </row>
    <row r="2570" spans="1:15">
      <c r="A2570" s="25">
        <v>22888</v>
      </c>
      <c r="B2570" s="34" t="s">
        <v>4104</v>
      </c>
      <c r="C2570" s="31" t="s">
        <v>521</v>
      </c>
      <c r="D2570" s="31" t="s">
        <v>775</v>
      </c>
      <c r="E2570" s="28">
        <v>43333</v>
      </c>
      <c r="F2570" s="28">
        <v>43364</v>
      </c>
      <c r="G2570" s="28">
        <v>43738</v>
      </c>
      <c r="H2570" s="29" t="s">
        <v>560</v>
      </c>
      <c r="I2570" s="29" t="s">
        <v>560</v>
      </c>
      <c r="J2570" s="29" t="s">
        <v>1654</v>
      </c>
      <c r="K2570" s="29" t="s">
        <v>1800</v>
      </c>
      <c r="L2570" s="29" t="s">
        <v>4084</v>
      </c>
      <c r="M2570" s="29" t="s">
        <v>4105</v>
      </c>
      <c r="N2570" s="29" t="s">
        <v>2041</v>
      </c>
      <c r="O2570" s="29" t="s">
        <v>594</v>
      </c>
    </row>
    <row r="2571" spans="1:15">
      <c r="A2571" s="25">
        <v>23276</v>
      </c>
      <c r="B2571" s="34" t="s">
        <v>4106</v>
      </c>
      <c r="C2571" s="31" t="s">
        <v>521</v>
      </c>
      <c r="D2571" s="31" t="s">
        <v>1582</v>
      </c>
      <c r="E2571" s="28">
        <v>43421</v>
      </c>
      <c r="F2571" s="28">
        <v>43451</v>
      </c>
      <c r="G2571" s="28">
        <v>43830</v>
      </c>
      <c r="H2571" s="29" t="s">
        <v>560</v>
      </c>
      <c r="I2571" s="29" t="s">
        <v>560</v>
      </c>
      <c r="J2571" s="29" t="s">
        <v>1654</v>
      </c>
      <c r="K2571" s="29" t="s">
        <v>1800</v>
      </c>
      <c r="L2571" s="29" t="s">
        <v>4084</v>
      </c>
      <c r="M2571" s="29" t="s">
        <v>2079</v>
      </c>
      <c r="N2571" s="29" t="s">
        <v>2080</v>
      </c>
      <c r="O2571" s="29" t="s">
        <v>594</v>
      </c>
    </row>
    <row r="2572" spans="1:15">
      <c r="A2572" s="25">
        <v>23415</v>
      </c>
      <c r="B2572" s="34" t="s">
        <v>4107</v>
      </c>
      <c r="C2572" s="31" t="s">
        <v>521</v>
      </c>
      <c r="D2572" s="31" t="s">
        <v>882</v>
      </c>
      <c r="E2572" s="28">
        <v>43434</v>
      </c>
      <c r="F2572" s="28">
        <v>43464</v>
      </c>
      <c r="G2572" s="28">
        <v>43830</v>
      </c>
      <c r="H2572" s="29" t="s">
        <v>560</v>
      </c>
      <c r="I2572" s="29" t="s">
        <v>560</v>
      </c>
      <c r="J2572" s="29" t="s">
        <v>1654</v>
      </c>
      <c r="K2572" s="29" t="s">
        <v>1800</v>
      </c>
      <c r="L2572" s="29" t="s">
        <v>4084</v>
      </c>
      <c r="M2572" s="29" t="s">
        <v>4108</v>
      </c>
      <c r="N2572" s="29" t="s">
        <v>2041</v>
      </c>
      <c r="O2572" s="29" t="s">
        <v>594</v>
      </c>
    </row>
    <row r="2573" spans="1:15">
      <c r="A2573" s="25" t="s">
        <v>4109</v>
      </c>
      <c r="B2573" s="34" t="s">
        <v>4110</v>
      </c>
      <c r="C2573" s="31" t="s">
        <v>521</v>
      </c>
      <c r="D2573" s="31" t="s">
        <v>892</v>
      </c>
      <c r="E2573" s="28">
        <v>43467</v>
      </c>
      <c r="F2573" s="28">
        <v>43467</v>
      </c>
      <c r="G2573" s="28">
        <v>43497</v>
      </c>
      <c r="H2573" s="29" t="s">
        <v>560</v>
      </c>
      <c r="I2573" s="29" t="s">
        <v>560</v>
      </c>
      <c r="J2573" s="29" t="s">
        <v>1654</v>
      </c>
      <c r="K2573" s="29" t="s">
        <v>1800</v>
      </c>
      <c r="L2573" s="29" t="s">
        <v>4084</v>
      </c>
      <c r="M2573" s="29" t="s">
        <v>1593</v>
      </c>
      <c r="N2573" s="29" t="s">
        <v>1586</v>
      </c>
      <c r="O2573" s="29" t="s">
        <v>594</v>
      </c>
    </row>
    <row r="2574" spans="1:15">
      <c r="A2574" s="25">
        <v>1236</v>
      </c>
      <c r="B2574" s="26" t="s">
        <v>4111</v>
      </c>
      <c r="C2574" s="27" t="s">
        <v>521</v>
      </c>
      <c r="D2574" s="27" t="s">
        <v>1487</v>
      </c>
      <c r="E2574" s="28">
        <v>37914</v>
      </c>
      <c r="F2574" s="28" t="s">
        <v>35</v>
      </c>
      <c r="G2574" s="28" t="s">
        <v>35</v>
      </c>
      <c r="H2574" s="29" t="s">
        <v>560</v>
      </c>
      <c r="I2574" s="29" t="s">
        <v>560</v>
      </c>
      <c r="J2574" s="29" t="s">
        <v>1654</v>
      </c>
      <c r="K2574" s="29" t="s">
        <v>1800</v>
      </c>
      <c r="L2574" s="29" t="s">
        <v>4084</v>
      </c>
      <c r="M2574" s="29" t="s">
        <v>4112</v>
      </c>
      <c r="N2574" s="29" t="s">
        <v>2023</v>
      </c>
      <c r="O2574" s="29" t="s">
        <v>590</v>
      </c>
    </row>
    <row r="2575" spans="1:15">
      <c r="A2575" s="25">
        <v>5506</v>
      </c>
      <c r="B2575" s="34" t="s">
        <v>2927</v>
      </c>
      <c r="C2575" s="31" t="s">
        <v>521</v>
      </c>
      <c r="D2575" s="31" t="s">
        <v>792</v>
      </c>
      <c r="E2575" s="28">
        <v>39022</v>
      </c>
      <c r="F2575" s="28" t="s">
        <v>35</v>
      </c>
      <c r="G2575" s="28" t="s">
        <v>35</v>
      </c>
      <c r="H2575" s="29" t="s">
        <v>560</v>
      </c>
      <c r="I2575" s="29" t="s">
        <v>560</v>
      </c>
      <c r="J2575" s="29" t="s">
        <v>1654</v>
      </c>
      <c r="K2575" s="29" t="s">
        <v>1800</v>
      </c>
      <c r="L2575" s="29" t="s">
        <v>4084</v>
      </c>
      <c r="M2575" s="29" t="s">
        <v>4113</v>
      </c>
      <c r="N2575" s="29" t="s">
        <v>2041</v>
      </c>
      <c r="O2575" s="29" t="s">
        <v>590</v>
      </c>
    </row>
    <row r="2576" spans="1:15">
      <c r="A2576" s="25">
        <v>8951</v>
      </c>
      <c r="B2576" s="26" t="s">
        <v>4114</v>
      </c>
      <c r="C2576" s="27" t="s">
        <v>521</v>
      </c>
      <c r="D2576" s="27" t="s">
        <v>3898</v>
      </c>
      <c r="E2576" s="28">
        <v>39968</v>
      </c>
      <c r="F2576" s="28" t="s">
        <v>35</v>
      </c>
      <c r="G2576" s="28" t="s">
        <v>35</v>
      </c>
      <c r="H2576" s="27" t="s">
        <v>560</v>
      </c>
      <c r="I2576" s="27" t="s">
        <v>560</v>
      </c>
      <c r="J2576" s="27" t="s">
        <v>1654</v>
      </c>
      <c r="K2576" s="27" t="s">
        <v>1800</v>
      </c>
      <c r="L2576" s="27" t="s">
        <v>4084</v>
      </c>
      <c r="M2576" s="29" t="s">
        <v>2025</v>
      </c>
      <c r="N2576" s="29" t="s">
        <v>2026</v>
      </c>
      <c r="O2576" s="29" t="s">
        <v>590</v>
      </c>
    </row>
    <row r="2577" spans="1:15">
      <c r="A2577" s="25">
        <v>10102</v>
      </c>
      <c r="B2577" s="26" t="s">
        <v>4115</v>
      </c>
      <c r="C2577" s="27" t="s">
        <v>521</v>
      </c>
      <c r="D2577" s="27" t="s">
        <v>601</v>
      </c>
      <c r="E2577" s="28">
        <v>40444</v>
      </c>
      <c r="F2577" s="28" t="s">
        <v>35</v>
      </c>
      <c r="G2577" s="28" t="s">
        <v>35</v>
      </c>
      <c r="H2577" s="27" t="s">
        <v>560</v>
      </c>
      <c r="I2577" s="27" t="s">
        <v>560</v>
      </c>
      <c r="J2577" s="29" t="s">
        <v>1654</v>
      </c>
      <c r="K2577" s="29" t="s">
        <v>1800</v>
      </c>
      <c r="L2577" s="29" t="s">
        <v>4084</v>
      </c>
      <c r="M2577" s="29" t="s">
        <v>1550</v>
      </c>
      <c r="N2577" s="29" t="s">
        <v>1045</v>
      </c>
      <c r="O2577" s="29" t="s">
        <v>590</v>
      </c>
    </row>
    <row r="2578" spans="1:15">
      <c r="A2578" s="25">
        <v>20528</v>
      </c>
      <c r="B2578" s="26" t="s">
        <v>4116</v>
      </c>
      <c r="C2578" s="27" t="s">
        <v>521</v>
      </c>
      <c r="D2578" s="27" t="s">
        <v>1644</v>
      </c>
      <c r="E2578" s="28">
        <v>42634</v>
      </c>
      <c r="F2578" s="28">
        <v>43132</v>
      </c>
      <c r="G2578" s="28">
        <v>43496</v>
      </c>
      <c r="H2578" s="27" t="s">
        <v>560</v>
      </c>
      <c r="I2578" s="27" t="s">
        <v>560</v>
      </c>
      <c r="J2578" s="29" t="s">
        <v>1654</v>
      </c>
      <c r="K2578" s="29" t="s">
        <v>1800</v>
      </c>
      <c r="L2578" s="29" t="s">
        <v>4084</v>
      </c>
      <c r="M2578" s="29" t="s">
        <v>2079</v>
      </c>
      <c r="N2578" s="29" t="s">
        <v>2080</v>
      </c>
      <c r="O2578" s="29" t="s">
        <v>590</v>
      </c>
    </row>
    <row r="2579" spans="1:15">
      <c r="A2579" s="25">
        <v>20762</v>
      </c>
      <c r="B2579" s="26" t="s">
        <v>4117</v>
      </c>
      <c r="C2579" s="27" t="s">
        <v>521</v>
      </c>
      <c r="D2579" s="27" t="s">
        <v>815</v>
      </c>
      <c r="E2579" s="28">
        <v>42642</v>
      </c>
      <c r="F2579" s="28">
        <v>43132</v>
      </c>
      <c r="G2579" s="28">
        <v>43496</v>
      </c>
      <c r="H2579" s="25" t="s">
        <v>560</v>
      </c>
      <c r="I2579" s="27" t="s">
        <v>560</v>
      </c>
      <c r="J2579" s="29" t="s">
        <v>1654</v>
      </c>
      <c r="K2579" s="29" t="s">
        <v>1800</v>
      </c>
      <c r="L2579" s="29" t="s">
        <v>4084</v>
      </c>
      <c r="M2579" s="29" t="s">
        <v>4112</v>
      </c>
      <c r="N2579" s="29" t="s">
        <v>2023</v>
      </c>
      <c r="O2579" s="29" t="s">
        <v>590</v>
      </c>
    </row>
    <row r="2580" spans="1:15">
      <c r="A2580" s="25">
        <v>20952</v>
      </c>
      <c r="B2580" s="26" t="s">
        <v>4118</v>
      </c>
      <c r="C2580" s="27" t="s">
        <v>521</v>
      </c>
      <c r="D2580" s="27" t="s">
        <v>1149</v>
      </c>
      <c r="E2580" s="28">
        <v>42667</v>
      </c>
      <c r="F2580" s="28">
        <v>43160</v>
      </c>
      <c r="G2580" s="28">
        <v>43524</v>
      </c>
      <c r="H2580" s="27" t="s">
        <v>560</v>
      </c>
      <c r="I2580" s="27" t="s">
        <v>560</v>
      </c>
      <c r="J2580" s="29" t="s">
        <v>1654</v>
      </c>
      <c r="K2580" s="29" t="s">
        <v>1800</v>
      </c>
      <c r="L2580" s="29" t="s">
        <v>4084</v>
      </c>
      <c r="M2580" s="29" t="s">
        <v>4097</v>
      </c>
      <c r="N2580" s="29" t="s">
        <v>2041</v>
      </c>
      <c r="O2580" s="29" t="s">
        <v>590</v>
      </c>
    </row>
    <row r="2581" spans="1:15">
      <c r="A2581" s="25">
        <v>21458</v>
      </c>
      <c r="B2581" s="34" t="s">
        <v>4119</v>
      </c>
      <c r="C2581" s="31" t="s">
        <v>521</v>
      </c>
      <c r="D2581" s="31" t="s">
        <v>2166</v>
      </c>
      <c r="E2581" s="28">
        <v>43024</v>
      </c>
      <c r="F2581" s="28">
        <v>43435</v>
      </c>
      <c r="G2581" s="28">
        <v>43799</v>
      </c>
      <c r="H2581" s="29" t="s">
        <v>560</v>
      </c>
      <c r="I2581" s="29" t="s">
        <v>560</v>
      </c>
      <c r="J2581" s="29" t="s">
        <v>1654</v>
      </c>
      <c r="K2581" s="29" t="s">
        <v>1800</v>
      </c>
      <c r="L2581" s="29" t="s">
        <v>4084</v>
      </c>
      <c r="M2581" s="29" t="s">
        <v>4091</v>
      </c>
      <c r="N2581" s="29" t="s">
        <v>2041</v>
      </c>
      <c r="O2581" s="29" t="s">
        <v>590</v>
      </c>
    </row>
    <row r="2582" spans="1:15">
      <c r="A2582" s="25">
        <v>21839</v>
      </c>
      <c r="B2582" s="34" t="s">
        <v>4120</v>
      </c>
      <c r="C2582" s="31" t="s">
        <v>521</v>
      </c>
      <c r="D2582" s="31" t="s">
        <v>732</v>
      </c>
      <c r="E2582" s="28">
        <v>43098</v>
      </c>
      <c r="F2582" s="28">
        <v>43129</v>
      </c>
      <c r="G2582" s="28">
        <v>43496</v>
      </c>
      <c r="H2582" s="29" t="s">
        <v>560</v>
      </c>
      <c r="I2582" s="29" t="s">
        <v>560</v>
      </c>
      <c r="J2582" s="29" t="s">
        <v>1654</v>
      </c>
      <c r="K2582" s="29" t="s">
        <v>1800</v>
      </c>
      <c r="L2582" s="29" t="s">
        <v>4084</v>
      </c>
      <c r="M2582" s="29" t="s">
        <v>4089</v>
      </c>
      <c r="N2582" s="29" t="s">
        <v>2041</v>
      </c>
      <c r="O2582" s="29" t="s">
        <v>590</v>
      </c>
    </row>
    <row r="2583" spans="1:15">
      <c r="A2583" s="25">
        <v>22017</v>
      </c>
      <c r="B2583" s="34" t="s">
        <v>4121</v>
      </c>
      <c r="C2583" s="31" t="s">
        <v>521</v>
      </c>
      <c r="D2583" s="31" t="s">
        <v>631</v>
      </c>
      <c r="E2583" s="28">
        <v>43144</v>
      </c>
      <c r="F2583" s="28">
        <v>43172</v>
      </c>
      <c r="G2583" s="28">
        <v>43524</v>
      </c>
      <c r="H2583" s="29" t="s">
        <v>560</v>
      </c>
      <c r="I2583" s="29" t="s">
        <v>560</v>
      </c>
      <c r="J2583" s="29" t="s">
        <v>1654</v>
      </c>
      <c r="K2583" s="29" t="s">
        <v>1800</v>
      </c>
      <c r="L2583" s="29" t="s">
        <v>4084</v>
      </c>
      <c r="M2583" s="29" t="s">
        <v>4093</v>
      </c>
      <c r="N2583" s="29" t="s">
        <v>2041</v>
      </c>
      <c r="O2583" s="29" t="s">
        <v>590</v>
      </c>
    </row>
    <row r="2584" spans="1:15">
      <c r="A2584" s="25">
        <v>22537</v>
      </c>
      <c r="B2584" s="34" t="s">
        <v>4122</v>
      </c>
      <c r="C2584" s="31" t="s">
        <v>521</v>
      </c>
      <c r="D2584" s="31" t="s">
        <v>773</v>
      </c>
      <c r="E2584" s="28">
        <v>43224</v>
      </c>
      <c r="F2584" s="28">
        <v>43255</v>
      </c>
      <c r="G2584" s="28">
        <v>43616</v>
      </c>
      <c r="H2584" s="29" t="s">
        <v>560</v>
      </c>
      <c r="I2584" s="29" t="s">
        <v>560</v>
      </c>
      <c r="J2584" s="29" t="s">
        <v>1654</v>
      </c>
      <c r="K2584" s="29" t="s">
        <v>1800</v>
      </c>
      <c r="L2584" s="29" t="s">
        <v>4084</v>
      </c>
      <c r="M2584" s="29" t="s">
        <v>4112</v>
      </c>
      <c r="N2584" s="29" t="s">
        <v>2023</v>
      </c>
      <c r="O2584" s="29" t="s">
        <v>590</v>
      </c>
    </row>
    <row r="2585" spans="1:15">
      <c r="A2585" s="25">
        <v>23061</v>
      </c>
      <c r="B2585" s="34" t="s">
        <v>4123</v>
      </c>
      <c r="C2585" s="31" t="s">
        <v>521</v>
      </c>
      <c r="D2585" s="31" t="s">
        <v>1872</v>
      </c>
      <c r="E2585" s="28">
        <v>43361</v>
      </c>
      <c r="F2585" s="28">
        <v>43391</v>
      </c>
      <c r="G2585" s="28">
        <v>43769</v>
      </c>
      <c r="H2585" s="29" t="s">
        <v>560</v>
      </c>
      <c r="I2585" s="29" t="s">
        <v>560</v>
      </c>
      <c r="J2585" s="29" t="s">
        <v>1654</v>
      </c>
      <c r="K2585" s="29" t="s">
        <v>1800</v>
      </c>
      <c r="L2585" s="29" t="s">
        <v>4084</v>
      </c>
      <c r="M2585" s="29" t="s">
        <v>4124</v>
      </c>
      <c r="N2585" s="29" t="s">
        <v>2041</v>
      </c>
      <c r="O2585" s="29" t="s">
        <v>590</v>
      </c>
    </row>
    <row r="2586" spans="1:15">
      <c r="A2586" s="25">
        <v>23277</v>
      </c>
      <c r="B2586" s="34" t="s">
        <v>4125</v>
      </c>
      <c r="C2586" s="31" t="s">
        <v>521</v>
      </c>
      <c r="D2586" s="31" t="s">
        <v>1582</v>
      </c>
      <c r="E2586" s="28">
        <v>43421</v>
      </c>
      <c r="F2586" s="28">
        <v>43451</v>
      </c>
      <c r="G2586" s="28">
        <v>43830</v>
      </c>
      <c r="H2586" s="29" t="s">
        <v>560</v>
      </c>
      <c r="I2586" s="29" t="s">
        <v>560</v>
      </c>
      <c r="J2586" s="29" t="s">
        <v>1654</v>
      </c>
      <c r="K2586" s="29" t="s">
        <v>1800</v>
      </c>
      <c r="L2586" s="29" t="s">
        <v>4084</v>
      </c>
      <c r="M2586" s="29" t="s">
        <v>4095</v>
      </c>
      <c r="N2586" s="29" t="s">
        <v>2041</v>
      </c>
      <c r="O2586" s="29" t="s">
        <v>590</v>
      </c>
    </row>
    <row r="2587" spans="1:15">
      <c r="A2587" s="25">
        <v>23278</v>
      </c>
      <c r="B2587" s="34" t="s">
        <v>4126</v>
      </c>
      <c r="C2587" s="31" t="s">
        <v>521</v>
      </c>
      <c r="D2587" s="31" t="s">
        <v>1582</v>
      </c>
      <c r="E2587" s="28">
        <v>43421</v>
      </c>
      <c r="F2587" s="28">
        <v>43451</v>
      </c>
      <c r="G2587" s="28">
        <v>43830</v>
      </c>
      <c r="H2587" s="29" t="s">
        <v>560</v>
      </c>
      <c r="I2587" s="29" t="s">
        <v>560</v>
      </c>
      <c r="J2587" s="29" t="s">
        <v>1654</v>
      </c>
      <c r="K2587" s="29" t="s">
        <v>1800</v>
      </c>
      <c r="L2587" s="29" t="s">
        <v>4084</v>
      </c>
      <c r="M2587" s="29" t="s">
        <v>4127</v>
      </c>
      <c r="N2587" s="29" t="s">
        <v>2041</v>
      </c>
      <c r="O2587" s="29" t="s">
        <v>590</v>
      </c>
    </row>
    <row r="2588" spans="1:15">
      <c r="A2588" s="25">
        <v>23422</v>
      </c>
      <c r="B2588" s="34" t="s">
        <v>4128</v>
      </c>
      <c r="C2588" s="31" t="s">
        <v>521</v>
      </c>
      <c r="D2588" s="31" t="s">
        <v>882</v>
      </c>
      <c r="E2588" s="28">
        <v>43434</v>
      </c>
      <c r="F2588" s="28">
        <v>43464</v>
      </c>
      <c r="G2588" s="28">
        <v>43830</v>
      </c>
      <c r="H2588" s="29" t="s">
        <v>560</v>
      </c>
      <c r="I2588" s="29" t="s">
        <v>560</v>
      </c>
      <c r="J2588" s="29" t="s">
        <v>1654</v>
      </c>
      <c r="K2588" s="29" t="s">
        <v>1800</v>
      </c>
      <c r="L2588" s="29" t="s">
        <v>4084</v>
      </c>
      <c r="M2588" s="29" t="s">
        <v>1593</v>
      </c>
      <c r="N2588" s="29" t="s">
        <v>1586</v>
      </c>
      <c r="O2588" s="29" t="s">
        <v>590</v>
      </c>
    </row>
    <row r="2589" spans="1:15">
      <c r="A2589" s="25">
        <v>23528</v>
      </c>
      <c r="B2589" s="34" t="s">
        <v>4129</v>
      </c>
      <c r="C2589" s="31" t="s">
        <v>521</v>
      </c>
      <c r="D2589" s="31" t="s">
        <v>1588</v>
      </c>
      <c r="E2589" s="28">
        <v>43441</v>
      </c>
      <c r="F2589" s="28">
        <v>43472</v>
      </c>
      <c r="G2589" s="28">
        <v>43830</v>
      </c>
      <c r="H2589" s="29" t="s">
        <v>560</v>
      </c>
      <c r="I2589" s="29" t="s">
        <v>560</v>
      </c>
      <c r="J2589" s="29" t="s">
        <v>1654</v>
      </c>
      <c r="K2589" s="29" t="s">
        <v>1800</v>
      </c>
      <c r="L2589" s="29" t="s">
        <v>4084</v>
      </c>
      <c r="M2589" s="29" t="s">
        <v>1593</v>
      </c>
      <c r="N2589" s="29" t="s">
        <v>1586</v>
      </c>
      <c r="O2589" s="29" t="s">
        <v>590</v>
      </c>
    </row>
    <row r="2590" spans="1:15">
      <c r="A2590" s="25">
        <v>23542</v>
      </c>
      <c r="B2590" s="34" t="s">
        <v>4130</v>
      </c>
      <c r="C2590" s="31" t="s">
        <v>521</v>
      </c>
      <c r="D2590" s="31" t="s">
        <v>884</v>
      </c>
      <c r="E2590" s="28">
        <v>43452</v>
      </c>
      <c r="F2590" s="28">
        <v>43483</v>
      </c>
      <c r="G2590" s="28">
        <v>43861</v>
      </c>
      <c r="H2590" s="29" t="s">
        <v>560</v>
      </c>
      <c r="I2590" s="29" t="s">
        <v>560</v>
      </c>
      <c r="J2590" s="29" t="s">
        <v>1654</v>
      </c>
      <c r="K2590" s="29" t="s">
        <v>1800</v>
      </c>
      <c r="L2590" s="29" t="s">
        <v>4084</v>
      </c>
      <c r="M2590" s="29" t="s">
        <v>1593</v>
      </c>
      <c r="N2590" s="29" t="s">
        <v>1586</v>
      </c>
      <c r="O2590" s="29" t="s">
        <v>590</v>
      </c>
    </row>
    <row r="2591" spans="1:15">
      <c r="A2591" s="25">
        <v>190</v>
      </c>
      <c r="B2591" s="34" t="s">
        <v>4131</v>
      </c>
      <c r="C2591" s="31" t="s">
        <v>521</v>
      </c>
      <c r="D2591" s="27" t="s">
        <v>1033</v>
      </c>
      <c r="E2591" s="28">
        <v>37679</v>
      </c>
      <c r="F2591" s="28" t="s">
        <v>35</v>
      </c>
      <c r="G2591" s="28" t="s">
        <v>35</v>
      </c>
      <c r="H2591" s="31" t="s">
        <v>560</v>
      </c>
      <c r="I2591" s="31" t="s">
        <v>560</v>
      </c>
      <c r="J2591" s="29" t="s">
        <v>4132</v>
      </c>
      <c r="K2591" s="29" t="s">
        <v>4132</v>
      </c>
      <c r="L2591" s="29" t="s">
        <v>4133</v>
      </c>
      <c r="M2591" s="29" t="s">
        <v>1550</v>
      </c>
      <c r="N2591" s="29" t="s">
        <v>1045</v>
      </c>
      <c r="O2591" s="29" t="s">
        <v>594</v>
      </c>
    </row>
    <row r="2592" spans="1:15">
      <c r="A2592" s="25">
        <v>1267</v>
      </c>
      <c r="B2592" s="26" t="s">
        <v>406</v>
      </c>
      <c r="C2592" s="27" t="s">
        <v>521</v>
      </c>
      <c r="D2592" s="27" t="s">
        <v>1458</v>
      </c>
      <c r="E2592" s="28">
        <v>37921</v>
      </c>
      <c r="F2592" s="28" t="s">
        <v>35</v>
      </c>
      <c r="G2592" s="28" t="s">
        <v>35</v>
      </c>
      <c r="H2592" s="27" t="s">
        <v>560</v>
      </c>
      <c r="I2592" s="27" t="s">
        <v>560</v>
      </c>
      <c r="J2592" s="27" t="s">
        <v>4132</v>
      </c>
      <c r="K2592" s="27" t="s">
        <v>4132</v>
      </c>
      <c r="L2592" s="27" t="s">
        <v>4133</v>
      </c>
      <c r="M2592" s="29" t="s">
        <v>4134</v>
      </c>
      <c r="N2592" s="29" t="s">
        <v>1511</v>
      </c>
      <c r="O2592" s="29" t="s">
        <v>594</v>
      </c>
    </row>
    <row r="2593" spans="1:15">
      <c r="A2593" s="25">
        <v>10823</v>
      </c>
      <c r="B2593" s="26" t="s">
        <v>472</v>
      </c>
      <c r="C2593" s="27" t="s">
        <v>521</v>
      </c>
      <c r="D2593" s="27" t="s">
        <v>795</v>
      </c>
      <c r="E2593" s="28">
        <v>40572</v>
      </c>
      <c r="F2593" s="28" t="s">
        <v>35</v>
      </c>
      <c r="G2593" s="28" t="s">
        <v>35</v>
      </c>
      <c r="H2593" s="27" t="s">
        <v>560</v>
      </c>
      <c r="I2593" s="27" t="s">
        <v>560</v>
      </c>
      <c r="J2593" s="29" t="s">
        <v>4132</v>
      </c>
      <c r="K2593" s="29" t="s">
        <v>4132</v>
      </c>
      <c r="L2593" s="29" t="s">
        <v>4133</v>
      </c>
      <c r="M2593" s="29" t="s">
        <v>2025</v>
      </c>
      <c r="N2593" s="29" t="s">
        <v>2026</v>
      </c>
      <c r="O2593" s="29" t="s">
        <v>594</v>
      </c>
    </row>
    <row r="2594" spans="1:15">
      <c r="A2594" s="25">
        <v>20881</v>
      </c>
      <c r="B2594" s="26" t="s">
        <v>305</v>
      </c>
      <c r="C2594" s="27" t="s">
        <v>521</v>
      </c>
      <c r="D2594" s="27" t="s">
        <v>807</v>
      </c>
      <c r="E2594" s="28">
        <v>42660</v>
      </c>
      <c r="F2594" s="28">
        <v>43160</v>
      </c>
      <c r="G2594" s="28">
        <v>43524</v>
      </c>
      <c r="H2594" s="27" t="s">
        <v>560</v>
      </c>
      <c r="I2594" s="27" t="s">
        <v>560</v>
      </c>
      <c r="J2594" s="29" t="s">
        <v>4132</v>
      </c>
      <c r="K2594" s="29" t="s">
        <v>4132</v>
      </c>
      <c r="L2594" s="29" t="s">
        <v>4133</v>
      </c>
      <c r="M2594" s="29" t="s">
        <v>4135</v>
      </c>
      <c r="N2594" s="29" t="s">
        <v>4136</v>
      </c>
      <c r="O2594" s="29" t="s">
        <v>594</v>
      </c>
    </row>
    <row r="2595" spans="1:15">
      <c r="A2595" s="25">
        <v>21457</v>
      </c>
      <c r="B2595" s="34" t="s">
        <v>285</v>
      </c>
      <c r="C2595" s="31" t="s">
        <v>521</v>
      </c>
      <c r="D2595" s="31" t="s">
        <v>2166</v>
      </c>
      <c r="E2595" s="28">
        <v>43024</v>
      </c>
      <c r="F2595" s="28">
        <v>43435</v>
      </c>
      <c r="G2595" s="28">
        <v>43799</v>
      </c>
      <c r="H2595" s="29" t="s">
        <v>560</v>
      </c>
      <c r="I2595" s="29" t="s">
        <v>560</v>
      </c>
      <c r="J2595" s="29" t="s">
        <v>4132</v>
      </c>
      <c r="K2595" s="29" t="s">
        <v>4132</v>
      </c>
      <c r="L2595" s="29" t="s">
        <v>4133</v>
      </c>
      <c r="M2595" s="29" t="s">
        <v>4137</v>
      </c>
      <c r="N2595" s="29" t="s">
        <v>1525</v>
      </c>
      <c r="O2595" s="29" t="s">
        <v>594</v>
      </c>
    </row>
    <row r="2596" spans="1:15">
      <c r="A2596" s="25">
        <v>21825</v>
      </c>
      <c r="B2596" s="34" t="s">
        <v>4138</v>
      </c>
      <c r="C2596" s="31" t="s">
        <v>521</v>
      </c>
      <c r="D2596" s="31" t="s">
        <v>732</v>
      </c>
      <c r="E2596" s="28">
        <v>43098</v>
      </c>
      <c r="F2596" s="28">
        <v>43129</v>
      </c>
      <c r="G2596" s="28">
        <v>43496</v>
      </c>
      <c r="H2596" s="29" t="s">
        <v>560</v>
      </c>
      <c r="I2596" s="29" t="s">
        <v>560</v>
      </c>
      <c r="J2596" s="29" t="s">
        <v>4132</v>
      </c>
      <c r="K2596" s="29" t="s">
        <v>4132</v>
      </c>
      <c r="L2596" s="29" t="s">
        <v>4133</v>
      </c>
      <c r="M2596" s="29" t="s">
        <v>4139</v>
      </c>
      <c r="N2596" s="29" t="s">
        <v>1434</v>
      </c>
      <c r="O2596" s="29" t="s">
        <v>594</v>
      </c>
    </row>
    <row r="2597" spans="1:15">
      <c r="A2597" s="25">
        <v>22072</v>
      </c>
      <c r="B2597" s="34" t="s">
        <v>4140</v>
      </c>
      <c r="C2597" s="31" t="s">
        <v>521</v>
      </c>
      <c r="D2597" s="31" t="s">
        <v>769</v>
      </c>
      <c r="E2597" s="28">
        <v>43150</v>
      </c>
      <c r="F2597" s="28">
        <v>43178</v>
      </c>
      <c r="G2597" s="28">
        <v>43555</v>
      </c>
      <c r="H2597" s="29" t="s">
        <v>560</v>
      </c>
      <c r="I2597" s="29" t="s">
        <v>560</v>
      </c>
      <c r="J2597" s="29" t="s">
        <v>4132</v>
      </c>
      <c r="K2597" s="29" t="s">
        <v>4132</v>
      </c>
      <c r="L2597" s="29" t="s">
        <v>4133</v>
      </c>
      <c r="M2597" s="29" t="s">
        <v>4141</v>
      </c>
      <c r="N2597" s="29" t="s">
        <v>1511</v>
      </c>
      <c r="O2597" s="29" t="s">
        <v>594</v>
      </c>
    </row>
    <row r="2598" spans="1:15">
      <c r="A2598" s="25">
        <v>22181</v>
      </c>
      <c r="B2598" s="34" t="s">
        <v>254</v>
      </c>
      <c r="C2598" s="31" t="s">
        <v>521</v>
      </c>
      <c r="D2598" s="31" t="s">
        <v>1201</v>
      </c>
      <c r="E2598" s="28">
        <v>43158</v>
      </c>
      <c r="F2598" s="28">
        <v>43186</v>
      </c>
      <c r="G2598" s="28">
        <v>43555</v>
      </c>
      <c r="H2598" s="29" t="s">
        <v>560</v>
      </c>
      <c r="I2598" s="29" t="s">
        <v>560</v>
      </c>
      <c r="J2598" s="29" t="s">
        <v>4132</v>
      </c>
      <c r="K2598" s="29" t="s">
        <v>4132</v>
      </c>
      <c r="L2598" s="29" t="s">
        <v>4133</v>
      </c>
      <c r="M2598" s="29" t="s">
        <v>4142</v>
      </c>
      <c r="N2598" s="29" t="s">
        <v>2041</v>
      </c>
      <c r="O2598" s="29" t="s">
        <v>594</v>
      </c>
    </row>
    <row r="2599" spans="1:15">
      <c r="A2599" s="25">
        <v>22252</v>
      </c>
      <c r="B2599" s="34" t="s">
        <v>251</v>
      </c>
      <c r="C2599" s="31" t="s">
        <v>521</v>
      </c>
      <c r="D2599" s="31" t="s">
        <v>1189</v>
      </c>
      <c r="E2599" s="28">
        <v>43171</v>
      </c>
      <c r="F2599" s="28">
        <v>43202</v>
      </c>
      <c r="G2599" s="28">
        <v>43555</v>
      </c>
      <c r="H2599" s="29" t="s">
        <v>560</v>
      </c>
      <c r="I2599" s="29" t="s">
        <v>560</v>
      </c>
      <c r="J2599" s="29" t="s">
        <v>4132</v>
      </c>
      <c r="K2599" s="29" t="s">
        <v>4132</v>
      </c>
      <c r="L2599" s="29" t="s">
        <v>4133</v>
      </c>
      <c r="M2599" s="29" t="s">
        <v>4143</v>
      </c>
      <c r="N2599" s="29" t="s">
        <v>1511</v>
      </c>
      <c r="O2599" s="29" t="s">
        <v>594</v>
      </c>
    </row>
    <row r="2600" spans="1:15">
      <c r="A2600" s="25">
        <v>22283</v>
      </c>
      <c r="B2600" s="34" t="s">
        <v>4144</v>
      </c>
      <c r="C2600" s="31" t="s">
        <v>521</v>
      </c>
      <c r="D2600" s="31" t="s">
        <v>1191</v>
      </c>
      <c r="E2600" s="28">
        <v>43192</v>
      </c>
      <c r="F2600" s="28">
        <v>43222</v>
      </c>
      <c r="G2600" s="28">
        <v>43585</v>
      </c>
      <c r="H2600" s="29" t="s">
        <v>560</v>
      </c>
      <c r="I2600" s="29" t="s">
        <v>560</v>
      </c>
      <c r="J2600" s="29" t="s">
        <v>4132</v>
      </c>
      <c r="K2600" s="29" t="s">
        <v>4132</v>
      </c>
      <c r="L2600" s="29" t="s">
        <v>4133</v>
      </c>
      <c r="M2600" s="29" t="s">
        <v>2030</v>
      </c>
      <c r="N2600" s="29" t="s">
        <v>2031</v>
      </c>
      <c r="O2600" s="29" t="s">
        <v>594</v>
      </c>
    </row>
    <row r="2601" spans="1:15">
      <c r="A2601" s="25">
        <v>22441</v>
      </c>
      <c r="B2601" s="34" t="s">
        <v>4145</v>
      </c>
      <c r="C2601" s="31" t="s">
        <v>521</v>
      </c>
      <c r="D2601" s="31" t="s">
        <v>1577</v>
      </c>
      <c r="E2601" s="28">
        <v>43220</v>
      </c>
      <c r="F2601" s="28">
        <v>43250</v>
      </c>
      <c r="G2601" s="28">
        <v>43616</v>
      </c>
      <c r="H2601" s="29" t="s">
        <v>560</v>
      </c>
      <c r="I2601" s="29" t="s">
        <v>560</v>
      </c>
      <c r="J2601" s="29" t="s">
        <v>4132</v>
      </c>
      <c r="K2601" s="29" t="s">
        <v>4132</v>
      </c>
      <c r="L2601" s="29" t="s">
        <v>4133</v>
      </c>
      <c r="M2601" s="29" t="s">
        <v>4146</v>
      </c>
      <c r="N2601" s="29" t="s">
        <v>1518</v>
      </c>
      <c r="O2601" s="29" t="s">
        <v>594</v>
      </c>
    </row>
    <row r="2602" spans="1:15">
      <c r="A2602" s="25">
        <v>22578</v>
      </c>
      <c r="B2602" s="34" t="s">
        <v>4147</v>
      </c>
      <c r="C2602" s="31" t="s">
        <v>521</v>
      </c>
      <c r="D2602" s="31" t="s">
        <v>773</v>
      </c>
      <c r="E2602" s="28">
        <v>43224</v>
      </c>
      <c r="F2602" s="28">
        <v>43255</v>
      </c>
      <c r="G2602" s="28">
        <v>43616</v>
      </c>
      <c r="H2602" s="29" t="s">
        <v>560</v>
      </c>
      <c r="I2602" s="29" t="s">
        <v>560</v>
      </c>
      <c r="J2602" s="29" t="s">
        <v>4132</v>
      </c>
      <c r="K2602" s="29" t="s">
        <v>4132</v>
      </c>
      <c r="L2602" s="29" t="s">
        <v>4133</v>
      </c>
      <c r="M2602" s="29" t="s">
        <v>4148</v>
      </c>
      <c r="N2602" s="29" t="s">
        <v>1434</v>
      </c>
      <c r="O2602" s="29" t="s">
        <v>594</v>
      </c>
    </row>
    <row r="2603" spans="1:15">
      <c r="A2603" s="25">
        <v>22872</v>
      </c>
      <c r="B2603" s="34" t="s">
        <v>4149</v>
      </c>
      <c r="C2603" s="31" t="s">
        <v>521</v>
      </c>
      <c r="D2603" s="31" t="s">
        <v>775</v>
      </c>
      <c r="E2603" s="28">
        <v>43333</v>
      </c>
      <c r="F2603" s="28">
        <v>43364</v>
      </c>
      <c r="G2603" s="28">
        <v>43738</v>
      </c>
      <c r="H2603" s="29" t="s">
        <v>560</v>
      </c>
      <c r="I2603" s="29" t="s">
        <v>560</v>
      </c>
      <c r="J2603" s="29" t="s">
        <v>4132</v>
      </c>
      <c r="K2603" s="29" t="s">
        <v>4132</v>
      </c>
      <c r="L2603" s="29" t="s">
        <v>4133</v>
      </c>
      <c r="M2603" s="29" t="s">
        <v>4150</v>
      </c>
      <c r="N2603" s="29" t="s">
        <v>1511</v>
      </c>
      <c r="O2603" s="29" t="s">
        <v>594</v>
      </c>
    </row>
    <row r="2604" spans="1:15">
      <c r="A2604" s="25">
        <v>22890</v>
      </c>
      <c r="B2604" s="34" t="s">
        <v>4151</v>
      </c>
      <c r="C2604" s="31" t="s">
        <v>521</v>
      </c>
      <c r="D2604" s="31" t="s">
        <v>775</v>
      </c>
      <c r="E2604" s="28">
        <v>43333</v>
      </c>
      <c r="F2604" s="28">
        <v>43364</v>
      </c>
      <c r="G2604" s="28">
        <v>43738</v>
      </c>
      <c r="H2604" s="29" t="s">
        <v>560</v>
      </c>
      <c r="I2604" s="29" t="s">
        <v>560</v>
      </c>
      <c r="J2604" s="29" t="s">
        <v>4132</v>
      </c>
      <c r="K2604" s="29" t="s">
        <v>4132</v>
      </c>
      <c r="L2604" s="29" t="s">
        <v>4133</v>
      </c>
      <c r="M2604" s="29" t="s">
        <v>4152</v>
      </c>
      <c r="N2604" s="29" t="s">
        <v>1434</v>
      </c>
      <c r="O2604" s="29" t="s">
        <v>594</v>
      </c>
    </row>
    <row r="2605" spans="1:15">
      <c r="A2605" s="25">
        <v>22961</v>
      </c>
      <c r="B2605" s="34" t="s">
        <v>220</v>
      </c>
      <c r="C2605" s="31" t="s">
        <v>521</v>
      </c>
      <c r="D2605" s="31" t="s">
        <v>1962</v>
      </c>
      <c r="E2605" s="28">
        <v>43343</v>
      </c>
      <c r="F2605" s="28">
        <v>43374</v>
      </c>
      <c r="G2605" s="28">
        <v>43738</v>
      </c>
      <c r="H2605" s="29" t="s">
        <v>560</v>
      </c>
      <c r="I2605" s="29" t="s">
        <v>560</v>
      </c>
      <c r="J2605" s="29" t="s">
        <v>4132</v>
      </c>
      <c r="K2605" s="29" t="s">
        <v>4132</v>
      </c>
      <c r="L2605" s="29" t="s">
        <v>4133</v>
      </c>
      <c r="M2605" s="29" t="s">
        <v>4153</v>
      </c>
      <c r="N2605" s="29" t="s">
        <v>1511</v>
      </c>
      <c r="O2605" s="29" t="s">
        <v>594</v>
      </c>
    </row>
    <row r="2606" spans="1:15">
      <c r="A2606" s="25">
        <v>22963</v>
      </c>
      <c r="B2606" s="34" t="s">
        <v>4154</v>
      </c>
      <c r="C2606" s="31" t="s">
        <v>521</v>
      </c>
      <c r="D2606" s="31" t="s">
        <v>1962</v>
      </c>
      <c r="E2606" s="28">
        <v>43343</v>
      </c>
      <c r="F2606" s="28">
        <v>43374</v>
      </c>
      <c r="G2606" s="28">
        <v>43738</v>
      </c>
      <c r="H2606" s="29" t="s">
        <v>560</v>
      </c>
      <c r="I2606" s="29" t="s">
        <v>560</v>
      </c>
      <c r="J2606" s="29" t="s">
        <v>4132</v>
      </c>
      <c r="K2606" s="29" t="s">
        <v>4132</v>
      </c>
      <c r="L2606" s="29" t="s">
        <v>4133</v>
      </c>
      <c r="M2606" s="29" t="s">
        <v>4155</v>
      </c>
      <c r="N2606" s="29" t="s">
        <v>2041</v>
      </c>
      <c r="O2606" s="29" t="s">
        <v>594</v>
      </c>
    </row>
    <row r="2607" spans="1:15">
      <c r="A2607" s="25">
        <v>23089</v>
      </c>
      <c r="B2607" s="34" t="s">
        <v>4156</v>
      </c>
      <c r="C2607" s="31" t="s">
        <v>521</v>
      </c>
      <c r="D2607" s="31" t="s">
        <v>1872</v>
      </c>
      <c r="E2607" s="28">
        <v>43361</v>
      </c>
      <c r="F2607" s="28">
        <v>43391</v>
      </c>
      <c r="G2607" s="28">
        <v>43769</v>
      </c>
      <c r="H2607" s="29" t="s">
        <v>560</v>
      </c>
      <c r="I2607" s="29" t="s">
        <v>560</v>
      </c>
      <c r="J2607" s="29" t="s">
        <v>4132</v>
      </c>
      <c r="K2607" s="29" t="s">
        <v>4132</v>
      </c>
      <c r="L2607" s="29" t="s">
        <v>4133</v>
      </c>
      <c r="M2607" s="29" t="s">
        <v>4157</v>
      </c>
      <c r="N2607" s="29" t="s">
        <v>1434</v>
      </c>
      <c r="O2607" s="29" t="s">
        <v>594</v>
      </c>
    </row>
    <row r="2608" spans="1:15">
      <c r="A2608" s="25">
        <v>23279</v>
      </c>
      <c r="B2608" s="34" t="s">
        <v>4158</v>
      </c>
      <c r="C2608" s="31" t="s">
        <v>521</v>
      </c>
      <c r="D2608" s="31" t="s">
        <v>1582</v>
      </c>
      <c r="E2608" s="28">
        <v>43421</v>
      </c>
      <c r="F2608" s="28">
        <v>43451</v>
      </c>
      <c r="G2608" s="28">
        <v>43830</v>
      </c>
      <c r="H2608" s="29" t="s">
        <v>560</v>
      </c>
      <c r="I2608" s="29" t="s">
        <v>560</v>
      </c>
      <c r="J2608" s="29" t="s">
        <v>4132</v>
      </c>
      <c r="K2608" s="29" t="s">
        <v>4132</v>
      </c>
      <c r="L2608" s="29" t="s">
        <v>4133</v>
      </c>
      <c r="M2608" s="29" t="s">
        <v>4159</v>
      </c>
      <c r="N2608" s="29" t="s">
        <v>1434</v>
      </c>
      <c r="O2608" s="29" t="s">
        <v>594</v>
      </c>
    </row>
    <row r="2609" spans="1:15">
      <c r="A2609" s="25">
        <v>23372</v>
      </c>
      <c r="B2609" s="34" t="s">
        <v>4160</v>
      </c>
      <c r="C2609" s="31" t="s">
        <v>521</v>
      </c>
      <c r="D2609" s="31" t="s">
        <v>1527</v>
      </c>
      <c r="E2609" s="28">
        <v>43427</v>
      </c>
      <c r="F2609" s="28">
        <v>43457</v>
      </c>
      <c r="G2609" s="28">
        <v>43830</v>
      </c>
      <c r="H2609" s="29" t="s">
        <v>560</v>
      </c>
      <c r="I2609" s="29" t="s">
        <v>560</v>
      </c>
      <c r="J2609" s="29" t="s">
        <v>4132</v>
      </c>
      <c r="K2609" s="29" t="s">
        <v>4132</v>
      </c>
      <c r="L2609" s="29" t="s">
        <v>4133</v>
      </c>
      <c r="M2609" s="29" t="s">
        <v>4161</v>
      </c>
      <c r="N2609" s="29" t="s">
        <v>1434</v>
      </c>
      <c r="O2609" s="29" t="s">
        <v>594</v>
      </c>
    </row>
    <row r="2610" spans="1:15">
      <c r="A2610" s="25">
        <v>23457</v>
      </c>
      <c r="B2610" s="34" t="s">
        <v>4162</v>
      </c>
      <c r="C2610" s="31" t="s">
        <v>521</v>
      </c>
      <c r="D2610" s="31" t="s">
        <v>882</v>
      </c>
      <c r="E2610" s="28">
        <v>43434</v>
      </c>
      <c r="F2610" s="28">
        <v>43464</v>
      </c>
      <c r="G2610" s="28">
        <v>43830</v>
      </c>
      <c r="H2610" s="29" t="s">
        <v>560</v>
      </c>
      <c r="I2610" s="29" t="s">
        <v>560</v>
      </c>
      <c r="J2610" s="29" t="s">
        <v>4132</v>
      </c>
      <c r="K2610" s="29" t="s">
        <v>4132</v>
      </c>
      <c r="L2610" s="29" t="s">
        <v>4133</v>
      </c>
      <c r="M2610" s="29" t="s">
        <v>1593</v>
      </c>
      <c r="N2610" s="29" t="s">
        <v>1586</v>
      </c>
      <c r="O2610" s="29" t="s">
        <v>594</v>
      </c>
    </row>
    <row r="2611" spans="1:15">
      <c r="A2611" s="25">
        <v>6196</v>
      </c>
      <c r="B2611" s="34" t="s">
        <v>144</v>
      </c>
      <c r="C2611" s="31" t="s">
        <v>521</v>
      </c>
      <c r="D2611" s="27" t="s">
        <v>599</v>
      </c>
      <c r="E2611" s="28">
        <v>39173</v>
      </c>
      <c r="F2611" s="28" t="s">
        <v>35</v>
      </c>
      <c r="G2611" s="28" t="s">
        <v>35</v>
      </c>
      <c r="H2611" s="31" t="s">
        <v>560</v>
      </c>
      <c r="I2611" s="31" t="s">
        <v>560</v>
      </c>
      <c r="J2611" s="29" t="s">
        <v>4132</v>
      </c>
      <c r="K2611" s="29" t="s">
        <v>4132</v>
      </c>
      <c r="L2611" s="29" t="s">
        <v>4133</v>
      </c>
      <c r="M2611" s="29" t="s">
        <v>4163</v>
      </c>
      <c r="N2611" s="29" t="s">
        <v>659</v>
      </c>
      <c r="O2611" s="29" t="s">
        <v>528</v>
      </c>
    </row>
    <row r="2612" spans="1:15">
      <c r="A2612" s="25">
        <v>453</v>
      </c>
      <c r="B2612" s="26" t="s">
        <v>203</v>
      </c>
      <c r="C2612" s="27" t="s">
        <v>521</v>
      </c>
      <c r="D2612" s="27" t="s">
        <v>1661</v>
      </c>
      <c r="E2612" s="28">
        <v>37746</v>
      </c>
      <c r="F2612" s="28" t="s">
        <v>35</v>
      </c>
      <c r="G2612" s="28" t="s">
        <v>35</v>
      </c>
      <c r="H2612" s="27" t="s">
        <v>560</v>
      </c>
      <c r="I2612" s="27" t="s">
        <v>560</v>
      </c>
      <c r="J2612" s="27" t="s">
        <v>4132</v>
      </c>
      <c r="K2612" s="27" t="s">
        <v>4132</v>
      </c>
      <c r="L2612" s="27" t="s">
        <v>4133</v>
      </c>
      <c r="M2612" s="29" t="s">
        <v>4164</v>
      </c>
      <c r="N2612" s="29" t="s">
        <v>1511</v>
      </c>
      <c r="O2612" s="29" t="s">
        <v>590</v>
      </c>
    </row>
    <row r="2613" spans="1:15">
      <c r="A2613" s="25">
        <v>6180</v>
      </c>
      <c r="B2613" s="26" t="s">
        <v>148</v>
      </c>
      <c r="C2613" s="27" t="s">
        <v>521</v>
      </c>
      <c r="D2613" s="27" t="s">
        <v>1065</v>
      </c>
      <c r="E2613" s="28">
        <v>39173</v>
      </c>
      <c r="F2613" s="28" t="s">
        <v>35</v>
      </c>
      <c r="G2613" s="28" t="s">
        <v>35</v>
      </c>
      <c r="H2613" s="27" t="s">
        <v>560</v>
      </c>
      <c r="I2613" s="27" t="s">
        <v>560</v>
      </c>
      <c r="J2613" s="27" t="s">
        <v>4132</v>
      </c>
      <c r="K2613" s="27" t="s">
        <v>4132</v>
      </c>
      <c r="L2613" s="27" t="s">
        <v>4133</v>
      </c>
      <c r="M2613" s="29" t="s">
        <v>2025</v>
      </c>
      <c r="N2613" s="29" t="s">
        <v>2026</v>
      </c>
      <c r="O2613" s="29" t="s">
        <v>590</v>
      </c>
    </row>
    <row r="2614" spans="1:15">
      <c r="A2614" s="25">
        <v>9020</v>
      </c>
      <c r="B2614" s="26" t="s">
        <v>110</v>
      </c>
      <c r="C2614" s="27" t="s">
        <v>521</v>
      </c>
      <c r="D2614" s="27" t="s">
        <v>715</v>
      </c>
      <c r="E2614" s="28">
        <v>39975</v>
      </c>
      <c r="F2614" s="28" t="s">
        <v>35</v>
      </c>
      <c r="G2614" s="28" t="s">
        <v>35</v>
      </c>
      <c r="H2614" s="27" t="s">
        <v>560</v>
      </c>
      <c r="I2614" s="27" t="s">
        <v>560</v>
      </c>
      <c r="J2614" s="27" t="s">
        <v>4132</v>
      </c>
      <c r="K2614" s="27" t="s">
        <v>4132</v>
      </c>
      <c r="L2614" s="27" t="s">
        <v>4133</v>
      </c>
      <c r="M2614" s="29" t="s">
        <v>4165</v>
      </c>
      <c r="N2614" s="29" t="s">
        <v>1511</v>
      </c>
      <c r="O2614" s="29" t="s">
        <v>590</v>
      </c>
    </row>
    <row r="2615" spans="1:15">
      <c r="A2615" s="25">
        <v>9049</v>
      </c>
      <c r="B2615" s="33" t="s">
        <v>4166</v>
      </c>
      <c r="C2615" s="27" t="s">
        <v>521</v>
      </c>
      <c r="D2615" s="27" t="s">
        <v>1971</v>
      </c>
      <c r="E2615" s="28">
        <v>39979</v>
      </c>
      <c r="F2615" s="28" t="s">
        <v>35</v>
      </c>
      <c r="G2615" s="28" t="s">
        <v>35</v>
      </c>
      <c r="H2615" s="29" t="s">
        <v>560</v>
      </c>
      <c r="I2615" s="29" t="s">
        <v>560</v>
      </c>
      <c r="J2615" s="29" t="s">
        <v>4132</v>
      </c>
      <c r="K2615" s="29" t="s">
        <v>4132</v>
      </c>
      <c r="L2615" s="29" t="s">
        <v>4133</v>
      </c>
      <c r="M2615" s="29" t="s">
        <v>2030</v>
      </c>
      <c r="N2615" s="29" t="s">
        <v>2031</v>
      </c>
      <c r="O2615" s="29" t="s">
        <v>590</v>
      </c>
    </row>
    <row r="2616" spans="1:15">
      <c r="A2616" s="25">
        <v>10629</v>
      </c>
      <c r="B2616" s="26" t="s">
        <v>478</v>
      </c>
      <c r="C2616" s="27" t="s">
        <v>521</v>
      </c>
      <c r="D2616" s="27" t="s">
        <v>2426</v>
      </c>
      <c r="E2616" s="28">
        <v>40549</v>
      </c>
      <c r="F2616" s="28" t="s">
        <v>35</v>
      </c>
      <c r="G2616" s="28" t="s">
        <v>35</v>
      </c>
      <c r="H2616" s="27" t="s">
        <v>560</v>
      </c>
      <c r="I2616" s="27" t="s">
        <v>560</v>
      </c>
      <c r="J2616" s="27" t="s">
        <v>4132</v>
      </c>
      <c r="K2616" s="27" t="s">
        <v>4132</v>
      </c>
      <c r="L2616" s="27" t="s">
        <v>4133</v>
      </c>
      <c r="M2616" s="29" t="s">
        <v>4167</v>
      </c>
      <c r="N2616" s="29" t="s">
        <v>1434</v>
      </c>
      <c r="O2616" s="29" t="s">
        <v>590</v>
      </c>
    </row>
    <row r="2617" spans="1:15">
      <c r="A2617" s="25">
        <v>15250</v>
      </c>
      <c r="B2617" s="34" t="s">
        <v>4168</v>
      </c>
      <c r="C2617" s="31" t="s">
        <v>521</v>
      </c>
      <c r="D2617" s="31" t="s">
        <v>1142</v>
      </c>
      <c r="E2617" s="28">
        <v>41438</v>
      </c>
      <c r="F2617" s="28" t="s">
        <v>35</v>
      </c>
      <c r="G2617" s="28" t="s">
        <v>35</v>
      </c>
      <c r="H2617" s="29" t="s">
        <v>560</v>
      </c>
      <c r="I2617" s="29" t="s">
        <v>560</v>
      </c>
      <c r="J2617" s="29" t="s">
        <v>4132</v>
      </c>
      <c r="K2617" s="29" t="s">
        <v>4132</v>
      </c>
      <c r="L2617" s="29" t="s">
        <v>4133</v>
      </c>
      <c r="M2617" s="29" t="s">
        <v>1550</v>
      </c>
      <c r="N2617" s="29" t="s">
        <v>1045</v>
      </c>
      <c r="O2617" s="29" t="s">
        <v>590</v>
      </c>
    </row>
    <row r="2618" spans="1:15">
      <c r="A2618" s="25">
        <v>19586</v>
      </c>
      <c r="B2618" s="26" t="s">
        <v>325</v>
      </c>
      <c r="C2618" s="27" t="s">
        <v>521</v>
      </c>
      <c r="D2618" s="27" t="s">
        <v>3131</v>
      </c>
      <c r="E2618" s="28">
        <v>42472</v>
      </c>
      <c r="F2618" s="28" t="s">
        <v>35</v>
      </c>
      <c r="G2618" s="28" t="s">
        <v>35</v>
      </c>
      <c r="H2618" s="27" t="s">
        <v>560</v>
      </c>
      <c r="I2618" s="27" t="s">
        <v>560</v>
      </c>
      <c r="J2618" s="29" t="s">
        <v>4132</v>
      </c>
      <c r="K2618" s="29" t="s">
        <v>4132</v>
      </c>
      <c r="L2618" s="29" t="s">
        <v>4133</v>
      </c>
      <c r="M2618" s="29" t="s">
        <v>4146</v>
      </c>
      <c r="N2618" s="29" t="s">
        <v>1518</v>
      </c>
      <c r="O2618" s="29" t="s">
        <v>590</v>
      </c>
    </row>
    <row r="2619" spans="1:15">
      <c r="A2619" s="25">
        <v>20610</v>
      </c>
      <c r="B2619" s="26" t="s">
        <v>319</v>
      </c>
      <c r="C2619" s="27" t="s">
        <v>521</v>
      </c>
      <c r="D2619" s="27" t="s">
        <v>673</v>
      </c>
      <c r="E2619" s="28">
        <v>42639</v>
      </c>
      <c r="F2619" s="28">
        <v>43132</v>
      </c>
      <c r="G2619" s="28">
        <v>43496</v>
      </c>
      <c r="H2619" s="25" t="s">
        <v>560</v>
      </c>
      <c r="I2619" s="25" t="s">
        <v>560</v>
      </c>
      <c r="J2619" s="27" t="s">
        <v>4132</v>
      </c>
      <c r="K2619" s="27" t="s">
        <v>4132</v>
      </c>
      <c r="L2619" s="27" t="s">
        <v>4133</v>
      </c>
      <c r="M2619" s="27" t="s">
        <v>4169</v>
      </c>
      <c r="N2619" s="29" t="s">
        <v>1511</v>
      </c>
      <c r="O2619" s="29" t="s">
        <v>590</v>
      </c>
    </row>
    <row r="2620" spans="1:15">
      <c r="A2620" s="25">
        <v>20975</v>
      </c>
      <c r="B2620" s="33" t="s">
        <v>96</v>
      </c>
      <c r="C2620" s="27" t="s">
        <v>521</v>
      </c>
      <c r="D2620" s="27" t="s">
        <v>1184</v>
      </c>
      <c r="E2620" s="28">
        <v>42674</v>
      </c>
      <c r="F2620" s="28">
        <v>43160</v>
      </c>
      <c r="G2620" s="28">
        <v>43524</v>
      </c>
      <c r="H2620" s="31" t="s">
        <v>560</v>
      </c>
      <c r="I2620" s="31" t="s">
        <v>560</v>
      </c>
      <c r="J2620" s="29" t="s">
        <v>4132</v>
      </c>
      <c r="K2620" s="29" t="s">
        <v>4132</v>
      </c>
      <c r="L2620" s="29" t="s">
        <v>4133</v>
      </c>
      <c r="M2620" s="29" t="s">
        <v>4170</v>
      </c>
      <c r="N2620" s="29" t="s">
        <v>1434</v>
      </c>
      <c r="O2620" s="29" t="s">
        <v>590</v>
      </c>
    </row>
    <row r="2621" spans="1:15">
      <c r="A2621" s="25">
        <v>21630</v>
      </c>
      <c r="B2621" s="34" t="s">
        <v>4171</v>
      </c>
      <c r="C2621" s="31" t="s">
        <v>521</v>
      </c>
      <c r="D2621" s="31" t="s">
        <v>1603</v>
      </c>
      <c r="E2621" s="28">
        <v>43048</v>
      </c>
      <c r="F2621" s="28">
        <v>43435</v>
      </c>
      <c r="G2621" s="28">
        <v>43799</v>
      </c>
      <c r="H2621" s="29" t="s">
        <v>560</v>
      </c>
      <c r="I2621" s="29" t="s">
        <v>560</v>
      </c>
      <c r="J2621" s="29" t="s">
        <v>4132</v>
      </c>
      <c r="K2621" s="29" t="s">
        <v>4132</v>
      </c>
      <c r="L2621" s="29" t="s">
        <v>4133</v>
      </c>
      <c r="M2621" s="29" t="s">
        <v>4172</v>
      </c>
      <c r="N2621" s="29" t="s">
        <v>1511</v>
      </c>
      <c r="O2621" s="29" t="s">
        <v>590</v>
      </c>
    </row>
    <row r="2622" spans="1:15">
      <c r="A2622" s="25">
        <v>22034</v>
      </c>
      <c r="B2622" s="34" t="s">
        <v>4173</v>
      </c>
      <c r="C2622" s="31" t="s">
        <v>521</v>
      </c>
      <c r="D2622" s="31" t="s">
        <v>631</v>
      </c>
      <c r="E2622" s="28">
        <v>43144</v>
      </c>
      <c r="F2622" s="28">
        <v>43172</v>
      </c>
      <c r="G2622" s="28">
        <v>43524</v>
      </c>
      <c r="H2622" s="29" t="s">
        <v>560</v>
      </c>
      <c r="I2622" s="29" t="s">
        <v>560</v>
      </c>
      <c r="J2622" s="29" t="s">
        <v>4132</v>
      </c>
      <c r="K2622" s="29" t="s">
        <v>4132</v>
      </c>
      <c r="L2622" s="29" t="s">
        <v>4133</v>
      </c>
      <c r="M2622" s="29" t="s">
        <v>4174</v>
      </c>
      <c r="N2622" s="29" t="s">
        <v>2041</v>
      </c>
      <c r="O2622" s="29" t="s">
        <v>590</v>
      </c>
    </row>
    <row r="2623" spans="1:15">
      <c r="A2623" s="25">
        <v>22110</v>
      </c>
      <c r="B2623" s="34" t="s">
        <v>4175</v>
      </c>
      <c r="C2623" s="31" t="s">
        <v>521</v>
      </c>
      <c r="D2623" s="31" t="s">
        <v>769</v>
      </c>
      <c r="E2623" s="28">
        <v>43150</v>
      </c>
      <c r="F2623" s="28">
        <v>43178</v>
      </c>
      <c r="G2623" s="28">
        <v>43555</v>
      </c>
      <c r="H2623" s="29" t="s">
        <v>560</v>
      </c>
      <c r="I2623" s="29" t="s">
        <v>560</v>
      </c>
      <c r="J2623" s="29" t="s">
        <v>4132</v>
      </c>
      <c r="K2623" s="29" t="s">
        <v>4132</v>
      </c>
      <c r="L2623" s="29" t="s">
        <v>4133</v>
      </c>
      <c r="M2623" s="29" t="s">
        <v>4176</v>
      </c>
      <c r="N2623" s="29" t="s">
        <v>1434</v>
      </c>
      <c r="O2623" s="29" t="s">
        <v>590</v>
      </c>
    </row>
    <row r="2624" spans="1:15">
      <c r="A2624" s="25">
        <v>22159</v>
      </c>
      <c r="B2624" s="34" t="s">
        <v>4177</v>
      </c>
      <c r="C2624" s="31" t="s">
        <v>521</v>
      </c>
      <c r="D2624" s="31" t="s">
        <v>758</v>
      </c>
      <c r="E2624" s="28">
        <v>43153</v>
      </c>
      <c r="F2624" s="28">
        <v>43181</v>
      </c>
      <c r="G2624" s="28">
        <v>43555</v>
      </c>
      <c r="H2624" s="29" t="s">
        <v>560</v>
      </c>
      <c r="I2624" s="29" t="s">
        <v>560</v>
      </c>
      <c r="J2624" s="29" t="s">
        <v>4132</v>
      </c>
      <c r="K2624" s="29" t="s">
        <v>4132</v>
      </c>
      <c r="L2624" s="29" t="s">
        <v>4133</v>
      </c>
      <c r="M2624" s="29" t="s">
        <v>4178</v>
      </c>
      <c r="N2624" s="29" t="s">
        <v>1511</v>
      </c>
      <c r="O2624" s="29" t="s">
        <v>590</v>
      </c>
    </row>
    <row r="2625" spans="1:15">
      <c r="A2625" s="25">
        <v>22314</v>
      </c>
      <c r="B2625" s="34" t="s">
        <v>4179</v>
      </c>
      <c r="C2625" s="31" t="s">
        <v>521</v>
      </c>
      <c r="D2625" s="31" t="s">
        <v>1191</v>
      </c>
      <c r="E2625" s="28">
        <v>43192</v>
      </c>
      <c r="F2625" s="28">
        <v>43222</v>
      </c>
      <c r="G2625" s="28">
        <v>43585</v>
      </c>
      <c r="H2625" s="29" t="s">
        <v>560</v>
      </c>
      <c r="I2625" s="29" t="s">
        <v>560</v>
      </c>
      <c r="J2625" s="29" t="s">
        <v>4132</v>
      </c>
      <c r="K2625" s="29" t="s">
        <v>4132</v>
      </c>
      <c r="L2625" s="29" t="s">
        <v>4133</v>
      </c>
      <c r="M2625" s="29" t="s">
        <v>4161</v>
      </c>
      <c r="N2625" s="29" t="s">
        <v>4136</v>
      </c>
      <c r="O2625" s="29" t="s">
        <v>590</v>
      </c>
    </row>
    <row r="2626" spans="1:15">
      <c r="A2626" s="25">
        <v>22572</v>
      </c>
      <c r="B2626" s="34" t="s">
        <v>4180</v>
      </c>
      <c r="C2626" s="31" t="s">
        <v>521</v>
      </c>
      <c r="D2626" s="31" t="s">
        <v>773</v>
      </c>
      <c r="E2626" s="28">
        <v>43224</v>
      </c>
      <c r="F2626" s="28">
        <v>43255</v>
      </c>
      <c r="G2626" s="28">
        <v>43616</v>
      </c>
      <c r="H2626" s="29" t="s">
        <v>560</v>
      </c>
      <c r="I2626" s="29" t="s">
        <v>560</v>
      </c>
      <c r="J2626" s="29" t="s">
        <v>4132</v>
      </c>
      <c r="K2626" s="29" t="s">
        <v>4132</v>
      </c>
      <c r="L2626" s="29" t="s">
        <v>4133</v>
      </c>
      <c r="M2626" s="29" t="s">
        <v>4181</v>
      </c>
      <c r="N2626" s="29" t="s">
        <v>1434</v>
      </c>
      <c r="O2626" s="29" t="s">
        <v>590</v>
      </c>
    </row>
    <row r="2627" spans="1:15">
      <c r="A2627" s="25">
        <v>22964</v>
      </c>
      <c r="B2627" s="34" t="s">
        <v>4182</v>
      </c>
      <c r="C2627" s="31" t="s">
        <v>521</v>
      </c>
      <c r="D2627" s="31" t="s">
        <v>1962</v>
      </c>
      <c r="E2627" s="28">
        <v>43343</v>
      </c>
      <c r="F2627" s="28">
        <v>43374</v>
      </c>
      <c r="G2627" s="28">
        <v>43738</v>
      </c>
      <c r="H2627" s="29" t="s">
        <v>560</v>
      </c>
      <c r="I2627" s="29" t="s">
        <v>560</v>
      </c>
      <c r="J2627" s="29" t="s">
        <v>4132</v>
      </c>
      <c r="K2627" s="29" t="s">
        <v>4132</v>
      </c>
      <c r="L2627" s="29" t="s">
        <v>4133</v>
      </c>
      <c r="M2627" s="29" t="s">
        <v>4183</v>
      </c>
      <c r="N2627" s="29" t="s">
        <v>1511</v>
      </c>
      <c r="O2627" s="29" t="s">
        <v>590</v>
      </c>
    </row>
    <row r="2628" spans="1:15">
      <c r="A2628" s="25">
        <v>22965</v>
      </c>
      <c r="B2628" s="34" t="s">
        <v>4184</v>
      </c>
      <c r="C2628" s="31" t="s">
        <v>521</v>
      </c>
      <c r="D2628" s="31" t="s">
        <v>1962</v>
      </c>
      <c r="E2628" s="28">
        <v>43343</v>
      </c>
      <c r="F2628" s="28">
        <v>43374</v>
      </c>
      <c r="G2628" s="28">
        <v>43738</v>
      </c>
      <c r="H2628" s="29" t="s">
        <v>560</v>
      </c>
      <c r="I2628" s="29" t="s">
        <v>560</v>
      </c>
      <c r="J2628" s="29" t="s">
        <v>4132</v>
      </c>
      <c r="K2628" s="29" t="s">
        <v>4132</v>
      </c>
      <c r="L2628" s="29" t="s">
        <v>4133</v>
      </c>
      <c r="M2628" s="29" t="s">
        <v>4185</v>
      </c>
      <c r="N2628" s="29" t="s">
        <v>1511</v>
      </c>
      <c r="O2628" s="29" t="s">
        <v>590</v>
      </c>
    </row>
    <row r="2629" spans="1:15">
      <c r="A2629" s="25">
        <v>23005</v>
      </c>
      <c r="B2629" s="34" t="s">
        <v>4186</v>
      </c>
      <c r="C2629" s="31" t="s">
        <v>521</v>
      </c>
      <c r="D2629" s="31" t="s">
        <v>1872</v>
      </c>
      <c r="E2629" s="28">
        <v>43361</v>
      </c>
      <c r="F2629" s="28">
        <v>43391</v>
      </c>
      <c r="G2629" s="28">
        <v>43769</v>
      </c>
      <c r="H2629" s="29" t="s">
        <v>560</v>
      </c>
      <c r="I2629" s="29" t="s">
        <v>560</v>
      </c>
      <c r="J2629" s="29" t="s">
        <v>4132</v>
      </c>
      <c r="K2629" s="29" t="s">
        <v>4132</v>
      </c>
      <c r="L2629" s="29" t="s">
        <v>4133</v>
      </c>
      <c r="M2629" s="29" t="s">
        <v>4135</v>
      </c>
      <c r="N2629" s="29" t="s">
        <v>4136</v>
      </c>
      <c r="O2629" s="29" t="s">
        <v>590</v>
      </c>
    </row>
    <row r="2630" spans="1:15">
      <c r="A2630" s="25">
        <v>23280</v>
      </c>
      <c r="B2630" s="34" t="s">
        <v>4187</v>
      </c>
      <c r="C2630" s="31" t="s">
        <v>521</v>
      </c>
      <c r="D2630" s="31" t="s">
        <v>1582</v>
      </c>
      <c r="E2630" s="28">
        <v>43421</v>
      </c>
      <c r="F2630" s="28">
        <v>43451</v>
      </c>
      <c r="G2630" s="28">
        <v>43830</v>
      </c>
      <c r="H2630" s="29" t="s">
        <v>560</v>
      </c>
      <c r="I2630" s="29" t="s">
        <v>560</v>
      </c>
      <c r="J2630" s="29" t="s">
        <v>4132</v>
      </c>
      <c r="K2630" s="29" t="s">
        <v>4132</v>
      </c>
      <c r="L2630" s="29" t="s">
        <v>4133</v>
      </c>
      <c r="M2630" s="29" t="s">
        <v>4188</v>
      </c>
      <c r="N2630" s="29" t="s">
        <v>1434</v>
      </c>
      <c r="O2630" s="29" t="s">
        <v>590</v>
      </c>
    </row>
    <row r="2631" spans="1:15">
      <c r="A2631" s="25">
        <v>23599</v>
      </c>
      <c r="B2631" s="34" t="s">
        <v>4189</v>
      </c>
      <c r="C2631" s="31" t="s">
        <v>521</v>
      </c>
      <c r="D2631" s="31" t="s">
        <v>884</v>
      </c>
      <c r="E2631" s="28">
        <v>43452</v>
      </c>
      <c r="F2631" s="28">
        <v>43483</v>
      </c>
      <c r="G2631" s="28">
        <v>43861</v>
      </c>
      <c r="H2631" s="29" t="s">
        <v>560</v>
      </c>
      <c r="I2631" s="29" t="s">
        <v>560</v>
      </c>
      <c r="J2631" s="29" t="s">
        <v>4132</v>
      </c>
      <c r="K2631" s="29" t="s">
        <v>4132</v>
      </c>
      <c r="L2631" s="29" t="s">
        <v>4133</v>
      </c>
      <c r="M2631" s="29" t="s">
        <v>1593</v>
      </c>
      <c r="N2631" s="29" t="s">
        <v>1586</v>
      </c>
      <c r="O2631" s="29" t="s">
        <v>590</v>
      </c>
    </row>
    <row r="2632" spans="1:15">
      <c r="A2632" s="25">
        <v>23486</v>
      </c>
      <c r="B2632" s="34" t="s">
        <v>4190</v>
      </c>
      <c r="C2632" s="31" t="s">
        <v>521</v>
      </c>
      <c r="D2632" s="31" t="s">
        <v>1588</v>
      </c>
      <c r="E2632" s="28">
        <v>43441</v>
      </c>
      <c r="F2632" s="28">
        <v>43472</v>
      </c>
      <c r="G2632" s="28">
        <v>43830</v>
      </c>
      <c r="H2632" s="29" t="s">
        <v>560</v>
      </c>
      <c r="I2632" s="29" t="s">
        <v>560</v>
      </c>
      <c r="J2632" s="29" t="s">
        <v>4132</v>
      </c>
      <c r="K2632" s="29" t="s">
        <v>4132</v>
      </c>
      <c r="L2632" s="29" t="s">
        <v>4191</v>
      </c>
      <c r="M2632" s="29" t="s">
        <v>1593</v>
      </c>
      <c r="N2632" s="29" t="s">
        <v>1586</v>
      </c>
      <c r="O2632" s="29" t="s">
        <v>594</v>
      </c>
    </row>
    <row r="2633" spans="1:15">
      <c r="A2633" s="25">
        <v>5420</v>
      </c>
      <c r="B2633" s="26" t="s">
        <v>4192</v>
      </c>
      <c r="C2633" s="27" t="s">
        <v>521</v>
      </c>
      <c r="D2633" s="27" t="s">
        <v>760</v>
      </c>
      <c r="E2633" s="28">
        <v>38991</v>
      </c>
      <c r="F2633" s="28" t="s">
        <v>35</v>
      </c>
      <c r="G2633" s="28" t="s">
        <v>35</v>
      </c>
      <c r="H2633" s="29" t="s">
        <v>560</v>
      </c>
      <c r="I2633" s="29" t="s">
        <v>560</v>
      </c>
      <c r="J2633" s="29" t="s">
        <v>1930</v>
      </c>
      <c r="K2633" s="29" t="s">
        <v>4193</v>
      </c>
      <c r="L2633" s="29" t="s">
        <v>4194</v>
      </c>
      <c r="M2633" s="29" t="s">
        <v>4195</v>
      </c>
      <c r="N2633" s="29" t="s">
        <v>2031</v>
      </c>
      <c r="O2633" s="29" t="s">
        <v>594</v>
      </c>
    </row>
    <row r="2634" spans="1:15">
      <c r="A2634" s="25">
        <v>12746</v>
      </c>
      <c r="B2634" s="26" t="s">
        <v>4196</v>
      </c>
      <c r="C2634" s="27" t="s">
        <v>521</v>
      </c>
      <c r="D2634" s="27" t="s">
        <v>1739</v>
      </c>
      <c r="E2634" s="28">
        <v>40819</v>
      </c>
      <c r="F2634" s="28" t="s">
        <v>35</v>
      </c>
      <c r="G2634" s="28" t="s">
        <v>35</v>
      </c>
      <c r="H2634" s="27" t="s">
        <v>560</v>
      </c>
      <c r="I2634" s="27" t="s">
        <v>560</v>
      </c>
      <c r="J2634" s="29" t="s">
        <v>1930</v>
      </c>
      <c r="K2634" s="29" t="s">
        <v>4193</v>
      </c>
      <c r="L2634" s="29" t="s">
        <v>4194</v>
      </c>
      <c r="M2634" s="29" t="s">
        <v>4197</v>
      </c>
      <c r="N2634" s="29" t="s">
        <v>2026</v>
      </c>
      <c r="O2634" s="29" t="s">
        <v>594</v>
      </c>
    </row>
    <row r="2635" spans="1:15">
      <c r="A2635" s="25">
        <v>20886</v>
      </c>
      <c r="B2635" s="26" t="s">
        <v>4198</v>
      </c>
      <c r="C2635" s="27" t="s">
        <v>521</v>
      </c>
      <c r="D2635" s="27" t="s">
        <v>807</v>
      </c>
      <c r="E2635" s="28">
        <v>42660</v>
      </c>
      <c r="F2635" s="28">
        <v>43160</v>
      </c>
      <c r="G2635" s="28">
        <v>43524</v>
      </c>
      <c r="H2635" s="27" t="s">
        <v>560</v>
      </c>
      <c r="I2635" s="27" t="s">
        <v>560</v>
      </c>
      <c r="J2635" s="29" t="s">
        <v>1930</v>
      </c>
      <c r="K2635" s="29" t="s">
        <v>4193</v>
      </c>
      <c r="L2635" s="29" t="s">
        <v>4194</v>
      </c>
      <c r="M2635" s="29" t="s">
        <v>2418</v>
      </c>
      <c r="N2635" s="29" t="s">
        <v>2041</v>
      </c>
      <c r="O2635" s="29" t="s">
        <v>594</v>
      </c>
    </row>
    <row r="2636" spans="1:15">
      <c r="A2636" s="25">
        <v>20887</v>
      </c>
      <c r="B2636" s="26" t="s">
        <v>4199</v>
      </c>
      <c r="C2636" s="27" t="s">
        <v>521</v>
      </c>
      <c r="D2636" s="27" t="s">
        <v>807</v>
      </c>
      <c r="E2636" s="28">
        <v>42660</v>
      </c>
      <c r="F2636" s="28">
        <v>43160</v>
      </c>
      <c r="G2636" s="28">
        <v>43524</v>
      </c>
      <c r="H2636" s="27" t="s">
        <v>560</v>
      </c>
      <c r="I2636" s="27" t="s">
        <v>560</v>
      </c>
      <c r="J2636" s="29" t="s">
        <v>1930</v>
      </c>
      <c r="K2636" s="29" t="s">
        <v>4193</v>
      </c>
      <c r="L2636" s="29" t="s">
        <v>4194</v>
      </c>
      <c r="M2636" s="29" t="s">
        <v>4200</v>
      </c>
      <c r="N2636" s="29" t="s">
        <v>2041</v>
      </c>
      <c r="O2636" s="29" t="s">
        <v>594</v>
      </c>
    </row>
    <row r="2637" spans="1:15">
      <c r="A2637" s="25">
        <v>20943</v>
      </c>
      <c r="B2637" s="26" t="s">
        <v>4201</v>
      </c>
      <c r="C2637" s="27" t="s">
        <v>521</v>
      </c>
      <c r="D2637" s="27" t="s">
        <v>1149</v>
      </c>
      <c r="E2637" s="28">
        <v>42667</v>
      </c>
      <c r="F2637" s="28">
        <v>43160</v>
      </c>
      <c r="G2637" s="28">
        <v>43524</v>
      </c>
      <c r="H2637" s="27" t="s">
        <v>560</v>
      </c>
      <c r="I2637" s="27" t="s">
        <v>560</v>
      </c>
      <c r="J2637" s="29" t="s">
        <v>1930</v>
      </c>
      <c r="K2637" s="29" t="s">
        <v>4193</v>
      </c>
      <c r="L2637" s="29" t="s">
        <v>4194</v>
      </c>
      <c r="M2637" s="29" t="s">
        <v>4202</v>
      </c>
      <c r="N2637" s="29" t="s">
        <v>1434</v>
      </c>
      <c r="O2637" s="29" t="s">
        <v>594</v>
      </c>
    </row>
    <row r="2638" spans="1:15">
      <c r="A2638" s="25">
        <v>21956</v>
      </c>
      <c r="B2638" s="34" t="s">
        <v>4203</v>
      </c>
      <c r="C2638" s="31" t="s">
        <v>521</v>
      </c>
      <c r="D2638" s="31" t="s">
        <v>1573</v>
      </c>
      <c r="E2638" s="28">
        <v>43116</v>
      </c>
      <c r="F2638" s="28">
        <v>43147</v>
      </c>
      <c r="G2638" s="28">
        <v>43524</v>
      </c>
      <c r="H2638" s="29" t="s">
        <v>560</v>
      </c>
      <c r="I2638" s="29" t="s">
        <v>560</v>
      </c>
      <c r="J2638" s="29" t="s">
        <v>1930</v>
      </c>
      <c r="K2638" s="29" t="s">
        <v>4193</v>
      </c>
      <c r="L2638" s="29" t="s">
        <v>4194</v>
      </c>
      <c r="M2638" s="29" t="s">
        <v>4204</v>
      </c>
      <c r="N2638" s="29" t="s">
        <v>2041</v>
      </c>
      <c r="O2638" s="29" t="s">
        <v>594</v>
      </c>
    </row>
    <row r="2639" spans="1:15">
      <c r="A2639" s="25">
        <v>21977</v>
      </c>
      <c r="B2639" s="34" t="s">
        <v>4205</v>
      </c>
      <c r="C2639" s="31" t="s">
        <v>521</v>
      </c>
      <c r="D2639" s="31" t="s">
        <v>1573</v>
      </c>
      <c r="E2639" s="28">
        <v>43116</v>
      </c>
      <c r="F2639" s="28">
        <v>43147</v>
      </c>
      <c r="G2639" s="28">
        <v>43524</v>
      </c>
      <c r="H2639" s="29" t="s">
        <v>560</v>
      </c>
      <c r="I2639" s="29" t="s">
        <v>560</v>
      </c>
      <c r="J2639" s="29" t="s">
        <v>1930</v>
      </c>
      <c r="K2639" s="29" t="s">
        <v>4193</v>
      </c>
      <c r="L2639" s="29" t="s">
        <v>4194</v>
      </c>
      <c r="M2639" s="29" t="s">
        <v>4206</v>
      </c>
      <c r="N2639" s="29" t="s">
        <v>2031</v>
      </c>
      <c r="O2639" s="29" t="s">
        <v>594</v>
      </c>
    </row>
    <row r="2640" spans="1:15">
      <c r="A2640" s="25">
        <v>22035</v>
      </c>
      <c r="B2640" s="34" t="s">
        <v>4207</v>
      </c>
      <c r="C2640" s="31" t="s">
        <v>521</v>
      </c>
      <c r="D2640" s="31" t="s">
        <v>631</v>
      </c>
      <c r="E2640" s="28">
        <v>43144</v>
      </c>
      <c r="F2640" s="28">
        <v>43172</v>
      </c>
      <c r="G2640" s="28">
        <v>43524</v>
      </c>
      <c r="H2640" s="29" t="s">
        <v>560</v>
      </c>
      <c r="I2640" s="29" t="s">
        <v>560</v>
      </c>
      <c r="J2640" s="29" t="s">
        <v>1930</v>
      </c>
      <c r="K2640" s="29" t="s">
        <v>4193</v>
      </c>
      <c r="L2640" s="29" t="s">
        <v>4194</v>
      </c>
      <c r="M2640" s="29" t="s">
        <v>4208</v>
      </c>
      <c r="N2640" s="29" t="s">
        <v>1434</v>
      </c>
      <c r="O2640" s="29" t="s">
        <v>594</v>
      </c>
    </row>
    <row r="2641" spans="1:15">
      <c r="A2641" s="25">
        <v>22493</v>
      </c>
      <c r="B2641" s="34" t="s">
        <v>4209</v>
      </c>
      <c r="C2641" s="31" t="s">
        <v>521</v>
      </c>
      <c r="D2641" s="31" t="s">
        <v>773</v>
      </c>
      <c r="E2641" s="28">
        <v>43224</v>
      </c>
      <c r="F2641" s="28">
        <v>43255</v>
      </c>
      <c r="G2641" s="28">
        <v>43616</v>
      </c>
      <c r="H2641" s="29" t="s">
        <v>560</v>
      </c>
      <c r="I2641" s="29" t="s">
        <v>560</v>
      </c>
      <c r="J2641" s="29" t="s">
        <v>1930</v>
      </c>
      <c r="K2641" s="29" t="s">
        <v>4193</v>
      </c>
      <c r="L2641" s="29" t="s">
        <v>4194</v>
      </c>
      <c r="M2641" s="29" t="s">
        <v>4210</v>
      </c>
      <c r="N2641" s="29" t="s">
        <v>2041</v>
      </c>
      <c r="O2641" s="29" t="s">
        <v>594</v>
      </c>
    </row>
    <row r="2642" spans="1:15">
      <c r="A2642" s="25">
        <v>22570</v>
      </c>
      <c r="B2642" s="26" t="s">
        <v>4211</v>
      </c>
      <c r="C2642" s="27" t="s">
        <v>521</v>
      </c>
      <c r="D2642" s="27" t="s">
        <v>773</v>
      </c>
      <c r="E2642" s="28">
        <v>43224</v>
      </c>
      <c r="F2642" s="28">
        <v>43255</v>
      </c>
      <c r="G2642" s="28">
        <v>43616</v>
      </c>
      <c r="H2642" s="29" t="s">
        <v>560</v>
      </c>
      <c r="I2642" s="29" t="s">
        <v>560</v>
      </c>
      <c r="J2642" s="29" t="s">
        <v>1930</v>
      </c>
      <c r="K2642" s="29" t="s">
        <v>4193</v>
      </c>
      <c r="L2642" s="29" t="s">
        <v>4194</v>
      </c>
      <c r="M2642" s="29" t="s">
        <v>4212</v>
      </c>
      <c r="N2642" s="29" t="s">
        <v>1434</v>
      </c>
      <c r="O2642" s="29" t="s">
        <v>594</v>
      </c>
    </row>
    <row r="2643" spans="1:15">
      <c r="A2643" s="25">
        <v>22896</v>
      </c>
      <c r="B2643" s="34" t="s">
        <v>4213</v>
      </c>
      <c r="C2643" s="31" t="s">
        <v>521</v>
      </c>
      <c r="D2643" s="31" t="s">
        <v>775</v>
      </c>
      <c r="E2643" s="28">
        <v>43333</v>
      </c>
      <c r="F2643" s="28">
        <v>43364</v>
      </c>
      <c r="G2643" s="28">
        <v>43738</v>
      </c>
      <c r="H2643" s="29" t="s">
        <v>560</v>
      </c>
      <c r="I2643" s="29" t="s">
        <v>560</v>
      </c>
      <c r="J2643" s="29" t="s">
        <v>1930</v>
      </c>
      <c r="K2643" s="29" t="s">
        <v>4193</v>
      </c>
      <c r="L2643" s="29" t="s">
        <v>4194</v>
      </c>
      <c r="M2643" s="29" t="s">
        <v>4214</v>
      </c>
      <c r="N2643" s="29" t="s">
        <v>2041</v>
      </c>
      <c r="O2643" s="29" t="s">
        <v>594</v>
      </c>
    </row>
    <row r="2644" spans="1:15">
      <c r="A2644" s="25">
        <v>22916</v>
      </c>
      <c r="B2644" s="34" t="s">
        <v>4215</v>
      </c>
      <c r="C2644" s="31" t="s">
        <v>521</v>
      </c>
      <c r="D2644" s="31" t="s">
        <v>1962</v>
      </c>
      <c r="E2644" s="28">
        <v>43343</v>
      </c>
      <c r="F2644" s="28">
        <v>43374</v>
      </c>
      <c r="G2644" s="28">
        <v>43738</v>
      </c>
      <c r="H2644" s="29" t="s">
        <v>560</v>
      </c>
      <c r="I2644" s="29" t="s">
        <v>560</v>
      </c>
      <c r="J2644" s="29" t="s">
        <v>1930</v>
      </c>
      <c r="K2644" s="29" t="s">
        <v>4193</v>
      </c>
      <c r="L2644" s="29" t="s">
        <v>4194</v>
      </c>
      <c r="M2644" s="29" t="s">
        <v>4216</v>
      </c>
      <c r="N2644" s="29" t="s">
        <v>1434</v>
      </c>
      <c r="O2644" s="29" t="s">
        <v>594</v>
      </c>
    </row>
    <row r="2645" spans="1:15">
      <c r="A2645" s="25">
        <v>23090</v>
      </c>
      <c r="B2645" s="34" t="s">
        <v>4217</v>
      </c>
      <c r="C2645" s="31" t="s">
        <v>521</v>
      </c>
      <c r="D2645" s="31" t="s">
        <v>1872</v>
      </c>
      <c r="E2645" s="28">
        <v>43361</v>
      </c>
      <c r="F2645" s="28">
        <v>43391</v>
      </c>
      <c r="G2645" s="28">
        <v>43769</v>
      </c>
      <c r="H2645" s="29" t="s">
        <v>560</v>
      </c>
      <c r="I2645" s="29" t="s">
        <v>560</v>
      </c>
      <c r="J2645" s="29" t="s">
        <v>1930</v>
      </c>
      <c r="K2645" s="29" t="s">
        <v>4193</v>
      </c>
      <c r="L2645" s="29" t="s">
        <v>4194</v>
      </c>
      <c r="M2645" s="29" t="s">
        <v>4218</v>
      </c>
      <c r="N2645" s="29" t="s">
        <v>1434</v>
      </c>
      <c r="O2645" s="29" t="s">
        <v>594</v>
      </c>
    </row>
    <row r="2646" spans="1:15">
      <c r="A2646" s="25">
        <v>23281</v>
      </c>
      <c r="B2646" s="34" t="s">
        <v>4219</v>
      </c>
      <c r="C2646" s="31" t="s">
        <v>521</v>
      </c>
      <c r="D2646" s="31" t="s">
        <v>1582</v>
      </c>
      <c r="E2646" s="28">
        <v>43421</v>
      </c>
      <c r="F2646" s="28">
        <v>43451</v>
      </c>
      <c r="G2646" s="28">
        <v>43830</v>
      </c>
      <c r="H2646" s="29" t="s">
        <v>560</v>
      </c>
      <c r="I2646" s="29" t="s">
        <v>560</v>
      </c>
      <c r="J2646" s="29" t="s">
        <v>1930</v>
      </c>
      <c r="K2646" s="29" t="s">
        <v>4193</v>
      </c>
      <c r="L2646" s="29" t="s">
        <v>4194</v>
      </c>
      <c r="M2646" s="29" t="s">
        <v>2079</v>
      </c>
      <c r="N2646" s="29" t="s">
        <v>2080</v>
      </c>
      <c r="O2646" s="29" t="s">
        <v>594</v>
      </c>
    </row>
    <row r="2647" spans="1:15">
      <c r="A2647" s="25">
        <v>23282</v>
      </c>
      <c r="B2647" s="34" t="s">
        <v>4220</v>
      </c>
      <c r="C2647" s="31" t="s">
        <v>521</v>
      </c>
      <c r="D2647" s="31" t="s">
        <v>1582</v>
      </c>
      <c r="E2647" s="28">
        <v>43421</v>
      </c>
      <c r="F2647" s="28">
        <v>43451</v>
      </c>
      <c r="G2647" s="28">
        <v>43830</v>
      </c>
      <c r="H2647" s="29" t="s">
        <v>560</v>
      </c>
      <c r="I2647" s="29" t="s">
        <v>560</v>
      </c>
      <c r="J2647" s="29" t="s">
        <v>1930</v>
      </c>
      <c r="K2647" s="29" t="s">
        <v>4193</v>
      </c>
      <c r="L2647" s="29" t="s">
        <v>4194</v>
      </c>
      <c r="M2647" s="29" t="s">
        <v>2418</v>
      </c>
      <c r="N2647" s="29" t="s">
        <v>2041</v>
      </c>
      <c r="O2647" s="29" t="s">
        <v>594</v>
      </c>
    </row>
    <row r="2648" spans="1:15">
      <c r="A2648" s="25">
        <v>23396</v>
      </c>
      <c r="B2648" s="34" t="s">
        <v>4221</v>
      </c>
      <c r="C2648" s="31" t="s">
        <v>521</v>
      </c>
      <c r="D2648" s="31" t="s">
        <v>882</v>
      </c>
      <c r="E2648" s="28">
        <v>43434</v>
      </c>
      <c r="F2648" s="28">
        <v>43464</v>
      </c>
      <c r="G2648" s="28">
        <v>43830</v>
      </c>
      <c r="H2648" s="29" t="s">
        <v>560</v>
      </c>
      <c r="I2648" s="29" t="s">
        <v>560</v>
      </c>
      <c r="J2648" s="29" t="s">
        <v>1930</v>
      </c>
      <c r="K2648" s="29" t="s">
        <v>4193</v>
      </c>
      <c r="L2648" s="29" t="s">
        <v>4194</v>
      </c>
      <c r="M2648" s="29" t="s">
        <v>1593</v>
      </c>
      <c r="N2648" s="29" t="s">
        <v>1586</v>
      </c>
      <c r="O2648" s="29" t="s">
        <v>594</v>
      </c>
    </row>
    <row r="2649" spans="1:15">
      <c r="A2649" s="25">
        <v>23397</v>
      </c>
      <c r="B2649" s="34" t="s">
        <v>4222</v>
      </c>
      <c r="C2649" s="31" t="s">
        <v>521</v>
      </c>
      <c r="D2649" s="31" t="s">
        <v>882</v>
      </c>
      <c r="E2649" s="28">
        <v>43434</v>
      </c>
      <c r="F2649" s="28">
        <v>43464</v>
      </c>
      <c r="G2649" s="28">
        <v>43830</v>
      </c>
      <c r="H2649" s="29" t="s">
        <v>560</v>
      </c>
      <c r="I2649" s="29" t="s">
        <v>560</v>
      </c>
      <c r="J2649" s="29" t="s">
        <v>1930</v>
      </c>
      <c r="K2649" s="29" t="s">
        <v>4193</v>
      </c>
      <c r="L2649" s="29" t="s">
        <v>4194</v>
      </c>
      <c r="M2649" s="29" t="s">
        <v>1593</v>
      </c>
      <c r="N2649" s="29" t="s">
        <v>1586</v>
      </c>
      <c r="O2649" s="29" t="s">
        <v>594</v>
      </c>
    </row>
    <row r="2650" spans="1:15">
      <c r="A2650" s="25">
        <v>10134</v>
      </c>
      <c r="B2650" s="34" t="s">
        <v>4223</v>
      </c>
      <c r="C2650" s="31" t="s">
        <v>521</v>
      </c>
      <c r="D2650" s="27" t="s">
        <v>601</v>
      </c>
      <c r="E2650" s="28">
        <v>40444</v>
      </c>
      <c r="F2650" s="28" t="s">
        <v>35</v>
      </c>
      <c r="G2650" s="28" t="s">
        <v>35</v>
      </c>
      <c r="H2650" s="31" t="s">
        <v>560</v>
      </c>
      <c r="I2650" s="31" t="s">
        <v>560</v>
      </c>
      <c r="J2650" s="29" t="s">
        <v>1930</v>
      </c>
      <c r="K2650" s="29" t="s">
        <v>4193</v>
      </c>
      <c r="L2650" s="29" t="s">
        <v>4194</v>
      </c>
      <c r="M2650" s="29" t="s">
        <v>4224</v>
      </c>
      <c r="N2650" s="29" t="s">
        <v>2041</v>
      </c>
      <c r="O2650" s="29" t="s">
        <v>590</v>
      </c>
    </row>
    <row r="2651" spans="1:15">
      <c r="A2651" s="25">
        <v>12577</v>
      </c>
      <c r="B2651" s="34" t="s">
        <v>3395</v>
      </c>
      <c r="C2651" s="31" t="s">
        <v>521</v>
      </c>
      <c r="D2651" s="27" t="s">
        <v>722</v>
      </c>
      <c r="E2651" s="28">
        <v>40812</v>
      </c>
      <c r="F2651" s="28" t="s">
        <v>35</v>
      </c>
      <c r="G2651" s="28" t="s">
        <v>35</v>
      </c>
      <c r="H2651" s="31" t="s">
        <v>560</v>
      </c>
      <c r="I2651" s="31" t="s">
        <v>560</v>
      </c>
      <c r="J2651" s="29" t="s">
        <v>1930</v>
      </c>
      <c r="K2651" s="29" t="s">
        <v>4193</v>
      </c>
      <c r="L2651" s="29" t="s">
        <v>4194</v>
      </c>
      <c r="M2651" s="29" t="s">
        <v>4225</v>
      </c>
      <c r="N2651" s="29" t="s">
        <v>2041</v>
      </c>
      <c r="O2651" s="29" t="s">
        <v>590</v>
      </c>
    </row>
    <row r="2652" spans="1:15">
      <c r="A2652" s="25">
        <v>21952</v>
      </c>
      <c r="B2652" s="34" t="s">
        <v>4226</v>
      </c>
      <c r="C2652" s="31" t="s">
        <v>521</v>
      </c>
      <c r="D2652" s="31" t="s">
        <v>1573</v>
      </c>
      <c r="E2652" s="28">
        <v>43116</v>
      </c>
      <c r="F2652" s="28">
        <v>43147</v>
      </c>
      <c r="G2652" s="28">
        <v>43524</v>
      </c>
      <c r="H2652" s="29" t="s">
        <v>560</v>
      </c>
      <c r="I2652" s="29" t="s">
        <v>560</v>
      </c>
      <c r="J2652" s="29" t="s">
        <v>1930</v>
      </c>
      <c r="K2652" s="29" t="s">
        <v>4193</v>
      </c>
      <c r="L2652" s="29" t="s">
        <v>4194</v>
      </c>
      <c r="M2652" s="29" t="s">
        <v>2079</v>
      </c>
      <c r="N2652" s="29" t="s">
        <v>2080</v>
      </c>
      <c r="O2652" s="29" t="s">
        <v>590</v>
      </c>
    </row>
    <row r="2653" spans="1:15">
      <c r="A2653" s="25">
        <v>22151</v>
      </c>
      <c r="B2653" s="34" t="s">
        <v>4227</v>
      </c>
      <c r="C2653" s="31" t="s">
        <v>521</v>
      </c>
      <c r="D2653" s="31" t="s">
        <v>758</v>
      </c>
      <c r="E2653" s="28">
        <v>43153</v>
      </c>
      <c r="F2653" s="28">
        <v>43181</v>
      </c>
      <c r="G2653" s="28">
        <v>43555</v>
      </c>
      <c r="H2653" s="29" t="s">
        <v>560</v>
      </c>
      <c r="I2653" s="29" t="s">
        <v>560</v>
      </c>
      <c r="J2653" s="29" t="s">
        <v>1930</v>
      </c>
      <c r="K2653" s="29" t="s">
        <v>4193</v>
      </c>
      <c r="L2653" s="29" t="s">
        <v>4194</v>
      </c>
      <c r="M2653" s="29" t="s">
        <v>4225</v>
      </c>
      <c r="N2653" s="29" t="s">
        <v>2041</v>
      </c>
      <c r="O2653" s="29" t="s">
        <v>590</v>
      </c>
    </row>
    <row r="2654" spans="1:15">
      <c r="A2654" s="25">
        <v>22322</v>
      </c>
      <c r="B2654" s="26" t="s">
        <v>4228</v>
      </c>
      <c r="C2654" s="27" t="s">
        <v>521</v>
      </c>
      <c r="D2654" s="27" t="s">
        <v>1191</v>
      </c>
      <c r="E2654" s="28">
        <v>43192</v>
      </c>
      <c r="F2654" s="28">
        <v>43222</v>
      </c>
      <c r="G2654" s="28">
        <v>43585</v>
      </c>
      <c r="H2654" s="27" t="s">
        <v>560</v>
      </c>
      <c r="I2654" s="27" t="s">
        <v>560</v>
      </c>
      <c r="J2654" s="29" t="s">
        <v>1930</v>
      </c>
      <c r="K2654" s="29" t="s">
        <v>4193</v>
      </c>
      <c r="L2654" s="29" t="s">
        <v>4194</v>
      </c>
      <c r="M2654" s="29" t="s">
        <v>4229</v>
      </c>
      <c r="N2654" s="29" t="s">
        <v>1434</v>
      </c>
      <c r="O2654" s="29" t="s">
        <v>590</v>
      </c>
    </row>
    <row r="2655" spans="1:15">
      <c r="A2655" s="25">
        <v>22417</v>
      </c>
      <c r="B2655" s="34" t="s">
        <v>4230</v>
      </c>
      <c r="C2655" s="31" t="s">
        <v>521</v>
      </c>
      <c r="D2655" s="31" t="s">
        <v>805</v>
      </c>
      <c r="E2655" s="28">
        <v>43213</v>
      </c>
      <c r="F2655" s="28">
        <v>43243</v>
      </c>
      <c r="G2655" s="28">
        <v>43616</v>
      </c>
      <c r="H2655" s="29" t="s">
        <v>560</v>
      </c>
      <c r="I2655" s="29" t="s">
        <v>560</v>
      </c>
      <c r="J2655" s="29" t="s">
        <v>1930</v>
      </c>
      <c r="K2655" s="29" t="s">
        <v>4193</v>
      </c>
      <c r="L2655" s="29" t="s">
        <v>4194</v>
      </c>
      <c r="M2655" s="29" t="s">
        <v>4037</v>
      </c>
      <c r="N2655" s="29" t="s">
        <v>2041</v>
      </c>
      <c r="O2655" s="29" t="s">
        <v>590</v>
      </c>
    </row>
    <row r="2656" spans="1:15">
      <c r="A2656" s="25">
        <v>23150</v>
      </c>
      <c r="B2656" s="34" t="s">
        <v>4231</v>
      </c>
      <c r="C2656" s="31" t="s">
        <v>521</v>
      </c>
      <c r="D2656" s="31" t="s">
        <v>1523</v>
      </c>
      <c r="E2656" s="28">
        <v>43369</v>
      </c>
      <c r="F2656" s="28">
        <v>43399</v>
      </c>
      <c r="G2656" s="28">
        <v>43769</v>
      </c>
      <c r="H2656" s="29" t="s">
        <v>560</v>
      </c>
      <c r="I2656" s="29" t="s">
        <v>560</v>
      </c>
      <c r="J2656" s="29" t="s">
        <v>1930</v>
      </c>
      <c r="K2656" s="29" t="s">
        <v>4193</v>
      </c>
      <c r="L2656" s="29" t="s">
        <v>4194</v>
      </c>
      <c r="M2656" s="29" t="s">
        <v>2030</v>
      </c>
      <c r="N2656" s="29" t="s">
        <v>2023</v>
      </c>
      <c r="O2656" s="29" t="s">
        <v>590</v>
      </c>
    </row>
    <row r="2657" spans="1:15">
      <c r="A2657" s="25">
        <v>23352</v>
      </c>
      <c r="B2657" s="34" t="s">
        <v>4232</v>
      </c>
      <c r="C2657" s="31" t="s">
        <v>521</v>
      </c>
      <c r="D2657" s="31" t="s">
        <v>1527</v>
      </c>
      <c r="E2657" s="28">
        <v>43427</v>
      </c>
      <c r="F2657" s="28">
        <v>43457</v>
      </c>
      <c r="G2657" s="28">
        <v>43830</v>
      </c>
      <c r="H2657" s="29" t="s">
        <v>560</v>
      </c>
      <c r="I2657" s="29" t="s">
        <v>560</v>
      </c>
      <c r="J2657" s="29" t="s">
        <v>1930</v>
      </c>
      <c r="K2657" s="29" t="s">
        <v>4193</v>
      </c>
      <c r="L2657" s="29" t="s">
        <v>4194</v>
      </c>
      <c r="M2657" s="29" t="s">
        <v>4233</v>
      </c>
      <c r="N2657" s="29" t="s">
        <v>1434</v>
      </c>
      <c r="O2657" s="29" t="s">
        <v>590</v>
      </c>
    </row>
    <row r="2658" spans="1:15">
      <c r="A2658" s="25">
        <v>9430</v>
      </c>
      <c r="B2658" s="26" t="s">
        <v>4234</v>
      </c>
      <c r="C2658" s="27" t="s">
        <v>521</v>
      </c>
      <c r="D2658" s="27" t="s">
        <v>658</v>
      </c>
      <c r="E2658" s="28">
        <v>40148</v>
      </c>
      <c r="F2658" s="28" t="s">
        <v>35</v>
      </c>
      <c r="G2658" s="28" t="s">
        <v>35</v>
      </c>
      <c r="H2658" s="27" t="s">
        <v>560</v>
      </c>
      <c r="I2658" s="27" t="s">
        <v>560</v>
      </c>
      <c r="J2658" s="29" t="s">
        <v>1930</v>
      </c>
      <c r="K2658" s="29" t="s">
        <v>4235</v>
      </c>
      <c r="L2658" s="29" t="s">
        <v>4236</v>
      </c>
      <c r="M2658" s="29" t="s">
        <v>1550</v>
      </c>
      <c r="N2658" s="29" t="s">
        <v>1045</v>
      </c>
      <c r="O2658" s="29" t="s">
        <v>594</v>
      </c>
    </row>
    <row r="2659" spans="1:15">
      <c r="A2659" s="25">
        <v>11733</v>
      </c>
      <c r="B2659" s="26" t="s">
        <v>4237</v>
      </c>
      <c r="C2659" s="27" t="s">
        <v>521</v>
      </c>
      <c r="D2659" s="27" t="s">
        <v>675</v>
      </c>
      <c r="E2659" s="28">
        <v>40714</v>
      </c>
      <c r="F2659" s="28" t="s">
        <v>35</v>
      </c>
      <c r="G2659" s="28" t="s">
        <v>35</v>
      </c>
      <c r="H2659" s="27" t="s">
        <v>560</v>
      </c>
      <c r="I2659" s="27" t="s">
        <v>560</v>
      </c>
      <c r="J2659" s="29" t="s">
        <v>1930</v>
      </c>
      <c r="K2659" s="29" t="s">
        <v>4235</v>
      </c>
      <c r="L2659" s="29" t="s">
        <v>4236</v>
      </c>
      <c r="M2659" s="29" t="s">
        <v>2025</v>
      </c>
      <c r="N2659" s="29" t="s">
        <v>2026</v>
      </c>
      <c r="O2659" s="29" t="s">
        <v>594</v>
      </c>
    </row>
    <row r="2660" spans="1:15">
      <c r="A2660" s="25">
        <v>20931</v>
      </c>
      <c r="B2660" s="26" t="s">
        <v>4238</v>
      </c>
      <c r="C2660" s="27" t="s">
        <v>521</v>
      </c>
      <c r="D2660" s="27" t="s">
        <v>1149</v>
      </c>
      <c r="E2660" s="28">
        <v>42667</v>
      </c>
      <c r="F2660" s="28">
        <v>43160</v>
      </c>
      <c r="G2660" s="28">
        <v>43524</v>
      </c>
      <c r="H2660" s="27" t="s">
        <v>560</v>
      </c>
      <c r="I2660" s="27" t="s">
        <v>560</v>
      </c>
      <c r="J2660" s="29" t="s">
        <v>1930</v>
      </c>
      <c r="K2660" s="29" t="s">
        <v>4235</v>
      </c>
      <c r="L2660" s="29" t="s">
        <v>4236</v>
      </c>
      <c r="M2660" s="29" t="s">
        <v>4239</v>
      </c>
      <c r="N2660" s="29" t="s">
        <v>1511</v>
      </c>
      <c r="O2660" s="29" t="s">
        <v>594</v>
      </c>
    </row>
    <row r="2661" spans="1:15">
      <c r="A2661" s="25">
        <v>20963</v>
      </c>
      <c r="B2661" s="33" t="s">
        <v>4240</v>
      </c>
      <c r="C2661" s="27" t="s">
        <v>521</v>
      </c>
      <c r="D2661" s="27" t="s">
        <v>1149</v>
      </c>
      <c r="E2661" s="28">
        <v>42667</v>
      </c>
      <c r="F2661" s="28">
        <v>43160</v>
      </c>
      <c r="G2661" s="28">
        <v>43524</v>
      </c>
      <c r="H2661" s="31" t="s">
        <v>560</v>
      </c>
      <c r="I2661" s="31" t="s">
        <v>560</v>
      </c>
      <c r="J2661" s="29" t="s">
        <v>1930</v>
      </c>
      <c r="K2661" s="29" t="s">
        <v>4235</v>
      </c>
      <c r="L2661" s="29" t="s">
        <v>4236</v>
      </c>
      <c r="M2661" s="29" t="s">
        <v>4241</v>
      </c>
      <c r="N2661" s="29" t="s">
        <v>1511</v>
      </c>
      <c r="O2661" s="29" t="s">
        <v>594</v>
      </c>
    </row>
    <row r="2662" spans="1:15">
      <c r="A2662" s="25">
        <v>21215</v>
      </c>
      <c r="B2662" s="26" t="s">
        <v>4242</v>
      </c>
      <c r="C2662" s="27" t="s">
        <v>521</v>
      </c>
      <c r="D2662" s="27" t="s">
        <v>2480</v>
      </c>
      <c r="E2662" s="28">
        <v>42877</v>
      </c>
      <c r="F2662" s="28">
        <v>43374</v>
      </c>
      <c r="G2662" s="28">
        <v>43738</v>
      </c>
      <c r="H2662" s="29" t="s">
        <v>560</v>
      </c>
      <c r="I2662" s="29" t="s">
        <v>560</v>
      </c>
      <c r="J2662" s="29" t="s">
        <v>1930</v>
      </c>
      <c r="K2662" s="29" t="s">
        <v>4235</v>
      </c>
      <c r="L2662" s="29" t="s">
        <v>4236</v>
      </c>
      <c r="M2662" s="29" t="s">
        <v>2030</v>
      </c>
      <c r="N2662" s="29" t="s">
        <v>2031</v>
      </c>
      <c r="O2662" s="29" t="s">
        <v>594</v>
      </c>
    </row>
    <row r="2663" spans="1:15">
      <c r="A2663" s="25">
        <v>21439</v>
      </c>
      <c r="B2663" s="34" t="s">
        <v>4243</v>
      </c>
      <c r="C2663" s="31" t="s">
        <v>521</v>
      </c>
      <c r="D2663" s="31" t="s">
        <v>2166</v>
      </c>
      <c r="E2663" s="28">
        <v>43024</v>
      </c>
      <c r="F2663" s="28">
        <v>43435</v>
      </c>
      <c r="G2663" s="28">
        <v>43799</v>
      </c>
      <c r="H2663" s="29" t="s">
        <v>560</v>
      </c>
      <c r="I2663" s="29" t="s">
        <v>560</v>
      </c>
      <c r="J2663" s="29" t="s">
        <v>1930</v>
      </c>
      <c r="K2663" s="29" t="s">
        <v>4235</v>
      </c>
      <c r="L2663" s="29" t="s">
        <v>4236</v>
      </c>
      <c r="M2663" s="29" t="s">
        <v>4244</v>
      </c>
      <c r="N2663" s="29" t="s">
        <v>1434</v>
      </c>
      <c r="O2663" s="29" t="s">
        <v>594</v>
      </c>
    </row>
    <row r="2664" spans="1:15">
      <c r="A2664" s="25">
        <v>21845</v>
      </c>
      <c r="B2664" s="34" t="s">
        <v>4245</v>
      </c>
      <c r="C2664" s="31" t="s">
        <v>521</v>
      </c>
      <c r="D2664" s="31" t="s">
        <v>732</v>
      </c>
      <c r="E2664" s="28">
        <v>43098</v>
      </c>
      <c r="F2664" s="28">
        <v>43129</v>
      </c>
      <c r="G2664" s="28">
        <v>43496</v>
      </c>
      <c r="H2664" s="29" t="s">
        <v>560</v>
      </c>
      <c r="I2664" s="29" t="s">
        <v>560</v>
      </c>
      <c r="J2664" s="29" t="s">
        <v>1930</v>
      </c>
      <c r="K2664" s="29" t="s">
        <v>4235</v>
      </c>
      <c r="L2664" s="29" t="s">
        <v>4236</v>
      </c>
      <c r="M2664" s="29" t="s">
        <v>4246</v>
      </c>
      <c r="N2664" s="29" t="s">
        <v>2041</v>
      </c>
      <c r="O2664" s="29" t="s">
        <v>594</v>
      </c>
    </row>
    <row r="2665" spans="1:15">
      <c r="A2665" s="25">
        <v>21848</v>
      </c>
      <c r="B2665" s="34" t="s">
        <v>4247</v>
      </c>
      <c r="C2665" s="31" t="s">
        <v>521</v>
      </c>
      <c r="D2665" s="31" t="s">
        <v>732</v>
      </c>
      <c r="E2665" s="28">
        <v>43098</v>
      </c>
      <c r="F2665" s="28">
        <v>43129</v>
      </c>
      <c r="G2665" s="28">
        <v>43496</v>
      </c>
      <c r="H2665" s="29" t="s">
        <v>560</v>
      </c>
      <c r="I2665" s="29" t="s">
        <v>560</v>
      </c>
      <c r="J2665" s="29" t="s">
        <v>1930</v>
      </c>
      <c r="K2665" s="29" t="s">
        <v>4235</v>
      </c>
      <c r="L2665" s="29" t="s">
        <v>4236</v>
      </c>
      <c r="M2665" s="29" t="s">
        <v>2030</v>
      </c>
      <c r="N2665" s="29" t="s">
        <v>2031</v>
      </c>
      <c r="O2665" s="29" t="s">
        <v>594</v>
      </c>
    </row>
    <row r="2666" spans="1:15">
      <c r="A2666" s="25">
        <v>22622</v>
      </c>
      <c r="B2666" s="34" t="s">
        <v>4248</v>
      </c>
      <c r="C2666" s="31" t="s">
        <v>521</v>
      </c>
      <c r="D2666" s="31" t="s">
        <v>745</v>
      </c>
      <c r="E2666" s="28">
        <v>43236</v>
      </c>
      <c r="F2666" s="28">
        <v>43267</v>
      </c>
      <c r="G2666" s="28">
        <v>43646</v>
      </c>
      <c r="H2666" s="29" t="s">
        <v>560</v>
      </c>
      <c r="I2666" s="29" t="s">
        <v>560</v>
      </c>
      <c r="J2666" s="29" t="s">
        <v>1930</v>
      </c>
      <c r="K2666" s="29" t="s">
        <v>4235</v>
      </c>
      <c r="L2666" s="29" t="s">
        <v>4236</v>
      </c>
      <c r="M2666" s="29" t="s">
        <v>4249</v>
      </c>
      <c r="N2666" s="29" t="s">
        <v>1434</v>
      </c>
      <c r="O2666" s="29" t="s">
        <v>594</v>
      </c>
    </row>
    <row r="2667" spans="1:15">
      <c r="A2667" s="25">
        <v>22644</v>
      </c>
      <c r="B2667" s="34" t="s">
        <v>4250</v>
      </c>
      <c r="C2667" s="31" t="s">
        <v>521</v>
      </c>
      <c r="D2667" s="31" t="s">
        <v>1199</v>
      </c>
      <c r="E2667" s="28">
        <v>43241</v>
      </c>
      <c r="F2667" s="28">
        <v>43272</v>
      </c>
      <c r="G2667" s="28">
        <v>43646</v>
      </c>
      <c r="H2667" s="29" t="s">
        <v>560</v>
      </c>
      <c r="I2667" s="29" t="s">
        <v>560</v>
      </c>
      <c r="J2667" s="29" t="s">
        <v>1930</v>
      </c>
      <c r="K2667" s="29" t="s">
        <v>4235</v>
      </c>
      <c r="L2667" s="29" t="s">
        <v>4236</v>
      </c>
      <c r="M2667" s="29" t="s">
        <v>4251</v>
      </c>
      <c r="N2667" s="29" t="s">
        <v>1525</v>
      </c>
      <c r="O2667" s="29" t="s">
        <v>594</v>
      </c>
    </row>
    <row r="2668" spans="1:15">
      <c r="A2668" s="25">
        <v>22677</v>
      </c>
      <c r="B2668" s="34" t="s">
        <v>4252</v>
      </c>
      <c r="C2668" s="31" t="s">
        <v>521</v>
      </c>
      <c r="D2668" s="31" t="s">
        <v>1199</v>
      </c>
      <c r="E2668" s="28">
        <v>43241</v>
      </c>
      <c r="F2668" s="28">
        <v>43272</v>
      </c>
      <c r="G2668" s="28">
        <v>43646</v>
      </c>
      <c r="H2668" s="29" t="s">
        <v>560</v>
      </c>
      <c r="I2668" s="29" t="s">
        <v>560</v>
      </c>
      <c r="J2668" s="29" t="s">
        <v>1930</v>
      </c>
      <c r="K2668" s="29" t="s">
        <v>4235</v>
      </c>
      <c r="L2668" s="29" t="s">
        <v>4236</v>
      </c>
      <c r="M2668" s="29" t="s">
        <v>4253</v>
      </c>
      <c r="N2668" s="29" t="s">
        <v>1434</v>
      </c>
      <c r="O2668" s="29" t="s">
        <v>594</v>
      </c>
    </row>
    <row r="2669" spans="1:15">
      <c r="A2669" s="25">
        <v>22712</v>
      </c>
      <c r="B2669" s="33" t="s">
        <v>4254</v>
      </c>
      <c r="C2669" s="27" t="s">
        <v>521</v>
      </c>
      <c r="D2669" s="27" t="s">
        <v>1195</v>
      </c>
      <c r="E2669" s="28">
        <v>43244</v>
      </c>
      <c r="F2669" s="28">
        <v>43275</v>
      </c>
      <c r="G2669" s="28">
        <v>43646</v>
      </c>
      <c r="H2669" s="29" t="s">
        <v>560</v>
      </c>
      <c r="I2669" s="29" t="s">
        <v>560</v>
      </c>
      <c r="J2669" s="29" t="s">
        <v>1930</v>
      </c>
      <c r="K2669" s="29" t="s">
        <v>4235</v>
      </c>
      <c r="L2669" s="29" t="s">
        <v>4236</v>
      </c>
      <c r="M2669" s="29" t="s">
        <v>4255</v>
      </c>
      <c r="N2669" s="29" t="s">
        <v>1434</v>
      </c>
      <c r="O2669" s="29" t="s">
        <v>594</v>
      </c>
    </row>
    <row r="2670" spans="1:15">
      <c r="A2670" s="25">
        <v>22858</v>
      </c>
      <c r="B2670" s="34" t="s">
        <v>4256</v>
      </c>
      <c r="C2670" s="31" t="s">
        <v>521</v>
      </c>
      <c r="D2670" s="31" t="s">
        <v>775</v>
      </c>
      <c r="E2670" s="28">
        <v>43333</v>
      </c>
      <c r="F2670" s="28">
        <v>43364</v>
      </c>
      <c r="G2670" s="28">
        <v>43738</v>
      </c>
      <c r="H2670" s="29" t="s">
        <v>560</v>
      </c>
      <c r="I2670" s="29" t="s">
        <v>560</v>
      </c>
      <c r="J2670" s="29" t="s">
        <v>1930</v>
      </c>
      <c r="K2670" s="29" t="s">
        <v>4235</v>
      </c>
      <c r="L2670" s="29" t="s">
        <v>4236</v>
      </c>
      <c r="M2670" s="29" t="s">
        <v>4244</v>
      </c>
      <c r="N2670" s="29" t="s">
        <v>1434</v>
      </c>
      <c r="O2670" s="29" t="s">
        <v>594</v>
      </c>
    </row>
    <row r="2671" spans="1:15">
      <c r="A2671" s="25">
        <v>23134</v>
      </c>
      <c r="B2671" s="34" t="s">
        <v>4257</v>
      </c>
      <c r="C2671" s="31" t="s">
        <v>521</v>
      </c>
      <c r="D2671" s="31" t="s">
        <v>1523</v>
      </c>
      <c r="E2671" s="28">
        <v>43369</v>
      </c>
      <c r="F2671" s="28">
        <v>43399</v>
      </c>
      <c r="G2671" s="28">
        <v>43769</v>
      </c>
      <c r="H2671" s="29" t="s">
        <v>560</v>
      </c>
      <c r="I2671" s="29" t="s">
        <v>560</v>
      </c>
      <c r="J2671" s="29" t="s">
        <v>1930</v>
      </c>
      <c r="K2671" s="29" t="s">
        <v>4235</v>
      </c>
      <c r="L2671" s="29" t="s">
        <v>4236</v>
      </c>
      <c r="M2671" s="29" t="s">
        <v>4258</v>
      </c>
      <c r="N2671" s="29" t="s">
        <v>1434</v>
      </c>
      <c r="O2671" s="29" t="s">
        <v>594</v>
      </c>
    </row>
    <row r="2672" spans="1:15">
      <c r="A2672" s="25">
        <v>23283</v>
      </c>
      <c r="B2672" s="34" t="s">
        <v>4259</v>
      </c>
      <c r="C2672" s="31" t="s">
        <v>521</v>
      </c>
      <c r="D2672" s="31" t="s">
        <v>1582</v>
      </c>
      <c r="E2672" s="28">
        <v>43421</v>
      </c>
      <c r="F2672" s="28">
        <v>43451</v>
      </c>
      <c r="G2672" s="28">
        <v>43830</v>
      </c>
      <c r="H2672" s="29" t="s">
        <v>560</v>
      </c>
      <c r="I2672" s="29" t="s">
        <v>560</v>
      </c>
      <c r="J2672" s="29" t="s">
        <v>1930</v>
      </c>
      <c r="K2672" s="29" t="s">
        <v>4235</v>
      </c>
      <c r="L2672" s="29" t="s">
        <v>4236</v>
      </c>
      <c r="M2672" s="29" t="s">
        <v>4260</v>
      </c>
      <c r="N2672" s="29" t="s">
        <v>1434</v>
      </c>
      <c r="O2672" s="29" t="s">
        <v>594</v>
      </c>
    </row>
    <row r="2673" spans="1:15">
      <c r="A2673" s="25">
        <v>23420</v>
      </c>
      <c r="B2673" s="34" t="s">
        <v>4261</v>
      </c>
      <c r="C2673" s="31" t="s">
        <v>521</v>
      </c>
      <c r="D2673" s="31" t="s">
        <v>882</v>
      </c>
      <c r="E2673" s="28">
        <v>43434</v>
      </c>
      <c r="F2673" s="28">
        <v>43464</v>
      </c>
      <c r="G2673" s="28">
        <v>43830</v>
      </c>
      <c r="H2673" s="29" t="s">
        <v>560</v>
      </c>
      <c r="I2673" s="29" t="s">
        <v>560</v>
      </c>
      <c r="J2673" s="29" t="s">
        <v>1930</v>
      </c>
      <c r="K2673" s="29" t="s">
        <v>4235</v>
      </c>
      <c r="L2673" s="29" t="s">
        <v>4236</v>
      </c>
      <c r="M2673" s="29" t="s">
        <v>1593</v>
      </c>
      <c r="N2673" s="29" t="s">
        <v>1586</v>
      </c>
      <c r="O2673" s="29" t="s">
        <v>594</v>
      </c>
    </row>
    <row r="2674" spans="1:15">
      <c r="A2674" s="25">
        <v>4653</v>
      </c>
      <c r="B2674" s="83" t="s">
        <v>4262</v>
      </c>
      <c r="C2674" s="25" t="s">
        <v>521</v>
      </c>
      <c r="D2674" s="25" t="s">
        <v>1475</v>
      </c>
      <c r="E2674" s="28">
        <v>38901</v>
      </c>
      <c r="F2674" s="28" t="s">
        <v>35</v>
      </c>
      <c r="G2674" s="28" t="s">
        <v>35</v>
      </c>
      <c r="H2674" s="29" t="s">
        <v>560</v>
      </c>
      <c r="I2674" s="29" t="s">
        <v>560</v>
      </c>
      <c r="J2674" s="29" t="s">
        <v>1930</v>
      </c>
      <c r="K2674" s="29" t="s">
        <v>4235</v>
      </c>
      <c r="L2674" s="29" t="s">
        <v>4236</v>
      </c>
      <c r="M2674" s="29" t="s">
        <v>1550</v>
      </c>
      <c r="N2674" s="29" t="s">
        <v>1045</v>
      </c>
      <c r="O2674" s="29" t="s">
        <v>590</v>
      </c>
    </row>
    <row r="2675" spans="1:15">
      <c r="A2675" s="25">
        <v>11166</v>
      </c>
      <c r="B2675" s="26" t="s">
        <v>4263</v>
      </c>
      <c r="C2675" s="27" t="s">
        <v>521</v>
      </c>
      <c r="D2675" s="27" t="s">
        <v>2657</v>
      </c>
      <c r="E2675" s="28">
        <v>40610</v>
      </c>
      <c r="F2675" s="28" t="s">
        <v>35</v>
      </c>
      <c r="G2675" s="28" t="s">
        <v>35</v>
      </c>
      <c r="H2675" s="27" t="s">
        <v>560</v>
      </c>
      <c r="I2675" s="27" t="s">
        <v>560</v>
      </c>
      <c r="J2675" s="29" t="s">
        <v>1930</v>
      </c>
      <c r="K2675" s="29" t="s">
        <v>4235</v>
      </c>
      <c r="L2675" s="29" t="s">
        <v>4236</v>
      </c>
      <c r="M2675" s="29" t="s">
        <v>2025</v>
      </c>
      <c r="N2675" s="29" t="s">
        <v>2026</v>
      </c>
      <c r="O2675" s="29" t="s">
        <v>590</v>
      </c>
    </row>
    <row r="2676" spans="1:15">
      <c r="A2676" s="25">
        <v>20358</v>
      </c>
      <c r="B2676" s="26" t="s">
        <v>4264</v>
      </c>
      <c r="C2676" s="27" t="s">
        <v>521</v>
      </c>
      <c r="D2676" s="27" t="s">
        <v>4265</v>
      </c>
      <c r="E2676" s="28">
        <v>42607</v>
      </c>
      <c r="F2676" s="28" t="s">
        <v>35</v>
      </c>
      <c r="G2676" s="28" t="s">
        <v>35</v>
      </c>
      <c r="H2676" s="27" t="s">
        <v>560</v>
      </c>
      <c r="I2676" s="27" t="s">
        <v>560</v>
      </c>
      <c r="J2676" s="29" t="s">
        <v>1930</v>
      </c>
      <c r="K2676" s="29" t="s">
        <v>4235</v>
      </c>
      <c r="L2676" s="29" t="s">
        <v>4236</v>
      </c>
      <c r="M2676" s="29" t="s">
        <v>4266</v>
      </c>
      <c r="N2676" s="29" t="s">
        <v>1525</v>
      </c>
      <c r="O2676" s="29" t="s">
        <v>590</v>
      </c>
    </row>
    <row r="2677" spans="1:15">
      <c r="A2677" s="25">
        <v>21392</v>
      </c>
      <c r="B2677" s="34" t="s">
        <v>4267</v>
      </c>
      <c r="C2677" s="31" t="s">
        <v>521</v>
      </c>
      <c r="D2677" s="31" t="s">
        <v>2283</v>
      </c>
      <c r="E2677" s="28">
        <v>43018</v>
      </c>
      <c r="F2677" s="28">
        <v>43405</v>
      </c>
      <c r="G2677" s="28">
        <v>43769</v>
      </c>
      <c r="H2677" s="29" t="s">
        <v>560</v>
      </c>
      <c r="I2677" s="29" t="s">
        <v>560</v>
      </c>
      <c r="J2677" s="29" t="s">
        <v>1930</v>
      </c>
      <c r="K2677" s="29" t="s">
        <v>4235</v>
      </c>
      <c r="L2677" s="29" t="s">
        <v>4236</v>
      </c>
      <c r="M2677" s="29" t="s">
        <v>4268</v>
      </c>
      <c r="N2677" s="29" t="s">
        <v>1525</v>
      </c>
      <c r="O2677" s="29" t="s">
        <v>590</v>
      </c>
    </row>
    <row r="2678" spans="1:15">
      <c r="A2678" s="25">
        <v>21557</v>
      </c>
      <c r="B2678" s="34" t="s">
        <v>4269</v>
      </c>
      <c r="C2678" s="31" t="s">
        <v>521</v>
      </c>
      <c r="D2678" s="31" t="s">
        <v>1760</v>
      </c>
      <c r="E2678" s="28">
        <v>43045</v>
      </c>
      <c r="F2678" s="28">
        <v>43435</v>
      </c>
      <c r="G2678" s="28">
        <v>43799</v>
      </c>
      <c r="H2678" s="29" t="s">
        <v>560</v>
      </c>
      <c r="I2678" s="29" t="s">
        <v>560</v>
      </c>
      <c r="J2678" s="29" t="s">
        <v>1930</v>
      </c>
      <c r="K2678" s="29" t="s">
        <v>4235</v>
      </c>
      <c r="L2678" s="29" t="s">
        <v>4236</v>
      </c>
      <c r="M2678" s="29" t="s">
        <v>3190</v>
      </c>
      <c r="N2678" s="29" t="s">
        <v>2031</v>
      </c>
      <c r="O2678" s="29" t="s">
        <v>590</v>
      </c>
    </row>
    <row r="2679" spans="1:15">
      <c r="A2679" s="25">
        <v>22018</v>
      </c>
      <c r="B2679" s="34" t="s">
        <v>4270</v>
      </c>
      <c r="C2679" s="31" t="s">
        <v>521</v>
      </c>
      <c r="D2679" s="31" t="s">
        <v>631</v>
      </c>
      <c r="E2679" s="28">
        <v>43144</v>
      </c>
      <c r="F2679" s="28">
        <v>43172</v>
      </c>
      <c r="G2679" s="28">
        <v>43524</v>
      </c>
      <c r="H2679" s="29" t="s">
        <v>560</v>
      </c>
      <c r="I2679" s="29" t="s">
        <v>560</v>
      </c>
      <c r="J2679" s="29" t="s">
        <v>1930</v>
      </c>
      <c r="K2679" s="29" t="s">
        <v>4235</v>
      </c>
      <c r="L2679" s="29" t="s">
        <v>4236</v>
      </c>
      <c r="M2679" s="29" t="s">
        <v>4271</v>
      </c>
      <c r="N2679" s="29" t="s">
        <v>1434</v>
      </c>
      <c r="O2679" s="29" t="s">
        <v>590</v>
      </c>
    </row>
    <row r="2680" spans="1:15">
      <c r="A2680" s="25">
        <v>22130</v>
      </c>
      <c r="B2680" s="34" t="s">
        <v>4272</v>
      </c>
      <c r="C2680" s="31" t="s">
        <v>521</v>
      </c>
      <c r="D2680" s="31" t="s">
        <v>758</v>
      </c>
      <c r="E2680" s="28">
        <v>43153</v>
      </c>
      <c r="F2680" s="28">
        <v>43181</v>
      </c>
      <c r="G2680" s="28">
        <v>43555</v>
      </c>
      <c r="H2680" s="29" t="s">
        <v>560</v>
      </c>
      <c r="I2680" s="29" t="s">
        <v>560</v>
      </c>
      <c r="J2680" s="29" t="s">
        <v>1930</v>
      </c>
      <c r="K2680" s="29" t="s">
        <v>4235</v>
      </c>
      <c r="L2680" s="29" t="s">
        <v>4236</v>
      </c>
      <c r="M2680" s="29" t="s">
        <v>4273</v>
      </c>
      <c r="N2680" s="29" t="s">
        <v>1434</v>
      </c>
      <c r="O2680" s="29" t="s">
        <v>590</v>
      </c>
    </row>
    <row r="2681" spans="1:15">
      <c r="A2681" s="25">
        <v>22135</v>
      </c>
      <c r="B2681" s="34" t="s">
        <v>4274</v>
      </c>
      <c r="C2681" s="31" t="s">
        <v>521</v>
      </c>
      <c r="D2681" s="31" t="s">
        <v>758</v>
      </c>
      <c r="E2681" s="28">
        <v>43153</v>
      </c>
      <c r="F2681" s="28">
        <v>43181</v>
      </c>
      <c r="G2681" s="28">
        <v>43555</v>
      </c>
      <c r="H2681" s="29" t="s">
        <v>560</v>
      </c>
      <c r="I2681" s="29" t="s">
        <v>560</v>
      </c>
      <c r="J2681" s="29" t="s">
        <v>1930</v>
      </c>
      <c r="K2681" s="29" t="s">
        <v>4235</v>
      </c>
      <c r="L2681" s="29" t="s">
        <v>4236</v>
      </c>
      <c r="M2681" s="29" t="s">
        <v>4275</v>
      </c>
      <c r="N2681" s="29" t="s">
        <v>1434</v>
      </c>
      <c r="O2681" s="29" t="s">
        <v>590</v>
      </c>
    </row>
    <row r="2682" spans="1:15">
      <c r="A2682" s="25">
        <v>22147</v>
      </c>
      <c r="B2682" s="34" t="s">
        <v>4276</v>
      </c>
      <c r="C2682" s="31" t="s">
        <v>521</v>
      </c>
      <c r="D2682" s="31" t="s">
        <v>758</v>
      </c>
      <c r="E2682" s="28">
        <v>43153</v>
      </c>
      <c r="F2682" s="28">
        <v>43181</v>
      </c>
      <c r="G2682" s="28">
        <v>43555</v>
      </c>
      <c r="H2682" s="29" t="s">
        <v>560</v>
      </c>
      <c r="I2682" s="29" t="s">
        <v>560</v>
      </c>
      <c r="J2682" s="29" t="s">
        <v>1930</v>
      </c>
      <c r="K2682" s="29" t="s">
        <v>4235</v>
      </c>
      <c r="L2682" s="29" t="s">
        <v>4236</v>
      </c>
      <c r="M2682" s="29" t="s">
        <v>4277</v>
      </c>
      <c r="N2682" s="29" t="s">
        <v>1511</v>
      </c>
      <c r="O2682" s="29" t="s">
        <v>590</v>
      </c>
    </row>
    <row r="2683" spans="1:15">
      <c r="A2683" s="25">
        <v>22277</v>
      </c>
      <c r="B2683" s="34" t="s">
        <v>4278</v>
      </c>
      <c r="C2683" s="31" t="s">
        <v>521</v>
      </c>
      <c r="D2683" s="31" t="s">
        <v>1191</v>
      </c>
      <c r="E2683" s="28">
        <v>43192</v>
      </c>
      <c r="F2683" s="28">
        <v>43222</v>
      </c>
      <c r="G2683" s="28">
        <v>43585</v>
      </c>
      <c r="H2683" s="29" t="s">
        <v>560</v>
      </c>
      <c r="I2683" s="29" t="s">
        <v>560</v>
      </c>
      <c r="J2683" s="29" t="s">
        <v>1930</v>
      </c>
      <c r="K2683" s="29" t="s">
        <v>4235</v>
      </c>
      <c r="L2683" s="29" t="s">
        <v>4236</v>
      </c>
      <c r="M2683" s="29" t="s">
        <v>4279</v>
      </c>
      <c r="N2683" s="29" t="s">
        <v>1511</v>
      </c>
      <c r="O2683" s="29" t="s">
        <v>590</v>
      </c>
    </row>
    <row r="2684" spans="1:15">
      <c r="A2684" s="25">
        <v>22325</v>
      </c>
      <c r="B2684" s="34" t="s">
        <v>4280</v>
      </c>
      <c r="C2684" s="31" t="s">
        <v>521</v>
      </c>
      <c r="D2684" s="31" t="s">
        <v>694</v>
      </c>
      <c r="E2684" s="28">
        <v>43195</v>
      </c>
      <c r="F2684" s="28">
        <v>43225</v>
      </c>
      <c r="G2684" s="28">
        <v>43585</v>
      </c>
      <c r="H2684" s="29" t="s">
        <v>560</v>
      </c>
      <c r="I2684" s="29" t="s">
        <v>560</v>
      </c>
      <c r="J2684" s="29" t="s">
        <v>1930</v>
      </c>
      <c r="K2684" s="29" t="s">
        <v>4235</v>
      </c>
      <c r="L2684" s="29" t="s">
        <v>4236</v>
      </c>
      <c r="M2684" s="29" t="s">
        <v>4258</v>
      </c>
      <c r="N2684" s="29" t="s">
        <v>1434</v>
      </c>
      <c r="O2684" s="29" t="s">
        <v>590</v>
      </c>
    </row>
    <row r="2685" spans="1:15">
      <c r="A2685" s="25">
        <v>22915</v>
      </c>
      <c r="B2685" s="34" t="s">
        <v>4281</v>
      </c>
      <c r="C2685" s="31" t="s">
        <v>521</v>
      </c>
      <c r="D2685" s="31" t="s">
        <v>1962</v>
      </c>
      <c r="E2685" s="28">
        <v>43343</v>
      </c>
      <c r="F2685" s="28">
        <v>43374</v>
      </c>
      <c r="G2685" s="28">
        <v>43738</v>
      </c>
      <c r="H2685" s="29" t="s">
        <v>560</v>
      </c>
      <c r="I2685" s="29" t="s">
        <v>560</v>
      </c>
      <c r="J2685" s="29" t="s">
        <v>1930</v>
      </c>
      <c r="K2685" s="29" t="s">
        <v>4235</v>
      </c>
      <c r="L2685" s="29" t="s">
        <v>4236</v>
      </c>
      <c r="M2685" s="29" t="s">
        <v>3186</v>
      </c>
      <c r="N2685" s="29" t="s">
        <v>2031</v>
      </c>
      <c r="O2685" s="29" t="s">
        <v>590</v>
      </c>
    </row>
    <row r="2686" spans="1:15">
      <c r="A2686" s="25">
        <v>22982</v>
      </c>
      <c r="B2686" s="26" t="s">
        <v>4282</v>
      </c>
      <c r="C2686" s="27" t="s">
        <v>521</v>
      </c>
      <c r="D2686" s="27" t="s">
        <v>1962</v>
      </c>
      <c r="E2686" s="28">
        <v>43343</v>
      </c>
      <c r="F2686" s="28">
        <v>43374</v>
      </c>
      <c r="G2686" s="28">
        <v>43738</v>
      </c>
      <c r="H2686" s="27" t="s">
        <v>560</v>
      </c>
      <c r="I2686" s="27" t="s">
        <v>560</v>
      </c>
      <c r="J2686" s="29" t="s">
        <v>1930</v>
      </c>
      <c r="K2686" s="29" t="s">
        <v>4235</v>
      </c>
      <c r="L2686" s="29" t="s">
        <v>4236</v>
      </c>
      <c r="M2686" s="29" t="s">
        <v>4283</v>
      </c>
      <c r="N2686" s="29" t="s">
        <v>1434</v>
      </c>
      <c r="O2686" s="29" t="s">
        <v>590</v>
      </c>
    </row>
    <row r="2687" spans="1:15">
      <c r="A2687" s="25">
        <v>23286</v>
      </c>
      <c r="B2687" s="34" t="s">
        <v>4284</v>
      </c>
      <c r="C2687" s="31" t="s">
        <v>521</v>
      </c>
      <c r="D2687" s="31" t="s">
        <v>1582</v>
      </c>
      <c r="E2687" s="28">
        <v>43421</v>
      </c>
      <c r="F2687" s="28">
        <v>43451</v>
      </c>
      <c r="G2687" s="28">
        <v>43830</v>
      </c>
      <c r="H2687" s="29" t="s">
        <v>560</v>
      </c>
      <c r="I2687" s="29" t="s">
        <v>560</v>
      </c>
      <c r="J2687" s="29" t="s">
        <v>1930</v>
      </c>
      <c r="K2687" s="29" t="s">
        <v>4235</v>
      </c>
      <c r="L2687" s="29" t="s">
        <v>4236</v>
      </c>
      <c r="M2687" s="29" t="s">
        <v>4285</v>
      </c>
      <c r="N2687" s="29" t="s">
        <v>1434</v>
      </c>
      <c r="O2687" s="29" t="s">
        <v>590</v>
      </c>
    </row>
    <row r="2688" spans="1:15">
      <c r="A2688" s="25">
        <v>23287</v>
      </c>
      <c r="B2688" s="34" t="s">
        <v>4286</v>
      </c>
      <c r="C2688" s="31" t="s">
        <v>521</v>
      </c>
      <c r="D2688" s="31" t="s">
        <v>1582</v>
      </c>
      <c r="E2688" s="28">
        <v>43421</v>
      </c>
      <c r="F2688" s="28">
        <v>43451</v>
      </c>
      <c r="G2688" s="28">
        <v>43830</v>
      </c>
      <c r="H2688" s="29" t="s">
        <v>560</v>
      </c>
      <c r="I2688" s="29" t="s">
        <v>560</v>
      </c>
      <c r="J2688" s="29" t="s">
        <v>1930</v>
      </c>
      <c r="K2688" s="29" t="s">
        <v>4235</v>
      </c>
      <c r="L2688" s="29" t="s">
        <v>4236</v>
      </c>
      <c r="M2688" s="29" t="s">
        <v>3186</v>
      </c>
      <c r="N2688" s="29" t="s">
        <v>2031</v>
      </c>
      <c r="O2688" s="29" t="s">
        <v>590</v>
      </c>
    </row>
    <row r="2689" spans="1:15">
      <c r="A2689" s="25">
        <v>23491</v>
      </c>
      <c r="B2689" s="34" t="s">
        <v>4287</v>
      </c>
      <c r="C2689" s="31" t="s">
        <v>521</v>
      </c>
      <c r="D2689" s="31" t="s">
        <v>1588</v>
      </c>
      <c r="E2689" s="28">
        <v>43441</v>
      </c>
      <c r="F2689" s="28">
        <v>43472</v>
      </c>
      <c r="G2689" s="28">
        <v>43830</v>
      </c>
      <c r="H2689" s="29" t="s">
        <v>560</v>
      </c>
      <c r="I2689" s="29" t="s">
        <v>560</v>
      </c>
      <c r="J2689" s="29" t="s">
        <v>1930</v>
      </c>
      <c r="K2689" s="29" t="s">
        <v>4235</v>
      </c>
      <c r="L2689" s="29" t="s">
        <v>4236</v>
      </c>
      <c r="M2689" s="29" t="s">
        <v>4246</v>
      </c>
      <c r="N2689" s="29" t="s">
        <v>2041</v>
      </c>
      <c r="O2689" s="29" t="s">
        <v>590</v>
      </c>
    </row>
    <row r="2690" spans="1:15">
      <c r="A2690" s="25">
        <v>9302</v>
      </c>
      <c r="B2690" s="26" t="s">
        <v>4288</v>
      </c>
      <c r="C2690" s="27" t="s">
        <v>521</v>
      </c>
      <c r="D2690" s="27" t="s">
        <v>658</v>
      </c>
      <c r="E2690" s="28">
        <v>40148</v>
      </c>
      <c r="F2690" s="28" t="s">
        <v>35</v>
      </c>
      <c r="G2690" s="28" t="s">
        <v>35</v>
      </c>
      <c r="H2690" s="27" t="s">
        <v>560</v>
      </c>
      <c r="I2690" s="27" t="s">
        <v>560</v>
      </c>
      <c r="J2690" s="27" t="s">
        <v>4289</v>
      </c>
      <c r="K2690" s="27" t="s">
        <v>4290</v>
      </c>
      <c r="L2690" s="27" t="s">
        <v>4291</v>
      </c>
      <c r="M2690" s="29" t="s">
        <v>4292</v>
      </c>
      <c r="N2690" s="29" t="s">
        <v>1511</v>
      </c>
      <c r="O2690" s="29" t="s">
        <v>528</v>
      </c>
    </row>
    <row r="2691" spans="1:15">
      <c r="A2691" s="25">
        <v>20862</v>
      </c>
      <c r="B2691" s="26" t="s">
        <v>4293</v>
      </c>
      <c r="C2691" s="27" t="s">
        <v>521</v>
      </c>
      <c r="D2691" s="27" t="s">
        <v>807</v>
      </c>
      <c r="E2691" s="28">
        <v>42660</v>
      </c>
      <c r="F2691" s="28">
        <v>43160</v>
      </c>
      <c r="G2691" s="28">
        <v>43524</v>
      </c>
      <c r="H2691" s="27" t="s">
        <v>560</v>
      </c>
      <c r="I2691" s="27" t="s">
        <v>560</v>
      </c>
      <c r="J2691" s="29" t="s">
        <v>4289</v>
      </c>
      <c r="K2691" s="29" t="s">
        <v>4290</v>
      </c>
      <c r="L2691" s="29" t="s">
        <v>4291</v>
      </c>
      <c r="M2691" s="29" t="s">
        <v>4294</v>
      </c>
      <c r="N2691" s="29" t="s">
        <v>1434</v>
      </c>
      <c r="O2691" s="29" t="s">
        <v>528</v>
      </c>
    </row>
    <row r="2692" spans="1:15">
      <c r="A2692" s="25">
        <v>23065</v>
      </c>
      <c r="B2692" s="34" t="s">
        <v>4295</v>
      </c>
      <c r="C2692" s="31" t="s">
        <v>521</v>
      </c>
      <c r="D2692" s="31" t="s">
        <v>1872</v>
      </c>
      <c r="E2692" s="28">
        <v>43361</v>
      </c>
      <c r="F2692" s="28">
        <v>43391</v>
      </c>
      <c r="G2692" s="28">
        <v>43769</v>
      </c>
      <c r="H2692" s="29" t="s">
        <v>560</v>
      </c>
      <c r="I2692" s="29" t="s">
        <v>560</v>
      </c>
      <c r="J2692" s="29" t="s">
        <v>4289</v>
      </c>
      <c r="K2692" s="29" t="s">
        <v>4290</v>
      </c>
      <c r="L2692" s="29" t="s">
        <v>4291</v>
      </c>
      <c r="M2692" s="29" t="s">
        <v>4296</v>
      </c>
      <c r="N2692" s="29" t="s">
        <v>1434</v>
      </c>
      <c r="O2692" s="29" t="s">
        <v>528</v>
      </c>
    </row>
    <row r="2693" spans="1:15">
      <c r="A2693" s="25">
        <v>23395</v>
      </c>
      <c r="B2693" s="34" t="s">
        <v>4297</v>
      </c>
      <c r="C2693" s="31" t="s">
        <v>521</v>
      </c>
      <c r="D2693" s="31" t="s">
        <v>882</v>
      </c>
      <c r="E2693" s="28">
        <v>43434</v>
      </c>
      <c r="F2693" s="28">
        <v>43464</v>
      </c>
      <c r="G2693" s="28">
        <v>43830</v>
      </c>
      <c r="H2693" s="29" t="s">
        <v>560</v>
      </c>
      <c r="I2693" s="29" t="s">
        <v>560</v>
      </c>
      <c r="J2693" s="29" t="s">
        <v>4289</v>
      </c>
      <c r="K2693" s="29" t="s">
        <v>4290</v>
      </c>
      <c r="L2693" s="29" t="s">
        <v>4291</v>
      </c>
      <c r="M2693" s="29" t="s">
        <v>4298</v>
      </c>
      <c r="N2693" s="29" t="s">
        <v>1511</v>
      </c>
      <c r="O2693" s="29" t="s">
        <v>528</v>
      </c>
    </row>
    <row r="2694" spans="1:15">
      <c r="A2694" s="25">
        <v>5791</v>
      </c>
      <c r="B2694" s="26" t="s">
        <v>4299</v>
      </c>
      <c r="C2694" s="27" t="s">
        <v>521</v>
      </c>
      <c r="D2694" s="27" t="s">
        <v>794</v>
      </c>
      <c r="E2694" s="28">
        <v>39114</v>
      </c>
      <c r="F2694" s="28" t="s">
        <v>35</v>
      </c>
      <c r="G2694" s="28" t="s">
        <v>35</v>
      </c>
      <c r="H2694" s="27" t="s">
        <v>560</v>
      </c>
      <c r="I2694" s="27" t="s">
        <v>560</v>
      </c>
      <c r="J2694" s="29" t="s">
        <v>1930</v>
      </c>
      <c r="K2694" s="29" t="s">
        <v>4300</v>
      </c>
      <c r="L2694" s="29" t="s">
        <v>4301</v>
      </c>
      <c r="M2694" s="29" t="s">
        <v>4302</v>
      </c>
      <c r="N2694" s="29" t="s">
        <v>1541</v>
      </c>
      <c r="O2694" s="29" t="s">
        <v>594</v>
      </c>
    </row>
    <row r="2695" spans="1:15">
      <c r="A2695" s="25">
        <v>10575</v>
      </c>
      <c r="B2695" s="33" t="s">
        <v>4303</v>
      </c>
      <c r="C2695" s="27" t="s">
        <v>521</v>
      </c>
      <c r="D2695" s="27" t="s">
        <v>1672</v>
      </c>
      <c r="E2695" s="28">
        <v>40542</v>
      </c>
      <c r="F2695" s="28" t="s">
        <v>35</v>
      </c>
      <c r="G2695" s="28" t="s">
        <v>35</v>
      </c>
      <c r="H2695" s="29" t="s">
        <v>560</v>
      </c>
      <c r="I2695" s="29" t="s">
        <v>560</v>
      </c>
      <c r="J2695" s="29" t="s">
        <v>1930</v>
      </c>
      <c r="K2695" s="29" t="s">
        <v>4300</v>
      </c>
      <c r="L2695" s="29" t="s">
        <v>4301</v>
      </c>
      <c r="M2695" s="29" t="s">
        <v>2197</v>
      </c>
      <c r="N2695" s="29" t="s">
        <v>2031</v>
      </c>
      <c r="O2695" s="29" t="s">
        <v>594</v>
      </c>
    </row>
    <row r="2696" spans="1:15">
      <c r="A2696" s="25">
        <v>11268</v>
      </c>
      <c r="B2696" s="34" t="s">
        <v>4304</v>
      </c>
      <c r="C2696" s="31" t="s">
        <v>521</v>
      </c>
      <c r="D2696" s="27" t="s">
        <v>828</v>
      </c>
      <c r="E2696" s="28">
        <v>40617</v>
      </c>
      <c r="F2696" s="28" t="s">
        <v>35</v>
      </c>
      <c r="G2696" s="28" t="s">
        <v>35</v>
      </c>
      <c r="H2696" s="31" t="s">
        <v>560</v>
      </c>
      <c r="I2696" s="31" t="s">
        <v>560</v>
      </c>
      <c r="J2696" s="29" t="s">
        <v>1930</v>
      </c>
      <c r="K2696" s="29" t="s">
        <v>4300</v>
      </c>
      <c r="L2696" s="29" t="s">
        <v>4301</v>
      </c>
      <c r="M2696" s="29" t="s">
        <v>3031</v>
      </c>
      <c r="N2696" s="29" t="s">
        <v>2023</v>
      </c>
      <c r="O2696" s="29" t="s">
        <v>594</v>
      </c>
    </row>
    <row r="2697" spans="1:15">
      <c r="A2697" s="25">
        <v>12204</v>
      </c>
      <c r="B2697" s="26" t="s">
        <v>4305</v>
      </c>
      <c r="C2697" s="27" t="s">
        <v>521</v>
      </c>
      <c r="D2697" s="27" t="s">
        <v>750</v>
      </c>
      <c r="E2697" s="28">
        <v>40802</v>
      </c>
      <c r="F2697" s="28" t="s">
        <v>35</v>
      </c>
      <c r="G2697" s="28" t="s">
        <v>35</v>
      </c>
      <c r="H2697" s="29" t="s">
        <v>560</v>
      </c>
      <c r="I2697" s="29" t="s">
        <v>560</v>
      </c>
      <c r="J2697" s="29" t="s">
        <v>1930</v>
      </c>
      <c r="K2697" s="29" t="s">
        <v>4300</v>
      </c>
      <c r="L2697" s="29" t="s">
        <v>4301</v>
      </c>
      <c r="M2697" s="29" t="s">
        <v>1550</v>
      </c>
      <c r="N2697" s="29" t="s">
        <v>1045</v>
      </c>
      <c r="O2697" s="29" t="s">
        <v>594</v>
      </c>
    </row>
    <row r="2698" spans="1:15">
      <c r="A2698" s="25">
        <v>20893</v>
      </c>
      <c r="B2698" s="26" t="s">
        <v>4306</v>
      </c>
      <c r="C2698" s="27" t="s">
        <v>521</v>
      </c>
      <c r="D2698" s="27" t="s">
        <v>807</v>
      </c>
      <c r="E2698" s="28">
        <v>42660</v>
      </c>
      <c r="F2698" s="28">
        <v>43160</v>
      </c>
      <c r="G2698" s="28">
        <v>43524</v>
      </c>
      <c r="H2698" s="27" t="s">
        <v>560</v>
      </c>
      <c r="I2698" s="27" t="s">
        <v>560</v>
      </c>
      <c r="J2698" s="29" t="s">
        <v>1930</v>
      </c>
      <c r="K2698" s="29" t="s">
        <v>4300</v>
      </c>
      <c r="L2698" s="29" t="s">
        <v>4301</v>
      </c>
      <c r="M2698" s="29" t="s">
        <v>4307</v>
      </c>
      <c r="N2698" s="29" t="s">
        <v>1525</v>
      </c>
      <c r="O2698" s="29" t="s">
        <v>594</v>
      </c>
    </row>
    <row r="2699" spans="1:15">
      <c r="A2699" s="25">
        <v>21658</v>
      </c>
      <c r="B2699" s="34" t="s">
        <v>4308</v>
      </c>
      <c r="C2699" s="31" t="s">
        <v>521</v>
      </c>
      <c r="D2699" s="31" t="s">
        <v>1053</v>
      </c>
      <c r="E2699" s="28">
        <v>43055</v>
      </c>
      <c r="F2699" s="28">
        <v>43466</v>
      </c>
      <c r="G2699" s="28">
        <v>43830</v>
      </c>
      <c r="H2699" s="29" t="s">
        <v>560</v>
      </c>
      <c r="I2699" s="29" t="s">
        <v>560</v>
      </c>
      <c r="J2699" s="29" t="s">
        <v>1930</v>
      </c>
      <c r="K2699" s="29" t="s">
        <v>4300</v>
      </c>
      <c r="L2699" s="29" t="s">
        <v>4301</v>
      </c>
      <c r="M2699" s="29" t="s">
        <v>4309</v>
      </c>
      <c r="N2699" s="29" t="s">
        <v>1511</v>
      </c>
      <c r="O2699" s="29" t="s">
        <v>594</v>
      </c>
    </row>
    <row r="2700" spans="1:15">
      <c r="A2700" s="25">
        <v>21806</v>
      </c>
      <c r="B2700" s="34" t="s">
        <v>4310</v>
      </c>
      <c r="C2700" s="31" t="s">
        <v>521</v>
      </c>
      <c r="D2700" s="31" t="s">
        <v>1609</v>
      </c>
      <c r="E2700" s="28">
        <v>43090</v>
      </c>
      <c r="F2700" s="28">
        <v>43121</v>
      </c>
      <c r="G2700" s="28">
        <v>43496</v>
      </c>
      <c r="H2700" s="29" t="s">
        <v>560</v>
      </c>
      <c r="I2700" s="29" t="s">
        <v>560</v>
      </c>
      <c r="J2700" s="29" t="s">
        <v>1930</v>
      </c>
      <c r="K2700" s="29" t="s">
        <v>4300</v>
      </c>
      <c r="L2700" s="29" t="s">
        <v>4301</v>
      </c>
      <c r="M2700" s="29" t="s">
        <v>3186</v>
      </c>
      <c r="N2700" s="29" t="s">
        <v>2031</v>
      </c>
      <c r="O2700" s="29" t="s">
        <v>594</v>
      </c>
    </row>
    <row r="2701" spans="1:15">
      <c r="A2701" s="25">
        <v>21812</v>
      </c>
      <c r="B2701" s="34" t="s">
        <v>4311</v>
      </c>
      <c r="C2701" s="31" t="s">
        <v>521</v>
      </c>
      <c r="D2701" s="31" t="s">
        <v>732</v>
      </c>
      <c r="E2701" s="28">
        <v>43098</v>
      </c>
      <c r="F2701" s="28">
        <v>43129</v>
      </c>
      <c r="G2701" s="28">
        <v>43496</v>
      </c>
      <c r="H2701" s="29" t="s">
        <v>560</v>
      </c>
      <c r="I2701" s="29" t="s">
        <v>560</v>
      </c>
      <c r="J2701" s="29" t="s">
        <v>1930</v>
      </c>
      <c r="K2701" s="29" t="s">
        <v>4300</v>
      </c>
      <c r="L2701" s="29" t="s">
        <v>4301</v>
      </c>
      <c r="M2701" s="29" t="s">
        <v>4312</v>
      </c>
      <c r="N2701" s="29" t="s">
        <v>1434</v>
      </c>
      <c r="O2701" s="29" t="s">
        <v>594</v>
      </c>
    </row>
    <row r="2702" spans="1:15">
      <c r="A2702" s="25">
        <v>22259</v>
      </c>
      <c r="B2702" s="34" t="s">
        <v>4313</v>
      </c>
      <c r="C2702" s="31" t="s">
        <v>521</v>
      </c>
      <c r="D2702" s="31" t="s">
        <v>1189</v>
      </c>
      <c r="E2702" s="28">
        <v>43171</v>
      </c>
      <c r="F2702" s="28">
        <v>43202</v>
      </c>
      <c r="G2702" s="28">
        <v>43555</v>
      </c>
      <c r="H2702" s="29" t="s">
        <v>560</v>
      </c>
      <c r="I2702" s="29" t="s">
        <v>560</v>
      </c>
      <c r="J2702" s="29" t="s">
        <v>1930</v>
      </c>
      <c r="K2702" s="29" t="s">
        <v>4300</v>
      </c>
      <c r="L2702" s="29" t="s">
        <v>4301</v>
      </c>
      <c r="M2702" s="29" t="s">
        <v>4314</v>
      </c>
      <c r="N2702" s="29" t="s">
        <v>1434</v>
      </c>
      <c r="O2702" s="29" t="s">
        <v>594</v>
      </c>
    </row>
    <row r="2703" spans="1:15">
      <c r="A2703" s="25">
        <v>22614</v>
      </c>
      <c r="B2703" s="34" t="s">
        <v>4315</v>
      </c>
      <c r="C2703" s="31" t="s">
        <v>521</v>
      </c>
      <c r="D2703" s="31" t="s">
        <v>745</v>
      </c>
      <c r="E2703" s="28">
        <v>43236</v>
      </c>
      <c r="F2703" s="28">
        <v>43267</v>
      </c>
      <c r="G2703" s="28">
        <v>43646</v>
      </c>
      <c r="H2703" s="29" t="s">
        <v>560</v>
      </c>
      <c r="I2703" s="29" t="s">
        <v>560</v>
      </c>
      <c r="J2703" s="29" t="s">
        <v>1930</v>
      </c>
      <c r="K2703" s="29" t="s">
        <v>4300</v>
      </c>
      <c r="L2703" s="29" t="s">
        <v>4301</v>
      </c>
      <c r="M2703" s="29" t="s">
        <v>3803</v>
      </c>
      <c r="N2703" s="29" t="s">
        <v>1434</v>
      </c>
      <c r="O2703" s="29" t="s">
        <v>594</v>
      </c>
    </row>
    <row r="2704" spans="1:15">
      <c r="A2704" s="25">
        <v>22627</v>
      </c>
      <c r="B2704" s="34" t="s">
        <v>4316</v>
      </c>
      <c r="C2704" s="31" t="s">
        <v>521</v>
      </c>
      <c r="D2704" s="31" t="s">
        <v>745</v>
      </c>
      <c r="E2704" s="28">
        <v>43236</v>
      </c>
      <c r="F2704" s="28">
        <v>43267</v>
      </c>
      <c r="G2704" s="28">
        <v>43646</v>
      </c>
      <c r="H2704" s="29" t="s">
        <v>560</v>
      </c>
      <c r="I2704" s="29" t="s">
        <v>560</v>
      </c>
      <c r="J2704" s="29" t="s">
        <v>1930</v>
      </c>
      <c r="K2704" s="29" t="s">
        <v>4300</v>
      </c>
      <c r="L2704" s="29" t="s">
        <v>4301</v>
      </c>
      <c r="M2704" s="29" t="s">
        <v>4317</v>
      </c>
      <c r="N2704" s="29" t="s">
        <v>1525</v>
      </c>
      <c r="O2704" s="29" t="s">
        <v>594</v>
      </c>
    </row>
    <row r="2705" spans="1:15">
      <c r="A2705" s="25">
        <v>22629</v>
      </c>
      <c r="B2705" s="34" t="s">
        <v>4318</v>
      </c>
      <c r="C2705" s="31" t="s">
        <v>521</v>
      </c>
      <c r="D2705" s="31" t="s">
        <v>745</v>
      </c>
      <c r="E2705" s="28">
        <v>43236</v>
      </c>
      <c r="F2705" s="28">
        <v>43267</v>
      </c>
      <c r="G2705" s="28">
        <v>43646</v>
      </c>
      <c r="H2705" s="29" t="s">
        <v>560</v>
      </c>
      <c r="I2705" s="29" t="s">
        <v>560</v>
      </c>
      <c r="J2705" s="29" t="s">
        <v>1930</v>
      </c>
      <c r="K2705" s="29" t="s">
        <v>4300</v>
      </c>
      <c r="L2705" s="29" t="s">
        <v>4301</v>
      </c>
      <c r="M2705" s="29" t="s">
        <v>2352</v>
      </c>
      <c r="N2705" s="29" t="s">
        <v>2023</v>
      </c>
      <c r="O2705" s="29" t="s">
        <v>594</v>
      </c>
    </row>
    <row r="2706" spans="1:15">
      <c r="A2706" s="25">
        <v>22902</v>
      </c>
      <c r="B2706" s="34" t="s">
        <v>4319</v>
      </c>
      <c r="C2706" s="31" t="s">
        <v>521</v>
      </c>
      <c r="D2706" s="31" t="s">
        <v>775</v>
      </c>
      <c r="E2706" s="28">
        <v>43333</v>
      </c>
      <c r="F2706" s="28">
        <v>43364</v>
      </c>
      <c r="G2706" s="28">
        <v>43738</v>
      </c>
      <c r="H2706" s="29" t="s">
        <v>560</v>
      </c>
      <c r="I2706" s="29" t="s">
        <v>560</v>
      </c>
      <c r="J2706" s="29" t="s">
        <v>1930</v>
      </c>
      <c r="K2706" s="29" t="s">
        <v>4300</v>
      </c>
      <c r="L2706" s="29" t="s">
        <v>4301</v>
      </c>
      <c r="M2706" s="29" t="s">
        <v>2366</v>
      </c>
      <c r="N2706" s="29" t="s">
        <v>2023</v>
      </c>
      <c r="O2706" s="29" t="s">
        <v>594</v>
      </c>
    </row>
    <row r="2707" spans="1:15">
      <c r="A2707" s="25">
        <v>22932</v>
      </c>
      <c r="B2707" s="34" t="s">
        <v>4320</v>
      </c>
      <c r="C2707" s="31" t="s">
        <v>521</v>
      </c>
      <c r="D2707" s="31" t="s">
        <v>1962</v>
      </c>
      <c r="E2707" s="28">
        <v>43343</v>
      </c>
      <c r="F2707" s="28">
        <v>43374</v>
      </c>
      <c r="G2707" s="28">
        <v>43738</v>
      </c>
      <c r="H2707" s="29" t="s">
        <v>560</v>
      </c>
      <c r="I2707" s="29" t="s">
        <v>560</v>
      </c>
      <c r="J2707" s="29" t="s">
        <v>1930</v>
      </c>
      <c r="K2707" s="29" t="s">
        <v>4300</v>
      </c>
      <c r="L2707" s="29" t="s">
        <v>4301</v>
      </c>
      <c r="M2707" s="29" t="s">
        <v>4321</v>
      </c>
      <c r="N2707" s="29" t="s">
        <v>1511</v>
      </c>
      <c r="O2707" s="29" t="s">
        <v>594</v>
      </c>
    </row>
    <row r="2708" spans="1:15">
      <c r="A2708" s="25">
        <v>22966</v>
      </c>
      <c r="B2708" s="34" t="s">
        <v>1900</v>
      </c>
      <c r="C2708" s="31" t="s">
        <v>521</v>
      </c>
      <c r="D2708" s="31" t="s">
        <v>1962</v>
      </c>
      <c r="E2708" s="28">
        <v>43343</v>
      </c>
      <c r="F2708" s="28">
        <v>43374</v>
      </c>
      <c r="G2708" s="28">
        <v>43738</v>
      </c>
      <c r="H2708" s="29" t="s">
        <v>560</v>
      </c>
      <c r="I2708" s="29" t="s">
        <v>560</v>
      </c>
      <c r="J2708" s="29" t="s">
        <v>1930</v>
      </c>
      <c r="K2708" s="29" t="s">
        <v>4300</v>
      </c>
      <c r="L2708" s="29" t="s">
        <v>4301</v>
      </c>
      <c r="M2708" s="29" t="s">
        <v>2331</v>
      </c>
      <c r="N2708" s="29" t="s">
        <v>2023</v>
      </c>
      <c r="O2708" s="29" t="s">
        <v>594</v>
      </c>
    </row>
    <row r="2709" spans="1:15">
      <c r="A2709" s="25">
        <v>22968</v>
      </c>
      <c r="B2709" s="34" t="s">
        <v>4322</v>
      </c>
      <c r="C2709" s="31" t="s">
        <v>521</v>
      </c>
      <c r="D2709" s="31" t="s">
        <v>1962</v>
      </c>
      <c r="E2709" s="28">
        <v>43343</v>
      </c>
      <c r="F2709" s="28">
        <v>43374</v>
      </c>
      <c r="G2709" s="28">
        <v>43738</v>
      </c>
      <c r="H2709" s="29" t="s">
        <v>560</v>
      </c>
      <c r="I2709" s="29" t="s">
        <v>560</v>
      </c>
      <c r="J2709" s="29" t="s">
        <v>1930</v>
      </c>
      <c r="K2709" s="29" t="s">
        <v>4300</v>
      </c>
      <c r="L2709" s="29" t="s">
        <v>4301</v>
      </c>
      <c r="M2709" s="29" t="s">
        <v>4323</v>
      </c>
      <c r="N2709" s="29" t="s">
        <v>1434</v>
      </c>
      <c r="O2709" s="29" t="s">
        <v>594</v>
      </c>
    </row>
    <row r="2710" spans="1:15">
      <c r="A2710" s="25">
        <v>22981</v>
      </c>
      <c r="B2710" s="34" t="s">
        <v>4324</v>
      </c>
      <c r="C2710" s="31" t="s">
        <v>521</v>
      </c>
      <c r="D2710" s="31" t="s">
        <v>1962</v>
      </c>
      <c r="E2710" s="28">
        <v>43343</v>
      </c>
      <c r="F2710" s="28">
        <v>43374</v>
      </c>
      <c r="G2710" s="28">
        <v>43738</v>
      </c>
      <c r="H2710" s="29" t="s">
        <v>560</v>
      </c>
      <c r="I2710" s="29" t="s">
        <v>560</v>
      </c>
      <c r="J2710" s="29" t="s">
        <v>1930</v>
      </c>
      <c r="K2710" s="29" t="s">
        <v>4300</v>
      </c>
      <c r="L2710" s="29" t="s">
        <v>4301</v>
      </c>
      <c r="M2710" s="29" t="s">
        <v>4325</v>
      </c>
      <c r="N2710" s="29" t="s">
        <v>2041</v>
      </c>
      <c r="O2710" s="29" t="s">
        <v>594</v>
      </c>
    </row>
    <row r="2711" spans="1:15">
      <c r="A2711" s="25">
        <v>23412</v>
      </c>
      <c r="B2711" s="34" t="s">
        <v>4326</v>
      </c>
      <c r="C2711" s="31" t="s">
        <v>521</v>
      </c>
      <c r="D2711" s="31" t="s">
        <v>882</v>
      </c>
      <c r="E2711" s="28">
        <v>43434</v>
      </c>
      <c r="F2711" s="28">
        <v>43464</v>
      </c>
      <c r="G2711" s="28">
        <v>43830</v>
      </c>
      <c r="H2711" s="29" t="s">
        <v>560</v>
      </c>
      <c r="I2711" s="29" t="s">
        <v>560</v>
      </c>
      <c r="J2711" s="29" t="s">
        <v>1930</v>
      </c>
      <c r="K2711" s="29" t="s">
        <v>4300</v>
      </c>
      <c r="L2711" s="29" t="s">
        <v>4301</v>
      </c>
      <c r="M2711" s="29" t="s">
        <v>4327</v>
      </c>
      <c r="N2711" s="29" t="s">
        <v>1434</v>
      </c>
      <c r="O2711" s="29" t="s">
        <v>594</v>
      </c>
    </row>
    <row r="2712" spans="1:15">
      <c r="A2712" s="25">
        <v>23421</v>
      </c>
      <c r="B2712" s="34" t="s">
        <v>4328</v>
      </c>
      <c r="C2712" s="31" t="s">
        <v>521</v>
      </c>
      <c r="D2712" s="31" t="s">
        <v>882</v>
      </c>
      <c r="E2712" s="28">
        <v>43434</v>
      </c>
      <c r="F2712" s="28">
        <v>43464</v>
      </c>
      <c r="G2712" s="28">
        <v>43830</v>
      </c>
      <c r="H2712" s="29" t="s">
        <v>560</v>
      </c>
      <c r="I2712" s="29" t="s">
        <v>560</v>
      </c>
      <c r="J2712" s="29" t="s">
        <v>1930</v>
      </c>
      <c r="K2712" s="29" t="s">
        <v>4300</v>
      </c>
      <c r="L2712" s="29" t="s">
        <v>4301</v>
      </c>
      <c r="M2712" s="29" t="s">
        <v>3792</v>
      </c>
      <c r="N2712" s="29" t="s">
        <v>1434</v>
      </c>
      <c r="O2712" s="29" t="s">
        <v>594</v>
      </c>
    </row>
    <row r="2713" spans="1:15">
      <c r="A2713" s="25" t="s">
        <v>4329</v>
      </c>
      <c r="B2713" s="26" t="s">
        <v>4330</v>
      </c>
      <c r="C2713" s="27" t="s">
        <v>521</v>
      </c>
      <c r="D2713" s="27" t="s">
        <v>4331</v>
      </c>
      <c r="E2713" s="28">
        <v>41710</v>
      </c>
      <c r="F2713" s="28" t="s">
        <v>35</v>
      </c>
      <c r="G2713" s="28" t="s">
        <v>35</v>
      </c>
      <c r="H2713" s="27" t="s">
        <v>560</v>
      </c>
      <c r="I2713" s="27" t="s">
        <v>560</v>
      </c>
      <c r="J2713" s="29" t="s">
        <v>1930</v>
      </c>
      <c r="K2713" s="29" t="s">
        <v>4300</v>
      </c>
      <c r="L2713" s="29" t="s">
        <v>4301</v>
      </c>
      <c r="M2713" s="29" t="s">
        <v>2025</v>
      </c>
      <c r="N2713" s="29" t="s">
        <v>2026</v>
      </c>
      <c r="O2713" s="29" t="s">
        <v>594</v>
      </c>
    </row>
    <row r="2714" spans="1:15">
      <c r="A2714" s="25">
        <v>9954</v>
      </c>
      <c r="B2714" s="26" t="s">
        <v>68</v>
      </c>
      <c r="C2714" s="27" t="s">
        <v>521</v>
      </c>
      <c r="D2714" s="27" t="s">
        <v>803</v>
      </c>
      <c r="E2714" s="28">
        <v>40431</v>
      </c>
      <c r="F2714" s="28" t="s">
        <v>35</v>
      </c>
      <c r="G2714" s="28" t="s">
        <v>35</v>
      </c>
      <c r="H2714" s="27" t="s">
        <v>560</v>
      </c>
      <c r="I2714" s="27" t="s">
        <v>560</v>
      </c>
      <c r="J2714" s="29" t="s">
        <v>1930</v>
      </c>
      <c r="K2714" s="29" t="s">
        <v>4300</v>
      </c>
      <c r="L2714" s="29" t="s">
        <v>4301</v>
      </c>
      <c r="M2714" s="29" t="s">
        <v>1550</v>
      </c>
      <c r="N2714" s="29" t="s">
        <v>1045</v>
      </c>
      <c r="O2714" s="29" t="s">
        <v>590</v>
      </c>
    </row>
    <row r="2715" spans="1:15">
      <c r="A2715" s="25">
        <v>10632</v>
      </c>
      <c r="B2715" s="26" t="s">
        <v>4332</v>
      </c>
      <c r="C2715" s="27" t="s">
        <v>521</v>
      </c>
      <c r="D2715" s="27" t="s">
        <v>2426</v>
      </c>
      <c r="E2715" s="28">
        <v>40549</v>
      </c>
      <c r="F2715" s="28" t="s">
        <v>35</v>
      </c>
      <c r="G2715" s="28" t="s">
        <v>35</v>
      </c>
      <c r="H2715" s="27" t="s">
        <v>560</v>
      </c>
      <c r="I2715" s="27" t="s">
        <v>560</v>
      </c>
      <c r="J2715" s="29" t="s">
        <v>1930</v>
      </c>
      <c r="K2715" s="29" t="s">
        <v>4300</v>
      </c>
      <c r="L2715" s="29" t="s">
        <v>4301</v>
      </c>
      <c r="M2715" s="29" t="s">
        <v>2025</v>
      </c>
      <c r="N2715" s="29" t="s">
        <v>2026</v>
      </c>
      <c r="O2715" s="29" t="s">
        <v>590</v>
      </c>
    </row>
    <row r="2716" spans="1:15">
      <c r="A2716" s="25">
        <v>12185</v>
      </c>
      <c r="B2716" s="26" t="s">
        <v>4333</v>
      </c>
      <c r="C2716" s="27" t="s">
        <v>521</v>
      </c>
      <c r="D2716" s="27" t="s">
        <v>750</v>
      </c>
      <c r="E2716" s="28">
        <v>40802</v>
      </c>
      <c r="F2716" s="28" t="s">
        <v>35</v>
      </c>
      <c r="G2716" s="28" t="s">
        <v>35</v>
      </c>
      <c r="H2716" s="27" t="s">
        <v>560</v>
      </c>
      <c r="I2716" s="27" t="s">
        <v>560</v>
      </c>
      <c r="J2716" s="29" t="s">
        <v>1930</v>
      </c>
      <c r="K2716" s="29" t="s">
        <v>4300</v>
      </c>
      <c r="L2716" s="29" t="s">
        <v>4301</v>
      </c>
      <c r="M2716" s="29" t="s">
        <v>4334</v>
      </c>
      <c r="N2716" s="29" t="s">
        <v>1525</v>
      </c>
      <c r="O2716" s="29" t="s">
        <v>590</v>
      </c>
    </row>
    <row r="2717" spans="1:15">
      <c r="A2717" s="25">
        <v>20522</v>
      </c>
      <c r="B2717" s="26" t="s">
        <v>4335</v>
      </c>
      <c r="C2717" s="27" t="s">
        <v>521</v>
      </c>
      <c r="D2717" s="27" t="s">
        <v>1644</v>
      </c>
      <c r="E2717" s="28">
        <v>42634</v>
      </c>
      <c r="F2717" s="28">
        <v>43132</v>
      </c>
      <c r="G2717" s="28">
        <v>43496</v>
      </c>
      <c r="H2717" s="27" t="s">
        <v>560</v>
      </c>
      <c r="I2717" s="27" t="s">
        <v>560</v>
      </c>
      <c r="J2717" s="29" t="s">
        <v>1930</v>
      </c>
      <c r="K2717" s="29" t="s">
        <v>4300</v>
      </c>
      <c r="L2717" s="29" t="s">
        <v>4301</v>
      </c>
      <c r="M2717" s="29" t="s">
        <v>3792</v>
      </c>
      <c r="N2717" s="29" t="s">
        <v>1434</v>
      </c>
      <c r="O2717" s="29" t="s">
        <v>590</v>
      </c>
    </row>
    <row r="2718" spans="1:15">
      <c r="A2718" s="25">
        <v>20613</v>
      </c>
      <c r="B2718" s="26" t="s">
        <v>4336</v>
      </c>
      <c r="C2718" s="27" t="s">
        <v>521</v>
      </c>
      <c r="D2718" s="27" t="s">
        <v>673</v>
      </c>
      <c r="E2718" s="28">
        <v>42639</v>
      </c>
      <c r="F2718" s="28">
        <v>43132</v>
      </c>
      <c r="G2718" s="28">
        <v>43496</v>
      </c>
      <c r="H2718" s="25" t="s">
        <v>560</v>
      </c>
      <c r="I2718" s="25" t="s">
        <v>560</v>
      </c>
      <c r="J2718" s="29" t="s">
        <v>1930</v>
      </c>
      <c r="K2718" s="29" t="s">
        <v>4300</v>
      </c>
      <c r="L2718" s="29" t="s">
        <v>4301</v>
      </c>
      <c r="M2718" s="29" t="s">
        <v>2331</v>
      </c>
      <c r="N2718" s="29" t="s">
        <v>2023</v>
      </c>
      <c r="O2718" s="29" t="s">
        <v>590</v>
      </c>
    </row>
    <row r="2719" spans="1:15">
      <c r="A2719" s="25">
        <v>21205</v>
      </c>
      <c r="B2719" s="26" t="s">
        <v>4337</v>
      </c>
      <c r="C2719" s="27" t="s">
        <v>521</v>
      </c>
      <c r="D2719" s="27" t="s">
        <v>2480</v>
      </c>
      <c r="E2719" s="28">
        <v>42877</v>
      </c>
      <c r="F2719" s="28">
        <v>43374</v>
      </c>
      <c r="G2719" s="28">
        <v>43738</v>
      </c>
      <c r="H2719" s="29" t="s">
        <v>560</v>
      </c>
      <c r="I2719" s="29" t="s">
        <v>560</v>
      </c>
      <c r="J2719" s="29" t="s">
        <v>1930</v>
      </c>
      <c r="K2719" s="29" t="s">
        <v>4300</v>
      </c>
      <c r="L2719" s="29" t="s">
        <v>4301</v>
      </c>
      <c r="M2719" s="29" t="s">
        <v>4338</v>
      </c>
      <c r="N2719" s="29" t="s">
        <v>1525</v>
      </c>
      <c r="O2719" s="29" t="s">
        <v>590</v>
      </c>
    </row>
    <row r="2720" spans="1:15">
      <c r="A2720" s="25">
        <v>21494</v>
      </c>
      <c r="B2720" s="34" t="s">
        <v>3048</v>
      </c>
      <c r="C2720" s="31" t="s">
        <v>521</v>
      </c>
      <c r="D2720" s="31" t="s">
        <v>1804</v>
      </c>
      <c r="E2720" s="28">
        <v>43031</v>
      </c>
      <c r="F2720" s="28">
        <v>43435</v>
      </c>
      <c r="G2720" s="28">
        <v>43799</v>
      </c>
      <c r="H2720" s="29" t="s">
        <v>560</v>
      </c>
      <c r="I2720" s="29" t="s">
        <v>560</v>
      </c>
      <c r="J2720" s="29" t="s">
        <v>1930</v>
      </c>
      <c r="K2720" s="29" t="s">
        <v>4300</v>
      </c>
      <c r="L2720" s="29" t="s">
        <v>4301</v>
      </c>
      <c r="M2720" s="29" t="s">
        <v>4323</v>
      </c>
      <c r="N2720" s="29" t="s">
        <v>1434</v>
      </c>
      <c r="O2720" s="29" t="s">
        <v>590</v>
      </c>
    </row>
    <row r="2721" spans="1:15">
      <c r="A2721" s="25">
        <v>21543</v>
      </c>
      <c r="B2721" s="34" t="s">
        <v>4339</v>
      </c>
      <c r="C2721" s="31" t="s">
        <v>521</v>
      </c>
      <c r="D2721" s="31" t="s">
        <v>1760</v>
      </c>
      <c r="E2721" s="28">
        <v>43045</v>
      </c>
      <c r="F2721" s="28">
        <v>43435</v>
      </c>
      <c r="G2721" s="28">
        <v>43799</v>
      </c>
      <c r="H2721" s="29" t="s">
        <v>560</v>
      </c>
      <c r="I2721" s="29" t="s">
        <v>560</v>
      </c>
      <c r="J2721" s="29" t="s">
        <v>1930</v>
      </c>
      <c r="K2721" s="29" t="s">
        <v>4300</v>
      </c>
      <c r="L2721" s="29" t="s">
        <v>4301</v>
      </c>
      <c r="M2721" s="29" t="s">
        <v>4340</v>
      </c>
      <c r="N2721" s="29" t="s">
        <v>1434</v>
      </c>
      <c r="O2721" s="29" t="s">
        <v>590</v>
      </c>
    </row>
    <row r="2722" spans="1:15">
      <c r="A2722" s="25">
        <v>21714</v>
      </c>
      <c r="B2722" s="34" t="s">
        <v>4341</v>
      </c>
      <c r="C2722" s="31" t="s">
        <v>521</v>
      </c>
      <c r="D2722" s="31" t="s">
        <v>663</v>
      </c>
      <c r="E2722" s="28">
        <v>43087</v>
      </c>
      <c r="F2722" s="28">
        <v>43118</v>
      </c>
      <c r="G2722" s="28">
        <v>43496</v>
      </c>
      <c r="H2722" s="29" t="s">
        <v>560</v>
      </c>
      <c r="I2722" s="29" t="s">
        <v>560</v>
      </c>
      <c r="J2722" s="29" t="s">
        <v>1930</v>
      </c>
      <c r="K2722" s="29" t="s">
        <v>4300</v>
      </c>
      <c r="L2722" s="29" t="s">
        <v>4301</v>
      </c>
      <c r="M2722" s="29" t="s">
        <v>2352</v>
      </c>
      <c r="N2722" s="29" t="s">
        <v>2023</v>
      </c>
      <c r="O2722" s="29" t="s">
        <v>590</v>
      </c>
    </row>
    <row r="2723" spans="1:15">
      <c r="A2723" s="25">
        <v>21791</v>
      </c>
      <c r="B2723" s="34" t="s">
        <v>4342</v>
      </c>
      <c r="C2723" s="31" t="s">
        <v>521</v>
      </c>
      <c r="D2723" s="31" t="s">
        <v>1609</v>
      </c>
      <c r="E2723" s="28">
        <v>43090</v>
      </c>
      <c r="F2723" s="28">
        <v>43121</v>
      </c>
      <c r="G2723" s="28">
        <v>43496</v>
      </c>
      <c r="H2723" s="29" t="s">
        <v>560</v>
      </c>
      <c r="I2723" s="29" t="s">
        <v>560</v>
      </c>
      <c r="J2723" s="29" t="s">
        <v>1930</v>
      </c>
      <c r="K2723" s="29" t="s">
        <v>4300</v>
      </c>
      <c r="L2723" s="29" t="s">
        <v>4301</v>
      </c>
      <c r="M2723" s="29" t="s">
        <v>4343</v>
      </c>
      <c r="N2723" s="29" t="s">
        <v>1525</v>
      </c>
      <c r="O2723" s="29" t="s">
        <v>590</v>
      </c>
    </row>
    <row r="2724" spans="1:15">
      <c r="A2724" s="25">
        <v>21884</v>
      </c>
      <c r="B2724" s="34" t="s">
        <v>4344</v>
      </c>
      <c r="C2724" s="31" t="s">
        <v>521</v>
      </c>
      <c r="D2724" s="31" t="s">
        <v>1870</v>
      </c>
      <c r="E2724" s="28">
        <v>43103</v>
      </c>
      <c r="F2724" s="28">
        <v>43134</v>
      </c>
      <c r="G2724" s="28">
        <v>43496</v>
      </c>
      <c r="H2724" s="29" t="s">
        <v>560</v>
      </c>
      <c r="I2724" s="29" t="s">
        <v>560</v>
      </c>
      <c r="J2724" s="29" t="s">
        <v>1930</v>
      </c>
      <c r="K2724" s="29" t="s">
        <v>4300</v>
      </c>
      <c r="L2724" s="29" t="s">
        <v>4301</v>
      </c>
      <c r="M2724" s="29" t="s">
        <v>3186</v>
      </c>
      <c r="N2724" s="29" t="s">
        <v>2031</v>
      </c>
      <c r="O2724" s="29" t="s">
        <v>590</v>
      </c>
    </row>
    <row r="2725" spans="1:15">
      <c r="A2725" s="25">
        <v>22117</v>
      </c>
      <c r="B2725" s="34" t="s">
        <v>4345</v>
      </c>
      <c r="C2725" s="31" t="s">
        <v>521</v>
      </c>
      <c r="D2725" s="31" t="s">
        <v>758</v>
      </c>
      <c r="E2725" s="28">
        <v>43153</v>
      </c>
      <c r="F2725" s="28">
        <v>43181</v>
      </c>
      <c r="G2725" s="28">
        <v>43555</v>
      </c>
      <c r="H2725" s="29" t="s">
        <v>560</v>
      </c>
      <c r="I2725" s="29" t="s">
        <v>560</v>
      </c>
      <c r="J2725" s="29" t="s">
        <v>1930</v>
      </c>
      <c r="K2725" s="29" t="s">
        <v>4300</v>
      </c>
      <c r="L2725" s="29" t="s">
        <v>4301</v>
      </c>
      <c r="M2725" s="29" t="s">
        <v>4346</v>
      </c>
      <c r="N2725" s="29" t="s">
        <v>1511</v>
      </c>
      <c r="O2725" s="29" t="s">
        <v>590</v>
      </c>
    </row>
    <row r="2726" spans="1:15">
      <c r="A2726" s="25">
        <v>22184</v>
      </c>
      <c r="B2726" s="34" t="s">
        <v>4347</v>
      </c>
      <c r="C2726" s="31" t="s">
        <v>521</v>
      </c>
      <c r="D2726" s="31" t="s">
        <v>1201</v>
      </c>
      <c r="E2726" s="28">
        <v>43158</v>
      </c>
      <c r="F2726" s="28">
        <v>43186</v>
      </c>
      <c r="G2726" s="28">
        <v>43555</v>
      </c>
      <c r="H2726" s="29" t="s">
        <v>560</v>
      </c>
      <c r="I2726" s="29" t="s">
        <v>560</v>
      </c>
      <c r="J2726" s="29" t="s">
        <v>1930</v>
      </c>
      <c r="K2726" s="29" t="s">
        <v>4300</v>
      </c>
      <c r="L2726" s="29" t="s">
        <v>4301</v>
      </c>
      <c r="M2726" s="29" t="s">
        <v>2061</v>
      </c>
      <c r="N2726" s="29" t="s">
        <v>2041</v>
      </c>
      <c r="O2726" s="29" t="s">
        <v>590</v>
      </c>
    </row>
    <row r="2727" spans="1:15">
      <c r="A2727" s="25">
        <v>22317</v>
      </c>
      <c r="B2727" s="34" t="s">
        <v>172</v>
      </c>
      <c r="C2727" s="31" t="s">
        <v>521</v>
      </c>
      <c r="D2727" s="31" t="s">
        <v>1191</v>
      </c>
      <c r="E2727" s="28">
        <v>43192</v>
      </c>
      <c r="F2727" s="28">
        <v>43222</v>
      </c>
      <c r="G2727" s="28">
        <v>43585</v>
      </c>
      <c r="H2727" s="29" t="s">
        <v>560</v>
      </c>
      <c r="I2727" s="29" t="s">
        <v>560</v>
      </c>
      <c r="J2727" s="29" t="s">
        <v>1930</v>
      </c>
      <c r="K2727" s="29" t="s">
        <v>4300</v>
      </c>
      <c r="L2727" s="29" t="s">
        <v>4301</v>
      </c>
      <c r="M2727" s="29" t="s">
        <v>2366</v>
      </c>
      <c r="N2727" s="29" t="s">
        <v>2023</v>
      </c>
      <c r="O2727" s="29" t="s">
        <v>590</v>
      </c>
    </row>
    <row r="2728" spans="1:15">
      <c r="A2728" s="25">
        <v>22321</v>
      </c>
      <c r="B2728" s="34" t="s">
        <v>4348</v>
      </c>
      <c r="C2728" s="31" t="s">
        <v>521</v>
      </c>
      <c r="D2728" s="31" t="s">
        <v>1191</v>
      </c>
      <c r="E2728" s="28">
        <v>43192</v>
      </c>
      <c r="F2728" s="28">
        <v>43222</v>
      </c>
      <c r="G2728" s="28">
        <v>43585</v>
      </c>
      <c r="H2728" s="29" t="s">
        <v>560</v>
      </c>
      <c r="I2728" s="29" t="s">
        <v>560</v>
      </c>
      <c r="J2728" s="29" t="s">
        <v>1930</v>
      </c>
      <c r="K2728" s="29" t="s">
        <v>4300</v>
      </c>
      <c r="L2728" s="29" t="s">
        <v>4301</v>
      </c>
      <c r="M2728" s="29" t="s">
        <v>3190</v>
      </c>
      <c r="N2728" s="29" t="s">
        <v>2031</v>
      </c>
      <c r="O2728" s="29" t="s">
        <v>590</v>
      </c>
    </row>
    <row r="2729" spans="1:15">
      <c r="A2729" s="25">
        <v>22375</v>
      </c>
      <c r="B2729" s="34" t="s">
        <v>4349</v>
      </c>
      <c r="C2729" s="31" t="s">
        <v>521</v>
      </c>
      <c r="D2729" s="31" t="s">
        <v>805</v>
      </c>
      <c r="E2729" s="28">
        <v>43213</v>
      </c>
      <c r="F2729" s="28">
        <v>43243</v>
      </c>
      <c r="G2729" s="28">
        <v>43616</v>
      </c>
      <c r="H2729" s="29" t="s">
        <v>560</v>
      </c>
      <c r="I2729" s="29" t="s">
        <v>560</v>
      </c>
      <c r="J2729" s="29" t="s">
        <v>1930</v>
      </c>
      <c r="K2729" s="29" t="s">
        <v>4300</v>
      </c>
      <c r="L2729" s="29" t="s">
        <v>4301</v>
      </c>
      <c r="M2729" s="29" t="s">
        <v>4350</v>
      </c>
      <c r="N2729" s="29" t="s">
        <v>4136</v>
      </c>
      <c r="O2729" s="29" t="s">
        <v>590</v>
      </c>
    </row>
    <row r="2730" spans="1:15">
      <c r="A2730" s="25">
        <v>22398</v>
      </c>
      <c r="B2730" s="34" t="s">
        <v>4351</v>
      </c>
      <c r="C2730" s="31" t="s">
        <v>521</v>
      </c>
      <c r="D2730" s="31" t="s">
        <v>805</v>
      </c>
      <c r="E2730" s="28">
        <v>43213</v>
      </c>
      <c r="F2730" s="28">
        <v>43243</v>
      </c>
      <c r="G2730" s="28">
        <v>43616</v>
      </c>
      <c r="H2730" s="29" t="s">
        <v>560</v>
      </c>
      <c r="I2730" s="29" t="s">
        <v>560</v>
      </c>
      <c r="J2730" s="29" t="s">
        <v>1930</v>
      </c>
      <c r="K2730" s="29" t="s">
        <v>4300</v>
      </c>
      <c r="L2730" s="29" t="s">
        <v>4301</v>
      </c>
      <c r="M2730" s="29" t="s">
        <v>1520</v>
      </c>
      <c r="N2730" s="29" t="s">
        <v>1541</v>
      </c>
      <c r="O2730" s="29" t="s">
        <v>590</v>
      </c>
    </row>
    <row r="2731" spans="1:15">
      <c r="A2731" s="25">
        <v>22607</v>
      </c>
      <c r="B2731" s="34" t="s">
        <v>4352</v>
      </c>
      <c r="C2731" s="31" t="s">
        <v>521</v>
      </c>
      <c r="D2731" s="31" t="s">
        <v>745</v>
      </c>
      <c r="E2731" s="28">
        <v>43236</v>
      </c>
      <c r="F2731" s="28">
        <v>43267</v>
      </c>
      <c r="G2731" s="28">
        <v>43646</v>
      </c>
      <c r="H2731" s="29" t="s">
        <v>560</v>
      </c>
      <c r="I2731" s="29" t="s">
        <v>560</v>
      </c>
      <c r="J2731" s="29" t="s">
        <v>1930</v>
      </c>
      <c r="K2731" s="29" t="s">
        <v>4300</v>
      </c>
      <c r="L2731" s="29" t="s">
        <v>4301</v>
      </c>
      <c r="M2731" s="29" t="s">
        <v>4314</v>
      </c>
      <c r="N2731" s="29" t="s">
        <v>1434</v>
      </c>
      <c r="O2731" s="29" t="s">
        <v>590</v>
      </c>
    </row>
    <row r="2732" spans="1:15">
      <c r="A2732" s="25">
        <v>22983</v>
      </c>
      <c r="B2732" s="34" t="s">
        <v>4353</v>
      </c>
      <c r="C2732" s="31" t="s">
        <v>521</v>
      </c>
      <c r="D2732" s="31" t="s">
        <v>1962</v>
      </c>
      <c r="E2732" s="28">
        <v>43343</v>
      </c>
      <c r="F2732" s="28">
        <v>43374</v>
      </c>
      <c r="G2732" s="28">
        <v>43738</v>
      </c>
      <c r="H2732" s="29" t="s">
        <v>560</v>
      </c>
      <c r="I2732" s="29" t="s">
        <v>560</v>
      </c>
      <c r="J2732" s="29" t="s">
        <v>1930</v>
      </c>
      <c r="K2732" s="29" t="s">
        <v>4300</v>
      </c>
      <c r="L2732" s="29" t="s">
        <v>4301</v>
      </c>
      <c r="M2732" s="29" t="s">
        <v>3031</v>
      </c>
      <c r="N2732" s="29" t="s">
        <v>2023</v>
      </c>
      <c r="O2732" s="29" t="s">
        <v>590</v>
      </c>
    </row>
    <row r="2733" spans="1:15">
      <c r="A2733" s="25">
        <v>23137</v>
      </c>
      <c r="B2733" s="34" t="s">
        <v>4354</v>
      </c>
      <c r="C2733" s="31" t="s">
        <v>521</v>
      </c>
      <c r="D2733" s="31" t="s">
        <v>1523</v>
      </c>
      <c r="E2733" s="28">
        <v>43369</v>
      </c>
      <c r="F2733" s="28">
        <v>43399</v>
      </c>
      <c r="G2733" s="28">
        <v>43769</v>
      </c>
      <c r="H2733" s="29" t="s">
        <v>560</v>
      </c>
      <c r="I2733" s="29" t="s">
        <v>560</v>
      </c>
      <c r="J2733" s="29" t="s">
        <v>1930</v>
      </c>
      <c r="K2733" s="29" t="s">
        <v>4300</v>
      </c>
      <c r="L2733" s="29" t="s">
        <v>4301</v>
      </c>
      <c r="M2733" s="29" t="s">
        <v>3186</v>
      </c>
      <c r="N2733" s="29" t="s">
        <v>2031</v>
      </c>
      <c r="O2733" s="29" t="s">
        <v>590</v>
      </c>
    </row>
    <row r="2734" spans="1:15">
      <c r="A2734" s="25">
        <v>23285</v>
      </c>
      <c r="B2734" s="34" t="s">
        <v>4355</v>
      </c>
      <c r="C2734" s="31" t="s">
        <v>521</v>
      </c>
      <c r="D2734" s="31" t="s">
        <v>1582</v>
      </c>
      <c r="E2734" s="28">
        <v>43421</v>
      </c>
      <c r="F2734" s="28">
        <v>43451</v>
      </c>
      <c r="G2734" s="28">
        <v>43830</v>
      </c>
      <c r="H2734" s="29" t="s">
        <v>560</v>
      </c>
      <c r="I2734" s="29" t="s">
        <v>560</v>
      </c>
      <c r="J2734" s="29" t="s">
        <v>1930</v>
      </c>
      <c r="K2734" s="29" t="s">
        <v>4300</v>
      </c>
      <c r="L2734" s="29" t="s">
        <v>4301</v>
      </c>
      <c r="M2734" s="29" t="s">
        <v>3790</v>
      </c>
      <c r="N2734" s="29" t="s">
        <v>1434</v>
      </c>
      <c r="O2734" s="29" t="s">
        <v>590</v>
      </c>
    </row>
    <row r="2735" spans="1:15">
      <c r="A2735" s="25">
        <v>23302</v>
      </c>
      <c r="B2735" s="34" t="s">
        <v>4356</v>
      </c>
      <c r="C2735" s="31" t="s">
        <v>521</v>
      </c>
      <c r="D2735" s="31" t="s">
        <v>1527</v>
      </c>
      <c r="E2735" s="28">
        <v>43427</v>
      </c>
      <c r="F2735" s="28">
        <v>43457</v>
      </c>
      <c r="G2735" s="28">
        <v>43830</v>
      </c>
      <c r="H2735" s="29" t="s">
        <v>560</v>
      </c>
      <c r="I2735" s="29" t="s">
        <v>560</v>
      </c>
      <c r="J2735" s="29" t="s">
        <v>1930</v>
      </c>
      <c r="K2735" s="29" t="s">
        <v>4300</v>
      </c>
      <c r="L2735" s="29" t="s">
        <v>4301</v>
      </c>
      <c r="M2735" s="29" t="s">
        <v>3113</v>
      </c>
      <c r="N2735" s="29" t="s">
        <v>2023</v>
      </c>
      <c r="O2735" s="29" t="s">
        <v>590</v>
      </c>
    </row>
    <row r="2736" spans="1:15">
      <c r="A2736" s="25" t="s">
        <v>4357</v>
      </c>
      <c r="B2736" s="26" t="s">
        <v>4358</v>
      </c>
      <c r="C2736" s="27" t="s">
        <v>521</v>
      </c>
      <c r="D2736" s="27" t="s">
        <v>3150</v>
      </c>
      <c r="E2736" s="28">
        <v>40868</v>
      </c>
      <c r="F2736" s="28" t="s">
        <v>35</v>
      </c>
      <c r="G2736" s="28" t="s">
        <v>35</v>
      </c>
      <c r="H2736" s="27" t="s">
        <v>560</v>
      </c>
      <c r="I2736" s="27" t="s">
        <v>560</v>
      </c>
      <c r="J2736" s="29" t="s">
        <v>1930</v>
      </c>
      <c r="K2736" s="29" t="s">
        <v>4300</v>
      </c>
      <c r="L2736" s="29" t="s">
        <v>4301</v>
      </c>
      <c r="M2736" s="29" t="s">
        <v>4359</v>
      </c>
      <c r="N2736" s="29" t="s">
        <v>1434</v>
      </c>
      <c r="O2736" s="29" t="s">
        <v>590</v>
      </c>
    </row>
    <row r="2737" spans="1:15">
      <c r="A2737" s="25">
        <v>23543</v>
      </c>
      <c r="B2737" s="34" t="s">
        <v>4360</v>
      </c>
      <c r="C2737" s="31" t="s">
        <v>521</v>
      </c>
      <c r="D2737" s="31" t="s">
        <v>884</v>
      </c>
      <c r="E2737" s="28">
        <v>43452</v>
      </c>
      <c r="F2737" s="28">
        <v>43483</v>
      </c>
      <c r="G2737" s="28">
        <v>43861</v>
      </c>
      <c r="H2737" s="29" t="s">
        <v>560</v>
      </c>
      <c r="I2737" s="29" t="s">
        <v>560</v>
      </c>
      <c r="J2737" s="29" t="s">
        <v>1930</v>
      </c>
      <c r="K2737" s="29" t="s">
        <v>4300</v>
      </c>
      <c r="L2737" s="29" t="s">
        <v>4301</v>
      </c>
      <c r="M2737" s="29" t="s">
        <v>3194</v>
      </c>
      <c r="N2737" s="29" t="s">
        <v>2023</v>
      </c>
      <c r="O2737" s="29" t="s">
        <v>590</v>
      </c>
    </row>
    <row r="2738" spans="1:15">
      <c r="A2738" s="25">
        <v>332</v>
      </c>
      <c r="B2738" s="26" t="s">
        <v>4361</v>
      </c>
      <c r="C2738" s="27" t="s">
        <v>521</v>
      </c>
      <c r="D2738" s="27" t="s">
        <v>705</v>
      </c>
      <c r="E2738" s="28">
        <v>37725</v>
      </c>
      <c r="F2738" s="28" t="s">
        <v>35</v>
      </c>
      <c r="G2738" s="28" t="s">
        <v>35</v>
      </c>
      <c r="H2738" s="27" t="s">
        <v>560</v>
      </c>
      <c r="I2738" s="27" t="s">
        <v>560</v>
      </c>
      <c r="J2738" s="29" t="s">
        <v>1930</v>
      </c>
      <c r="K2738" s="29" t="s">
        <v>4362</v>
      </c>
      <c r="L2738" s="29" t="s">
        <v>4363</v>
      </c>
      <c r="M2738" s="29" t="s">
        <v>1550</v>
      </c>
      <c r="N2738" s="29" t="s">
        <v>1045</v>
      </c>
      <c r="O2738" s="29" t="s">
        <v>594</v>
      </c>
    </row>
    <row r="2739" spans="1:15">
      <c r="A2739" s="25">
        <v>10497</v>
      </c>
      <c r="B2739" s="34" t="s">
        <v>4364</v>
      </c>
      <c r="C2739" s="31" t="s">
        <v>521</v>
      </c>
      <c r="D2739" s="31" t="s">
        <v>738</v>
      </c>
      <c r="E2739" s="28">
        <v>40535</v>
      </c>
      <c r="F2739" s="28" t="s">
        <v>35</v>
      </c>
      <c r="G2739" s="28" t="s">
        <v>35</v>
      </c>
      <c r="H2739" s="29" t="s">
        <v>560</v>
      </c>
      <c r="I2739" s="29" t="s">
        <v>560</v>
      </c>
      <c r="J2739" s="29" t="s">
        <v>1930</v>
      </c>
      <c r="K2739" s="29" t="s">
        <v>4362</v>
      </c>
      <c r="L2739" s="29" t="s">
        <v>4363</v>
      </c>
      <c r="M2739" s="29" t="s">
        <v>3166</v>
      </c>
      <c r="N2739" s="29" t="s">
        <v>1434</v>
      </c>
      <c r="O2739" s="29" t="s">
        <v>594</v>
      </c>
    </row>
    <row r="2740" spans="1:15">
      <c r="A2740" s="25">
        <v>11768</v>
      </c>
      <c r="B2740" s="26" t="s">
        <v>4365</v>
      </c>
      <c r="C2740" s="27" t="s">
        <v>521</v>
      </c>
      <c r="D2740" s="27" t="s">
        <v>675</v>
      </c>
      <c r="E2740" s="28">
        <v>40714</v>
      </c>
      <c r="F2740" s="28" t="s">
        <v>35</v>
      </c>
      <c r="G2740" s="28" t="s">
        <v>35</v>
      </c>
      <c r="H2740" s="29" t="s">
        <v>560</v>
      </c>
      <c r="I2740" s="29" t="s">
        <v>560</v>
      </c>
      <c r="J2740" s="29" t="s">
        <v>1930</v>
      </c>
      <c r="K2740" s="29" t="s">
        <v>4362</v>
      </c>
      <c r="L2740" s="29" t="s">
        <v>4363</v>
      </c>
      <c r="M2740" s="29" t="s">
        <v>4366</v>
      </c>
      <c r="N2740" s="29" t="s">
        <v>1434</v>
      </c>
      <c r="O2740" s="29" t="s">
        <v>594</v>
      </c>
    </row>
    <row r="2741" spans="1:15">
      <c r="A2741" s="25">
        <v>21039</v>
      </c>
      <c r="B2741" s="26" t="s">
        <v>4367</v>
      </c>
      <c r="C2741" s="27" t="s">
        <v>521</v>
      </c>
      <c r="D2741" s="27" t="s">
        <v>3315</v>
      </c>
      <c r="E2741" s="28">
        <v>42863</v>
      </c>
      <c r="F2741" s="28">
        <v>43344</v>
      </c>
      <c r="G2741" s="28">
        <v>43708</v>
      </c>
      <c r="H2741" s="27" t="s">
        <v>560</v>
      </c>
      <c r="I2741" s="27" t="s">
        <v>560</v>
      </c>
      <c r="J2741" s="29" t="s">
        <v>1930</v>
      </c>
      <c r="K2741" s="29" t="s">
        <v>4362</v>
      </c>
      <c r="L2741" s="29" t="s">
        <v>4363</v>
      </c>
      <c r="M2741" s="29" t="s">
        <v>4368</v>
      </c>
      <c r="N2741" s="29" t="s">
        <v>1511</v>
      </c>
      <c r="O2741" s="29" t="s">
        <v>594</v>
      </c>
    </row>
    <row r="2742" spans="1:15">
      <c r="A2742" s="25">
        <v>21041</v>
      </c>
      <c r="B2742" s="26" t="s">
        <v>4369</v>
      </c>
      <c r="C2742" s="27" t="s">
        <v>521</v>
      </c>
      <c r="D2742" s="27" t="s">
        <v>3315</v>
      </c>
      <c r="E2742" s="28">
        <v>42863</v>
      </c>
      <c r="F2742" s="28">
        <v>43344</v>
      </c>
      <c r="G2742" s="28">
        <v>43708</v>
      </c>
      <c r="H2742" s="29" t="s">
        <v>560</v>
      </c>
      <c r="I2742" s="29" t="s">
        <v>560</v>
      </c>
      <c r="J2742" s="29" t="s">
        <v>1930</v>
      </c>
      <c r="K2742" s="29" t="s">
        <v>4362</v>
      </c>
      <c r="L2742" s="29" t="s">
        <v>4363</v>
      </c>
      <c r="M2742" s="29" t="s">
        <v>4370</v>
      </c>
      <c r="N2742" s="29" t="s">
        <v>1434</v>
      </c>
      <c r="O2742" s="29" t="s">
        <v>594</v>
      </c>
    </row>
    <row r="2743" spans="1:15">
      <c r="A2743" s="25">
        <v>21088</v>
      </c>
      <c r="B2743" s="26" t="s">
        <v>4371</v>
      </c>
      <c r="C2743" s="27" t="s">
        <v>521</v>
      </c>
      <c r="D2743" s="27" t="s">
        <v>3315</v>
      </c>
      <c r="E2743" s="28">
        <v>42863</v>
      </c>
      <c r="F2743" s="28">
        <v>43344</v>
      </c>
      <c r="G2743" s="28">
        <v>43708</v>
      </c>
      <c r="H2743" s="29" t="s">
        <v>560</v>
      </c>
      <c r="I2743" s="29" t="s">
        <v>560</v>
      </c>
      <c r="J2743" s="29" t="s">
        <v>1930</v>
      </c>
      <c r="K2743" s="29" t="s">
        <v>4362</v>
      </c>
      <c r="L2743" s="29" t="s">
        <v>4363</v>
      </c>
      <c r="M2743" s="29" t="s">
        <v>4372</v>
      </c>
      <c r="N2743" s="29" t="s">
        <v>1434</v>
      </c>
      <c r="O2743" s="29" t="s">
        <v>594</v>
      </c>
    </row>
    <row r="2744" spans="1:15">
      <c r="A2744" s="25">
        <v>22127</v>
      </c>
      <c r="B2744" s="34" t="s">
        <v>4373</v>
      </c>
      <c r="C2744" s="31" t="s">
        <v>521</v>
      </c>
      <c r="D2744" s="31" t="s">
        <v>758</v>
      </c>
      <c r="E2744" s="28">
        <v>43153</v>
      </c>
      <c r="F2744" s="28">
        <v>43181</v>
      </c>
      <c r="G2744" s="28">
        <v>43555</v>
      </c>
      <c r="H2744" s="29" t="s">
        <v>560</v>
      </c>
      <c r="I2744" s="29" t="s">
        <v>560</v>
      </c>
      <c r="J2744" s="29" t="s">
        <v>1930</v>
      </c>
      <c r="K2744" s="29" t="s">
        <v>4362</v>
      </c>
      <c r="L2744" s="29" t="s">
        <v>4363</v>
      </c>
      <c r="M2744" s="29" t="s">
        <v>4374</v>
      </c>
      <c r="N2744" s="29" t="s">
        <v>1525</v>
      </c>
      <c r="O2744" s="29" t="s">
        <v>594</v>
      </c>
    </row>
    <row r="2745" spans="1:15">
      <c r="A2745" s="25">
        <v>22387</v>
      </c>
      <c r="B2745" s="34" t="s">
        <v>4375</v>
      </c>
      <c r="C2745" s="31" t="s">
        <v>521</v>
      </c>
      <c r="D2745" s="31" t="s">
        <v>805</v>
      </c>
      <c r="E2745" s="28">
        <v>43213</v>
      </c>
      <c r="F2745" s="28">
        <v>43243</v>
      </c>
      <c r="G2745" s="28">
        <v>43616</v>
      </c>
      <c r="H2745" s="29" t="s">
        <v>560</v>
      </c>
      <c r="I2745" s="29" t="s">
        <v>560</v>
      </c>
      <c r="J2745" s="29" t="s">
        <v>1930</v>
      </c>
      <c r="K2745" s="29" t="s">
        <v>4362</v>
      </c>
      <c r="L2745" s="29" t="s">
        <v>4363</v>
      </c>
      <c r="M2745" s="29" t="s">
        <v>4376</v>
      </c>
      <c r="N2745" s="29" t="s">
        <v>1511</v>
      </c>
      <c r="O2745" s="29" t="s">
        <v>594</v>
      </c>
    </row>
    <row r="2746" spans="1:15">
      <c r="A2746" s="25">
        <v>22658</v>
      </c>
      <c r="B2746" s="34" t="s">
        <v>4377</v>
      </c>
      <c r="C2746" s="31" t="s">
        <v>521</v>
      </c>
      <c r="D2746" s="31" t="s">
        <v>1199</v>
      </c>
      <c r="E2746" s="28">
        <v>43241</v>
      </c>
      <c r="F2746" s="28">
        <v>43272</v>
      </c>
      <c r="G2746" s="28">
        <v>43646</v>
      </c>
      <c r="H2746" s="29" t="s">
        <v>560</v>
      </c>
      <c r="I2746" s="29" t="s">
        <v>560</v>
      </c>
      <c r="J2746" s="29" t="s">
        <v>1930</v>
      </c>
      <c r="K2746" s="29" t="s">
        <v>4362</v>
      </c>
      <c r="L2746" s="29" t="s">
        <v>4363</v>
      </c>
      <c r="M2746" s="29" t="s">
        <v>4378</v>
      </c>
      <c r="N2746" s="29" t="s">
        <v>1434</v>
      </c>
      <c r="O2746" s="29" t="s">
        <v>594</v>
      </c>
    </row>
    <row r="2747" spans="1:15">
      <c r="A2747" s="25">
        <v>22827</v>
      </c>
      <c r="B2747" s="34" t="s">
        <v>4379</v>
      </c>
      <c r="C2747" s="31" t="s">
        <v>521</v>
      </c>
      <c r="D2747" s="31" t="s">
        <v>775</v>
      </c>
      <c r="E2747" s="28">
        <v>43333</v>
      </c>
      <c r="F2747" s="28">
        <v>43364</v>
      </c>
      <c r="G2747" s="28">
        <v>43738</v>
      </c>
      <c r="H2747" s="29" t="s">
        <v>560</v>
      </c>
      <c r="I2747" s="29" t="s">
        <v>560</v>
      </c>
      <c r="J2747" s="29" t="s">
        <v>1930</v>
      </c>
      <c r="K2747" s="29" t="s">
        <v>4362</v>
      </c>
      <c r="L2747" s="29" t="s">
        <v>4363</v>
      </c>
      <c r="M2747" s="29" t="s">
        <v>4380</v>
      </c>
      <c r="N2747" s="29" t="s">
        <v>1511</v>
      </c>
      <c r="O2747" s="29" t="s">
        <v>594</v>
      </c>
    </row>
    <row r="2748" spans="1:15">
      <c r="A2748" s="25">
        <v>22891</v>
      </c>
      <c r="B2748" s="34" t="s">
        <v>4381</v>
      </c>
      <c r="C2748" s="31" t="s">
        <v>521</v>
      </c>
      <c r="D2748" s="31" t="s">
        <v>775</v>
      </c>
      <c r="E2748" s="28">
        <v>43333</v>
      </c>
      <c r="F2748" s="28">
        <v>43364</v>
      </c>
      <c r="G2748" s="28">
        <v>43738</v>
      </c>
      <c r="H2748" s="29" t="s">
        <v>560</v>
      </c>
      <c r="I2748" s="29" t="s">
        <v>560</v>
      </c>
      <c r="J2748" s="29" t="s">
        <v>1930</v>
      </c>
      <c r="K2748" s="29" t="s">
        <v>4362</v>
      </c>
      <c r="L2748" s="29" t="s">
        <v>4363</v>
      </c>
      <c r="M2748" s="29" t="s">
        <v>4370</v>
      </c>
      <c r="N2748" s="29" t="s">
        <v>1434</v>
      </c>
      <c r="O2748" s="29" t="s">
        <v>594</v>
      </c>
    </row>
    <row r="2749" spans="1:15">
      <c r="A2749" s="25">
        <v>22893</v>
      </c>
      <c r="B2749" s="34" t="s">
        <v>2168</v>
      </c>
      <c r="C2749" s="31" t="s">
        <v>521</v>
      </c>
      <c r="D2749" s="31" t="s">
        <v>775</v>
      </c>
      <c r="E2749" s="28">
        <v>43333</v>
      </c>
      <c r="F2749" s="28">
        <v>43364</v>
      </c>
      <c r="G2749" s="28">
        <v>43738</v>
      </c>
      <c r="H2749" s="29" t="s">
        <v>560</v>
      </c>
      <c r="I2749" s="29" t="s">
        <v>560</v>
      </c>
      <c r="J2749" s="29" t="s">
        <v>1930</v>
      </c>
      <c r="K2749" s="29" t="s">
        <v>4362</v>
      </c>
      <c r="L2749" s="29" t="s">
        <v>4363</v>
      </c>
      <c r="M2749" s="29" t="s">
        <v>4370</v>
      </c>
      <c r="N2749" s="29" t="s">
        <v>1434</v>
      </c>
      <c r="O2749" s="29" t="s">
        <v>594</v>
      </c>
    </row>
    <row r="2750" spans="1:15">
      <c r="A2750" s="25">
        <v>23174</v>
      </c>
      <c r="B2750" s="34" t="s">
        <v>4382</v>
      </c>
      <c r="C2750" s="31" t="s">
        <v>521</v>
      </c>
      <c r="D2750" s="31" t="s">
        <v>1523</v>
      </c>
      <c r="E2750" s="28">
        <v>43369</v>
      </c>
      <c r="F2750" s="28">
        <v>43399</v>
      </c>
      <c r="G2750" s="28">
        <v>43769</v>
      </c>
      <c r="H2750" s="29" t="s">
        <v>560</v>
      </c>
      <c r="I2750" s="29" t="s">
        <v>560</v>
      </c>
      <c r="J2750" s="29" t="s">
        <v>1930</v>
      </c>
      <c r="K2750" s="29" t="s">
        <v>4362</v>
      </c>
      <c r="L2750" s="29" t="s">
        <v>4363</v>
      </c>
      <c r="M2750" s="29" t="s">
        <v>2077</v>
      </c>
      <c r="N2750" s="29" t="s">
        <v>2077</v>
      </c>
      <c r="O2750" s="29" t="s">
        <v>594</v>
      </c>
    </row>
    <row r="2751" spans="1:15">
      <c r="A2751" s="25">
        <v>23456</v>
      </c>
      <c r="B2751" s="34" t="s">
        <v>4383</v>
      </c>
      <c r="C2751" s="31" t="s">
        <v>521</v>
      </c>
      <c r="D2751" s="31" t="s">
        <v>882</v>
      </c>
      <c r="E2751" s="28">
        <v>43434</v>
      </c>
      <c r="F2751" s="28">
        <v>43464</v>
      </c>
      <c r="G2751" s="28">
        <v>43830</v>
      </c>
      <c r="H2751" s="29" t="s">
        <v>560</v>
      </c>
      <c r="I2751" s="29" t="s">
        <v>560</v>
      </c>
      <c r="J2751" s="29" t="s">
        <v>1930</v>
      </c>
      <c r="K2751" s="29" t="s">
        <v>4362</v>
      </c>
      <c r="L2751" s="29" t="s">
        <v>4363</v>
      </c>
      <c r="M2751" s="29" t="s">
        <v>2077</v>
      </c>
      <c r="N2751" s="29" t="s">
        <v>2077</v>
      </c>
      <c r="O2751" s="29" t="s">
        <v>594</v>
      </c>
    </row>
    <row r="2752" spans="1:15">
      <c r="A2752" s="25" t="s">
        <v>4384</v>
      </c>
      <c r="B2752" s="26" t="s">
        <v>4385</v>
      </c>
      <c r="C2752" s="27" t="s">
        <v>521</v>
      </c>
      <c r="D2752" s="27" t="s">
        <v>3150</v>
      </c>
      <c r="E2752" s="28">
        <v>40868</v>
      </c>
      <c r="F2752" s="28" t="s">
        <v>35</v>
      </c>
      <c r="G2752" s="28" t="s">
        <v>35</v>
      </c>
      <c r="H2752" s="27" t="s">
        <v>560</v>
      </c>
      <c r="I2752" s="27" t="s">
        <v>560</v>
      </c>
      <c r="J2752" s="29" t="s">
        <v>1930</v>
      </c>
      <c r="K2752" s="29" t="s">
        <v>4362</v>
      </c>
      <c r="L2752" s="29" t="s">
        <v>4363</v>
      </c>
      <c r="M2752" s="29" t="s">
        <v>2025</v>
      </c>
      <c r="N2752" s="29" t="s">
        <v>2026</v>
      </c>
      <c r="O2752" s="29" t="s">
        <v>594</v>
      </c>
    </row>
    <row r="2753" spans="1:15">
      <c r="A2753" s="25">
        <v>8789</v>
      </c>
      <c r="B2753" s="26" t="s">
        <v>4386</v>
      </c>
      <c r="C2753" s="27" t="s">
        <v>521</v>
      </c>
      <c r="D2753" s="27" t="s">
        <v>747</v>
      </c>
      <c r="E2753" s="28">
        <v>39931</v>
      </c>
      <c r="F2753" s="28" t="s">
        <v>35</v>
      </c>
      <c r="G2753" s="28" t="s">
        <v>35</v>
      </c>
      <c r="H2753" s="29" t="s">
        <v>560</v>
      </c>
      <c r="I2753" s="29" t="s">
        <v>560</v>
      </c>
      <c r="J2753" s="29" t="s">
        <v>1930</v>
      </c>
      <c r="K2753" s="29" t="s">
        <v>4362</v>
      </c>
      <c r="L2753" s="29" t="s">
        <v>4363</v>
      </c>
      <c r="M2753" s="29" t="s">
        <v>4387</v>
      </c>
      <c r="N2753" s="29" t="s">
        <v>1511</v>
      </c>
      <c r="O2753" s="29" t="s">
        <v>590</v>
      </c>
    </row>
    <row r="2754" spans="1:15">
      <c r="A2754" s="25">
        <v>10001</v>
      </c>
      <c r="B2754" s="34" t="s">
        <v>4388</v>
      </c>
      <c r="C2754" s="31" t="s">
        <v>521</v>
      </c>
      <c r="D2754" s="27" t="s">
        <v>762</v>
      </c>
      <c r="E2754" s="28">
        <v>40438</v>
      </c>
      <c r="F2754" s="28" t="s">
        <v>35</v>
      </c>
      <c r="G2754" s="28" t="s">
        <v>35</v>
      </c>
      <c r="H2754" s="31" t="s">
        <v>560</v>
      </c>
      <c r="I2754" s="31" t="s">
        <v>560</v>
      </c>
      <c r="J2754" s="29" t="s">
        <v>1930</v>
      </c>
      <c r="K2754" s="29" t="s">
        <v>4362</v>
      </c>
      <c r="L2754" s="29" t="s">
        <v>4363</v>
      </c>
      <c r="M2754" s="29" t="s">
        <v>1550</v>
      </c>
      <c r="N2754" s="29" t="s">
        <v>1045</v>
      </c>
      <c r="O2754" s="29" t="s">
        <v>590</v>
      </c>
    </row>
    <row r="2755" spans="1:15">
      <c r="A2755" s="25">
        <v>10273</v>
      </c>
      <c r="B2755" s="34" t="s">
        <v>4389</v>
      </c>
      <c r="C2755" s="31" t="s">
        <v>521</v>
      </c>
      <c r="D2755" s="31" t="s">
        <v>681</v>
      </c>
      <c r="E2755" s="28">
        <v>40497</v>
      </c>
      <c r="F2755" s="28" t="s">
        <v>35</v>
      </c>
      <c r="G2755" s="28" t="s">
        <v>35</v>
      </c>
      <c r="H2755" s="29" t="s">
        <v>560</v>
      </c>
      <c r="I2755" s="29" t="s">
        <v>560</v>
      </c>
      <c r="J2755" s="29" t="s">
        <v>1930</v>
      </c>
      <c r="K2755" s="29" t="s">
        <v>4362</v>
      </c>
      <c r="L2755" s="29" t="s">
        <v>4363</v>
      </c>
      <c r="M2755" s="29" t="s">
        <v>3166</v>
      </c>
      <c r="N2755" s="29" t="s">
        <v>1434</v>
      </c>
      <c r="O2755" s="29" t="s">
        <v>590</v>
      </c>
    </row>
    <row r="2756" spans="1:15">
      <c r="A2756" s="25">
        <v>11963</v>
      </c>
      <c r="B2756" s="34" t="s">
        <v>4390</v>
      </c>
      <c r="C2756" s="31" t="s">
        <v>521</v>
      </c>
      <c r="D2756" s="31" t="s">
        <v>699</v>
      </c>
      <c r="E2756" s="28">
        <v>40770</v>
      </c>
      <c r="F2756" s="28" t="s">
        <v>35</v>
      </c>
      <c r="G2756" s="28" t="s">
        <v>35</v>
      </c>
      <c r="H2756" s="29" t="s">
        <v>560</v>
      </c>
      <c r="I2756" s="29" t="s">
        <v>560</v>
      </c>
      <c r="J2756" s="29" t="s">
        <v>1930</v>
      </c>
      <c r="K2756" s="29" t="s">
        <v>4362</v>
      </c>
      <c r="L2756" s="29" t="s">
        <v>4363</v>
      </c>
      <c r="M2756" s="29" t="s">
        <v>4391</v>
      </c>
      <c r="N2756" s="29" t="s">
        <v>1434</v>
      </c>
      <c r="O2756" s="29" t="s">
        <v>590</v>
      </c>
    </row>
    <row r="2757" spans="1:15">
      <c r="A2757" s="25">
        <v>12175</v>
      </c>
      <c r="B2757" s="26" t="s">
        <v>4392</v>
      </c>
      <c r="C2757" s="27" t="s">
        <v>521</v>
      </c>
      <c r="D2757" s="27" t="s">
        <v>750</v>
      </c>
      <c r="E2757" s="28">
        <v>40802</v>
      </c>
      <c r="F2757" s="28" t="s">
        <v>35</v>
      </c>
      <c r="G2757" s="28" t="s">
        <v>35</v>
      </c>
      <c r="H2757" s="27" t="s">
        <v>560</v>
      </c>
      <c r="I2757" s="27" t="s">
        <v>560</v>
      </c>
      <c r="J2757" s="29" t="s">
        <v>1930</v>
      </c>
      <c r="K2757" s="29" t="s">
        <v>4362</v>
      </c>
      <c r="L2757" s="29" t="s">
        <v>4363</v>
      </c>
      <c r="M2757" s="29" t="s">
        <v>2025</v>
      </c>
      <c r="N2757" s="29" t="s">
        <v>2026</v>
      </c>
      <c r="O2757" s="29" t="s">
        <v>590</v>
      </c>
    </row>
    <row r="2758" spans="1:15">
      <c r="A2758" s="25">
        <v>13660</v>
      </c>
      <c r="B2758" s="26" t="s">
        <v>4393</v>
      </c>
      <c r="C2758" s="27" t="s">
        <v>521</v>
      </c>
      <c r="D2758" s="27" t="s">
        <v>2731</v>
      </c>
      <c r="E2758" s="28">
        <v>41165</v>
      </c>
      <c r="F2758" s="28" t="s">
        <v>35</v>
      </c>
      <c r="G2758" s="28" t="s">
        <v>35</v>
      </c>
      <c r="H2758" s="27" t="s">
        <v>560</v>
      </c>
      <c r="I2758" s="27" t="s">
        <v>560</v>
      </c>
      <c r="J2758" s="29" t="s">
        <v>1930</v>
      </c>
      <c r="K2758" s="29" t="s">
        <v>4362</v>
      </c>
      <c r="L2758" s="29" t="s">
        <v>4363</v>
      </c>
      <c r="M2758" s="29" t="s">
        <v>4394</v>
      </c>
      <c r="N2758" s="29" t="s">
        <v>1434</v>
      </c>
      <c r="O2758" s="29" t="s">
        <v>590</v>
      </c>
    </row>
    <row r="2759" spans="1:15">
      <c r="A2759" s="25">
        <v>21358</v>
      </c>
      <c r="B2759" s="34" t="s">
        <v>4395</v>
      </c>
      <c r="C2759" s="31" t="s">
        <v>521</v>
      </c>
      <c r="D2759" s="31" t="s">
        <v>2162</v>
      </c>
      <c r="E2759" s="28">
        <v>43013</v>
      </c>
      <c r="F2759" s="28">
        <v>43405</v>
      </c>
      <c r="G2759" s="28">
        <v>43769</v>
      </c>
      <c r="H2759" s="29" t="s">
        <v>560</v>
      </c>
      <c r="I2759" s="29" t="s">
        <v>560</v>
      </c>
      <c r="J2759" s="29" t="s">
        <v>1930</v>
      </c>
      <c r="K2759" s="29" t="s">
        <v>4362</v>
      </c>
      <c r="L2759" s="29" t="s">
        <v>4363</v>
      </c>
      <c r="M2759" s="29" t="s">
        <v>4396</v>
      </c>
      <c r="N2759" s="29" t="s">
        <v>1434</v>
      </c>
      <c r="O2759" s="29" t="s">
        <v>590</v>
      </c>
    </row>
    <row r="2760" spans="1:15">
      <c r="A2760" s="25">
        <v>21447</v>
      </c>
      <c r="B2760" s="34" t="s">
        <v>4397</v>
      </c>
      <c r="C2760" s="31" t="s">
        <v>521</v>
      </c>
      <c r="D2760" s="31" t="s">
        <v>2166</v>
      </c>
      <c r="E2760" s="28">
        <v>43024</v>
      </c>
      <c r="F2760" s="28">
        <v>43435</v>
      </c>
      <c r="G2760" s="28">
        <v>43799</v>
      </c>
      <c r="H2760" s="29" t="s">
        <v>560</v>
      </c>
      <c r="I2760" s="29" t="s">
        <v>560</v>
      </c>
      <c r="J2760" s="29" t="s">
        <v>1930</v>
      </c>
      <c r="K2760" s="29" t="s">
        <v>4362</v>
      </c>
      <c r="L2760" s="29" t="s">
        <v>4363</v>
      </c>
      <c r="M2760" s="29" t="s">
        <v>4398</v>
      </c>
      <c r="N2760" s="29" t="s">
        <v>2031</v>
      </c>
      <c r="O2760" s="29" t="s">
        <v>590</v>
      </c>
    </row>
    <row r="2761" spans="1:15">
      <c r="A2761" s="25">
        <v>22242</v>
      </c>
      <c r="B2761" s="34" t="s">
        <v>1772</v>
      </c>
      <c r="C2761" s="31" t="s">
        <v>521</v>
      </c>
      <c r="D2761" s="31" t="s">
        <v>1796</v>
      </c>
      <c r="E2761" s="28">
        <v>43161</v>
      </c>
      <c r="F2761" s="28">
        <v>43192</v>
      </c>
      <c r="G2761" s="28">
        <v>43555</v>
      </c>
      <c r="H2761" s="29" t="s">
        <v>560</v>
      </c>
      <c r="I2761" s="29" t="s">
        <v>560</v>
      </c>
      <c r="J2761" s="29" t="s">
        <v>1930</v>
      </c>
      <c r="K2761" s="29" t="s">
        <v>4362</v>
      </c>
      <c r="L2761" s="29" t="s">
        <v>4363</v>
      </c>
      <c r="M2761" s="29" t="s">
        <v>4399</v>
      </c>
      <c r="N2761" s="29" t="s">
        <v>1511</v>
      </c>
      <c r="O2761" s="29" t="s">
        <v>590</v>
      </c>
    </row>
    <row r="2762" spans="1:15">
      <c r="A2762" s="25">
        <v>22292</v>
      </c>
      <c r="B2762" s="34" t="s">
        <v>4400</v>
      </c>
      <c r="C2762" s="31" t="s">
        <v>521</v>
      </c>
      <c r="D2762" s="31" t="s">
        <v>1191</v>
      </c>
      <c r="E2762" s="28">
        <v>43192</v>
      </c>
      <c r="F2762" s="28">
        <v>43222</v>
      </c>
      <c r="G2762" s="28">
        <v>43585</v>
      </c>
      <c r="H2762" s="29" t="s">
        <v>560</v>
      </c>
      <c r="I2762" s="29" t="s">
        <v>560</v>
      </c>
      <c r="J2762" s="29" t="s">
        <v>1930</v>
      </c>
      <c r="K2762" s="29" t="s">
        <v>4362</v>
      </c>
      <c r="L2762" s="29" t="s">
        <v>4363</v>
      </c>
      <c r="M2762" s="29" t="s">
        <v>4374</v>
      </c>
      <c r="N2762" s="29" t="s">
        <v>1511</v>
      </c>
      <c r="O2762" s="29" t="s">
        <v>590</v>
      </c>
    </row>
    <row r="2763" spans="1:15">
      <c r="A2763" s="25">
        <v>22293</v>
      </c>
      <c r="B2763" s="34" t="s">
        <v>4401</v>
      </c>
      <c r="C2763" s="31" t="s">
        <v>521</v>
      </c>
      <c r="D2763" s="31" t="s">
        <v>1191</v>
      </c>
      <c r="E2763" s="28">
        <v>43192</v>
      </c>
      <c r="F2763" s="28">
        <v>43222</v>
      </c>
      <c r="G2763" s="28">
        <v>43585</v>
      </c>
      <c r="H2763" s="29" t="s">
        <v>560</v>
      </c>
      <c r="I2763" s="29" t="s">
        <v>560</v>
      </c>
      <c r="J2763" s="29" t="s">
        <v>1930</v>
      </c>
      <c r="K2763" s="29" t="s">
        <v>4362</v>
      </c>
      <c r="L2763" s="29" t="s">
        <v>4363</v>
      </c>
      <c r="M2763" s="29" t="s">
        <v>4402</v>
      </c>
      <c r="N2763" s="29" t="s">
        <v>1434</v>
      </c>
      <c r="O2763" s="29" t="s">
        <v>590</v>
      </c>
    </row>
    <row r="2764" spans="1:15">
      <c r="A2764" s="25">
        <v>22448</v>
      </c>
      <c r="B2764" s="34" t="s">
        <v>4403</v>
      </c>
      <c r="C2764" s="31" t="s">
        <v>521</v>
      </c>
      <c r="D2764" s="31" t="s">
        <v>1577</v>
      </c>
      <c r="E2764" s="28">
        <v>43220</v>
      </c>
      <c r="F2764" s="28">
        <v>43250</v>
      </c>
      <c r="G2764" s="28">
        <v>43616</v>
      </c>
      <c r="H2764" s="29" t="s">
        <v>560</v>
      </c>
      <c r="I2764" s="29" t="s">
        <v>560</v>
      </c>
      <c r="J2764" s="29" t="s">
        <v>1930</v>
      </c>
      <c r="K2764" s="29" t="s">
        <v>4362</v>
      </c>
      <c r="L2764" s="29" t="s">
        <v>4363</v>
      </c>
      <c r="M2764" s="29" t="s">
        <v>4376</v>
      </c>
      <c r="N2764" s="29" t="s">
        <v>1511</v>
      </c>
      <c r="O2764" s="29" t="s">
        <v>590</v>
      </c>
    </row>
    <row r="2765" spans="1:15">
      <c r="A2765" s="25">
        <v>22882</v>
      </c>
      <c r="B2765" s="34" t="s">
        <v>4404</v>
      </c>
      <c r="C2765" s="31" t="s">
        <v>521</v>
      </c>
      <c r="D2765" s="31" t="s">
        <v>775</v>
      </c>
      <c r="E2765" s="28">
        <v>43333</v>
      </c>
      <c r="F2765" s="28">
        <v>43364</v>
      </c>
      <c r="G2765" s="28">
        <v>43738</v>
      </c>
      <c r="H2765" s="29" t="s">
        <v>560</v>
      </c>
      <c r="I2765" s="29" t="s">
        <v>560</v>
      </c>
      <c r="J2765" s="29" t="s">
        <v>1930</v>
      </c>
      <c r="K2765" s="29" t="s">
        <v>4362</v>
      </c>
      <c r="L2765" s="29" t="s">
        <v>4363</v>
      </c>
      <c r="M2765" s="29" t="s">
        <v>4405</v>
      </c>
      <c r="N2765" s="29" t="s">
        <v>2077</v>
      </c>
      <c r="O2765" s="29" t="s">
        <v>590</v>
      </c>
    </row>
    <row r="2766" spans="1:15">
      <c r="A2766" s="25">
        <v>23140</v>
      </c>
      <c r="B2766" s="34" t="s">
        <v>4406</v>
      </c>
      <c r="C2766" s="31" t="s">
        <v>521</v>
      </c>
      <c r="D2766" s="31" t="s">
        <v>1523</v>
      </c>
      <c r="E2766" s="28">
        <v>43369</v>
      </c>
      <c r="F2766" s="28">
        <v>43399</v>
      </c>
      <c r="G2766" s="28">
        <v>43769</v>
      </c>
      <c r="H2766" s="29" t="s">
        <v>560</v>
      </c>
      <c r="I2766" s="29" t="s">
        <v>560</v>
      </c>
      <c r="J2766" s="29" t="s">
        <v>1930</v>
      </c>
      <c r="K2766" s="29" t="s">
        <v>4362</v>
      </c>
      <c r="L2766" s="29" t="s">
        <v>4363</v>
      </c>
      <c r="M2766" s="29" t="s">
        <v>4407</v>
      </c>
      <c r="N2766" s="29" t="s">
        <v>2077</v>
      </c>
      <c r="O2766" s="29" t="s">
        <v>590</v>
      </c>
    </row>
    <row r="2767" spans="1:15">
      <c r="A2767" s="25">
        <v>23436</v>
      </c>
      <c r="B2767" s="34" t="s">
        <v>4408</v>
      </c>
      <c r="C2767" s="31" t="s">
        <v>521</v>
      </c>
      <c r="D2767" s="31" t="s">
        <v>882</v>
      </c>
      <c r="E2767" s="28">
        <v>43434</v>
      </c>
      <c r="F2767" s="28">
        <v>43464</v>
      </c>
      <c r="G2767" s="28">
        <v>43830</v>
      </c>
      <c r="H2767" s="29" t="s">
        <v>560</v>
      </c>
      <c r="I2767" s="29" t="s">
        <v>560</v>
      </c>
      <c r="J2767" s="29" t="s">
        <v>1930</v>
      </c>
      <c r="K2767" s="29" t="s">
        <v>4362</v>
      </c>
      <c r="L2767" s="29" t="s">
        <v>4363</v>
      </c>
      <c r="M2767" s="29" t="s">
        <v>4366</v>
      </c>
      <c r="N2767" s="29" t="s">
        <v>1434</v>
      </c>
      <c r="O2767" s="29" t="s">
        <v>590</v>
      </c>
    </row>
    <row r="2768" spans="1:15">
      <c r="A2768" s="25">
        <v>198</v>
      </c>
      <c r="B2768" s="26" t="s">
        <v>1265</v>
      </c>
      <c r="C2768" s="27" t="s">
        <v>521</v>
      </c>
      <c r="D2768" s="27" t="s">
        <v>1202</v>
      </c>
      <c r="E2768" s="28">
        <v>37679</v>
      </c>
      <c r="F2768" s="28" t="s">
        <v>35</v>
      </c>
      <c r="G2768" s="28" t="s">
        <v>35</v>
      </c>
      <c r="H2768" s="29" t="s">
        <v>560</v>
      </c>
      <c r="I2768" s="29" t="s">
        <v>560</v>
      </c>
      <c r="J2768" s="29" t="s">
        <v>1930</v>
      </c>
      <c r="K2768" s="29" t="s">
        <v>4362</v>
      </c>
      <c r="L2768" s="29" t="s">
        <v>4409</v>
      </c>
      <c r="M2768" s="29" t="s">
        <v>2077</v>
      </c>
      <c r="N2768" s="29" t="s">
        <v>2077</v>
      </c>
      <c r="O2768" s="29" t="s">
        <v>594</v>
      </c>
    </row>
    <row r="2769" spans="1:15">
      <c r="A2769" s="25">
        <v>12466</v>
      </c>
      <c r="B2769" s="26" t="s">
        <v>4410</v>
      </c>
      <c r="C2769" s="27" t="s">
        <v>521</v>
      </c>
      <c r="D2769" s="27" t="s">
        <v>722</v>
      </c>
      <c r="E2769" s="28">
        <v>40812</v>
      </c>
      <c r="F2769" s="28" t="s">
        <v>35</v>
      </c>
      <c r="G2769" s="28" t="s">
        <v>35</v>
      </c>
      <c r="H2769" s="27" t="s">
        <v>560</v>
      </c>
      <c r="I2769" s="27" t="s">
        <v>560</v>
      </c>
      <c r="J2769" s="29" t="s">
        <v>1930</v>
      </c>
      <c r="K2769" s="29" t="s">
        <v>4362</v>
      </c>
      <c r="L2769" s="29" t="s">
        <v>4409</v>
      </c>
      <c r="M2769" s="29" t="s">
        <v>3166</v>
      </c>
      <c r="N2769" s="29" t="s">
        <v>1434</v>
      </c>
      <c r="O2769" s="29" t="s">
        <v>594</v>
      </c>
    </row>
    <row r="2770" spans="1:15">
      <c r="A2770" s="25">
        <v>12499</v>
      </c>
      <c r="B2770" s="26" t="s">
        <v>4411</v>
      </c>
      <c r="C2770" s="27" t="s">
        <v>521</v>
      </c>
      <c r="D2770" s="27" t="s">
        <v>722</v>
      </c>
      <c r="E2770" s="28">
        <v>40812</v>
      </c>
      <c r="F2770" s="28" t="s">
        <v>35</v>
      </c>
      <c r="G2770" s="28" t="s">
        <v>35</v>
      </c>
      <c r="H2770" s="27" t="s">
        <v>560</v>
      </c>
      <c r="I2770" s="27" t="s">
        <v>560</v>
      </c>
      <c r="J2770" s="29" t="s">
        <v>1930</v>
      </c>
      <c r="K2770" s="29" t="s">
        <v>4362</v>
      </c>
      <c r="L2770" s="29" t="s">
        <v>4409</v>
      </c>
      <c r="M2770" s="29" t="s">
        <v>2025</v>
      </c>
      <c r="N2770" s="29" t="s">
        <v>2026</v>
      </c>
      <c r="O2770" s="29" t="s">
        <v>594</v>
      </c>
    </row>
    <row r="2771" spans="1:15">
      <c r="A2771" s="25">
        <v>20850</v>
      </c>
      <c r="B2771" s="26" t="s">
        <v>4412</v>
      </c>
      <c r="C2771" s="27" t="s">
        <v>521</v>
      </c>
      <c r="D2771" s="27" t="s">
        <v>807</v>
      </c>
      <c r="E2771" s="28">
        <v>42660</v>
      </c>
      <c r="F2771" s="28">
        <v>43160</v>
      </c>
      <c r="G2771" s="28">
        <v>43524</v>
      </c>
      <c r="H2771" s="27" t="s">
        <v>560</v>
      </c>
      <c r="I2771" s="27" t="s">
        <v>560</v>
      </c>
      <c r="J2771" s="29" t="s">
        <v>1930</v>
      </c>
      <c r="K2771" s="29" t="s">
        <v>4362</v>
      </c>
      <c r="L2771" s="29" t="s">
        <v>4409</v>
      </c>
      <c r="M2771" s="29" t="s">
        <v>4413</v>
      </c>
      <c r="N2771" s="29" t="s">
        <v>1434</v>
      </c>
      <c r="O2771" s="29" t="s">
        <v>594</v>
      </c>
    </row>
    <row r="2772" spans="1:15">
      <c r="A2772" s="25">
        <v>20853</v>
      </c>
      <c r="B2772" s="26" t="s">
        <v>4414</v>
      </c>
      <c r="C2772" s="27" t="s">
        <v>521</v>
      </c>
      <c r="D2772" s="27" t="s">
        <v>807</v>
      </c>
      <c r="E2772" s="28">
        <v>42660</v>
      </c>
      <c r="F2772" s="28">
        <v>43160</v>
      </c>
      <c r="G2772" s="28">
        <v>43524</v>
      </c>
      <c r="H2772" s="27" t="s">
        <v>560</v>
      </c>
      <c r="I2772" s="27" t="s">
        <v>560</v>
      </c>
      <c r="J2772" s="29" t="s">
        <v>1930</v>
      </c>
      <c r="K2772" s="29" t="s">
        <v>4362</v>
      </c>
      <c r="L2772" s="29" t="s">
        <v>4409</v>
      </c>
      <c r="M2772" s="29" t="s">
        <v>4415</v>
      </c>
      <c r="N2772" s="29" t="s">
        <v>1434</v>
      </c>
      <c r="O2772" s="29" t="s">
        <v>594</v>
      </c>
    </row>
    <row r="2773" spans="1:15">
      <c r="A2773" s="25">
        <v>20855</v>
      </c>
      <c r="B2773" s="26" t="s">
        <v>307</v>
      </c>
      <c r="C2773" s="27" t="s">
        <v>521</v>
      </c>
      <c r="D2773" s="27" t="s">
        <v>807</v>
      </c>
      <c r="E2773" s="28">
        <v>42660</v>
      </c>
      <c r="F2773" s="28">
        <v>43160</v>
      </c>
      <c r="G2773" s="28">
        <v>43524</v>
      </c>
      <c r="H2773" s="27" t="s">
        <v>560</v>
      </c>
      <c r="I2773" s="27" t="s">
        <v>560</v>
      </c>
      <c r="J2773" s="29" t="s">
        <v>1930</v>
      </c>
      <c r="K2773" s="29" t="s">
        <v>4362</v>
      </c>
      <c r="L2773" s="29" t="s">
        <v>4409</v>
      </c>
      <c r="M2773" s="29" t="s">
        <v>4416</v>
      </c>
      <c r="N2773" s="29" t="s">
        <v>4136</v>
      </c>
      <c r="O2773" s="29" t="s">
        <v>594</v>
      </c>
    </row>
    <row r="2774" spans="1:15">
      <c r="A2774" s="25">
        <v>20892</v>
      </c>
      <c r="B2774" s="26" t="s">
        <v>4417</v>
      </c>
      <c r="C2774" s="27" t="s">
        <v>521</v>
      </c>
      <c r="D2774" s="27" t="s">
        <v>807</v>
      </c>
      <c r="E2774" s="28">
        <v>42660</v>
      </c>
      <c r="F2774" s="28">
        <v>43160</v>
      </c>
      <c r="G2774" s="28">
        <v>43524</v>
      </c>
      <c r="H2774" s="27" t="s">
        <v>560</v>
      </c>
      <c r="I2774" s="27" t="s">
        <v>560</v>
      </c>
      <c r="J2774" s="29" t="s">
        <v>1930</v>
      </c>
      <c r="K2774" s="29" t="s">
        <v>4362</v>
      </c>
      <c r="L2774" s="29" t="s">
        <v>4409</v>
      </c>
      <c r="M2774" s="29" t="s">
        <v>4374</v>
      </c>
      <c r="N2774" s="29" t="s">
        <v>1511</v>
      </c>
      <c r="O2774" s="29" t="s">
        <v>594</v>
      </c>
    </row>
    <row r="2775" spans="1:15">
      <c r="A2775" s="25">
        <v>21777</v>
      </c>
      <c r="B2775" s="34" t="s">
        <v>4418</v>
      </c>
      <c r="C2775" s="31" t="s">
        <v>521</v>
      </c>
      <c r="D2775" s="31" t="s">
        <v>1609</v>
      </c>
      <c r="E2775" s="28">
        <v>43090</v>
      </c>
      <c r="F2775" s="28">
        <v>43121</v>
      </c>
      <c r="G2775" s="28">
        <v>43496</v>
      </c>
      <c r="H2775" s="29" t="s">
        <v>560</v>
      </c>
      <c r="I2775" s="29" t="s">
        <v>560</v>
      </c>
      <c r="J2775" s="29" t="s">
        <v>1930</v>
      </c>
      <c r="K2775" s="29" t="s">
        <v>4362</v>
      </c>
      <c r="L2775" s="29" t="s">
        <v>4409</v>
      </c>
      <c r="M2775" s="29" t="s">
        <v>4391</v>
      </c>
      <c r="N2775" s="29" t="s">
        <v>1434</v>
      </c>
      <c r="O2775" s="29" t="s">
        <v>594</v>
      </c>
    </row>
    <row r="2776" spans="1:15">
      <c r="A2776" s="25">
        <v>22036</v>
      </c>
      <c r="B2776" s="34" t="s">
        <v>4419</v>
      </c>
      <c r="C2776" s="31" t="s">
        <v>521</v>
      </c>
      <c r="D2776" s="31" t="s">
        <v>631</v>
      </c>
      <c r="E2776" s="28">
        <v>43144</v>
      </c>
      <c r="F2776" s="28">
        <v>43172</v>
      </c>
      <c r="G2776" s="28">
        <v>43524</v>
      </c>
      <c r="H2776" s="29" t="s">
        <v>560</v>
      </c>
      <c r="I2776" s="29" t="s">
        <v>560</v>
      </c>
      <c r="J2776" s="29" t="s">
        <v>1930</v>
      </c>
      <c r="K2776" s="29" t="s">
        <v>4362</v>
      </c>
      <c r="L2776" s="29" t="s">
        <v>4409</v>
      </c>
      <c r="M2776" s="29" t="s">
        <v>4399</v>
      </c>
      <c r="N2776" s="29" t="s">
        <v>1511</v>
      </c>
      <c r="O2776" s="29" t="s">
        <v>594</v>
      </c>
    </row>
    <row r="2777" spans="1:15">
      <c r="A2777" s="25">
        <v>22522</v>
      </c>
      <c r="B2777" s="34" t="s">
        <v>4420</v>
      </c>
      <c r="C2777" s="31" t="s">
        <v>521</v>
      </c>
      <c r="D2777" s="31" t="s">
        <v>773</v>
      </c>
      <c r="E2777" s="28">
        <v>43224</v>
      </c>
      <c r="F2777" s="28">
        <v>43255</v>
      </c>
      <c r="G2777" s="28">
        <v>43616</v>
      </c>
      <c r="H2777" s="29" t="s">
        <v>560</v>
      </c>
      <c r="I2777" s="29" t="s">
        <v>560</v>
      </c>
      <c r="J2777" s="29" t="s">
        <v>1930</v>
      </c>
      <c r="K2777" s="29" t="s">
        <v>4362</v>
      </c>
      <c r="L2777" s="29" t="s">
        <v>4409</v>
      </c>
      <c r="M2777" s="29" t="s">
        <v>4378</v>
      </c>
      <c r="N2777" s="29" t="s">
        <v>1434</v>
      </c>
      <c r="O2777" s="29" t="s">
        <v>594</v>
      </c>
    </row>
    <row r="2778" spans="1:15">
      <c r="A2778" s="25">
        <v>22724</v>
      </c>
      <c r="B2778" s="34" t="s">
        <v>4421</v>
      </c>
      <c r="C2778" s="31" t="s">
        <v>521</v>
      </c>
      <c r="D2778" s="31" t="s">
        <v>771</v>
      </c>
      <c r="E2778" s="28">
        <v>43255</v>
      </c>
      <c r="F2778" s="28">
        <v>43285</v>
      </c>
      <c r="G2778" s="28">
        <v>43646</v>
      </c>
      <c r="H2778" s="29" t="s">
        <v>560</v>
      </c>
      <c r="I2778" s="29" t="s">
        <v>560</v>
      </c>
      <c r="J2778" s="29" t="s">
        <v>1930</v>
      </c>
      <c r="K2778" s="29" t="s">
        <v>4362</v>
      </c>
      <c r="L2778" s="29" t="s">
        <v>4409</v>
      </c>
      <c r="M2778" s="29" t="s">
        <v>4422</v>
      </c>
      <c r="N2778" s="29" t="s">
        <v>1511</v>
      </c>
      <c r="O2778" s="29" t="s">
        <v>594</v>
      </c>
    </row>
    <row r="2779" spans="1:15">
      <c r="A2779" s="25">
        <v>23099</v>
      </c>
      <c r="B2779" s="34" t="s">
        <v>4423</v>
      </c>
      <c r="C2779" s="31" t="s">
        <v>521</v>
      </c>
      <c r="D2779" s="31" t="s">
        <v>1523</v>
      </c>
      <c r="E2779" s="28">
        <v>43369</v>
      </c>
      <c r="F2779" s="28">
        <v>43399</v>
      </c>
      <c r="G2779" s="28">
        <v>43769</v>
      </c>
      <c r="H2779" s="29" t="s">
        <v>560</v>
      </c>
      <c r="I2779" s="29" t="s">
        <v>560</v>
      </c>
      <c r="J2779" s="29" t="s">
        <v>1930</v>
      </c>
      <c r="K2779" s="29" t="s">
        <v>4362</v>
      </c>
      <c r="L2779" s="29" t="s">
        <v>4409</v>
      </c>
      <c r="M2779" s="29" t="s">
        <v>2077</v>
      </c>
      <c r="N2779" s="29" t="s">
        <v>2077</v>
      </c>
      <c r="O2779" s="29" t="s">
        <v>594</v>
      </c>
    </row>
    <row r="2780" spans="1:15">
      <c r="A2780" s="25">
        <v>23176</v>
      </c>
      <c r="B2780" s="34" t="s">
        <v>4131</v>
      </c>
      <c r="C2780" s="31" t="s">
        <v>521</v>
      </c>
      <c r="D2780" s="31" t="s">
        <v>1523</v>
      </c>
      <c r="E2780" s="28">
        <v>43369</v>
      </c>
      <c r="F2780" s="28">
        <v>43399</v>
      </c>
      <c r="G2780" s="28">
        <v>43769</v>
      </c>
      <c r="H2780" s="29" t="s">
        <v>560</v>
      </c>
      <c r="I2780" s="29" t="s">
        <v>560</v>
      </c>
      <c r="J2780" s="29" t="s">
        <v>1930</v>
      </c>
      <c r="K2780" s="29" t="s">
        <v>4362</v>
      </c>
      <c r="L2780" s="29" t="s">
        <v>4409</v>
      </c>
      <c r="M2780" s="29" t="s">
        <v>2077</v>
      </c>
      <c r="N2780" s="29" t="s">
        <v>2077</v>
      </c>
      <c r="O2780" s="29" t="s">
        <v>594</v>
      </c>
    </row>
    <row r="2781" spans="1:15">
      <c r="A2781" s="25" t="s">
        <v>4424</v>
      </c>
      <c r="B2781" s="34" t="s">
        <v>2281</v>
      </c>
      <c r="C2781" s="31" t="s">
        <v>521</v>
      </c>
      <c r="D2781" s="31" t="s">
        <v>892</v>
      </c>
      <c r="E2781" s="28">
        <v>43467</v>
      </c>
      <c r="F2781" s="28">
        <v>43467</v>
      </c>
      <c r="G2781" s="28">
        <v>43497</v>
      </c>
      <c r="H2781" s="29" t="s">
        <v>560</v>
      </c>
      <c r="I2781" s="29" t="s">
        <v>560</v>
      </c>
      <c r="J2781" s="29" t="s">
        <v>1930</v>
      </c>
      <c r="K2781" s="29" t="s">
        <v>4362</v>
      </c>
      <c r="L2781" s="29" t="s">
        <v>4409</v>
      </c>
      <c r="M2781" s="29" t="s">
        <v>1593</v>
      </c>
      <c r="N2781" s="29" t="s">
        <v>1586</v>
      </c>
      <c r="O2781" s="29" t="s">
        <v>594</v>
      </c>
    </row>
    <row r="2782" spans="1:15">
      <c r="A2782" s="25">
        <v>10372</v>
      </c>
      <c r="B2782" s="34" t="s">
        <v>4425</v>
      </c>
      <c r="C2782" s="31" t="s">
        <v>521</v>
      </c>
      <c r="D2782" s="31" t="s">
        <v>1497</v>
      </c>
      <c r="E2782" s="28">
        <v>40513</v>
      </c>
      <c r="F2782" s="28" t="s">
        <v>35</v>
      </c>
      <c r="G2782" s="28" t="s">
        <v>35</v>
      </c>
      <c r="H2782" s="29" t="s">
        <v>560</v>
      </c>
      <c r="I2782" s="29" t="s">
        <v>560</v>
      </c>
      <c r="J2782" s="29" t="s">
        <v>1930</v>
      </c>
      <c r="K2782" s="29" t="s">
        <v>4362</v>
      </c>
      <c r="L2782" s="29" t="s">
        <v>4409</v>
      </c>
      <c r="M2782" s="29" t="s">
        <v>2025</v>
      </c>
      <c r="N2782" s="29" t="s">
        <v>2026</v>
      </c>
      <c r="O2782" s="29" t="s">
        <v>590</v>
      </c>
    </row>
    <row r="2783" spans="1:15">
      <c r="A2783" s="25">
        <v>10763</v>
      </c>
      <c r="B2783" s="26" t="s">
        <v>4426</v>
      </c>
      <c r="C2783" s="27" t="s">
        <v>521</v>
      </c>
      <c r="D2783" s="27" t="s">
        <v>730</v>
      </c>
      <c r="E2783" s="28">
        <v>40566</v>
      </c>
      <c r="F2783" s="28" t="s">
        <v>35</v>
      </c>
      <c r="G2783" s="28" t="s">
        <v>35</v>
      </c>
      <c r="H2783" s="27" t="s">
        <v>560</v>
      </c>
      <c r="I2783" s="27" t="s">
        <v>560</v>
      </c>
      <c r="J2783" s="29" t="s">
        <v>1930</v>
      </c>
      <c r="K2783" s="29" t="s">
        <v>4362</v>
      </c>
      <c r="L2783" s="29" t="s">
        <v>4409</v>
      </c>
      <c r="M2783" s="29" t="s">
        <v>3166</v>
      </c>
      <c r="N2783" s="29" t="s">
        <v>1434</v>
      </c>
      <c r="O2783" s="29" t="s">
        <v>590</v>
      </c>
    </row>
    <row r="2784" spans="1:15">
      <c r="A2784" s="25">
        <v>11049</v>
      </c>
      <c r="B2784" s="26" t="s">
        <v>4427</v>
      </c>
      <c r="C2784" s="27" t="s">
        <v>521</v>
      </c>
      <c r="D2784" s="27" t="s">
        <v>1770</v>
      </c>
      <c r="E2784" s="28">
        <v>40592</v>
      </c>
      <c r="F2784" s="28" t="s">
        <v>35</v>
      </c>
      <c r="G2784" s="28" t="s">
        <v>35</v>
      </c>
      <c r="H2784" s="27" t="s">
        <v>560</v>
      </c>
      <c r="I2784" s="27" t="s">
        <v>560</v>
      </c>
      <c r="J2784" s="29" t="s">
        <v>1930</v>
      </c>
      <c r="K2784" s="29" t="s">
        <v>4362</v>
      </c>
      <c r="L2784" s="29" t="s">
        <v>4409</v>
      </c>
      <c r="M2784" s="29" t="s">
        <v>1550</v>
      </c>
      <c r="N2784" s="29" t="s">
        <v>1045</v>
      </c>
      <c r="O2784" s="29" t="s">
        <v>590</v>
      </c>
    </row>
    <row r="2785" spans="1:15">
      <c r="A2785" s="25">
        <v>11455</v>
      </c>
      <c r="B2785" s="26" t="s">
        <v>4428</v>
      </c>
      <c r="C2785" s="27" t="s">
        <v>521</v>
      </c>
      <c r="D2785" s="27" t="s">
        <v>711</v>
      </c>
      <c r="E2785" s="28">
        <v>40701</v>
      </c>
      <c r="F2785" s="28" t="s">
        <v>35</v>
      </c>
      <c r="G2785" s="28" t="s">
        <v>35</v>
      </c>
      <c r="H2785" s="27" t="s">
        <v>560</v>
      </c>
      <c r="I2785" s="27" t="s">
        <v>560</v>
      </c>
      <c r="J2785" s="29" t="s">
        <v>1930</v>
      </c>
      <c r="K2785" s="29" t="s">
        <v>4362</v>
      </c>
      <c r="L2785" s="29" t="s">
        <v>4409</v>
      </c>
      <c r="M2785" s="29" t="s">
        <v>4429</v>
      </c>
      <c r="N2785" s="29" t="s">
        <v>1434</v>
      </c>
      <c r="O2785" s="29" t="s">
        <v>590</v>
      </c>
    </row>
    <row r="2786" spans="1:15">
      <c r="A2786" s="25">
        <v>20768</v>
      </c>
      <c r="B2786" s="26" t="s">
        <v>4430</v>
      </c>
      <c r="C2786" s="27" t="s">
        <v>521</v>
      </c>
      <c r="D2786" s="27" t="s">
        <v>815</v>
      </c>
      <c r="E2786" s="28">
        <v>42642</v>
      </c>
      <c r="F2786" s="28">
        <v>43132</v>
      </c>
      <c r="G2786" s="28">
        <v>43496</v>
      </c>
      <c r="H2786" s="27" t="s">
        <v>560</v>
      </c>
      <c r="I2786" s="27" t="s">
        <v>560</v>
      </c>
      <c r="J2786" s="29" t="s">
        <v>1930</v>
      </c>
      <c r="K2786" s="29" t="s">
        <v>4362</v>
      </c>
      <c r="L2786" s="29" t="s">
        <v>4409</v>
      </c>
      <c r="M2786" s="29" t="s">
        <v>4429</v>
      </c>
      <c r="N2786" s="29" t="s">
        <v>1434</v>
      </c>
      <c r="O2786" s="29" t="s">
        <v>590</v>
      </c>
    </row>
    <row r="2787" spans="1:15">
      <c r="A2787" s="25">
        <v>20849</v>
      </c>
      <c r="B2787" s="26" t="s">
        <v>4431</v>
      </c>
      <c r="C2787" s="27" t="s">
        <v>521</v>
      </c>
      <c r="D2787" s="27" t="s">
        <v>807</v>
      </c>
      <c r="E2787" s="28">
        <v>42660</v>
      </c>
      <c r="F2787" s="28">
        <v>43160</v>
      </c>
      <c r="G2787" s="28">
        <v>43524</v>
      </c>
      <c r="H2787" s="27" t="s">
        <v>560</v>
      </c>
      <c r="I2787" s="27" t="s">
        <v>560</v>
      </c>
      <c r="J2787" s="29" t="s">
        <v>1930</v>
      </c>
      <c r="K2787" s="29" t="s">
        <v>4362</v>
      </c>
      <c r="L2787" s="29" t="s">
        <v>4409</v>
      </c>
      <c r="M2787" s="29" t="s">
        <v>4429</v>
      </c>
      <c r="N2787" s="29" t="s">
        <v>1434</v>
      </c>
      <c r="O2787" s="29" t="s">
        <v>590</v>
      </c>
    </row>
    <row r="2788" spans="1:15">
      <c r="A2788" s="25">
        <v>21784</v>
      </c>
      <c r="B2788" s="34" t="s">
        <v>4432</v>
      </c>
      <c r="C2788" s="31" t="s">
        <v>521</v>
      </c>
      <c r="D2788" s="31" t="s">
        <v>1609</v>
      </c>
      <c r="E2788" s="28">
        <v>43090</v>
      </c>
      <c r="F2788" s="28">
        <v>43121</v>
      </c>
      <c r="G2788" s="28">
        <v>43496</v>
      </c>
      <c r="H2788" s="29" t="s">
        <v>560</v>
      </c>
      <c r="I2788" s="29" t="s">
        <v>560</v>
      </c>
      <c r="J2788" s="29" t="s">
        <v>1930</v>
      </c>
      <c r="K2788" s="29" t="s">
        <v>4362</v>
      </c>
      <c r="L2788" s="29" t="s">
        <v>4409</v>
      </c>
      <c r="M2788" s="29" t="s">
        <v>4429</v>
      </c>
      <c r="N2788" s="29" t="s">
        <v>1434</v>
      </c>
      <c r="O2788" s="29" t="s">
        <v>590</v>
      </c>
    </row>
    <row r="2789" spans="1:15">
      <c r="A2789" s="25">
        <v>22047</v>
      </c>
      <c r="B2789" s="34" t="s">
        <v>4433</v>
      </c>
      <c r="C2789" s="31" t="s">
        <v>521</v>
      </c>
      <c r="D2789" s="31" t="s">
        <v>631</v>
      </c>
      <c r="E2789" s="28">
        <v>43144</v>
      </c>
      <c r="F2789" s="28">
        <v>43172</v>
      </c>
      <c r="G2789" s="28">
        <v>43524</v>
      </c>
      <c r="H2789" s="29" t="s">
        <v>560</v>
      </c>
      <c r="I2789" s="29" t="s">
        <v>560</v>
      </c>
      <c r="J2789" s="29" t="s">
        <v>1930</v>
      </c>
      <c r="K2789" s="29" t="s">
        <v>4362</v>
      </c>
      <c r="L2789" s="29" t="s">
        <v>4409</v>
      </c>
      <c r="M2789" s="29" t="s">
        <v>4376</v>
      </c>
      <c r="N2789" s="29" t="s">
        <v>1511</v>
      </c>
      <c r="O2789" s="29" t="s">
        <v>590</v>
      </c>
    </row>
    <row r="2790" spans="1:15">
      <c r="A2790" s="25">
        <v>22099</v>
      </c>
      <c r="B2790" s="34" t="s">
        <v>4434</v>
      </c>
      <c r="C2790" s="31" t="s">
        <v>521</v>
      </c>
      <c r="D2790" s="31" t="s">
        <v>769</v>
      </c>
      <c r="E2790" s="28">
        <v>43150</v>
      </c>
      <c r="F2790" s="28">
        <v>43178</v>
      </c>
      <c r="G2790" s="28">
        <v>43555</v>
      </c>
      <c r="H2790" s="29" t="s">
        <v>560</v>
      </c>
      <c r="I2790" s="29" t="s">
        <v>560</v>
      </c>
      <c r="J2790" s="29" t="s">
        <v>1930</v>
      </c>
      <c r="K2790" s="29" t="s">
        <v>4362</v>
      </c>
      <c r="L2790" s="29" t="s">
        <v>4409</v>
      </c>
      <c r="M2790" s="29" t="s">
        <v>4435</v>
      </c>
      <c r="N2790" s="29" t="s">
        <v>1511</v>
      </c>
      <c r="O2790" s="29" t="s">
        <v>590</v>
      </c>
    </row>
    <row r="2791" spans="1:15">
      <c r="A2791" s="25">
        <v>22313</v>
      </c>
      <c r="B2791" s="34" t="s">
        <v>4436</v>
      </c>
      <c r="C2791" s="31" t="s">
        <v>521</v>
      </c>
      <c r="D2791" s="31" t="s">
        <v>1191</v>
      </c>
      <c r="E2791" s="28">
        <v>43192</v>
      </c>
      <c r="F2791" s="28">
        <v>43222</v>
      </c>
      <c r="G2791" s="28">
        <v>43585</v>
      </c>
      <c r="H2791" s="29" t="s">
        <v>560</v>
      </c>
      <c r="I2791" s="29" t="s">
        <v>560</v>
      </c>
      <c r="J2791" s="29" t="s">
        <v>1930</v>
      </c>
      <c r="K2791" s="29" t="s">
        <v>4362</v>
      </c>
      <c r="L2791" s="29" t="s">
        <v>4409</v>
      </c>
      <c r="M2791" s="29" t="s">
        <v>2496</v>
      </c>
      <c r="N2791" s="29" t="s">
        <v>2077</v>
      </c>
      <c r="O2791" s="29" t="s">
        <v>590</v>
      </c>
    </row>
    <row r="2792" spans="1:15">
      <c r="A2792" s="25">
        <v>22498</v>
      </c>
      <c r="B2792" s="34" t="s">
        <v>4437</v>
      </c>
      <c r="C2792" s="31" t="s">
        <v>521</v>
      </c>
      <c r="D2792" s="31" t="s">
        <v>773</v>
      </c>
      <c r="E2792" s="28">
        <v>43224</v>
      </c>
      <c r="F2792" s="28">
        <v>43255</v>
      </c>
      <c r="G2792" s="28">
        <v>43616</v>
      </c>
      <c r="H2792" s="29" t="s">
        <v>560</v>
      </c>
      <c r="I2792" s="29" t="s">
        <v>560</v>
      </c>
      <c r="J2792" s="29" t="s">
        <v>1930</v>
      </c>
      <c r="K2792" s="29" t="s">
        <v>4362</v>
      </c>
      <c r="L2792" s="29" t="s">
        <v>4409</v>
      </c>
      <c r="M2792" s="29" t="s">
        <v>4398</v>
      </c>
      <c r="N2792" s="29" t="s">
        <v>2031</v>
      </c>
      <c r="O2792" s="29" t="s">
        <v>590</v>
      </c>
    </row>
    <row r="2793" spans="1:15">
      <c r="A2793" s="25">
        <v>22532</v>
      </c>
      <c r="B2793" s="34" t="s">
        <v>4438</v>
      </c>
      <c r="C2793" s="31" t="s">
        <v>521</v>
      </c>
      <c r="D2793" s="31" t="s">
        <v>773</v>
      </c>
      <c r="E2793" s="28">
        <v>43224</v>
      </c>
      <c r="F2793" s="28">
        <v>43255</v>
      </c>
      <c r="G2793" s="28">
        <v>43616</v>
      </c>
      <c r="H2793" s="29" t="s">
        <v>560</v>
      </c>
      <c r="I2793" s="29" t="s">
        <v>560</v>
      </c>
      <c r="J2793" s="29" t="s">
        <v>1930</v>
      </c>
      <c r="K2793" s="29" t="s">
        <v>4362</v>
      </c>
      <c r="L2793" s="29" t="s">
        <v>4409</v>
      </c>
      <c r="M2793" s="29" t="s">
        <v>4387</v>
      </c>
      <c r="N2793" s="29" t="s">
        <v>1511</v>
      </c>
      <c r="O2793" s="29" t="s">
        <v>590</v>
      </c>
    </row>
    <row r="2794" spans="1:15">
      <c r="A2794" s="25">
        <v>23100</v>
      </c>
      <c r="B2794" s="34" t="s">
        <v>4439</v>
      </c>
      <c r="C2794" s="31" t="s">
        <v>521</v>
      </c>
      <c r="D2794" s="31" t="s">
        <v>1523</v>
      </c>
      <c r="E2794" s="28">
        <v>43369</v>
      </c>
      <c r="F2794" s="28">
        <v>43399</v>
      </c>
      <c r="G2794" s="28">
        <v>43769</v>
      </c>
      <c r="H2794" s="29" t="s">
        <v>560</v>
      </c>
      <c r="I2794" s="29" t="s">
        <v>560</v>
      </c>
      <c r="J2794" s="29" t="s">
        <v>1930</v>
      </c>
      <c r="K2794" s="29" t="s">
        <v>4362</v>
      </c>
      <c r="L2794" s="29" t="s">
        <v>4409</v>
      </c>
      <c r="M2794" s="29" t="s">
        <v>4429</v>
      </c>
      <c r="N2794" s="29" t="s">
        <v>1434</v>
      </c>
      <c r="O2794" s="29" t="s">
        <v>590</v>
      </c>
    </row>
    <row r="2795" spans="1:15">
      <c r="A2795" s="25">
        <v>23275</v>
      </c>
      <c r="B2795" s="34" t="s">
        <v>4440</v>
      </c>
      <c r="C2795" s="31" t="s">
        <v>521</v>
      </c>
      <c r="D2795" s="31" t="s">
        <v>1582</v>
      </c>
      <c r="E2795" s="28">
        <v>43421</v>
      </c>
      <c r="F2795" s="28">
        <v>43451</v>
      </c>
      <c r="G2795" s="28">
        <v>43830</v>
      </c>
      <c r="H2795" s="29" t="s">
        <v>560</v>
      </c>
      <c r="I2795" s="29" t="s">
        <v>560</v>
      </c>
      <c r="J2795" s="29" t="s">
        <v>1930</v>
      </c>
      <c r="K2795" s="29" t="s">
        <v>4362</v>
      </c>
      <c r="L2795" s="29" t="s">
        <v>4409</v>
      </c>
      <c r="M2795" s="29" t="s">
        <v>2077</v>
      </c>
      <c r="N2795" s="29" t="s">
        <v>2077</v>
      </c>
      <c r="O2795" s="29" t="s">
        <v>590</v>
      </c>
    </row>
    <row r="2796" spans="1:15">
      <c r="A2796" s="25">
        <v>23600</v>
      </c>
      <c r="B2796" s="34" t="s">
        <v>4441</v>
      </c>
      <c r="C2796" s="31" t="s">
        <v>521</v>
      </c>
      <c r="D2796" s="31" t="s">
        <v>884</v>
      </c>
      <c r="E2796" s="28">
        <v>43452</v>
      </c>
      <c r="F2796" s="28">
        <v>43483</v>
      </c>
      <c r="G2796" s="28">
        <v>43861</v>
      </c>
      <c r="H2796" s="29" t="s">
        <v>560</v>
      </c>
      <c r="I2796" s="29" t="s">
        <v>560</v>
      </c>
      <c r="J2796" s="29" t="s">
        <v>1930</v>
      </c>
      <c r="K2796" s="29" t="s">
        <v>4362</v>
      </c>
      <c r="L2796" s="29" t="s">
        <v>4409</v>
      </c>
      <c r="M2796" s="29" t="s">
        <v>1593</v>
      </c>
      <c r="N2796" s="29" t="s">
        <v>1586</v>
      </c>
      <c r="O2796" s="29" t="s">
        <v>590</v>
      </c>
    </row>
    <row r="2797" spans="1:15">
      <c r="A2797" s="25">
        <v>9257</v>
      </c>
      <c r="B2797" s="26" t="s">
        <v>4442</v>
      </c>
      <c r="C2797" s="27" t="s">
        <v>521</v>
      </c>
      <c r="D2797" s="27" t="s">
        <v>658</v>
      </c>
      <c r="E2797" s="28">
        <v>40148</v>
      </c>
      <c r="F2797" s="28" t="s">
        <v>35</v>
      </c>
      <c r="G2797" s="28" t="s">
        <v>35</v>
      </c>
      <c r="H2797" s="27" t="s">
        <v>560</v>
      </c>
      <c r="I2797" s="29" t="s">
        <v>560</v>
      </c>
      <c r="J2797" s="29" t="s">
        <v>1654</v>
      </c>
      <c r="K2797" s="29" t="s">
        <v>1800</v>
      </c>
      <c r="L2797" s="29" t="s">
        <v>4443</v>
      </c>
      <c r="M2797" s="29" t="s">
        <v>4444</v>
      </c>
      <c r="N2797" s="29" t="s">
        <v>2041</v>
      </c>
      <c r="O2797" s="29" t="s">
        <v>528</v>
      </c>
    </row>
    <row r="2798" spans="1:15">
      <c r="A2798" s="25">
        <v>12891</v>
      </c>
      <c r="B2798" s="33" t="s">
        <v>4445</v>
      </c>
      <c r="C2798" s="27" t="s">
        <v>521</v>
      </c>
      <c r="D2798" s="27" t="s">
        <v>688</v>
      </c>
      <c r="E2798" s="28">
        <v>40833</v>
      </c>
      <c r="F2798" s="28" t="s">
        <v>35</v>
      </c>
      <c r="G2798" s="28" t="s">
        <v>35</v>
      </c>
      <c r="H2798" s="29" t="s">
        <v>560</v>
      </c>
      <c r="I2798" s="29" t="s">
        <v>560</v>
      </c>
      <c r="J2798" s="29" t="s">
        <v>1654</v>
      </c>
      <c r="K2798" s="29" t="s">
        <v>1800</v>
      </c>
      <c r="L2798" s="29" t="s">
        <v>4443</v>
      </c>
      <c r="M2798" s="29" t="s">
        <v>4101</v>
      </c>
      <c r="N2798" s="29" t="s">
        <v>2023</v>
      </c>
      <c r="O2798" s="29" t="s">
        <v>528</v>
      </c>
    </row>
    <row r="2799" spans="1:15">
      <c r="A2799" s="25">
        <v>20606</v>
      </c>
      <c r="B2799" s="26" t="s">
        <v>4446</v>
      </c>
      <c r="C2799" s="27" t="s">
        <v>521</v>
      </c>
      <c r="D2799" s="27" t="s">
        <v>673</v>
      </c>
      <c r="E2799" s="28">
        <v>42639</v>
      </c>
      <c r="F2799" s="28">
        <v>43132</v>
      </c>
      <c r="G2799" s="28">
        <v>43496</v>
      </c>
      <c r="H2799" s="25" t="s">
        <v>560</v>
      </c>
      <c r="I2799" s="25" t="s">
        <v>560</v>
      </c>
      <c r="J2799" s="29" t="s">
        <v>1654</v>
      </c>
      <c r="K2799" s="29" t="s">
        <v>1800</v>
      </c>
      <c r="L2799" s="29" t="s">
        <v>4443</v>
      </c>
      <c r="M2799" s="29" t="s">
        <v>2079</v>
      </c>
      <c r="N2799" s="29" t="s">
        <v>2080</v>
      </c>
      <c r="O2799" s="29" t="s">
        <v>528</v>
      </c>
    </row>
    <row r="2800" spans="1:15">
      <c r="A2800" s="25">
        <v>21879</v>
      </c>
      <c r="B2800" s="34" t="s">
        <v>4447</v>
      </c>
      <c r="C2800" s="31" t="s">
        <v>521</v>
      </c>
      <c r="D2800" s="31" t="s">
        <v>1870</v>
      </c>
      <c r="E2800" s="28">
        <v>43103</v>
      </c>
      <c r="F2800" s="28">
        <v>43134</v>
      </c>
      <c r="G2800" s="28">
        <v>43496</v>
      </c>
      <c r="H2800" s="29" t="s">
        <v>560</v>
      </c>
      <c r="I2800" s="29" t="s">
        <v>560</v>
      </c>
      <c r="J2800" s="29" t="s">
        <v>1654</v>
      </c>
      <c r="K2800" s="29" t="s">
        <v>1800</v>
      </c>
      <c r="L2800" s="29" t="s">
        <v>4443</v>
      </c>
      <c r="M2800" s="29" t="s">
        <v>4448</v>
      </c>
      <c r="N2800" s="29" t="s">
        <v>2041</v>
      </c>
      <c r="O2800" s="29" t="s">
        <v>528</v>
      </c>
    </row>
    <row r="2801" spans="1:15">
      <c r="A2801" s="25">
        <v>22449</v>
      </c>
      <c r="B2801" s="34" t="s">
        <v>4449</v>
      </c>
      <c r="C2801" s="31" t="s">
        <v>521</v>
      </c>
      <c r="D2801" s="31" t="s">
        <v>1577</v>
      </c>
      <c r="E2801" s="28">
        <v>43220</v>
      </c>
      <c r="F2801" s="28">
        <v>43250</v>
      </c>
      <c r="G2801" s="28">
        <v>43616</v>
      </c>
      <c r="H2801" s="29" t="s">
        <v>560</v>
      </c>
      <c r="I2801" s="29" t="s">
        <v>560</v>
      </c>
      <c r="J2801" s="29" t="s">
        <v>1654</v>
      </c>
      <c r="K2801" s="29" t="s">
        <v>1800</v>
      </c>
      <c r="L2801" s="29" t="s">
        <v>4443</v>
      </c>
      <c r="M2801" s="29" t="s">
        <v>4450</v>
      </c>
      <c r="N2801" s="29" t="s">
        <v>2041</v>
      </c>
      <c r="O2801" s="29" t="s">
        <v>528</v>
      </c>
    </row>
    <row r="2802" spans="1:15">
      <c r="A2802" s="25">
        <v>23267</v>
      </c>
      <c r="B2802" s="34" t="s">
        <v>4451</v>
      </c>
      <c r="C2802" s="31" t="s">
        <v>521</v>
      </c>
      <c r="D2802" s="31" t="s">
        <v>1582</v>
      </c>
      <c r="E2802" s="28">
        <v>43421</v>
      </c>
      <c r="F2802" s="28">
        <v>43451</v>
      </c>
      <c r="G2802" s="28">
        <v>43830</v>
      </c>
      <c r="H2802" s="29" t="s">
        <v>560</v>
      </c>
      <c r="I2802" s="29" t="s">
        <v>560</v>
      </c>
      <c r="J2802" s="29" t="s">
        <v>1654</v>
      </c>
      <c r="K2802" s="29" t="s">
        <v>1800</v>
      </c>
      <c r="L2802" s="29" t="s">
        <v>4443</v>
      </c>
      <c r="M2802" s="29" t="s">
        <v>4452</v>
      </c>
      <c r="N2802" s="29" t="s">
        <v>2023</v>
      </c>
      <c r="O2802" s="29" t="s">
        <v>528</v>
      </c>
    </row>
    <row r="2803" spans="1:15">
      <c r="A2803" s="25">
        <v>23398</v>
      </c>
      <c r="B2803" s="34" t="s">
        <v>4453</v>
      </c>
      <c r="C2803" s="31" t="s">
        <v>521</v>
      </c>
      <c r="D2803" s="31" t="s">
        <v>882</v>
      </c>
      <c r="E2803" s="28">
        <v>43434</v>
      </c>
      <c r="F2803" s="28">
        <v>43464</v>
      </c>
      <c r="G2803" s="28">
        <v>43830</v>
      </c>
      <c r="H2803" s="29" t="s">
        <v>560</v>
      </c>
      <c r="I2803" s="29" t="s">
        <v>560</v>
      </c>
      <c r="J2803" s="29" t="s">
        <v>1654</v>
      </c>
      <c r="K2803" s="29" t="s">
        <v>1800</v>
      </c>
      <c r="L2803" s="29" t="s">
        <v>4443</v>
      </c>
      <c r="M2803" s="29" t="s">
        <v>4450</v>
      </c>
      <c r="N2803" s="29" t="s">
        <v>2041</v>
      </c>
      <c r="O2803" s="29" t="s">
        <v>528</v>
      </c>
    </row>
    <row r="2804" spans="1:15">
      <c r="A2804" s="25">
        <v>23413</v>
      </c>
      <c r="B2804" s="34" t="s">
        <v>4454</v>
      </c>
      <c r="C2804" s="31" t="s">
        <v>521</v>
      </c>
      <c r="D2804" s="31" t="s">
        <v>882</v>
      </c>
      <c r="E2804" s="28">
        <v>43434</v>
      </c>
      <c r="F2804" s="28">
        <v>43464</v>
      </c>
      <c r="G2804" s="28">
        <v>43830</v>
      </c>
      <c r="H2804" s="29" t="s">
        <v>560</v>
      </c>
      <c r="I2804" s="29" t="s">
        <v>560</v>
      </c>
      <c r="J2804" s="29" t="s">
        <v>1654</v>
      </c>
      <c r="K2804" s="29" t="s">
        <v>1800</v>
      </c>
      <c r="L2804" s="29" t="s">
        <v>4443</v>
      </c>
      <c r="M2804" s="29" t="s">
        <v>4448</v>
      </c>
      <c r="N2804" s="29" t="s">
        <v>2041</v>
      </c>
      <c r="O2804" s="29" t="s">
        <v>528</v>
      </c>
    </row>
    <row r="2805" spans="1:15">
      <c r="A2805" s="25">
        <v>23597</v>
      </c>
      <c r="B2805" s="34" t="s">
        <v>4455</v>
      </c>
      <c r="C2805" s="31" t="s">
        <v>521</v>
      </c>
      <c r="D2805" s="31" t="s">
        <v>884</v>
      </c>
      <c r="E2805" s="28">
        <v>43452</v>
      </c>
      <c r="F2805" s="28">
        <v>43483</v>
      </c>
      <c r="G2805" s="28">
        <v>43861</v>
      </c>
      <c r="H2805" s="29" t="s">
        <v>560</v>
      </c>
      <c r="I2805" s="29" t="s">
        <v>560</v>
      </c>
      <c r="J2805" s="29" t="s">
        <v>1654</v>
      </c>
      <c r="K2805" s="29" t="s">
        <v>1800</v>
      </c>
      <c r="L2805" s="29" t="s">
        <v>4443</v>
      </c>
      <c r="M2805" s="29" t="s">
        <v>2079</v>
      </c>
      <c r="N2805" s="29" t="s">
        <v>2080</v>
      </c>
      <c r="O2805" s="29" t="s">
        <v>528</v>
      </c>
    </row>
    <row r="2806" spans="1:15">
      <c r="A2806" s="25">
        <v>5460</v>
      </c>
      <c r="B2806" s="26" t="s">
        <v>4456</v>
      </c>
      <c r="C2806" s="27" t="s">
        <v>521</v>
      </c>
      <c r="D2806" s="27" t="s">
        <v>760</v>
      </c>
      <c r="E2806" s="28">
        <v>38991</v>
      </c>
      <c r="F2806" s="28" t="s">
        <v>35</v>
      </c>
      <c r="G2806" s="28" t="s">
        <v>35</v>
      </c>
      <c r="H2806" s="29" t="s">
        <v>560</v>
      </c>
      <c r="I2806" s="29" t="s">
        <v>560</v>
      </c>
      <c r="J2806" s="29" t="s">
        <v>1930</v>
      </c>
      <c r="K2806" s="29" t="s">
        <v>4457</v>
      </c>
      <c r="L2806" s="29" t="s">
        <v>4458</v>
      </c>
      <c r="M2806" s="29" t="s">
        <v>1550</v>
      </c>
      <c r="N2806" s="29" t="s">
        <v>1045</v>
      </c>
      <c r="O2806" s="29" t="s">
        <v>528</v>
      </c>
    </row>
    <row r="2807" spans="1:15">
      <c r="A2807" s="25">
        <v>22157</v>
      </c>
      <c r="B2807" s="34" t="s">
        <v>4459</v>
      </c>
      <c r="C2807" s="31" t="s">
        <v>521</v>
      </c>
      <c r="D2807" s="31" t="s">
        <v>758</v>
      </c>
      <c r="E2807" s="28">
        <v>43153</v>
      </c>
      <c r="F2807" s="28">
        <v>43181</v>
      </c>
      <c r="G2807" s="28">
        <v>43555</v>
      </c>
      <c r="H2807" s="29" t="s">
        <v>560</v>
      </c>
      <c r="I2807" s="29" t="s">
        <v>560</v>
      </c>
      <c r="J2807" s="29" t="s">
        <v>1930</v>
      </c>
      <c r="K2807" s="29" t="s">
        <v>4457</v>
      </c>
      <c r="L2807" s="29" t="s">
        <v>4458</v>
      </c>
      <c r="M2807" s="29" t="s">
        <v>2077</v>
      </c>
      <c r="N2807" s="29" t="s">
        <v>2077</v>
      </c>
      <c r="O2807" s="29" t="s">
        <v>528</v>
      </c>
    </row>
    <row r="2808" spans="1:15">
      <c r="A2808" s="25">
        <v>22287</v>
      </c>
      <c r="B2808" s="34" t="s">
        <v>4460</v>
      </c>
      <c r="C2808" s="31" t="s">
        <v>521</v>
      </c>
      <c r="D2808" s="31" t="s">
        <v>1191</v>
      </c>
      <c r="E2808" s="28">
        <v>43192</v>
      </c>
      <c r="F2808" s="28">
        <v>43222</v>
      </c>
      <c r="G2808" s="28">
        <v>43585</v>
      </c>
      <c r="H2808" s="29" t="s">
        <v>560</v>
      </c>
      <c r="I2808" s="29" t="s">
        <v>560</v>
      </c>
      <c r="J2808" s="29" t="s">
        <v>1930</v>
      </c>
      <c r="K2808" s="29" t="s">
        <v>4457</v>
      </c>
      <c r="L2808" s="29" t="s">
        <v>4458</v>
      </c>
      <c r="M2808" s="29" t="s">
        <v>4461</v>
      </c>
      <c r="N2808" s="29" t="s">
        <v>1511</v>
      </c>
      <c r="O2808" s="29" t="s">
        <v>528</v>
      </c>
    </row>
    <row r="2809" spans="1:15">
      <c r="A2809" s="25">
        <v>22299</v>
      </c>
      <c r="B2809" s="34" t="s">
        <v>4462</v>
      </c>
      <c r="C2809" s="31" t="s">
        <v>521</v>
      </c>
      <c r="D2809" s="31" t="s">
        <v>1191</v>
      </c>
      <c r="E2809" s="28">
        <v>43192</v>
      </c>
      <c r="F2809" s="28">
        <v>43222</v>
      </c>
      <c r="G2809" s="28">
        <v>43585</v>
      </c>
      <c r="H2809" s="29" t="s">
        <v>560</v>
      </c>
      <c r="I2809" s="29" t="s">
        <v>560</v>
      </c>
      <c r="J2809" s="29" t="s">
        <v>1930</v>
      </c>
      <c r="K2809" s="29" t="s">
        <v>4457</v>
      </c>
      <c r="L2809" s="29" t="s">
        <v>4458</v>
      </c>
      <c r="M2809" s="29" t="s">
        <v>3186</v>
      </c>
      <c r="N2809" s="29" t="s">
        <v>2031</v>
      </c>
      <c r="O2809" s="29" t="s">
        <v>528</v>
      </c>
    </row>
    <row r="2810" spans="1:15">
      <c r="A2810" s="25">
        <v>22468</v>
      </c>
      <c r="B2810" s="26" t="s">
        <v>4463</v>
      </c>
      <c r="C2810" s="27" t="s">
        <v>521</v>
      </c>
      <c r="D2810" s="27" t="s">
        <v>1577</v>
      </c>
      <c r="E2810" s="28">
        <v>43220</v>
      </c>
      <c r="F2810" s="28">
        <v>43250</v>
      </c>
      <c r="G2810" s="28">
        <v>43616</v>
      </c>
      <c r="H2810" s="27" t="s">
        <v>560</v>
      </c>
      <c r="I2810" s="27" t="s">
        <v>560</v>
      </c>
      <c r="J2810" s="29" t="s">
        <v>1930</v>
      </c>
      <c r="K2810" s="29" t="s">
        <v>4457</v>
      </c>
      <c r="L2810" s="29" t="s">
        <v>4458</v>
      </c>
      <c r="M2810" s="29" t="s">
        <v>3835</v>
      </c>
      <c r="N2810" s="29" t="s">
        <v>1434</v>
      </c>
      <c r="O2810" s="29" t="s">
        <v>528</v>
      </c>
    </row>
    <row r="2811" spans="1:15">
      <c r="A2811" s="25">
        <v>23414</v>
      </c>
      <c r="B2811" s="34" t="s">
        <v>4464</v>
      </c>
      <c r="C2811" s="31" t="s">
        <v>521</v>
      </c>
      <c r="D2811" s="31" t="s">
        <v>882</v>
      </c>
      <c r="E2811" s="28">
        <v>43434</v>
      </c>
      <c r="F2811" s="28">
        <v>43464</v>
      </c>
      <c r="G2811" s="28">
        <v>43830</v>
      </c>
      <c r="H2811" s="29" t="s">
        <v>560</v>
      </c>
      <c r="I2811" s="29" t="s">
        <v>560</v>
      </c>
      <c r="J2811" s="29" t="s">
        <v>1930</v>
      </c>
      <c r="K2811" s="29" t="s">
        <v>4457</v>
      </c>
      <c r="L2811" s="29" t="s">
        <v>4458</v>
      </c>
      <c r="M2811" s="29" t="s">
        <v>4465</v>
      </c>
      <c r="N2811" s="29" t="s">
        <v>1511</v>
      </c>
      <c r="O2811" s="29" t="s">
        <v>528</v>
      </c>
    </row>
    <row r="2812" spans="1:15">
      <c r="A2812" s="25" t="s">
        <v>4466</v>
      </c>
      <c r="B2812" s="26" t="s">
        <v>4467</v>
      </c>
      <c r="C2812" s="27" t="s">
        <v>521</v>
      </c>
      <c r="D2812" s="27" t="s">
        <v>4468</v>
      </c>
      <c r="E2812" s="28">
        <v>40917</v>
      </c>
      <c r="F2812" s="28" t="s">
        <v>35</v>
      </c>
      <c r="G2812" s="28" t="s">
        <v>35</v>
      </c>
      <c r="H2812" s="27" t="s">
        <v>560</v>
      </c>
      <c r="I2812" s="27" t="s">
        <v>560</v>
      </c>
      <c r="J2812" s="29" t="s">
        <v>1930</v>
      </c>
      <c r="K2812" s="29" t="s">
        <v>4457</v>
      </c>
      <c r="L2812" s="29" t="s">
        <v>4458</v>
      </c>
      <c r="M2812" s="29" t="s">
        <v>2025</v>
      </c>
      <c r="N2812" s="29" t="s">
        <v>2026</v>
      </c>
      <c r="O2812" s="29" t="s">
        <v>528</v>
      </c>
    </row>
    <row r="2813" spans="1:15">
      <c r="A2813" s="25">
        <v>11734</v>
      </c>
      <c r="B2813" s="26" t="s">
        <v>4469</v>
      </c>
      <c r="C2813" s="27" t="s">
        <v>521</v>
      </c>
      <c r="D2813" s="27" t="s">
        <v>675</v>
      </c>
      <c r="E2813" s="28">
        <v>40714</v>
      </c>
      <c r="F2813" s="28" t="s">
        <v>35</v>
      </c>
      <c r="G2813" s="28" t="s">
        <v>35</v>
      </c>
      <c r="H2813" s="29" t="s">
        <v>560</v>
      </c>
      <c r="I2813" s="29" t="s">
        <v>560</v>
      </c>
      <c r="J2813" s="29" t="s">
        <v>3957</v>
      </c>
      <c r="K2813" s="29" t="s">
        <v>4470</v>
      </c>
      <c r="L2813" s="29" t="s">
        <v>4471</v>
      </c>
      <c r="M2813" s="29" t="s">
        <v>2025</v>
      </c>
      <c r="N2813" s="29" t="s">
        <v>2026</v>
      </c>
      <c r="O2813" s="29" t="s">
        <v>594</v>
      </c>
    </row>
    <row r="2814" spans="1:15">
      <c r="A2814" s="25">
        <v>11830</v>
      </c>
      <c r="B2814" s="34" t="s">
        <v>4472</v>
      </c>
      <c r="C2814" s="31" t="s">
        <v>521</v>
      </c>
      <c r="D2814" s="31" t="s">
        <v>799</v>
      </c>
      <c r="E2814" s="28">
        <v>40721</v>
      </c>
      <c r="F2814" s="28" t="s">
        <v>35</v>
      </c>
      <c r="G2814" s="28" t="s">
        <v>35</v>
      </c>
      <c r="H2814" s="29" t="s">
        <v>560</v>
      </c>
      <c r="I2814" s="29" t="s">
        <v>560</v>
      </c>
      <c r="J2814" s="29" t="s">
        <v>3957</v>
      </c>
      <c r="K2814" s="29" t="s">
        <v>4470</v>
      </c>
      <c r="L2814" s="29" t="s">
        <v>4471</v>
      </c>
      <c r="M2814" s="29" t="s">
        <v>4473</v>
      </c>
      <c r="N2814" s="29" t="s">
        <v>1434</v>
      </c>
      <c r="O2814" s="29" t="s">
        <v>594</v>
      </c>
    </row>
    <row r="2815" spans="1:15">
      <c r="A2815" s="25">
        <v>12073</v>
      </c>
      <c r="B2815" s="34" t="s">
        <v>4474</v>
      </c>
      <c r="C2815" s="31" t="s">
        <v>521</v>
      </c>
      <c r="D2815" s="31" t="s">
        <v>665</v>
      </c>
      <c r="E2815" s="28">
        <v>40798</v>
      </c>
      <c r="F2815" s="28" t="s">
        <v>35</v>
      </c>
      <c r="G2815" s="28" t="s">
        <v>35</v>
      </c>
      <c r="H2815" s="29" t="s">
        <v>560</v>
      </c>
      <c r="I2815" s="29" t="s">
        <v>560</v>
      </c>
      <c r="J2815" s="29" t="s">
        <v>3957</v>
      </c>
      <c r="K2815" s="29" t="s">
        <v>4470</v>
      </c>
      <c r="L2815" s="29" t="s">
        <v>4471</v>
      </c>
      <c r="M2815" s="29" t="s">
        <v>4475</v>
      </c>
      <c r="N2815" s="29" t="s">
        <v>2031</v>
      </c>
      <c r="O2815" s="29" t="s">
        <v>594</v>
      </c>
    </row>
    <row r="2816" spans="1:15">
      <c r="A2816" s="25">
        <v>13864</v>
      </c>
      <c r="B2816" s="34" t="s">
        <v>4476</v>
      </c>
      <c r="C2816" s="31" t="s">
        <v>521</v>
      </c>
      <c r="D2816" s="31" t="s">
        <v>1959</v>
      </c>
      <c r="E2816" s="28">
        <v>41250</v>
      </c>
      <c r="F2816" s="28" t="s">
        <v>35</v>
      </c>
      <c r="G2816" s="28" t="s">
        <v>35</v>
      </c>
      <c r="H2816" s="27" t="s">
        <v>560</v>
      </c>
      <c r="I2816" s="27" t="s">
        <v>560</v>
      </c>
      <c r="J2816" s="29" t="s">
        <v>3957</v>
      </c>
      <c r="K2816" s="29" t="s">
        <v>4470</v>
      </c>
      <c r="L2816" s="29" t="s">
        <v>4471</v>
      </c>
      <c r="M2816" s="29" t="s">
        <v>4477</v>
      </c>
      <c r="N2816" s="29" t="s">
        <v>2041</v>
      </c>
      <c r="O2816" s="29" t="s">
        <v>594</v>
      </c>
    </row>
    <row r="2817" spans="1:15">
      <c r="A2817" s="25">
        <v>14476</v>
      </c>
      <c r="B2817" s="34" t="s">
        <v>4478</v>
      </c>
      <c r="C2817" s="31" t="s">
        <v>521</v>
      </c>
      <c r="D2817" s="31" t="s">
        <v>870</v>
      </c>
      <c r="E2817" s="28">
        <v>41393</v>
      </c>
      <c r="F2817" s="28" t="s">
        <v>35</v>
      </c>
      <c r="G2817" s="28" t="s">
        <v>35</v>
      </c>
      <c r="H2817" s="29" t="s">
        <v>560</v>
      </c>
      <c r="I2817" s="29" t="s">
        <v>560</v>
      </c>
      <c r="J2817" s="29" t="s">
        <v>3957</v>
      </c>
      <c r="K2817" s="29" t="s">
        <v>4470</v>
      </c>
      <c r="L2817" s="29" t="s">
        <v>4471</v>
      </c>
      <c r="M2817" s="29" t="s">
        <v>4479</v>
      </c>
      <c r="N2817" s="29" t="s">
        <v>1434</v>
      </c>
      <c r="O2817" s="29" t="s">
        <v>594</v>
      </c>
    </row>
    <row r="2818" spans="1:15">
      <c r="A2818" s="25">
        <v>18699</v>
      </c>
      <c r="B2818" s="26" t="s">
        <v>4480</v>
      </c>
      <c r="C2818" s="27" t="s">
        <v>521</v>
      </c>
      <c r="D2818" s="27" t="s">
        <v>623</v>
      </c>
      <c r="E2818" s="28">
        <v>42142</v>
      </c>
      <c r="F2818" s="28" t="s">
        <v>35</v>
      </c>
      <c r="G2818" s="28" t="s">
        <v>35</v>
      </c>
      <c r="H2818" s="27" t="s">
        <v>560</v>
      </c>
      <c r="I2818" s="27" t="s">
        <v>560</v>
      </c>
      <c r="J2818" s="27" t="s">
        <v>3957</v>
      </c>
      <c r="K2818" s="29" t="s">
        <v>4470</v>
      </c>
      <c r="L2818" s="29" t="s">
        <v>4471</v>
      </c>
      <c r="M2818" s="29" t="s">
        <v>4481</v>
      </c>
      <c r="N2818" s="29" t="s">
        <v>1434</v>
      </c>
      <c r="O2818" s="29" t="s">
        <v>594</v>
      </c>
    </row>
    <row r="2819" spans="1:15">
      <c r="A2819" s="25">
        <v>21086</v>
      </c>
      <c r="B2819" s="26" t="s">
        <v>4482</v>
      </c>
      <c r="C2819" s="27" t="s">
        <v>521</v>
      </c>
      <c r="D2819" s="27" t="s">
        <v>3315</v>
      </c>
      <c r="E2819" s="28">
        <v>42863</v>
      </c>
      <c r="F2819" s="28">
        <v>43344</v>
      </c>
      <c r="G2819" s="28">
        <v>43708</v>
      </c>
      <c r="H2819" s="27" t="s">
        <v>560</v>
      </c>
      <c r="I2819" s="31" t="s">
        <v>560</v>
      </c>
      <c r="J2819" s="29" t="s">
        <v>3957</v>
      </c>
      <c r="K2819" s="29" t="s">
        <v>4470</v>
      </c>
      <c r="L2819" s="29" t="s">
        <v>4471</v>
      </c>
      <c r="M2819" s="29" t="s">
        <v>4483</v>
      </c>
      <c r="N2819" s="29" t="s">
        <v>1434</v>
      </c>
      <c r="O2819" s="29" t="s">
        <v>594</v>
      </c>
    </row>
    <row r="2820" spans="1:15">
      <c r="A2820" s="25">
        <v>21823</v>
      </c>
      <c r="B2820" s="34" t="s">
        <v>4484</v>
      </c>
      <c r="C2820" s="31" t="s">
        <v>521</v>
      </c>
      <c r="D2820" s="31" t="s">
        <v>732</v>
      </c>
      <c r="E2820" s="28">
        <v>43098</v>
      </c>
      <c r="F2820" s="28">
        <v>43129</v>
      </c>
      <c r="G2820" s="28">
        <v>43496</v>
      </c>
      <c r="H2820" s="29" t="s">
        <v>560</v>
      </c>
      <c r="I2820" s="29" t="s">
        <v>560</v>
      </c>
      <c r="J2820" s="29" t="s">
        <v>3957</v>
      </c>
      <c r="K2820" s="29" t="s">
        <v>4470</v>
      </c>
      <c r="L2820" s="29" t="s">
        <v>4471</v>
      </c>
      <c r="M2820" s="29" t="s">
        <v>4485</v>
      </c>
      <c r="N2820" s="29" t="s">
        <v>2041</v>
      </c>
      <c r="O2820" s="29" t="s">
        <v>594</v>
      </c>
    </row>
    <row r="2821" spans="1:15">
      <c r="A2821" s="25">
        <v>22152</v>
      </c>
      <c r="B2821" s="34" t="s">
        <v>2883</v>
      </c>
      <c r="C2821" s="31" t="s">
        <v>521</v>
      </c>
      <c r="D2821" s="31" t="s">
        <v>758</v>
      </c>
      <c r="E2821" s="28">
        <v>43153</v>
      </c>
      <c r="F2821" s="28">
        <v>43181</v>
      </c>
      <c r="G2821" s="28">
        <v>43555</v>
      </c>
      <c r="H2821" s="29" t="s">
        <v>560</v>
      </c>
      <c r="I2821" s="29" t="s">
        <v>560</v>
      </c>
      <c r="J2821" s="29" t="s">
        <v>3957</v>
      </c>
      <c r="K2821" s="29" t="s">
        <v>4470</v>
      </c>
      <c r="L2821" s="29" t="s">
        <v>4471</v>
      </c>
      <c r="M2821" s="29" t="s">
        <v>3979</v>
      </c>
      <c r="N2821" s="29" t="s">
        <v>2041</v>
      </c>
      <c r="O2821" s="29" t="s">
        <v>594</v>
      </c>
    </row>
    <row r="2822" spans="1:15">
      <c r="A2822" s="25">
        <v>22185</v>
      </c>
      <c r="B2822" s="34" t="s">
        <v>4486</v>
      </c>
      <c r="C2822" s="31" t="s">
        <v>521</v>
      </c>
      <c r="D2822" s="31" t="s">
        <v>1201</v>
      </c>
      <c r="E2822" s="28">
        <v>43158</v>
      </c>
      <c r="F2822" s="28">
        <v>43186</v>
      </c>
      <c r="G2822" s="28">
        <v>43555</v>
      </c>
      <c r="H2822" s="29" t="s">
        <v>560</v>
      </c>
      <c r="I2822" s="29" t="s">
        <v>560</v>
      </c>
      <c r="J2822" s="29" t="s">
        <v>3957</v>
      </c>
      <c r="K2822" s="29" t="s">
        <v>4470</v>
      </c>
      <c r="L2822" s="29" t="s">
        <v>4471</v>
      </c>
      <c r="M2822" s="29" t="s">
        <v>4487</v>
      </c>
      <c r="N2822" s="29" t="s">
        <v>2031</v>
      </c>
      <c r="O2822" s="29" t="s">
        <v>594</v>
      </c>
    </row>
    <row r="2823" spans="1:15">
      <c r="A2823" s="25">
        <v>22269</v>
      </c>
      <c r="B2823" s="34" t="s">
        <v>4488</v>
      </c>
      <c r="C2823" s="31" t="s">
        <v>521</v>
      </c>
      <c r="D2823" s="31" t="s">
        <v>1071</v>
      </c>
      <c r="E2823" s="28">
        <v>43181</v>
      </c>
      <c r="F2823" s="28">
        <v>43212</v>
      </c>
      <c r="G2823" s="28">
        <v>43585</v>
      </c>
      <c r="H2823" s="29" t="s">
        <v>560</v>
      </c>
      <c r="I2823" s="29" t="s">
        <v>560</v>
      </c>
      <c r="J2823" s="29" t="s">
        <v>3957</v>
      </c>
      <c r="K2823" s="29" t="s">
        <v>4470</v>
      </c>
      <c r="L2823" s="29" t="s">
        <v>4471</v>
      </c>
      <c r="M2823" s="29" t="s">
        <v>4370</v>
      </c>
      <c r="N2823" s="29" t="s">
        <v>1434</v>
      </c>
      <c r="O2823" s="29" t="s">
        <v>594</v>
      </c>
    </row>
    <row r="2824" spans="1:15">
      <c r="A2824" s="25">
        <v>22318</v>
      </c>
      <c r="B2824" s="26" t="s">
        <v>4489</v>
      </c>
      <c r="C2824" s="27" t="s">
        <v>521</v>
      </c>
      <c r="D2824" s="27" t="s">
        <v>1191</v>
      </c>
      <c r="E2824" s="28">
        <v>43192</v>
      </c>
      <c r="F2824" s="28">
        <v>43222</v>
      </c>
      <c r="G2824" s="28">
        <v>43585</v>
      </c>
      <c r="H2824" s="27" t="s">
        <v>560</v>
      </c>
      <c r="I2824" s="27" t="s">
        <v>560</v>
      </c>
      <c r="J2824" s="29" t="s">
        <v>3957</v>
      </c>
      <c r="K2824" s="29" t="s">
        <v>4470</v>
      </c>
      <c r="L2824" s="29" t="s">
        <v>4471</v>
      </c>
      <c r="M2824" s="29" t="s">
        <v>4490</v>
      </c>
      <c r="N2824" s="29" t="s">
        <v>1434</v>
      </c>
      <c r="O2824" s="29" t="s">
        <v>594</v>
      </c>
    </row>
    <row r="2825" spans="1:15">
      <c r="A2825" s="25">
        <v>22341</v>
      </c>
      <c r="B2825" s="34" t="s">
        <v>4491</v>
      </c>
      <c r="C2825" s="31" t="s">
        <v>521</v>
      </c>
      <c r="D2825" s="31" t="s">
        <v>694</v>
      </c>
      <c r="E2825" s="28">
        <v>43195</v>
      </c>
      <c r="F2825" s="28">
        <v>43225</v>
      </c>
      <c r="G2825" s="28">
        <v>43585</v>
      </c>
      <c r="H2825" s="29" t="s">
        <v>560</v>
      </c>
      <c r="I2825" s="29" t="s">
        <v>560</v>
      </c>
      <c r="J2825" s="29" t="s">
        <v>3957</v>
      </c>
      <c r="K2825" s="29" t="s">
        <v>4470</v>
      </c>
      <c r="L2825" s="29" t="s">
        <v>4471</v>
      </c>
      <c r="M2825" s="29" t="s">
        <v>4492</v>
      </c>
      <c r="N2825" s="29" t="s">
        <v>2041</v>
      </c>
      <c r="O2825" s="29" t="s">
        <v>594</v>
      </c>
    </row>
    <row r="2826" spans="1:15">
      <c r="A2826" s="25">
        <v>22464</v>
      </c>
      <c r="B2826" s="34" t="s">
        <v>4493</v>
      </c>
      <c r="C2826" s="31" t="s">
        <v>521</v>
      </c>
      <c r="D2826" s="31" t="s">
        <v>1577</v>
      </c>
      <c r="E2826" s="28">
        <v>43220</v>
      </c>
      <c r="F2826" s="28">
        <v>43250</v>
      </c>
      <c r="G2826" s="28">
        <v>43616</v>
      </c>
      <c r="H2826" s="29" t="s">
        <v>560</v>
      </c>
      <c r="I2826" s="29" t="s">
        <v>560</v>
      </c>
      <c r="J2826" s="29" t="s">
        <v>3957</v>
      </c>
      <c r="K2826" s="29" t="s">
        <v>4470</v>
      </c>
      <c r="L2826" s="29" t="s">
        <v>4471</v>
      </c>
      <c r="M2826" s="29" t="s">
        <v>4494</v>
      </c>
      <c r="N2826" s="29" t="s">
        <v>1434</v>
      </c>
      <c r="O2826" s="29" t="s">
        <v>594</v>
      </c>
    </row>
    <row r="2827" spans="1:15">
      <c r="A2827" s="25">
        <v>22569</v>
      </c>
      <c r="B2827" s="34" t="s">
        <v>4495</v>
      </c>
      <c r="C2827" s="31" t="s">
        <v>521</v>
      </c>
      <c r="D2827" s="31" t="s">
        <v>773</v>
      </c>
      <c r="E2827" s="28">
        <v>43224</v>
      </c>
      <c r="F2827" s="28">
        <v>43255</v>
      </c>
      <c r="G2827" s="28">
        <v>43616</v>
      </c>
      <c r="H2827" s="29" t="s">
        <v>560</v>
      </c>
      <c r="I2827" s="29" t="s">
        <v>560</v>
      </c>
      <c r="J2827" s="29" t="s">
        <v>3957</v>
      </c>
      <c r="K2827" s="29" t="s">
        <v>4470</v>
      </c>
      <c r="L2827" s="29" t="s">
        <v>4471</v>
      </c>
      <c r="M2827" s="29" t="s">
        <v>4496</v>
      </c>
      <c r="N2827" s="29" t="s">
        <v>1434</v>
      </c>
      <c r="O2827" s="29" t="s">
        <v>594</v>
      </c>
    </row>
    <row r="2828" spans="1:15">
      <c r="A2828" s="25">
        <v>22576</v>
      </c>
      <c r="B2828" s="34" t="s">
        <v>4497</v>
      </c>
      <c r="C2828" s="31" t="s">
        <v>521</v>
      </c>
      <c r="D2828" s="31" t="s">
        <v>773</v>
      </c>
      <c r="E2828" s="28">
        <v>43224</v>
      </c>
      <c r="F2828" s="28">
        <v>43255</v>
      </c>
      <c r="G2828" s="28">
        <v>43616</v>
      </c>
      <c r="H2828" s="29" t="s">
        <v>560</v>
      </c>
      <c r="I2828" s="29" t="s">
        <v>560</v>
      </c>
      <c r="J2828" s="29" t="s">
        <v>3957</v>
      </c>
      <c r="K2828" s="29" t="s">
        <v>4470</v>
      </c>
      <c r="L2828" s="29" t="s">
        <v>4471</v>
      </c>
      <c r="M2828" s="29" t="s">
        <v>4498</v>
      </c>
      <c r="N2828" s="29" t="s">
        <v>1434</v>
      </c>
      <c r="O2828" s="29" t="s">
        <v>594</v>
      </c>
    </row>
    <row r="2829" spans="1:15">
      <c r="A2829" s="25">
        <v>22929</v>
      </c>
      <c r="B2829" s="34" t="s">
        <v>4499</v>
      </c>
      <c r="C2829" s="31" t="s">
        <v>521</v>
      </c>
      <c r="D2829" s="31" t="s">
        <v>1962</v>
      </c>
      <c r="E2829" s="28">
        <v>43343</v>
      </c>
      <c r="F2829" s="28">
        <v>43374</v>
      </c>
      <c r="G2829" s="28">
        <v>43738</v>
      </c>
      <c r="H2829" s="29" t="s">
        <v>560</v>
      </c>
      <c r="I2829" s="29" t="s">
        <v>560</v>
      </c>
      <c r="J2829" s="29" t="s">
        <v>3957</v>
      </c>
      <c r="K2829" s="29" t="s">
        <v>4470</v>
      </c>
      <c r="L2829" s="29" t="s">
        <v>4471</v>
      </c>
      <c r="M2829" s="29" t="s">
        <v>4500</v>
      </c>
      <c r="N2829" s="29" t="s">
        <v>2041</v>
      </c>
      <c r="O2829" s="29" t="s">
        <v>594</v>
      </c>
    </row>
    <row r="2830" spans="1:15">
      <c r="A2830" s="25">
        <v>22975</v>
      </c>
      <c r="B2830" s="34" t="s">
        <v>4501</v>
      </c>
      <c r="C2830" s="31" t="s">
        <v>521</v>
      </c>
      <c r="D2830" s="31" t="s">
        <v>1962</v>
      </c>
      <c r="E2830" s="28">
        <v>43343</v>
      </c>
      <c r="F2830" s="28">
        <v>43374</v>
      </c>
      <c r="G2830" s="28">
        <v>43738</v>
      </c>
      <c r="H2830" s="27" t="s">
        <v>560</v>
      </c>
      <c r="I2830" s="27" t="s">
        <v>560</v>
      </c>
      <c r="J2830" s="29" t="s">
        <v>3957</v>
      </c>
      <c r="K2830" s="29" t="s">
        <v>4470</v>
      </c>
      <c r="L2830" s="29" t="s">
        <v>4471</v>
      </c>
      <c r="M2830" s="29" t="s">
        <v>2324</v>
      </c>
      <c r="N2830" s="29" t="s">
        <v>2080</v>
      </c>
      <c r="O2830" s="29" t="s">
        <v>594</v>
      </c>
    </row>
    <row r="2831" spans="1:15">
      <c r="A2831" s="25">
        <v>23082</v>
      </c>
      <c r="B2831" s="34" t="s">
        <v>4502</v>
      </c>
      <c r="C2831" s="31" t="s">
        <v>521</v>
      </c>
      <c r="D2831" s="31" t="s">
        <v>1872</v>
      </c>
      <c r="E2831" s="28">
        <v>43361</v>
      </c>
      <c r="F2831" s="28">
        <v>43391</v>
      </c>
      <c r="G2831" s="28">
        <v>43769</v>
      </c>
      <c r="H2831" s="29" t="s">
        <v>560</v>
      </c>
      <c r="I2831" s="29" t="s">
        <v>560</v>
      </c>
      <c r="J2831" s="29" t="s">
        <v>3957</v>
      </c>
      <c r="K2831" s="29" t="s">
        <v>4470</v>
      </c>
      <c r="L2831" s="29" t="s">
        <v>4471</v>
      </c>
      <c r="M2831" s="29" t="s">
        <v>2328</v>
      </c>
      <c r="N2831" s="29" t="s">
        <v>2080</v>
      </c>
      <c r="O2831" s="29" t="s">
        <v>594</v>
      </c>
    </row>
    <row r="2832" spans="1:15">
      <c r="A2832" s="25">
        <v>23444</v>
      </c>
      <c r="B2832" s="34" t="s">
        <v>4503</v>
      </c>
      <c r="C2832" s="31" t="s">
        <v>521</v>
      </c>
      <c r="D2832" s="31" t="s">
        <v>882</v>
      </c>
      <c r="E2832" s="28">
        <v>43434</v>
      </c>
      <c r="F2832" s="28">
        <v>43464</v>
      </c>
      <c r="G2832" s="28">
        <v>43830</v>
      </c>
      <c r="H2832" s="29" t="s">
        <v>560</v>
      </c>
      <c r="I2832" s="29" t="s">
        <v>560</v>
      </c>
      <c r="J2832" s="29" t="s">
        <v>3957</v>
      </c>
      <c r="K2832" s="29" t="s">
        <v>4470</v>
      </c>
      <c r="L2832" s="29" t="s">
        <v>4471</v>
      </c>
      <c r="M2832" s="29" t="s">
        <v>1593</v>
      </c>
      <c r="N2832" s="29" t="s">
        <v>1586</v>
      </c>
      <c r="O2832" s="29" t="s">
        <v>594</v>
      </c>
    </row>
    <row r="2833" spans="1:15">
      <c r="A2833" s="25">
        <v>23445</v>
      </c>
      <c r="B2833" s="34" t="s">
        <v>4504</v>
      </c>
      <c r="C2833" s="31" t="s">
        <v>521</v>
      </c>
      <c r="D2833" s="31" t="s">
        <v>882</v>
      </c>
      <c r="E2833" s="28">
        <v>43434</v>
      </c>
      <c r="F2833" s="28">
        <v>43464</v>
      </c>
      <c r="G2833" s="28">
        <v>43830</v>
      </c>
      <c r="H2833" s="29" t="s">
        <v>560</v>
      </c>
      <c r="I2833" s="29" t="s">
        <v>560</v>
      </c>
      <c r="J2833" s="29" t="s">
        <v>3957</v>
      </c>
      <c r="K2833" s="29" t="s">
        <v>4470</v>
      </c>
      <c r="L2833" s="29" t="s">
        <v>4471</v>
      </c>
      <c r="M2833" s="29" t="s">
        <v>1593</v>
      </c>
      <c r="N2833" s="29" t="s">
        <v>1586</v>
      </c>
      <c r="O2833" s="29" t="s">
        <v>594</v>
      </c>
    </row>
    <row r="2834" spans="1:15">
      <c r="A2834" s="25">
        <v>5255</v>
      </c>
      <c r="B2834" s="26" t="s">
        <v>4505</v>
      </c>
      <c r="C2834" s="27" t="s">
        <v>521</v>
      </c>
      <c r="D2834" s="27" t="s">
        <v>1130</v>
      </c>
      <c r="E2834" s="28">
        <v>38961</v>
      </c>
      <c r="F2834" s="28" t="s">
        <v>35</v>
      </c>
      <c r="G2834" s="28" t="s">
        <v>35</v>
      </c>
      <c r="H2834" s="27" t="s">
        <v>560</v>
      </c>
      <c r="I2834" s="27" t="s">
        <v>560</v>
      </c>
      <c r="J2834" s="29" t="s">
        <v>3957</v>
      </c>
      <c r="K2834" s="29" t="s">
        <v>4470</v>
      </c>
      <c r="L2834" s="29" t="s">
        <v>4471</v>
      </c>
      <c r="M2834" s="29" t="s">
        <v>1550</v>
      </c>
      <c r="N2834" s="29" t="s">
        <v>1045</v>
      </c>
      <c r="O2834" s="29" t="s">
        <v>590</v>
      </c>
    </row>
    <row r="2835" spans="1:15">
      <c r="A2835" s="25">
        <v>5961</v>
      </c>
      <c r="B2835" s="26" t="s">
        <v>4506</v>
      </c>
      <c r="C2835" s="27" t="s">
        <v>521</v>
      </c>
      <c r="D2835" s="27" t="s">
        <v>713</v>
      </c>
      <c r="E2835" s="28">
        <v>39129</v>
      </c>
      <c r="F2835" s="28" t="s">
        <v>35</v>
      </c>
      <c r="G2835" s="28" t="s">
        <v>35</v>
      </c>
      <c r="H2835" s="29" t="s">
        <v>560</v>
      </c>
      <c r="I2835" s="29" t="s">
        <v>560</v>
      </c>
      <c r="J2835" s="29" t="s">
        <v>3957</v>
      </c>
      <c r="K2835" s="29" t="s">
        <v>4470</v>
      </c>
      <c r="L2835" s="29" t="s">
        <v>4471</v>
      </c>
      <c r="M2835" s="29" t="s">
        <v>4507</v>
      </c>
      <c r="N2835" s="29" t="s">
        <v>1434</v>
      </c>
      <c r="O2835" s="29" t="s">
        <v>590</v>
      </c>
    </row>
    <row r="2836" spans="1:15">
      <c r="A2836" s="25">
        <v>9902</v>
      </c>
      <c r="B2836" s="26" t="s">
        <v>4508</v>
      </c>
      <c r="C2836" s="27" t="s">
        <v>521</v>
      </c>
      <c r="D2836" s="27" t="s">
        <v>1748</v>
      </c>
      <c r="E2836" s="28">
        <v>40424</v>
      </c>
      <c r="F2836" s="28" t="s">
        <v>35</v>
      </c>
      <c r="G2836" s="28" t="s">
        <v>35</v>
      </c>
      <c r="H2836" s="27" t="s">
        <v>560</v>
      </c>
      <c r="I2836" s="27" t="s">
        <v>560</v>
      </c>
      <c r="J2836" s="29" t="s">
        <v>3957</v>
      </c>
      <c r="K2836" s="29" t="s">
        <v>4470</v>
      </c>
      <c r="L2836" s="29" t="s">
        <v>4471</v>
      </c>
      <c r="M2836" s="29" t="s">
        <v>4202</v>
      </c>
      <c r="N2836" s="29" t="s">
        <v>1434</v>
      </c>
      <c r="O2836" s="29" t="s">
        <v>590</v>
      </c>
    </row>
    <row r="2837" spans="1:15">
      <c r="A2837" s="25">
        <v>10007</v>
      </c>
      <c r="B2837" s="26" t="s">
        <v>508</v>
      </c>
      <c r="C2837" s="27" t="s">
        <v>521</v>
      </c>
      <c r="D2837" s="27" t="s">
        <v>762</v>
      </c>
      <c r="E2837" s="28">
        <v>40438</v>
      </c>
      <c r="F2837" s="28" t="s">
        <v>35</v>
      </c>
      <c r="G2837" s="28" t="s">
        <v>35</v>
      </c>
      <c r="H2837" s="29" t="s">
        <v>560</v>
      </c>
      <c r="I2837" s="29" t="s">
        <v>560</v>
      </c>
      <c r="J2837" s="29" t="s">
        <v>3957</v>
      </c>
      <c r="K2837" s="29" t="s">
        <v>4470</v>
      </c>
      <c r="L2837" s="29" t="s">
        <v>4471</v>
      </c>
      <c r="M2837" s="29" t="s">
        <v>1550</v>
      </c>
      <c r="N2837" s="29" t="s">
        <v>1045</v>
      </c>
      <c r="O2837" s="29" t="s">
        <v>590</v>
      </c>
    </row>
    <row r="2838" spans="1:15">
      <c r="A2838" s="25">
        <v>10257</v>
      </c>
      <c r="B2838" s="26" t="s">
        <v>4509</v>
      </c>
      <c r="C2838" s="27" t="s">
        <v>521</v>
      </c>
      <c r="D2838" s="27" t="s">
        <v>681</v>
      </c>
      <c r="E2838" s="28">
        <v>40497</v>
      </c>
      <c r="F2838" s="28" t="s">
        <v>35</v>
      </c>
      <c r="G2838" s="28" t="s">
        <v>35</v>
      </c>
      <c r="H2838" s="27" t="s">
        <v>560</v>
      </c>
      <c r="I2838" s="27" t="s">
        <v>560</v>
      </c>
      <c r="J2838" s="29" t="s">
        <v>3957</v>
      </c>
      <c r="K2838" s="29" t="s">
        <v>4470</v>
      </c>
      <c r="L2838" s="29" t="s">
        <v>4471</v>
      </c>
      <c r="M2838" s="29" t="s">
        <v>4510</v>
      </c>
      <c r="N2838" s="29" t="s">
        <v>1434</v>
      </c>
      <c r="O2838" s="29" t="s">
        <v>590</v>
      </c>
    </row>
    <row r="2839" spans="1:15">
      <c r="A2839" s="25">
        <v>10301</v>
      </c>
      <c r="B2839" s="34" t="s">
        <v>3099</v>
      </c>
      <c r="C2839" s="31" t="s">
        <v>521</v>
      </c>
      <c r="D2839" s="27" t="s">
        <v>825</v>
      </c>
      <c r="E2839" s="28">
        <v>40511</v>
      </c>
      <c r="F2839" s="28" t="s">
        <v>35</v>
      </c>
      <c r="G2839" s="28" t="s">
        <v>35</v>
      </c>
      <c r="H2839" s="31" t="s">
        <v>560</v>
      </c>
      <c r="I2839" s="31" t="s">
        <v>560</v>
      </c>
      <c r="J2839" s="29" t="s">
        <v>3957</v>
      </c>
      <c r="K2839" s="29" t="s">
        <v>4470</v>
      </c>
      <c r="L2839" s="29" t="s">
        <v>4471</v>
      </c>
      <c r="M2839" s="29" t="s">
        <v>4511</v>
      </c>
      <c r="N2839" s="29" t="s">
        <v>1434</v>
      </c>
      <c r="O2839" s="29" t="s">
        <v>590</v>
      </c>
    </row>
    <row r="2840" spans="1:15">
      <c r="A2840" s="25">
        <v>10528</v>
      </c>
      <c r="B2840" s="26" t="s">
        <v>4512</v>
      </c>
      <c r="C2840" s="27" t="s">
        <v>521</v>
      </c>
      <c r="D2840" s="27" t="s">
        <v>738</v>
      </c>
      <c r="E2840" s="28">
        <v>40535</v>
      </c>
      <c r="F2840" s="28" t="s">
        <v>35</v>
      </c>
      <c r="G2840" s="28" t="s">
        <v>35</v>
      </c>
      <c r="H2840" s="27" t="s">
        <v>560</v>
      </c>
      <c r="I2840" s="27" t="s">
        <v>560</v>
      </c>
      <c r="J2840" s="29" t="s">
        <v>3957</v>
      </c>
      <c r="K2840" s="29" t="s">
        <v>4470</v>
      </c>
      <c r="L2840" s="29" t="s">
        <v>4471</v>
      </c>
      <c r="M2840" s="29" t="s">
        <v>4513</v>
      </c>
      <c r="N2840" s="29" t="s">
        <v>1434</v>
      </c>
      <c r="O2840" s="29" t="s">
        <v>590</v>
      </c>
    </row>
    <row r="2841" spans="1:15">
      <c r="A2841" s="25">
        <v>10546</v>
      </c>
      <c r="B2841" s="26" t="s">
        <v>4514</v>
      </c>
      <c r="C2841" s="27" t="s">
        <v>521</v>
      </c>
      <c r="D2841" s="27" t="s">
        <v>1672</v>
      </c>
      <c r="E2841" s="28">
        <v>40542</v>
      </c>
      <c r="F2841" s="28" t="s">
        <v>35</v>
      </c>
      <c r="G2841" s="28" t="s">
        <v>35</v>
      </c>
      <c r="H2841" s="27" t="s">
        <v>560</v>
      </c>
      <c r="I2841" s="27" t="s">
        <v>560</v>
      </c>
      <c r="J2841" s="29" t="s">
        <v>3957</v>
      </c>
      <c r="K2841" s="29" t="s">
        <v>4470</v>
      </c>
      <c r="L2841" s="29" t="s">
        <v>4471</v>
      </c>
      <c r="M2841" s="29" t="s">
        <v>4515</v>
      </c>
      <c r="N2841" s="29" t="s">
        <v>1434</v>
      </c>
      <c r="O2841" s="29" t="s">
        <v>590</v>
      </c>
    </row>
    <row r="2842" spans="1:15">
      <c r="A2842" s="25">
        <v>10895</v>
      </c>
      <c r="B2842" s="34" t="s">
        <v>4516</v>
      </c>
      <c r="C2842" s="31" t="s">
        <v>521</v>
      </c>
      <c r="D2842" s="31" t="s">
        <v>808</v>
      </c>
      <c r="E2842" s="28">
        <v>40574</v>
      </c>
      <c r="F2842" s="28" t="s">
        <v>35</v>
      </c>
      <c r="G2842" s="28" t="s">
        <v>35</v>
      </c>
      <c r="H2842" s="29" t="s">
        <v>560</v>
      </c>
      <c r="I2842" s="29" t="s">
        <v>560</v>
      </c>
      <c r="J2842" s="29" t="s">
        <v>3957</v>
      </c>
      <c r="K2842" s="29" t="s">
        <v>4470</v>
      </c>
      <c r="L2842" s="29" t="s">
        <v>4471</v>
      </c>
      <c r="M2842" s="29" t="s">
        <v>1550</v>
      </c>
      <c r="N2842" s="29" t="s">
        <v>1045</v>
      </c>
      <c r="O2842" s="29" t="s">
        <v>590</v>
      </c>
    </row>
    <row r="2843" spans="1:15">
      <c r="A2843" s="25">
        <v>11987</v>
      </c>
      <c r="B2843" s="26" t="s">
        <v>4517</v>
      </c>
      <c r="C2843" s="27" t="s">
        <v>521</v>
      </c>
      <c r="D2843" s="27" t="s">
        <v>2429</v>
      </c>
      <c r="E2843" s="28">
        <v>40777</v>
      </c>
      <c r="F2843" s="28" t="s">
        <v>35</v>
      </c>
      <c r="G2843" s="28" t="s">
        <v>35</v>
      </c>
      <c r="H2843" s="29" t="s">
        <v>560</v>
      </c>
      <c r="I2843" s="29" t="s">
        <v>560</v>
      </c>
      <c r="J2843" s="29" t="s">
        <v>3957</v>
      </c>
      <c r="K2843" s="29" t="s">
        <v>4470</v>
      </c>
      <c r="L2843" s="29" t="s">
        <v>4471</v>
      </c>
      <c r="M2843" s="29" t="s">
        <v>4518</v>
      </c>
      <c r="N2843" s="29" t="s">
        <v>1434</v>
      </c>
      <c r="O2843" s="29" t="s">
        <v>590</v>
      </c>
    </row>
    <row r="2844" spans="1:15">
      <c r="A2844" s="25">
        <v>12238</v>
      </c>
      <c r="B2844" s="33" t="s">
        <v>4519</v>
      </c>
      <c r="C2844" s="27" t="s">
        <v>521</v>
      </c>
      <c r="D2844" s="27" t="s">
        <v>817</v>
      </c>
      <c r="E2844" s="28">
        <v>40805</v>
      </c>
      <c r="F2844" s="28" t="s">
        <v>35</v>
      </c>
      <c r="G2844" s="28" t="s">
        <v>35</v>
      </c>
      <c r="H2844" s="29" t="s">
        <v>560</v>
      </c>
      <c r="I2844" s="29" t="s">
        <v>560</v>
      </c>
      <c r="J2844" s="29" t="s">
        <v>3957</v>
      </c>
      <c r="K2844" s="29" t="s">
        <v>4470</v>
      </c>
      <c r="L2844" s="29" t="s">
        <v>4471</v>
      </c>
      <c r="M2844" s="29" t="s">
        <v>4206</v>
      </c>
      <c r="N2844" s="29" t="s">
        <v>2031</v>
      </c>
      <c r="O2844" s="29" t="s">
        <v>590</v>
      </c>
    </row>
    <row r="2845" spans="1:15">
      <c r="A2845" s="25">
        <v>12435</v>
      </c>
      <c r="B2845" s="26" t="s">
        <v>4520</v>
      </c>
      <c r="C2845" s="27" t="s">
        <v>521</v>
      </c>
      <c r="D2845" s="27" t="s">
        <v>722</v>
      </c>
      <c r="E2845" s="28">
        <v>40812</v>
      </c>
      <c r="F2845" s="28" t="s">
        <v>35</v>
      </c>
      <c r="G2845" s="28" t="s">
        <v>35</v>
      </c>
      <c r="H2845" s="27" t="s">
        <v>560</v>
      </c>
      <c r="I2845" s="27" t="s">
        <v>560</v>
      </c>
      <c r="J2845" s="29" t="s">
        <v>3957</v>
      </c>
      <c r="K2845" s="29" t="s">
        <v>4470</v>
      </c>
      <c r="L2845" s="29" t="s">
        <v>4471</v>
      </c>
      <c r="M2845" s="29" t="s">
        <v>2025</v>
      </c>
      <c r="N2845" s="29" t="s">
        <v>2026</v>
      </c>
      <c r="O2845" s="29" t="s">
        <v>590</v>
      </c>
    </row>
    <row r="2846" spans="1:15">
      <c r="A2846" s="25">
        <v>13125</v>
      </c>
      <c r="B2846" s="26" t="s">
        <v>4521</v>
      </c>
      <c r="C2846" s="27" t="s">
        <v>521</v>
      </c>
      <c r="D2846" s="27" t="s">
        <v>4522</v>
      </c>
      <c r="E2846" s="28">
        <v>40875</v>
      </c>
      <c r="F2846" s="28" t="s">
        <v>35</v>
      </c>
      <c r="G2846" s="28" t="s">
        <v>35</v>
      </c>
      <c r="H2846" s="29" t="s">
        <v>560</v>
      </c>
      <c r="I2846" s="29" t="s">
        <v>560</v>
      </c>
      <c r="J2846" s="29" t="s">
        <v>3957</v>
      </c>
      <c r="K2846" s="29" t="s">
        <v>4470</v>
      </c>
      <c r="L2846" s="29" t="s">
        <v>4471</v>
      </c>
      <c r="M2846" s="29" t="s">
        <v>4523</v>
      </c>
      <c r="N2846" s="29" t="s">
        <v>1434</v>
      </c>
      <c r="O2846" s="29" t="s">
        <v>590</v>
      </c>
    </row>
    <row r="2847" spans="1:15">
      <c r="A2847" s="25">
        <v>17766</v>
      </c>
      <c r="B2847" s="26" t="s">
        <v>4524</v>
      </c>
      <c r="C2847" s="27" t="s">
        <v>521</v>
      </c>
      <c r="D2847" s="27" t="s">
        <v>4525</v>
      </c>
      <c r="E2847" s="28">
        <v>41801</v>
      </c>
      <c r="F2847" s="28" t="s">
        <v>35</v>
      </c>
      <c r="G2847" s="28" t="s">
        <v>35</v>
      </c>
      <c r="H2847" s="27" t="s">
        <v>560</v>
      </c>
      <c r="I2847" s="27" t="s">
        <v>560</v>
      </c>
      <c r="J2847" s="29" t="s">
        <v>3957</v>
      </c>
      <c r="K2847" s="29" t="s">
        <v>4470</v>
      </c>
      <c r="L2847" s="29" t="s">
        <v>4471</v>
      </c>
      <c r="M2847" s="29" t="s">
        <v>4526</v>
      </c>
      <c r="N2847" s="29" t="s">
        <v>1434</v>
      </c>
      <c r="O2847" s="29" t="s">
        <v>590</v>
      </c>
    </row>
    <row r="2848" spans="1:15">
      <c r="A2848" s="25">
        <v>21096</v>
      </c>
      <c r="B2848" s="26" t="s">
        <v>4527</v>
      </c>
      <c r="C2848" s="27" t="s">
        <v>521</v>
      </c>
      <c r="D2848" s="27" t="s">
        <v>1686</v>
      </c>
      <c r="E2848" s="28">
        <v>42867</v>
      </c>
      <c r="F2848" s="28">
        <v>43344</v>
      </c>
      <c r="G2848" s="28">
        <v>43708</v>
      </c>
      <c r="H2848" s="25" t="s">
        <v>560</v>
      </c>
      <c r="I2848" s="31" t="s">
        <v>560</v>
      </c>
      <c r="J2848" s="29" t="s">
        <v>3957</v>
      </c>
      <c r="K2848" s="29" t="s">
        <v>4470</v>
      </c>
      <c r="L2848" s="29" t="s">
        <v>4471</v>
      </c>
      <c r="M2848" s="29" t="s">
        <v>4528</v>
      </c>
      <c r="N2848" s="29" t="s">
        <v>1434</v>
      </c>
      <c r="O2848" s="29" t="s">
        <v>590</v>
      </c>
    </row>
    <row r="2849" spans="1:15">
      <c r="A2849" s="25">
        <v>22554</v>
      </c>
      <c r="B2849" s="34" t="s">
        <v>4529</v>
      </c>
      <c r="C2849" s="31" t="s">
        <v>521</v>
      </c>
      <c r="D2849" s="31" t="s">
        <v>773</v>
      </c>
      <c r="E2849" s="28">
        <v>43224</v>
      </c>
      <c r="F2849" s="28">
        <v>43255</v>
      </c>
      <c r="G2849" s="28">
        <v>43616</v>
      </c>
      <c r="H2849" s="29" t="s">
        <v>560</v>
      </c>
      <c r="I2849" s="29" t="s">
        <v>560</v>
      </c>
      <c r="J2849" s="29" t="s">
        <v>3957</v>
      </c>
      <c r="K2849" s="29" t="s">
        <v>4470</v>
      </c>
      <c r="L2849" s="29" t="s">
        <v>4471</v>
      </c>
      <c r="M2849" s="29" t="s">
        <v>4530</v>
      </c>
      <c r="N2849" s="29" t="s">
        <v>1434</v>
      </c>
      <c r="O2849" s="29" t="s">
        <v>590</v>
      </c>
    </row>
    <row r="2850" spans="1:15">
      <c r="A2850" s="25">
        <v>22794</v>
      </c>
      <c r="B2850" s="34" t="s">
        <v>4531</v>
      </c>
      <c r="C2850" s="31" t="s">
        <v>521</v>
      </c>
      <c r="D2850" s="31" t="s">
        <v>1615</v>
      </c>
      <c r="E2850" s="28">
        <v>43283</v>
      </c>
      <c r="F2850" s="28">
        <v>43314</v>
      </c>
      <c r="G2850" s="28">
        <v>43677</v>
      </c>
      <c r="H2850" s="29" t="s">
        <v>560</v>
      </c>
      <c r="I2850" s="29" t="s">
        <v>560</v>
      </c>
      <c r="J2850" s="29" t="s">
        <v>3957</v>
      </c>
      <c r="K2850" s="29" t="s">
        <v>4470</v>
      </c>
      <c r="L2850" s="29" t="s">
        <v>4471</v>
      </c>
      <c r="M2850" s="29" t="s">
        <v>2324</v>
      </c>
      <c r="N2850" s="29" t="s">
        <v>2080</v>
      </c>
      <c r="O2850" s="29" t="s">
        <v>590</v>
      </c>
    </row>
    <row r="2851" spans="1:15">
      <c r="A2851" s="25">
        <v>22977</v>
      </c>
      <c r="B2851" s="34" t="s">
        <v>4532</v>
      </c>
      <c r="C2851" s="31" t="s">
        <v>521</v>
      </c>
      <c r="D2851" s="31" t="s">
        <v>1962</v>
      </c>
      <c r="E2851" s="28">
        <v>43343</v>
      </c>
      <c r="F2851" s="28">
        <v>43374</v>
      </c>
      <c r="G2851" s="28">
        <v>43738</v>
      </c>
      <c r="H2851" s="27" t="s">
        <v>560</v>
      </c>
      <c r="I2851" s="27" t="s">
        <v>560</v>
      </c>
      <c r="J2851" s="29" t="s">
        <v>3957</v>
      </c>
      <c r="K2851" s="29" t="s">
        <v>4470</v>
      </c>
      <c r="L2851" s="29" t="s">
        <v>4471</v>
      </c>
      <c r="M2851" s="29" t="s">
        <v>2328</v>
      </c>
      <c r="N2851" s="29" t="s">
        <v>2080</v>
      </c>
      <c r="O2851" s="29" t="s">
        <v>590</v>
      </c>
    </row>
    <row r="2852" spans="1:15">
      <c r="A2852" s="25">
        <v>23466</v>
      </c>
      <c r="B2852" s="34" t="s">
        <v>4533</v>
      </c>
      <c r="C2852" s="31" t="s">
        <v>521</v>
      </c>
      <c r="D2852" s="31" t="s">
        <v>882</v>
      </c>
      <c r="E2852" s="28">
        <v>43434</v>
      </c>
      <c r="F2852" s="28">
        <v>43464</v>
      </c>
      <c r="G2852" s="28">
        <v>43830</v>
      </c>
      <c r="H2852" s="29" t="s">
        <v>560</v>
      </c>
      <c r="I2852" s="29" t="s">
        <v>560</v>
      </c>
      <c r="J2852" s="29" t="s">
        <v>3957</v>
      </c>
      <c r="K2852" s="29" t="s">
        <v>4470</v>
      </c>
      <c r="L2852" s="29" t="s">
        <v>4471</v>
      </c>
      <c r="M2852" s="29" t="s">
        <v>4534</v>
      </c>
      <c r="N2852" s="29" t="s">
        <v>1586</v>
      </c>
      <c r="O2852" s="29" t="s">
        <v>590</v>
      </c>
    </row>
    <row r="2853" spans="1:15">
      <c r="A2853" s="25" t="s">
        <v>4535</v>
      </c>
      <c r="B2853" s="26" t="s">
        <v>230</v>
      </c>
      <c r="C2853" s="27" t="s">
        <v>521</v>
      </c>
      <c r="D2853" s="27" t="s">
        <v>778</v>
      </c>
      <c r="E2853" s="28">
        <v>40854</v>
      </c>
      <c r="F2853" s="28" t="s">
        <v>35</v>
      </c>
      <c r="G2853" s="28" t="s">
        <v>35</v>
      </c>
      <c r="H2853" s="27" t="s">
        <v>560</v>
      </c>
      <c r="I2853" s="27" t="s">
        <v>560</v>
      </c>
      <c r="J2853" s="29" t="s">
        <v>3957</v>
      </c>
      <c r="K2853" s="29" t="s">
        <v>4470</v>
      </c>
      <c r="L2853" s="29" t="s">
        <v>4471</v>
      </c>
      <c r="M2853" s="29" t="s">
        <v>4195</v>
      </c>
      <c r="N2853" s="29" t="s">
        <v>2031</v>
      </c>
      <c r="O2853" s="29" t="s">
        <v>590</v>
      </c>
    </row>
    <row r="2854" spans="1:15">
      <c r="A2854" s="25">
        <v>9629</v>
      </c>
      <c r="B2854" s="26" t="s">
        <v>4536</v>
      </c>
      <c r="C2854" s="27" t="s">
        <v>521</v>
      </c>
      <c r="D2854" s="27" t="s">
        <v>1598</v>
      </c>
      <c r="E2854" s="28">
        <v>40179</v>
      </c>
      <c r="F2854" s="28" t="s">
        <v>35</v>
      </c>
      <c r="G2854" s="28" t="s">
        <v>35</v>
      </c>
      <c r="H2854" s="27" t="s">
        <v>560</v>
      </c>
      <c r="I2854" s="27" t="s">
        <v>560</v>
      </c>
      <c r="J2854" s="29" t="s">
        <v>3957</v>
      </c>
      <c r="K2854" s="29" t="s">
        <v>4470</v>
      </c>
      <c r="L2854" s="29" t="s">
        <v>4537</v>
      </c>
      <c r="M2854" s="29" t="s">
        <v>4538</v>
      </c>
      <c r="N2854" s="29" t="s">
        <v>1434</v>
      </c>
      <c r="O2854" s="29" t="s">
        <v>594</v>
      </c>
    </row>
    <row r="2855" spans="1:15">
      <c r="A2855" s="25">
        <v>11061</v>
      </c>
      <c r="B2855" s="26" t="s">
        <v>4539</v>
      </c>
      <c r="C2855" s="27" t="s">
        <v>521</v>
      </c>
      <c r="D2855" s="27" t="s">
        <v>1420</v>
      </c>
      <c r="E2855" s="28">
        <v>40595</v>
      </c>
      <c r="F2855" s="28" t="s">
        <v>35</v>
      </c>
      <c r="G2855" s="28" t="s">
        <v>35</v>
      </c>
      <c r="H2855" s="29" t="s">
        <v>560</v>
      </c>
      <c r="I2855" s="29" t="s">
        <v>560</v>
      </c>
      <c r="J2855" s="29" t="s">
        <v>3957</v>
      </c>
      <c r="K2855" s="29" t="s">
        <v>4470</v>
      </c>
      <c r="L2855" s="29" t="s">
        <v>4537</v>
      </c>
      <c r="M2855" s="29" t="s">
        <v>4216</v>
      </c>
      <c r="N2855" s="29" t="s">
        <v>1434</v>
      </c>
      <c r="O2855" s="29" t="s">
        <v>594</v>
      </c>
    </row>
    <row r="2856" spans="1:15">
      <c r="A2856" s="25">
        <v>11219</v>
      </c>
      <c r="B2856" s="34" t="s">
        <v>4540</v>
      </c>
      <c r="C2856" s="31" t="s">
        <v>521</v>
      </c>
      <c r="D2856" s="27" t="s">
        <v>2037</v>
      </c>
      <c r="E2856" s="28">
        <v>40609</v>
      </c>
      <c r="F2856" s="28" t="s">
        <v>35</v>
      </c>
      <c r="G2856" s="28" t="s">
        <v>35</v>
      </c>
      <c r="H2856" s="31" t="s">
        <v>560</v>
      </c>
      <c r="I2856" s="31" t="s">
        <v>560</v>
      </c>
      <c r="J2856" s="29" t="s">
        <v>3957</v>
      </c>
      <c r="K2856" s="29" t="s">
        <v>4470</v>
      </c>
      <c r="L2856" s="29" t="s">
        <v>4537</v>
      </c>
      <c r="M2856" s="29" t="s">
        <v>1550</v>
      </c>
      <c r="N2856" s="29" t="s">
        <v>1045</v>
      </c>
      <c r="O2856" s="29" t="s">
        <v>594</v>
      </c>
    </row>
    <row r="2857" spans="1:15">
      <c r="A2857" s="25">
        <v>11538</v>
      </c>
      <c r="B2857" s="26" t="s">
        <v>4541</v>
      </c>
      <c r="C2857" s="27" t="s">
        <v>521</v>
      </c>
      <c r="D2857" s="27" t="s">
        <v>841</v>
      </c>
      <c r="E2857" s="28">
        <v>40707</v>
      </c>
      <c r="F2857" s="28" t="s">
        <v>35</v>
      </c>
      <c r="G2857" s="28" t="s">
        <v>35</v>
      </c>
      <c r="H2857" s="29" t="s">
        <v>560</v>
      </c>
      <c r="I2857" s="29" t="s">
        <v>560</v>
      </c>
      <c r="J2857" s="29" t="s">
        <v>3957</v>
      </c>
      <c r="K2857" s="29" t="s">
        <v>4470</v>
      </c>
      <c r="L2857" s="29" t="s">
        <v>4537</v>
      </c>
      <c r="M2857" s="29" t="s">
        <v>4523</v>
      </c>
      <c r="N2857" s="29" t="s">
        <v>1434</v>
      </c>
      <c r="O2857" s="29" t="s">
        <v>594</v>
      </c>
    </row>
    <row r="2858" spans="1:15">
      <c r="A2858" s="25">
        <v>11568</v>
      </c>
      <c r="B2858" s="26" t="s">
        <v>4542</v>
      </c>
      <c r="C2858" s="27" t="s">
        <v>521</v>
      </c>
      <c r="D2858" s="27" t="s">
        <v>841</v>
      </c>
      <c r="E2858" s="28">
        <v>40707</v>
      </c>
      <c r="F2858" s="28" t="s">
        <v>35</v>
      </c>
      <c r="G2858" s="28" t="s">
        <v>35</v>
      </c>
      <c r="H2858" s="27" t="s">
        <v>560</v>
      </c>
      <c r="I2858" s="27" t="s">
        <v>560</v>
      </c>
      <c r="J2858" s="29" t="s">
        <v>3957</v>
      </c>
      <c r="K2858" s="29" t="s">
        <v>4470</v>
      </c>
      <c r="L2858" s="29" t="s">
        <v>4537</v>
      </c>
      <c r="M2858" s="29" t="s">
        <v>4200</v>
      </c>
      <c r="N2858" s="29" t="s">
        <v>1434</v>
      </c>
      <c r="O2858" s="29" t="s">
        <v>594</v>
      </c>
    </row>
    <row r="2859" spans="1:15">
      <c r="A2859" s="25">
        <v>11658</v>
      </c>
      <c r="B2859" s="26" t="s">
        <v>4543</v>
      </c>
      <c r="C2859" s="27" t="s">
        <v>521</v>
      </c>
      <c r="D2859" s="27" t="s">
        <v>675</v>
      </c>
      <c r="E2859" s="28">
        <v>40714</v>
      </c>
      <c r="F2859" s="28" t="s">
        <v>35</v>
      </c>
      <c r="G2859" s="28" t="s">
        <v>35</v>
      </c>
      <c r="H2859" s="29" t="s">
        <v>560</v>
      </c>
      <c r="I2859" s="29" t="s">
        <v>560</v>
      </c>
      <c r="J2859" s="29" t="s">
        <v>3957</v>
      </c>
      <c r="K2859" s="29" t="s">
        <v>4470</v>
      </c>
      <c r="L2859" s="29" t="s">
        <v>4537</v>
      </c>
      <c r="M2859" s="29" t="s">
        <v>4544</v>
      </c>
      <c r="N2859" s="29" t="s">
        <v>2041</v>
      </c>
      <c r="O2859" s="29" t="s">
        <v>594</v>
      </c>
    </row>
    <row r="2860" spans="1:15">
      <c r="A2860" s="25">
        <v>11938</v>
      </c>
      <c r="B2860" s="34" t="s">
        <v>4077</v>
      </c>
      <c r="C2860" s="31" t="s">
        <v>521</v>
      </c>
      <c r="D2860" s="31" t="s">
        <v>699</v>
      </c>
      <c r="E2860" s="28">
        <v>40770</v>
      </c>
      <c r="F2860" s="28" t="s">
        <v>35</v>
      </c>
      <c r="G2860" s="28" t="s">
        <v>35</v>
      </c>
      <c r="H2860" s="29" t="s">
        <v>560</v>
      </c>
      <c r="I2860" s="29" t="s">
        <v>560</v>
      </c>
      <c r="J2860" s="29" t="s">
        <v>3957</v>
      </c>
      <c r="K2860" s="29" t="s">
        <v>4470</v>
      </c>
      <c r="L2860" s="29" t="s">
        <v>4537</v>
      </c>
      <c r="M2860" s="29" t="s">
        <v>4528</v>
      </c>
      <c r="N2860" s="29" t="s">
        <v>1434</v>
      </c>
      <c r="O2860" s="29" t="s">
        <v>594</v>
      </c>
    </row>
    <row r="2861" spans="1:15">
      <c r="A2861" s="25">
        <v>12418</v>
      </c>
      <c r="B2861" s="34" t="s">
        <v>4545</v>
      </c>
      <c r="C2861" s="31" t="s">
        <v>521</v>
      </c>
      <c r="D2861" s="27" t="s">
        <v>722</v>
      </c>
      <c r="E2861" s="28">
        <v>40812</v>
      </c>
      <c r="F2861" s="28" t="s">
        <v>35</v>
      </c>
      <c r="G2861" s="28" t="s">
        <v>35</v>
      </c>
      <c r="H2861" s="31" t="s">
        <v>560</v>
      </c>
      <c r="I2861" s="31" t="s">
        <v>560</v>
      </c>
      <c r="J2861" s="29" t="s">
        <v>3957</v>
      </c>
      <c r="K2861" s="29" t="s">
        <v>4470</v>
      </c>
      <c r="L2861" s="29" t="s">
        <v>4537</v>
      </c>
      <c r="M2861" s="29" t="s">
        <v>4538</v>
      </c>
      <c r="N2861" s="29" t="s">
        <v>1434</v>
      </c>
      <c r="O2861" s="29" t="s">
        <v>594</v>
      </c>
    </row>
    <row r="2862" spans="1:15">
      <c r="A2862" s="25">
        <v>12485</v>
      </c>
      <c r="B2862" s="34" t="s">
        <v>4546</v>
      </c>
      <c r="C2862" s="31" t="s">
        <v>521</v>
      </c>
      <c r="D2862" s="27" t="s">
        <v>722</v>
      </c>
      <c r="E2862" s="28">
        <v>40812</v>
      </c>
      <c r="F2862" s="28" t="s">
        <v>35</v>
      </c>
      <c r="G2862" s="28" t="s">
        <v>35</v>
      </c>
      <c r="H2862" s="31" t="s">
        <v>560</v>
      </c>
      <c r="I2862" s="31" t="s">
        <v>560</v>
      </c>
      <c r="J2862" s="29" t="s">
        <v>3957</v>
      </c>
      <c r="K2862" s="29" t="s">
        <v>4470</v>
      </c>
      <c r="L2862" s="29" t="s">
        <v>4537</v>
      </c>
      <c r="M2862" s="29" t="s">
        <v>4513</v>
      </c>
      <c r="N2862" s="29" t="s">
        <v>1434</v>
      </c>
      <c r="O2862" s="29" t="s">
        <v>594</v>
      </c>
    </row>
    <row r="2863" spans="1:15">
      <c r="A2863" s="25">
        <v>12509</v>
      </c>
      <c r="B2863" s="34" t="s">
        <v>99</v>
      </c>
      <c r="C2863" s="31" t="s">
        <v>521</v>
      </c>
      <c r="D2863" s="27" t="s">
        <v>722</v>
      </c>
      <c r="E2863" s="28">
        <v>40812</v>
      </c>
      <c r="F2863" s="28" t="s">
        <v>35</v>
      </c>
      <c r="G2863" s="28" t="s">
        <v>35</v>
      </c>
      <c r="H2863" s="31" t="s">
        <v>560</v>
      </c>
      <c r="I2863" s="31" t="s">
        <v>560</v>
      </c>
      <c r="J2863" s="29" t="s">
        <v>3957</v>
      </c>
      <c r="K2863" s="29" t="s">
        <v>4470</v>
      </c>
      <c r="L2863" s="29" t="s">
        <v>4537</v>
      </c>
      <c r="M2863" s="29" t="s">
        <v>4206</v>
      </c>
      <c r="N2863" s="29" t="s">
        <v>2023</v>
      </c>
      <c r="O2863" s="29" t="s">
        <v>594</v>
      </c>
    </row>
    <row r="2864" spans="1:15">
      <c r="A2864" s="25">
        <v>12561</v>
      </c>
      <c r="B2864" s="34" t="s">
        <v>4547</v>
      </c>
      <c r="C2864" s="31" t="s">
        <v>521</v>
      </c>
      <c r="D2864" s="27" t="s">
        <v>722</v>
      </c>
      <c r="E2864" s="28">
        <v>40812</v>
      </c>
      <c r="F2864" s="28" t="s">
        <v>35</v>
      </c>
      <c r="G2864" s="28" t="s">
        <v>35</v>
      </c>
      <c r="H2864" s="31" t="s">
        <v>560</v>
      </c>
      <c r="I2864" s="31" t="s">
        <v>560</v>
      </c>
      <c r="J2864" s="29" t="s">
        <v>3957</v>
      </c>
      <c r="K2864" s="29" t="s">
        <v>4470</v>
      </c>
      <c r="L2864" s="29" t="s">
        <v>4537</v>
      </c>
      <c r="M2864" s="29" t="s">
        <v>2025</v>
      </c>
      <c r="N2864" s="29" t="s">
        <v>2026</v>
      </c>
      <c r="O2864" s="29" t="s">
        <v>594</v>
      </c>
    </row>
    <row r="2865" spans="1:15">
      <c r="A2865" s="25">
        <v>12596</v>
      </c>
      <c r="B2865" s="33" t="s">
        <v>4548</v>
      </c>
      <c r="C2865" s="27" t="s">
        <v>521</v>
      </c>
      <c r="D2865" s="27" t="s">
        <v>858</v>
      </c>
      <c r="E2865" s="28">
        <v>40816</v>
      </c>
      <c r="F2865" s="28" t="s">
        <v>35</v>
      </c>
      <c r="G2865" s="28" t="s">
        <v>35</v>
      </c>
      <c r="H2865" s="31" t="s">
        <v>560</v>
      </c>
      <c r="I2865" s="31" t="s">
        <v>560</v>
      </c>
      <c r="J2865" s="29" t="s">
        <v>3957</v>
      </c>
      <c r="K2865" s="29" t="s">
        <v>4470</v>
      </c>
      <c r="L2865" s="29" t="s">
        <v>4537</v>
      </c>
      <c r="M2865" s="29" t="s">
        <v>4549</v>
      </c>
      <c r="N2865" s="29" t="s">
        <v>1434</v>
      </c>
      <c r="O2865" s="29" t="s">
        <v>594</v>
      </c>
    </row>
    <row r="2866" spans="1:15">
      <c r="A2866" s="25">
        <v>13049</v>
      </c>
      <c r="B2866" s="26" t="s">
        <v>3495</v>
      </c>
      <c r="C2866" s="27" t="s">
        <v>521</v>
      </c>
      <c r="D2866" s="27" t="s">
        <v>785</v>
      </c>
      <c r="E2866" s="28">
        <v>40844</v>
      </c>
      <c r="F2866" s="28" t="s">
        <v>35</v>
      </c>
      <c r="G2866" s="28" t="s">
        <v>35</v>
      </c>
      <c r="H2866" s="27" t="s">
        <v>560</v>
      </c>
      <c r="I2866" s="27" t="s">
        <v>560</v>
      </c>
      <c r="J2866" s="29" t="s">
        <v>3957</v>
      </c>
      <c r="K2866" s="29" t="s">
        <v>4470</v>
      </c>
      <c r="L2866" s="29" t="s">
        <v>4537</v>
      </c>
      <c r="M2866" s="29" t="s">
        <v>4550</v>
      </c>
      <c r="N2866" s="29" t="s">
        <v>1434</v>
      </c>
      <c r="O2866" s="29" t="s">
        <v>594</v>
      </c>
    </row>
    <row r="2867" spans="1:15">
      <c r="A2867" s="25">
        <v>14434</v>
      </c>
      <c r="B2867" s="34" t="s">
        <v>4551</v>
      </c>
      <c r="C2867" s="31" t="s">
        <v>521</v>
      </c>
      <c r="D2867" s="31" t="s">
        <v>801</v>
      </c>
      <c r="E2867" s="28">
        <v>41390</v>
      </c>
      <c r="F2867" s="28" t="s">
        <v>35</v>
      </c>
      <c r="G2867" s="28" t="s">
        <v>35</v>
      </c>
      <c r="H2867" s="29" t="s">
        <v>560</v>
      </c>
      <c r="I2867" s="29" t="s">
        <v>560</v>
      </c>
      <c r="J2867" s="29" t="s">
        <v>3957</v>
      </c>
      <c r="K2867" s="29" t="s">
        <v>4470</v>
      </c>
      <c r="L2867" s="29" t="s">
        <v>4537</v>
      </c>
      <c r="M2867" s="29" t="s">
        <v>4538</v>
      </c>
      <c r="N2867" s="29" t="s">
        <v>1434</v>
      </c>
      <c r="O2867" s="29" t="s">
        <v>594</v>
      </c>
    </row>
    <row r="2868" spans="1:15">
      <c r="A2868" s="25">
        <v>15746</v>
      </c>
      <c r="B2868" s="26" t="s">
        <v>4552</v>
      </c>
      <c r="C2868" s="27" t="s">
        <v>521</v>
      </c>
      <c r="D2868" s="27" t="s">
        <v>4553</v>
      </c>
      <c r="E2868" s="28">
        <v>41526</v>
      </c>
      <c r="F2868" s="28" t="s">
        <v>35</v>
      </c>
      <c r="G2868" s="28" t="s">
        <v>35</v>
      </c>
      <c r="H2868" s="29" t="s">
        <v>560</v>
      </c>
      <c r="I2868" s="29" t="s">
        <v>560</v>
      </c>
      <c r="J2868" s="29" t="s">
        <v>3957</v>
      </c>
      <c r="K2868" s="29" t="s">
        <v>4470</v>
      </c>
      <c r="L2868" s="29" t="s">
        <v>4537</v>
      </c>
      <c r="M2868" s="29" t="s">
        <v>4206</v>
      </c>
      <c r="N2868" s="29" t="s">
        <v>2023</v>
      </c>
      <c r="O2868" s="29" t="s">
        <v>594</v>
      </c>
    </row>
    <row r="2869" spans="1:15">
      <c r="A2869" s="25">
        <v>17149</v>
      </c>
      <c r="B2869" s="34" t="s">
        <v>4554</v>
      </c>
      <c r="C2869" s="31" t="s">
        <v>521</v>
      </c>
      <c r="D2869" s="31" t="s">
        <v>4555</v>
      </c>
      <c r="E2869" s="28">
        <v>41758</v>
      </c>
      <c r="F2869" s="28" t="s">
        <v>35</v>
      </c>
      <c r="G2869" s="28" t="s">
        <v>35</v>
      </c>
      <c r="H2869" s="29" t="s">
        <v>560</v>
      </c>
      <c r="I2869" s="29" t="s">
        <v>560</v>
      </c>
      <c r="J2869" s="29" t="s">
        <v>3957</v>
      </c>
      <c r="K2869" s="29" t="s">
        <v>4470</v>
      </c>
      <c r="L2869" s="29" t="s">
        <v>4537</v>
      </c>
      <c r="M2869" s="29" t="s">
        <v>4556</v>
      </c>
      <c r="N2869" s="29" t="s">
        <v>1434</v>
      </c>
      <c r="O2869" s="29" t="s">
        <v>594</v>
      </c>
    </row>
    <row r="2870" spans="1:15">
      <c r="A2870" s="25">
        <v>22998</v>
      </c>
      <c r="B2870" s="34" t="s">
        <v>4557</v>
      </c>
      <c r="C2870" s="31" t="s">
        <v>521</v>
      </c>
      <c r="D2870" s="31" t="s">
        <v>1872</v>
      </c>
      <c r="E2870" s="28">
        <v>43361</v>
      </c>
      <c r="F2870" s="28">
        <v>43391</v>
      </c>
      <c r="G2870" s="28">
        <v>43769</v>
      </c>
      <c r="H2870" s="29" t="s">
        <v>560</v>
      </c>
      <c r="I2870" s="29" t="s">
        <v>560</v>
      </c>
      <c r="J2870" s="29" t="s">
        <v>3957</v>
      </c>
      <c r="K2870" s="29" t="s">
        <v>4470</v>
      </c>
      <c r="L2870" s="29" t="s">
        <v>4537</v>
      </c>
      <c r="M2870" s="29" t="s">
        <v>4538</v>
      </c>
      <c r="N2870" s="29" t="s">
        <v>1434</v>
      </c>
      <c r="O2870" s="29" t="s">
        <v>594</v>
      </c>
    </row>
    <row r="2871" spans="1:15">
      <c r="A2871" s="25">
        <v>23085</v>
      </c>
      <c r="B2871" s="34" t="s">
        <v>4558</v>
      </c>
      <c r="C2871" s="31" t="s">
        <v>521</v>
      </c>
      <c r="D2871" s="31" t="s">
        <v>1872</v>
      </c>
      <c r="E2871" s="28">
        <v>43361</v>
      </c>
      <c r="F2871" s="28">
        <v>43391</v>
      </c>
      <c r="G2871" s="28">
        <v>43769</v>
      </c>
      <c r="H2871" s="29" t="s">
        <v>560</v>
      </c>
      <c r="I2871" s="29" t="s">
        <v>560</v>
      </c>
      <c r="J2871" s="29" t="s">
        <v>3957</v>
      </c>
      <c r="K2871" s="29" t="s">
        <v>4470</v>
      </c>
      <c r="L2871" s="29" t="s">
        <v>4537</v>
      </c>
      <c r="M2871" s="29" t="s">
        <v>2079</v>
      </c>
      <c r="N2871" s="29" t="s">
        <v>2080</v>
      </c>
      <c r="O2871" s="29" t="s">
        <v>594</v>
      </c>
    </row>
    <row r="2872" spans="1:15">
      <c r="A2872" s="25">
        <v>10036</v>
      </c>
      <c r="B2872" s="26" t="s">
        <v>4559</v>
      </c>
      <c r="C2872" s="27" t="s">
        <v>521</v>
      </c>
      <c r="D2872" s="27" t="s">
        <v>762</v>
      </c>
      <c r="E2872" s="28">
        <v>40438</v>
      </c>
      <c r="F2872" s="28" t="s">
        <v>35</v>
      </c>
      <c r="G2872" s="28" t="s">
        <v>35</v>
      </c>
      <c r="H2872" s="27" t="s">
        <v>560</v>
      </c>
      <c r="I2872" s="27" t="s">
        <v>560</v>
      </c>
      <c r="J2872" s="29" t="s">
        <v>3957</v>
      </c>
      <c r="K2872" s="29" t="s">
        <v>4470</v>
      </c>
      <c r="L2872" s="29" t="s">
        <v>4537</v>
      </c>
      <c r="M2872" s="29" t="s">
        <v>4500</v>
      </c>
      <c r="N2872" s="29" t="s">
        <v>2041</v>
      </c>
      <c r="O2872" s="29" t="s">
        <v>590</v>
      </c>
    </row>
    <row r="2873" spans="1:15">
      <c r="A2873" s="25">
        <v>11602</v>
      </c>
      <c r="B2873" s="34" t="s">
        <v>4560</v>
      </c>
      <c r="C2873" s="31" t="s">
        <v>521</v>
      </c>
      <c r="D2873" s="31" t="s">
        <v>841</v>
      </c>
      <c r="E2873" s="28">
        <v>40707</v>
      </c>
      <c r="F2873" s="28" t="s">
        <v>35</v>
      </c>
      <c r="G2873" s="28" t="s">
        <v>35</v>
      </c>
      <c r="H2873" s="29" t="s">
        <v>560</v>
      </c>
      <c r="I2873" s="29" t="s">
        <v>560</v>
      </c>
      <c r="J2873" s="29" t="s">
        <v>3957</v>
      </c>
      <c r="K2873" s="29" t="s">
        <v>4470</v>
      </c>
      <c r="L2873" s="29" t="s">
        <v>4537</v>
      </c>
      <c r="M2873" s="29" t="s">
        <v>4523</v>
      </c>
      <c r="N2873" s="29" t="s">
        <v>1434</v>
      </c>
      <c r="O2873" s="29" t="s">
        <v>590</v>
      </c>
    </row>
    <row r="2874" spans="1:15">
      <c r="A2874" s="25">
        <v>11913</v>
      </c>
      <c r="B2874" s="34" t="s">
        <v>4561</v>
      </c>
      <c r="C2874" s="31" t="s">
        <v>521</v>
      </c>
      <c r="D2874" s="31" t="s">
        <v>699</v>
      </c>
      <c r="E2874" s="28">
        <v>40770</v>
      </c>
      <c r="F2874" s="28" t="s">
        <v>35</v>
      </c>
      <c r="G2874" s="28" t="s">
        <v>35</v>
      </c>
      <c r="H2874" s="29" t="s">
        <v>560</v>
      </c>
      <c r="I2874" s="29" t="s">
        <v>560</v>
      </c>
      <c r="J2874" s="29" t="s">
        <v>3957</v>
      </c>
      <c r="K2874" s="29" t="s">
        <v>4470</v>
      </c>
      <c r="L2874" s="29" t="s">
        <v>4537</v>
      </c>
      <c r="M2874" s="29" t="s">
        <v>4477</v>
      </c>
      <c r="N2874" s="29" t="s">
        <v>2041</v>
      </c>
      <c r="O2874" s="29" t="s">
        <v>590</v>
      </c>
    </row>
    <row r="2875" spans="1:15">
      <c r="A2875" s="25">
        <v>12266</v>
      </c>
      <c r="B2875" s="34" t="s">
        <v>4562</v>
      </c>
      <c r="C2875" s="31" t="s">
        <v>521</v>
      </c>
      <c r="D2875" s="27" t="s">
        <v>817</v>
      </c>
      <c r="E2875" s="28">
        <v>40805</v>
      </c>
      <c r="F2875" s="28" t="s">
        <v>35</v>
      </c>
      <c r="G2875" s="28" t="s">
        <v>35</v>
      </c>
      <c r="H2875" s="31" t="s">
        <v>560</v>
      </c>
      <c r="I2875" s="31" t="s">
        <v>560</v>
      </c>
      <c r="J2875" s="29" t="s">
        <v>3957</v>
      </c>
      <c r="K2875" s="29" t="s">
        <v>4470</v>
      </c>
      <c r="L2875" s="29" t="s">
        <v>4537</v>
      </c>
      <c r="M2875" s="29" t="s">
        <v>4563</v>
      </c>
      <c r="N2875" s="29" t="s">
        <v>1434</v>
      </c>
      <c r="O2875" s="29" t="s">
        <v>590</v>
      </c>
    </row>
    <row r="2876" spans="1:15">
      <c r="A2876" s="25">
        <v>14537</v>
      </c>
      <c r="B2876" s="34" t="s">
        <v>4564</v>
      </c>
      <c r="C2876" s="31" t="s">
        <v>521</v>
      </c>
      <c r="D2876" s="31" t="s">
        <v>870</v>
      </c>
      <c r="E2876" s="28">
        <v>41393</v>
      </c>
      <c r="F2876" s="28" t="s">
        <v>35</v>
      </c>
      <c r="G2876" s="28" t="s">
        <v>35</v>
      </c>
      <c r="H2876" s="29" t="s">
        <v>560</v>
      </c>
      <c r="I2876" s="29" t="s">
        <v>560</v>
      </c>
      <c r="J2876" s="29" t="s">
        <v>3957</v>
      </c>
      <c r="K2876" s="29" t="s">
        <v>4470</v>
      </c>
      <c r="L2876" s="29" t="s">
        <v>4537</v>
      </c>
      <c r="M2876" s="29" t="s">
        <v>2025</v>
      </c>
      <c r="N2876" s="29" t="s">
        <v>2026</v>
      </c>
      <c r="O2876" s="29" t="s">
        <v>590</v>
      </c>
    </row>
    <row r="2877" spans="1:15">
      <c r="A2877" s="25">
        <v>17561</v>
      </c>
      <c r="B2877" s="34" t="s">
        <v>4565</v>
      </c>
      <c r="C2877" s="31" t="s">
        <v>521</v>
      </c>
      <c r="D2877" s="31" t="s">
        <v>3382</v>
      </c>
      <c r="E2877" s="28">
        <v>41781</v>
      </c>
      <c r="F2877" s="28" t="s">
        <v>35</v>
      </c>
      <c r="G2877" s="28" t="s">
        <v>35</v>
      </c>
      <c r="H2877" s="29" t="s">
        <v>560</v>
      </c>
      <c r="I2877" s="29" t="s">
        <v>560</v>
      </c>
      <c r="J2877" s="29" t="s">
        <v>3957</v>
      </c>
      <c r="K2877" s="29" t="s">
        <v>4470</v>
      </c>
      <c r="L2877" s="29" t="s">
        <v>4537</v>
      </c>
      <c r="M2877" s="29" t="s">
        <v>4485</v>
      </c>
      <c r="N2877" s="29" t="s">
        <v>2041</v>
      </c>
      <c r="O2877" s="29" t="s">
        <v>590</v>
      </c>
    </row>
    <row r="2878" spans="1:15">
      <c r="A2878" s="25">
        <v>21260</v>
      </c>
      <c r="B2878" s="26" t="s">
        <v>4566</v>
      </c>
      <c r="C2878" s="27" t="s">
        <v>521</v>
      </c>
      <c r="D2878" s="27" t="s">
        <v>2670</v>
      </c>
      <c r="E2878" s="28">
        <v>42893</v>
      </c>
      <c r="F2878" s="28">
        <v>43374</v>
      </c>
      <c r="G2878" s="28">
        <v>43738</v>
      </c>
      <c r="H2878" s="27" t="s">
        <v>560</v>
      </c>
      <c r="I2878" s="27" t="s">
        <v>560</v>
      </c>
      <c r="J2878" s="29" t="s">
        <v>3957</v>
      </c>
      <c r="K2878" s="29" t="s">
        <v>4470</v>
      </c>
      <c r="L2878" s="29" t="s">
        <v>4537</v>
      </c>
      <c r="M2878" s="29" t="s">
        <v>4498</v>
      </c>
      <c r="N2878" s="29" t="s">
        <v>1434</v>
      </c>
      <c r="O2878" s="29" t="s">
        <v>590</v>
      </c>
    </row>
    <row r="2879" spans="1:15">
      <c r="A2879" s="25">
        <v>21563</v>
      </c>
      <c r="B2879" s="34" t="s">
        <v>4567</v>
      </c>
      <c r="C2879" s="31" t="s">
        <v>521</v>
      </c>
      <c r="D2879" s="31" t="s">
        <v>1760</v>
      </c>
      <c r="E2879" s="28">
        <v>43045</v>
      </c>
      <c r="F2879" s="28">
        <v>43435</v>
      </c>
      <c r="G2879" s="28">
        <v>43799</v>
      </c>
      <c r="H2879" s="29" t="s">
        <v>560</v>
      </c>
      <c r="I2879" s="29" t="s">
        <v>560</v>
      </c>
      <c r="J2879" s="29" t="s">
        <v>3957</v>
      </c>
      <c r="K2879" s="29" t="s">
        <v>4470</v>
      </c>
      <c r="L2879" s="29" t="s">
        <v>4537</v>
      </c>
      <c r="M2879" s="29" t="s">
        <v>4204</v>
      </c>
      <c r="N2879" s="29" t="s">
        <v>2041</v>
      </c>
      <c r="O2879" s="29" t="s">
        <v>590</v>
      </c>
    </row>
    <row r="2880" spans="1:15">
      <c r="A2880" s="25">
        <v>21768</v>
      </c>
      <c r="B2880" s="34" t="s">
        <v>4568</v>
      </c>
      <c r="C2880" s="31" t="s">
        <v>521</v>
      </c>
      <c r="D2880" s="31" t="s">
        <v>1609</v>
      </c>
      <c r="E2880" s="28">
        <v>43090</v>
      </c>
      <c r="F2880" s="28">
        <v>43121</v>
      </c>
      <c r="G2880" s="28">
        <v>43496</v>
      </c>
      <c r="H2880" s="29" t="s">
        <v>560</v>
      </c>
      <c r="I2880" s="29" t="s">
        <v>560</v>
      </c>
      <c r="J2880" s="29" t="s">
        <v>3957</v>
      </c>
      <c r="K2880" s="29" t="s">
        <v>4470</v>
      </c>
      <c r="L2880" s="29" t="s">
        <v>4537</v>
      </c>
      <c r="M2880" s="29" t="s">
        <v>4569</v>
      </c>
      <c r="N2880" s="29" t="s">
        <v>1434</v>
      </c>
      <c r="O2880" s="29" t="s">
        <v>590</v>
      </c>
    </row>
    <row r="2881" spans="1:15">
      <c r="A2881" s="25">
        <v>22169</v>
      </c>
      <c r="B2881" s="34" t="s">
        <v>4570</v>
      </c>
      <c r="C2881" s="31" t="s">
        <v>521</v>
      </c>
      <c r="D2881" s="31" t="s">
        <v>1201</v>
      </c>
      <c r="E2881" s="28">
        <v>43158</v>
      </c>
      <c r="F2881" s="28">
        <v>43186</v>
      </c>
      <c r="G2881" s="28">
        <v>43555</v>
      </c>
      <c r="H2881" s="29" t="s">
        <v>560</v>
      </c>
      <c r="I2881" s="29" t="s">
        <v>560</v>
      </c>
      <c r="J2881" s="29" t="s">
        <v>3957</v>
      </c>
      <c r="K2881" s="29" t="s">
        <v>4470</v>
      </c>
      <c r="L2881" s="29" t="s">
        <v>4537</v>
      </c>
      <c r="M2881" s="29" t="s">
        <v>4571</v>
      </c>
      <c r="N2881" s="29" t="s">
        <v>1434</v>
      </c>
      <c r="O2881" s="29" t="s">
        <v>590</v>
      </c>
    </row>
    <row r="2882" spans="1:15">
      <c r="A2882" s="25">
        <v>22274</v>
      </c>
      <c r="B2882" s="26" t="s">
        <v>4572</v>
      </c>
      <c r="C2882" s="27" t="s">
        <v>521</v>
      </c>
      <c r="D2882" s="27" t="s">
        <v>1191</v>
      </c>
      <c r="E2882" s="28">
        <v>43192</v>
      </c>
      <c r="F2882" s="28">
        <v>43222</v>
      </c>
      <c r="G2882" s="28">
        <v>43585</v>
      </c>
      <c r="H2882" s="27" t="s">
        <v>560</v>
      </c>
      <c r="I2882" s="27" t="s">
        <v>560</v>
      </c>
      <c r="J2882" s="29" t="s">
        <v>3957</v>
      </c>
      <c r="K2882" s="29" t="s">
        <v>4470</v>
      </c>
      <c r="L2882" s="29" t="s">
        <v>4537</v>
      </c>
      <c r="M2882" s="29" t="s">
        <v>1566</v>
      </c>
      <c r="N2882" s="29" t="s">
        <v>1434</v>
      </c>
      <c r="O2882" s="29" t="s">
        <v>590</v>
      </c>
    </row>
    <row r="2883" spans="1:15">
      <c r="A2883" s="25">
        <v>22278</v>
      </c>
      <c r="B2883" s="34" t="s">
        <v>4573</v>
      </c>
      <c r="C2883" s="31" t="s">
        <v>521</v>
      </c>
      <c r="D2883" s="31" t="s">
        <v>1191</v>
      </c>
      <c r="E2883" s="28">
        <v>43192</v>
      </c>
      <c r="F2883" s="28">
        <v>43222</v>
      </c>
      <c r="G2883" s="28">
        <v>43585</v>
      </c>
      <c r="H2883" s="29" t="s">
        <v>560</v>
      </c>
      <c r="I2883" s="29" t="s">
        <v>560</v>
      </c>
      <c r="J2883" s="29" t="s">
        <v>3957</v>
      </c>
      <c r="K2883" s="29" t="s">
        <v>4470</v>
      </c>
      <c r="L2883" s="29" t="s">
        <v>4537</v>
      </c>
      <c r="M2883" s="29" t="s">
        <v>2328</v>
      </c>
      <c r="N2883" s="29" t="s">
        <v>2080</v>
      </c>
      <c r="O2883" s="29" t="s">
        <v>590</v>
      </c>
    </row>
    <row r="2884" spans="1:15">
      <c r="A2884" s="25">
        <v>22308</v>
      </c>
      <c r="B2884" s="26" t="s">
        <v>4574</v>
      </c>
      <c r="C2884" s="27" t="s">
        <v>521</v>
      </c>
      <c r="D2884" s="27" t="s">
        <v>1191</v>
      </c>
      <c r="E2884" s="28">
        <v>43192</v>
      </c>
      <c r="F2884" s="28">
        <v>43222</v>
      </c>
      <c r="G2884" s="28">
        <v>43585</v>
      </c>
      <c r="H2884" s="27" t="s">
        <v>560</v>
      </c>
      <c r="I2884" s="27" t="s">
        <v>560</v>
      </c>
      <c r="J2884" s="29" t="s">
        <v>3957</v>
      </c>
      <c r="K2884" s="29" t="s">
        <v>4470</v>
      </c>
      <c r="L2884" s="29" t="s">
        <v>4537</v>
      </c>
      <c r="M2884" s="29" t="s">
        <v>4528</v>
      </c>
      <c r="N2884" s="29" t="s">
        <v>1434</v>
      </c>
      <c r="O2884" s="29" t="s">
        <v>590</v>
      </c>
    </row>
    <row r="2885" spans="1:15">
      <c r="A2885" s="25">
        <v>22424</v>
      </c>
      <c r="B2885" s="34" t="s">
        <v>4575</v>
      </c>
      <c r="C2885" s="31" t="s">
        <v>521</v>
      </c>
      <c r="D2885" s="31" t="s">
        <v>805</v>
      </c>
      <c r="E2885" s="28">
        <v>43213</v>
      </c>
      <c r="F2885" s="28">
        <v>43243</v>
      </c>
      <c r="G2885" s="28">
        <v>43616</v>
      </c>
      <c r="H2885" s="29" t="s">
        <v>560</v>
      </c>
      <c r="I2885" s="29" t="s">
        <v>560</v>
      </c>
      <c r="J2885" s="29" t="s">
        <v>3957</v>
      </c>
      <c r="K2885" s="29" t="s">
        <v>4470</v>
      </c>
      <c r="L2885" s="29" t="s">
        <v>4537</v>
      </c>
      <c r="M2885" s="29" t="s">
        <v>4576</v>
      </c>
      <c r="N2885" s="29" t="s">
        <v>1434</v>
      </c>
      <c r="O2885" s="29" t="s">
        <v>590</v>
      </c>
    </row>
    <row r="2886" spans="1:15">
      <c r="A2886" s="25">
        <v>22564</v>
      </c>
      <c r="B2886" s="34" t="s">
        <v>4577</v>
      </c>
      <c r="C2886" s="31" t="s">
        <v>521</v>
      </c>
      <c r="D2886" s="31" t="s">
        <v>773</v>
      </c>
      <c r="E2886" s="28">
        <v>43224</v>
      </c>
      <c r="F2886" s="28">
        <v>43255</v>
      </c>
      <c r="G2886" s="28">
        <v>43616</v>
      </c>
      <c r="H2886" s="29" t="s">
        <v>560</v>
      </c>
      <c r="I2886" s="29" t="s">
        <v>560</v>
      </c>
      <c r="J2886" s="29" t="s">
        <v>3957</v>
      </c>
      <c r="K2886" s="29" t="s">
        <v>4470</v>
      </c>
      <c r="L2886" s="29" t="s">
        <v>4537</v>
      </c>
      <c r="M2886" s="29" t="s">
        <v>4578</v>
      </c>
      <c r="N2886" s="29" t="s">
        <v>1434</v>
      </c>
      <c r="O2886" s="29" t="s">
        <v>590</v>
      </c>
    </row>
    <row r="2887" spans="1:15">
      <c r="A2887" s="25">
        <v>22776</v>
      </c>
      <c r="B2887" s="34" t="s">
        <v>4579</v>
      </c>
      <c r="C2887" s="31" t="s">
        <v>521</v>
      </c>
      <c r="D2887" s="31" t="s">
        <v>771</v>
      </c>
      <c r="E2887" s="28">
        <v>43255</v>
      </c>
      <c r="F2887" s="28">
        <v>43285</v>
      </c>
      <c r="G2887" s="28">
        <v>43646</v>
      </c>
      <c r="H2887" s="29" t="s">
        <v>560</v>
      </c>
      <c r="I2887" s="29" t="s">
        <v>560</v>
      </c>
      <c r="J2887" s="29" t="s">
        <v>3957</v>
      </c>
      <c r="K2887" s="29" t="s">
        <v>4470</v>
      </c>
      <c r="L2887" s="29" t="s">
        <v>4537</v>
      </c>
      <c r="M2887" s="29" t="s">
        <v>4580</v>
      </c>
      <c r="N2887" s="29" t="s">
        <v>1434</v>
      </c>
      <c r="O2887" s="29" t="s">
        <v>590</v>
      </c>
    </row>
    <row r="2888" spans="1:15">
      <c r="A2888" s="25">
        <v>23027</v>
      </c>
      <c r="B2888" s="34" t="s">
        <v>4581</v>
      </c>
      <c r="C2888" s="31" t="s">
        <v>521</v>
      </c>
      <c r="D2888" s="31" t="s">
        <v>1872</v>
      </c>
      <c r="E2888" s="28">
        <v>43361</v>
      </c>
      <c r="F2888" s="28">
        <v>43391</v>
      </c>
      <c r="G2888" s="28">
        <v>43769</v>
      </c>
      <c r="H2888" s="29" t="s">
        <v>560</v>
      </c>
      <c r="I2888" s="29" t="s">
        <v>560</v>
      </c>
      <c r="J2888" s="29" t="s">
        <v>3957</v>
      </c>
      <c r="K2888" s="29" t="s">
        <v>4470</v>
      </c>
      <c r="L2888" s="29" t="s">
        <v>4537</v>
      </c>
      <c r="M2888" s="29" t="s">
        <v>4538</v>
      </c>
      <c r="N2888" s="29" t="s">
        <v>1434</v>
      </c>
      <c r="O2888" s="29" t="s">
        <v>590</v>
      </c>
    </row>
    <row r="2889" spans="1:15">
      <c r="A2889" s="25">
        <v>23355</v>
      </c>
      <c r="B2889" s="34" t="s">
        <v>4582</v>
      </c>
      <c r="C2889" s="31" t="s">
        <v>521</v>
      </c>
      <c r="D2889" s="31" t="s">
        <v>1527</v>
      </c>
      <c r="E2889" s="28">
        <v>43427</v>
      </c>
      <c r="F2889" s="28">
        <v>43457</v>
      </c>
      <c r="G2889" s="28">
        <v>43830</v>
      </c>
      <c r="H2889" s="29" t="s">
        <v>560</v>
      </c>
      <c r="I2889" s="29" t="s">
        <v>560</v>
      </c>
      <c r="J2889" s="29" t="s">
        <v>3957</v>
      </c>
      <c r="K2889" s="29" t="s">
        <v>4470</v>
      </c>
      <c r="L2889" s="29" t="s">
        <v>4537</v>
      </c>
      <c r="M2889" s="29" t="s">
        <v>2206</v>
      </c>
      <c r="N2889" s="29" t="s">
        <v>1586</v>
      </c>
      <c r="O2889" s="29" t="s">
        <v>590</v>
      </c>
    </row>
    <row r="2890" spans="1:15">
      <c r="A2890" s="25" t="s">
        <v>4583</v>
      </c>
      <c r="B2890" s="26" t="s">
        <v>4584</v>
      </c>
      <c r="C2890" s="27" t="s">
        <v>521</v>
      </c>
      <c r="D2890" s="27" t="s">
        <v>1706</v>
      </c>
      <c r="E2890" s="28">
        <v>41435</v>
      </c>
      <c r="F2890" s="28" t="s">
        <v>35</v>
      </c>
      <c r="G2890" s="28" t="s">
        <v>35</v>
      </c>
      <c r="H2890" s="29" t="s">
        <v>560</v>
      </c>
      <c r="I2890" s="29" t="s">
        <v>560</v>
      </c>
      <c r="J2890" s="29" t="s">
        <v>3957</v>
      </c>
      <c r="K2890" s="29" t="s">
        <v>4470</v>
      </c>
      <c r="L2890" s="29" t="s">
        <v>4537</v>
      </c>
      <c r="M2890" s="29" t="s">
        <v>4206</v>
      </c>
      <c r="N2890" s="29" t="s">
        <v>2031</v>
      </c>
      <c r="O2890" s="29" t="s">
        <v>590</v>
      </c>
    </row>
    <row r="2891" spans="1:15">
      <c r="A2891" s="25" t="s">
        <v>4585</v>
      </c>
      <c r="B2891" s="34" t="s">
        <v>1707</v>
      </c>
      <c r="C2891" s="31" t="s">
        <v>521</v>
      </c>
      <c r="D2891" s="31" t="s">
        <v>4586</v>
      </c>
      <c r="E2891" s="28">
        <v>41654</v>
      </c>
      <c r="F2891" s="28" t="s">
        <v>35</v>
      </c>
      <c r="G2891" s="28" t="s">
        <v>35</v>
      </c>
      <c r="H2891" s="29" t="s">
        <v>560</v>
      </c>
      <c r="I2891" s="29" t="s">
        <v>560</v>
      </c>
      <c r="J2891" s="29" t="s">
        <v>3957</v>
      </c>
      <c r="K2891" s="29" t="s">
        <v>4470</v>
      </c>
      <c r="L2891" s="29" t="s">
        <v>4537</v>
      </c>
      <c r="M2891" s="29" t="s">
        <v>4195</v>
      </c>
      <c r="N2891" s="29" t="s">
        <v>2031</v>
      </c>
      <c r="O2891" s="29" t="s">
        <v>590</v>
      </c>
    </row>
    <row r="2892" spans="1:15">
      <c r="A2892" s="25">
        <v>23545</v>
      </c>
      <c r="B2892" s="34" t="s">
        <v>4587</v>
      </c>
      <c r="C2892" s="31" t="s">
        <v>521</v>
      </c>
      <c r="D2892" s="31" t="s">
        <v>884</v>
      </c>
      <c r="E2892" s="28">
        <v>43452</v>
      </c>
      <c r="F2892" s="28">
        <v>43483</v>
      </c>
      <c r="G2892" s="28">
        <v>43861</v>
      </c>
      <c r="H2892" s="29" t="s">
        <v>560</v>
      </c>
      <c r="I2892" s="29" t="s">
        <v>560</v>
      </c>
      <c r="J2892" s="29" t="s">
        <v>3957</v>
      </c>
      <c r="K2892" s="29" t="s">
        <v>4470</v>
      </c>
      <c r="L2892" s="29" t="s">
        <v>4537</v>
      </c>
      <c r="M2892" s="29" t="s">
        <v>4534</v>
      </c>
      <c r="N2892" s="29" t="s">
        <v>1586</v>
      </c>
      <c r="O2892" s="29" t="s">
        <v>590</v>
      </c>
    </row>
    <row r="2893" spans="1:15">
      <c r="A2893" s="25">
        <v>1107</v>
      </c>
      <c r="B2893" s="26" t="s">
        <v>461</v>
      </c>
      <c r="C2893" s="27" t="s">
        <v>521</v>
      </c>
      <c r="D2893" s="27" t="s">
        <v>1411</v>
      </c>
      <c r="E2893" s="28">
        <v>37887</v>
      </c>
      <c r="F2893" s="28" t="s">
        <v>35</v>
      </c>
      <c r="G2893" s="28" t="s">
        <v>35</v>
      </c>
      <c r="H2893" s="27" t="s">
        <v>560</v>
      </c>
      <c r="I2893" s="27" t="s">
        <v>560</v>
      </c>
      <c r="J2893" s="27" t="s">
        <v>525</v>
      </c>
      <c r="K2893" s="27" t="s">
        <v>525</v>
      </c>
      <c r="L2893" s="29" t="s">
        <v>4588</v>
      </c>
      <c r="M2893" s="29" t="s">
        <v>4589</v>
      </c>
      <c r="N2893" s="29" t="s">
        <v>1518</v>
      </c>
      <c r="O2893" s="29" t="s">
        <v>528</v>
      </c>
    </row>
    <row r="2894" spans="1:15">
      <c r="A2894" s="25">
        <v>5428</v>
      </c>
      <c r="B2894" s="26" t="s">
        <v>4590</v>
      </c>
      <c r="C2894" s="27" t="s">
        <v>521</v>
      </c>
      <c r="D2894" s="27" t="s">
        <v>760</v>
      </c>
      <c r="E2894" s="28">
        <v>38991</v>
      </c>
      <c r="F2894" s="28" t="s">
        <v>35</v>
      </c>
      <c r="G2894" s="28" t="s">
        <v>35</v>
      </c>
      <c r="H2894" s="27" t="s">
        <v>560</v>
      </c>
      <c r="I2894" s="27" t="s">
        <v>560</v>
      </c>
      <c r="J2894" s="29" t="s">
        <v>525</v>
      </c>
      <c r="K2894" s="29" t="s">
        <v>525</v>
      </c>
      <c r="L2894" s="29" t="s">
        <v>4588</v>
      </c>
      <c r="M2894" s="29" t="s">
        <v>4591</v>
      </c>
      <c r="N2894" s="29" t="s">
        <v>1511</v>
      </c>
      <c r="O2894" s="29" t="s">
        <v>528</v>
      </c>
    </row>
    <row r="2895" spans="1:15">
      <c r="A2895" s="25">
        <v>5888</v>
      </c>
      <c r="B2895" s="26" t="s">
        <v>4592</v>
      </c>
      <c r="C2895" s="27" t="s">
        <v>521</v>
      </c>
      <c r="D2895" s="27" t="s">
        <v>713</v>
      </c>
      <c r="E2895" s="28">
        <v>39129</v>
      </c>
      <c r="F2895" s="28" t="s">
        <v>35</v>
      </c>
      <c r="G2895" s="28" t="s">
        <v>35</v>
      </c>
      <c r="H2895" s="27" t="s">
        <v>560</v>
      </c>
      <c r="I2895" s="27" t="s">
        <v>560</v>
      </c>
      <c r="J2895" s="29" t="s">
        <v>525</v>
      </c>
      <c r="K2895" s="29" t="s">
        <v>525</v>
      </c>
      <c r="L2895" s="29" t="s">
        <v>4588</v>
      </c>
      <c r="M2895" s="29" t="s">
        <v>4593</v>
      </c>
      <c r="N2895" s="29" t="s">
        <v>1525</v>
      </c>
      <c r="O2895" s="29" t="s">
        <v>528</v>
      </c>
    </row>
    <row r="2896" spans="1:15">
      <c r="A2896" s="25">
        <v>8828</v>
      </c>
      <c r="B2896" s="26" t="s">
        <v>4594</v>
      </c>
      <c r="C2896" s="27" t="s">
        <v>521</v>
      </c>
      <c r="D2896" s="27" t="s">
        <v>813</v>
      </c>
      <c r="E2896" s="28">
        <v>39937</v>
      </c>
      <c r="F2896" s="28" t="s">
        <v>35</v>
      </c>
      <c r="G2896" s="28" t="s">
        <v>35</v>
      </c>
      <c r="H2896" s="27" t="s">
        <v>560</v>
      </c>
      <c r="I2896" s="27" t="s">
        <v>560</v>
      </c>
      <c r="J2896" s="29" t="s">
        <v>525</v>
      </c>
      <c r="K2896" s="29" t="s">
        <v>525</v>
      </c>
      <c r="L2896" s="29" t="s">
        <v>4588</v>
      </c>
      <c r="M2896" s="29" t="s">
        <v>4595</v>
      </c>
      <c r="N2896" s="29" t="s">
        <v>1045</v>
      </c>
      <c r="O2896" s="29" t="s">
        <v>528</v>
      </c>
    </row>
    <row r="2897" spans="1:15">
      <c r="A2897" s="25">
        <v>12500</v>
      </c>
      <c r="B2897" s="26" t="s">
        <v>411</v>
      </c>
      <c r="C2897" s="27" t="s">
        <v>521</v>
      </c>
      <c r="D2897" s="27" t="s">
        <v>722</v>
      </c>
      <c r="E2897" s="28">
        <v>40812</v>
      </c>
      <c r="F2897" s="28" t="s">
        <v>35</v>
      </c>
      <c r="G2897" s="28" t="s">
        <v>35</v>
      </c>
      <c r="H2897" s="27" t="s">
        <v>560</v>
      </c>
      <c r="I2897" s="27" t="s">
        <v>560</v>
      </c>
      <c r="J2897" s="29" t="s">
        <v>525</v>
      </c>
      <c r="K2897" s="29" t="s">
        <v>525</v>
      </c>
      <c r="L2897" s="29" t="s">
        <v>4588</v>
      </c>
      <c r="M2897" s="29" t="s">
        <v>4596</v>
      </c>
      <c r="N2897" s="29" t="s">
        <v>4597</v>
      </c>
      <c r="O2897" s="29" t="s">
        <v>528</v>
      </c>
    </row>
    <row r="2898" spans="1:15">
      <c r="A2898" s="25">
        <v>22255</v>
      </c>
      <c r="B2898" s="34" t="s">
        <v>4598</v>
      </c>
      <c r="C2898" s="31" t="s">
        <v>521</v>
      </c>
      <c r="D2898" s="31" t="s">
        <v>1189</v>
      </c>
      <c r="E2898" s="28">
        <v>43171</v>
      </c>
      <c r="F2898" s="28">
        <v>43202</v>
      </c>
      <c r="G2898" s="28">
        <v>43555</v>
      </c>
      <c r="H2898" s="29" t="s">
        <v>560</v>
      </c>
      <c r="I2898" s="29" t="s">
        <v>560</v>
      </c>
      <c r="J2898" s="29" t="s">
        <v>525</v>
      </c>
      <c r="K2898" s="29" t="s">
        <v>525</v>
      </c>
      <c r="L2898" s="29" t="s">
        <v>4588</v>
      </c>
      <c r="M2898" s="29" t="s">
        <v>4599</v>
      </c>
      <c r="N2898" s="29" t="s">
        <v>1511</v>
      </c>
      <c r="O2898" s="29" t="s">
        <v>528</v>
      </c>
    </row>
    <row r="2899" spans="1:15">
      <c r="A2899" s="25">
        <v>22345</v>
      </c>
      <c r="B2899" s="34" t="s">
        <v>4600</v>
      </c>
      <c r="C2899" s="31" t="s">
        <v>521</v>
      </c>
      <c r="D2899" s="31" t="s">
        <v>694</v>
      </c>
      <c r="E2899" s="28">
        <v>43195</v>
      </c>
      <c r="F2899" s="28">
        <v>43225</v>
      </c>
      <c r="G2899" s="28">
        <v>43585</v>
      </c>
      <c r="H2899" s="29" t="s">
        <v>560</v>
      </c>
      <c r="I2899" s="29" t="s">
        <v>560</v>
      </c>
      <c r="J2899" s="29" t="s">
        <v>525</v>
      </c>
      <c r="K2899" s="29" t="s">
        <v>525</v>
      </c>
      <c r="L2899" s="29" t="s">
        <v>4588</v>
      </c>
      <c r="M2899" s="29" t="s">
        <v>4601</v>
      </c>
      <c r="N2899" s="29" t="s">
        <v>1511</v>
      </c>
      <c r="O2899" s="29" t="s">
        <v>528</v>
      </c>
    </row>
    <row r="2900" spans="1:15">
      <c r="A2900" s="25">
        <v>307</v>
      </c>
      <c r="B2900" s="26" t="s">
        <v>4602</v>
      </c>
      <c r="C2900" s="27" t="s">
        <v>521</v>
      </c>
      <c r="D2900" s="27" t="s">
        <v>705</v>
      </c>
      <c r="E2900" s="28">
        <v>37725</v>
      </c>
      <c r="F2900" s="28" t="s">
        <v>35</v>
      </c>
      <c r="G2900" s="28" t="s">
        <v>35</v>
      </c>
      <c r="H2900" s="27" t="s">
        <v>560</v>
      </c>
      <c r="I2900" s="27" t="s">
        <v>560</v>
      </c>
      <c r="J2900" s="29" t="s">
        <v>525</v>
      </c>
      <c r="K2900" s="29" t="s">
        <v>525</v>
      </c>
      <c r="L2900" s="29" t="s">
        <v>4603</v>
      </c>
      <c r="M2900" s="29" t="s">
        <v>4604</v>
      </c>
      <c r="N2900" s="29" t="s">
        <v>4605</v>
      </c>
      <c r="O2900" s="29" t="s">
        <v>528</v>
      </c>
    </row>
    <row r="2901" spans="1:15">
      <c r="A2901" s="25">
        <v>1091</v>
      </c>
      <c r="B2901" s="26" t="s">
        <v>4606</v>
      </c>
      <c r="C2901" s="27" t="s">
        <v>521</v>
      </c>
      <c r="D2901" s="27" t="s">
        <v>1411</v>
      </c>
      <c r="E2901" s="28">
        <v>37887</v>
      </c>
      <c r="F2901" s="28" t="s">
        <v>35</v>
      </c>
      <c r="G2901" s="28" t="s">
        <v>35</v>
      </c>
      <c r="H2901" s="27" t="s">
        <v>560</v>
      </c>
      <c r="I2901" s="27" t="s">
        <v>560</v>
      </c>
      <c r="J2901" s="29" t="s">
        <v>525</v>
      </c>
      <c r="K2901" s="29" t="s">
        <v>525</v>
      </c>
      <c r="L2901" s="29" t="s">
        <v>4603</v>
      </c>
      <c r="M2901" s="29" t="s">
        <v>2892</v>
      </c>
      <c r="N2901" s="29" t="s">
        <v>1434</v>
      </c>
      <c r="O2901" s="29" t="s">
        <v>528</v>
      </c>
    </row>
    <row r="2902" spans="1:15">
      <c r="A2902" s="25">
        <v>1138</v>
      </c>
      <c r="B2902" s="26" t="s">
        <v>4607</v>
      </c>
      <c r="C2902" s="27" t="s">
        <v>521</v>
      </c>
      <c r="D2902" s="27" t="s">
        <v>1247</v>
      </c>
      <c r="E2902" s="28">
        <v>37900</v>
      </c>
      <c r="F2902" s="28" t="s">
        <v>35</v>
      </c>
      <c r="G2902" s="28" t="s">
        <v>35</v>
      </c>
      <c r="H2902" s="27" t="s">
        <v>560</v>
      </c>
      <c r="I2902" s="27" t="s">
        <v>560</v>
      </c>
      <c r="J2902" s="29" t="s">
        <v>525</v>
      </c>
      <c r="K2902" s="29" t="s">
        <v>525</v>
      </c>
      <c r="L2902" s="29" t="s">
        <v>4603</v>
      </c>
      <c r="M2902" s="29" t="s">
        <v>2892</v>
      </c>
      <c r="N2902" s="29" t="s">
        <v>1434</v>
      </c>
      <c r="O2902" s="29" t="s">
        <v>528</v>
      </c>
    </row>
    <row r="2903" spans="1:15">
      <c r="A2903" s="25">
        <v>5892</v>
      </c>
      <c r="B2903" s="26" t="s">
        <v>2805</v>
      </c>
      <c r="C2903" s="27" t="s">
        <v>521</v>
      </c>
      <c r="D2903" s="27" t="s">
        <v>713</v>
      </c>
      <c r="E2903" s="28">
        <v>39129</v>
      </c>
      <c r="F2903" s="28" t="s">
        <v>35</v>
      </c>
      <c r="G2903" s="28" t="s">
        <v>35</v>
      </c>
      <c r="H2903" s="27" t="s">
        <v>560</v>
      </c>
      <c r="I2903" s="27" t="s">
        <v>560</v>
      </c>
      <c r="J2903" s="27" t="s">
        <v>525</v>
      </c>
      <c r="K2903" s="27" t="s">
        <v>525</v>
      </c>
      <c r="L2903" s="29" t="s">
        <v>4603</v>
      </c>
      <c r="M2903" s="29" t="s">
        <v>4595</v>
      </c>
      <c r="N2903" s="29" t="s">
        <v>1045</v>
      </c>
      <c r="O2903" s="29" t="s">
        <v>528</v>
      </c>
    </row>
    <row r="2904" spans="1:15">
      <c r="A2904" s="25">
        <v>9133</v>
      </c>
      <c r="B2904" s="26" t="s">
        <v>4608</v>
      </c>
      <c r="C2904" s="27" t="s">
        <v>521</v>
      </c>
      <c r="D2904" s="27" t="s">
        <v>653</v>
      </c>
      <c r="E2904" s="28">
        <v>40000</v>
      </c>
      <c r="F2904" s="28" t="s">
        <v>35</v>
      </c>
      <c r="G2904" s="28" t="s">
        <v>35</v>
      </c>
      <c r="H2904" s="27" t="s">
        <v>560</v>
      </c>
      <c r="I2904" s="27" t="s">
        <v>560</v>
      </c>
      <c r="J2904" s="27" t="s">
        <v>525</v>
      </c>
      <c r="K2904" s="27" t="s">
        <v>525</v>
      </c>
      <c r="L2904" s="29" t="s">
        <v>4603</v>
      </c>
      <c r="M2904" s="29" t="s">
        <v>2892</v>
      </c>
      <c r="N2904" s="29" t="s">
        <v>1434</v>
      </c>
      <c r="O2904" s="29" t="s">
        <v>528</v>
      </c>
    </row>
    <row r="2905" spans="1:15">
      <c r="A2905" s="25">
        <v>9200</v>
      </c>
      <c r="B2905" s="26" t="s">
        <v>4609</v>
      </c>
      <c r="C2905" s="27" t="s">
        <v>521</v>
      </c>
      <c r="D2905" s="27" t="s">
        <v>658</v>
      </c>
      <c r="E2905" s="28">
        <v>40008</v>
      </c>
      <c r="F2905" s="28" t="s">
        <v>35</v>
      </c>
      <c r="G2905" s="28" t="s">
        <v>35</v>
      </c>
      <c r="H2905" s="27" t="s">
        <v>560</v>
      </c>
      <c r="I2905" s="27" t="s">
        <v>560</v>
      </c>
      <c r="J2905" s="29" t="s">
        <v>525</v>
      </c>
      <c r="K2905" s="29" t="s">
        <v>525</v>
      </c>
      <c r="L2905" s="29" t="s">
        <v>4603</v>
      </c>
      <c r="M2905" s="29" t="s">
        <v>2892</v>
      </c>
      <c r="N2905" s="29" t="s">
        <v>1434</v>
      </c>
      <c r="O2905" s="29" t="s">
        <v>528</v>
      </c>
    </row>
    <row r="2906" spans="1:15">
      <c r="A2906" s="25">
        <v>9443</v>
      </c>
      <c r="B2906" s="26" t="s">
        <v>4610</v>
      </c>
      <c r="C2906" s="27" t="s">
        <v>521</v>
      </c>
      <c r="D2906" s="27" t="s">
        <v>658</v>
      </c>
      <c r="E2906" s="28">
        <v>40148</v>
      </c>
      <c r="F2906" s="28" t="s">
        <v>35</v>
      </c>
      <c r="G2906" s="28" t="s">
        <v>35</v>
      </c>
      <c r="H2906" s="29" t="s">
        <v>560</v>
      </c>
      <c r="I2906" s="29" t="s">
        <v>560</v>
      </c>
      <c r="J2906" s="29" t="s">
        <v>525</v>
      </c>
      <c r="K2906" s="29" t="s">
        <v>525</v>
      </c>
      <c r="L2906" s="29" t="s">
        <v>4603</v>
      </c>
      <c r="M2906" s="29" t="s">
        <v>2892</v>
      </c>
      <c r="N2906" s="29" t="s">
        <v>1434</v>
      </c>
      <c r="O2906" s="29" t="s">
        <v>528</v>
      </c>
    </row>
    <row r="2907" spans="1:15">
      <c r="A2907" s="25">
        <v>10558</v>
      </c>
      <c r="B2907" s="26" t="s">
        <v>4611</v>
      </c>
      <c r="C2907" s="27" t="s">
        <v>521</v>
      </c>
      <c r="D2907" s="27" t="s">
        <v>1672</v>
      </c>
      <c r="E2907" s="28">
        <v>40542</v>
      </c>
      <c r="F2907" s="28" t="s">
        <v>35</v>
      </c>
      <c r="G2907" s="28" t="s">
        <v>35</v>
      </c>
      <c r="H2907" s="29" t="s">
        <v>560</v>
      </c>
      <c r="I2907" s="29" t="s">
        <v>560</v>
      </c>
      <c r="J2907" s="29" t="s">
        <v>525</v>
      </c>
      <c r="K2907" s="29" t="s">
        <v>525</v>
      </c>
      <c r="L2907" s="29" t="s">
        <v>4603</v>
      </c>
      <c r="M2907" s="29" t="s">
        <v>2842</v>
      </c>
      <c r="N2907" s="29" t="s">
        <v>2041</v>
      </c>
      <c r="O2907" s="29" t="s">
        <v>528</v>
      </c>
    </row>
    <row r="2908" spans="1:15">
      <c r="A2908" s="25">
        <v>11707</v>
      </c>
      <c r="B2908" s="26" t="s">
        <v>4612</v>
      </c>
      <c r="C2908" s="27" t="s">
        <v>521</v>
      </c>
      <c r="D2908" s="27" t="s">
        <v>675</v>
      </c>
      <c r="E2908" s="28">
        <v>40714</v>
      </c>
      <c r="F2908" s="28" t="s">
        <v>35</v>
      </c>
      <c r="G2908" s="28" t="s">
        <v>35</v>
      </c>
      <c r="H2908" s="27" t="s">
        <v>560</v>
      </c>
      <c r="I2908" s="27" t="s">
        <v>560</v>
      </c>
      <c r="J2908" s="29" t="s">
        <v>525</v>
      </c>
      <c r="K2908" s="29" t="s">
        <v>525</v>
      </c>
      <c r="L2908" s="29" t="s">
        <v>4603</v>
      </c>
      <c r="M2908" s="29" t="s">
        <v>2030</v>
      </c>
      <c r="N2908" s="29" t="s">
        <v>2031</v>
      </c>
      <c r="O2908" s="29" t="s">
        <v>528</v>
      </c>
    </row>
    <row r="2909" spans="1:15">
      <c r="A2909" s="25">
        <v>12156</v>
      </c>
      <c r="B2909" s="26" t="s">
        <v>4613</v>
      </c>
      <c r="C2909" s="27" t="s">
        <v>521</v>
      </c>
      <c r="D2909" s="27" t="s">
        <v>665</v>
      </c>
      <c r="E2909" s="28">
        <v>40798</v>
      </c>
      <c r="F2909" s="28" t="s">
        <v>35</v>
      </c>
      <c r="G2909" s="28" t="s">
        <v>35</v>
      </c>
      <c r="H2909" s="29" t="s">
        <v>560</v>
      </c>
      <c r="I2909" s="29" t="s">
        <v>560</v>
      </c>
      <c r="J2909" s="29" t="s">
        <v>525</v>
      </c>
      <c r="K2909" s="29" t="s">
        <v>525</v>
      </c>
      <c r="L2909" s="29" t="s">
        <v>4603</v>
      </c>
      <c r="M2909" s="29" t="s">
        <v>2222</v>
      </c>
      <c r="N2909" s="29" t="s">
        <v>2023</v>
      </c>
      <c r="O2909" s="29" t="s">
        <v>528</v>
      </c>
    </row>
    <row r="2910" spans="1:15">
      <c r="A2910" s="25">
        <v>13369</v>
      </c>
      <c r="B2910" s="26" t="s">
        <v>388</v>
      </c>
      <c r="C2910" s="27" t="s">
        <v>521</v>
      </c>
      <c r="D2910" s="27" t="s">
        <v>3379</v>
      </c>
      <c r="E2910" s="28">
        <v>40932</v>
      </c>
      <c r="F2910" s="28" t="s">
        <v>35</v>
      </c>
      <c r="G2910" s="28" t="s">
        <v>35</v>
      </c>
      <c r="H2910" s="29" t="s">
        <v>560</v>
      </c>
      <c r="I2910" s="29" t="s">
        <v>560</v>
      </c>
      <c r="J2910" s="29" t="s">
        <v>525</v>
      </c>
      <c r="K2910" s="29" t="s">
        <v>525</v>
      </c>
      <c r="L2910" s="29" t="s">
        <v>4603</v>
      </c>
      <c r="M2910" s="29" t="s">
        <v>2892</v>
      </c>
      <c r="N2910" s="29" t="s">
        <v>1434</v>
      </c>
      <c r="O2910" s="29" t="s">
        <v>528</v>
      </c>
    </row>
    <row r="2911" spans="1:15">
      <c r="A2911" s="25">
        <v>21493</v>
      </c>
      <c r="B2911" s="34" t="s">
        <v>4614</v>
      </c>
      <c r="C2911" s="31" t="s">
        <v>521</v>
      </c>
      <c r="D2911" s="31" t="s">
        <v>1804</v>
      </c>
      <c r="E2911" s="28">
        <v>43031</v>
      </c>
      <c r="F2911" s="28">
        <v>43435</v>
      </c>
      <c r="G2911" s="28">
        <v>43799</v>
      </c>
      <c r="H2911" s="29" t="s">
        <v>560</v>
      </c>
      <c r="I2911" s="29" t="s">
        <v>560</v>
      </c>
      <c r="J2911" s="29" t="s">
        <v>525</v>
      </c>
      <c r="K2911" s="29" t="s">
        <v>525</v>
      </c>
      <c r="L2911" s="29" t="s">
        <v>4603</v>
      </c>
      <c r="M2911" s="29" t="s">
        <v>2892</v>
      </c>
      <c r="N2911" s="29" t="s">
        <v>1434</v>
      </c>
      <c r="O2911" s="29" t="s">
        <v>528</v>
      </c>
    </row>
    <row r="2912" spans="1:15">
      <c r="A2912" s="25">
        <v>21698</v>
      </c>
      <c r="B2912" s="34" t="s">
        <v>4615</v>
      </c>
      <c r="C2912" s="31" t="s">
        <v>521</v>
      </c>
      <c r="D2912" s="31" t="s">
        <v>1169</v>
      </c>
      <c r="E2912" s="28">
        <v>43073</v>
      </c>
      <c r="F2912" s="28">
        <v>43466</v>
      </c>
      <c r="G2912" s="28">
        <v>43830</v>
      </c>
      <c r="H2912" s="29" t="s">
        <v>560</v>
      </c>
      <c r="I2912" s="29" t="s">
        <v>560</v>
      </c>
      <c r="J2912" s="29" t="s">
        <v>525</v>
      </c>
      <c r="K2912" s="29" t="s">
        <v>525</v>
      </c>
      <c r="L2912" s="29" t="s">
        <v>4603</v>
      </c>
      <c r="M2912" s="29" t="s">
        <v>2842</v>
      </c>
      <c r="N2912" s="29" t="s">
        <v>2041</v>
      </c>
      <c r="O2912" s="29" t="s">
        <v>528</v>
      </c>
    </row>
    <row r="2913" spans="1:15">
      <c r="A2913" s="25">
        <v>21900</v>
      </c>
      <c r="B2913" s="34" t="s">
        <v>4616</v>
      </c>
      <c r="C2913" s="31" t="s">
        <v>521</v>
      </c>
      <c r="D2913" s="31" t="s">
        <v>1870</v>
      </c>
      <c r="E2913" s="28">
        <v>43103</v>
      </c>
      <c r="F2913" s="28">
        <v>43134</v>
      </c>
      <c r="G2913" s="28">
        <v>43496</v>
      </c>
      <c r="H2913" s="29" t="s">
        <v>560</v>
      </c>
      <c r="I2913" s="29" t="s">
        <v>560</v>
      </c>
      <c r="J2913" s="29" t="s">
        <v>525</v>
      </c>
      <c r="K2913" s="29" t="s">
        <v>525</v>
      </c>
      <c r="L2913" s="29" t="s">
        <v>4603</v>
      </c>
      <c r="M2913" s="29" t="s">
        <v>2089</v>
      </c>
      <c r="N2913" s="29" t="s">
        <v>2090</v>
      </c>
      <c r="O2913" s="29" t="s">
        <v>528</v>
      </c>
    </row>
    <row r="2914" spans="1:15">
      <c r="A2914" s="25">
        <v>22075</v>
      </c>
      <c r="B2914" s="34" t="s">
        <v>4617</v>
      </c>
      <c r="C2914" s="31" t="s">
        <v>521</v>
      </c>
      <c r="D2914" s="31" t="s">
        <v>769</v>
      </c>
      <c r="E2914" s="28">
        <v>43150</v>
      </c>
      <c r="F2914" s="28">
        <v>43178</v>
      </c>
      <c r="G2914" s="28">
        <v>43555</v>
      </c>
      <c r="H2914" s="31" t="s">
        <v>560</v>
      </c>
      <c r="I2914" s="31" t="s">
        <v>560</v>
      </c>
      <c r="J2914" s="29" t="s">
        <v>525</v>
      </c>
      <c r="K2914" s="29" t="s">
        <v>525</v>
      </c>
      <c r="L2914" s="29" t="s">
        <v>4603</v>
      </c>
      <c r="M2914" s="29" t="s">
        <v>2892</v>
      </c>
      <c r="N2914" s="29" t="s">
        <v>1434</v>
      </c>
      <c r="O2914" s="29" t="s">
        <v>528</v>
      </c>
    </row>
    <row r="2915" spans="1:15">
      <c r="A2915" s="25">
        <v>22080</v>
      </c>
      <c r="B2915" s="34" t="s">
        <v>4618</v>
      </c>
      <c r="C2915" s="31" t="s">
        <v>521</v>
      </c>
      <c r="D2915" s="31" t="s">
        <v>769</v>
      </c>
      <c r="E2915" s="28">
        <v>43150</v>
      </c>
      <c r="F2915" s="28">
        <v>43178</v>
      </c>
      <c r="G2915" s="28">
        <v>43555</v>
      </c>
      <c r="H2915" s="29" t="s">
        <v>560</v>
      </c>
      <c r="I2915" s="29" t="s">
        <v>560</v>
      </c>
      <c r="J2915" s="29" t="s">
        <v>525</v>
      </c>
      <c r="K2915" s="29" t="s">
        <v>525</v>
      </c>
      <c r="L2915" s="29" t="s">
        <v>4603</v>
      </c>
      <c r="M2915" s="29" t="s">
        <v>2077</v>
      </c>
      <c r="N2915" s="29" t="s">
        <v>2077</v>
      </c>
      <c r="O2915" s="29" t="s">
        <v>528</v>
      </c>
    </row>
    <row r="2916" spans="1:15">
      <c r="A2916" s="25">
        <v>22342</v>
      </c>
      <c r="B2916" s="34" t="s">
        <v>4619</v>
      </c>
      <c r="C2916" s="31" t="s">
        <v>521</v>
      </c>
      <c r="D2916" s="31" t="s">
        <v>694</v>
      </c>
      <c r="E2916" s="28">
        <v>43195</v>
      </c>
      <c r="F2916" s="28">
        <v>43225</v>
      </c>
      <c r="G2916" s="28">
        <v>43585</v>
      </c>
      <c r="H2916" s="29" t="s">
        <v>560</v>
      </c>
      <c r="I2916" s="29" t="s">
        <v>560</v>
      </c>
      <c r="J2916" s="29" t="s">
        <v>525</v>
      </c>
      <c r="K2916" s="29" t="s">
        <v>525</v>
      </c>
      <c r="L2916" s="29" t="s">
        <v>4603</v>
      </c>
      <c r="M2916" s="29" t="s">
        <v>2892</v>
      </c>
      <c r="N2916" s="29" t="s">
        <v>1434</v>
      </c>
      <c r="O2916" s="29" t="s">
        <v>528</v>
      </c>
    </row>
    <row r="2917" spans="1:15">
      <c r="A2917" s="25">
        <v>22351</v>
      </c>
      <c r="B2917" s="34" t="s">
        <v>4620</v>
      </c>
      <c r="C2917" s="31" t="s">
        <v>521</v>
      </c>
      <c r="D2917" s="31" t="s">
        <v>694</v>
      </c>
      <c r="E2917" s="28">
        <v>43195</v>
      </c>
      <c r="F2917" s="28">
        <v>43225</v>
      </c>
      <c r="G2917" s="28">
        <v>43585</v>
      </c>
      <c r="H2917" s="29" t="s">
        <v>560</v>
      </c>
      <c r="I2917" s="29" t="s">
        <v>560</v>
      </c>
      <c r="J2917" s="29" t="s">
        <v>525</v>
      </c>
      <c r="K2917" s="29" t="s">
        <v>525</v>
      </c>
      <c r="L2917" s="29" t="s">
        <v>4603</v>
      </c>
      <c r="M2917" s="29" t="s">
        <v>2222</v>
      </c>
      <c r="N2917" s="29" t="s">
        <v>2023</v>
      </c>
      <c r="O2917" s="29" t="s">
        <v>528</v>
      </c>
    </row>
    <row r="2918" spans="1:15">
      <c r="A2918" s="25">
        <v>22394</v>
      </c>
      <c r="B2918" s="34" t="s">
        <v>4621</v>
      </c>
      <c r="C2918" s="31" t="s">
        <v>521</v>
      </c>
      <c r="D2918" s="31" t="s">
        <v>805</v>
      </c>
      <c r="E2918" s="28">
        <v>43213</v>
      </c>
      <c r="F2918" s="28">
        <v>43243</v>
      </c>
      <c r="G2918" s="28">
        <v>43616</v>
      </c>
      <c r="H2918" s="29" t="s">
        <v>560</v>
      </c>
      <c r="I2918" s="29" t="s">
        <v>560</v>
      </c>
      <c r="J2918" s="29" t="s">
        <v>525</v>
      </c>
      <c r="K2918" s="29" t="s">
        <v>525</v>
      </c>
      <c r="L2918" s="29" t="s">
        <v>4603</v>
      </c>
      <c r="M2918" s="29" t="s">
        <v>2842</v>
      </c>
      <c r="N2918" s="29" t="s">
        <v>1434</v>
      </c>
      <c r="O2918" s="29" t="s">
        <v>528</v>
      </c>
    </row>
    <row r="2919" spans="1:15">
      <c r="A2919" s="25">
        <v>22848</v>
      </c>
      <c r="B2919" s="34" t="s">
        <v>4622</v>
      </c>
      <c r="C2919" s="31" t="s">
        <v>521</v>
      </c>
      <c r="D2919" s="31" t="s">
        <v>775</v>
      </c>
      <c r="E2919" s="28">
        <v>43333</v>
      </c>
      <c r="F2919" s="28">
        <v>43364</v>
      </c>
      <c r="G2919" s="28">
        <v>43738</v>
      </c>
      <c r="H2919" s="29" t="s">
        <v>560</v>
      </c>
      <c r="I2919" s="29" t="s">
        <v>560</v>
      </c>
      <c r="J2919" s="29" t="s">
        <v>525</v>
      </c>
      <c r="K2919" s="29" t="s">
        <v>525</v>
      </c>
      <c r="L2919" s="29" t="s">
        <v>4603</v>
      </c>
      <c r="M2919" s="29" t="s">
        <v>2892</v>
      </c>
      <c r="N2919" s="29" t="s">
        <v>1434</v>
      </c>
      <c r="O2919" s="29" t="s">
        <v>528</v>
      </c>
    </row>
    <row r="2920" spans="1:15">
      <c r="A2920" s="25">
        <v>22876</v>
      </c>
      <c r="B2920" s="34" t="s">
        <v>4623</v>
      </c>
      <c r="C2920" s="31" t="s">
        <v>521</v>
      </c>
      <c r="D2920" s="31" t="s">
        <v>775</v>
      </c>
      <c r="E2920" s="28">
        <v>43333</v>
      </c>
      <c r="F2920" s="28">
        <v>43364</v>
      </c>
      <c r="G2920" s="28">
        <v>43738</v>
      </c>
      <c r="H2920" s="29" t="s">
        <v>560</v>
      </c>
      <c r="I2920" s="29" t="s">
        <v>560</v>
      </c>
      <c r="J2920" s="29" t="s">
        <v>525</v>
      </c>
      <c r="K2920" s="29" t="s">
        <v>525</v>
      </c>
      <c r="L2920" s="29" t="s">
        <v>4603</v>
      </c>
      <c r="M2920" s="29" t="s">
        <v>2194</v>
      </c>
      <c r="N2920" s="29" t="s">
        <v>1434</v>
      </c>
      <c r="O2920" s="29" t="s">
        <v>528</v>
      </c>
    </row>
    <row r="2921" spans="1:15">
      <c r="A2921" s="25">
        <v>22897</v>
      </c>
      <c r="B2921" s="34" t="s">
        <v>4624</v>
      </c>
      <c r="C2921" s="31" t="s">
        <v>521</v>
      </c>
      <c r="D2921" s="31" t="s">
        <v>775</v>
      </c>
      <c r="E2921" s="28">
        <v>43333</v>
      </c>
      <c r="F2921" s="28">
        <v>43364</v>
      </c>
      <c r="G2921" s="28">
        <v>43738</v>
      </c>
      <c r="H2921" s="29" t="s">
        <v>560</v>
      </c>
      <c r="I2921" s="29" t="s">
        <v>560</v>
      </c>
      <c r="J2921" s="29" t="s">
        <v>525</v>
      </c>
      <c r="K2921" s="29" t="s">
        <v>525</v>
      </c>
      <c r="L2921" s="29" t="s">
        <v>4603</v>
      </c>
      <c r="M2921" s="29" t="s">
        <v>2194</v>
      </c>
      <c r="N2921" s="29" t="s">
        <v>1434</v>
      </c>
      <c r="O2921" s="29" t="s">
        <v>528</v>
      </c>
    </row>
    <row r="2922" spans="1:15">
      <c r="A2922" s="25">
        <v>23031</v>
      </c>
      <c r="B2922" s="34" t="s">
        <v>4625</v>
      </c>
      <c r="C2922" s="31" t="s">
        <v>521</v>
      </c>
      <c r="D2922" s="31" t="s">
        <v>1872</v>
      </c>
      <c r="E2922" s="28">
        <v>43361</v>
      </c>
      <c r="F2922" s="28">
        <v>43391</v>
      </c>
      <c r="G2922" s="28">
        <v>43769</v>
      </c>
      <c r="H2922" s="29" t="s">
        <v>560</v>
      </c>
      <c r="I2922" s="29" t="s">
        <v>560</v>
      </c>
      <c r="J2922" s="29" t="s">
        <v>525</v>
      </c>
      <c r="K2922" s="29" t="s">
        <v>525</v>
      </c>
      <c r="L2922" s="29" t="s">
        <v>4603</v>
      </c>
      <c r="M2922" s="29" t="s">
        <v>2194</v>
      </c>
      <c r="N2922" s="29" t="s">
        <v>1434</v>
      </c>
      <c r="O2922" s="29" t="s">
        <v>528</v>
      </c>
    </row>
    <row r="2923" spans="1:15">
      <c r="A2923" s="25">
        <v>23092</v>
      </c>
      <c r="B2923" s="34" t="s">
        <v>4626</v>
      </c>
      <c r="C2923" s="31" t="s">
        <v>521</v>
      </c>
      <c r="D2923" s="31" t="s">
        <v>1523</v>
      </c>
      <c r="E2923" s="28">
        <v>43369</v>
      </c>
      <c r="F2923" s="28">
        <v>43399</v>
      </c>
      <c r="G2923" s="28">
        <v>43769</v>
      </c>
      <c r="H2923" s="29" t="s">
        <v>560</v>
      </c>
      <c r="I2923" s="29" t="s">
        <v>560</v>
      </c>
      <c r="J2923" s="29" t="s">
        <v>525</v>
      </c>
      <c r="K2923" s="29" t="s">
        <v>525</v>
      </c>
      <c r="L2923" s="29" t="s">
        <v>4603</v>
      </c>
      <c r="M2923" s="29" t="s">
        <v>2842</v>
      </c>
      <c r="N2923" s="29" t="s">
        <v>2041</v>
      </c>
      <c r="O2923" s="29" t="s">
        <v>528</v>
      </c>
    </row>
    <row r="2924" spans="1:15">
      <c r="A2924" s="25" t="s">
        <v>4627</v>
      </c>
      <c r="B2924" s="26" t="s">
        <v>4628</v>
      </c>
      <c r="C2924" s="27" t="s">
        <v>521</v>
      </c>
      <c r="D2924" s="27" t="s">
        <v>1859</v>
      </c>
      <c r="E2924" s="28">
        <v>41015</v>
      </c>
      <c r="F2924" s="28" t="s">
        <v>35</v>
      </c>
      <c r="G2924" s="28" t="s">
        <v>35</v>
      </c>
      <c r="H2924" s="29" t="s">
        <v>560</v>
      </c>
      <c r="I2924" s="29" t="s">
        <v>560</v>
      </c>
      <c r="J2924" s="29" t="s">
        <v>525</v>
      </c>
      <c r="K2924" s="29" t="s">
        <v>525</v>
      </c>
      <c r="L2924" s="29" t="s">
        <v>4603</v>
      </c>
      <c r="M2924" s="29" t="s">
        <v>2892</v>
      </c>
      <c r="N2924" s="29" t="s">
        <v>1434</v>
      </c>
      <c r="O2924" s="29" t="s">
        <v>528</v>
      </c>
    </row>
    <row r="2925" spans="1:15">
      <c r="A2925" s="25" t="s">
        <v>4629</v>
      </c>
      <c r="B2925" s="34" t="s">
        <v>4630</v>
      </c>
      <c r="C2925" s="31" t="s">
        <v>521</v>
      </c>
      <c r="D2925" s="31" t="s">
        <v>892</v>
      </c>
      <c r="E2925" s="28">
        <v>43467</v>
      </c>
      <c r="F2925" s="28">
        <v>43467</v>
      </c>
      <c r="G2925" s="28">
        <v>43497</v>
      </c>
      <c r="H2925" s="29" t="s">
        <v>560</v>
      </c>
      <c r="I2925" s="29" t="s">
        <v>560</v>
      </c>
      <c r="J2925" s="29" t="s">
        <v>525</v>
      </c>
      <c r="K2925" s="29" t="s">
        <v>525</v>
      </c>
      <c r="L2925" s="29" t="s">
        <v>4631</v>
      </c>
      <c r="M2925" s="29" t="s">
        <v>4632</v>
      </c>
      <c r="N2925" s="29" t="s">
        <v>659</v>
      </c>
      <c r="O2925" s="29" t="s">
        <v>594</v>
      </c>
    </row>
    <row r="2926" spans="1:15">
      <c r="A2926" s="25">
        <v>443</v>
      </c>
      <c r="B2926" s="26" t="s">
        <v>4633</v>
      </c>
      <c r="C2926" s="27" t="s">
        <v>521</v>
      </c>
      <c r="D2926" s="27" t="s">
        <v>1661</v>
      </c>
      <c r="E2926" s="28">
        <v>37746</v>
      </c>
      <c r="F2926" s="28" t="s">
        <v>35</v>
      </c>
      <c r="G2926" s="28" t="s">
        <v>35</v>
      </c>
      <c r="H2926" s="29" t="s">
        <v>560</v>
      </c>
      <c r="I2926" s="29" t="s">
        <v>560</v>
      </c>
      <c r="J2926" s="29" t="s">
        <v>525</v>
      </c>
      <c r="K2926" s="29" t="s">
        <v>525</v>
      </c>
      <c r="L2926" s="29" t="s">
        <v>4631</v>
      </c>
      <c r="M2926" s="29" t="s">
        <v>4634</v>
      </c>
      <c r="N2926" s="29" t="s">
        <v>659</v>
      </c>
      <c r="O2926" s="29" t="s">
        <v>528</v>
      </c>
    </row>
    <row r="2927" spans="1:15">
      <c r="A2927" s="25">
        <v>5484</v>
      </c>
      <c r="B2927" s="26" t="s">
        <v>4635</v>
      </c>
      <c r="C2927" s="27" t="s">
        <v>521</v>
      </c>
      <c r="D2927" s="27" t="s">
        <v>1336</v>
      </c>
      <c r="E2927" s="28">
        <v>38991</v>
      </c>
      <c r="F2927" s="28" t="s">
        <v>35</v>
      </c>
      <c r="G2927" s="28" t="s">
        <v>35</v>
      </c>
      <c r="H2927" s="29" t="s">
        <v>560</v>
      </c>
      <c r="I2927" s="29" t="s">
        <v>560</v>
      </c>
      <c r="J2927" s="29" t="s">
        <v>525</v>
      </c>
      <c r="K2927" s="29" t="s">
        <v>525</v>
      </c>
      <c r="L2927" s="29" t="s">
        <v>4631</v>
      </c>
      <c r="M2927" s="29" t="s">
        <v>4631</v>
      </c>
      <c r="N2927" s="29" t="s">
        <v>659</v>
      </c>
      <c r="O2927" s="29" t="s">
        <v>528</v>
      </c>
    </row>
    <row r="2928" spans="1:15">
      <c r="A2928" s="25">
        <v>5738</v>
      </c>
      <c r="B2928" s="26" t="s">
        <v>174</v>
      </c>
      <c r="C2928" s="27" t="s">
        <v>521</v>
      </c>
      <c r="D2928" s="27" t="s">
        <v>790</v>
      </c>
      <c r="E2928" s="28">
        <v>39098</v>
      </c>
      <c r="F2928" s="28" t="s">
        <v>35</v>
      </c>
      <c r="G2928" s="28" t="s">
        <v>35</v>
      </c>
      <c r="H2928" s="29" t="s">
        <v>560</v>
      </c>
      <c r="I2928" s="29" t="s">
        <v>560</v>
      </c>
      <c r="J2928" s="29" t="s">
        <v>525</v>
      </c>
      <c r="K2928" s="29" t="s">
        <v>525</v>
      </c>
      <c r="L2928" s="29" t="s">
        <v>4631</v>
      </c>
      <c r="M2928" s="29" t="s">
        <v>4634</v>
      </c>
      <c r="N2928" s="29" t="s">
        <v>659</v>
      </c>
      <c r="O2928" s="29" t="s">
        <v>528</v>
      </c>
    </row>
    <row r="2929" spans="1:15">
      <c r="A2929" s="25">
        <v>5843</v>
      </c>
      <c r="B2929" s="26" t="s">
        <v>4636</v>
      </c>
      <c r="C2929" s="27" t="s">
        <v>521</v>
      </c>
      <c r="D2929" s="27" t="s">
        <v>794</v>
      </c>
      <c r="E2929" s="28">
        <v>39114</v>
      </c>
      <c r="F2929" s="28" t="s">
        <v>35</v>
      </c>
      <c r="G2929" s="28" t="s">
        <v>35</v>
      </c>
      <c r="H2929" s="27" t="s">
        <v>560</v>
      </c>
      <c r="I2929" s="27" t="s">
        <v>560</v>
      </c>
      <c r="J2929" s="29" t="s">
        <v>525</v>
      </c>
      <c r="K2929" s="29" t="s">
        <v>525</v>
      </c>
      <c r="L2929" s="29" t="s">
        <v>4631</v>
      </c>
      <c r="M2929" s="29" t="s">
        <v>4634</v>
      </c>
      <c r="N2929" s="29" t="s">
        <v>659</v>
      </c>
      <c r="O2929" s="29" t="s">
        <v>528</v>
      </c>
    </row>
    <row r="2930" spans="1:15">
      <c r="A2930" s="25">
        <v>22319</v>
      </c>
      <c r="B2930" s="34" t="s">
        <v>4637</v>
      </c>
      <c r="C2930" s="31" t="s">
        <v>521</v>
      </c>
      <c r="D2930" s="31" t="s">
        <v>1191</v>
      </c>
      <c r="E2930" s="28">
        <v>43192</v>
      </c>
      <c r="F2930" s="28">
        <v>43222</v>
      </c>
      <c r="G2930" s="28">
        <v>43585</v>
      </c>
      <c r="H2930" s="29" t="s">
        <v>560</v>
      </c>
      <c r="I2930" s="29" t="s">
        <v>560</v>
      </c>
      <c r="J2930" s="29" t="s">
        <v>525</v>
      </c>
      <c r="K2930" s="29" t="s">
        <v>525</v>
      </c>
      <c r="L2930" s="29" t="s">
        <v>4631</v>
      </c>
      <c r="M2930" s="29" t="s">
        <v>4632</v>
      </c>
      <c r="N2930" s="29" t="s">
        <v>659</v>
      </c>
      <c r="O2930" s="29" t="s">
        <v>528</v>
      </c>
    </row>
    <row r="2931" spans="1:15">
      <c r="A2931" s="25">
        <v>22786</v>
      </c>
      <c r="B2931" s="34" t="s">
        <v>4638</v>
      </c>
      <c r="C2931" s="31" t="s">
        <v>521</v>
      </c>
      <c r="D2931" s="31" t="s">
        <v>1615</v>
      </c>
      <c r="E2931" s="28">
        <v>43283</v>
      </c>
      <c r="F2931" s="28">
        <v>43314</v>
      </c>
      <c r="G2931" s="28">
        <v>43677</v>
      </c>
      <c r="H2931" s="29" t="s">
        <v>560</v>
      </c>
      <c r="I2931" s="29" t="s">
        <v>560</v>
      </c>
      <c r="J2931" s="29" t="s">
        <v>525</v>
      </c>
      <c r="K2931" s="29" t="s">
        <v>525</v>
      </c>
      <c r="L2931" s="29" t="s">
        <v>4631</v>
      </c>
      <c r="M2931" s="29" t="s">
        <v>4631</v>
      </c>
      <c r="N2931" s="29" t="s">
        <v>659</v>
      </c>
      <c r="O2931" s="29" t="s">
        <v>528</v>
      </c>
    </row>
    <row r="2932" spans="1:15">
      <c r="A2932" s="25">
        <v>23409</v>
      </c>
      <c r="B2932" s="34" t="s">
        <v>4639</v>
      </c>
      <c r="C2932" s="31" t="s">
        <v>521</v>
      </c>
      <c r="D2932" s="31" t="s">
        <v>882</v>
      </c>
      <c r="E2932" s="28">
        <v>43434</v>
      </c>
      <c r="F2932" s="28">
        <v>43464</v>
      </c>
      <c r="G2932" s="28">
        <v>43830</v>
      </c>
      <c r="H2932" s="29" t="s">
        <v>560</v>
      </c>
      <c r="I2932" s="29" t="s">
        <v>560</v>
      </c>
      <c r="J2932" s="29" t="s">
        <v>525</v>
      </c>
      <c r="K2932" s="29" t="s">
        <v>525</v>
      </c>
      <c r="L2932" s="29" t="s">
        <v>4631</v>
      </c>
      <c r="M2932" s="29" t="s">
        <v>4632</v>
      </c>
      <c r="N2932" s="29" t="s">
        <v>659</v>
      </c>
      <c r="O2932" s="29" t="s">
        <v>528</v>
      </c>
    </row>
    <row r="2933" spans="1:15">
      <c r="A2933" s="25">
        <v>11207</v>
      </c>
      <c r="B2933" s="34" t="s">
        <v>4640</v>
      </c>
      <c r="C2933" s="31" t="s">
        <v>521</v>
      </c>
      <c r="D2933" s="31" t="s">
        <v>2037</v>
      </c>
      <c r="E2933" s="28">
        <v>40609</v>
      </c>
      <c r="F2933" s="28" t="s">
        <v>35</v>
      </c>
      <c r="G2933" s="28" t="s">
        <v>35</v>
      </c>
      <c r="H2933" s="29" t="s">
        <v>560</v>
      </c>
      <c r="I2933" s="29" t="s">
        <v>560</v>
      </c>
      <c r="J2933" s="29" t="s">
        <v>525</v>
      </c>
      <c r="K2933" s="29" t="s">
        <v>525</v>
      </c>
      <c r="L2933" s="29" t="s">
        <v>4641</v>
      </c>
      <c r="M2933" s="29" t="s">
        <v>4642</v>
      </c>
      <c r="N2933" s="29" t="s">
        <v>659</v>
      </c>
      <c r="O2933" s="29" t="s">
        <v>528</v>
      </c>
    </row>
    <row r="2934" spans="1:15">
      <c r="A2934" s="25">
        <v>11523</v>
      </c>
      <c r="B2934" s="26" t="s">
        <v>4643</v>
      </c>
      <c r="C2934" s="27" t="s">
        <v>521</v>
      </c>
      <c r="D2934" s="27" t="s">
        <v>841</v>
      </c>
      <c r="E2934" s="28">
        <v>40707</v>
      </c>
      <c r="F2934" s="28" t="s">
        <v>35</v>
      </c>
      <c r="G2934" s="28" t="s">
        <v>35</v>
      </c>
      <c r="H2934" s="29" t="s">
        <v>560</v>
      </c>
      <c r="I2934" s="29" t="s">
        <v>560</v>
      </c>
      <c r="J2934" s="29" t="s">
        <v>525</v>
      </c>
      <c r="K2934" s="29" t="s">
        <v>525</v>
      </c>
      <c r="L2934" s="29" t="s">
        <v>4641</v>
      </c>
      <c r="M2934" s="29" t="s">
        <v>4644</v>
      </c>
      <c r="N2934" s="29" t="s">
        <v>659</v>
      </c>
      <c r="O2934" s="29" t="s">
        <v>528</v>
      </c>
    </row>
    <row r="2935" spans="1:15">
      <c r="A2935" s="25">
        <v>11589</v>
      </c>
      <c r="B2935" s="26" t="s">
        <v>4645</v>
      </c>
      <c r="C2935" s="27" t="s">
        <v>521</v>
      </c>
      <c r="D2935" s="27" t="s">
        <v>841</v>
      </c>
      <c r="E2935" s="28">
        <v>40707</v>
      </c>
      <c r="F2935" s="28" t="s">
        <v>35</v>
      </c>
      <c r="G2935" s="28" t="s">
        <v>35</v>
      </c>
      <c r="H2935" s="27" t="s">
        <v>560</v>
      </c>
      <c r="I2935" s="27" t="s">
        <v>560</v>
      </c>
      <c r="J2935" s="29" t="s">
        <v>525</v>
      </c>
      <c r="K2935" s="29" t="s">
        <v>525</v>
      </c>
      <c r="L2935" s="29" t="s">
        <v>4641</v>
      </c>
      <c r="M2935" s="29" t="s">
        <v>4642</v>
      </c>
      <c r="N2935" s="29" t="s">
        <v>659</v>
      </c>
      <c r="O2935" s="29" t="s">
        <v>528</v>
      </c>
    </row>
    <row r="2936" spans="1:15">
      <c r="A2936" s="25">
        <v>12194</v>
      </c>
      <c r="B2936" s="34" t="s">
        <v>4646</v>
      </c>
      <c r="C2936" s="31" t="s">
        <v>521</v>
      </c>
      <c r="D2936" s="31" t="s">
        <v>750</v>
      </c>
      <c r="E2936" s="28">
        <v>40802</v>
      </c>
      <c r="F2936" s="28" t="s">
        <v>35</v>
      </c>
      <c r="G2936" s="28" t="s">
        <v>35</v>
      </c>
      <c r="H2936" s="29" t="s">
        <v>560</v>
      </c>
      <c r="I2936" s="29" t="s">
        <v>560</v>
      </c>
      <c r="J2936" s="29" t="s">
        <v>525</v>
      </c>
      <c r="K2936" s="29" t="s">
        <v>525</v>
      </c>
      <c r="L2936" s="29" t="s">
        <v>4641</v>
      </c>
      <c r="M2936" s="29" t="s">
        <v>4644</v>
      </c>
      <c r="N2936" s="29" t="s">
        <v>659</v>
      </c>
      <c r="O2936" s="29" t="s">
        <v>528</v>
      </c>
    </row>
    <row r="2937" spans="1:15">
      <c r="A2937" s="25">
        <v>12801</v>
      </c>
      <c r="B2937" s="26" t="s">
        <v>4647</v>
      </c>
      <c r="C2937" s="27" t="s">
        <v>521</v>
      </c>
      <c r="D2937" s="27" t="s">
        <v>2950</v>
      </c>
      <c r="E2937" s="28">
        <v>40826</v>
      </c>
      <c r="F2937" s="28" t="s">
        <v>35</v>
      </c>
      <c r="G2937" s="28" t="s">
        <v>35</v>
      </c>
      <c r="H2937" s="27" t="s">
        <v>560</v>
      </c>
      <c r="I2937" s="27" t="s">
        <v>560</v>
      </c>
      <c r="J2937" s="29" t="s">
        <v>525</v>
      </c>
      <c r="K2937" s="29" t="s">
        <v>525</v>
      </c>
      <c r="L2937" s="29" t="s">
        <v>4641</v>
      </c>
      <c r="M2937" s="29" t="s">
        <v>4644</v>
      </c>
      <c r="N2937" s="29" t="s">
        <v>659</v>
      </c>
      <c r="O2937" s="29" t="s">
        <v>528</v>
      </c>
    </row>
    <row r="2938" spans="1:15">
      <c r="A2938" s="25">
        <v>8990</v>
      </c>
      <c r="B2938" s="26" t="s">
        <v>4648</v>
      </c>
      <c r="C2938" s="27" t="s">
        <v>521</v>
      </c>
      <c r="D2938" s="27" t="s">
        <v>715</v>
      </c>
      <c r="E2938" s="28">
        <v>39975</v>
      </c>
      <c r="F2938" s="28" t="s">
        <v>35</v>
      </c>
      <c r="G2938" s="28" t="s">
        <v>35</v>
      </c>
      <c r="H2938" s="27" t="s">
        <v>560</v>
      </c>
      <c r="I2938" s="27" t="s">
        <v>560</v>
      </c>
      <c r="J2938" s="29" t="s">
        <v>525</v>
      </c>
      <c r="K2938" s="29" t="s">
        <v>525</v>
      </c>
      <c r="L2938" s="29" t="s">
        <v>4649</v>
      </c>
      <c r="M2938" s="29" t="s">
        <v>4650</v>
      </c>
      <c r="N2938" s="29" t="s">
        <v>659</v>
      </c>
      <c r="O2938" s="29" t="s">
        <v>528</v>
      </c>
    </row>
    <row r="2939" spans="1:15">
      <c r="A2939" s="25">
        <v>9800</v>
      </c>
      <c r="B2939" s="26" t="s">
        <v>4651</v>
      </c>
      <c r="C2939" s="27" t="s">
        <v>521</v>
      </c>
      <c r="D2939" s="27" t="s">
        <v>2312</v>
      </c>
      <c r="E2939" s="28">
        <v>40360</v>
      </c>
      <c r="F2939" s="28" t="s">
        <v>35</v>
      </c>
      <c r="G2939" s="28" t="s">
        <v>35</v>
      </c>
      <c r="H2939" s="27" t="s">
        <v>560</v>
      </c>
      <c r="I2939" s="27" t="s">
        <v>560</v>
      </c>
      <c r="J2939" s="29" t="s">
        <v>525</v>
      </c>
      <c r="K2939" s="29" t="s">
        <v>525</v>
      </c>
      <c r="L2939" s="29" t="s">
        <v>4649</v>
      </c>
      <c r="M2939" s="29" t="s">
        <v>4652</v>
      </c>
      <c r="N2939" s="29" t="s">
        <v>659</v>
      </c>
      <c r="O2939" s="29" t="s">
        <v>528</v>
      </c>
    </row>
    <row r="2940" spans="1:15">
      <c r="A2940" s="25">
        <v>10207</v>
      </c>
      <c r="B2940" s="34" t="s">
        <v>4653</v>
      </c>
      <c r="C2940" s="31" t="s">
        <v>521</v>
      </c>
      <c r="D2940" s="31" t="s">
        <v>787</v>
      </c>
      <c r="E2940" s="28">
        <v>40458</v>
      </c>
      <c r="F2940" s="28" t="s">
        <v>35</v>
      </c>
      <c r="G2940" s="28" t="s">
        <v>35</v>
      </c>
      <c r="H2940" s="29" t="s">
        <v>560</v>
      </c>
      <c r="I2940" s="29" t="s">
        <v>560</v>
      </c>
      <c r="J2940" s="29" t="s">
        <v>525</v>
      </c>
      <c r="K2940" s="29" t="s">
        <v>525</v>
      </c>
      <c r="L2940" s="29" t="s">
        <v>4649</v>
      </c>
      <c r="M2940" s="29" t="s">
        <v>4654</v>
      </c>
      <c r="N2940" s="29" t="s">
        <v>659</v>
      </c>
      <c r="O2940" s="29" t="s">
        <v>528</v>
      </c>
    </row>
    <row r="2941" spans="1:15">
      <c r="A2941" s="25">
        <v>10284</v>
      </c>
      <c r="B2941" s="26" t="s">
        <v>4655</v>
      </c>
      <c r="C2941" s="27" t="s">
        <v>521</v>
      </c>
      <c r="D2941" s="27" t="s">
        <v>2527</v>
      </c>
      <c r="E2941" s="28">
        <v>40504</v>
      </c>
      <c r="F2941" s="28" t="s">
        <v>35</v>
      </c>
      <c r="G2941" s="28" t="s">
        <v>35</v>
      </c>
      <c r="H2941" s="27" t="s">
        <v>560</v>
      </c>
      <c r="I2941" s="27" t="s">
        <v>560</v>
      </c>
      <c r="J2941" s="29" t="s">
        <v>525</v>
      </c>
      <c r="K2941" s="29" t="s">
        <v>525</v>
      </c>
      <c r="L2941" s="29" t="s">
        <v>4649</v>
      </c>
      <c r="M2941" s="29" t="s">
        <v>4656</v>
      </c>
      <c r="N2941" s="29" t="s">
        <v>659</v>
      </c>
      <c r="O2941" s="29" t="s">
        <v>528</v>
      </c>
    </row>
    <row r="2942" spans="1:15">
      <c r="A2942" s="25">
        <v>10845</v>
      </c>
      <c r="B2942" s="26" t="s">
        <v>471</v>
      </c>
      <c r="C2942" s="27" t="s">
        <v>521</v>
      </c>
      <c r="D2942" s="27" t="s">
        <v>795</v>
      </c>
      <c r="E2942" s="28">
        <v>40572</v>
      </c>
      <c r="F2942" s="28" t="s">
        <v>35</v>
      </c>
      <c r="G2942" s="28" t="s">
        <v>35</v>
      </c>
      <c r="H2942" s="27" t="s">
        <v>560</v>
      </c>
      <c r="I2942" s="27" t="s">
        <v>560</v>
      </c>
      <c r="J2942" s="29" t="s">
        <v>525</v>
      </c>
      <c r="K2942" s="29" t="s">
        <v>525</v>
      </c>
      <c r="L2942" s="29" t="s">
        <v>4649</v>
      </c>
      <c r="M2942" s="29" t="s">
        <v>4656</v>
      </c>
      <c r="N2942" s="29" t="s">
        <v>659</v>
      </c>
      <c r="O2942" s="29" t="s">
        <v>528</v>
      </c>
    </row>
    <row r="2943" spans="1:15">
      <c r="A2943" s="25">
        <v>11529</v>
      </c>
      <c r="B2943" s="26" t="s">
        <v>4657</v>
      </c>
      <c r="C2943" s="27" t="s">
        <v>521</v>
      </c>
      <c r="D2943" s="27" t="s">
        <v>841</v>
      </c>
      <c r="E2943" s="28">
        <v>40707</v>
      </c>
      <c r="F2943" s="28" t="s">
        <v>35</v>
      </c>
      <c r="G2943" s="28" t="s">
        <v>35</v>
      </c>
      <c r="H2943" s="27" t="s">
        <v>560</v>
      </c>
      <c r="I2943" s="27" t="s">
        <v>560</v>
      </c>
      <c r="J2943" s="29" t="s">
        <v>525</v>
      </c>
      <c r="K2943" s="29" t="s">
        <v>525</v>
      </c>
      <c r="L2943" s="29" t="s">
        <v>4649</v>
      </c>
      <c r="M2943" s="29" t="s">
        <v>4652</v>
      </c>
      <c r="N2943" s="29" t="s">
        <v>659</v>
      </c>
      <c r="O2943" s="29" t="s">
        <v>528</v>
      </c>
    </row>
    <row r="2944" spans="1:15">
      <c r="A2944" s="25">
        <v>20657</v>
      </c>
      <c r="B2944" s="26" t="s">
        <v>4658</v>
      </c>
      <c r="C2944" s="27" t="s">
        <v>521</v>
      </c>
      <c r="D2944" s="27" t="s">
        <v>673</v>
      </c>
      <c r="E2944" s="28">
        <v>42639</v>
      </c>
      <c r="F2944" s="28">
        <v>43132</v>
      </c>
      <c r="G2944" s="28">
        <v>43496</v>
      </c>
      <c r="H2944" s="25" t="s">
        <v>560</v>
      </c>
      <c r="I2944" s="25" t="s">
        <v>560</v>
      </c>
      <c r="J2944" s="29" t="s">
        <v>525</v>
      </c>
      <c r="K2944" s="29" t="s">
        <v>525</v>
      </c>
      <c r="L2944" s="29" t="s">
        <v>4659</v>
      </c>
      <c r="M2944" s="29" t="s">
        <v>4660</v>
      </c>
      <c r="N2944" s="29" t="s">
        <v>659</v>
      </c>
      <c r="O2944" s="29" t="s">
        <v>594</v>
      </c>
    </row>
    <row r="2945" spans="1:15">
      <c r="A2945" s="25">
        <v>21150</v>
      </c>
      <c r="B2945" s="26" t="s">
        <v>4661</v>
      </c>
      <c r="C2945" s="27" t="s">
        <v>521</v>
      </c>
      <c r="D2945" s="27" t="s">
        <v>1676</v>
      </c>
      <c r="E2945" s="28">
        <v>42871</v>
      </c>
      <c r="F2945" s="28">
        <v>43374</v>
      </c>
      <c r="G2945" s="28">
        <v>43738</v>
      </c>
      <c r="H2945" s="25" t="s">
        <v>560</v>
      </c>
      <c r="I2945" s="31" t="s">
        <v>560</v>
      </c>
      <c r="J2945" s="29" t="s">
        <v>1662</v>
      </c>
      <c r="K2945" s="29" t="s">
        <v>4662</v>
      </c>
      <c r="L2945" s="29" t="s">
        <v>4662</v>
      </c>
      <c r="M2945" s="29" t="s">
        <v>4663</v>
      </c>
      <c r="N2945" s="29" t="s">
        <v>1511</v>
      </c>
      <c r="O2945" s="29" t="s">
        <v>594</v>
      </c>
    </row>
    <row r="2946" spans="1:15">
      <c r="A2946" s="25">
        <v>21157</v>
      </c>
      <c r="B2946" s="26" t="s">
        <v>4664</v>
      </c>
      <c r="C2946" s="27" t="s">
        <v>521</v>
      </c>
      <c r="D2946" s="27" t="s">
        <v>1676</v>
      </c>
      <c r="E2946" s="28">
        <v>42871</v>
      </c>
      <c r="F2946" s="28">
        <v>43374</v>
      </c>
      <c r="G2946" s="28">
        <v>43738</v>
      </c>
      <c r="H2946" s="25" t="s">
        <v>560</v>
      </c>
      <c r="I2946" s="31" t="s">
        <v>560</v>
      </c>
      <c r="J2946" s="29" t="s">
        <v>1662</v>
      </c>
      <c r="K2946" s="29" t="s">
        <v>4662</v>
      </c>
      <c r="L2946" s="29" t="s">
        <v>4662</v>
      </c>
      <c r="M2946" s="29" t="s">
        <v>4665</v>
      </c>
      <c r="N2946" s="29" t="s">
        <v>1518</v>
      </c>
      <c r="O2946" s="29" t="s">
        <v>594</v>
      </c>
    </row>
    <row r="2947" spans="1:15">
      <c r="A2947" s="25">
        <v>22132</v>
      </c>
      <c r="B2947" s="34" t="s">
        <v>4666</v>
      </c>
      <c r="C2947" s="31" t="s">
        <v>521</v>
      </c>
      <c r="D2947" s="31" t="s">
        <v>758</v>
      </c>
      <c r="E2947" s="28">
        <v>43153</v>
      </c>
      <c r="F2947" s="28">
        <v>43181</v>
      </c>
      <c r="G2947" s="28">
        <v>43555</v>
      </c>
      <c r="H2947" s="29" t="s">
        <v>560</v>
      </c>
      <c r="I2947" s="29" t="s">
        <v>560</v>
      </c>
      <c r="J2947" s="29" t="s">
        <v>1662</v>
      </c>
      <c r="K2947" s="29" t="s">
        <v>4662</v>
      </c>
      <c r="L2947" s="29" t="s">
        <v>4662</v>
      </c>
      <c r="M2947" s="29" t="s">
        <v>4667</v>
      </c>
      <c r="N2947" s="29" t="s">
        <v>1518</v>
      </c>
      <c r="O2947" s="29" t="s">
        <v>594</v>
      </c>
    </row>
    <row r="2948" spans="1:15">
      <c r="A2948" s="25" t="s">
        <v>4668</v>
      </c>
      <c r="B2948" s="32" t="s">
        <v>4669</v>
      </c>
      <c r="C2948" s="27" t="s">
        <v>521</v>
      </c>
      <c r="D2948" s="27" t="s">
        <v>1366</v>
      </c>
      <c r="E2948" s="28">
        <v>41306</v>
      </c>
      <c r="F2948" s="28" t="s">
        <v>35</v>
      </c>
      <c r="G2948" s="28" t="s">
        <v>35</v>
      </c>
      <c r="H2948" s="29" t="s">
        <v>560</v>
      </c>
      <c r="I2948" s="29" t="s">
        <v>560</v>
      </c>
      <c r="J2948" s="29" t="s">
        <v>1662</v>
      </c>
      <c r="K2948" s="29" t="s">
        <v>4662</v>
      </c>
      <c r="L2948" s="29" t="s">
        <v>4662</v>
      </c>
      <c r="M2948" s="29" t="s">
        <v>4670</v>
      </c>
      <c r="N2948" s="29" t="s">
        <v>1518</v>
      </c>
      <c r="O2948" s="29" t="s">
        <v>594</v>
      </c>
    </row>
    <row r="2949" spans="1:15">
      <c r="A2949" s="25">
        <v>1143</v>
      </c>
      <c r="B2949" s="33" t="s">
        <v>4671</v>
      </c>
      <c r="C2949" s="27" t="s">
        <v>521</v>
      </c>
      <c r="D2949" s="27" t="s">
        <v>1247</v>
      </c>
      <c r="E2949" s="28">
        <v>37900</v>
      </c>
      <c r="F2949" s="28" t="s">
        <v>35</v>
      </c>
      <c r="G2949" s="28" t="s">
        <v>35</v>
      </c>
      <c r="H2949" s="31" t="s">
        <v>560</v>
      </c>
      <c r="I2949" s="31" t="s">
        <v>560</v>
      </c>
      <c r="J2949" s="29" t="s">
        <v>1662</v>
      </c>
      <c r="K2949" s="29" t="s">
        <v>4662</v>
      </c>
      <c r="L2949" s="29" t="s">
        <v>4662</v>
      </c>
      <c r="M2949" s="29" t="s">
        <v>4672</v>
      </c>
      <c r="N2949" s="29" t="s">
        <v>1511</v>
      </c>
      <c r="O2949" s="29" t="s">
        <v>590</v>
      </c>
    </row>
    <row r="2950" spans="1:15">
      <c r="A2950" s="25">
        <v>6030</v>
      </c>
      <c r="B2950" s="26" t="s">
        <v>4673</v>
      </c>
      <c r="C2950" s="27" t="s">
        <v>521</v>
      </c>
      <c r="D2950" s="27" t="s">
        <v>591</v>
      </c>
      <c r="E2950" s="28">
        <v>39142</v>
      </c>
      <c r="F2950" s="28" t="s">
        <v>35</v>
      </c>
      <c r="G2950" s="28" t="s">
        <v>35</v>
      </c>
      <c r="H2950" s="27" t="s">
        <v>560</v>
      </c>
      <c r="I2950" s="27" t="s">
        <v>560</v>
      </c>
      <c r="J2950" s="29" t="s">
        <v>1662</v>
      </c>
      <c r="K2950" s="29" t="s">
        <v>4662</v>
      </c>
      <c r="L2950" s="29" t="s">
        <v>4662</v>
      </c>
      <c r="M2950" s="29" t="s">
        <v>4667</v>
      </c>
      <c r="N2950" s="29" t="s">
        <v>1518</v>
      </c>
      <c r="O2950" s="29" t="s">
        <v>590</v>
      </c>
    </row>
    <row r="2951" spans="1:15">
      <c r="A2951" s="25">
        <v>12026</v>
      </c>
      <c r="B2951" s="26" t="s">
        <v>4674</v>
      </c>
      <c r="C2951" s="27" t="s">
        <v>521</v>
      </c>
      <c r="D2951" s="27" t="s">
        <v>4675</v>
      </c>
      <c r="E2951" s="28">
        <v>40777</v>
      </c>
      <c r="F2951" s="28" t="s">
        <v>35</v>
      </c>
      <c r="G2951" s="28" t="s">
        <v>35</v>
      </c>
      <c r="H2951" s="29" t="s">
        <v>560</v>
      </c>
      <c r="I2951" s="29" t="s">
        <v>560</v>
      </c>
      <c r="J2951" s="29" t="s">
        <v>1662</v>
      </c>
      <c r="K2951" s="29" t="s">
        <v>4662</v>
      </c>
      <c r="L2951" s="29" t="s">
        <v>4662</v>
      </c>
      <c r="M2951" s="29" t="s">
        <v>4665</v>
      </c>
      <c r="N2951" s="29" t="s">
        <v>1518</v>
      </c>
      <c r="O2951" s="29" t="s">
        <v>590</v>
      </c>
    </row>
    <row r="2952" spans="1:15">
      <c r="A2952" s="25">
        <v>21881</v>
      </c>
      <c r="B2952" s="34" t="s">
        <v>4676</v>
      </c>
      <c r="C2952" s="31" t="s">
        <v>521</v>
      </c>
      <c r="D2952" s="31" t="s">
        <v>1870</v>
      </c>
      <c r="E2952" s="28">
        <v>43103</v>
      </c>
      <c r="F2952" s="28">
        <v>43134</v>
      </c>
      <c r="G2952" s="28">
        <v>43496</v>
      </c>
      <c r="H2952" s="29" t="s">
        <v>560</v>
      </c>
      <c r="I2952" s="29" t="s">
        <v>560</v>
      </c>
      <c r="J2952" s="29" t="s">
        <v>1662</v>
      </c>
      <c r="K2952" s="29" t="s">
        <v>4662</v>
      </c>
      <c r="L2952" s="29" t="s">
        <v>4662</v>
      </c>
      <c r="M2952" s="29" t="s">
        <v>4670</v>
      </c>
      <c r="N2952" s="29" t="s">
        <v>1518</v>
      </c>
      <c r="O2952" s="29" t="s">
        <v>590</v>
      </c>
    </row>
    <row r="2953" spans="1:15">
      <c r="A2953" s="25">
        <v>86</v>
      </c>
      <c r="B2953" s="26" t="s">
        <v>4677</v>
      </c>
      <c r="C2953" s="27" t="s">
        <v>521</v>
      </c>
      <c r="D2953" s="27" t="s">
        <v>1106</v>
      </c>
      <c r="E2953" s="28">
        <v>37627</v>
      </c>
      <c r="F2953" s="28" t="s">
        <v>35</v>
      </c>
      <c r="G2953" s="28" t="s">
        <v>35</v>
      </c>
      <c r="H2953" s="29" t="s">
        <v>560</v>
      </c>
      <c r="I2953" s="29" t="s">
        <v>560</v>
      </c>
      <c r="J2953" s="29" t="s">
        <v>525</v>
      </c>
      <c r="K2953" s="29" t="s">
        <v>525</v>
      </c>
      <c r="L2953" s="29" t="s">
        <v>4678</v>
      </c>
      <c r="M2953" s="29" t="s">
        <v>4678</v>
      </c>
      <c r="N2953" s="29" t="s">
        <v>659</v>
      </c>
      <c r="O2953" s="29" t="s">
        <v>528</v>
      </c>
    </row>
    <row r="2954" spans="1:15">
      <c r="A2954" s="25">
        <v>156</v>
      </c>
      <c r="B2954" s="34" t="s">
        <v>4679</v>
      </c>
      <c r="C2954" s="31" t="s">
        <v>521</v>
      </c>
      <c r="D2954" s="29" t="s">
        <v>3241</v>
      </c>
      <c r="E2954" s="28">
        <v>37637</v>
      </c>
      <c r="F2954" s="28" t="s">
        <v>35</v>
      </c>
      <c r="G2954" s="28" t="s">
        <v>35</v>
      </c>
      <c r="H2954" s="29" t="s">
        <v>560</v>
      </c>
      <c r="I2954" s="29" t="s">
        <v>560</v>
      </c>
      <c r="J2954" s="29" t="s">
        <v>525</v>
      </c>
      <c r="K2954" s="29" t="s">
        <v>525</v>
      </c>
      <c r="L2954" s="29" t="s">
        <v>4678</v>
      </c>
      <c r="M2954" s="29" t="s">
        <v>4678</v>
      </c>
      <c r="N2954" s="29" t="s">
        <v>659</v>
      </c>
      <c r="O2954" s="29" t="s">
        <v>528</v>
      </c>
    </row>
    <row r="2955" spans="1:15">
      <c r="A2955" s="25">
        <v>244</v>
      </c>
      <c r="B2955" s="26" t="s">
        <v>4680</v>
      </c>
      <c r="C2955" s="27" t="s">
        <v>521</v>
      </c>
      <c r="D2955" s="27" t="s">
        <v>644</v>
      </c>
      <c r="E2955" s="28">
        <v>37704</v>
      </c>
      <c r="F2955" s="28" t="s">
        <v>35</v>
      </c>
      <c r="G2955" s="28" t="s">
        <v>35</v>
      </c>
      <c r="H2955" s="29" t="s">
        <v>560</v>
      </c>
      <c r="I2955" s="29" t="s">
        <v>560</v>
      </c>
      <c r="J2955" s="29" t="s">
        <v>525</v>
      </c>
      <c r="K2955" s="29" t="s">
        <v>525</v>
      </c>
      <c r="L2955" s="29" t="s">
        <v>4678</v>
      </c>
      <c r="M2955" s="29" t="s">
        <v>4678</v>
      </c>
      <c r="N2955" s="29" t="s">
        <v>659</v>
      </c>
      <c r="O2955" s="29" t="s">
        <v>528</v>
      </c>
    </row>
    <row r="2956" spans="1:15">
      <c r="A2956" s="25">
        <v>607</v>
      </c>
      <c r="B2956" s="33" t="s">
        <v>4681</v>
      </c>
      <c r="C2956" s="27" t="s">
        <v>521</v>
      </c>
      <c r="D2956" s="27" t="s">
        <v>783</v>
      </c>
      <c r="E2956" s="28">
        <v>37781</v>
      </c>
      <c r="F2956" s="28" t="s">
        <v>35</v>
      </c>
      <c r="G2956" s="28" t="s">
        <v>35</v>
      </c>
      <c r="H2956" s="29" t="s">
        <v>560</v>
      </c>
      <c r="I2956" s="29" t="s">
        <v>560</v>
      </c>
      <c r="J2956" s="29" t="s">
        <v>525</v>
      </c>
      <c r="K2956" s="29" t="s">
        <v>525</v>
      </c>
      <c r="L2956" s="29" t="s">
        <v>4678</v>
      </c>
      <c r="M2956" s="29" t="s">
        <v>4678</v>
      </c>
      <c r="N2956" s="29" t="s">
        <v>659</v>
      </c>
      <c r="O2956" s="29" t="s">
        <v>528</v>
      </c>
    </row>
    <row r="2957" spans="1:15">
      <c r="A2957" s="25">
        <v>899</v>
      </c>
      <c r="B2957" s="26" t="s">
        <v>4682</v>
      </c>
      <c r="C2957" s="27" t="s">
        <v>521</v>
      </c>
      <c r="D2957" s="27" t="s">
        <v>754</v>
      </c>
      <c r="E2957" s="28">
        <v>37858</v>
      </c>
      <c r="F2957" s="28" t="s">
        <v>35</v>
      </c>
      <c r="G2957" s="28" t="s">
        <v>35</v>
      </c>
      <c r="H2957" s="29" t="s">
        <v>560</v>
      </c>
      <c r="I2957" s="29" t="s">
        <v>560</v>
      </c>
      <c r="J2957" s="29" t="s">
        <v>525</v>
      </c>
      <c r="K2957" s="29" t="s">
        <v>525</v>
      </c>
      <c r="L2957" s="29" t="s">
        <v>4678</v>
      </c>
      <c r="M2957" s="29" t="s">
        <v>4678</v>
      </c>
      <c r="N2957" s="29" t="s">
        <v>659</v>
      </c>
      <c r="O2957" s="29" t="s">
        <v>528</v>
      </c>
    </row>
    <row r="2958" spans="1:15">
      <c r="A2958" s="25">
        <v>1146</v>
      </c>
      <c r="B2958" s="33" t="s">
        <v>4683</v>
      </c>
      <c r="C2958" s="27" t="s">
        <v>521</v>
      </c>
      <c r="D2958" s="27" t="s">
        <v>1247</v>
      </c>
      <c r="E2958" s="28">
        <v>37900</v>
      </c>
      <c r="F2958" s="28" t="s">
        <v>35</v>
      </c>
      <c r="G2958" s="28" t="s">
        <v>35</v>
      </c>
      <c r="H2958" s="29" t="s">
        <v>560</v>
      </c>
      <c r="I2958" s="29" t="s">
        <v>560</v>
      </c>
      <c r="J2958" s="29" t="s">
        <v>525</v>
      </c>
      <c r="K2958" s="29" t="s">
        <v>525</v>
      </c>
      <c r="L2958" s="29" t="s">
        <v>4678</v>
      </c>
      <c r="M2958" s="29" t="s">
        <v>4678</v>
      </c>
      <c r="N2958" s="29" t="s">
        <v>659</v>
      </c>
      <c r="O2958" s="29" t="s">
        <v>528</v>
      </c>
    </row>
    <row r="2959" spans="1:15">
      <c r="A2959" s="25">
        <v>1190</v>
      </c>
      <c r="B2959" s="26" t="s">
        <v>4684</v>
      </c>
      <c r="C2959" s="27" t="s">
        <v>521</v>
      </c>
      <c r="D2959" s="27" t="s">
        <v>1468</v>
      </c>
      <c r="E2959" s="28">
        <v>37907</v>
      </c>
      <c r="F2959" s="28" t="s">
        <v>35</v>
      </c>
      <c r="G2959" s="28" t="s">
        <v>35</v>
      </c>
      <c r="H2959" s="29" t="s">
        <v>560</v>
      </c>
      <c r="I2959" s="29" t="s">
        <v>560</v>
      </c>
      <c r="J2959" s="29" t="s">
        <v>525</v>
      </c>
      <c r="K2959" s="29" t="s">
        <v>525</v>
      </c>
      <c r="L2959" s="29" t="s">
        <v>4678</v>
      </c>
      <c r="M2959" s="29" t="s">
        <v>4678</v>
      </c>
      <c r="N2959" s="29" t="s">
        <v>659</v>
      </c>
      <c r="O2959" s="29" t="s">
        <v>528</v>
      </c>
    </row>
    <row r="2960" spans="1:15">
      <c r="A2960" s="25">
        <v>1268</v>
      </c>
      <c r="B2960" s="26" t="s">
        <v>4685</v>
      </c>
      <c r="C2960" s="27" t="s">
        <v>521</v>
      </c>
      <c r="D2960" s="27" t="s">
        <v>1458</v>
      </c>
      <c r="E2960" s="28">
        <v>37921</v>
      </c>
      <c r="F2960" s="28" t="s">
        <v>35</v>
      </c>
      <c r="G2960" s="28" t="s">
        <v>35</v>
      </c>
      <c r="H2960" s="29" t="s">
        <v>560</v>
      </c>
      <c r="I2960" s="29" t="s">
        <v>560</v>
      </c>
      <c r="J2960" s="29" t="s">
        <v>525</v>
      </c>
      <c r="K2960" s="29" t="s">
        <v>525</v>
      </c>
      <c r="L2960" s="29" t="s">
        <v>4678</v>
      </c>
      <c r="M2960" s="29" t="s">
        <v>4678</v>
      </c>
      <c r="N2960" s="29" t="s">
        <v>659</v>
      </c>
      <c r="O2960" s="29" t="s">
        <v>528</v>
      </c>
    </row>
    <row r="2961" spans="1:15">
      <c r="A2961" s="25">
        <v>3721</v>
      </c>
      <c r="B2961" s="34" t="s">
        <v>2363</v>
      </c>
      <c r="C2961" s="31" t="s">
        <v>521</v>
      </c>
      <c r="D2961" s="31" t="s">
        <v>4686</v>
      </c>
      <c r="E2961" s="28">
        <v>38626</v>
      </c>
      <c r="F2961" s="28" t="s">
        <v>35</v>
      </c>
      <c r="G2961" s="28" t="s">
        <v>35</v>
      </c>
      <c r="H2961" s="29" t="s">
        <v>560</v>
      </c>
      <c r="I2961" s="29" t="s">
        <v>560</v>
      </c>
      <c r="J2961" s="29" t="s">
        <v>525</v>
      </c>
      <c r="K2961" s="29" t="s">
        <v>525</v>
      </c>
      <c r="L2961" s="29" t="s">
        <v>4678</v>
      </c>
      <c r="M2961" s="29" t="s">
        <v>4678</v>
      </c>
      <c r="N2961" s="29" t="s">
        <v>659</v>
      </c>
      <c r="O2961" s="29" t="s">
        <v>528</v>
      </c>
    </row>
    <row r="2962" spans="1:15">
      <c r="A2962" s="25">
        <v>3959</v>
      </c>
      <c r="B2962" s="33" t="s">
        <v>4687</v>
      </c>
      <c r="C2962" s="27" t="s">
        <v>521</v>
      </c>
      <c r="D2962" s="27" t="s">
        <v>4688</v>
      </c>
      <c r="E2962" s="28">
        <v>38722</v>
      </c>
      <c r="F2962" s="28" t="s">
        <v>35</v>
      </c>
      <c r="G2962" s="28" t="s">
        <v>35</v>
      </c>
      <c r="H2962" s="29" t="s">
        <v>560</v>
      </c>
      <c r="I2962" s="29" t="s">
        <v>560</v>
      </c>
      <c r="J2962" s="29" t="s">
        <v>525</v>
      </c>
      <c r="K2962" s="29" t="s">
        <v>525</v>
      </c>
      <c r="L2962" s="29" t="s">
        <v>4678</v>
      </c>
      <c r="M2962" s="29" t="s">
        <v>4678</v>
      </c>
      <c r="N2962" s="29" t="s">
        <v>659</v>
      </c>
      <c r="O2962" s="29" t="s">
        <v>528</v>
      </c>
    </row>
    <row r="2963" spans="1:15">
      <c r="A2963" s="25">
        <v>5401</v>
      </c>
      <c r="B2963" s="34" t="s">
        <v>4689</v>
      </c>
      <c r="C2963" s="31" t="s">
        <v>521</v>
      </c>
      <c r="D2963" s="31" t="s">
        <v>760</v>
      </c>
      <c r="E2963" s="28">
        <v>38991</v>
      </c>
      <c r="F2963" s="28" t="s">
        <v>35</v>
      </c>
      <c r="G2963" s="28" t="s">
        <v>35</v>
      </c>
      <c r="H2963" s="29" t="s">
        <v>560</v>
      </c>
      <c r="I2963" s="29" t="s">
        <v>560</v>
      </c>
      <c r="J2963" s="29" t="s">
        <v>525</v>
      </c>
      <c r="K2963" s="29" t="s">
        <v>525</v>
      </c>
      <c r="L2963" s="29" t="s">
        <v>4678</v>
      </c>
      <c r="M2963" s="29" t="s">
        <v>4678</v>
      </c>
      <c r="N2963" s="29" t="s">
        <v>659</v>
      </c>
      <c r="O2963" s="29" t="s">
        <v>528</v>
      </c>
    </row>
    <row r="2964" spans="1:15">
      <c r="A2964" s="25">
        <v>5421</v>
      </c>
      <c r="B2964" s="26" t="s">
        <v>4690</v>
      </c>
      <c r="C2964" s="27" t="s">
        <v>521</v>
      </c>
      <c r="D2964" s="27" t="s">
        <v>760</v>
      </c>
      <c r="E2964" s="28">
        <v>38991</v>
      </c>
      <c r="F2964" s="28" t="s">
        <v>35</v>
      </c>
      <c r="G2964" s="28" t="s">
        <v>35</v>
      </c>
      <c r="H2964" s="27" t="s">
        <v>560</v>
      </c>
      <c r="I2964" s="27" t="s">
        <v>560</v>
      </c>
      <c r="J2964" s="29" t="s">
        <v>525</v>
      </c>
      <c r="K2964" s="29" t="s">
        <v>525</v>
      </c>
      <c r="L2964" s="29" t="s">
        <v>4678</v>
      </c>
      <c r="M2964" s="29" t="s">
        <v>4678</v>
      </c>
      <c r="N2964" s="29" t="s">
        <v>659</v>
      </c>
      <c r="O2964" s="29" t="s">
        <v>528</v>
      </c>
    </row>
    <row r="2965" spans="1:15">
      <c r="A2965" s="25">
        <v>5432</v>
      </c>
      <c r="B2965" s="26" t="s">
        <v>4691</v>
      </c>
      <c r="C2965" s="27" t="s">
        <v>521</v>
      </c>
      <c r="D2965" s="27" t="s">
        <v>760</v>
      </c>
      <c r="E2965" s="28">
        <v>38991</v>
      </c>
      <c r="F2965" s="28" t="s">
        <v>35</v>
      </c>
      <c r="G2965" s="28" t="s">
        <v>35</v>
      </c>
      <c r="H2965" s="29" t="s">
        <v>560</v>
      </c>
      <c r="I2965" s="29" t="s">
        <v>560</v>
      </c>
      <c r="J2965" s="29" t="s">
        <v>525</v>
      </c>
      <c r="K2965" s="29" t="s">
        <v>525</v>
      </c>
      <c r="L2965" s="29" t="s">
        <v>4678</v>
      </c>
      <c r="M2965" s="29" t="s">
        <v>4678</v>
      </c>
      <c r="N2965" s="29" t="s">
        <v>659</v>
      </c>
      <c r="O2965" s="29" t="s">
        <v>528</v>
      </c>
    </row>
    <row r="2966" spans="1:15">
      <c r="A2966" s="25">
        <v>5472</v>
      </c>
      <c r="B2966" s="26" t="s">
        <v>4692</v>
      </c>
      <c r="C2966" s="27" t="s">
        <v>521</v>
      </c>
      <c r="D2966" s="27" t="s">
        <v>760</v>
      </c>
      <c r="E2966" s="28">
        <v>38991</v>
      </c>
      <c r="F2966" s="28" t="s">
        <v>35</v>
      </c>
      <c r="G2966" s="28" t="s">
        <v>35</v>
      </c>
      <c r="H2966" s="27" t="s">
        <v>560</v>
      </c>
      <c r="I2966" s="27" t="s">
        <v>560</v>
      </c>
      <c r="J2966" s="29" t="s">
        <v>525</v>
      </c>
      <c r="K2966" s="29" t="s">
        <v>525</v>
      </c>
      <c r="L2966" s="29" t="s">
        <v>4678</v>
      </c>
      <c r="M2966" s="29" t="s">
        <v>4678</v>
      </c>
      <c r="N2966" s="29" t="s">
        <v>659</v>
      </c>
      <c r="O2966" s="29" t="s">
        <v>528</v>
      </c>
    </row>
    <row r="2967" spans="1:15">
      <c r="A2967" s="25">
        <v>5745</v>
      </c>
      <c r="B2967" s="32" t="s">
        <v>4693</v>
      </c>
      <c r="C2967" s="27" t="s">
        <v>521</v>
      </c>
      <c r="D2967" s="27" t="s">
        <v>790</v>
      </c>
      <c r="E2967" s="28">
        <v>39098</v>
      </c>
      <c r="F2967" s="28" t="s">
        <v>35</v>
      </c>
      <c r="G2967" s="28" t="s">
        <v>35</v>
      </c>
      <c r="H2967" s="29" t="s">
        <v>560</v>
      </c>
      <c r="I2967" s="29" t="s">
        <v>560</v>
      </c>
      <c r="J2967" s="29" t="s">
        <v>525</v>
      </c>
      <c r="K2967" s="29" t="s">
        <v>525</v>
      </c>
      <c r="L2967" s="29" t="s">
        <v>4678</v>
      </c>
      <c r="M2967" s="29" t="s">
        <v>4678</v>
      </c>
      <c r="N2967" s="29" t="s">
        <v>659</v>
      </c>
      <c r="O2967" s="29" t="s">
        <v>528</v>
      </c>
    </row>
    <row r="2968" spans="1:15">
      <c r="A2968" s="25">
        <v>5783</v>
      </c>
      <c r="B2968" s="34" t="s">
        <v>4694</v>
      </c>
      <c r="C2968" s="27" t="s">
        <v>521</v>
      </c>
      <c r="D2968" s="27" t="s">
        <v>794</v>
      </c>
      <c r="E2968" s="28">
        <v>39114</v>
      </c>
      <c r="F2968" s="28" t="s">
        <v>35</v>
      </c>
      <c r="G2968" s="28" t="s">
        <v>35</v>
      </c>
      <c r="H2968" s="27" t="s">
        <v>560</v>
      </c>
      <c r="I2968" s="27" t="s">
        <v>560</v>
      </c>
      <c r="J2968" s="29" t="s">
        <v>525</v>
      </c>
      <c r="K2968" s="29" t="s">
        <v>525</v>
      </c>
      <c r="L2968" s="29" t="s">
        <v>4678</v>
      </c>
      <c r="M2968" s="29" t="s">
        <v>4678</v>
      </c>
      <c r="N2968" s="29" t="s">
        <v>659</v>
      </c>
      <c r="O2968" s="29" t="s">
        <v>528</v>
      </c>
    </row>
    <row r="2969" spans="1:15">
      <c r="A2969" s="25">
        <v>5893</v>
      </c>
      <c r="B2969" s="26" t="s">
        <v>4695</v>
      </c>
      <c r="C2969" s="27" t="s">
        <v>521</v>
      </c>
      <c r="D2969" s="27" t="s">
        <v>713</v>
      </c>
      <c r="E2969" s="28">
        <v>39129</v>
      </c>
      <c r="F2969" s="28" t="s">
        <v>35</v>
      </c>
      <c r="G2969" s="28" t="s">
        <v>35</v>
      </c>
      <c r="H2969" s="27" t="s">
        <v>560</v>
      </c>
      <c r="I2969" s="27" t="s">
        <v>560</v>
      </c>
      <c r="J2969" s="29" t="s">
        <v>525</v>
      </c>
      <c r="K2969" s="29" t="s">
        <v>525</v>
      </c>
      <c r="L2969" s="29" t="s">
        <v>4678</v>
      </c>
      <c r="M2969" s="29" t="s">
        <v>4678</v>
      </c>
      <c r="N2969" s="29" t="s">
        <v>659</v>
      </c>
      <c r="O2969" s="29" t="s">
        <v>528</v>
      </c>
    </row>
    <row r="2970" spans="1:15">
      <c r="A2970" s="25">
        <v>5940</v>
      </c>
      <c r="B2970" s="26" t="s">
        <v>164</v>
      </c>
      <c r="C2970" s="27" t="s">
        <v>521</v>
      </c>
      <c r="D2970" s="27" t="s">
        <v>713</v>
      </c>
      <c r="E2970" s="28">
        <v>39129</v>
      </c>
      <c r="F2970" s="28" t="s">
        <v>35</v>
      </c>
      <c r="G2970" s="28" t="s">
        <v>35</v>
      </c>
      <c r="H2970" s="29" t="s">
        <v>560</v>
      </c>
      <c r="I2970" s="29" t="s">
        <v>560</v>
      </c>
      <c r="J2970" s="29" t="s">
        <v>525</v>
      </c>
      <c r="K2970" s="29" t="s">
        <v>525</v>
      </c>
      <c r="L2970" s="29" t="s">
        <v>4678</v>
      </c>
      <c r="M2970" s="29" t="s">
        <v>4678</v>
      </c>
      <c r="N2970" s="29" t="s">
        <v>659</v>
      </c>
      <c r="O2970" s="29" t="s">
        <v>528</v>
      </c>
    </row>
    <row r="2971" spans="1:15">
      <c r="A2971" s="25">
        <v>5943</v>
      </c>
      <c r="B2971" s="33" t="s">
        <v>4696</v>
      </c>
      <c r="C2971" s="27" t="s">
        <v>521</v>
      </c>
      <c r="D2971" s="27" t="s">
        <v>713</v>
      </c>
      <c r="E2971" s="28">
        <v>39129</v>
      </c>
      <c r="F2971" s="28" t="s">
        <v>35</v>
      </c>
      <c r="G2971" s="28" t="s">
        <v>35</v>
      </c>
      <c r="H2971" s="29" t="s">
        <v>560</v>
      </c>
      <c r="I2971" s="29" t="s">
        <v>560</v>
      </c>
      <c r="J2971" s="29" t="s">
        <v>525</v>
      </c>
      <c r="K2971" s="29" t="s">
        <v>525</v>
      </c>
      <c r="L2971" s="29" t="s">
        <v>4678</v>
      </c>
      <c r="M2971" s="29" t="s">
        <v>4678</v>
      </c>
      <c r="N2971" s="29" t="s">
        <v>659</v>
      </c>
      <c r="O2971" s="29" t="s">
        <v>528</v>
      </c>
    </row>
    <row r="2972" spans="1:15">
      <c r="A2972" s="25">
        <v>5948</v>
      </c>
      <c r="B2972" s="26" t="s">
        <v>4697</v>
      </c>
      <c r="C2972" s="27" t="s">
        <v>521</v>
      </c>
      <c r="D2972" s="27" t="s">
        <v>713</v>
      </c>
      <c r="E2972" s="28">
        <v>39129</v>
      </c>
      <c r="F2972" s="28" t="s">
        <v>35</v>
      </c>
      <c r="G2972" s="28" t="s">
        <v>35</v>
      </c>
      <c r="H2972" s="29" t="s">
        <v>560</v>
      </c>
      <c r="I2972" s="29" t="s">
        <v>560</v>
      </c>
      <c r="J2972" s="29" t="s">
        <v>525</v>
      </c>
      <c r="K2972" s="29" t="s">
        <v>525</v>
      </c>
      <c r="L2972" s="29" t="s">
        <v>4678</v>
      </c>
      <c r="M2972" s="29" t="s">
        <v>4678</v>
      </c>
      <c r="N2972" s="29" t="s">
        <v>659</v>
      </c>
      <c r="O2972" s="29" t="s">
        <v>528</v>
      </c>
    </row>
    <row r="2973" spans="1:15">
      <c r="A2973" s="25">
        <v>8672</v>
      </c>
      <c r="B2973" s="26" t="s">
        <v>4698</v>
      </c>
      <c r="C2973" s="27" t="s">
        <v>521</v>
      </c>
      <c r="D2973" s="27" t="s">
        <v>1493</v>
      </c>
      <c r="E2973" s="28">
        <v>39878</v>
      </c>
      <c r="F2973" s="28" t="s">
        <v>35</v>
      </c>
      <c r="G2973" s="28" t="s">
        <v>35</v>
      </c>
      <c r="H2973" s="29" t="s">
        <v>560</v>
      </c>
      <c r="I2973" s="29" t="s">
        <v>560</v>
      </c>
      <c r="J2973" s="29" t="s">
        <v>525</v>
      </c>
      <c r="K2973" s="29" t="s">
        <v>525</v>
      </c>
      <c r="L2973" s="29" t="s">
        <v>4678</v>
      </c>
      <c r="M2973" s="29" t="s">
        <v>4678</v>
      </c>
      <c r="N2973" s="29" t="s">
        <v>659</v>
      </c>
      <c r="O2973" s="29" t="s">
        <v>528</v>
      </c>
    </row>
    <row r="2974" spans="1:15">
      <c r="A2974" s="25">
        <v>8807</v>
      </c>
      <c r="B2974" s="26" t="s">
        <v>4699</v>
      </c>
      <c r="C2974" s="27" t="s">
        <v>521</v>
      </c>
      <c r="D2974" s="27" t="s">
        <v>747</v>
      </c>
      <c r="E2974" s="28">
        <v>39931</v>
      </c>
      <c r="F2974" s="28" t="s">
        <v>35</v>
      </c>
      <c r="G2974" s="28" t="s">
        <v>35</v>
      </c>
      <c r="H2974" s="29" t="s">
        <v>560</v>
      </c>
      <c r="I2974" s="29" t="s">
        <v>560</v>
      </c>
      <c r="J2974" s="29" t="s">
        <v>525</v>
      </c>
      <c r="K2974" s="29" t="s">
        <v>525</v>
      </c>
      <c r="L2974" s="29" t="s">
        <v>4678</v>
      </c>
      <c r="M2974" s="29" t="s">
        <v>4678</v>
      </c>
      <c r="N2974" s="29" t="s">
        <v>659</v>
      </c>
      <c r="O2974" s="29" t="s">
        <v>528</v>
      </c>
    </row>
    <row r="2975" spans="1:15">
      <c r="A2975" s="25">
        <v>8846</v>
      </c>
      <c r="B2975" s="26" t="s">
        <v>1900</v>
      </c>
      <c r="C2975" s="27" t="s">
        <v>521</v>
      </c>
      <c r="D2975" s="27" t="s">
        <v>813</v>
      </c>
      <c r="E2975" s="28">
        <v>39937</v>
      </c>
      <c r="F2975" s="28" t="s">
        <v>35</v>
      </c>
      <c r="G2975" s="28" t="s">
        <v>35</v>
      </c>
      <c r="H2975" s="27" t="s">
        <v>560</v>
      </c>
      <c r="I2975" s="27" t="s">
        <v>560</v>
      </c>
      <c r="J2975" s="29" t="s">
        <v>525</v>
      </c>
      <c r="K2975" s="29" t="s">
        <v>525</v>
      </c>
      <c r="L2975" s="29" t="s">
        <v>4678</v>
      </c>
      <c r="M2975" s="29" t="s">
        <v>4678</v>
      </c>
      <c r="N2975" s="29" t="s">
        <v>659</v>
      </c>
      <c r="O2975" s="29" t="s">
        <v>528</v>
      </c>
    </row>
    <row r="2976" spans="1:15">
      <c r="A2976" s="25">
        <v>9012</v>
      </c>
      <c r="B2976" s="26" t="s">
        <v>4700</v>
      </c>
      <c r="C2976" s="27" t="s">
        <v>521</v>
      </c>
      <c r="D2976" s="27" t="s">
        <v>715</v>
      </c>
      <c r="E2976" s="28">
        <v>39975</v>
      </c>
      <c r="F2976" s="28" t="s">
        <v>35</v>
      </c>
      <c r="G2976" s="28" t="s">
        <v>35</v>
      </c>
      <c r="H2976" s="27" t="s">
        <v>560</v>
      </c>
      <c r="I2976" s="27" t="s">
        <v>560</v>
      </c>
      <c r="J2976" s="29" t="s">
        <v>525</v>
      </c>
      <c r="K2976" s="29" t="s">
        <v>525</v>
      </c>
      <c r="L2976" s="29" t="s">
        <v>4678</v>
      </c>
      <c r="M2976" s="29" t="s">
        <v>4678</v>
      </c>
      <c r="N2976" s="29" t="s">
        <v>659</v>
      </c>
      <c r="O2976" s="29" t="s">
        <v>528</v>
      </c>
    </row>
    <row r="2977" spans="1:15">
      <c r="A2977" s="25">
        <v>9028</v>
      </c>
      <c r="B2977" s="26" t="s">
        <v>4701</v>
      </c>
      <c r="C2977" s="27" t="s">
        <v>521</v>
      </c>
      <c r="D2977" s="27" t="s">
        <v>715</v>
      </c>
      <c r="E2977" s="28">
        <v>39975</v>
      </c>
      <c r="F2977" s="28" t="s">
        <v>35</v>
      </c>
      <c r="G2977" s="28" t="s">
        <v>35</v>
      </c>
      <c r="H2977" s="27" t="s">
        <v>560</v>
      </c>
      <c r="I2977" s="27" t="s">
        <v>560</v>
      </c>
      <c r="J2977" s="29" t="s">
        <v>525</v>
      </c>
      <c r="K2977" s="29" t="s">
        <v>525</v>
      </c>
      <c r="L2977" s="29" t="s">
        <v>4678</v>
      </c>
      <c r="M2977" s="29" t="s">
        <v>4678</v>
      </c>
      <c r="N2977" s="29" t="s">
        <v>659</v>
      </c>
      <c r="O2977" s="29" t="s">
        <v>528</v>
      </c>
    </row>
    <row r="2978" spans="1:15">
      <c r="A2978" s="25">
        <v>9239</v>
      </c>
      <c r="B2978" s="26" t="s">
        <v>4702</v>
      </c>
      <c r="C2978" s="27" t="s">
        <v>521</v>
      </c>
      <c r="D2978" s="27" t="s">
        <v>658</v>
      </c>
      <c r="E2978" s="28">
        <v>40008</v>
      </c>
      <c r="F2978" s="28" t="s">
        <v>35</v>
      </c>
      <c r="G2978" s="28" t="s">
        <v>35</v>
      </c>
      <c r="H2978" s="27" t="s">
        <v>560</v>
      </c>
      <c r="I2978" s="27" t="s">
        <v>560</v>
      </c>
      <c r="J2978" s="29" t="s">
        <v>525</v>
      </c>
      <c r="K2978" s="29" t="s">
        <v>525</v>
      </c>
      <c r="L2978" s="29" t="s">
        <v>4678</v>
      </c>
      <c r="M2978" s="29" t="s">
        <v>4678</v>
      </c>
      <c r="N2978" s="29" t="s">
        <v>659</v>
      </c>
      <c r="O2978" s="29" t="s">
        <v>528</v>
      </c>
    </row>
    <row r="2979" spans="1:15">
      <c r="A2979" s="25">
        <v>9481</v>
      </c>
      <c r="B2979" s="26" t="s">
        <v>4703</v>
      </c>
      <c r="C2979" s="27" t="s">
        <v>521</v>
      </c>
      <c r="D2979" s="27" t="s">
        <v>658</v>
      </c>
      <c r="E2979" s="28">
        <v>40148</v>
      </c>
      <c r="F2979" s="28" t="s">
        <v>35</v>
      </c>
      <c r="G2979" s="28" t="s">
        <v>35</v>
      </c>
      <c r="H2979" s="29" t="s">
        <v>560</v>
      </c>
      <c r="I2979" s="29" t="s">
        <v>560</v>
      </c>
      <c r="J2979" s="29" t="s">
        <v>525</v>
      </c>
      <c r="K2979" s="29" t="s">
        <v>525</v>
      </c>
      <c r="L2979" s="29" t="s">
        <v>4678</v>
      </c>
      <c r="M2979" s="29" t="s">
        <v>4678</v>
      </c>
      <c r="N2979" s="29" t="s">
        <v>659</v>
      </c>
      <c r="O2979" s="29" t="s">
        <v>528</v>
      </c>
    </row>
    <row r="2980" spans="1:15">
      <c r="A2980" s="25">
        <v>9578</v>
      </c>
      <c r="B2980" s="26" t="s">
        <v>4704</v>
      </c>
      <c r="C2980" s="27" t="s">
        <v>521</v>
      </c>
      <c r="D2980" s="27" t="s">
        <v>1598</v>
      </c>
      <c r="E2980" s="28">
        <v>40179</v>
      </c>
      <c r="F2980" s="28" t="s">
        <v>35</v>
      </c>
      <c r="G2980" s="28" t="s">
        <v>35</v>
      </c>
      <c r="H2980" s="27" t="s">
        <v>560</v>
      </c>
      <c r="I2980" s="27" t="s">
        <v>560</v>
      </c>
      <c r="J2980" s="29" t="s">
        <v>525</v>
      </c>
      <c r="K2980" s="29" t="s">
        <v>525</v>
      </c>
      <c r="L2980" s="29" t="s">
        <v>4678</v>
      </c>
      <c r="M2980" s="29" t="s">
        <v>4678</v>
      </c>
      <c r="N2980" s="29" t="s">
        <v>659</v>
      </c>
      <c r="O2980" s="29" t="s">
        <v>528</v>
      </c>
    </row>
    <row r="2981" spans="1:15">
      <c r="A2981" s="25">
        <v>9598</v>
      </c>
      <c r="B2981" s="26" t="s">
        <v>4705</v>
      </c>
      <c r="C2981" s="27" t="s">
        <v>521</v>
      </c>
      <c r="D2981" s="27" t="s">
        <v>1598</v>
      </c>
      <c r="E2981" s="28">
        <v>40179</v>
      </c>
      <c r="F2981" s="28" t="s">
        <v>35</v>
      </c>
      <c r="G2981" s="28" t="s">
        <v>35</v>
      </c>
      <c r="H2981" s="27" t="s">
        <v>560</v>
      </c>
      <c r="I2981" s="27" t="s">
        <v>560</v>
      </c>
      <c r="J2981" s="29" t="s">
        <v>525</v>
      </c>
      <c r="K2981" s="29" t="s">
        <v>525</v>
      </c>
      <c r="L2981" s="29" t="s">
        <v>4678</v>
      </c>
      <c r="M2981" s="29" t="s">
        <v>4678</v>
      </c>
      <c r="N2981" s="29" t="s">
        <v>659</v>
      </c>
      <c r="O2981" s="29" t="s">
        <v>528</v>
      </c>
    </row>
    <row r="2982" spans="1:15">
      <c r="A2982" s="25">
        <v>9639</v>
      </c>
      <c r="B2982" s="26" t="s">
        <v>4706</v>
      </c>
      <c r="C2982" s="31" t="s">
        <v>521</v>
      </c>
      <c r="D2982" s="27" t="s">
        <v>1598</v>
      </c>
      <c r="E2982" s="28">
        <v>40179</v>
      </c>
      <c r="F2982" s="28" t="s">
        <v>35</v>
      </c>
      <c r="G2982" s="28" t="s">
        <v>35</v>
      </c>
      <c r="H2982" s="29" t="s">
        <v>560</v>
      </c>
      <c r="I2982" s="29" t="s">
        <v>560</v>
      </c>
      <c r="J2982" s="29" t="s">
        <v>525</v>
      </c>
      <c r="K2982" s="29" t="s">
        <v>525</v>
      </c>
      <c r="L2982" s="29" t="s">
        <v>4678</v>
      </c>
      <c r="M2982" s="29" t="s">
        <v>4678</v>
      </c>
      <c r="N2982" s="29" t="s">
        <v>659</v>
      </c>
      <c r="O2982" s="29" t="s">
        <v>528</v>
      </c>
    </row>
    <row r="2983" spans="1:15">
      <c r="A2983" s="25">
        <v>9681</v>
      </c>
      <c r="B2983" s="26" t="s">
        <v>4707</v>
      </c>
      <c r="C2983" s="27" t="s">
        <v>521</v>
      </c>
      <c r="D2983" s="27" t="s">
        <v>677</v>
      </c>
      <c r="E2983" s="28">
        <v>40297</v>
      </c>
      <c r="F2983" s="28" t="s">
        <v>35</v>
      </c>
      <c r="G2983" s="28" t="s">
        <v>35</v>
      </c>
      <c r="H2983" s="27" t="s">
        <v>560</v>
      </c>
      <c r="I2983" s="27" t="s">
        <v>560</v>
      </c>
      <c r="J2983" s="29" t="s">
        <v>525</v>
      </c>
      <c r="K2983" s="29" t="s">
        <v>525</v>
      </c>
      <c r="L2983" s="29" t="s">
        <v>4678</v>
      </c>
      <c r="M2983" s="29" t="s">
        <v>4678</v>
      </c>
      <c r="N2983" s="29" t="s">
        <v>659</v>
      </c>
      <c r="O2983" s="29" t="s">
        <v>528</v>
      </c>
    </row>
    <row r="2984" spans="1:15">
      <c r="A2984" s="25">
        <v>9970</v>
      </c>
      <c r="B2984" s="26" t="s">
        <v>4708</v>
      </c>
      <c r="C2984" s="27" t="s">
        <v>521</v>
      </c>
      <c r="D2984" s="27" t="s">
        <v>803</v>
      </c>
      <c r="E2984" s="28">
        <v>40431</v>
      </c>
      <c r="F2984" s="28" t="s">
        <v>35</v>
      </c>
      <c r="G2984" s="28" t="s">
        <v>35</v>
      </c>
      <c r="H2984" s="29" t="s">
        <v>560</v>
      </c>
      <c r="I2984" s="29" t="s">
        <v>560</v>
      </c>
      <c r="J2984" s="29" t="s">
        <v>525</v>
      </c>
      <c r="K2984" s="29" t="s">
        <v>525</v>
      </c>
      <c r="L2984" s="29" t="s">
        <v>4678</v>
      </c>
      <c r="M2984" s="29" t="s">
        <v>4678</v>
      </c>
      <c r="N2984" s="29" t="s">
        <v>659</v>
      </c>
      <c r="O2984" s="29" t="s">
        <v>528</v>
      </c>
    </row>
    <row r="2985" spans="1:15">
      <c r="A2985" s="25">
        <v>10113</v>
      </c>
      <c r="B2985" s="26" t="s">
        <v>4709</v>
      </c>
      <c r="C2985" s="27" t="s">
        <v>521</v>
      </c>
      <c r="D2985" s="27" t="s">
        <v>601</v>
      </c>
      <c r="E2985" s="28">
        <v>40444</v>
      </c>
      <c r="F2985" s="28" t="s">
        <v>35</v>
      </c>
      <c r="G2985" s="28" t="s">
        <v>35</v>
      </c>
      <c r="H2985" s="27" t="s">
        <v>560</v>
      </c>
      <c r="I2985" s="27" t="s">
        <v>560</v>
      </c>
      <c r="J2985" s="29" t="s">
        <v>525</v>
      </c>
      <c r="K2985" s="29" t="s">
        <v>525</v>
      </c>
      <c r="L2985" s="29" t="s">
        <v>4678</v>
      </c>
      <c r="M2985" s="29" t="s">
        <v>4678</v>
      </c>
      <c r="N2985" s="29" t="s">
        <v>659</v>
      </c>
      <c r="O2985" s="29" t="s">
        <v>528</v>
      </c>
    </row>
    <row r="2986" spans="1:15">
      <c r="A2986" s="25">
        <v>10179</v>
      </c>
      <c r="B2986" s="26" t="s">
        <v>4710</v>
      </c>
      <c r="C2986" s="27" t="s">
        <v>521</v>
      </c>
      <c r="D2986" s="27" t="s">
        <v>787</v>
      </c>
      <c r="E2986" s="28">
        <v>40458</v>
      </c>
      <c r="F2986" s="28" t="s">
        <v>35</v>
      </c>
      <c r="G2986" s="28" t="s">
        <v>35</v>
      </c>
      <c r="H2986" s="27" t="s">
        <v>560</v>
      </c>
      <c r="I2986" s="27" t="s">
        <v>560</v>
      </c>
      <c r="J2986" s="29" t="s">
        <v>525</v>
      </c>
      <c r="K2986" s="29" t="s">
        <v>525</v>
      </c>
      <c r="L2986" s="29" t="s">
        <v>4678</v>
      </c>
      <c r="M2986" s="29" t="s">
        <v>4678</v>
      </c>
      <c r="N2986" s="29" t="s">
        <v>659</v>
      </c>
      <c r="O2986" s="29" t="s">
        <v>528</v>
      </c>
    </row>
    <row r="2987" spans="1:15">
      <c r="A2987" s="25">
        <v>10617</v>
      </c>
      <c r="B2987" s="26" t="s">
        <v>4711</v>
      </c>
      <c r="C2987" s="27" t="s">
        <v>521</v>
      </c>
      <c r="D2987" s="27" t="s">
        <v>602</v>
      </c>
      <c r="E2987" s="28">
        <v>40544</v>
      </c>
      <c r="F2987" s="28" t="s">
        <v>35</v>
      </c>
      <c r="G2987" s="28" t="s">
        <v>35</v>
      </c>
      <c r="H2987" s="27" t="s">
        <v>560</v>
      </c>
      <c r="I2987" s="29" t="s">
        <v>560</v>
      </c>
      <c r="J2987" s="29" t="s">
        <v>525</v>
      </c>
      <c r="K2987" s="29" t="s">
        <v>525</v>
      </c>
      <c r="L2987" s="29" t="s">
        <v>4678</v>
      </c>
      <c r="M2987" s="29" t="s">
        <v>4678</v>
      </c>
      <c r="N2987" s="29" t="s">
        <v>659</v>
      </c>
      <c r="O2987" s="29" t="s">
        <v>528</v>
      </c>
    </row>
    <row r="2988" spans="1:15">
      <c r="A2988" s="25">
        <v>10635</v>
      </c>
      <c r="B2988" s="26" t="s">
        <v>4712</v>
      </c>
      <c r="C2988" s="27" t="s">
        <v>521</v>
      </c>
      <c r="D2988" s="27" t="s">
        <v>2426</v>
      </c>
      <c r="E2988" s="28">
        <v>40549</v>
      </c>
      <c r="F2988" s="28" t="s">
        <v>35</v>
      </c>
      <c r="G2988" s="28" t="s">
        <v>35</v>
      </c>
      <c r="H2988" s="27" t="s">
        <v>560</v>
      </c>
      <c r="I2988" s="27" t="s">
        <v>560</v>
      </c>
      <c r="J2988" s="29" t="s">
        <v>525</v>
      </c>
      <c r="K2988" s="29" t="s">
        <v>525</v>
      </c>
      <c r="L2988" s="29" t="s">
        <v>4678</v>
      </c>
      <c r="M2988" s="29" t="s">
        <v>4678</v>
      </c>
      <c r="N2988" s="29" t="s">
        <v>659</v>
      </c>
      <c r="O2988" s="29" t="s">
        <v>528</v>
      </c>
    </row>
    <row r="2989" spans="1:15">
      <c r="A2989" s="25">
        <v>10948</v>
      </c>
      <c r="B2989" s="26" t="s">
        <v>4713</v>
      </c>
      <c r="C2989" s="27" t="s">
        <v>521</v>
      </c>
      <c r="D2989" s="27" t="s">
        <v>670</v>
      </c>
      <c r="E2989" s="28">
        <v>40578</v>
      </c>
      <c r="F2989" s="28" t="s">
        <v>35</v>
      </c>
      <c r="G2989" s="28" t="s">
        <v>35</v>
      </c>
      <c r="H2989" s="27" t="s">
        <v>560</v>
      </c>
      <c r="I2989" s="27" t="s">
        <v>560</v>
      </c>
      <c r="J2989" s="29" t="s">
        <v>525</v>
      </c>
      <c r="K2989" s="29" t="s">
        <v>525</v>
      </c>
      <c r="L2989" s="29" t="s">
        <v>4678</v>
      </c>
      <c r="M2989" s="29" t="s">
        <v>4678</v>
      </c>
      <c r="N2989" s="29" t="s">
        <v>659</v>
      </c>
      <c r="O2989" s="29" t="s">
        <v>528</v>
      </c>
    </row>
    <row r="2990" spans="1:15">
      <c r="A2990" s="25">
        <v>11165</v>
      </c>
      <c r="B2990" s="26" t="s">
        <v>4714</v>
      </c>
      <c r="C2990" s="27" t="s">
        <v>521</v>
      </c>
      <c r="D2990" s="27" t="s">
        <v>2657</v>
      </c>
      <c r="E2990" s="28">
        <v>40610</v>
      </c>
      <c r="F2990" s="28" t="s">
        <v>35</v>
      </c>
      <c r="G2990" s="28" t="s">
        <v>35</v>
      </c>
      <c r="H2990" s="27" t="s">
        <v>560</v>
      </c>
      <c r="I2990" s="27" t="s">
        <v>560</v>
      </c>
      <c r="J2990" s="29" t="s">
        <v>525</v>
      </c>
      <c r="K2990" s="29" t="s">
        <v>525</v>
      </c>
      <c r="L2990" s="29" t="s">
        <v>4678</v>
      </c>
      <c r="M2990" s="29" t="s">
        <v>4678</v>
      </c>
      <c r="N2990" s="29" t="s">
        <v>659</v>
      </c>
      <c r="O2990" s="29" t="s">
        <v>528</v>
      </c>
    </row>
    <row r="2991" spans="1:15">
      <c r="A2991" s="25">
        <v>11222</v>
      </c>
      <c r="B2991" s="26" t="s">
        <v>4715</v>
      </c>
      <c r="C2991" s="27" t="s">
        <v>521</v>
      </c>
      <c r="D2991" s="27" t="s">
        <v>2037</v>
      </c>
      <c r="E2991" s="28">
        <v>40609</v>
      </c>
      <c r="F2991" s="28" t="s">
        <v>35</v>
      </c>
      <c r="G2991" s="28" t="s">
        <v>35</v>
      </c>
      <c r="H2991" s="27" t="s">
        <v>560</v>
      </c>
      <c r="I2991" s="27" t="s">
        <v>560</v>
      </c>
      <c r="J2991" s="29" t="s">
        <v>525</v>
      </c>
      <c r="K2991" s="29" t="s">
        <v>525</v>
      </c>
      <c r="L2991" s="29" t="s">
        <v>4678</v>
      </c>
      <c r="M2991" s="29" t="s">
        <v>4678</v>
      </c>
      <c r="N2991" s="29" t="s">
        <v>659</v>
      </c>
      <c r="O2991" s="29" t="s">
        <v>528</v>
      </c>
    </row>
    <row r="2992" spans="1:15">
      <c r="A2992" s="25">
        <v>11407</v>
      </c>
      <c r="B2992" s="26" t="s">
        <v>4716</v>
      </c>
      <c r="C2992" s="27" t="s">
        <v>521</v>
      </c>
      <c r="D2992" s="27" t="s">
        <v>711</v>
      </c>
      <c r="E2992" s="28">
        <v>40701</v>
      </c>
      <c r="F2992" s="28" t="s">
        <v>35</v>
      </c>
      <c r="G2992" s="28" t="s">
        <v>35</v>
      </c>
      <c r="H2992" s="27" t="s">
        <v>560</v>
      </c>
      <c r="I2992" s="27" t="s">
        <v>560</v>
      </c>
      <c r="J2992" s="29" t="s">
        <v>525</v>
      </c>
      <c r="K2992" s="29" t="s">
        <v>525</v>
      </c>
      <c r="L2992" s="29" t="s">
        <v>4678</v>
      </c>
      <c r="M2992" s="29" t="s">
        <v>4678</v>
      </c>
      <c r="N2992" s="29" t="s">
        <v>659</v>
      </c>
      <c r="O2992" s="29" t="s">
        <v>528</v>
      </c>
    </row>
    <row r="2993" spans="1:15">
      <c r="A2993" s="25">
        <v>11685</v>
      </c>
      <c r="B2993" s="26" t="s">
        <v>4717</v>
      </c>
      <c r="C2993" s="27" t="s">
        <v>521</v>
      </c>
      <c r="D2993" s="27" t="s">
        <v>675</v>
      </c>
      <c r="E2993" s="28">
        <v>40714</v>
      </c>
      <c r="F2993" s="28" t="s">
        <v>35</v>
      </c>
      <c r="G2993" s="28" t="s">
        <v>35</v>
      </c>
      <c r="H2993" s="29" t="s">
        <v>560</v>
      </c>
      <c r="I2993" s="29" t="s">
        <v>560</v>
      </c>
      <c r="J2993" s="29" t="s">
        <v>525</v>
      </c>
      <c r="K2993" s="29" t="s">
        <v>525</v>
      </c>
      <c r="L2993" s="29" t="s">
        <v>4678</v>
      </c>
      <c r="M2993" s="29" t="s">
        <v>4678</v>
      </c>
      <c r="N2993" s="29" t="s">
        <v>659</v>
      </c>
      <c r="O2993" s="29" t="s">
        <v>528</v>
      </c>
    </row>
    <row r="2994" spans="1:15">
      <c r="A2994" s="25">
        <v>11724</v>
      </c>
      <c r="B2994" s="26" t="s">
        <v>4718</v>
      </c>
      <c r="C2994" s="27" t="s">
        <v>521</v>
      </c>
      <c r="D2994" s="27" t="s">
        <v>675</v>
      </c>
      <c r="E2994" s="28">
        <v>40714</v>
      </c>
      <c r="F2994" s="28" t="s">
        <v>35</v>
      </c>
      <c r="G2994" s="28" t="s">
        <v>35</v>
      </c>
      <c r="H2994" s="29" t="s">
        <v>560</v>
      </c>
      <c r="I2994" s="29" t="s">
        <v>560</v>
      </c>
      <c r="J2994" s="29" t="s">
        <v>525</v>
      </c>
      <c r="K2994" s="29" t="s">
        <v>525</v>
      </c>
      <c r="L2994" s="29" t="s">
        <v>4678</v>
      </c>
      <c r="M2994" s="29" t="s">
        <v>4678</v>
      </c>
      <c r="N2994" s="29" t="s">
        <v>659</v>
      </c>
      <c r="O2994" s="29" t="s">
        <v>528</v>
      </c>
    </row>
    <row r="2995" spans="1:15">
      <c r="A2995" s="25">
        <v>11845</v>
      </c>
      <c r="B2995" s="26" t="s">
        <v>4719</v>
      </c>
      <c r="C2995" s="27" t="s">
        <v>521</v>
      </c>
      <c r="D2995" s="25" t="s">
        <v>799</v>
      </c>
      <c r="E2995" s="28">
        <v>40721</v>
      </c>
      <c r="F2995" s="28" t="s">
        <v>35</v>
      </c>
      <c r="G2995" s="28" t="s">
        <v>35</v>
      </c>
      <c r="H2995" s="29" t="s">
        <v>560</v>
      </c>
      <c r="I2995" s="29" t="s">
        <v>560</v>
      </c>
      <c r="J2995" s="29" t="s">
        <v>525</v>
      </c>
      <c r="K2995" s="29" t="s">
        <v>525</v>
      </c>
      <c r="L2995" s="29" t="s">
        <v>4678</v>
      </c>
      <c r="M2995" s="29" t="s">
        <v>4678</v>
      </c>
      <c r="N2995" s="29" t="s">
        <v>659</v>
      </c>
      <c r="O2995" s="29" t="s">
        <v>528</v>
      </c>
    </row>
    <row r="2996" spans="1:15">
      <c r="A2996" s="25">
        <v>12068</v>
      </c>
      <c r="B2996" s="26" t="s">
        <v>4720</v>
      </c>
      <c r="C2996" s="27" t="s">
        <v>521</v>
      </c>
      <c r="D2996" s="25" t="s">
        <v>665</v>
      </c>
      <c r="E2996" s="28">
        <v>40798</v>
      </c>
      <c r="F2996" s="28" t="s">
        <v>35</v>
      </c>
      <c r="G2996" s="28" t="s">
        <v>35</v>
      </c>
      <c r="H2996" s="29" t="s">
        <v>560</v>
      </c>
      <c r="I2996" s="29" t="s">
        <v>560</v>
      </c>
      <c r="J2996" s="29" t="s">
        <v>525</v>
      </c>
      <c r="K2996" s="29" t="s">
        <v>525</v>
      </c>
      <c r="L2996" s="29" t="s">
        <v>4678</v>
      </c>
      <c r="M2996" s="29" t="s">
        <v>4678</v>
      </c>
      <c r="N2996" s="29" t="s">
        <v>659</v>
      </c>
      <c r="O2996" s="29" t="s">
        <v>528</v>
      </c>
    </row>
    <row r="2997" spans="1:15">
      <c r="A2997" s="25">
        <v>12476</v>
      </c>
      <c r="B2997" s="26" t="s">
        <v>446</v>
      </c>
      <c r="C2997" s="27" t="s">
        <v>521</v>
      </c>
      <c r="D2997" s="27" t="s">
        <v>722</v>
      </c>
      <c r="E2997" s="28">
        <v>40812</v>
      </c>
      <c r="F2997" s="28" t="s">
        <v>35</v>
      </c>
      <c r="G2997" s="28" t="s">
        <v>35</v>
      </c>
      <c r="H2997" s="27" t="s">
        <v>560</v>
      </c>
      <c r="I2997" s="27" t="s">
        <v>560</v>
      </c>
      <c r="J2997" s="29" t="s">
        <v>525</v>
      </c>
      <c r="K2997" s="29" t="s">
        <v>525</v>
      </c>
      <c r="L2997" s="29" t="s">
        <v>4678</v>
      </c>
      <c r="M2997" s="29" t="s">
        <v>4678</v>
      </c>
      <c r="N2997" s="29" t="s">
        <v>659</v>
      </c>
      <c r="O2997" s="29" t="s">
        <v>528</v>
      </c>
    </row>
    <row r="2998" spans="1:15">
      <c r="A2998" s="25">
        <v>12525</v>
      </c>
      <c r="B2998" s="26" t="s">
        <v>4721</v>
      </c>
      <c r="C2998" s="27" t="s">
        <v>521</v>
      </c>
      <c r="D2998" s="27" t="s">
        <v>722</v>
      </c>
      <c r="E2998" s="28">
        <v>40812</v>
      </c>
      <c r="F2998" s="28" t="s">
        <v>35</v>
      </c>
      <c r="G2998" s="28" t="s">
        <v>35</v>
      </c>
      <c r="H2998" s="27" t="s">
        <v>560</v>
      </c>
      <c r="I2998" s="27" t="s">
        <v>560</v>
      </c>
      <c r="J2998" s="29" t="s">
        <v>525</v>
      </c>
      <c r="K2998" s="29" t="s">
        <v>525</v>
      </c>
      <c r="L2998" s="29" t="s">
        <v>4678</v>
      </c>
      <c r="M2998" s="29" t="s">
        <v>4678</v>
      </c>
      <c r="N2998" s="29" t="s">
        <v>659</v>
      </c>
      <c r="O2998" s="29" t="s">
        <v>528</v>
      </c>
    </row>
    <row r="2999" spans="1:15">
      <c r="A2999" s="25">
        <v>12727</v>
      </c>
      <c r="B2999" s="33" t="s">
        <v>4722</v>
      </c>
      <c r="C2999" s="27" t="s">
        <v>521</v>
      </c>
      <c r="D2999" s="27" t="s">
        <v>1739</v>
      </c>
      <c r="E2999" s="28">
        <v>40819</v>
      </c>
      <c r="F2999" s="28" t="s">
        <v>35</v>
      </c>
      <c r="G2999" s="28" t="s">
        <v>35</v>
      </c>
      <c r="H2999" s="29" t="s">
        <v>560</v>
      </c>
      <c r="I2999" s="29" t="s">
        <v>560</v>
      </c>
      <c r="J2999" s="29" t="s">
        <v>525</v>
      </c>
      <c r="K2999" s="29" t="s">
        <v>525</v>
      </c>
      <c r="L2999" s="29" t="s">
        <v>4678</v>
      </c>
      <c r="M2999" s="29" t="s">
        <v>4678</v>
      </c>
      <c r="N2999" s="29" t="s">
        <v>659</v>
      </c>
      <c r="O2999" s="29" t="s">
        <v>528</v>
      </c>
    </row>
    <row r="3000" spans="1:15">
      <c r="A3000" s="25">
        <v>12837</v>
      </c>
      <c r="B3000" s="26" t="s">
        <v>4723</v>
      </c>
      <c r="C3000" s="27" t="s">
        <v>521</v>
      </c>
      <c r="D3000" s="27" t="s">
        <v>2950</v>
      </c>
      <c r="E3000" s="28">
        <v>40826</v>
      </c>
      <c r="F3000" s="28" t="s">
        <v>35</v>
      </c>
      <c r="G3000" s="28" t="s">
        <v>35</v>
      </c>
      <c r="H3000" s="27" t="s">
        <v>560</v>
      </c>
      <c r="I3000" s="27" t="s">
        <v>560</v>
      </c>
      <c r="J3000" s="29" t="s">
        <v>525</v>
      </c>
      <c r="K3000" s="29" t="s">
        <v>525</v>
      </c>
      <c r="L3000" s="29" t="s">
        <v>4678</v>
      </c>
      <c r="M3000" s="29" t="s">
        <v>4678</v>
      </c>
      <c r="N3000" s="29" t="s">
        <v>659</v>
      </c>
      <c r="O3000" s="29" t="s">
        <v>528</v>
      </c>
    </row>
    <row r="3001" spans="1:15">
      <c r="A3001" s="25">
        <v>13064</v>
      </c>
      <c r="B3001" s="34" t="s">
        <v>4724</v>
      </c>
      <c r="C3001" s="31" t="s">
        <v>521</v>
      </c>
      <c r="D3001" s="31" t="s">
        <v>1391</v>
      </c>
      <c r="E3001" s="28">
        <v>40854</v>
      </c>
      <c r="F3001" s="28" t="s">
        <v>35</v>
      </c>
      <c r="G3001" s="28" t="s">
        <v>35</v>
      </c>
      <c r="H3001" s="27" t="s">
        <v>560</v>
      </c>
      <c r="I3001" s="27" t="s">
        <v>560</v>
      </c>
      <c r="J3001" s="29" t="s">
        <v>525</v>
      </c>
      <c r="K3001" s="29" t="s">
        <v>525</v>
      </c>
      <c r="L3001" s="29" t="s">
        <v>4678</v>
      </c>
      <c r="M3001" s="29" t="s">
        <v>4678</v>
      </c>
      <c r="N3001" s="29" t="s">
        <v>659</v>
      </c>
      <c r="O3001" s="29" t="s">
        <v>528</v>
      </c>
    </row>
    <row r="3002" spans="1:15">
      <c r="A3002" s="25">
        <v>13106</v>
      </c>
      <c r="B3002" s="32" t="s">
        <v>4725</v>
      </c>
      <c r="C3002" s="27" t="s">
        <v>521</v>
      </c>
      <c r="D3002" s="27" t="s">
        <v>1536</v>
      </c>
      <c r="E3002" s="28">
        <v>40861</v>
      </c>
      <c r="F3002" s="28" t="s">
        <v>35</v>
      </c>
      <c r="G3002" s="28" t="s">
        <v>35</v>
      </c>
      <c r="H3002" s="27" t="s">
        <v>560</v>
      </c>
      <c r="I3002" s="27" t="s">
        <v>560</v>
      </c>
      <c r="J3002" s="29" t="s">
        <v>525</v>
      </c>
      <c r="K3002" s="29" t="s">
        <v>525</v>
      </c>
      <c r="L3002" s="29" t="s">
        <v>4678</v>
      </c>
      <c r="M3002" s="29" t="s">
        <v>4678</v>
      </c>
      <c r="N3002" s="29" t="s">
        <v>659</v>
      </c>
      <c r="O3002" s="29" t="s">
        <v>528</v>
      </c>
    </row>
    <row r="3003" spans="1:15">
      <c r="A3003" s="25">
        <v>16108</v>
      </c>
      <c r="B3003" s="26" t="s">
        <v>4726</v>
      </c>
      <c r="C3003" s="27" t="s">
        <v>521</v>
      </c>
      <c r="D3003" s="27" t="s">
        <v>707</v>
      </c>
      <c r="E3003" s="28">
        <v>41586</v>
      </c>
      <c r="F3003" s="28" t="s">
        <v>35</v>
      </c>
      <c r="G3003" s="28" t="s">
        <v>35</v>
      </c>
      <c r="H3003" s="27" t="s">
        <v>560</v>
      </c>
      <c r="I3003" s="27" t="s">
        <v>560</v>
      </c>
      <c r="J3003" s="29" t="s">
        <v>525</v>
      </c>
      <c r="K3003" s="29" t="s">
        <v>525</v>
      </c>
      <c r="L3003" s="29" t="s">
        <v>4678</v>
      </c>
      <c r="M3003" s="29" t="s">
        <v>4678</v>
      </c>
      <c r="N3003" s="29" t="s">
        <v>659</v>
      </c>
      <c r="O3003" s="29" t="s">
        <v>528</v>
      </c>
    </row>
    <row r="3004" spans="1:15">
      <c r="A3004" s="25" t="s">
        <v>4727</v>
      </c>
      <c r="B3004" s="26" t="s">
        <v>4728</v>
      </c>
      <c r="C3004" s="27" t="s">
        <v>521</v>
      </c>
      <c r="D3004" s="27" t="s">
        <v>4729</v>
      </c>
      <c r="E3004" s="28">
        <v>40938</v>
      </c>
      <c r="F3004" s="28" t="s">
        <v>35</v>
      </c>
      <c r="G3004" s="28" t="s">
        <v>35</v>
      </c>
      <c r="H3004" s="27" t="s">
        <v>560</v>
      </c>
      <c r="I3004" s="27" t="s">
        <v>560</v>
      </c>
      <c r="J3004" s="29" t="s">
        <v>525</v>
      </c>
      <c r="K3004" s="29" t="s">
        <v>525</v>
      </c>
      <c r="L3004" s="29" t="s">
        <v>4678</v>
      </c>
      <c r="M3004" s="29" t="s">
        <v>4678</v>
      </c>
      <c r="N3004" s="29" t="s">
        <v>659</v>
      </c>
      <c r="O3004" s="29" t="s">
        <v>528</v>
      </c>
    </row>
    <row r="3005" spans="1:15">
      <c r="A3005" s="25" t="s">
        <v>4730</v>
      </c>
      <c r="B3005" s="26" t="s">
        <v>4219</v>
      </c>
      <c r="C3005" s="27" t="s">
        <v>521</v>
      </c>
      <c r="D3005" s="27" t="s">
        <v>2261</v>
      </c>
      <c r="E3005" s="28">
        <v>41165</v>
      </c>
      <c r="F3005" s="28" t="s">
        <v>35</v>
      </c>
      <c r="G3005" s="28" t="s">
        <v>35</v>
      </c>
      <c r="H3005" s="27" t="s">
        <v>560</v>
      </c>
      <c r="I3005" s="27" t="s">
        <v>560</v>
      </c>
      <c r="J3005" s="29" t="s">
        <v>525</v>
      </c>
      <c r="K3005" s="29" t="s">
        <v>525</v>
      </c>
      <c r="L3005" s="29" t="s">
        <v>4678</v>
      </c>
      <c r="M3005" s="29" t="s">
        <v>4678</v>
      </c>
      <c r="N3005" s="29" t="s">
        <v>659</v>
      </c>
      <c r="O3005" s="29" t="s">
        <v>528</v>
      </c>
    </row>
    <row r="3006" spans="1:15">
      <c r="A3006" s="25">
        <v>498</v>
      </c>
      <c r="B3006" s="26" t="s">
        <v>4731</v>
      </c>
      <c r="C3006" s="27" t="s">
        <v>521</v>
      </c>
      <c r="D3006" s="27" t="s">
        <v>1043</v>
      </c>
      <c r="E3006" s="28">
        <v>37760</v>
      </c>
      <c r="F3006" s="28" t="s">
        <v>35</v>
      </c>
      <c r="G3006" s="28" t="s">
        <v>35</v>
      </c>
      <c r="H3006" s="27" t="s">
        <v>560</v>
      </c>
      <c r="I3006" s="27" t="s">
        <v>560</v>
      </c>
      <c r="J3006" s="29" t="s">
        <v>1508</v>
      </c>
      <c r="K3006" s="29" t="s">
        <v>1508</v>
      </c>
      <c r="L3006" s="29" t="s">
        <v>4732</v>
      </c>
      <c r="M3006" s="29" t="s">
        <v>4733</v>
      </c>
      <c r="N3006" s="29" t="s">
        <v>1511</v>
      </c>
      <c r="O3006" s="29" t="s">
        <v>594</v>
      </c>
    </row>
    <row r="3007" spans="1:15">
      <c r="A3007" s="25">
        <v>1093</v>
      </c>
      <c r="B3007" s="26" t="s">
        <v>4734</v>
      </c>
      <c r="C3007" s="27" t="s">
        <v>521</v>
      </c>
      <c r="D3007" s="27" t="s">
        <v>1411</v>
      </c>
      <c r="E3007" s="28">
        <v>37887</v>
      </c>
      <c r="F3007" s="28" t="s">
        <v>35</v>
      </c>
      <c r="G3007" s="28" t="s">
        <v>35</v>
      </c>
      <c r="H3007" s="27" t="s">
        <v>560</v>
      </c>
      <c r="I3007" s="27" t="s">
        <v>560</v>
      </c>
      <c r="J3007" s="29" t="s">
        <v>1508</v>
      </c>
      <c r="K3007" s="29" t="s">
        <v>1508</v>
      </c>
      <c r="L3007" s="29" t="s">
        <v>4732</v>
      </c>
      <c r="M3007" s="29" t="s">
        <v>1550</v>
      </c>
      <c r="N3007" s="29" t="s">
        <v>1045</v>
      </c>
      <c r="O3007" s="29" t="s">
        <v>594</v>
      </c>
    </row>
    <row r="3008" spans="1:15">
      <c r="A3008" s="25">
        <v>1144</v>
      </c>
      <c r="B3008" s="26" t="s">
        <v>4735</v>
      </c>
      <c r="C3008" s="27" t="s">
        <v>521</v>
      </c>
      <c r="D3008" s="27" t="s">
        <v>1247</v>
      </c>
      <c r="E3008" s="28">
        <v>37900</v>
      </c>
      <c r="F3008" s="28" t="s">
        <v>35</v>
      </c>
      <c r="G3008" s="28" t="s">
        <v>35</v>
      </c>
      <c r="H3008" s="29" t="s">
        <v>560</v>
      </c>
      <c r="I3008" s="29" t="s">
        <v>560</v>
      </c>
      <c r="J3008" s="29" t="s">
        <v>1508</v>
      </c>
      <c r="K3008" s="29" t="s">
        <v>1508</v>
      </c>
      <c r="L3008" s="29" t="s">
        <v>4732</v>
      </c>
      <c r="M3008" s="29" t="s">
        <v>1534</v>
      </c>
      <c r="N3008" s="29" t="s">
        <v>1514</v>
      </c>
      <c r="O3008" s="29" t="s">
        <v>594</v>
      </c>
    </row>
    <row r="3009" spans="1:15">
      <c r="A3009" s="25">
        <v>5699</v>
      </c>
      <c r="B3009" s="26" t="s">
        <v>178</v>
      </c>
      <c r="C3009" s="27" t="s">
        <v>521</v>
      </c>
      <c r="D3009" s="27" t="s">
        <v>790</v>
      </c>
      <c r="E3009" s="28">
        <v>39098</v>
      </c>
      <c r="F3009" s="28" t="s">
        <v>35</v>
      </c>
      <c r="G3009" s="28" t="s">
        <v>35</v>
      </c>
      <c r="H3009" s="29" t="s">
        <v>560</v>
      </c>
      <c r="I3009" s="29" t="s">
        <v>560</v>
      </c>
      <c r="J3009" s="29" t="s">
        <v>1508</v>
      </c>
      <c r="K3009" s="29" t="s">
        <v>1508</v>
      </c>
      <c r="L3009" s="29" t="s">
        <v>4732</v>
      </c>
      <c r="M3009" s="29" t="s">
        <v>4736</v>
      </c>
      <c r="N3009" s="29" t="s">
        <v>4597</v>
      </c>
      <c r="O3009" s="29" t="s">
        <v>594</v>
      </c>
    </row>
    <row r="3010" spans="1:15">
      <c r="A3010" s="25">
        <v>5786</v>
      </c>
      <c r="B3010" s="26" t="s">
        <v>4737</v>
      </c>
      <c r="C3010" s="27" t="s">
        <v>521</v>
      </c>
      <c r="D3010" s="27" t="s">
        <v>794</v>
      </c>
      <c r="E3010" s="28">
        <v>39114</v>
      </c>
      <c r="F3010" s="28" t="s">
        <v>35</v>
      </c>
      <c r="G3010" s="28" t="s">
        <v>35</v>
      </c>
      <c r="H3010" s="27" t="s">
        <v>560</v>
      </c>
      <c r="I3010" s="27" t="s">
        <v>560</v>
      </c>
      <c r="J3010" s="29" t="s">
        <v>1508</v>
      </c>
      <c r="K3010" s="29" t="s">
        <v>1508</v>
      </c>
      <c r="L3010" s="29" t="s">
        <v>4732</v>
      </c>
      <c r="M3010" s="29" t="s">
        <v>4738</v>
      </c>
      <c r="N3010" s="29" t="s">
        <v>1511</v>
      </c>
      <c r="O3010" s="29" t="s">
        <v>594</v>
      </c>
    </row>
    <row r="3011" spans="1:15">
      <c r="A3011" s="25">
        <v>21266</v>
      </c>
      <c r="B3011" s="33" t="s">
        <v>4739</v>
      </c>
      <c r="C3011" s="27" t="s">
        <v>521</v>
      </c>
      <c r="D3011" s="27" t="s">
        <v>1157</v>
      </c>
      <c r="E3011" s="28">
        <v>42940</v>
      </c>
      <c r="F3011" s="28">
        <v>43405</v>
      </c>
      <c r="G3011" s="28">
        <v>43769</v>
      </c>
      <c r="H3011" s="29" t="s">
        <v>560</v>
      </c>
      <c r="I3011" s="29" t="s">
        <v>560</v>
      </c>
      <c r="J3011" s="29" t="s">
        <v>1508</v>
      </c>
      <c r="K3011" s="29" t="s">
        <v>1508</v>
      </c>
      <c r="L3011" s="29" t="s">
        <v>4732</v>
      </c>
      <c r="M3011" s="29" t="s">
        <v>4740</v>
      </c>
      <c r="N3011" s="29" t="s">
        <v>1541</v>
      </c>
      <c r="O3011" s="29" t="s">
        <v>594</v>
      </c>
    </row>
    <row r="3012" spans="1:15">
      <c r="A3012" s="25">
        <v>21505</v>
      </c>
      <c r="B3012" s="34" t="s">
        <v>4741</v>
      </c>
      <c r="C3012" s="31" t="s">
        <v>521</v>
      </c>
      <c r="D3012" s="31" t="s">
        <v>1804</v>
      </c>
      <c r="E3012" s="28">
        <v>43031</v>
      </c>
      <c r="F3012" s="28">
        <v>43435</v>
      </c>
      <c r="G3012" s="28">
        <v>43799</v>
      </c>
      <c r="H3012" s="29" t="s">
        <v>560</v>
      </c>
      <c r="I3012" s="29" t="s">
        <v>560</v>
      </c>
      <c r="J3012" s="29" t="s">
        <v>1508</v>
      </c>
      <c r="K3012" s="29" t="s">
        <v>1508</v>
      </c>
      <c r="L3012" s="29" t="s">
        <v>4732</v>
      </c>
      <c r="M3012" s="29" t="s">
        <v>4742</v>
      </c>
      <c r="N3012" s="29" t="s">
        <v>1511</v>
      </c>
      <c r="O3012" s="29" t="s">
        <v>594</v>
      </c>
    </row>
    <row r="3013" spans="1:15">
      <c r="A3013" s="25">
        <v>22995</v>
      </c>
      <c r="B3013" s="34" t="s">
        <v>4743</v>
      </c>
      <c r="C3013" s="31" t="s">
        <v>521</v>
      </c>
      <c r="D3013" s="31" t="s">
        <v>1872</v>
      </c>
      <c r="E3013" s="28">
        <v>43361</v>
      </c>
      <c r="F3013" s="28">
        <v>43391</v>
      </c>
      <c r="G3013" s="28">
        <v>43769</v>
      </c>
      <c r="H3013" s="29" t="s">
        <v>560</v>
      </c>
      <c r="I3013" s="29" t="s">
        <v>560</v>
      </c>
      <c r="J3013" s="29" t="s">
        <v>1508</v>
      </c>
      <c r="K3013" s="29" t="s">
        <v>1508</v>
      </c>
      <c r="L3013" s="29" t="s">
        <v>4732</v>
      </c>
      <c r="M3013" s="29" t="s">
        <v>4744</v>
      </c>
      <c r="N3013" s="29" t="s">
        <v>1511</v>
      </c>
      <c r="O3013" s="29" t="s">
        <v>594</v>
      </c>
    </row>
    <row r="3014" spans="1:15">
      <c r="A3014" s="25">
        <v>23011</v>
      </c>
      <c r="B3014" s="34" t="s">
        <v>4745</v>
      </c>
      <c r="C3014" s="31" t="s">
        <v>521</v>
      </c>
      <c r="D3014" s="31" t="s">
        <v>1872</v>
      </c>
      <c r="E3014" s="28">
        <v>43361</v>
      </c>
      <c r="F3014" s="28">
        <v>43391</v>
      </c>
      <c r="G3014" s="28">
        <v>43769</v>
      </c>
      <c r="H3014" s="29" t="s">
        <v>560</v>
      </c>
      <c r="I3014" s="29" t="s">
        <v>560</v>
      </c>
      <c r="J3014" s="29" t="s">
        <v>1508</v>
      </c>
      <c r="K3014" s="29" t="s">
        <v>1508</v>
      </c>
      <c r="L3014" s="29" t="s">
        <v>4732</v>
      </c>
      <c r="M3014" s="29" t="s">
        <v>4746</v>
      </c>
      <c r="N3014" s="29" t="s">
        <v>1525</v>
      </c>
      <c r="O3014" s="29" t="s">
        <v>594</v>
      </c>
    </row>
    <row r="3015" spans="1:15">
      <c r="A3015" s="25">
        <v>23175</v>
      </c>
      <c r="B3015" s="34" t="s">
        <v>4747</v>
      </c>
      <c r="C3015" s="31" t="s">
        <v>521</v>
      </c>
      <c r="D3015" s="31" t="s">
        <v>1523</v>
      </c>
      <c r="E3015" s="28">
        <v>43369</v>
      </c>
      <c r="F3015" s="28">
        <v>43399</v>
      </c>
      <c r="G3015" s="28">
        <v>43769</v>
      </c>
      <c r="H3015" s="29" t="s">
        <v>560</v>
      </c>
      <c r="I3015" s="29" t="s">
        <v>560</v>
      </c>
      <c r="J3015" s="29" t="s">
        <v>1508</v>
      </c>
      <c r="K3015" s="29" t="s">
        <v>1508</v>
      </c>
      <c r="L3015" s="29" t="s">
        <v>4732</v>
      </c>
      <c r="M3015" s="29" t="s">
        <v>4748</v>
      </c>
      <c r="N3015" s="29" t="s">
        <v>1511</v>
      </c>
      <c r="O3015" s="29" t="s">
        <v>594</v>
      </c>
    </row>
    <row r="3016" spans="1:15">
      <c r="A3016" s="25">
        <v>23189</v>
      </c>
      <c r="B3016" s="34" t="s">
        <v>4749</v>
      </c>
      <c r="C3016" s="31" t="s">
        <v>521</v>
      </c>
      <c r="D3016" s="31" t="s">
        <v>1582</v>
      </c>
      <c r="E3016" s="28">
        <v>43421</v>
      </c>
      <c r="F3016" s="28">
        <v>43451</v>
      </c>
      <c r="G3016" s="28">
        <v>43830</v>
      </c>
      <c r="H3016" s="29" t="s">
        <v>560</v>
      </c>
      <c r="I3016" s="29" t="s">
        <v>560</v>
      </c>
      <c r="J3016" s="29" t="s">
        <v>1508</v>
      </c>
      <c r="K3016" s="29" t="s">
        <v>1508</v>
      </c>
      <c r="L3016" s="29" t="s">
        <v>4732</v>
      </c>
      <c r="M3016" s="29" t="s">
        <v>4750</v>
      </c>
      <c r="N3016" s="29" t="s">
        <v>1586</v>
      </c>
      <c r="O3016" s="29" t="s">
        <v>594</v>
      </c>
    </row>
    <row r="3017" spans="1:15">
      <c r="A3017" s="25">
        <v>23200</v>
      </c>
      <c r="B3017" s="34" t="s">
        <v>4751</v>
      </c>
      <c r="C3017" s="31" t="s">
        <v>521</v>
      </c>
      <c r="D3017" s="31" t="s">
        <v>1582</v>
      </c>
      <c r="E3017" s="28">
        <v>43421</v>
      </c>
      <c r="F3017" s="28">
        <v>43451</v>
      </c>
      <c r="G3017" s="28">
        <v>43830</v>
      </c>
      <c r="H3017" s="29" t="s">
        <v>560</v>
      </c>
      <c r="I3017" s="29" t="s">
        <v>560</v>
      </c>
      <c r="J3017" s="29" t="s">
        <v>1508</v>
      </c>
      <c r="K3017" s="29" t="s">
        <v>1508</v>
      </c>
      <c r="L3017" s="29" t="s">
        <v>4732</v>
      </c>
      <c r="M3017" s="29" t="s">
        <v>1543</v>
      </c>
      <c r="N3017" s="29" t="s">
        <v>1541</v>
      </c>
      <c r="O3017" s="29" t="s">
        <v>594</v>
      </c>
    </row>
    <row r="3018" spans="1:15">
      <c r="A3018" s="25">
        <v>23557</v>
      </c>
      <c r="B3018" s="34" t="s">
        <v>4752</v>
      </c>
      <c r="C3018" s="31" t="s">
        <v>521</v>
      </c>
      <c r="D3018" s="31" t="s">
        <v>884</v>
      </c>
      <c r="E3018" s="28">
        <v>43452</v>
      </c>
      <c r="F3018" s="28">
        <v>43483</v>
      </c>
      <c r="G3018" s="28">
        <v>43861</v>
      </c>
      <c r="H3018" s="29" t="s">
        <v>560</v>
      </c>
      <c r="I3018" s="29" t="s">
        <v>560</v>
      </c>
      <c r="J3018" s="29" t="s">
        <v>1508</v>
      </c>
      <c r="K3018" s="29" t="s">
        <v>1508</v>
      </c>
      <c r="L3018" s="29" t="s">
        <v>4732</v>
      </c>
      <c r="M3018" s="29" t="s">
        <v>4753</v>
      </c>
      <c r="N3018" s="29" t="s">
        <v>1511</v>
      </c>
      <c r="O3018" s="29" t="s">
        <v>594</v>
      </c>
    </row>
    <row r="3019" spans="1:15">
      <c r="A3019" s="25" t="s">
        <v>4754</v>
      </c>
      <c r="B3019" s="34" t="s">
        <v>4755</v>
      </c>
      <c r="C3019" s="31" t="s">
        <v>521</v>
      </c>
      <c r="D3019" s="31" t="s">
        <v>892</v>
      </c>
      <c r="E3019" s="28">
        <v>43467</v>
      </c>
      <c r="F3019" s="28">
        <v>43467</v>
      </c>
      <c r="G3019" s="28">
        <v>43497</v>
      </c>
      <c r="H3019" s="29" t="s">
        <v>560</v>
      </c>
      <c r="I3019" s="29" t="s">
        <v>560</v>
      </c>
      <c r="J3019" s="29" t="s">
        <v>1508</v>
      </c>
      <c r="K3019" s="29" t="s">
        <v>1508</v>
      </c>
      <c r="L3019" s="29" t="s">
        <v>4732</v>
      </c>
      <c r="M3019" s="29" t="s">
        <v>4756</v>
      </c>
      <c r="N3019" s="29" t="s">
        <v>1511</v>
      </c>
      <c r="O3019" s="29" t="s">
        <v>594</v>
      </c>
    </row>
    <row r="3020" spans="1:15">
      <c r="A3020" s="25">
        <v>638</v>
      </c>
      <c r="B3020" s="26" t="s">
        <v>142</v>
      </c>
      <c r="C3020" s="27" t="s">
        <v>521</v>
      </c>
      <c r="D3020" s="27" t="s">
        <v>783</v>
      </c>
      <c r="E3020" s="28">
        <v>37781</v>
      </c>
      <c r="F3020" s="28" t="s">
        <v>35</v>
      </c>
      <c r="G3020" s="28" t="s">
        <v>35</v>
      </c>
      <c r="H3020" s="27" t="s">
        <v>560</v>
      </c>
      <c r="I3020" s="27" t="s">
        <v>560</v>
      </c>
      <c r="J3020" s="29" t="s">
        <v>1508</v>
      </c>
      <c r="K3020" s="29" t="s">
        <v>1508</v>
      </c>
      <c r="L3020" s="29" t="s">
        <v>4732</v>
      </c>
      <c r="M3020" s="29" t="s">
        <v>4736</v>
      </c>
      <c r="N3020" s="29" t="s">
        <v>4597</v>
      </c>
      <c r="O3020" s="29" t="s">
        <v>590</v>
      </c>
    </row>
    <row r="3021" spans="1:15">
      <c r="A3021" s="25">
        <v>5403</v>
      </c>
      <c r="B3021" s="26" t="s">
        <v>4757</v>
      </c>
      <c r="C3021" s="27" t="s">
        <v>521</v>
      </c>
      <c r="D3021" s="27" t="s">
        <v>760</v>
      </c>
      <c r="E3021" s="28">
        <v>38991</v>
      </c>
      <c r="F3021" s="28" t="s">
        <v>35</v>
      </c>
      <c r="G3021" s="28" t="s">
        <v>35</v>
      </c>
      <c r="H3021" s="29" t="s">
        <v>560</v>
      </c>
      <c r="I3021" s="29" t="s">
        <v>560</v>
      </c>
      <c r="J3021" s="29" t="s">
        <v>1508</v>
      </c>
      <c r="K3021" s="29" t="s">
        <v>1508</v>
      </c>
      <c r="L3021" s="29" t="s">
        <v>4732</v>
      </c>
      <c r="M3021" s="29" t="s">
        <v>1550</v>
      </c>
      <c r="N3021" s="29" t="s">
        <v>1045</v>
      </c>
      <c r="O3021" s="29" t="s">
        <v>590</v>
      </c>
    </row>
    <row r="3022" spans="1:15">
      <c r="A3022" s="25">
        <v>9032</v>
      </c>
      <c r="B3022" s="34" t="s">
        <v>4758</v>
      </c>
      <c r="C3022" s="31" t="s">
        <v>521</v>
      </c>
      <c r="D3022" s="31" t="s">
        <v>715</v>
      </c>
      <c r="E3022" s="28">
        <v>39975</v>
      </c>
      <c r="F3022" s="28" t="s">
        <v>35</v>
      </c>
      <c r="G3022" s="28" t="s">
        <v>35</v>
      </c>
      <c r="H3022" s="29" t="s">
        <v>560</v>
      </c>
      <c r="I3022" s="29" t="s">
        <v>560</v>
      </c>
      <c r="J3022" s="29" t="s">
        <v>1508</v>
      </c>
      <c r="K3022" s="29" t="s">
        <v>1508</v>
      </c>
      <c r="L3022" s="29" t="s">
        <v>4732</v>
      </c>
      <c r="M3022" s="29" t="s">
        <v>4759</v>
      </c>
      <c r="N3022" s="29" t="s">
        <v>1511</v>
      </c>
      <c r="O3022" s="29" t="s">
        <v>590</v>
      </c>
    </row>
    <row r="3023" spans="1:15">
      <c r="A3023" s="25">
        <v>9825</v>
      </c>
      <c r="B3023" s="26" t="s">
        <v>4760</v>
      </c>
      <c r="C3023" s="27" t="s">
        <v>521</v>
      </c>
      <c r="D3023" s="27" t="s">
        <v>4761</v>
      </c>
      <c r="E3023" s="28">
        <v>40391</v>
      </c>
      <c r="F3023" s="28" t="s">
        <v>35</v>
      </c>
      <c r="G3023" s="28" t="s">
        <v>35</v>
      </c>
      <c r="H3023" s="27" t="s">
        <v>560</v>
      </c>
      <c r="I3023" s="27" t="s">
        <v>560</v>
      </c>
      <c r="J3023" s="29" t="s">
        <v>1508</v>
      </c>
      <c r="K3023" s="29" t="s">
        <v>1508</v>
      </c>
      <c r="L3023" s="29" t="s">
        <v>4732</v>
      </c>
      <c r="M3023" s="29" t="s">
        <v>4746</v>
      </c>
      <c r="N3023" s="29" t="s">
        <v>1511</v>
      </c>
      <c r="O3023" s="29" t="s">
        <v>590</v>
      </c>
    </row>
    <row r="3024" spans="1:15">
      <c r="A3024" s="25">
        <v>21267</v>
      </c>
      <c r="B3024" s="33" t="s">
        <v>151</v>
      </c>
      <c r="C3024" s="27" t="s">
        <v>521</v>
      </c>
      <c r="D3024" s="27" t="s">
        <v>1157</v>
      </c>
      <c r="E3024" s="28">
        <v>42940</v>
      </c>
      <c r="F3024" s="28">
        <v>43405</v>
      </c>
      <c r="G3024" s="28">
        <v>43769</v>
      </c>
      <c r="H3024" s="29" t="s">
        <v>560</v>
      </c>
      <c r="I3024" s="29" t="s">
        <v>560</v>
      </c>
      <c r="J3024" s="29" t="s">
        <v>1508</v>
      </c>
      <c r="K3024" s="29" t="s">
        <v>1508</v>
      </c>
      <c r="L3024" s="29" t="s">
        <v>4732</v>
      </c>
      <c r="M3024" s="29" t="s">
        <v>4740</v>
      </c>
      <c r="N3024" s="29" t="s">
        <v>1541</v>
      </c>
      <c r="O3024" s="29" t="s">
        <v>590</v>
      </c>
    </row>
    <row r="3025" spans="1:15">
      <c r="A3025" s="25">
        <v>21852</v>
      </c>
      <c r="B3025" s="34" t="s">
        <v>4762</v>
      </c>
      <c r="C3025" s="31" t="s">
        <v>521</v>
      </c>
      <c r="D3025" s="31" t="s">
        <v>732</v>
      </c>
      <c r="E3025" s="28">
        <v>43098</v>
      </c>
      <c r="F3025" s="28">
        <v>43129</v>
      </c>
      <c r="G3025" s="28">
        <v>43496</v>
      </c>
      <c r="H3025" s="29" t="s">
        <v>560</v>
      </c>
      <c r="I3025" s="29" t="s">
        <v>560</v>
      </c>
      <c r="J3025" s="29" t="s">
        <v>1508</v>
      </c>
      <c r="K3025" s="29" t="s">
        <v>1508</v>
      </c>
      <c r="L3025" s="29" t="s">
        <v>4732</v>
      </c>
      <c r="M3025" s="29" t="s">
        <v>4763</v>
      </c>
      <c r="N3025" s="29" t="s">
        <v>1511</v>
      </c>
      <c r="O3025" s="29" t="s">
        <v>590</v>
      </c>
    </row>
    <row r="3026" spans="1:15">
      <c r="A3026" s="25">
        <v>22993</v>
      </c>
      <c r="B3026" s="34" t="s">
        <v>4764</v>
      </c>
      <c r="C3026" s="31" t="s">
        <v>521</v>
      </c>
      <c r="D3026" s="31" t="s">
        <v>1872</v>
      </c>
      <c r="E3026" s="28">
        <v>43361</v>
      </c>
      <c r="F3026" s="28">
        <v>43391</v>
      </c>
      <c r="G3026" s="28">
        <v>43769</v>
      </c>
      <c r="H3026" s="29" t="s">
        <v>560</v>
      </c>
      <c r="I3026" s="29" t="s">
        <v>560</v>
      </c>
      <c r="J3026" s="29" t="s">
        <v>1508</v>
      </c>
      <c r="K3026" s="29" t="s">
        <v>1508</v>
      </c>
      <c r="L3026" s="29" t="s">
        <v>4732</v>
      </c>
      <c r="M3026" s="29" t="s">
        <v>4748</v>
      </c>
      <c r="N3026" s="29" t="s">
        <v>1511</v>
      </c>
      <c r="O3026" s="29" t="s">
        <v>590</v>
      </c>
    </row>
    <row r="3027" spans="1:15">
      <c r="A3027" s="25">
        <v>22999</v>
      </c>
      <c r="B3027" s="34" t="s">
        <v>4765</v>
      </c>
      <c r="C3027" s="31" t="s">
        <v>521</v>
      </c>
      <c r="D3027" s="31" t="s">
        <v>1872</v>
      </c>
      <c r="E3027" s="28">
        <v>43361</v>
      </c>
      <c r="F3027" s="28">
        <v>43391</v>
      </c>
      <c r="G3027" s="28">
        <v>43769</v>
      </c>
      <c r="H3027" s="29" t="s">
        <v>560</v>
      </c>
      <c r="I3027" s="29" t="s">
        <v>560</v>
      </c>
      <c r="J3027" s="29" t="s">
        <v>1508</v>
      </c>
      <c r="K3027" s="29" t="s">
        <v>1508</v>
      </c>
      <c r="L3027" s="29" t="s">
        <v>4732</v>
      </c>
      <c r="M3027" s="29" t="s">
        <v>1543</v>
      </c>
      <c r="N3027" s="29" t="s">
        <v>1541</v>
      </c>
      <c r="O3027" s="29" t="s">
        <v>590</v>
      </c>
    </row>
    <row r="3028" spans="1:15">
      <c r="A3028" s="25">
        <v>23339</v>
      </c>
      <c r="B3028" s="34" t="s">
        <v>4766</v>
      </c>
      <c r="C3028" s="31" t="s">
        <v>521</v>
      </c>
      <c r="D3028" s="31" t="s">
        <v>1527</v>
      </c>
      <c r="E3028" s="28">
        <v>43427</v>
      </c>
      <c r="F3028" s="28">
        <v>43457</v>
      </c>
      <c r="G3028" s="28">
        <v>43830</v>
      </c>
      <c r="H3028" s="29" t="s">
        <v>560</v>
      </c>
      <c r="I3028" s="29" t="s">
        <v>560</v>
      </c>
      <c r="J3028" s="29" t="s">
        <v>1508</v>
      </c>
      <c r="K3028" s="29" t="s">
        <v>1508</v>
      </c>
      <c r="L3028" s="29" t="s">
        <v>4732</v>
      </c>
      <c r="M3028" s="29" t="s">
        <v>4742</v>
      </c>
      <c r="N3028" s="29" t="s">
        <v>1511</v>
      </c>
      <c r="O3028" s="29" t="s">
        <v>590</v>
      </c>
    </row>
    <row r="3029" spans="1:15">
      <c r="A3029" s="25">
        <v>23358</v>
      </c>
      <c r="B3029" s="34" t="s">
        <v>4767</v>
      </c>
      <c r="C3029" s="31" t="s">
        <v>521</v>
      </c>
      <c r="D3029" s="31" t="s">
        <v>1527</v>
      </c>
      <c r="E3029" s="28">
        <v>43427</v>
      </c>
      <c r="F3029" s="28">
        <v>43457</v>
      </c>
      <c r="G3029" s="28">
        <v>43830</v>
      </c>
      <c r="H3029" s="29" t="s">
        <v>560</v>
      </c>
      <c r="I3029" s="29" t="s">
        <v>560</v>
      </c>
      <c r="J3029" s="29" t="s">
        <v>1508</v>
      </c>
      <c r="K3029" s="29" t="s">
        <v>1508</v>
      </c>
      <c r="L3029" s="29" t="s">
        <v>4732</v>
      </c>
      <c r="M3029" s="29" t="s">
        <v>4744</v>
      </c>
      <c r="N3029" s="29" t="s">
        <v>1511</v>
      </c>
      <c r="O3029" s="29" t="s">
        <v>590</v>
      </c>
    </row>
    <row r="3030" spans="1:15">
      <c r="A3030" s="25">
        <v>23555</v>
      </c>
      <c r="B3030" s="34" t="s">
        <v>4768</v>
      </c>
      <c r="C3030" s="31" t="s">
        <v>521</v>
      </c>
      <c r="D3030" s="31" t="s">
        <v>884</v>
      </c>
      <c r="E3030" s="28">
        <v>43452</v>
      </c>
      <c r="F3030" s="28">
        <v>43483</v>
      </c>
      <c r="G3030" s="28">
        <v>43861</v>
      </c>
      <c r="H3030" s="29" t="s">
        <v>560</v>
      </c>
      <c r="I3030" s="29" t="s">
        <v>560</v>
      </c>
      <c r="J3030" s="29" t="s">
        <v>1508</v>
      </c>
      <c r="K3030" s="29" t="s">
        <v>1508</v>
      </c>
      <c r="L3030" s="29" t="s">
        <v>4732</v>
      </c>
      <c r="M3030" s="29" t="s">
        <v>4756</v>
      </c>
      <c r="N3030" s="29" t="s">
        <v>1586</v>
      </c>
      <c r="O3030" s="29" t="s">
        <v>590</v>
      </c>
    </row>
    <row r="3031" spans="1:15">
      <c r="A3031" s="25">
        <v>23603</v>
      </c>
      <c r="B3031" s="34" t="s">
        <v>429</v>
      </c>
      <c r="C3031" s="31" t="s">
        <v>521</v>
      </c>
      <c r="D3031" s="31" t="s">
        <v>884</v>
      </c>
      <c r="E3031" s="28">
        <v>43452</v>
      </c>
      <c r="F3031" s="28">
        <v>43483</v>
      </c>
      <c r="G3031" s="28">
        <v>43861</v>
      </c>
      <c r="H3031" s="29" t="s">
        <v>560</v>
      </c>
      <c r="I3031" s="29" t="s">
        <v>560</v>
      </c>
      <c r="J3031" s="29" t="s">
        <v>1508</v>
      </c>
      <c r="K3031" s="29" t="s">
        <v>1508</v>
      </c>
      <c r="L3031" s="29" t="s">
        <v>4732</v>
      </c>
      <c r="M3031" s="29" t="s">
        <v>4756</v>
      </c>
      <c r="N3031" s="29" t="s">
        <v>1586</v>
      </c>
      <c r="O3031" s="29" t="s">
        <v>590</v>
      </c>
    </row>
    <row r="3032" spans="1:15">
      <c r="A3032" s="25">
        <v>23196</v>
      </c>
      <c r="B3032" s="34" t="s">
        <v>4769</v>
      </c>
      <c r="C3032" s="31" t="s">
        <v>521</v>
      </c>
      <c r="D3032" s="31" t="s">
        <v>1582</v>
      </c>
      <c r="E3032" s="28">
        <v>43421</v>
      </c>
      <c r="F3032" s="28">
        <v>43451</v>
      </c>
      <c r="G3032" s="28">
        <v>43830</v>
      </c>
      <c r="H3032" s="29" t="s">
        <v>560</v>
      </c>
      <c r="I3032" s="29" t="s">
        <v>560</v>
      </c>
      <c r="J3032" s="29" t="s">
        <v>1654</v>
      </c>
      <c r="K3032" s="29" t="s">
        <v>1655</v>
      </c>
      <c r="L3032" s="29" t="s">
        <v>4770</v>
      </c>
      <c r="M3032" s="29" t="s">
        <v>4771</v>
      </c>
      <c r="N3032" s="29" t="s">
        <v>1511</v>
      </c>
      <c r="O3032" s="29" t="s">
        <v>528</v>
      </c>
    </row>
    <row r="3033" spans="1:15">
      <c r="A3033" s="25">
        <v>23604</v>
      </c>
      <c r="B3033" s="34" t="s">
        <v>4772</v>
      </c>
      <c r="C3033" s="31" t="s">
        <v>521</v>
      </c>
      <c r="D3033" s="31" t="s">
        <v>884</v>
      </c>
      <c r="E3033" s="28">
        <v>43452</v>
      </c>
      <c r="F3033" s="28">
        <v>43483</v>
      </c>
      <c r="G3033" s="28">
        <v>43861</v>
      </c>
      <c r="H3033" s="29" t="s">
        <v>560</v>
      </c>
      <c r="I3033" s="29" t="s">
        <v>560</v>
      </c>
      <c r="J3033" s="29" t="s">
        <v>1654</v>
      </c>
      <c r="K3033" s="29" t="s">
        <v>1655</v>
      </c>
      <c r="L3033" s="29" t="s">
        <v>4770</v>
      </c>
      <c r="M3033" s="29" t="s">
        <v>4756</v>
      </c>
      <c r="N3033" s="29" t="s">
        <v>1586</v>
      </c>
      <c r="O3033" s="29" t="s">
        <v>528</v>
      </c>
    </row>
    <row r="3034" spans="1:15">
      <c r="A3034" s="25">
        <v>67</v>
      </c>
      <c r="B3034" s="26" t="s">
        <v>4773</v>
      </c>
      <c r="C3034" s="27" t="s">
        <v>521</v>
      </c>
      <c r="D3034" s="27" t="s">
        <v>3715</v>
      </c>
      <c r="E3034" s="28">
        <v>37578</v>
      </c>
      <c r="F3034" s="28" t="s">
        <v>35</v>
      </c>
      <c r="G3034" s="28" t="s">
        <v>35</v>
      </c>
      <c r="H3034" s="29" t="s">
        <v>560</v>
      </c>
      <c r="I3034" s="31" t="s">
        <v>560</v>
      </c>
      <c r="J3034" s="29" t="s">
        <v>1662</v>
      </c>
      <c r="K3034" s="29" t="s">
        <v>1662</v>
      </c>
      <c r="L3034" s="29" t="s">
        <v>4774</v>
      </c>
      <c r="M3034" s="29" t="s">
        <v>1550</v>
      </c>
      <c r="N3034" s="29" t="s">
        <v>1045</v>
      </c>
      <c r="O3034" s="29" t="s">
        <v>594</v>
      </c>
    </row>
    <row r="3035" spans="1:15">
      <c r="A3035" s="25">
        <v>10205</v>
      </c>
      <c r="B3035" s="26" t="s">
        <v>4074</v>
      </c>
      <c r="C3035" s="27" t="s">
        <v>521</v>
      </c>
      <c r="D3035" s="27" t="s">
        <v>787</v>
      </c>
      <c r="E3035" s="28">
        <v>40458</v>
      </c>
      <c r="F3035" s="28" t="s">
        <v>35</v>
      </c>
      <c r="G3035" s="28" t="s">
        <v>35</v>
      </c>
      <c r="H3035" s="29" t="s">
        <v>560</v>
      </c>
      <c r="I3035" s="29" t="s">
        <v>560</v>
      </c>
      <c r="J3035" s="29" t="s">
        <v>1662</v>
      </c>
      <c r="K3035" s="29" t="s">
        <v>1662</v>
      </c>
      <c r="L3035" s="29" t="s">
        <v>4774</v>
      </c>
      <c r="M3035" s="29" t="s">
        <v>4775</v>
      </c>
      <c r="N3035" s="29" t="s">
        <v>1511</v>
      </c>
      <c r="O3035" s="29" t="s">
        <v>594</v>
      </c>
    </row>
    <row r="3036" spans="1:15">
      <c r="A3036" s="25">
        <v>11586</v>
      </c>
      <c r="B3036" s="26" t="s">
        <v>3707</v>
      </c>
      <c r="C3036" s="27" t="s">
        <v>521</v>
      </c>
      <c r="D3036" s="27" t="s">
        <v>841</v>
      </c>
      <c r="E3036" s="28">
        <v>40707</v>
      </c>
      <c r="F3036" s="28" t="s">
        <v>35</v>
      </c>
      <c r="G3036" s="28" t="s">
        <v>35</v>
      </c>
      <c r="H3036" s="29" t="s">
        <v>560</v>
      </c>
      <c r="I3036" s="29" t="s">
        <v>560</v>
      </c>
      <c r="J3036" s="29" t="s">
        <v>1662</v>
      </c>
      <c r="K3036" s="29" t="s">
        <v>1662</v>
      </c>
      <c r="L3036" s="29" t="s">
        <v>4774</v>
      </c>
      <c r="M3036" s="29" t="s">
        <v>4776</v>
      </c>
      <c r="N3036" s="29" t="s">
        <v>1511</v>
      </c>
      <c r="O3036" s="29" t="s">
        <v>594</v>
      </c>
    </row>
    <row r="3037" spans="1:15">
      <c r="A3037" s="25">
        <v>21074</v>
      </c>
      <c r="B3037" s="26" t="s">
        <v>4777</v>
      </c>
      <c r="C3037" s="27" t="s">
        <v>521</v>
      </c>
      <c r="D3037" s="27" t="s">
        <v>3315</v>
      </c>
      <c r="E3037" s="28">
        <v>42863</v>
      </c>
      <c r="F3037" s="28">
        <v>43344</v>
      </c>
      <c r="G3037" s="28">
        <v>43708</v>
      </c>
      <c r="H3037" s="27" t="s">
        <v>560</v>
      </c>
      <c r="I3037" s="31" t="s">
        <v>560</v>
      </c>
      <c r="J3037" s="29" t="s">
        <v>1662</v>
      </c>
      <c r="K3037" s="29" t="s">
        <v>1662</v>
      </c>
      <c r="L3037" s="29" t="s">
        <v>4774</v>
      </c>
      <c r="M3037" s="29" t="s">
        <v>4778</v>
      </c>
      <c r="N3037" s="29" t="s">
        <v>1511</v>
      </c>
      <c r="O3037" s="29" t="s">
        <v>594</v>
      </c>
    </row>
    <row r="3038" spans="1:15">
      <c r="A3038" s="25">
        <v>21270</v>
      </c>
      <c r="B3038" s="26" t="s">
        <v>4779</v>
      </c>
      <c r="C3038" s="27" t="s">
        <v>521</v>
      </c>
      <c r="D3038" s="27" t="s">
        <v>4780</v>
      </c>
      <c r="E3038" s="28">
        <v>42969</v>
      </c>
      <c r="F3038" s="28">
        <v>43405</v>
      </c>
      <c r="G3038" s="28">
        <v>43769</v>
      </c>
      <c r="H3038" s="29" t="s">
        <v>560</v>
      </c>
      <c r="I3038" s="31" t="s">
        <v>560</v>
      </c>
      <c r="J3038" s="29" t="s">
        <v>1662</v>
      </c>
      <c r="K3038" s="29" t="s">
        <v>1662</v>
      </c>
      <c r="L3038" s="29" t="s">
        <v>4774</v>
      </c>
      <c r="M3038" s="29" t="s">
        <v>4781</v>
      </c>
      <c r="N3038" s="29" t="s">
        <v>1525</v>
      </c>
      <c r="O3038" s="29" t="s">
        <v>594</v>
      </c>
    </row>
    <row r="3039" spans="1:15">
      <c r="A3039" s="25">
        <v>21597</v>
      </c>
      <c r="B3039" s="34" t="s">
        <v>278</v>
      </c>
      <c r="C3039" s="31" t="s">
        <v>521</v>
      </c>
      <c r="D3039" s="31" t="s">
        <v>1603</v>
      </c>
      <c r="E3039" s="28">
        <v>43048</v>
      </c>
      <c r="F3039" s="28">
        <v>43435</v>
      </c>
      <c r="G3039" s="28">
        <v>43799</v>
      </c>
      <c r="H3039" s="29" t="s">
        <v>560</v>
      </c>
      <c r="I3039" s="29" t="s">
        <v>560</v>
      </c>
      <c r="J3039" s="29" t="s">
        <v>1662</v>
      </c>
      <c r="K3039" s="29" t="s">
        <v>1662</v>
      </c>
      <c r="L3039" s="29" t="s">
        <v>4774</v>
      </c>
      <c r="M3039" s="29" t="s">
        <v>4782</v>
      </c>
      <c r="N3039" s="29" t="s">
        <v>1511</v>
      </c>
      <c r="O3039" s="29" t="s">
        <v>594</v>
      </c>
    </row>
    <row r="3040" spans="1:15">
      <c r="A3040" s="25">
        <v>21747</v>
      </c>
      <c r="B3040" s="34" t="s">
        <v>174</v>
      </c>
      <c r="C3040" s="31" t="s">
        <v>521</v>
      </c>
      <c r="D3040" s="31" t="s">
        <v>663</v>
      </c>
      <c r="E3040" s="28">
        <v>43087</v>
      </c>
      <c r="F3040" s="28">
        <v>43118</v>
      </c>
      <c r="G3040" s="28">
        <v>43496</v>
      </c>
      <c r="H3040" s="29" t="s">
        <v>560</v>
      </c>
      <c r="I3040" s="29" t="s">
        <v>560</v>
      </c>
      <c r="J3040" s="29" t="s">
        <v>1662</v>
      </c>
      <c r="K3040" s="29" t="s">
        <v>1662</v>
      </c>
      <c r="L3040" s="29" t="s">
        <v>4774</v>
      </c>
      <c r="M3040" s="29" t="s">
        <v>4783</v>
      </c>
      <c r="N3040" s="29" t="s">
        <v>1511</v>
      </c>
      <c r="O3040" s="29" t="s">
        <v>594</v>
      </c>
    </row>
    <row r="3041" spans="1:15">
      <c r="A3041" s="25">
        <v>21933</v>
      </c>
      <c r="B3041" s="34" t="s">
        <v>4784</v>
      </c>
      <c r="C3041" s="31" t="s">
        <v>521</v>
      </c>
      <c r="D3041" s="31" t="s">
        <v>740</v>
      </c>
      <c r="E3041" s="28">
        <v>43111</v>
      </c>
      <c r="F3041" s="28">
        <v>43142</v>
      </c>
      <c r="G3041" s="28">
        <v>43496</v>
      </c>
      <c r="H3041" s="29" t="s">
        <v>560</v>
      </c>
      <c r="I3041" s="29" t="s">
        <v>560</v>
      </c>
      <c r="J3041" s="29" t="s">
        <v>1662</v>
      </c>
      <c r="K3041" s="29" t="s">
        <v>1662</v>
      </c>
      <c r="L3041" s="29" t="s">
        <v>4774</v>
      </c>
      <c r="M3041" s="29" t="s">
        <v>4785</v>
      </c>
      <c r="N3041" s="29" t="s">
        <v>1525</v>
      </c>
      <c r="O3041" s="29" t="s">
        <v>594</v>
      </c>
    </row>
    <row r="3042" spans="1:15">
      <c r="A3042" s="25">
        <v>22071</v>
      </c>
      <c r="B3042" s="34" t="s">
        <v>4786</v>
      </c>
      <c r="C3042" s="31" t="s">
        <v>521</v>
      </c>
      <c r="D3042" s="31" t="s">
        <v>769</v>
      </c>
      <c r="E3042" s="28">
        <v>43150</v>
      </c>
      <c r="F3042" s="28">
        <v>43178</v>
      </c>
      <c r="G3042" s="28">
        <v>43555</v>
      </c>
      <c r="H3042" s="29" t="s">
        <v>560</v>
      </c>
      <c r="I3042" s="29" t="s">
        <v>560</v>
      </c>
      <c r="J3042" s="29" t="s">
        <v>1662</v>
      </c>
      <c r="K3042" s="29" t="s">
        <v>1662</v>
      </c>
      <c r="L3042" s="29" t="s">
        <v>4774</v>
      </c>
      <c r="M3042" s="29" t="s">
        <v>4787</v>
      </c>
      <c r="N3042" s="29" t="s">
        <v>1511</v>
      </c>
      <c r="O3042" s="29" t="s">
        <v>594</v>
      </c>
    </row>
    <row r="3043" spans="1:15">
      <c r="A3043" s="25">
        <v>22108</v>
      </c>
      <c r="B3043" s="34" t="s">
        <v>4702</v>
      </c>
      <c r="C3043" s="31" t="s">
        <v>521</v>
      </c>
      <c r="D3043" s="31" t="s">
        <v>769</v>
      </c>
      <c r="E3043" s="28">
        <v>43150</v>
      </c>
      <c r="F3043" s="28">
        <v>43178</v>
      </c>
      <c r="G3043" s="28">
        <v>43555</v>
      </c>
      <c r="H3043" s="29" t="s">
        <v>560</v>
      </c>
      <c r="I3043" s="29" t="s">
        <v>560</v>
      </c>
      <c r="J3043" s="29" t="s">
        <v>1662</v>
      </c>
      <c r="K3043" s="29" t="s">
        <v>1662</v>
      </c>
      <c r="L3043" s="29" t="s">
        <v>4774</v>
      </c>
      <c r="M3043" s="29" t="s">
        <v>4788</v>
      </c>
      <c r="N3043" s="29" t="s">
        <v>1511</v>
      </c>
      <c r="O3043" s="29" t="s">
        <v>594</v>
      </c>
    </row>
    <row r="3044" spans="1:15">
      <c r="A3044" s="25">
        <v>22303</v>
      </c>
      <c r="B3044" s="34" t="s">
        <v>4789</v>
      </c>
      <c r="C3044" s="31" t="s">
        <v>521</v>
      </c>
      <c r="D3044" s="31" t="s">
        <v>1191</v>
      </c>
      <c r="E3044" s="28">
        <v>43192</v>
      </c>
      <c r="F3044" s="28">
        <v>43222</v>
      </c>
      <c r="G3044" s="28">
        <v>43585</v>
      </c>
      <c r="H3044" s="29" t="s">
        <v>560</v>
      </c>
      <c r="I3044" s="29" t="s">
        <v>560</v>
      </c>
      <c r="J3044" s="29" t="s">
        <v>1662</v>
      </c>
      <c r="K3044" s="29" t="s">
        <v>1662</v>
      </c>
      <c r="L3044" s="29" t="s">
        <v>4774</v>
      </c>
      <c r="M3044" s="29" t="s">
        <v>4790</v>
      </c>
      <c r="N3044" s="29" t="s">
        <v>1525</v>
      </c>
      <c r="O3044" s="29" t="s">
        <v>594</v>
      </c>
    </row>
    <row r="3045" spans="1:15">
      <c r="A3045" s="25">
        <v>22469</v>
      </c>
      <c r="B3045" s="34" t="s">
        <v>4791</v>
      </c>
      <c r="C3045" s="31" t="s">
        <v>521</v>
      </c>
      <c r="D3045" s="31" t="s">
        <v>1577</v>
      </c>
      <c r="E3045" s="28">
        <v>43220</v>
      </c>
      <c r="F3045" s="28">
        <v>43250</v>
      </c>
      <c r="G3045" s="28">
        <v>43616</v>
      </c>
      <c r="H3045" s="29" t="s">
        <v>560</v>
      </c>
      <c r="I3045" s="29" t="s">
        <v>560</v>
      </c>
      <c r="J3045" s="29" t="s">
        <v>1662</v>
      </c>
      <c r="K3045" s="29" t="s">
        <v>1662</v>
      </c>
      <c r="L3045" s="29" t="s">
        <v>4774</v>
      </c>
      <c r="M3045" s="29" t="s">
        <v>4792</v>
      </c>
      <c r="N3045" s="29" t="s">
        <v>1525</v>
      </c>
      <c r="O3045" s="29" t="s">
        <v>594</v>
      </c>
    </row>
    <row r="3046" spans="1:15">
      <c r="A3046" s="25">
        <v>22597</v>
      </c>
      <c r="B3046" s="34" t="s">
        <v>4793</v>
      </c>
      <c r="C3046" s="31" t="s">
        <v>521</v>
      </c>
      <c r="D3046" s="31" t="s">
        <v>745</v>
      </c>
      <c r="E3046" s="28">
        <v>43236</v>
      </c>
      <c r="F3046" s="28">
        <v>43267</v>
      </c>
      <c r="G3046" s="28">
        <v>43646</v>
      </c>
      <c r="H3046" s="29" t="s">
        <v>560</v>
      </c>
      <c r="I3046" s="29" t="s">
        <v>560</v>
      </c>
      <c r="J3046" s="29" t="s">
        <v>1662</v>
      </c>
      <c r="K3046" s="29" t="s">
        <v>1662</v>
      </c>
      <c r="L3046" s="29" t="s">
        <v>4774</v>
      </c>
      <c r="M3046" s="29" t="s">
        <v>4794</v>
      </c>
      <c r="N3046" s="29" t="s">
        <v>1511</v>
      </c>
      <c r="O3046" s="29" t="s">
        <v>594</v>
      </c>
    </row>
    <row r="3047" spans="1:15">
      <c r="A3047" s="25">
        <v>22602</v>
      </c>
      <c r="B3047" s="34" t="s">
        <v>4795</v>
      </c>
      <c r="C3047" s="31" t="s">
        <v>521</v>
      </c>
      <c r="D3047" s="31" t="s">
        <v>745</v>
      </c>
      <c r="E3047" s="28">
        <v>43236</v>
      </c>
      <c r="F3047" s="28">
        <v>43267</v>
      </c>
      <c r="G3047" s="28">
        <v>43646</v>
      </c>
      <c r="H3047" s="29" t="s">
        <v>560</v>
      </c>
      <c r="I3047" s="29" t="s">
        <v>560</v>
      </c>
      <c r="J3047" s="29" t="s">
        <v>1662</v>
      </c>
      <c r="K3047" s="29" t="s">
        <v>1662</v>
      </c>
      <c r="L3047" s="29" t="s">
        <v>4774</v>
      </c>
      <c r="M3047" s="29" t="s">
        <v>4796</v>
      </c>
      <c r="N3047" s="29" t="s">
        <v>1525</v>
      </c>
      <c r="O3047" s="29" t="s">
        <v>594</v>
      </c>
    </row>
    <row r="3048" spans="1:15">
      <c r="A3048" s="25">
        <v>22693</v>
      </c>
      <c r="B3048" s="34" t="s">
        <v>4797</v>
      </c>
      <c r="C3048" s="31" t="s">
        <v>521</v>
      </c>
      <c r="D3048" s="31" t="s">
        <v>1195</v>
      </c>
      <c r="E3048" s="28">
        <v>43244</v>
      </c>
      <c r="F3048" s="28">
        <v>43275</v>
      </c>
      <c r="G3048" s="28">
        <v>43646</v>
      </c>
      <c r="H3048" s="29" t="s">
        <v>560</v>
      </c>
      <c r="I3048" s="29" t="s">
        <v>560</v>
      </c>
      <c r="J3048" s="29" t="s">
        <v>1662</v>
      </c>
      <c r="K3048" s="29" t="s">
        <v>1662</v>
      </c>
      <c r="L3048" s="29" t="s">
        <v>4774</v>
      </c>
      <c r="M3048" s="29" t="s">
        <v>4798</v>
      </c>
      <c r="N3048" s="29" t="s">
        <v>1541</v>
      </c>
      <c r="O3048" s="29" t="s">
        <v>594</v>
      </c>
    </row>
    <row r="3049" spans="1:15">
      <c r="A3049" s="25">
        <v>22694</v>
      </c>
      <c r="B3049" s="34" t="s">
        <v>4799</v>
      </c>
      <c r="C3049" s="31" t="s">
        <v>521</v>
      </c>
      <c r="D3049" s="31" t="s">
        <v>1195</v>
      </c>
      <c r="E3049" s="28">
        <v>43244</v>
      </c>
      <c r="F3049" s="28">
        <v>43275</v>
      </c>
      <c r="G3049" s="28">
        <v>43646</v>
      </c>
      <c r="H3049" s="29" t="s">
        <v>560</v>
      </c>
      <c r="I3049" s="29" t="s">
        <v>560</v>
      </c>
      <c r="J3049" s="29" t="s">
        <v>1662</v>
      </c>
      <c r="K3049" s="29" t="s">
        <v>1662</v>
      </c>
      <c r="L3049" s="29" t="s">
        <v>4774</v>
      </c>
      <c r="M3049" s="29" t="s">
        <v>4800</v>
      </c>
      <c r="N3049" s="29" t="s">
        <v>1525</v>
      </c>
      <c r="O3049" s="29" t="s">
        <v>594</v>
      </c>
    </row>
    <row r="3050" spans="1:15">
      <c r="A3050" s="25">
        <v>22887</v>
      </c>
      <c r="B3050" s="34" t="s">
        <v>4801</v>
      </c>
      <c r="C3050" s="31" t="s">
        <v>521</v>
      </c>
      <c r="D3050" s="31" t="s">
        <v>775</v>
      </c>
      <c r="E3050" s="28">
        <v>43333</v>
      </c>
      <c r="F3050" s="28">
        <v>43364</v>
      </c>
      <c r="G3050" s="28">
        <v>43738</v>
      </c>
      <c r="H3050" s="29" t="s">
        <v>560</v>
      </c>
      <c r="I3050" s="29" t="s">
        <v>560</v>
      </c>
      <c r="J3050" s="29" t="s">
        <v>1662</v>
      </c>
      <c r="K3050" s="29" t="s">
        <v>1662</v>
      </c>
      <c r="L3050" s="29" t="s">
        <v>4774</v>
      </c>
      <c r="M3050" s="29" t="s">
        <v>4802</v>
      </c>
      <c r="N3050" s="29" t="s">
        <v>1541</v>
      </c>
      <c r="O3050" s="29" t="s">
        <v>594</v>
      </c>
    </row>
    <row r="3051" spans="1:15">
      <c r="A3051" s="25">
        <v>23018</v>
      </c>
      <c r="B3051" s="34" t="s">
        <v>4803</v>
      </c>
      <c r="C3051" s="31" t="s">
        <v>521</v>
      </c>
      <c r="D3051" s="31" t="s">
        <v>1872</v>
      </c>
      <c r="E3051" s="28">
        <v>43361</v>
      </c>
      <c r="F3051" s="28">
        <v>43391</v>
      </c>
      <c r="G3051" s="28">
        <v>43769</v>
      </c>
      <c r="H3051" s="29" t="s">
        <v>560</v>
      </c>
      <c r="I3051" s="29" t="s">
        <v>560</v>
      </c>
      <c r="J3051" s="29" t="s">
        <v>1662</v>
      </c>
      <c r="K3051" s="29" t="s">
        <v>1662</v>
      </c>
      <c r="L3051" s="29" t="s">
        <v>4774</v>
      </c>
      <c r="M3051" s="29" t="s">
        <v>4804</v>
      </c>
      <c r="N3051" s="29" t="s">
        <v>1511</v>
      </c>
      <c r="O3051" s="29" t="s">
        <v>594</v>
      </c>
    </row>
    <row r="3052" spans="1:15">
      <c r="A3052" s="25">
        <v>23165</v>
      </c>
      <c r="B3052" s="34" t="s">
        <v>4805</v>
      </c>
      <c r="C3052" s="31" t="s">
        <v>521</v>
      </c>
      <c r="D3052" s="31" t="s">
        <v>1523</v>
      </c>
      <c r="E3052" s="28">
        <v>43369</v>
      </c>
      <c r="F3052" s="28">
        <v>43399</v>
      </c>
      <c r="G3052" s="28">
        <v>43769</v>
      </c>
      <c r="H3052" s="29" t="s">
        <v>560</v>
      </c>
      <c r="I3052" s="29" t="s">
        <v>560</v>
      </c>
      <c r="J3052" s="29" t="s">
        <v>1662</v>
      </c>
      <c r="K3052" s="29" t="s">
        <v>1662</v>
      </c>
      <c r="L3052" s="29" t="s">
        <v>4774</v>
      </c>
      <c r="M3052" s="29" t="s">
        <v>4806</v>
      </c>
      <c r="N3052" s="29" t="s">
        <v>1511</v>
      </c>
      <c r="O3052" s="29" t="s">
        <v>594</v>
      </c>
    </row>
    <row r="3053" spans="1:15">
      <c r="A3053" s="25">
        <v>23252</v>
      </c>
      <c r="B3053" s="34" t="s">
        <v>4807</v>
      </c>
      <c r="C3053" s="31" t="s">
        <v>521</v>
      </c>
      <c r="D3053" s="31" t="s">
        <v>1582</v>
      </c>
      <c r="E3053" s="28">
        <v>43421</v>
      </c>
      <c r="F3053" s="28">
        <v>43451</v>
      </c>
      <c r="G3053" s="28">
        <v>43830</v>
      </c>
      <c r="H3053" s="29" t="s">
        <v>560</v>
      </c>
      <c r="I3053" s="29" t="s">
        <v>560</v>
      </c>
      <c r="J3053" s="29" t="s">
        <v>1662</v>
      </c>
      <c r="K3053" s="29" t="s">
        <v>1662</v>
      </c>
      <c r="L3053" s="29" t="s">
        <v>4774</v>
      </c>
      <c r="M3053" s="29" t="s">
        <v>4808</v>
      </c>
      <c r="N3053" s="29" t="s">
        <v>1511</v>
      </c>
      <c r="O3053" s="29" t="s">
        <v>594</v>
      </c>
    </row>
    <row r="3054" spans="1:15">
      <c r="A3054" s="25">
        <v>23551</v>
      </c>
      <c r="B3054" s="34" t="s">
        <v>4809</v>
      </c>
      <c r="C3054" s="31" t="s">
        <v>521</v>
      </c>
      <c r="D3054" s="31" t="s">
        <v>884</v>
      </c>
      <c r="E3054" s="28">
        <v>43452</v>
      </c>
      <c r="F3054" s="28">
        <v>43483</v>
      </c>
      <c r="G3054" s="28">
        <v>43861</v>
      </c>
      <c r="H3054" s="29" t="s">
        <v>560</v>
      </c>
      <c r="I3054" s="29" t="s">
        <v>560</v>
      </c>
      <c r="J3054" s="29" t="s">
        <v>1662</v>
      </c>
      <c r="K3054" s="29" t="s">
        <v>1662</v>
      </c>
      <c r="L3054" s="29" t="s">
        <v>4774</v>
      </c>
      <c r="M3054" s="29" t="s">
        <v>4810</v>
      </c>
      <c r="N3054" s="29" t="s">
        <v>1586</v>
      </c>
      <c r="O3054" s="29" t="s">
        <v>594</v>
      </c>
    </row>
    <row r="3055" spans="1:15">
      <c r="A3055" s="25">
        <v>23583</v>
      </c>
      <c r="B3055" s="34" t="s">
        <v>4811</v>
      </c>
      <c r="C3055" s="31" t="s">
        <v>521</v>
      </c>
      <c r="D3055" s="31" t="s">
        <v>884</v>
      </c>
      <c r="E3055" s="28">
        <v>43452</v>
      </c>
      <c r="F3055" s="28">
        <v>43483</v>
      </c>
      <c r="G3055" s="28">
        <v>43861</v>
      </c>
      <c r="H3055" s="29" t="s">
        <v>560</v>
      </c>
      <c r="I3055" s="29" t="s">
        <v>560</v>
      </c>
      <c r="J3055" s="29" t="s">
        <v>1662</v>
      </c>
      <c r="K3055" s="29" t="s">
        <v>1662</v>
      </c>
      <c r="L3055" s="29" t="s">
        <v>4774</v>
      </c>
      <c r="M3055" s="29" t="s">
        <v>4812</v>
      </c>
      <c r="N3055" s="29" t="s">
        <v>1586</v>
      </c>
      <c r="O3055" s="29" t="s">
        <v>594</v>
      </c>
    </row>
    <row r="3056" spans="1:15">
      <c r="A3056" s="25">
        <v>951</v>
      </c>
      <c r="B3056" s="26" t="s">
        <v>4813</v>
      </c>
      <c r="C3056" s="27" t="s">
        <v>521</v>
      </c>
      <c r="D3056" s="27" t="s">
        <v>827</v>
      </c>
      <c r="E3056" s="28">
        <v>37865</v>
      </c>
      <c r="F3056" s="28" t="s">
        <v>35</v>
      </c>
      <c r="G3056" s="28" t="s">
        <v>35</v>
      </c>
      <c r="H3056" s="29" t="s">
        <v>560</v>
      </c>
      <c r="I3056" s="29" t="s">
        <v>560</v>
      </c>
      <c r="J3056" s="29" t="s">
        <v>1662</v>
      </c>
      <c r="K3056" s="29" t="s">
        <v>1662</v>
      </c>
      <c r="L3056" s="29" t="s">
        <v>4774</v>
      </c>
      <c r="M3056" s="29" t="s">
        <v>1550</v>
      </c>
      <c r="N3056" s="29" t="s">
        <v>1045</v>
      </c>
      <c r="O3056" s="29" t="s">
        <v>590</v>
      </c>
    </row>
    <row r="3057" spans="1:15">
      <c r="A3057" s="25">
        <v>5762</v>
      </c>
      <c r="B3057" s="26" t="s">
        <v>4814</v>
      </c>
      <c r="C3057" s="27" t="s">
        <v>521</v>
      </c>
      <c r="D3057" s="27" t="s">
        <v>794</v>
      </c>
      <c r="E3057" s="28">
        <v>39114</v>
      </c>
      <c r="F3057" s="28" t="s">
        <v>35</v>
      </c>
      <c r="G3057" s="28" t="s">
        <v>35</v>
      </c>
      <c r="H3057" s="29" t="s">
        <v>560</v>
      </c>
      <c r="I3057" s="29" t="s">
        <v>560</v>
      </c>
      <c r="J3057" s="29" t="s">
        <v>1662</v>
      </c>
      <c r="K3057" s="29" t="s">
        <v>1662</v>
      </c>
      <c r="L3057" s="29" t="s">
        <v>4774</v>
      </c>
      <c r="M3057" s="29" t="s">
        <v>4815</v>
      </c>
      <c r="N3057" s="29" t="s">
        <v>1511</v>
      </c>
      <c r="O3057" s="29" t="s">
        <v>590</v>
      </c>
    </row>
    <row r="3058" spans="1:15">
      <c r="A3058" s="25">
        <v>5780</v>
      </c>
      <c r="B3058" s="34" t="s">
        <v>4816</v>
      </c>
      <c r="C3058" s="31" t="s">
        <v>521</v>
      </c>
      <c r="D3058" s="31" t="s">
        <v>794</v>
      </c>
      <c r="E3058" s="28">
        <v>39114</v>
      </c>
      <c r="F3058" s="28" t="s">
        <v>35</v>
      </c>
      <c r="G3058" s="28" t="s">
        <v>35</v>
      </c>
      <c r="H3058" s="29" t="s">
        <v>560</v>
      </c>
      <c r="I3058" s="29" t="s">
        <v>560</v>
      </c>
      <c r="J3058" s="29" t="s">
        <v>1662</v>
      </c>
      <c r="K3058" s="29" t="s">
        <v>1662</v>
      </c>
      <c r="L3058" s="29" t="s">
        <v>4774</v>
      </c>
      <c r="M3058" s="29" t="s">
        <v>4776</v>
      </c>
      <c r="N3058" s="29" t="s">
        <v>1511</v>
      </c>
      <c r="O3058" s="29" t="s">
        <v>590</v>
      </c>
    </row>
    <row r="3059" spans="1:15">
      <c r="A3059" s="25">
        <v>10181</v>
      </c>
      <c r="B3059" s="26" t="s">
        <v>4817</v>
      </c>
      <c r="C3059" s="27" t="s">
        <v>521</v>
      </c>
      <c r="D3059" s="27" t="s">
        <v>787</v>
      </c>
      <c r="E3059" s="28">
        <v>40458</v>
      </c>
      <c r="F3059" s="28" t="s">
        <v>35</v>
      </c>
      <c r="G3059" s="28" t="s">
        <v>35</v>
      </c>
      <c r="H3059" s="29" t="s">
        <v>560</v>
      </c>
      <c r="I3059" s="29" t="s">
        <v>560</v>
      </c>
      <c r="J3059" s="29" t="s">
        <v>1662</v>
      </c>
      <c r="K3059" s="29" t="s">
        <v>1662</v>
      </c>
      <c r="L3059" s="29" t="s">
        <v>4774</v>
      </c>
      <c r="M3059" s="29" t="s">
        <v>4818</v>
      </c>
      <c r="N3059" s="29" t="s">
        <v>1511</v>
      </c>
      <c r="O3059" s="29" t="s">
        <v>590</v>
      </c>
    </row>
    <row r="3060" spans="1:15">
      <c r="A3060" s="25">
        <v>20479</v>
      </c>
      <c r="B3060" s="26" t="s">
        <v>4819</v>
      </c>
      <c r="C3060" s="27" t="s">
        <v>521</v>
      </c>
      <c r="D3060" s="27" t="s">
        <v>1644</v>
      </c>
      <c r="E3060" s="28">
        <v>42634</v>
      </c>
      <c r="F3060" s="28">
        <v>43132</v>
      </c>
      <c r="G3060" s="28">
        <v>43496</v>
      </c>
      <c r="H3060" s="27" t="s">
        <v>560</v>
      </c>
      <c r="I3060" s="31" t="s">
        <v>560</v>
      </c>
      <c r="J3060" s="29" t="s">
        <v>1662</v>
      </c>
      <c r="K3060" s="29" t="s">
        <v>1662</v>
      </c>
      <c r="L3060" s="29" t="s">
        <v>4774</v>
      </c>
      <c r="M3060" s="29" t="s">
        <v>4820</v>
      </c>
      <c r="N3060" s="29" t="s">
        <v>1511</v>
      </c>
      <c r="O3060" s="29" t="s">
        <v>590</v>
      </c>
    </row>
    <row r="3061" spans="1:15">
      <c r="A3061" s="25">
        <v>20529</v>
      </c>
      <c r="B3061" s="26" t="s">
        <v>4821</v>
      </c>
      <c r="C3061" s="27" t="s">
        <v>521</v>
      </c>
      <c r="D3061" s="27" t="s">
        <v>1644</v>
      </c>
      <c r="E3061" s="28">
        <v>42634</v>
      </c>
      <c r="F3061" s="28">
        <v>43132</v>
      </c>
      <c r="G3061" s="28">
        <v>43496</v>
      </c>
      <c r="H3061" s="27" t="s">
        <v>560</v>
      </c>
      <c r="I3061" s="31" t="s">
        <v>560</v>
      </c>
      <c r="J3061" s="29" t="s">
        <v>1662</v>
      </c>
      <c r="K3061" s="29" t="s">
        <v>1662</v>
      </c>
      <c r="L3061" s="29" t="s">
        <v>4774</v>
      </c>
      <c r="M3061" s="29" t="s">
        <v>1543</v>
      </c>
      <c r="N3061" s="29" t="s">
        <v>1541</v>
      </c>
      <c r="O3061" s="29" t="s">
        <v>590</v>
      </c>
    </row>
    <row r="3062" spans="1:15">
      <c r="A3062" s="25">
        <v>20970</v>
      </c>
      <c r="B3062" s="34" t="s">
        <v>4822</v>
      </c>
      <c r="C3062" s="31" t="s">
        <v>521</v>
      </c>
      <c r="D3062" s="31" t="s">
        <v>1151</v>
      </c>
      <c r="E3062" s="28">
        <v>42674</v>
      </c>
      <c r="F3062" s="28">
        <v>43160</v>
      </c>
      <c r="G3062" s="28">
        <v>43524</v>
      </c>
      <c r="H3062" s="29" t="s">
        <v>560</v>
      </c>
      <c r="I3062" s="29" t="s">
        <v>560</v>
      </c>
      <c r="J3062" s="29" t="s">
        <v>1662</v>
      </c>
      <c r="K3062" s="29" t="s">
        <v>1662</v>
      </c>
      <c r="L3062" s="29" t="s">
        <v>4774</v>
      </c>
      <c r="M3062" s="29" t="s">
        <v>4823</v>
      </c>
      <c r="N3062" s="29" t="s">
        <v>1525</v>
      </c>
      <c r="O3062" s="29" t="s">
        <v>590</v>
      </c>
    </row>
    <row r="3063" spans="1:15">
      <c r="A3063" s="25">
        <v>21225</v>
      </c>
      <c r="B3063" s="26" t="s">
        <v>4824</v>
      </c>
      <c r="C3063" s="27" t="s">
        <v>521</v>
      </c>
      <c r="D3063" s="27" t="s">
        <v>780</v>
      </c>
      <c r="E3063" s="28">
        <v>42884</v>
      </c>
      <c r="F3063" s="28">
        <v>43374</v>
      </c>
      <c r="G3063" s="28">
        <v>43738</v>
      </c>
      <c r="H3063" s="25" t="s">
        <v>560</v>
      </c>
      <c r="I3063" s="29" t="s">
        <v>560</v>
      </c>
      <c r="J3063" s="29" t="s">
        <v>1662</v>
      </c>
      <c r="K3063" s="29" t="s">
        <v>1662</v>
      </c>
      <c r="L3063" s="29" t="s">
        <v>4774</v>
      </c>
      <c r="M3063" s="29" t="s">
        <v>4787</v>
      </c>
      <c r="N3063" s="29" t="s">
        <v>1511</v>
      </c>
      <c r="O3063" s="29" t="s">
        <v>590</v>
      </c>
    </row>
    <row r="3064" spans="1:15">
      <c r="A3064" s="25">
        <v>21264</v>
      </c>
      <c r="B3064" s="33" t="s">
        <v>4825</v>
      </c>
      <c r="C3064" s="27" t="s">
        <v>521</v>
      </c>
      <c r="D3064" s="27" t="s">
        <v>1157</v>
      </c>
      <c r="E3064" s="28">
        <v>42940</v>
      </c>
      <c r="F3064" s="28">
        <v>43405</v>
      </c>
      <c r="G3064" s="28">
        <v>43769</v>
      </c>
      <c r="H3064" s="29" t="s">
        <v>560</v>
      </c>
      <c r="I3064" s="29" t="s">
        <v>560</v>
      </c>
      <c r="J3064" s="29" t="s">
        <v>1662</v>
      </c>
      <c r="K3064" s="29" t="s">
        <v>1662</v>
      </c>
      <c r="L3064" s="29" t="s">
        <v>4774</v>
      </c>
      <c r="M3064" s="29" t="s">
        <v>4781</v>
      </c>
      <c r="N3064" s="29" t="s">
        <v>1525</v>
      </c>
      <c r="O3064" s="29" t="s">
        <v>590</v>
      </c>
    </row>
    <row r="3065" spans="1:15">
      <c r="A3065" s="25">
        <v>21437</v>
      </c>
      <c r="B3065" s="34" t="s">
        <v>4826</v>
      </c>
      <c r="C3065" s="31" t="s">
        <v>521</v>
      </c>
      <c r="D3065" s="31" t="s">
        <v>2166</v>
      </c>
      <c r="E3065" s="28">
        <v>43024</v>
      </c>
      <c r="F3065" s="28">
        <v>43435</v>
      </c>
      <c r="G3065" s="28">
        <v>43799</v>
      </c>
      <c r="H3065" s="29" t="s">
        <v>560</v>
      </c>
      <c r="I3065" s="29" t="s">
        <v>560</v>
      </c>
      <c r="J3065" s="29" t="s">
        <v>1662</v>
      </c>
      <c r="K3065" s="29" t="s">
        <v>1662</v>
      </c>
      <c r="L3065" s="29" t="s">
        <v>4774</v>
      </c>
      <c r="M3065" s="29" t="s">
        <v>4808</v>
      </c>
      <c r="N3065" s="29" t="s">
        <v>1511</v>
      </c>
      <c r="O3065" s="29" t="s">
        <v>590</v>
      </c>
    </row>
    <row r="3066" spans="1:15">
      <c r="A3066" s="25">
        <v>21590</v>
      </c>
      <c r="B3066" s="34" t="s">
        <v>4827</v>
      </c>
      <c r="C3066" s="31" t="s">
        <v>521</v>
      </c>
      <c r="D3066" s="31" t="s">
        <v>1603</v>
      </c>
      <c r="E3066" s="28">
        <v>43048</v>
      </c>
      <c r="F3066" s="28">
        <v>43435</v>
      </c>
      <c r="G3066" s="28">
        <v>43799</v>
      </c>
      <c r="H3066" s="29" t="s">
        <v>560</v>
      </c>
      <c r="I3066" s="29" t="s">
        <v>560</v>
      </c>
      <c r="J3066" s="29" t="s">
        <v>1662</v>
      </c>
      <c r="K3066" s="29" t="s">
        <v>1662</v>
      </c>
      <c r="L3066" s="29" t="s">
        <v>4774</v>
      </c>
      <c r="M3066" s="29" t="s">
        <v>4792</v>
      </c>
      <c r="N3066" s="29" t="s">
        <v>1525</v>
      </c>
      <c r="O3066" s="29" t="s">
        <v>590</v>
      </c>
    </row>
    <row r="3067" spans="1:15">
      <c r="A3067" s="25">
        <v>22103</v>
      </c>
      <c r="B3067" s="34" t="s">
        <v>4828</v>
      </c>
      <c r="C3067" s="31" t="s">
        <v>521</v>
      </c>
      <c r="D3067" s="31" t="s">
        <v>769</v>
      </c>
      <c r="E3067" s="28">
        <v>43150</v>
      </c>
      <c r="F3067" s="28">
        <v>43178</v>
      </c>
      <c r="G3067" s="28">
        <v>43555</v>
      </c>
      <c r="H3067" s="29" t="s">
        <v>560</v>
      </c>
      <c r="I3067" s="29" t="s">
        <v>560</v>
      </c>
      <c r="J3067" s="29" t="s">
        <v>1662</v>
      </c>
      <c r="K3067" s="29" t="s">
        <v>1662</v>
      </c>
      <c r="L3067" s="29" t="s">
        <v>4774</v>
      </c>
      <c r="M3067" s="29" t="s">
        <v>4794</v>
      </c>
      <c r="N3067" s="29" t="s">
        <v>1511</v>
      </c>
      <c r="O3067" s="29" t="s">
        <v>590</v>
      </c>
    </row>
    <row r="3068" spans="1:15">
      <c r="A3068" s="25">
        <v>22444</v>
      </c>
      <c r="B3068" s="34" t="s">
        <v>236</v>
      </c>
      <c r="C3068" s="31" t="s">
        <v>521</v>
      </c>
      <c r="D3068" s="31" t="s">
        <v>1577</v>
      </c>
      <c r="E3068" s="28">
        <v>43220</v>
      </c>
      <c r="F3068" s="28">
        <v>43250</v>
      </c>
      <c r="G3068" s="28">
        <v>43616</v>
      </c>
      <c r="H3068" s="29" t="s">
        <v>560</v>
      </c>
      <c r="I3068" s="29" t="s">
        <v>560</v>
      </c>
      <c r="J3068" s="29" t="s">
        <v>1662</v>
      </c>
      <c r="K3068" s="29" t="s">
        <v>1662</v>
      </c>
      <c r="L3068" s="29" t="s">
        <v>4774</v>
      </c>
      <c r="M3068" s="29" t="s">
        <v>4829</v>
      </c>
      <c r="N3068" s="29" t="s">
        <v>1525</v>
      </c>
      <c r="O3068" s="29" t="s">
        <v>590</v>
      </c>
    </row>
    <row r="3069" spans="1:15">
      <c r="A3069" s="25">
        <v>22802</v>
      </c>
      <c r="B3069" s="34" t="s">
        <v>4830</v>
      </c>
      <c r="C3069" s="31" t="s">
        <v>521</v>
      </c>
      <c r="D3069" s="31" t="s">
        <v>775</v>
      </c>
      <c r="E3069" s="28">
        <v>43333</v>
      </c>
      <c r="F3069" s="28">
        <v>43364</v>
      </c>
      <c r="G3069" s="28">
        <v>43738</v>
      </c>
      <c r="H3069" s="29" t="s">
        <v>560</v>
      </c>
      <c r="I3069" s="29" t="s">
        <v>560</v>
      </c>
      <c r="J3069" s="29" t="s">
        <v>1662</v>
      </c>
      <c r="K3069" s="29" t="s">
        <v>1662</v>
      </c>
      <c r="L3069" s="29" t="s">
        <v>4774</v>
      </c>
      <c r="M3069" s="29" t="s">
        <v>4798</v>
      </c>
      <c r="N3069" s="29" t="s">
        <v>1541</v>
      </c>
      <c r="O3069" s="29" t="s">
        <v>590</v>
      </c>
    </row>
    <row r="3070" spans="1:15">
      <c r="A3070" s="25">
        <v>23014</v>
      </c>
      <c r="B3070" s="34" t="s">
        <v>4831</v>
      </c>
      <c r="C3070" s="31" t="s">
        <v>521</v>
      </c>
      <c r="D3070" s="31" t="s">
        <v>1872</v>
      </c>
      <c r="E3070" s="28">
        <v>43361</v>
      </c>
      <c r="F3070" s="28">
        <v>43391</v>
      </c>
      <c r="G3070" s="28">
        <v>43769</v>
      </c>
      <c r="H3070" s="29" t="s">
        <v>560</v>
      </c>
      <c r="I3070" s="29" t="s">
        <v>560</v>
      </c>
      <c r="J3070" s="29" t="s">
        <v>1662</v>
      </c>
      <c r="K3070" s="29" t="s">
        <v>1662</v>
      </c>
      <c r="L3070" s="29" t="s">
        <v>4774</v>
      </c>
      <c r="M3070" s="29" t="s">
        <v>4796</v>
      </c>
      <c r="N3070" s="29" t="s">
        <v>1525</v>
      </c>
      <c r="O3070" s="29" t="s">
        <v>590</v>
      </c>
    </row>
    <row r="3071" spans="1:15">
      <c r="A3071" s="25">
        <v>23253</v>
      </c>
      <c r="B3071" s="34" t="s">
        <v>4832</v>
      </c>
      <c r="C3071" s="31" t="s">
        <v>521</v>
      </c>
      <c r="D3071" s="31" t="s">
        <v>1582</v>
      </c>
      <c r="E3071" s="28">
        <v>43421</v>
      </c>
      <c r="F3071" s="28">
        <v>43451</v>
      </c>
      <c r="G3071" s="28">
        <v>43830</v>
      </c>
      <c r="H3071" s="29" t="s">
        <v>560</v>
      </c>
      <c r="I3071" s="29" t="s">
        <v>560</v>
      </c>
      <c r="J3071" s="29" t="s">
        <v>1662</v>
      </c>
      <c r="K3071" s="29" t="s">
        <v>1662</v>
      </c>
      <c r="L3071" s="29" t="s">
        <v>4774</v>
      </c>
      <c r="M3071" s="29" t="s">
        <v>4833</v>
      </c>
      <c r="N3071" s="29" t="s">
        <v>659</v>
      </c>
      <c r="O3071" s="29" t="s">
        <v>590</v>
      </c>
    </row>
    <row r="3072" spans="1:15">
      <c r="A3072" s="25">
        <v>23313</v>
      </c>
      <c r="B3072" s="34" t="s">
        <v>4834</v>
      </c>
      <c r="C3072" s="31" t="s">
        <v>521</v>
      </c>
      <c r="D3072" s="31" t="s">
        <v>1527</v>
      </c>
      <c r="E3072" s="28">
        <v>43427</v>
      </c>
      <c r="F3072" s="28">
        <v>43457</v>
      </c>
      <c r="G3072" s="28">
        <v>43830</v>
      </c>
      <c r="H3072" s="29" t="s">
        <v>560</v>
      </c>
      <c r="I3072" s="29" t="s">
        <v>560</v>
      </c>
      <c r="J3072" s="29" t="s">
        <v>1662</v>
      </c>
      <c r="K3072" s="29" t="s">
        <v>1662</v>
      </c>
      <c r="L3072" s="29" t="s">
        <v>4774</v>
      </c>
      <c r="M3072" s="29" t="s">
        <v>4783</v>
      </c>
      <c r="N3072" s="29" t="s">
        <v>1511</v>
      </c>
      <c r="O3072" s="29" t="s">
        <v>590</v>
      </c>
    </row>
    <row r="3073" spans="1:15">
      <c r="A3073" s="25">
        <v>23363</v>
      </c>
      <c r="B3073" s="34" t="s">
        <v>4835</v>
      </c>
      <c r="C3073" s="31" t="s">
        <v>521</v>
      </c>
      <c r="D3073" s="31" t="s">
        <v>1527</v>
      </c>
      <c r="E3073" s="28">
        <v>43427</v>
      </c>
      <c r="F3073" s="28">
        <v>43457</v>
      </c>
      <c r="G3073" s="28">
        <v>43830</v>
      </c>
      <c r="H3073" s="29" t="s">
        <v>560</v>
      </c>
      <c r="I3073" s="29" t="s">
        <v>560</v>
      </c>
      <c r="J3073" s="29" t="s">
        <v>1662</v>
      </c>
      <c r="K3073" s="29" t="s">
        <v>1662</v>
      </c>
      <c r="L3073" s="29" t="s">
        <v>4774</v>
      </c>
      <c r="M3073" s="29" t="s">
        <v>4836</v>
      </c>
      <c r="N3073" s="29" t="s">
        <v>1511</v>
      </c>
      <c r="O3073" s="29" t="s">
        <v>590</v>
      </c>
    </row>
    <row r="3074" spans="1:15">
      <c r="A3074" s="25">
        <v>23375</v>
      </c>
      <c r="B3074" s="34" t="s">
        <v>4837</v>
      </c>
      <c r="C3074" s="31" t="s">
        <v>521</v>
      </c>
      <c r="D3074" s="31" t="s">
        <v>1527</v>
      </c>
      <c r="E3074" s="28">
        <v>43427</v>
      </c>
      <c r="F3074" s="28">
        <v>43457</v>
      </c>
      <c r="G3074" s="28">
        <v>43830</v>
      </c>
      <c r="H3074" s="29" t="s">
        <v>560</v>
      </c>
      <c r="I3074" s="29" t="s">
        <v>560</v>
      </c>
      <c r="J3074" s="29" t="s">
        <v>1662</v>
      </c>
      <c r="K3074" s="29" t="s">
        <v>1662</v>
      </c>
      <c r="L3074" s="29" t="s">
        <v>4774</v>
      </c>
      <c r="M3074" s="29" t="s">
        <v>4788</v>
      </c>
      <c r="N3074" s="29" t="s">
        <v>1511</v>
      </c>
      <c r="O3074" s="29" t="s">
        <v>590</v>
      </c>
    </row>
    <row r="3075" spans="1:15">
      <c r="A3075" s="25">
        <v>23439</v>
      </c>
      <c r="B3075" s="34" t="s">
        <v>4838</v>
      </c>
      <c r="C3075" s="31" t="s">
        <v>521</v>
      </c>
      <c r="D3075" s="31" t="s">
        <v>882</v>
      </c>
      <c r="E3075" s="28">
        <v>43434</v>
      </c>
      <c r="F3075" s="28">
        <v>43464</v>
      </c>
      <c r="G3075" s="28">
        <v>43830</v>
      </c>
      <c r="H3075" s="29" t="s">
        <v>560</v>
      </c>
      <c r="I3075" s="29" t="s">
        <v>560</v>
      </c>
      <c r="J3075" s="29" t="s">
        <v>1662</v>
      </c>
      <c r="K3075" s="29" t="s">
        <v>1662</v>
      </c>
      <c r="L3075" s="29" t="s">
        <v>4774</v>
      </c>
      <c r="M3075" s="29" t="s">
        <v>4782</v>
      </c>
      <c r="N3075" s="29" t="s">
        <v>1511</v>
      </c>
      <c r="O3075" s="29" t="s">
        <v>590</v>
      </c>
    </row>
    <row r="3076" spans="1:15">
      <c r="A3076" s="25">
        <v>23480</v>
      </c>
      <c r="B3076" s="34" t="s">
        <v>4839</v>
      </c>
      <c r="C3076" s="31" t="s">
        <v>521</v>
      </c>
      <c r="D3076" s="31" t="s">
        <v>882</v>
      </c>
      <c r="E3076" s="28">
        <v>43434</v>
      </c>
      <c r="F3076" s="28">
        <v>43464</v>
      </c>
      <c r="G3076" s="28">
        <v>43830</v>
      </c>
      <c r="H3076" s="29" t="s">
        <v>560</v>
      </c>
      <c r="I3076" s="29" t="s">
        <v>560</v>
      </c>
      <c r="J3076" s="29" t="s">
        <v>1662</v>
      </c>
      <c r="K3076" s="29" t="s">
        <v>1662</v>
      </c>
      <c r="L3076" s="29" t="s">
        <v>4774</v>
      </c>
      <c r="M3076" s="29" t="s">
        <v>4840</v>
      </c>
      <c r="N3076" s="29" t="s">
        <v>659</v>
      </c>
      <c r="O3076" s="29" t="s">
        <v>590</v>
      </c>
    </row>
    <row r="3077" spans="1:15">
      <c r="A3077" s="25">
        <v>23607</v>
      </c>
      <c r="B3077" s="34" t="s">
        <v>4702</v>
      </c>
      <c r="C3077" s="31" t="s">
        <v>521</v>
      </c>
      <c r="D3077" s="31" t="s">
        <v>884</v>
      </c>
      <c r="E3077" s="28">
        <v>43452</v>
      </c>
      <c r="F3077" s="28">
        <v>43483</v>
      </c>
      <c r="G3077" s="28">
        <v>43861</v>
      </c>
      <c r="H3077" s="29" t="s">
        <v>560</v>
      </c>
      <c r="I3077" s="29" t="s">
        <v>560</v>
      </c>
      <c r="J3077" s="29" t="s">
        <v>1662</v>
      </c>
      <c r="K3077" s="29" t="s">
        <v>1662</v>
      </c>
      <c r="L3077" s="29" t="s">
        <v>4774</v>
      </c>
      <c r="M3077" s="29" t="s">
        <v>1593</v>
      </c>
      <c r="N3077" s="29" t="s">
        <v>1586</v>
      </c>
      <c r="O3077" s="29" t="s">
        <v>590</v>
      </c>
    </row>
    <row r="3078" spans="1:15">
      <c r="A3078" s="25" t="s">
        <v>4841</v>
      </c>
      <c r="B3078" s="34" t="s">
        <v>4842</v>
      </c>
      <c r="C3078" s="31" t="s">
        <v>521</v>
      </c>
      <c r="D3078" s="31" t="s">
        <v>892</v>
      </c>
      <c r="E3078" s="28">
        <v>43467</v>
      </c>
      <c r="F3078" s="28">
        <v>43467</v>
      </c>
      <c r="G3078" s="28">
        <v>43497</v>
      </c>
      <c r="H3078" s="29" t="s">
        <v>560</v>
      </c>
      <c r="I3078" s="29" t="s">
        <v>560</v>
      </c>
      <c r="J3078" s="29" t="s">
        <v>1662</v>
      </c>
      <c r="K3078" s="29" t="s">
        <v>1662</v>
      </c>
      <c r="L3078" s="29" t="s">
        <v>4774</v>
      </c>
      <c r="M3078" s="29" t="s">
        <v>1593</v>
      </c>
      <c r="N3078" s="29" t="s">
        <v>1586</v>
      </c>
      <c r="O3078" s="29" t="s">
        <v>590</v>
      </c>
    </row>
    <row r="3079" spans="1:15">
      <c r="A3079" s="25">
        <v>8814</v>
      </c>
      <c r="B3079" s="32" t="s">
        <v>4843</v>
      </c>
      <c r="C3079" s="27" t="s">
        <v>521</v>
      </c>
      <c r="D3079" s="27" t="s">
        <v>813</v>
      </c>
      <c r="E3079" s="28">
        <v>39937</v>
      </c>
      <c r="F3079" s="28" t="s">
        <v>35</v>
      </c>
      <c r="G3079" s="28" t="s">
        <v>35</v>
      </c>
      <c r="H3079" s="29" t="s">
        <v>560</v>
      </c>
      <c r="I3079" s="29" t="s">
        <v>560</v>
      </c>
      <c r="J3079" s="29" t="s">
        <v>1694</v>
      </c>
      <c r="K3079" s="29" t="s">
        <v>1694</v>
      </c>
      <c r="L3079" s="29" t="s">
        <v>4844</v>
      </c>
      <c r="M3079" s="29" t="s">
        <v>1550</v>
      </c>
      <c r="N3079" s="29" t="s">
        <v>1045</v>
      </c>
      <c r="O3079" s="29" t="s">
        <v>594</v>
      </c>
    </row>
    <row r="3080" spans="1:15">
      <c r="A3080" s="25">
        <v>21710</v>
      </c>
      <c r="B3080" s="34" t="s">
        <v>4845</v>
      </c>
      <c r="C3080" s="31" t="s">
        <v>521</v>
      </c>
      <c r="D3080" s="31" t="s">
        <v>663</v>
      </c>
      <c r="E3080" s="28">
        <v>43087</v>
      </c>
      <c r="F3080" s="28">
        <v>43118</v>
      </c>
      <c r="G3080" s="28">
        <v>43496</v>
      </c>
      <c r="H3080" s="29" t="s">
        <v>560</v>
      </c>
      <c r="I3080" s="29" t="s">
        <v>560</v>
      </c>
      <c r="J3080" s="29" t="s">
        <v>1694</v>
      </c>
      <c r="K3080" s="29" t="s">
        <v>1694</v>
      </c>
      <c r="L3080" s="29" t="s">
        <v>4844</v>
      </c>
      <c r="M3080" s="29" t="s">
        <v>4846</v>
      </c>
      <c r="N3080" s="29" t="s">
        <v>1525</v>
      </c>
      <c r="O3080" s="29" t="s">
        <v>594</v>
      </c>
    </row>
    <row r="3081" spans="1:15">
      <c r="A3081" s="25" t="s">
        <v>4847</v>
      </c>
      <c r="B3081" s="34" t="s">
        <v>4848</v>
      </c>
      <c r="C3081" s="31" t="s">
        <v>521</v>
      </c>
      <c r="D3081" s="31" t="s">
        <v>892</v>
      </c>
      <c r="E3081" s="28">
        <v>43467</v>
      </c>
      <c r="F3081" s="28">
        <v>43467</v>
      </c>
      <c r="G3081" s="28">
        <v>43497</v>
      </c>
      <c r="H3081" s="29" t="s">
        <v>560</v>
      </c>
      <c r="I3081" s="29" t="s">
        <v>560</v>
      </c>
      <c r="J3081" s="29" t="s">
        <v>1694</v>
      </c>
      <c r="K3081" s="29" t="s">
        <v>1694</v>
      </c>
      <c r="L3081" s="29" t="s">
        <v>4844</v>
      </c>
      <c r="M3081" s="29" t="s">
        <v>1593</v>
      </c>
      <c r="N3081" s="29" t="s">
        <v>1586</v>
      </c>
      <c r="O3081" s="29" t="s">
        <v>594</v>
      </c>
    </row>
    <row r="3082" spans="1:15">
      <c r="A3082" s="25">
        <v>22216</v>
      </c>
      <c r="B3082" s="34" t="s">
        <v>4849</v>
      </c>
      <c r="C3082" s="31" t="s">
        <v>521</v>
      </c>
      <c r="D3082" s="31" t="s">
        <v>1796</v>
      </c>
      <c r="E3082" s="28">
        <v>43161</v>
      </c>
      <c r="F3082" s="28">
        <v>43192</v>
      </c>
      <c r="G3082" s="28">
        <v>43555</v>
      </c>
      <c r="H3082" s="29" t="s">
        <v>560</v>
      </c>
      <c r="I3082" s="29" t="s">
        <v>560</v>
      </c>
      <c r="J3082" s="29" t="s">
        <v>1694</v>
      </c>
      <c r="K3082" s="29" t="s">
        <v>1694</v>
      </c>
      <c r="L3082" s="29" t="s">
        <v>4844</v>
      </c>
      <c r="M3082" s="29" t="s">
        <v>4850</v>
      </c>
      <c r="N3082" s="29" t="s">
        <v>1511</v>
      </c>
      <c r="O3082" s="29" t="s">
        <v>590</v>
      </c>
    </row>
    <row r="3083" spans="1:15">
      <c r="A3083" s="25">
        <v>616</v>
      </c>
      <c r="B3083" s="26" t="s">
        <v>4851</v>
      </c>
      <c r="C3083" s="27" t="s">
        <v>521</v>
      </c>
      <c r="D3083" s="27" t="s">
        <v>783</v>
      </c>
      <c r="E3083" s="28">
        <v>37781</v>
      </c>
      <c r="F3083" s="28" t="s">
        <v>35</v>
      </c>
      <c r="G3083" s="28" t="s">
        <v>35</v>
      </c>
      <c r="H3083" s="27" t="s">
        <v>560</v>
      </c>
      <c r="I3083" s="27" t="s">
        <v>560</v>
      </c>
      <c r="J3083" s="27" t="s">
        <v>1694</v>
      </c>
      <c r="K3083" s="27" t="s">
        <v>1694</v>
      </c>
      <c r="L3083" s="27" t="s">
        <v>4852</v>
      </c>
      <c r="M3083" s="29" t="s">
        <v>4853</v>
      </c>
      <c r="N3083" s="29" t="s">
        <v>1525</v>
      </c>
      <c r="O3083" s="29" t="s">
        <v>594</v>
      </c>
    </row>
    <row r="3084" spans="1:15">
      <c r="A3084" s="25">
        <v>10502</v>
      </c>
      <c r="B3084" s="26" t="s">
        <v>4854</v>
      </c>
      <c r="C3084" s="27" t="s">
        <v>521</v>
      </c>
      <c r="D3084" s="27" t="s">
        <v>738</v>
      </c>
      <c r="E3084" s="28">
        <v>40535</v>
      </c>
      <c r="F3084" s="28" t="s">
        <v>35</v>
      </c>
      <c r="G3084" s="28" t="s">
        <v>35</v>
      </c>
      <c r="H3084" s="27" t="s">
        <v>560</v>
      </c>
      <c r="I3084" s="27" t="s">
        <v>560</v>
      </c>
      <c r="J3084" s="27" t="s">
        <v>1694</v>
      </c>
      <c r="K3084" s="27" t="s">
        <v>1694</v>
      </c>
      <c r="L3084" s="27" t="s">
        <v>4852</v>
      </c>
      <c r="M3084" s="29" t="s">
        <v>4855</v>
      </c>
      <c r="N3084" s="29" t="s">
        <v>1525</v>
      </c>
      <c r="O3084" s="29" t="s">
        <v>594</v>
      </c>
    </row>
    <row r="3085" spans="1:15">
      <c r="A3085" s="25">
        <v>10698</v>
      </c>
      <c r="B3085" s="34" t="s">
        <v>4856</v>
      </c>
      <c r="C3085" s="31" t="s">
        <v>521</v>
      </c>
      <c r="D3085" s="31" t="s">
        <v>3903</v>
      </c>
      <c r="E3085" s="28">
        <v>40560</v>
      </c>
      <c r="F3085" s="28" t="s">
        <v>35</v>
      </c>
      <c r="G3085" s="28" t="s">
        <v>35</v>
      </c>
      <c r="H3085" s="29" t="s">
        <v>560</v>
      </c>
      <c r="I3085" s="29" t="s">
        <v>560</v>
      </c>
      <c r="J3085" s="29" t="s">
        <v>1694</v>
      </c>
      <c r="K3085" s="29" t="s">
        <v>1694</v>
      </c>
      <c r="L3085" s="29" t="s">
        <v>4852</v>
      </c>
      <c r="M3085" s="29" t="s">
        <v>1534</v>
      </c>
      <c r="N3085" s="29" t="s">
        <v>1514</v>
      </c>
      <c r="O3085" s="29" t="s">
        <v>594</v>
      </c>
    </row>
    <row r="3086" spans="1:15">
      <c r="A3086" s="25">
        <v>11089</v>
      </c>
      <c r="B3086" s="26" t="s">
        <v>174</v>
      </c>
      <c r="C3086" s="27" t="s">
        <v>521</v>
      </c>
      <c r="D3086" s="27" t="s">
        <v>1420</v>
      </c>
      <c r="E3086" s="28">
        <v>40595</v>
      </c>
      <c r="F3086" s="28" t="s">
        <v>35</v>
      </c>
      <c r="G3086" s="28" t="s">
        <v>35</v>
      </c>
      <c r="H3086" s="29" t="s">
        <v>560</v>
      </c>
      <c r="I3086" s="29" t="s">
        <v>560</v>
      </c>
      <c r="J3086" s="29" t="s">
        <v>1694</v>
      </c>
      <c r="K3086" s="29" t="s">
        <v>1694</v>
      </c>
      <c r="L3086" s="29" t="s">
        <v>4852</v>
      </c>
      <c r="M3086" s="29" t="s">
        <v>1513</v>
      </c>
      <c r="N3086" s="29" t="s">
        <v>1514</v>
      </c>
      <c r="O3086" s="29" t="s">
        <v>594</v>
      </c>
    </row>
    <row r="3087" spans="1:15">
      <c r="A3087" s="25">
        <v>20550</v>
      </c>
      <c r="B3087" s="26" t="s">
        <v>4857</v>
      </c>
      <c r="C3087" s="27" t="s">
        <v>521</v>
      </c>
      <c r="D3087" s="27" t="s">
        <v>673</v>
      </c>
      <c r="E3087" s="28">
        <v>42639</v>
      </c>
      <c r="F3087" s="28">
        <v>43132</v>
      </c>
      <c r="G3087" s="28">
        <v>43496</v>
      </c>
      <c r="H3087" s="25" t="s">
        <v>560</v>
      </c>
      <c r="I3087" s="25" t="s">
        <v>560</v>
      </c>
      <c r="J3087" s="27" t="s">
        <v>1694</v>
      </c>
      <c r="K3087" s="27" t="s">
        <v>1694</v>
      </c>
      <c r="L3087" s="29" t="s">
        <v>4852</v>
      </c>
      <c r="M3087" s="29" t="s">
        <v>4798</v>
      </c>
      <c r="N3087" s="29" t="s">
        <v>1541</v>
      </c>
      <c r="O3087" s="29" t="s">
        <v>594</v>
      </c>
    </row>
    <row r="3088" spans="1:15">
      <c r="A3088" s="25">
        <v>20818</v>
      </c>
      <c r="B3088" s="26" t="s">
        <v>4858</v>
      </c>
      <c r="C3088" s="27" t="s">
        <v>521</v>
      </c>
      <c r="D3088" s="27" t="s">
        <v>1684</v>
      </c>
      <c r="E3088" s="28">
        <v>42649</v>
      </c>
      <c r="F3088" s="28">
        <v>43132</v>
      </c>
      <c r="G3088" s="28">
        <v>43496</v>
      </c>
      <c r="H3088" s="27" t="s">
        <v>560</v>
      </c>
      <c r="I3088" s="27" t="s">
        <v>560</v>
      </c>
      <c r="J3088" s="27" t="s">
        <v>1694</v>
      </c>
      <c r="K3088" s="27" t="s">
        <v>1694</v>
      </c>
      <c r="L3088" s="27" t="s">
        <v>4852</v>
      </c>
      <c r="M3088" s="29" t="s">
        <v>4859</v>
      </c>
      <c r="N3088" s="29" t="s">
        <v>1525</v>
      </c>
      <c r="O3088" s="29" t="s">
        <v>594</v>
      </c>
    </row>
    <row r="3089" spans="1:15">
      <c r="A3089" s="25">
        <v>20980</v>
      </c>
      <c r="B3089" s="33" t="s">
        <v>4860</v>
      </c>
      <c r="C3089" s="27" t="s">
        <v>521</v>
      </c>
      <c r="D3089" s="27" t="s">
        <v>1184</v>
      </c>
      <c r="E3089" s="28">
        <v>42674</v>
      </c>
      <c r="F3089" s="28">
        <v>43160</v>
      </c>
      <c r="G3089" s="28">
        <v>43524</v>
      </c>
      <c r="H3089" s="31" t="s">
        <v>560</v>
      </c>
      <c r="I3089" s="31" t="s">
        <v>560</v>
      </c>
      <c r="J3089" s="27" t="s">
        <v>1694</v>
      </c>
      <c r="K3089" s="27" t="s">
        <v>1694</v>
      </c>
      <c r="L3089" s="27" t="s">
        <v>4852</v>
      </c>
      <c r="M3089" s="27" t="s">
        <v>1543</v>
      </c>
      <c r="N3089" s="27" t="s">
        <v>1541</v>
      </c>
      <c r="O3089" s="27" t="s">
        <v>594</v>
      </c>
    </row>
    <row r="3090" spans="1:15">
      <c r="A3090" s="25">
        <v>21663</v>
      </c>
      <c r="B3090" s="34" t="s">
        <v>4861</v>
      </c>
      <c r="C3090" s="31" t="s">
        <v>521</v>
      </c>
      <c r="D3090" s="31" t="s">
        <v>1053</v>
      </c>
      <c r="E3090" s="28">
        <v>43055</v>
      </c>
      <c r="F3090" s="28">
        <v>43466</v>
      </c>
      <c r="G3090" s="28">
        <v>43830</v>
      </c>
      <c r="H3090" s="29" t="s">
        <v>560</v>
      </c>
      <c r="I3090" s="29" t="s">
        <v>560</v>
      </c>
      <c r="J3090" s="29" t="s">
        <v>1694</v>
      </c>
      <c r="K3090" s="29" t="s">
        <v>1694</v>
      </c>
      <c r="L3090" s="29" t="s">
        <v>4852</v>
      </c>
      <c r="M3090" s="29" t="s">
        <v>1543</v>
      </c>
      <c r="N3090" s="29" t="s">
        <v>1541</v>
      </c>
      <c r="O3090" s="29" t="s">
        <v>594</v>
      </c>
    </row>
    <row r="3091" spans="1:15">
      <c r="A3091" s="25">
        <v>21758</v>
      </c>
      <c r="B3091" s="34" t="s">
        <v>1709</v>
      </c>
      <c r="C3091" s="31" t="s">
        <v>521</v>
      </c>
      <c r="D3091" s="31" t="s">
        <v>1609</v>
      </c>
      <c r="E3091" s="28">
        <v>43090</v>
      </c>
      <c r="F3091" s="28">
        <v>43121</v>
      </c>
      <c r="G3091" s="28">
        <v>43496</v>
      </c>
      <c r="H3091" s="27" t="s">
        <v>560</v>
      </c>
      <c r="I3091" s="27" t="s">
        <v>560</v>
      </c>
      <c r="J3091" s="27" t="s">
        <v>1694</v>
      </c>
      <c r="K3091" s="27" t="s">
        <v>1694</v>
      </c>
      <c r="L3091" s="29" t="s">
        <v>4852</v>
      </c>
      <c r="M3091" s="29" t="s">
        <v>4862</v>
      </c>
      <c r="N3091" s="29" t="s">
        <v>1525</v>
      </c>
      <c r="O3091" s="29" t="s">
        <v>594</v>
      </c>
    </row>
    <row r="3092" spans="1:15">
      <c r="A3092" s="25">
        <v>21872</v>
      </c>
      <c r="B3092" s="34" t="s">
        <v>4863</v>
      </c>
      <c r="C3092" s="31" t="s">
        <v>521</v>
      </c>
      <c r="D3092" s="31" t="s">
        <v>1870</v>
      </c>
      <c r="E3092" s="28">
        <v>43103</v>
      </c>
      <c r="F3092" s="28">
        <v>43134</v>
      </c>
      <c r="G3092" s="28">
        <v>43496</v>
      </c>
      <c r="H3092" s="29" t="s">
        <v>560</v>
      </c>
      <c r="I3092" s="29" t="s">
        <v>560</v>
      </c>
      <c r="J3092" s="29" t="s">
        <v>1694</v>
      </c>
      <c r="K3092" s="29" t="s">
        <v>1694</v>
      </c>
      <c r="L3092" s="29" t="s">
        <v>4852</v>
      </c>
      <c r="M3092" s="29" t="s">
        <v>4864</v>
      </c>
      <c r="N3092" s="29" t="s">
        <v>1525</v>
      </c>
      <c r="O3092" s="29" t="s">
        <v>594</v>
      </c>
    </row>
    <row r="3093" spans="1:15">
      <c r="A3093" s="25">
        <v>22069</v>
      </c>
      <c r="B3093" s="34" t="s">
        <v>4865</v>
      </c>
      <c r="C3093" s="31" t="s">
        <v>521</v>
      </c>
      <c r="D3093" s="31" t="s">
        <v>769</v>
      </c>
      <c r="E3093" s="28">
        <v>43150</v>
      </c>
      <c r="F3093" s="28">
        <v>43178</v>
      </c>
      <c r="G3093" s="28">
        <v>43555</v>
      </c>
      <c r="H3093" s="29" t="s">
        <v>560</v>
      </c>
      <c r="I3093" s="29" t="s">
        <v>560</v>
      </c>
      <c r="J3093" s="29" t="s">
        <v>1694</v>
      </c>
      <c r="K3093" s="29" t="s">
        <v>1694</v>
      </c>
      <c r="L3093" s="29" t="s">
        <v>4852</v>
      </c>
      <c r="M3093" s="29" t="s">
        <v>4866</v>
      </c>
      <c r="N3093" s="29" t="s">
        <v>1525</v>
      </c>
      <c r="O3093" s="29" t="s">
        <v>594</v>
      </c>
    </row>
    <row r="3094" spans="1:15">
      <c r="A3094" s="25">
        <v>22363</v>
      </c>
      <c r="B3094" s="34" t="s">
        <v>4867</v>
      </c>
      <c r="C3094" s="31" t="s">
        <v>521</v>
      </c>
      <c r="D3094" s="31" t="s">
        <v>1073</v>
      </c>
      <c r="E3094" s="28">
        <v>43200</v>
      </c>
      <c r="F3094" s="28">
        <v>43230</v>
      </c>
      <c r="G3094" s="28">
        <v>43585</v>
      </c>
      <c r="H3094" s="29" t="s">
        <v>560</v>
      </c>
      <c r="I3094" s="29" t="s">
        <v>560</v>
      </c>
      <c r="J3094" s="29" t="s">
        <v>1694</v>
      </c>
      <c r="K3094" s="29" t="s">
        <v>1694</v>
      </c>
      <c r="L3094" s="29" t="s">
        <v>4852</v>
      </c>
      <c r="M3094" s="29" t="s">
        <v>4740</v>
      </c>
      <c r="N3094" s="29" t="s">
        <v>1541</v>
      </c>
      <c r="O3094" s="29" t="s">
        <v>594</v>
      </c>
    </row>
    <row r="3095" spans="1:15">
      <c r="A3095" s="25">
        <v>22445</v>
      </c>
      <c r="B3095" s="34" t="s">
        <v>4868</v>
      </c>
      <c r="C3095" s="31" t="s">
        <v>521</v>
      </c>
      <c r="D3095" s="31" t="s">
        <v>1577</v>
      </c>
      <c r="E3095" s="28">
        <v>43220</v>
      </c>
      <c r="F3095" s="28">
        <v>43250</v>
      </c>
      <c r="G3095" s="28">
        <v>43616</v>
      </c>
      <c r="H3095" s="29" t="s">
        <v>560</v>
      </c>
      <c r="I3095" s="29" t="s">
        <v>560</v>
      </c>
      <c r="J3095" s="29" t="s">
        <v>1694</v>
      </c>
      <c r="K3095" s="29" t="s">
        <v>1694</v>
      </c>
      <c r="L3095" s="29" t="s">
        <v>4852</v>
      </c>
      <c r="M3095" s="29" t="s">
        <v>1543</v>
      </c>
      <c r="N3095" s="29" t="s">
        <v>1541</v>
      </c>
      <c r="O3095" s="29" t="s">
        <v>594</v>
      </c>
    </row>
    <row r="3096" spans="1:15">
      <c r="A3096" s="25">
        <v>22901</v>
      </c>
      <c r="B3096" s="34" t="s">
        <v>4869</v>
      </c>
      <c r="C3096" s="31" t="s">
        <v>521</v>
      </c>
      <c r="D3096" s="31" t="s">
        <v>775</v>
      </c>
      <c r="E3096" s="28">
        <v>43333</v>
      </c>
      <c r="F3096" s="28">
        <v>43364</v>
      </c>
      <c r="G3096" s="28">
        <v>43738</v>
      </c>
      <c r="H3096" s="29" t="s">
        <v>560</v>
      </c>
      <c r="I3096" s="29" t="s">
        <v>560</v>
      </c>
      <c r="J3096" s="29" t="s">
        <v>1694</v>
      </c>
      <c r="K3096" s="29" t="s">
        <v>1694</v>
      </c>
      <c r="L3096" s="29" t="s">
        <v>4852</v>
      </c>
      <c r="M3096" s="29" t="s">
        <v>4870</v>
      </c>
      <c r="N3096" s="29" t="s">
        <v>1541</v>
      </c>
      <c r="O3096" s="29" t="s">
        <v>594</v>
      </c>
    </row>
    <row r="3097" spans="1:15">
      <c r="A3097" s="25">
        <v>22943</v>
      </c>
      <c r="B3097" s="34" t="s">
        <v>4871</v>
      </c>
      <c r="C3097" s="31" t="s">
        <v>521</v>
      </c>
      <c r="D3097" s="31" t="s">
        <v>1962</v>
      </c>
      <c r="E3097" s="28">
        <v>43343</v>
      </c>
      <c r="F3097" s="28">
        <v>43374</v>
      </c>
      <c r="G3097" s="28">
        <v>43738</v>
      </c>
      <c r="H3097" s="29" t="s">
        <v>560</v>
      </c>
      <c r="I3097" s="29" t="s">
        <v>560</v>
      </c>
      <c r="J3097" s="29" t="s">
        <v>1694</v>
      </c>
      <c r="K3097" s="29" t="s">
        <v>1694</v>
      </c>
      <c r="L3097" s="29" t="s">
        <v>4852</v>
      </c>
      <c r="M3097" s="29" t="s">
        <v>4798</v>
      </c>
      <c r="N3097" s="29" t="s">
        <v>1541</v>
      </c>
      <c r="O3097" s="29" t="s">
        <v>594</v>
      </c>
    </row>
    <row r="3098" spans="1:15">
      <c r="A3098" s="25">
        <v>22978</v>
      </c>
      <c r="B3098" s="34" t="s">
        <v>4872</v>
      </c>
      <c r="C3098" s="31" t="s">
        <v>521</v>
      </c>
      <c r="D3098" s="31" t="s">
        <v>1962</v>
      </c>
      <c r="E3098" s="28">
        <v>43343</v>
      </c>
      <c r="F3098" s="28">
        <v>43374</v>
      </c>
      <c r="G3098" s="28">
        <v>43738</v>
      </c>
      <c r="H3098" s="29" t="s">
        <v>560</v>
      </c>
      <c r="I3098" s="29" t="s">
        <v>560</v>
      </c>
      <c r="J3098" s="29" t="s">
        <v>1694</v>
      </c>
      <c r="K3098" s="29" t="s">
        <v>1694</v>
      </c>
      <c r="L3098" s="29" t="s">
        <v>4852</v>
      </c>
      <c r="M3098" s="29" t="s">
        <v>4873</v>
      </c>
      <c r="N3098" s="29" t="s">
        <v>1525</v>
      </c>
      <c r="O3098" s="29" t="s">
        <v>594</v>
      </c>
    </row>
    <row r="3099" spans="1:15">
      <c r="A3099" s="25">
        <v>22979</v>
      </c>
      <c r="B3099" s="34" t="s">
        <v>4874</v>
      </c>
      <c r="C3099" s="31" t="s">
        <v>521</v>
      </c>
      <c r="D3099" s="31" t="s">
        <v>1962</v>
      </c>
      <c r="E3099" s="28">
        <v>43343</v>
      </c>
      <c r="F3099" s="28">
        <v>43374</v>
      </c>
      <c r="G3099" s="28">
        <v>43738</v>
      </c>
      <c r="H3099" s="29" t="s">
        <v>560</v>
      </c>
      <c r="I3099" s="29" t="s">
        <v>560</v>
      </c>
      <c r="J3099" s="29" t="s">
        <v>1694</v>
      </c>
      <c r="K3099" s="29" t="s">
        <v>1694</v>
      </c>
      <c r="L3099" s="29" t="s">
        <v>4852</v>
      </c>
      <c r="M3099" s="29" t="s">
        <v>4875</v>
      </c>
      <c r="N3099" s="29" t="s">
        <v>1525</v>
      </c>
      <c r="O3099" s="29" t="s">
        <v>594</v>
      </c>
    </row>
    <row r="3100" spans="1:15">
      <c r="A3100" s="25">
        <v>23009</v>
      </c>
      <c r="B3100" s="34" t="s">
        <v>4876</v>
      </c>
      <c r="C3100" s="31" t="s">
        <v>521</v>
      </c>
      <c r="D3100" s="31" t="s">
        <v>1872</v>
      </c>
      <c r="E3100" s="28">
        <v>43361</v>
      </c>
      <c r="F3100" s="28">
        <v>43391</v>
      </c>
      <c r="G3100" s="28">
        <v>43769</v>
      </c>
      <c r="H3100" s="29" t="s">
        <v>560</v>
      </c>
      <c r="I3100" s="29" t="s">
        <v>560</v>
      </c>
      <c r="J3100" s="29" t="s">
        <v>1694</v>
      </c>
      <c r="K3100" s="29" t="s">
        <v>1694</v>
      </c>
      <c r="L3100" s="29" t="s">
        <v>4852</v>
      </c>
      <c r="M3100" s="29" t="s">
        <v>4877</v>
      </c>
      <c r="N3100" s="29" t="s">
        <v>1525</v>
      </c>
      <c r="O3100" s="29" t="s">
        <v>594</v>
      </c>
    </row>
    <row r="3101" spans="1:15">
      <c r="A3101" s="25">
        <v>23050</v>
      </c>
      <c r="B3101" s="34" t="s">
        <v>4878</v>
      </c>
      <c r="C3101" s="31" t="s">
        <v>521</v>
      </c>
      <c r="D3101" s="31" t="s">
        <v>1872</v>
      </c>
      <c r="E3101" s="28">
        <v>43361</v>
      </c>
      <c r="F3101" s="28">
        <v>43391</v>
      </c>
      <c r="G3101" s="28">
        <v>43769</v>
      </c>
      <c r="H3101" s="29" t="s">
        <v>560</v>
      </c>
      <c r="I3101" s="29" t="s">
        <v>560</v>
      </c>
      <c r="J3101" s="29" t="s">
        <v>1694</v>
      </c>
      <c r="K3101" s="29" t="s">
        <v>1694</v>
      </c>
      <c r="L3101" s="29" t="s">
        <v>4852</v>
      </c>
      <c r="M3101" s="29" t="s">
        <v>4879</v>
      </c>
      <c r="N3101" s="29" t="s">
        <v>1525</v>
      </c>
      <c r="O3101" s="29" t="s">
        <v>594</v>
      </c>
    </row>
    <row r="3102" spans="1:15">
      <c r="A3102" s="25">
        <v>23181</v>
      </c>
      <c r="B3102" s="34" t="s">
        <v>4880</v>
      </c>
      <c r="C3102" s="31" t="s">
        <v>521</v>
      </c>
      <c r="D3102" s="31" t="s">
        <v>1523</v>
      </c>
      <c r="E3102" s="28">
        <v>43369</v>
      </c>
      <c r="F3102" s="28">
        <v>43399</v>
      </c>
      <c r="G3102" s="28">
        <v>43769</v>
      </c>
      <c r="H3102" s="29" t="s">
        <v>560</v>
      </c>
      <c r="I3102" s="29" t="s">
        <v>560</v>
      </c>
      <c r="J3102" s="29" t="s">
        <v>1694</v>
      </c>
      <c r="K3102" s="29" t="s">
        <v>1694</v>
      </c>
      <c r="L3102" s="29" t="s">
        <v>4852</v>
      </c>
      <c r="M3102" s="29" t="s">
        <v>4881</v>
      </c>
      <c r="N3102" s="29" t="s">
        <v>1525</v>
      </c>
      <c r="O3102" s="29" t="s">
        <v>594</v>
      </c>
    </row>
    <row r="3103" spans="1:15">
      <c r="A3103" s="25">
        <v>23330</v>
      </c>
      <c r="B3103" s="34" t="s">
        <v>4882</v>
      </c>
      <c r="C3103" s="31" t="s">
        <v>521</v>
      </c>
      <c r="D3103" s="31" t="s">
        <v>1527</v>
      </c>
      <c r="E3103" s="28">
        <v>43427</v>
      </c>
      <c r="F3103" s="28">
        <v>43457</v>
      </c>
      <c r="G3103" s="28">
        <v>43830</v>
      </c>
      <c r="H3103" s="29" t="s">
        <v>560</v>
      </c>
      <c r="I3103" s="29" t="s">
        <v>560</v>
      </c>
      <c r="J3103" s="29" t="s">
        <v>1694</v>
      </c>
      <c r="K3103" s="29" t="s">
        <v>1694</v>
      </c>
      <c r="L3103" s="29" t="s">
        <v>4852</v>
      </c>
      <c r="M3103" s="29" t="s">
        <v>4859</v>
      </c>
      <c r="N3103" s="29" t="s">
        <v>1511</v>
      </c>
      <c r="O3103" s="29" t="s">
        <v>594</v>
      </c>
    </row>
    <row r="3104" spans="1:15">
      <c r="A3104" s="25">
        <v>23340</v>
      </c>
      <c r="B3104" s="34" t="s">
        <v>4883</v>
      </c>
      <c r="C3104" s="31" t="s">
        <v>521</v>
      </c>
      <c r="D3104" s="31" t="s">
        <v>1527</v>
      </c>
      <c r="E3104" s="28">
        <v>43427</v>
      </c>
      <c r="F3104" s="28">
        <v>43457</v>
      </c>
      <c r="G3104" s="28">
        <v>43830</v>
      </c>
      <c r="H3104" s="29" t="s">
        <v>560</v>
      </c>
      <c r="I3104" s="29" t="s">
        <v>560</v>
      </c>
      <c r="J3104" s="29" t="s">
        <v>1694</v>
      </c>
      <c r="K3104" s="29" t="s">
        <v>1694</v>
      </c>
      <c r="L3104" s="29" t="s">
        <v>4852</v>
      </c>
      <c r="M3104" s="29" t="s">
        <v>4884</v>
      </c>
      <c r="N3104" s="29" t="s">
        <v>1586</v>
      </c>
      <c r="O3104" s="29" t="s">
        <v>594</v>
      </c>
    </row>
    <row r="3105" spans="1:15">
      <c r="A3105" s="25" t="s">
        <v>4885</v>
      </c>
      <c r="B3105" s="26" t="s">
        <v>4886</v>
      </c>
      <c r="C3105" s="27" t="s">
        <v>521</v>
      </c>
      <c r="D3105" s="27" t="s">
        <v>668</v>
      </c>
      <c r="E3105" s="28">
        <v>40826</v>
      </c>
      <c r="F3105" s="28" t="s">
        <v>35</v>
      </c>
      <c r="G3105" s="28" t="s">
        <v>35</v>
      </c>
      <c r="H3105" s="27" t="s">
        <v>560</v>
      </c>
      <c r="I3105" s="27" t="s">
        <v>560</v>
      </c>
      <c r="J3105" s="29" t="s">
        <v>1694</v>
      </c>
      <c r="K3105" s="29" t="s">
        <v>1694</v>
      </c>
      <c r="L3105" s="29" t="s">
        <v>4852</v>
      </c>
      <c r="M3105" s="29" t="s">
        <v>4887</v>
      </c>
      <c r="N3105" s="29" t="s">
        <v>1525</v>
      </c>
      <c r="O3105" s="29" t="s">
        <v>594</v>
      </c>
    </row>
    <row r="3106" spans="1:15">
      <c r="A3106" s="25">
        <v>21017</v>
      </c>
      <c r="B3106" s="26" t="s">
        <v>4888</v>
      </c>
      <c r="C3106" s="27" t="s">
        <v>521</v>
      </c>
      <c r="D3106" s="27" t="s">
        <v>766</v>
      </c>
      <c r="E3106" s="28">
        <v>42702</v>
      </c>
      <c r="F3106" s="28">
        <v>43191</v>
      </c>
      <c r="G3106" s="28">
        <v>43555</v>
      </c>
      <c r="H3106" s="31" t="s">
        <v>560</v>
      </c>
      <c r="I3106" s="31" t="s">
        <v>560</v>
      </c>
      <c r="J3106" s="29" t="s">
        <v>1694</v>
      </c>
      <c r="K3106" s="29" t="s">
        <v>1694</v>
      </c>
      <c r="L3106" s="29" t="s">
        <v>4852</v>
      </c>
      <c r="M3106" s="29" t="s">
        <v>4889</v>
      </c>
      <c r="N3106" s="29" t="s">
        <v>1525</v>
      </c>
      <c r="O3106" s="29" t="s">
        <v>528</v>
      </c>
    </row>
    <row r="3107" spans="1:15">
      <c r="A3107" s="25">
        <v>22344</v>
      </c>
      <c r="B3107" s="34" t="s">
        <v>4890</v>
      </c>
      <c r="C3107" s="31" t="s">
        <v>521</v>
      </c>
      <c r="D3107" s="31" t="s">
        <v>694</v>
      </c>
      <c r="E3107" s="28">
        <v>43195</v>
      </c>
      <c r="F3107" s="28">
        <v>43225</v>
      </c>
      <c r="G3107" s="28">
        <v>43585</v>
      </c>
      <c r="H3107" s="29" t="s">
        <v>560</v>
      </c>
      <c r="I3107" s="29" t="s">
        <v>560</v>
      </c>
      <c r="J3107" s="29" t="s">
        <v>1694</v>
      </c>
      <c r="K3107" s="29" t="s">
        <v>1694</v>
      </c>
      <c r="L3107" s="29" t="s">
        <v>4852</v>
      </c>
      <c r="M3107" s="29" t="s">
        <v>1543</v>
      </c>
      <c r="N3107" s="29" t="s">
        <v>1541</v>
      </c>
      <c r="O3107" s="29" t="s">
        <v>528</v>
      </c>
    </row>
    <row r="3108" spans="1:15">
      <c r="A3108" s="25">
        <v>23051</v>
      </c>
      <c r="B3108" s="34" t="s">
        <v>4891</v>
      </c>
      <c r="C3108" s="31" t="s">
        <v>521</v>
      </c>
      <c r="D3108" s="31" t="s">
        <v>1872</v>
      </c>
      <c r="E3108" s="28">
        <v>43361</v>
      </c>
      <c r="F3108" s="28">
        <v>43391</v>
      </c>
      <c r="G3108" s="28">
        <v>43769</v>
      </c>
      <c r="H3108" s="29" t="s">
        <v>560</v>
      </c>
      <c r="I3108" s="29" t="s">
        <v>560</v>
      </c>
      <c r="J3108" s="29" t="s">
        <v>1694</v>
      </c>
      <c r="K3108" s="29" t="s">
        <v>1694</v>
      </c>
      <c r="L3108" s="29" t="s">
        <v>4852</v>
      </c>
      <c r="M3108" s="29" t="s">
        <v>4892</v>
      </c>
      <c r="N3108" s="29" t="s">
        <v>1525</v>
      </c>
      <c r="O3108" s="29" t="s">
        <v>528</v>
      </c>
    </row>
    <row r="3109" spans="1:15">
      <c r="A3109" s="25">
        <v>23191</v>
      </c>
      <c r="B3109" s="34" t="s">
        <v>4893</v>
      </c>
      <c r="C3109" s="31" t="s">
        <v>521</v>
      </c>
      <c r="D3109" s="31" t="s">
        <v>1582</v>
      </c>
      <c r="E3109" s="28">
        <v>43421</v>
      </c>
      <c r="F3109" s="28">
        <v>43451</v>
      </c>
      <c r="G3109" s="28">
        <v>43830</v>
      </c>
      <c r="H3109" s="29" t="s">
        <v>560</v>
      </c>
      <c r="I3109" s="29" t="s">
        <v>560</v>
      </c>
      <c r="J3109" s="29" t="s">
        <v>1694</v>
      </c>
      <c r="K3109" s="29" t="s">
        <v>1694</v>
      </c>
      <c r="L3109" s="29" t="s">
        <v>4852</v>
      </c>
      <c r="M3109" s="29" t="s">
        <v>4894</v>
      </c>
      <c r="N3109" s="29" t="s">
        <v>1525</v>
      </c>
      <c r="O3109" s="29" t="s">
        <v>528</v>
      </c>
    </row>
    <row r="3110" spans="1:15">
      <c r="A3110" s="25">
        <v>23525</v>
      </c>
      <c r="B3110" s="34" t="s">
        <v>1441</v>
      </c>
      <c r="C3110" s="31" t="s">
        <v>521</v>
      </c>
      <c r="D3110" s="31" t="s">
        <v>1588</v>
      </c>
      <c r="E3110" s="28">
        <v>43441</v>
      </c>
      <c r="F3110" s="28">
        <v>43472</v>
      </c>
      <c r="G3110" s="28">
        <v>43830</v>
      </c>
      <c r="H3110" s="29" t="s">
        <v>560</v>
      </c>
      <c r="I3110" s="29" t="s">
        <v>560</v>
      </c>
      <c r="J3110" s="29" t="s">
        <v>1694</v>
      </c>
      <c r="K3110" s="29" t="s">
        <v>1694</v>
      </c>
      <c r="L3110" s="29" t="s">
        <v>4852</v>
      </c>
      <c r="M3110" s="29" t="s">
        <v>1543</v>
      </c>
      <c r="N3110" s="29" t="s">
        <v>1541</v>
      </c>
      <c r="O3110" s="29" t="s">
        <v>528</v>
      </c>
    </row>
    <row r="3111" spans="1:15">
      <c r="A3111" s="25">
        <v>23529</v>
      </c>
      <c r="B3111" s="34" t="s">
        <v>4895</v>
      </c>
      <c r="C3111" s="31" t="s">
        <v>521</v>
      </c>
      <c r="D3111" s="31" t="s">
        <v>1588</v>
      </c>
      <c r="E3111" s="28">
        <v>43441</v>
      </c>
      <c r="F3111" s="28">
        <v>43472</v>
      </c>
      <c r="G3111" s="28">
        <v>43830</v>
      </c>
      <c r="H3111" s="29" t="s">
        <v>560</v>
      </c>
      <c r="I3111" s="29" t="s">
        <v>560</v>
      </c>
      <c r="J3111" s="29" t="s">
        <v>1694</v>
      </c>
      <c r="K3111" s="29" t="s">
        <v>1694</v>
      </c>
      <c r="L3111" s="29" t="s">
        <v>4852</v>
      </c>
      <c r="M3111" s="29" t="s">
        <v>4798</v>
      </c>
      <c r="N3111" s="29" t="s">
        <v>1541</v>
      </c>
      <c r="O3111" s="29" t="s">
        <v>528</v>
      </c>
    </row>
    <row r="3112" spans="1:15">
      <c r="A3112" s="25">
        <v>23530</v>
      </c>
      <c r="B3112" s="34" t="s">
        <v>4896</v>
      </c>
      <c r="C3112" s="31" t="s">
        <v>521</v>
      </c>
      <c r="D3112" s="31" t="s">
        <v>1588</v>
      </c>
      <c r="E3112" s="28">
        <v>43441</v>
      </c>
      <c r="F3112" s="28">
        <v>43472</v>
      </c>
      <c r="G3112" s="28">
        <v>43830</v>
      </c>
      <c r="H3112" s="29" t="s">
        <v>560</v>
      </c>
      <c r="I3112" s="29" t="s">
        <v>560</v>
      </c>
      <c r="J3112" s="29" t="s">
        <v>1694</v>
      </c>
      <c r="K3112" s="29" t="s">
        <v>1694</v>
      </c>
      <c r="L3112" s="29" t="s">
        <v>4852</v>
      </c>
      <c r="M3112" s="29" t="s">
        <v>4798</v>
      </c>
      <c r="N3112" s="29" t="s">
        <v>1541</v>
      </c>
      <c r="O3112" s="29" t="s">
        <v>528</v>
      </c>
    </row>
    <row r="3113" spans="1:15">
      <c r="A3113" s="25">
        <v>23531</v>
      </c>
      <c r="B3113" s="34" t="s">
        <v>4897</v>
      </c>
      <c r="C3113" s="31" t="s">
        <v>521</v>
      </c>
      <c r="D3113" s="31" t="s">
        <v>1588</v>
      </c>
      <c r="E3113" s="28">
        <v>43441</v>
      </c>
      <c r="F3113" s="28">
        <v>43472</v>
      </c>
      <c r="G3113" s="28">
        <v>43830</v>
      </c>
      <c r="H3113" s="29" t="s">
        <v>560</v>
      </c>
      <c r="I3113" s="29" t="s">
        <v>560</v>
      </c>
      <c r="J3113" s="29" t="s">
        <v>1694</v>
      </c>
      <c r="K3113" s="29" t="s">
        <v>1694</v>
      </c>
      <c r="L3113" s="29" t="s">
        <v>4852</v>
      </c>
      <c r="M3113" s="29" t="s">
        <v>1543</v>
      </c>
      <c r="N3113" s="29" t="s">
        <v>1541</v>
      </c>
      <c r="O3113" s="29" t="s">
        <v>528</v>
      </c>
    </row>
    <row r="3114" spans="1:15">
      <c r="A3114" s="25" t="s">
        <v>4898</v>
      </c>
      <c r="B3114" s="34" t="s">
        <v>4899</v>
      </c>
      <c r="C3114" s="27" t="s">
        <v>521</v>
      </c>
      <c r="D3114" s="31" t="s">
        <v>2587</v>
      </c>
      <c r="E3114" s="28">
        <v>40945</v>
      </c>
      <c r="F3114" s="28" t="s">
        <v>35</v>
      </c>
      <c r="G3114" s="28" t="s">
        <v>35</v>
      </c>
      <c r="H3114" s="29" t="s">
        <v>560</v>
      </c>
      <c r="I3114" s="29" t="s">
        <v>560</v>
      </c>
      <c r="J3114" s="29" t="s">
        <v>1694</v>
      </c>
      <c r="K3114" s="29" t="s">
        <v>1694</v>
      </c>
      <c r="L3114" s="29" t="s">
        <v>4852</v>
      </c>
      <c r="M3114" s="29" t="s">
        <v>4900</v>
      </c>
      <c r="N3114" s="29" t="s">
        <v>1525</v>
      </c>
      <c r="O3114" s="29" t="s">
        <v>528</v>
      </c>
    </row>
    <row r="3115" spans="1:15">
      <c r="A3115" s="25">
        <v>629</v>
      </c>
      <c r="B3115" s="26" t="s">
        <v>4901</v>
      </c>
      <c r="C3115" s="27" t="s">
        <v>521</v>
      </c>
      <c r="D3115" s="27" t="s">
        <v>783</v>
      </c>
      <c r="E3115" s="28">
        <v>37781</v>
      </c>
      <c r="F3115" s="28" t="s">
        <v>35</v>
      </c>
      <c r="G3115" s="28" t="s">
        <v>35</v>
      </c>
      <c r="H3115" s="27" t="s">
        <v>560</v>
      </c>
      <c r="I3115" s="27" t="s">
        <v>560</v>
      </c>
      <c r="J3115" s="27" t="s">
        <v>1694</v>
      </c>
      <c r="K3115" s="27" t="s">
        <v>1694</v>
      </c>
      <c r="L3115" s="27" t="s">
        <v>4852</v>
      </c>
      <c r="M3115" s="29" t="s">
        <v>4902</v>
      </c>
      <c r="N3115" s="29" t="s">
        <v>1525</v>
      </c>
      <c r="O3115" s="29" t="s">
        <v>590</v>
      </c>
    </row>
    <row r="3116" spans="1:15">
      <c r="A3116" s="25">
        <v>1044</v>
      </c>
      <c r="B3116" s="26" t="s">
        <v>4903</v>
      </c>
      <c r="C3116" s="27" t="s">
        <v>521</v>
      </c>
      <c r="D3116" s="27" t="s">
        <v>1139</v>
      </c>
      <c r="E3116" s="28">
        <v>37879</v>
      </c>
      <c r="F3116" s="28" t="s">
        <v>35</v>
      </c>
      <c r="G3116" s="28" t="s">
        <v>35</v>
      </c>
      <c r="H3116" s="27" t="s">
        <v>560</v>
      </c>
      <c r="I3116" s="27" t="s">
        <v>560</v>
      </c>
      <c r="J3116" s="29" t="s">
        <v>1694</v>
      </c>
      <c r="K3116" s="29" t="s">
        <v>1694</v>
      </c>
      <c r="L3116" s="29" t="s">
        <v>4852</v>
      </c>
      <c r="M3116" s="29" t="s">
        <v>4859</v>
      </c>
      <c r="N3116" s="29" t="s">
        <v>1525</v>
      </c>
      <c r="O3116" s="29" t="s">
        <v>590</v>
      </c>
    </row>
    <row r="3117" spans="1:15">
      <c r="A3117" s="25">
        <v>5763</v>
      </c>
      <c r="B3117" s="26" t="s">
        <v>4904</v>
      </c>
      <c r="C3117" s="27" t="s">
        <v>521</v>
      </c>
      <c r="D3117" s="27" t="s">
        <v>794</v>
      </c>
      <c r="E3117" s="28">
        <v>39114</v>
      </c>
      <c r="F3117" s="28" t="s">
        <v>35</v>
      </c>
      <c r="G3117" s="28" t="s">
        <v>35</v>
      </c>
      <c r="H3117" s="29" t="s">
        <v>560</v>
      </c>
      <c r="I3117" s="29" t="s">
        <v>560</v>
      </c>
      <c r="J3117" s="29" t="s">
        <v>1694</v>
      </c>
      <c r="K3117" s="29" t="s">
        <v>1694</v>
      </c>
      <c r="L3117" s="29" t="s">
        <v>4852</v>
      </c>
      <c r="M3117" s="29" t="s">
        <v>1534</v>
      </c>
      <c r="N3117" s="29" t="s">
        <v>1514</v>
      </c>
      <c r="O3117" s="29" t="s">
        <v>590</v>
      </c>
    </row>
    <row r="3118" spans="1:15">
      <c r="A3118" s="25">
        <v>5813</v>
      </c>
      <c r="B3118" s="26" t="s">
        <v>4905</v>
      </c>
      <c r="C3118" s="27" t="s">
        <v>521</v>
      </c>
      <c r="D3118" s="27" t="s">
        <v>794</v>
      </c>
      <c r="E3118" s="28">
        <v>39114</v>
      </c>
      <c r="F3118" s="28" t="s">
        <v>35</v>
      </c>
      <c r="G3118" s="28" t="s">
        <v>35</v>
      </c>
      <c r="H3118" s="29" t="s">
        <v>560</v>
      </c>
      <c r="I3118" s="29" t="s">
        <v>560</v>
      </c>
      <c r="J3118" s="29" t="s">
        <v>1694</v>
      </c>
      <c r="K3118" s="29" t="s">
        <v>1694</v>
      </c>
      <c r="L3118" s="29" t="s">
        <v>4852</v>
      </c>
      <c r="M3118" s="29" t="s">
        <v>1550</v>
      </c>
      <c r="N3118" s="29" t="s">
        <v>1045</v>
      </c>
      <c r="O3118" s="29" t="s">
        <v>590</v>
      </c>
    </row>
    <row r="3119" spans="1:15">
      <c r="A3119" s="25">
        <v>12568</v>
      </c>
      <c r="B3119" s="26" t="s">
        <v>4906</v>
      </c>
      <c r="C3119" s="27" t="s">
        <v>521</v>
      </c>
      <c r="D3119" s="27" t="s">
        <v>722</v>
      </c>
      <c r="E3119" s="28">
        <v>40812</v>
      </c>
      <c r="F3119" s="28" t="s">
        <v>35</v>
      </c>
      <c r="G3119" s="28" t="s">
        <v>35</v>
      </c>
      <c r="H3119" s="27" t="s">
        <v>560</v>
      </c>
      <c r="I3119" s="27" t="s">
        <v>560</v>
      </c>
      <c r="J3119" s="27" t="s">
        <v>1694</v>
      </c>
      <c r="K3119" s="27" t="s">
        <v>1694</v>
      </c>
      <c r="L3119" s="29" t="s">
        <v>4852</v>
      </c>
      <c r="M3119" s="29" t="s">
        <v>4907</v>
      </c>
      <c r="N3119" s="29" t="s">
        <v>1525</v>
      </c>
      <c r="O3119" s="29" t="s">
        <v>590</v>
      </c>
    </row>
    <row r="3120" spans="1:15">
      <c r="A3120" s="25">
        <v>20386</v>
      </c>
      <c r="B3120" s="26" t="s">
        <v>4908</v>
      </c>
      <c r="C3120" s="27" t="s">
        <v>521</v>
      </c>
      <c r="D3120" s="27" t="s">
        <v>4909</v>
      </c>
      <c r="E3120" s="28">
        <v>42614</v>
      </c>
      <c r="F3120" s="28" t="s">
        <v>35</v>
      </c>
      <c r="G3120" s="28" t="s">
        <v>35</v>
      </c>
      <c r="H3120" s="27" t="s">
        <v>560</v>
      </c>
      <c r="I3120" s="27" t="s">
        <v>560</v>
      </c>
      <c r="J3120" s="27" t="s">
        <v>1694</v>
      </c>
      <c r="K3120" s="27" t="s">
        <v>1694</v>
      </c>
      <c r="L3120" s="29" t="s">
        <v>4852</v>
      </c>
      <c r="M3120" s="29" t="s">
        <v>4740</v>
      </c>
      <c r="N3120" s="29" t="s">
        <v>1541</v>
      </c>
      <c r="O3120" s="29" t="s">
        <v>590</v>
      </c>
    </row>
    <row r="3121" spans="1:15">
      <c r="A3121" s="25">
        <v>20510</v>
      </c>
      <c r="B3121" s="26" t="s">
        <v>4910</v>
      </c>
      <c r="C3121" s="27" t="s">
        <v>521</v>
      </c>
      <c r="D3121" s="27" t="s">
        <v>1644</v>
      </c>
      <c r="E3121" s="28">
        <v>42634</v>
      </c>
      <c r="F3121" s="28">
        <v>43132</v>
      </c>
      <c r="G3121" s="28">
        <v>43496</v>
      </c>
      <c r="H3121" s="27" t="s">
        <v>560</v>
      </c>
      <c r="I3121" s="27" t="s">
        <v>560</v>
      </c>
      <c r="J3121" s="27" t="s">
        <v>1694</v>
      </c>
      <c r="K3121" s="27" t="s">
        <v>1694</v>
      </c>
      <c r="L3121" s="27" t="s">
        <v>4852</v>
      </c>
      <c r="M3121" s="27" t="s">
        <v>1543</v>
      </c>
      <c r="N3121" s="27" t="s">
        <v>1541</v>
      </c>
      <c r="O3121" s="27" t="s">
        <v>590</v>
      </c>
    </row>
    <row r="3122" spans="1:15">
      <c r="A3122" s="25">
        <v>20543</v>
      </c>
      <c r="B3122" s="26" t="s">
        <v>4911</v>
      </c>
      <c r="C3122" s="27" t="s">
        <v>521</v>
      </c>
      <c r="D3122" s="27" t="s">
        <v>1644</v>
      </c>
      <c r="E3122" s="28">
        <v>42634</v>
      </c>
      <c r="F3122" s="28">
        <v>43132</v>
      </c>
      <c r="G3122" s="28">
        <v>43496</v>
      </c>
      <c r="H3122" s="27" t="s">
        <v>560</v>
      </c>
      <c r="I3122" s="27" t="s">
        <v>560</v>
      </c>
      <c r="J3122" s="27" t="s">
        <v>1694</v>
      </c>
      <c r="K3122" s="27" t="s">
        <v>1694</v>
      </c>
      <c r="L3122" s="29" t="s">
        <v>4852</v>
      </c>
      <c r="M3122" s="29" t="s">
        <v>4912</v>
      </c>
      <c r="N3122" s="29" t="s">
        <v>1525</v>
      </c>
      <c r="O3122" s="29" t="s">
        <v>590</v>
      </c>
    </row>
    <row r="3123" spans="1:15">
      <c r="A3123" s="25">
        <v>20547</v>
      </c>
      <c r="B3123" s="26" t="s">
        <v>4913</v>
      </c>
      <c r="C3123" s="27" t="s">
        <v>521</v>
      </c>
      <c r="D3123" s="27" t="s">
        <v>673</v>
      </c>
      <c r="E3123" s="28">
        <v>42639</v>
      </c>
      <c r="F3123" s="28">
        <v>43132</v>
      </c>
      <c r="G3123" s="28">
        <v>43496</v>
      </c>
      <c r="H3123" s="25" t="s">
        <v>560</v>
      </c>
      <c r="I3123" s="25" t="s">
        <v>560</v>
      </c>
      <c r="J3123" s="29" t="s">
        <v>1694</v>
      </c>
      <c r="K3123" s="29" t="s">
        <v>1694</v>
      </c>
      <c r="L3123" s="29" t="s">
        <v>4852</v>
      </c>
      <c r="M3123" s="29" t="s">
        <v>1543</v>
      </c>
      <c r="N3123" s="29" t="s">
        <v>1541</v>
      </c>
      <c r="O3123" s="29" t="s">
        <v>590</v>
      </c>
    </row>
    <row r="3124" spans="1:15">
      <c r="A3124" s="25">
        <v>20553</v>
      </c>
      <c r="B3124" s="26" t="s">
        <v>4914</v>
      </c>
      <c r="C3124" s="27" t="s">
        <v>521</v>
      </c>
      <c r="D3124" s="27" t="s">
        <v>673</v>
      </c>
      <c r="E3124" s="28">
        <v>42639</v>
      </c>
      <c r="F3124" s="28">
        <v>43132</v>
      </c>
      <c r="G3124" s="28">
        <v>43496</v>
      </c>
      <c r="H3124" s="29" t="s">
        <v>560</v>
      </c>
      <c r="I3124" s="29" t="s">
        <v>560</v>
      </c>
      <c r="J3124" s="29" t="s">
        <v>1694</v>
      </c>
      <c r="K3124" s="29" t="s">
        <v>1694</v>
      </c>
      <c r="L3124" s="29" t="s">
        <v>4852</v>
      </c>
      <c r="M3124" s="29" t="s">
        <v>4915</v>
      </c>
      <c r="N3124" s="29" t="s">
        <v>1514</v>
      </c>
      <c r="O3124" s="29" t="s">
        <v>590</v>
      </c>
    </row>
    <row r="3125" spans="1:15">
      <c r="A3125" s="25">
        <v>20563</v>
      </c>
      <c r="B3125" s="26" t="s">
        <v>4916</v>
      </c>
      <c r="C3125" s="27" t="s">
        <v>521</v>
      </c>
      <c r="D3125" s="27" t="s">
        <v>673</v>
      </c>
      <c r="E3125" s="28">
        <v>42639</v>
      </c>
      <c r="F3125" s="28">
        <v>43132</v>
      </c>
      <c r="G3125" s="28">
        <v>43496</v>
      </c>
      <c r="H3125" s="25" t="s">
        <v>560</v>
      </c>
      <c r="I3125" s="25" t="s">
        <v>560</v>
      </c>
      <c r="J3125" s="27" t="s">
        <v>1694</v>
      </c>
      <c r="K3125" s="27" t="s">
        <v>1694</v>
      </c>
      <c r="L3125" s="29" t="s">
        <v>4852</v>
      </c>
      <c r="M3125" s="29" t="s">
        <v>4917</v>
      </c>
      <c r="N3125" s="29" t="s">
        <v>1525</v>
      </c>
      <c r="O3125" s="29" t="s">
        <v>590</v>
      </c>
    </row>
    <row r="3126" spans="1:15">
      <c r="A3126" s="25">
        <v>20568</v>
      </c>
      <c r="B3126" s="26" t="s">
        <v>4918</v>
      </c>
      <c r="C3126" s="27" t="s">
        <v>521</v>
      </c>
      <c r="D3126" s="27" t="s">
        <v>673</v>
      </c>
      <c r="E3126" s="28">
        <v>42639</v>
      </c>
      <c r="F3126" s="28">
        <v>43132</v>
      </c>
      <c r="G3126" s="28">
        <v>43496</v>
      </c>
      <c r="H3126" s="25" t="s">
        <v>560</v>
      </c>
      <c r="I3126" s="25" t="s">
        <v>560</v>
      </c>
      <c r="J3126" s="27" t="s">
        <v>1694</v>
      </c>
      <c r="K3126" s="27" t="s">
        <v>1694</v>
      </c>
      <c r="L3126" s="29" t="s">
        <v>4852</v>
      </c>
      <c r="M3126" s="29" t="s">
        <v>4798</v>
      </c>
      <c r="N3126" s="29" t="s">
        <v>1541</v>
      </c>
      <c r="O3126" s="29" t="s">
        <v>590</v>
      </c>
    </row>
    <row r="3127" spans="1:15">
      <c r="A3127" s="25">
        <v>21305</v>
      </c>
      <c r="B3127" s="34" t="s">
        <v>4919</v>
      </c>
      <c r="C3127" s="31" t="s">
        <v>521</v>
      </c>
      <c r="D3127" s="31" t="s">
        <v>1595</v>
      </c>
      <c r="E3127" s="28">
        <v>43010</v>
      </c>
      <c r="F3127" s="28">
        <v>43405</v>
      </c>
      <c r="G3127" s="28">
        <v>43769</v>
      </c>
      <c r="H3127" s="29" t="s">
        <v>560</v>
      </c>
      <c r="I3127" s="29" t="s">
        <v>560</v>
      </c>
      <c r="J3127" s="29" t="s">
        <v>1694</v>
      </c>
      <c r="K3127" s="29" t="s">
        <v>1694</v>
      </c>
      <c r="L3127" s="29" t="s">
        <v>4852</v>
      </c>
      <c r="M3127" s="29" t="s">
        <v>1543</v>
      </c>
      <c r="N3127" s="29" t="s">
        <v>1541</v>
      </c>
      <c r="O3127" s="29" t="s">
        <v>590</v>
      </c>
    </row>
    <row r="3128" spans="1:15">
      <c r="A3128" s="25">
        <v>21824</v>
      </c>
      <c r="B3128" s="34" t="s">
        <v>4920</v>
      </c>
      <c r="C3128" s="31" t="s">
        <v>521</v>
      </c>
      <c r="D3128" s="31" t="s">
        <v>732</v>
      </c>
      <c r="E3128" s="28">
        <v>43098</v>
      </c>
      <c r="F3128" s="28">
        <v>43129</v>
      </c>
      <c r="G3128" s="28">
        <v>43496</v>
      </c>
      <c r="H3128" s="29" t="s">
        <v>560</v>
      </c>
      <c r="I3128" s="29" t="s">
        <v>560</v>
      </c>
      <c r="J3128" s="29" t="s">
        <v>1694</v>
      </c>
      <c r="K3128" s="29" t="s">
        <v>1694</v>
      </c>
      <c r="L3128" s="29" t="s">
        <v>4852</v>
      </c>
      <c r="M3128" s="29" t="s">
        <v>4921</v>
      </c>
      <c r="N3128" s="29" t="s">
        <v>1525</v>
      </c>
      <c r="O3128" s="29" t="s">
        <v>590</v>
      </c>
    </row>
    <row r="3129" spans="1:15">
      <c r="A3129" s="25">
        <v>22088</v>
      </c>
      <c r="B3129" s="34" t="s">
        <v>4922</v>
      </c>
      <c r="C3129" s="31" t="s">
        <v>521</v>
      </c>
      <c r="D3129" s="31" t="s">
        <v>769</v>
      </c>
      <c r="E3129" s="28">
        <v>43150</v>
      </c>
      <c r="F3129" s="28">
        <v>43178</v>
      </c>
      <c r="G3129" s="28">
        <v>43555</v>
      </c>
      <c r="H3129" s="29" t="s">
        <v>560</v>
      </c>
      <c r="I3129" s="29" t="s">
        <v>560</v>
      </c>
      <c r="J3129" s="29" t="s">
        <v>1694</v>
      </c>
      <c r="K3129" s="29" t="s">
        <v>1694</v>
      </c>
      <c r="L3129" s="29" t="s">
        <v>4852</v>
      </c>
      <c r="M3129" s="29" t="s">
        <v>1543</v>
      </c>
      <c r="N3129" s="29" t="s">
        <v>1541</v>
      </c>
      <c r="O3129" s="29" t="s">
        <v>590</v>
      </c>
    </row>
    <row r="3130" spans="1:15">
      <c r="A3130" s="25">
        <v>22408</v>
      </c>
      <c r="B3130" s="34" t="s">
        <v>4923</v>
      </c>
      <c r="C3130" s="31" t="s">
        <v>521</v>
      </c>
      <c r="D3130" s="31" t="s">
        <v>805</v>
      </c>
      <c r="E3130" s="28">
        <v>43213</v>
      </c>
      <c r="F3130" s="28">
        <v>43243</v>
      </c>
      <c r="G3130" s="28">
        <v>43616</v>
      </c>
      <c r="H3130" s="29" t="s">
        <v>560</v>
      </c>
      <c r="I3130" s="29" t="s">
        <v>560</v>
      </c>
      <c r="J3130" s="29" t="s">
        <v>1694</v>
      </c>
      <c r="K3130" s="29" t="s">
        <v>1694</v>
      </c>
      <c r="L3130" s="29" t="s">
        <v>4852</v>
      </c>
      <c r="M3130" s="29" t="s">
        <v>4924</v>
      </c>
      <c r="N3130" s="29" t="s">
        <v>1525</v>
      </c>
      <c r="O3130" s="29" t="s">
        <v>590</v>
      </c>
    </row>
    <row r="3131" spans="1:15">
      <c r="A3131" s="25">
        <v>22812</v>
      </c>
      <c r="B3131" s="34" t="s">
        <v>4925</v>
      </c>
      <c r="C3131" s="31" t="s">
        <v>521</v>
      </c>
      <c r="D3131" s="31" t="s">
        <v>775</v>
      </c>
      <c r="E3131" s="28">
        <v>43333</v>
      </c>
      <c r="F3131" s="28">
        <v>43364</v>
      </c>
      <c r="G3131" s="28">
        <v>43738</v>
      </c>
      <c r="H3131" s="29" t="s">
        <v>560</v>
      </c>
      <c r="I3131" s="29" t="s">
        <v>560</v>
      </c>
      <c r="J3131" s="29" t="s">
        <v>1694</v>
      </c>
      <c r="K3131" s="29" t="s">
        <v>1694</v>
      </c>
      <c r="L3131" s="29" t="s">
        <v>4852</v>
      </c>
      <c r="M3131" s="29" t="s">
        <v>4926</v>
      </c>
      <c r="N3131" s="29" t="s">
        <v>1525</v>
      </c>
      <c r="O3131" s="29" t="s">
        <v>590</v>
      </c>
    </row>
    <row r="3132" spans="1:15">
      <c r="A3132" s="25">
        <v>22813</v>
      </c>
      <c r="B3132" s="34" t="s">
        <v>4927</v>
      </c>
      <c r="C3132" s="31" t="s">
        <v>521</v>
      </c>
      <c r="D3132" s="31" t="s">
        <v>775</v>
      </c>
      <c r="E3132" s="28">
        <v>43333</v>
      </c>
      <c r="F3132" s="28">
        <v>43364</v>
      </c>
      <c r="G3132" s="28">
        <v>43738</v>
      </c>
      <c r="H3132" s="29" t="s">
        <v>560</v>
      </c>
      <c r="I3132" s="29" t="s">
        <v>560</v>
      </c>
      <c r="J3132" s="29" t="s">
        <v>1694</v>
      </c>
      <c r="K3132" s="29" t="s">
        <v>1694</v>
      </c>
      <c r="L3132" s="29" t="s">
        <v>4852</v>
      </c>
      <c r="M3132" s="29" t="s">
        <v>4928</v>
      </c>
      <c r="N3132" s="29" t="s">
        <v>1525</v>
      </c>
      <c r="O3132" s="29" t="s">
        <v>590</v>
      </c>
    </row>
    <row r="3133" spans="1:15">
      <c r="A3133" s="25">
        <v>22815</v>
      </c>
      <c r="B3133" s="34" t="s">
        <v>4929</v>
      </c>
      <c r="C3133" s="31" t="s">
        <v>521</v>
      </c>
      <c r="D3133" s="31" t="s">
        <v>775</v>
      </c>
      <c r="E3133" s="28">
        <v>43333</v>
      </c>
      <c r="F3133" s="28">
        <v>43364</v>
      </c>
      <c r="G3133" s="28">
        <v>43738</v>
      </c>
      <c r="H3133" s="29" t="s">
        <v>560</v>
      </c>
      <c r="I3133" s="29" t="s">
        <v>560</v>
      </c>
      <c r="J3133" s="29" t="s">
        <v>1694</v>
      </c>
      <c r="K3133" s="29" t="s">
        <v>1694</v>
      </c>
      <c r="L3133" s="29" t="s">
        <v>4852</v>
      </c>
      <c r="M3133" s="29" t="s">
        <v>4930</v>
      </c>
      <c r="N3133" s="29" t="s">
        <v>1525</v>
      </c>
      <c r="O3133" s="29" t="s">
        <v>590</v>
      </c>
    </row>
    <row r="3134" spans="1:15">
      <c r="A3134" s="25">
        <v>22854</v>
      </c>
      <c r="B3134" s="34" t="s">
        <v>4931</v>
      </c>
      <c r="C3134" s="31" t="s">
        <v>521</v>
      </c>
      <c r="D3134" s="31" t="s">
        <v>775</v>
      </c>
      <c r="E3134" s="28">
        <v>43333</v>
      </c>
      <c r="F3134" s="28">
        <v>43364</v>
      </c>
      <c r="G3134" s="28">
        <v>43738</v>
      </c>
      <c r="H3134" s="29" t="s">
        <v>560</v>
      </c>
      <c r="I3134" s="29" t="s">
        <v>560</v>
      </c>
      <c r="J3134" s="29" t="s">
        <v>1694</v>
      </c>
      <c r="K3134" s="29" t="s">
        <v>1694</v>
      </c>
      <c r="L3134" s="29" t="s">
        <v>4852</v>
      </c>
      <c r="M3134" s="29" t="s">
        <v>4798</v>
      </c>
      <c r="N3134" s="29" t="s">
        <v>1541</v>
      </c>
      <c r="O3134" s="29" t="s">
        <v>590</v>
      </c>
    </row>
    <row r="3135" spans="1:15">
      <c r="A3135" s="25">
        <v>23045</v>
      </c>
      <c r="B3135" s="34" t="s">
        <v>4646</v>
      </c>
      <c r="C3135" s="31" t="s">
        <v>521</v>
      </c>
      <c r="D3135" s="31" t="s">
        <v>1872</v>
      </c>
      <c r="E3135" s="28">
        <v>43361</v>
      </c>
      <c r="F3135" s="28">
        <v>43391</v>
      </c>
      <c r="G3135" s="28">
        <v>43769</v>
      </c>
      <c r="H3135" s="29" t="s">
        <v>560</v>
      </c>
      <c r="I3135" s="29" t="s">
        <v>560</v>
      </c>
      <c r="J3135" s="29" t="s">
        <v>1694</v>
      </c>
      <c r="K3135" s="29" t="s">
        <v>1694</v>
      </c>
      <c r="L3135" s="29" t="s">
        <v>4852</v>
      </c>
      <c r="M3135" s="29" t="s">
        <v>4932</v>
      </c>
      <c r="N3135" s="29" t="s">
        <v>1525</v>
      </c>
      <c r="O3135" s="29" t="s">
        <v>590</v>
      </c>
    </row>
    <row r="3136" spans="1:15">
      <c r="A3136" s="25">
        <v>23296</v>
      </c>
      <c r="B3136" s="34" t="s">
        <v>4933</v>
      </c>
      <c r="C3136" s="31" t="s">
        <v>521</v>
      </c>
      <c r="D3136" s="31" t="s">
        <v>1527</v>
      </c>
      <c r="E3136" s="28">
        <v>43427</v>
      </c>
      <c r="F3136" s="28">
        <v>43457</v>
      </c>
      <c r="G3136" s="28">
        <v>43830</v>
      </c>
      <c r="H3136" s="29" t="s">
        <v>560</v>
      </c>
      <c r="I3136" s="29" t="s">
        <v>560</v>
      </c>
      <c r="J3136" s="29" t="s">
        <v>1694</v>
      </c>
      <c r="K3136" s="29" t="s">
        <v>1694</v>
      </c>
      <c r="L3136" s="29" t="s">
        <v>4852</v>
      </c>
      <c r="M3136" s="29" t="s">
        <v>1543</v>
      </c>
      <c r="N3136" s="29" t="s">
        <v>1541</v>
      </c>
      <c r="O3136" s="29" t="s">
        <v>590</v>
      </c>
    </row>
    <row r="3137" spans="1:15">
      <c r="A3137" s="25">
        <v>23303</v>
      </c>
      <c r="B3137" s="34" t="s">
        <v>4934</v>
      </c>
      <c r="C3137" s="31" t="s">
        <v>521</v>
      </c>
      <c r="D3137" s="31" t="s">
        <v>1527</v>
      </c>
      <c r="E3137" s="28">
        <v>43427</v>
      </c>
      <c r="F3137" s="28">
        <v>43457</v>
      </c>
      <c r="G3137" s="28">
        <v>43830</v>
      </c>
      <c r="H3137" s="29" t="s">
        <v>560</v>
      </c>
      <c r="I3137" s="29" t="s">
        <v>560</v>
      </c>
      <c r="J3137" s="29" t="s">
        <v>1694</v>
      </c>
      <c r="K3137" s="29" t="s">
        <v>1694</v>
      </c>
      <c r="L3137" s="29" t="s">
        <v>4852</v>
      </c>
      <c r="M3137" s="29" t="s">
        <v>4935</v>
      </c>
      <c r="N3137" s="29" t="s">
        <v>1586</v>
      </c>
      <c r="O3137" s="29" t="s">
        <v>590</v>
      </c>
    </row>
    <row r="3138" spans="1:15">
      <c r="A3138" s="25">
        <v>23351</v>
      </c>
      <c r="B3138" s="34" t="s">
        <v>4936</v>
      </c>
      <c r="C3138" s="31" t="s">
        <v>521</v>
      </c>
      <c r="D3138" s="31" t="s">
        <v>1527</v>
      </c>
      <c r="E3138" s="28">
        <v>43427</v>
      </c>
      <c r="F3138" s="28">
        <v>43457</v>
      </c>
      <c r="G3138" s="28">
        <v>43830</v>
      </c>
      <c r="H3138" s="29" t="s">
        <v>560</v>
      </c>
      <c r="I3138" s="29" t="s">
        <v>560</v>
      </c>
      <c r="J3138" s="29" t="s">
        <v>1694</v>
      </c>
      <c r="K3138" s="29" t="s">
        <v>1694</v>
      </c>
      <c r="L3138" s="29" t="s">
        <v>4852</v>
      </c>
      <c r="M3138" s="29" t="s">
        <v>4937</v>
      </c>
      <c r="N3138" s="29" t="s">
        <v>1586</v>
      </c>
      <c r="O3138" s="29" t="s">
        <v>590</v>
      </c>
    </row>
    <row r="3139" spans="1:15">
      <c r="A3139" s="25">
        <v>23546</v>
      </c>
      <c r="B3139" s="34" t="s">
        <v>4938</v>
      </c>
      <c r="C3139" s="31" t="s">
        <v>521</v>
      </c>
      <c r="D3139" s="31" t="s">
        <v>884</v>
      </c>
      <c r="E3139" s="28">
        <v>43452</v>
      </c>
      <c r="F3139" s="28">
        <v>43483</v>
      </c>
      <c r="G3139" s="28">
        <v>43861</v>
      </c>
      <c r="H3139" s="29" t="s">
        <v>560</v>
      </c>
      <c r="I3139" s="29" t="s">
        <v>560</v>
      </c>
      <c r="J3139" s="29" t="s">
        <v>1694</v>
      </c>
      <c r="K3139" s="29" t="s">
        <v>1694</v>
      </c>
      <c r="L3139" s="29" t="s">
        <v>4852</v>
      </c>
      <c r="M3139" s="29" t="s">
        <v>1593</v>
      </c>
      <c r="N3139" s="29" t="s">
        <v>1586</v>
      </c>
      <c r="O3139" s="29" t="s">
        <v>590</v>
      </c>
    </row>
    <row r="3140" spans="1:15">
      <c r="A3140" s="25">
        <v>1105</v>
      </c>
      <c r="B3140" s="26" t="s">
        <v>4939</v>
      </c>
      <c r="C3140" s="27" t="s">
        <v>521</v>
      </c>
      <c r="D3140" s="27" t="s">
        <v>1411</v>
      </c>
      <c r="E3140" s="28">
        <v>37887</v>
      </c>
      <c r="F3140" s="28" t="s">
        <v>35</v>
      </c>
      <c r="G3140" s="28" t="s">
        <v>35</v>
      </c>
      <c r="H3140" s="27" t="s">
        <v>560</v>
      </c>
      <c r="I3140" s="27" t="s">
        <v>560</v>
      </c>
      <c r="J3140" s="27" t="s">
        <v>1694</v>
      </c>
      <c r="K3140" s="27" t="s">
        <v>1694</v>
      </c>
      <c r="L3140" s="27" t="s">
        <v>4940</v>
      </c>
      <c r="M3140" s="29" t="s">
        <v>1550</v>
      </c>
      <c r="N3140" s="29" t="s">
        <v>1045</v>
      </c>
      <c r="O3140" s="29" t="s">
        <v>594</v>
      </c>
    </row>
    <row r="3141" spans="1:15">
      <c r="A3141" s="25">
        <v>5462</v>
      </c>
      <c r="B3141" s="26" t="s">
        <v>695</v>
      </c>
      <c r="C3141" s="27" t="s">
        <v>521</v>
      </c>
      <c r="D3141" s="27" t="s">
        <v>760</v>
      </c>
      <c r="E3141" s="28">
        <v>38991</v>
      </c>
      <c r="F3141" s="28" t="s">
        <v>35</v>
      </c>
      <c r="G3141" s="28" t="s">
        <v>35</v>
      </c>
      <c r="H3141" s="27" t="s">
        <v>560</v>
      </c>
      <c r="I3141" s="27" t="s">
        <v>560</v>
      </c>
      <c r="J3141" s="27" t="s">
        <v>1694</v>
      </c>
      <c r="K3141" s="27" t="s">
        <v>1694</v>
      </c>
      <c r="L3141" s="27" t="s">
        <v>4940</v>
      </c>
      <c r="M3141" s="29" t="s">
        <v>4941</v>
      </c>
      <c r="N3141" s="29" t="s">
        <v>1511</v>
      </c>
      <c r="O3141" s="29" t="s">
        <v>594</v>
      </c>
    </row>
    <row r="3142" spans="1:15">
      <c r="A3142" s="25">
        <v>20549</v>
      </c>
      <c r="B3142" s="26" t="s">
        <v>4942</v>
      </c>
      <c r="C3142" s="27" t="s">
        <v>521</v>
      </c>
      <c r="D3142" s="27" t="s">
        <v>673</v>
      </c>
      <c r="E3142" s="28">
        <v>42639</v>
      </c>
      <c r="F3142" s="28">
        <v>43132</v>
      </c>
      <c r="G3142" s="28">
        <v>43496</v>
      </c>
      <c r="H3142" s="25" t="s">
        <v>560</v>
      </c>
      <c r="I3142" s="25" t="s">
        <v>560</v>
      </c>
      <c r="J3142" s="27" t="s">
        <v>1694</v>
      </c>
      <c r="K3142" s="27" t="s">
        <v>1694</v>
      </c>
      <c r="L3142" s="27" t="s">
        <v>4940</v>
      </c>
      <c r="M3142" s="29" t="s">
        <v>4943</v>
      </c>
      <c r="N3142" s="29" t="s">
        <v>1511</v>
      </c>
      <c r="O3142" s="29" t="s">
        <v>594</v>
      </c>
    </row>
    <row r="3143" spans="1:15">
      <c r="A3143" s="25">
        <v>20941</v>
      </c>
      <c r="B3143" s="33" t="s">
        <v>4944</v>
      </c>
      <c r="C3143" s="27" t="s">
        <v>521</v>
      </c>
      <c r="D3143" s="27" t="s">
        <v>1149</v>
      </c>
      <c r="E3143" s="28">
        <v>42667</v>
      </c>
      <c r="F3143" s="28">
        <v>43160</v>
      </c>
      <c r="G3143" s="28">
        <v>43524</v>
      </c>
      <c r="H3143" s="31" t="s">
        <v>560</v>
      </c>
      <c r="I3143" s="31" t="s">
        <v>560</v>
      </c>
      <c r="J3143" s="27" t="s">
        <v>1694</v>
      </c>
      <c r="K3143" s="27" t="s">
        <v>1694</v>
      </c>
      <c r="L3143" s="27" t="s">
        <v>4940</v>
      </c>
      <c r="M3143" s="29" t="s">
        <v>4945</v>
      </c>
      <c r="N3143" s="29" t="s">
        <v>1511</v>
      </c>
      <c r="O3143" s="29" t="s">
        <v>594</v>
      </c>
    </row>
    <row r="3144" spans="1:15">
      <c r="A3144" s="25">
        <v>21521</v>
      </c>
      <c r="B3144" s="34" t="s">
        <v>4946</v>
      </c>
      <c r="C3144" s="31" t="s">
        <v>521</v>
      </c>
      <c r="D3144" s="31" t="s">
        <v>1760</v>
      </c>
      <c r="E3144" s="28">
        <v>43045</v>
      </c>
      <c r="F3144" s="28">
        <v>43435</v>
      </c>
      <c r="G3144" s="28">
        <v>43799</v>
      </c>
      <c r="H3144" s="29" t="s">
        <v>560</v>
      </c>
      <c r="I3144" s="29" t="s">
        <v>560</v>
      </c>
      <c r="J3144" s="29" t="s">
        <v>1694</v>
      </c>
      <c r="K3144" s="29" t="s">
        <v>1694</v>
      </c>
      <c r="L3144" s="29" t="s">
        <v>4940</v>
      </c>
      <c r="M3144" s="29" t="s">
        <v>4947</v>
      </c>
      <c r="N3144" s="29" t="s">
        <v>1511</v>
      </c>
      <c r="O3144" s="29" t="s">
        <v>594</v>
      </c>
    </row>
    <row r="3145" spans="1:15">
      <c r="A3145" s="25">
        <v>21717</v>
      </c>
      <c r="B3145" s="34" t="s">
        <v>4948</v>
      </c>
      <c r="C3145" s="31" t="s">
        <v>521</v>
      </c>
      <c r="D3145" s="31" t="s">
        <v>663</v>
      </c>
      <c r="E3145" s="28">
        <v>43087</v>
      </c>
      <c r="F3145" s="28">
        <v>43118</v>
      </c>
      <c r="G3145" s="28">
        <v>43496</v>
      </c>
      <c r="H3145" s="27" t="s">
        <v>560</v>
      </c>
      <c r="I3145" s="27" t="s">
        <v>560</v>
      </c>
      <c r="J3145" s="27" t="s">
        <v>1694</v>
      </c>
      <c r="K3145" s="27" t="s">
        <v>1694</v>
      </c>
      <c r="L3145" s="29" t="s">
        <v>4940</v>
      </c>
      <c r="M3145" s="29" t="s">
        <v>1740</v>
      </c>
      <c r="N3145" s="29" t="s">
        <v>1518</v>
      </c>
      <c r="O3145" s="29" t="s">
        <v>594</v>
      </c>
    </row>
    <row r="3146" spans="1:15">
      <c r="A3146" s="25">
        <v>22062</v>
      </c>
      <c r="B3146" s="34" t="s">
        <v>4949</v>
      </c>
      <c r="C3146" s="31" t="s">
        <v>521</v>
      </c>
      <c r="D3146" s="31" t="s">
        <v>769</v>
      </c>
      <c r="E3146" s="28">
        <v>43150</v>
      </c>
      <c r="F3146" s="28">
        <v>43178</v>
      </c>
      <c r="G3146" s="28">
        <v>43555</v>
      </c>
      <c r="H3146" s="29" t="s">
        <v>560</v>
      </c>
      <c r="I3146" s="29" t="s">
        <v>560</v>
      </c>
      <c r="J3146" s="29" t="s">
        <v>1694</v>
      </c>
      <c r="K3146" s="29" t="s">
        <v>1694</v>
      </c>
      <c r="L3146" s="29" t="s">
        <v>4940</v>
      </c>
      <c r="M3146" s="29" t="s">
        <v>4950</v>
      </c>
      <c r="N3146" s="29" t="s">
        <v>1511</v>
      </c>
      <c r="O3146" s="29" t="s">
        <v>594</v>
      </c>
    </row>
    <row r="3147" spans="1:15">
      <c r="A3147" s="25">
        <v>22905</v>
      </c>
      <c r="B3147" s="34" t="s">
        <v>4951</v>
      </c>
      <c r="C3147" s="31" t="s">
        <v>521</v>
      </c>
      <c r="D3147" s="31" t="s">
        <v>1962</v>
      </c>
      <c r="E3147" s="28">
        <v>43343</v>
      </c>
      <c r="F3147" s="28">
        <v>43374</v>
      </c>
      <c r="G3147" s="28">
        <v>43738</v>
      </c>
      <c r="H3147" s="29" t="s">
        <v>560</v>
      </c>
      <c r="I3147" s="29" t="s">
        <v>560</v>
      </c>
      <c r="J3147" s="29" t="s">
        <v>1694</v>
      </c>
      <c r="K3147" s="29" t="s">
        <v>1694</v>
      </c>
      <c r="L3147" s="29" t="s">
        <v>4940</v>
      </c>
      <c r="M3147" s="29" t="s">
        <v>4952</v>
      </c>
      <c r="N3147" s="29" t="s">
        <v>1511</v>
      </c>
      <c r="O3147" s="29" t="s">
        <v>594</v>
      </c>
    </row>
    <row r="3148" spans="1:15">
      <c r="A3148" s="25">
        <v>22976</v>
      </c>
      <c r="B3148" s="34" t="s">
        <v>4953</v>
      </c>
      <c r="C3148" s="31" t="s">
        <v>521</v>
      </c>
      <c r="D3148" s="31" t="s">
        <v>1962</v>
      </c>
      <c r="E3148" s="28">
        <v>43343</v>
      </c>
      <c r="F3148" s="28">
        <v>43374</v>
      </c>
      <c r="G3148" s="28">
        <v>43738</v>
      </c>
      <c r="H3148" s="29" t="s">
        <v>560</v>
      </c>
      <c r="I3148" s="29" t="s">
        <v>560</v>
      </c>
      <c r="J3148" s="29" t="s">
        <v>1694</v>
      </c>
      <c r="K3148" s="29" t="s">
        <v>1694</v>
      </c>
      <c r="L3148" s="29" t="s">
        <v>4940</v>
      </c>
      <c r="M3148" s="29" t="s">
        <v>4954</v>
      </c>
      <c r="N3148" s="29" t="s">
        <v>1511</v>
      </c>
      <c r="O3148" s="29" t="s">
        <v>594</v>
      </c>
    </row>
    <row r="3149" spans="1:15">
      <c r="A3149" s="25">
        <v>23019</v>
      </c>
      <c r="B3149" s="34" t="s">
        <v>4955</v>
      </c>
      <c r="C3149" s="31" t="s">
        <v>521</v>
      </c>
      <c r="D3149" s="31" t="s">
        <v>1872</v>
      </c>
      <c r="E3149" s="28">
        <v>43361</v>
      </c>
      <c r="F3149" s="28">
        <v>43391</v>
      </c>
      <c r="G3149" s="28">
        <v>43769</v>
      </c>
      <c r="H3149" s="29" t="s">
        <v>560</v>
      </c>
      <c r="I3149" s="29" t="s">
        <v>560</v>
      </c>
      <c r="J3149" s="29" t="s">
        <v>1694</v>
      </c>
      <c r="K3149" s="29" t="s">
        <v>1694</v>
      </c>
      <c r="L3149" s="29" t="s">
        <v>4940</v>
      </c>
      <c r="M3149" s="29" t="s">
        <v>4956</v>
      </c>
      <c r="N3149" s="29" t="s">
        <v>1511</v>
      </c>
      <c r="O3149" s="29" t="s">
        <v>594</v>
      </c>
    </row>
    <row r="3150" spans="1:15">
      <c r="A3150" s="25">
        <v>23333</v>
      </c>
      <c r="B3150" s="34" t="s">
        <v>4957</v>
      </c>
      <c r="C3150" s="31" t="s">
        <v>521</v>
      </c>
      <c r="D3150" s="31" t="s">
        <v>1527</v>
      </c>
      <c r="E3150" s="28">
        <v>43427</v>
      </c>
      <c r="F3150" s="28">
        <v>43457</v>
      </c>
      <c r="G3150" s="28">
        <v>43830</v>
      </c>
      <c r="H3150" s="29" t="s">
        <v>560</v>
      </c>
      <c r="I3150" s="29" t="s">
        <v>560</v>
      </c>
      <c r="J3150" s="29" t="s">
        <v>1694</v>
      </c>
      <c r="K3150" s="29" t="s">
        <v>1694</v>
      </c>
      <c r="L3150" s="29" t="s">
        <v>4940</v>
      </c>
      <c r="M3150" s="29" t="s">
        <v>4958</v>
      </c>
      <c r="N3150" s="29" t="s">
        <v>1511</v>
      </c>
      <c r="O3150" s="29" t="s">
        <v>594</v>
      </c>
    </row>
    <row r="3151" spans="1:15">
      <c r="A3151" s="25">
        <v>23362</v>
      </c>
      <c r="B3151" s="34" t="s">
        <v>4959</v>
      </c>
      <c r="C3151" s="31" t="s">
        <v>521</v>
      </c>
      <c r="D3151" s="31" t="s">
        <v>1527</v>
      </c>
      <c r="E3151" s="28">
        <v>43427</v>
      </c>
      <c r="F3151" s="28">
        <v>43457</v>
      </c>
      <c r="G3151" s="28">
        <v>43830</v>
      </c>
      <c r="H3151" s="29" t="s">
        <v>560</v>
      </c>
      <c r="I3151" s="29" t="s">
        <v>560</v>
      </c>
      <c r="J3151" s="29" t="s">
        <v>1694</v>
      </c>
      <c r="K3151" s="29" t="s">
        <v>1694</v>
      </c>
      <c r="L3151" s="29" t="s">
        <v>4940</v>
      </c>
      <c r="M3151" s="29" t="s">
        <v>4960</v>
      </c>
      <c r="N3151" s="29" t="s">
        <v>1511</v>
      </c>
      <c r="O3151" s="29" t="s">
        <v>594</v>
      </c>
    </row>
    <row r="3152" spans="1:15">
      <c r="A3152" s="25">
        <v>9320</v>
      </c>
      <c r="B3152" s="26" t="s">
        <v>105</v>
      </c>
      <c r="C3152" s="27" t="s">
        <v>521</v>
      </c>
      <c r="D3152" s="27" t="s">
        <v>658</v>
      </c>
      <c r="E3152" s="28">
        <v>40148</v>
      </c>
      <c r="F3152" s="28" t="s">
        <v>35</v>
      </c>
      <c r="G3152" s="28" t="s">
        <v>35</v>
      </c>
      <c r="H3152" s="27" t="s">
        <v>560</v>
      </c>
      <c r="I3152" s="27" t="s">
        <v>560</v>
      </c>
      <c r="J3152" s="29" t="s">
        <v>1694</v>
      </c>
      <c r="K3152" s="29" t="s">
        <v>1694</v>
      </c>
      <c r="L3152" s="29" t="s">
        <v>4940</v>
      </c>
      <c r="M3152" s="29" t="s">
        <v>4961</v>
      </c>
      <c r="N3152" s="29" t="s">
        <v>1511</v>
      </c>
      <c r="O3152" s="29" t="s">
        <v>528</v>
      </c>
    </row>
    <row r="3153" spans="1:15">
      <c r="A3153" s="25">
        <v>22188</v>
      </c>
      <c r="B3153" s="34" t="s">
        <v>4962</v>
      </c>
      <c r="C3153" s="31" t="s">
        <v>521</v>
      </c>
      <c r="D3153" s="31" t="s">
        <v>1201</v>
      </c>
      <c r="E3153" s="28">
        <v>43158</v>
      </c>
      <c r="F3153" s="28">
        <v>43186</v>
      </c>
      <c r="G3153" s="28">
        <v>43555</v>
      </c>
      <c r="H3153" s="29" t="s">
        <v>560</v>
      </c>
      <c r="I3153" s="29" t="s">
        <v>560</v>
      </c>
      <c r="J3153" s="29" t="s">
        <v>1694</v>
      </c>
      <c r="K3153" s="29" t="s">
        <v>1694</v>
      </c>
      <c r="L3153" s="29" t="s">
        <v>4940</v>
      </c>
      <c r="M3153" s="29" t="s">
        <v>4963</v>
      </c>
      <c r="N3153" s="29" t="s">
        <v>1511</v>
      </c>
      <c r="O3153" s="29" t="s">
        <v>528</v>
      </c>
    </row>
    <row r="3154" spans="1:15">
      <c r="A3154" s="25">
        <v>23190</v>
      </c>
      <c r="B3154" s="34" t="s">
        <v>4964</v>
      </c>
      <c r="C3154" s="31" t="s">
        <v>521</v>
      </c>
      <c r="D3154" s="31" t="s">
        <v>1582</v>
      </c>
      <c r="E3154" s="28">
        <v>43421</v>
      </c>
      <c r="F3154" s="28">
        <v>43451</v>
      </c>
      <c r="G3154" s="28">
        <v>43830</v>
      </c>
      <c r="H3154" s="29" t="s">
        <v>560</v>
      </c>
      <c r="I3154" s="29" t="s">
        <v>560</v>
      </c>
      <c r="J3154" s="29" t="s">
        <v>1694</v>
      </c>
      <c r="K3154" s="29" t="s">
        <v>1694</v>
      </c>
      <c r="L3154" s="29" t="s">
        <v>4940</v>
      </c>
      <c r="M3154" s="29" t="s">
        <v>4965</v>
      </c>
      <c r="N3154" s="29" t="s">
        <v>1511</v>
      </c>
      <c r="O3154" s="29" t="s">
        <v>528</v>
      </c>
    </row>
    <row r="3155" spans="1:15">
      <c r="A3155" s="25">
        <v>23327</v>
      </c>
      <c r="B3155" s="34" t="s">
        <v>4966</v>
      </c>
      <c r="C3155" s="31" t="s">
        <v>521</v>
      </c>
      <c r="D3155" s="31" t="s">
        <v>1527</v>
      </c>
      <c r="E3155" s="28">
        <v>43427</v>
      </c>
      <c r="F3155" s="28">
        <v>43457</v>
      </c>
      <c r="G3155" s="28">
        <v>43830</v>
      </c>
      <c r="H3155" s="29" t="s">
        <v>560</v>
      </c>
      <c r="I3155" s="29" t="s">
        <v>560</v>
      </c>
      <c r="J3155" s="29" t="s">
        <v>1694</v>
      </c>
      <c r="K3155" s="29" t="s">
        <v>1694</v>
      </c>
      <c r="L3155" s="29" t="s">
        <v>4940</v>
      </c>
      <c r="M3155" s="29" t="s">
        <v>4967</v>
      </c>
      <c r="N3155" s="29" t="s">
        <v>1511</v>
      </c>
      <c r="O3155" s="29" t="s">
        <v>528</v>
      </c>
    </row>
    <row r="3156" spans="1:15">
      <c r="A3156" s="25">
        <v>5819</v>
      </c>
      <c r="B3156" s="26" t="s">
        <v>265</v>
      </c>
      <c r="C3156" s="27" t="s">
        <v>521</v>
      </c>
      <c r="D3156" s="27" t="s">
        <v>794</v>
      </c>
      <c r="E3156" s="28">
        <v>39114</v>
      </c>
      <c r="F3156" s="28" t="s">
        <v>35</v>
      </c>
      <c r="G3156" s="28" t="s">
        <v>35</v>
      </c>
      <c r="H3156" s="29" t="s">
        <v>560</v>
      </c>
      <c r="I3156" s="29" t="s">
        <v>560</v>
      </c>
      <c r="J3156" s="29" t="s">
        <v>1694</v>
      </c>
      <c r="K3156" s="29" t="s">
        <v>1694</v>
      </c>
      <c r="L3156" s="29" t="s">
        <v>4940</v>
      </c>
      <c r="M3156" s="29" t="s">
        <v>4943</v>
      </c>
      <c r="N3156" s="29" t="s">
        <v>1511</v>
      </c>
      <c r="O3156" s="29" t="s">
        <v>590</v>
      </c>
    </row>
    <row r="3157" spans="1:15">
      <c r="A3157" s="25">
        <v>10061</v>
      </c>
      <c r="B3157" s="26" t="s">
        <v>4968</v>
      </c>
      <c r="C3157" s="27" t="s">
        <v>521</v>
      </c>
      <c r="D3157" s="27" t="s">
        <v>762</v>
      </c>
      <c r="E3157" s="28">
        <v>40438</v>
      </c>
      <c r="F3157" s="28" t="s">
        <v>35</v>
      </c>
      <c r="G3157" s="28" t="s">
        <v>35</v>
      </c>
      <c r="H3157" s="27" t="s">
        <v>560</v>
      </c>
      <c r="I3157" s="27" t="s">
        <v>560</v>
      </c>
      <c r="J3157" s="27" t="s">
        <v>1694</v>
      </c>
      <c r="K3157" s="27" t="s">
        <v>1694</v>
      </c>
      <c r="L3157" s="29" t="s">
        <v>4940</v>
      </c>
      <c r="M3157" s="29" t="s">
        <v>4969</v>
      </c>
      <c r="N3157" s="29" t="s">
        <v>1511</v>
      </c>
      <c r="O3157" s="29" t="s">
        <v>590</v>
      </c>
    </row>
    <row r="3158" spans="1:15">
      <c r="A3158" s="25">
        <v>12117</v>
      </c>
      <c r="B3158" s="26" t="s">
        <v>1877</v>
      </c>
      <c r="C3158" s="27" t="s">
        <v>521</v>
      </c>
      <c r="D3158" s="27" t="s">
        <v>665</v>
      </c>
      <c r="E3158" s="28">
        <v>40798</v>
      </c>
      <c r="F3158" s="28" t="s">
        <v>35</v>
      </c>
      <c r="G3158" s="28" t="s">
        <v>35</v>
      </c>
      <c r="H3158" s="29" t="s">
        <v>560</v>
      </c>
      <c r="I3158" s="29" t="s">
        <v>560</v>
      </c>
      <c r="J3158" s="29" t="s">
        <v>1694</v>
      </c>
      <c r="K3158" s="29" t="s">
        <v>1694</v>
      </c>
      <c r="L3158" s="29" t="s">
        <v>4940</v>
      </c>
      <c r="M3158" s="29" t="s">
        <v>4970</v>
      </c>
      <c r="N3158" s="29" t="s">
        <v>1511</v>
      </c>
      <c r="O3158" s="29" t="s">
        <v>590</v>
      </c>
    </row>
    <row r="3159" spans="1:15">
      <c r="A3159" s="25">
        <v>12348</v>
      </c>
      <c r="B3159" s="26" t="s">
        <v>4971</v>
      </c>
      <c r="C3159" s="27" t="s">
        <v>521</v>
      </c>
      <c r="D3159" s="27" t="s">
        <v>724</v>
      </c>
      <c r="E3159" s="28">
        <v>40809</v>
      </c>
      <c r="F3159" s="28" t="s">
        <v>35</v>
      </c>
      <c r="G3159" s="28" t="s">
        <v>35</v>
      </c>
      <c r="H3159" s="27" t="s">
        <v>560</v>
      </c>
      <c r="I3159" s="27" t="s">
        <v>560</v>
      </c>
      <c r="J3159" s="27" t="s">
        <v>1694</v>
      </c>
      <c r="K3159" s="27" t="s">
        <v>1694</v>
      </c>
      <c r="L3159" s="27" t="s">
        <v>4940</v>
      </c>
      <c r="M3159" s="27" t="s">
        <v>4972</v>
      </c>
      <c r="N3159" s="27" t="s">
        <v>1511</v>
      </c>
      <c r="O3159" s="27" t="s">
        <v>590</v>
      </c>
    </row>
    <row r="3160" spans="1:15">
      <c r="A3160" s="25">
        <v>17363</v>
      </c>
      <c r="B3160" s="26" t="s">
        <v>4973</v>
      </c>
      <c r="C3160" s="27" t="s">
        <v>521</v>
      </c>
      <c r="D3160" s="27" t="s">
        <v>4974</v>
      </c>
      <c r="E3160" s="28">
        <v>41772</v>
      </c>
      <c r="F3160" s="28" t="s">
        <v>35</v>
      </c>
      <c r="G3160" s="28" t="s">
        <v>35</v>
      </c>
      <c r="H3160" s="27" t="s">
        <v>560</v>
      </c>
      <c r="I3160" s="27" t="s">
        <v>560</v>
      </c>
      <c r="J3160" s="27" t="s">
        <v>1694</v>
      </c>
      <c r="K3160" s="27" t="s">
        <v>1694</v>
      </c>
      <c r="L3160" s="29" t="s">
        <v>4940</v>
      </c>
      <c r="M3160" s="29" t="s">
        <v>4950</v>
      </c>
      <c r="N3160" s="29" t="s">
        <v>1511</v>
      </c>
      <c r="O3160" s="29" t="s">
        <v>590</v>
      </c>
    </row>
    <row r="3161" spans="1:15">
      <c r="A3161" s="25">
        <v>21583</v>
      </c>
      <c r="B3161" s="34" t="s">
        <v>4975</v>
      </c>
      <c r="C3161" s="31" t="s">
        <v>521</v>
      </c>
      <c r="D3161" s="31" t="s">
        <v>1603</v>
      </c>
      <c r="E3161" s="28">
        <v>43048</v>
      </c>
      <c r="F3161" s="28">
        <v>43435</v>
      </c>
      <c r="G3161" s="28">
        <v>43799</v>
      </c>
      <c r="H3161" s="29" t="s">
        <v>560</v>
      </c>
      <c r="I3161" s="29" t="s">
        <v>560</v>
      </c>
      <c r="J3161" s="29" t="s">
        <v>1694</v>
      </c>
      <c r="K3161" s="29" t="s">
        <v>1694</v>
      </c>
      <c r="L3161" s="29" t="s">
        <v>4940</v>
      </c>
      <c r="M3161" s="29" t="s">
        <v>4976</v>
      </c>
      <c r="N3161" s="29" t="s">
        <v>1511</v>
      </c>
      <c r="O3161" s="29" t="s">
        <v>590</v>
      </c>
    </row>
    <row r="3162" spans="1:15">
      <c r="A3162" s="25">
        <v>21728</v>
      </c>
      <c r="B3162" s="34" t="s">
        <v>4977</v>
      </c>
      <c r="C3162" s="31" t="s">
        <v>521</v>
      </c>
      <c r="D3162" s="31" t="s">
        <v>663</v>
      </c>
      <c r="E3162" s="28">
        <v>43087</v>
      </c>
      <c r="F3162" s="28">
        <v>43118</v>
      </c>
      <c r="G3162" s="28">
        <v>43496</v>
      </c>
      <c r="H3162" s="27" t="s">
        <v>560</v>
      </c>
      <c r="I3162" s="27" t="s">
        <v>560</v>
      </c>
      <c r="J3162" s="27" t="s">
        <v>1694</v>
      </c>
      <c r="K3162" s="27" t="s">
        <v>1694</v>
      </c>
      <c r="L3162" s="29" t="s">
        <v>4940</v>
      </c>
      <c r="M3162" s="29" t="s">
        <v>4978</v>
      </c>
      <c r="N3162" s="29" t="s">
        <v>1511</v>
      </c>
      <c r="O3162" s="29" t="s">
        <v>590</v>
      </c>
    </row>
    <row r="3163" spans="1:15">
      <c r="A3163" s="25">
        <v>22480</v>
      </c>
      <c r="B3163" s="34" t="s">
        <v>4979</v>
      </c>
      <c r="C3163" s="31" t="s">
        <v>521</v>
      </c>
      <c r="D3163" s="31" t="s">
        <v>773</v>
      </c>
      <c r="E3163" s="28">
        <v>43224</v>
      </c>
      <c r="F3163" s="28">
        <v>43255</v>
      </c>
      <c r="G3163" s="28">
        <v>43616</v>
      </c>
      <c r="H3163" s="29" t="s">
        <v>560</v>
      </c>
      <c r="I3163" s="29" t="s">
        <v>560</v>
      </c>
      <c r="J3163" s="29" t="s">
        <v>1694</v>
      </c>
      <c r="K3163" s="29" t="s">
        <v>1694</v>
      </c>
      <c r="L3163" s="29" t="s">
        <v>4940</v>
      </c>
      <c r="M3163" s="29" t="s">
        <v>4980</v>
      </c>
      <c r="N3163" s="29" t="s">
        <v>1511</v>
      </c>
      <c r="O3163" s="29" t="s">
        <v>590</v>
      </c>
    </row>
    <row r="3164" spans="1:15">
      <c r="A3164" s="25" t="s">
        <v>4981</v>
      </c>
      <c r="B3164" s="26" t="s">
        <v>4982</v>
      </c>
      <c r="C3164" s="27" t="s">
        <v>521</v>
      </c>
      <c r="D3164" s="27" t="s">
        <v>4468</v>
      </c>
      <c r="E3164" s="28">
        <v>40917</v>
      </c>
      <c r="F3164" s="28" t="s">
        <v>35</v>
      </c>
      <c r="G3164" s="28" t="s">
        <v>35</v>
      </c>
      <c r="H3164" s="27" t="s">
        <v>560</v>
      </c>
      <c r="I3164" s="27" t="s">
        <v>560</v>
      </c>
      <c r="J3164" s="29" t="s">
        <v>1694</v>
      </c>
      <c r="K3164" s="29" t="s">
        <v>1694</v>
      </c>
      <c r="L3164" s="29" t="s">
        <v>4940</v>
      </c>
      <c r="M3164" s="29" t="s">
        <v>4983</v>
      </c>
      <c r="N3164" s="29" t="s">
        <v>1511</v>
      </c>
      <c r="O3164" s="29" t="s">
        <v>590</v>
      </c>
    </row>
    <row r="3165" spans="1:15">
      <c r="A3165" s="25">
        <v>523</v>
      </c>
      <c r="B3165" s="26" t="s">
        <v>4984</v>
      </c>
      <c r="C3165" s="27" t="s">
        <v>521</v>
      </c>
      <c r="D3165" s="27" t="s">
        <v>1063</v>
      </c>
      <c r="E3165" s="28">
        <v>37767</v>
      </c>
      <c r="F3165" s="28" t="s">
        <v>35</v>
      </c>
      <c r="G3165" s="28" t="s">
        <v>35</v>
      </c>
      <c r="H3165" s="27" t="s">
        <v>560</v>
      </c>
      <c r="I3165" s="27" t="s">
        <v>560</v>
      </c>
      <c r="J3165" s="29" t="s">
        <v>1694</v>
      </c>
      <c r="K3165" s="29" t="s">
        <v>1694</v>
      </c>
      <c r="L3165" s="29" t="s">
        <v>4985</v>
      </c>
      <c r="M3165" s="29" t="s">
        <v>1550</v>
      </c>
      <c r="N3165" s="29" t="s">
        <v>1045</v>
      </c>
      <c r="O3165" s="29" t="s">
        <v>594</v>
      </c>
    </row>
    <row r="3166" spans="1:15">
      <c r="A3166" s="25">
        <v>11990</v>
      </c>
      <c r="B3166" s="26" t="s">
        <v>4986</v>
      </c>
      <c r="C3166" s="27" t="s">
        <v>521</v>
      </c>
      <c r="D3166" s="27" t="s">
        <v>2429</v>
      </c>
      <c r="E3166" s="28">
        <v>40777</v>
      </c>
      <c r="F3166" s="28" t="s">
        <v>35</v>
      </c>
      <c r="G3166" s="28" t="s">
        <v>35</v>
      </c>
      <c r="H3166" s="27" t="s">
        <v>560</v>
      </c>
      <c r="I3166" s="27" t="s">
        <v>560</v>
      </c>
      <c r="J3166" s="29" t="s">
        <v>1694</v>
      </c>
      <c r="K3166" s="29" t="s">
        <v>1694</v>
      </c>
      <c r="L3166" s="29" t="s">
        <v>4985</v>
      </c>
      <c r="M3166" s="29" t="s">
        <v>4987</v>
      </c>
      <c r="N3166" s="29" t="s">
        <v>1511</v>
      </c>
      <c r="O3166" s="29" t="s">
        <v>594</v>
      </c>
    </row>
    <row r="3167" spans="1:15">
      <c r="A3167" s="25">
        <v>20951</v>
      </c>
      <c r="B3167" s="33" t="s">
        <v>4988</v>
      </c>
      <c r="C3167" s="27" t="s">
        <v>521</v>
      </c>
      <c r="D3167" s="27" t="s">
        <v>1149</v>
      </c>
      <c r="E3167" s="28">
        <v>42667</v>
      </c>
      <c r="F3167" s="28">
        <v>43160</v>
      </c>
      <c r="G3167" s="28">
        <v>43524</v>
      </c>
      <c r="H3167" s="31" t="s">
        <v>560</v>
      </c>
      <c r="I3167" s="31" t="s">
        <v>560</v>
      </c>
      <c r="J3167" s="27" t="s">
        <v>1694</v>
      </c>
      <c r="K3167" s="27" t="s">
        <v>1694</v>
      </c>
      <c r="L3167" s="29" t="s">
        <v>4985</v>
      </c>
      <c r="M3167" s="29" t="s">
        <v>4989</v>
      </c>
      <c r="N3167" s="29" t="s">
        <v>1511</v>
      </c>
      <c r="O3167" s="29" t="s">
        <v>594</v>
      </c>
    </row>
    <row r="3168" spans="1:15">
      <c r="A3168" s="25">
        <v>21154</v>
      </c>
      <c r="B3168" s="26" t="s">
        <v>4990</v>
      </c>
      <c r="C3168" s="27" t="s">
        <v>521</v>
      </c>
      <c r="D3168" s="27" t="s">
        <v>1676</v>
      </c>
      <c r="E3168" s="28">
        <v>42871</v>
      </c>
      <c r="F3168" s="28">
        <v>43374</v>
      </c>
      <c r="G3168" s="28">
        <v>43738</v>
      </c>
      <c r="H3168" s="25" t="s">
        <v>560</v>
      </c>
      <c r="I3168" s="29" t="s">
        <v>560</v>
      </c>
      <c r="J3168" s="29" t="s">
        <v>1694</v>
      </c>
      <c r="K3168" s="29" t="s">
        <v>1694</v>
      </c>
      <c r="L3168" s="29" t="s">
        <v>4985</v>
      </c>
      <c r="M3168" s="29" t="s">
        <v>4991</v>
      </c>
      <c r="N3168" s="29" t="s">
        <v>1511</v>
      </c>
      <c r="O3168" s="29" t="s">
        <v>594</v>
      </c>
    </row>
    <row r="3169" spans="1:15">
      <c r="A3169" s="25">
        <v>22334</v>
      </c>
      <c r="B3169" s="34" t="s">
        <v>4992</v>
      </c>
      <c r="C3169" s="31" t="s">
        <v>521</v>
      </c>
      <c r="D3169" s="31" t="s">
        <v>694</v>
      </c>
      <c r="E3169" s="28">
        <v>43195</v>
      </c>
      <c r="F3169" s="28">
        <v>43225</v>
      </c>
      <c r="G3169" s="28">
        <v>43585</v>
      </c>
      <c r="H3169" s="29" t="s">
        <v>560</v>
      </c>
      <c r="I3169" s="29" t="s">
        <v>560</v>
      </c>
      <c r="J3169" s="29" t="s">
        <v>1694</v>
      </c>
      <c r="K3169" s="29" t="s">
        <v>1694</v>
      </c>
      <c r="L3169" s="29" t="s">
        <v>4985</v>
      </c>
      <c r="M3169" s="29" t="s">
        <v>4993</v>
      </c>
      <c r="N3169" s="29" t="s">
        <v>1511</v>
      </c>
      <c r="O3169" s="29" t="s">
        <v>594</v>
      </c>
    </row>
    <row r="3170" spans="1:15">
      <c r="A3170" s="25">
        <v>23030</v>
      </c>
      <c r="B3170" s="34" t="s">
        <v>4994</v>
      </c>
      <c r="C3170" s="31" t="s">
        <v>521</v>
      </c>
      <c r="D3170" s="31" t="s">
        <v>1872</v>
      </c>
      <c r="E3170" s="28">
        <v>43361</v>
      </c>
      <c r="F3170" s="28">
        <v>43391</v>
      </c>
      <c r="G3170" s="28">
        <v>43769</v>
      </c>
      <c r="H3170" s="29" t="s">
        <v>560</v>
      </c>
      <c r="I3170" s="29" t="s">
        <v>560</v>
      </c>
      <c r="J3170" s="29" t="s">
        <v>1694</v>
      </c>
      <c r="K3170" s="29" t="s">
        <v>1694</v>
      </c>
      <c r="L3170" s="29" t="s">
        <v>4985</v>
      </c>
      <c r="M3170" s="29" t="s">
        <v>4995</v>
      </c>
      <c r="N3170" s="29" t="s">
        <v>1511</v>
      </c>
      <c r="O3170" s="29" t="s">
        <v>594</v>
      </c>
    </row>
    <row r="3171" spans="1:15">
      <c r="A3171" s="25" t="s">
        <v>4996</v>
      </c>
      <c r="B3171" s="26" t="s">
        <v>4997</v>
      </c>
      <c r="C3171" s="27" t="s">
        <v>521</v>
      </c>
      <c r="D3171" s="27" t="s">
        <v>1626</v>
      </c>
      <c r="E3171" s="28">
        <v>40889</v>
      </c>
      <c r="F3171" s="28" t="s">
        <v>35</v>
      </c>
      <c r="G3171" s="28" t="s">
        <v>35</v>
      </c>
      <c r="H3171" s="27" t="s">
        <v>560</v>
      </c>
      <c r="I3171" s="27" t="s">
        <v>560</v>
      </c>
      <c r="J3171" s="29" t="s">
        <v>1694</v>
      </c>
      <c r="K3171" s="29" t="s">
        <v>1694</v>
      </c>
      <c r="L3171" s="29" t="s">
        <v>4985</v>
      </c>
      <c r="M3171" s="29" t="s">
        <v>4998</v>
      </c>
      <c r="N3171" s="29" t="s">
        <v>1511</v>
      </c>
      <c r="O3171" s="29" t="s">
        <v>594</v>
      </c>
    </row>
    <row r="3172" spans="1:15">
      <c r="A3172" s="25">
        <v>21897</v>
      </c>
      <c r="B3172" s="34" t="s">
        <v>2931</v>
      </c>
      <c r="C3172" s="31" t="s">
        <v>521</v>
      </c>
      <c r="D3172" s="31" t="s">
        <v>1870</v>
      </c>
      <c r="E3172" s="28">
        <v>43103</v>
      </c>
      <c r="F3172" s="28">
        <v>43134</v>
      </c>
      <c r="G3172" s="28">
        <v>43496</v>
      </c>
      <c r="H3172" s="29" t="s">
        <v>560</v>
      </c>
      <c r="I3172" s="29" t="s">
        <v>560</v>
      </c>
      <c r="J3172" s="29" t="s">
        <v>1694</v>
      </c>
      <c r="K3172" s="29" t="s">
        <v>1694</v>
      </c>
      <c r="L3172" s="29" t="s">
        <v>4985</v>
      </c>
      <c r="M3172" s="29" t="s">
        <v>4999</v>
      </c>
      <c r="N3172" s="29" t="s">
        <v>1511</v>
      </c>
      <c r="O3172" s="29" t="s">
        <v>528</v>
      </c>
    </row>
    <row r="3173" spans="1:15">
      <c r="A3173" s="25">
        <v>22056</v>
      </c>
      <c r="B3173" s="34" t="s">
        <v>5000</v>
      </c>
      <c r="C3173" s="31" t="s">
        <v>521</v>
      </c>
      <c r="D3173" s="31" t="s">
        <v>631</v>
      </c>
      <c r="E3173" s="28">
        <v>43144</v>
      </c>
      <c r="F3173" s="28">
        <v>43172</v>
      </c>
      <c r="G3173" s="28">
        <v>43524</v>
      </c>
      <c r="H3173" s="29" t="s">
        <v>560</v>
      </c>
      <c r="I3173" s="29" t="s">
        <v>560</v>
      </c>
      <c r="J3173" s="29" t="s">
        <v>1694</v>
      </c>
      <c r="K3173" s="29" t="s">
        <v>1694</v>
      </c>
      <c r="L3173" s="29" t="s">
        <v>4985</v>
      </c>
      <c r="M3173" s="29" t="s">
        <v>4993</v>
      </c>
      <c r="N3173" s="29" t="s">
        <v>1511</v>
      </c>
      <c r="O3173" s="29" t="s">
        <v>528</v>
      </c>
    </row>
    <row r="3174" spans="1:15">
      <c r="A3174" s="25">
        <v>23118</v>
      </c>
      <c r="B3174" s="34" t="s">
        <v>5001</v>
      </c>
      <c r="C3174" s="31" t="s">
        <v>521</v>
      </c>
      <c r="D3174" s="31" t="s">
        <v>1523</v>
      </c>
      <c r="E3174" s="28">
        <v>43369</v>
      </c>
      <c r="F3174" s="28">
        <v>43399</v>
      </c>
      <c r="G3174" s="28">
        <v>43769</v>
      </c>
      <c r="H3174" s="29" t="s">
        <v>560</v>
      </c>
      <c r="I3174" s="29" t="s">
        <v>560</v>
      </c>
      <c r="J3174" s="29" t="s">
        <v>1694</v>
      </c>
      <c r="K3174" s="29" t="s">
        <v>1694</v>
      </c>
      <c r="L3174" s="29" t="s">
        <v>4985</v>
      </c>
      <c r="M3174" s="29" t="s">
        <v>5002</v>
      </c>
      <c r="N3174" s="29" t="s">
        <v>1511</v>
      </c>
      <c r="O3174" s="29" t="s">
        <v>528</v>
      </c>
    </row>
    <row r="3175" spans="1:15">
      <c r="A3175" s="25">
        <v>23428</v>
      </c>
      <c r="B3175" s="34" t="s">
        <v>5003</v>
      </c>
      <c r="C3175" s="31" t="s">
        <v>521</v>
      </c>
      <c r="D3175" s="31" t="s">
        <v>882</v>
      </c>
      <c r="E3175" s="28">
        <v>43434</v>
      </c>
      <c r="F3175" s="28">
        <v>43464</v>
      </c>
      <c r="G3175" s="28">
        <v>43830</v>
      </c>
      <c r="H3175" s="29" t="s">
        <v>560</v>
      </c>
      <c r="I3175" s="29" t="s">
        <v>560</v>
      </c>
      <c r="J3175" s="29" t="s">
        <v>1694</v>
      </c>
      <c r="K3175" s="29" t="s">
        <v>1694</v>
      </c>
      <c r="L3175" s="29" t="s">
        <v>4985</v>
      </c>
      <c r="M3175" s="29" t="s">
        <v>5004</v>
      </c>
      <c r="N3175" s="29" t="s">
        <v>1586</v>
      </c>
      <c r="O3175" s="29" t="s">
        <v>528</v>
      </c>
    </row>
    <row r="3176" spans="1:15">
      <c r="A3176" s="25">
        <v>23532</v>
      </c>
      <c r="B3176" s="34" t="s">
        <v>5005</v>
      </c>
      <c r="C3176" s="31" t="s">
        <v>521</v>
      </c>
      <c r="D3176" s="31" t="s">
        <v>1588</v>
      </c>
      <c r="E3176" s="28">
        <v>43441</v>
      </c>
      <c r="F3176" s="28">
        <v>43472</v>
      </c>
      <c r="G3176" s="28">
        <v>43830</v>
      </c>
      <c r="H3176" s="29" t="s">
        <v>560</v>
      </c>
      <c r="I3176" s="29" t="s">
        <v>560</v>
      </c>
      <c r="J3176" s="29" t="s">
        <v>1694</v>
      </c>
      <c r="K3176" s="29" t="s">
        <v>1694</v>
      </c>
      <c r="L3176" s="29" t="s">
        <v>4985</v>
      </c>
      <c r="M3176" s="29" t="s">
        <v>5006</v>
      </c>
      <c r="N3176" s="29" t="s">
        <v>1525</v>
      </c>
      <c r="O3176" s="29" t="s">
        <v>528</v>
      </c>
    </row>
    <row r="3177" spans="1:15">
      <c r="A3177" s="25">
        <v>389</v>
      </c>
      <c r="B3177" s="32" t="s">
        <v>3182</v>
      </c>
      <c r="C3177" s="27" t="s">
        <v>521</v>
      </c>
      <c r="D3177" s="27" t="s">
        <v>703</v>
      </c>
      <c r="E3177" s="28">
        <v>37732</v>
      </c>
      <c r="F3177" s="28" t="s">
        <v>35</v>
      </c>
      <c r="G3177" s="28" t="s">
        <v>35</v>
      </c>
      <c r="H3177" s="29" t="s">
        <v>560</v>
      </c>
      <c r="I3177" s="29" t="s">
        <v>560</v>
      </c>
      <c r="J3177" s="29" t="s">
        <v>1694</v>
      </c>
      <c r="K3177" s="29" t="s">
        <v>1694</v>
      </c>
      <c r="L3177" s="29" t="s">
        <v>4985</v>
      </c>
      <c r="M3177" s="29" t="s">
        <v>1550</v>
      </c>
      <c r="N3177" s="29" t="s">
        <v>1045</v>
      </c>
      <c r="O3177" s="29" t="s">
        <v>590</v>
      </c>
    </row>
    <row r="3178" spans="1:15">
      <c r="A3178" s="25">
        <v>624</v>
      </c>
      <c r="B3178" s="26" t="s">
        <v>5007</v>
      </c>
      <c r="C3178" s="27" t="s">
        <v>521</v>
      </c>
      <c r="D3178" s="27" t="s">
        <v>783</v>
      </c>
      <c r="E3178" s="28">
        <v>37781</v>
      </c>
      <c r="F3178" s="28" t="s">
        <v>35</v>
      </c>
      <c r="G3178" s="28" t="s">
        <v>35</v>
      </c>
      <c r="H3178" s="27" t="s">
        <v>560</v>
      </c>
      <c r="I3178" s="27" t="s">
        <v>560</v>
      </c>
      <c r="J3178" s="27" t="s">
        <v>1694</v>
      </c>
      <c r="K3178" s="27" t="s">
        <v>1694</v>
      </c>
      <c r="L3178" s="27" t="s">
        <v>4985</v>
      </c>
      <c r="M3178" s="29" t="s">
        <v>4987</v>
      </c>
      <c r="N3178" s="29" t="s">
        <v>1511</v>
      </c>
      <c r="O3178" s="29" t="s">
        <v>590</v>
      </c>
    </row>
    <row r="3179" spans="1:15">
      <c r="A3179" s="25">
        <v>12211</v>
      </c>
      <c r="B3179" s="26" t="s">
        <v>3182</v>
      </c>
      <c r="C3179" s="27" t="s">
        <v>521</v>
      </c>
      <c r="D3179" s="27" t="s">
        <v>750</v>
      </c>
      <c r="E3179" s="28">
        <v>40802</v>
      </c>
      <c r="F3179" s="28" t="s">
        <v>35</v>
      </c>
      <c r="G3179" s="28" t="s">
        <v>35</v>
      </c>
      <c r="H3179" s="27" t="s">
        <v>560</v>
      </c>
      <c r="I3179" s="27" t="s">
        <v>560</v>
      </c>
      <c r="J3179" s="27" t="s">
        <v>1694</v>
      </c>
      <c r="K3179" s="27" t="s">
        <v>1694</v>
      </c>
      <c r="L3179" s="29" t="s">
        <v>4985</v>
      </c>
      <c r="M3179" s="29" t="s">
        <v>5008</v>
      </c>
      <c r="N3179" s="29" t="s">
        <v>1511</v>
      </c>
      <c r="O3179" s="29" t="s">
        <v>590</v>
      </c>
    </row>
    <row r="3180" spans="1:15">
      <c r="A3180" s="25">
        <v>20542</v>
      </c>
      <c r="B3180" s="26" t="s">
        <v>4002</v>
      </c>
      <c r="C3180" s="27" t="s">
        <v>521</v>
      </c>
      <c r="D3180" s="27" t="s">
        <v>1644</v>
      </c>
      <c r="E3180" s="28">
        <v>42634</v>
      </c>
      <c r="F3180" s="28">
        <v>43132</v>
      </c>
      <c r="G3180" s="28">
        <v>43496</v>
      </c>
      <c r="H3180" s="27" t="s">
        <v>560</v>
      </c>
      <c r="I3180" s="27" t="s">
        <v>560</v>
      </c>
      <c r="J3180" s="29" t="s">
        <v>1694</v>
      </c>
      <c r="K3180" s="29" t="s">
        <v>1694</v>
      </c>
      <c r="L3180" s="29" t="s">
        <v>4985</v>
      </c>
      <c r="M3180" s="29" t="s">
        <v>5009</v>
      </c>
      <c r="N3180" s="29" t="s">
        <v>1511</v>
      </c>
      <c r="O3180" s="29" t="s">
        <v>590</v>
      </c>
    </row>
    <row r="3181" spans="1:15">
      <c r="A3181" s="25">
        <v>21754</v>
      </c>
      <c r="B3181" s="34" t="s">
        <v>5010</v>
      </c>
      <c r="C3181" s="31" t="s">
        <v>521</v>
      </c>
      <c r="D3181" s="31" t="s">
        <v>663</v>
      </c>
      <c r="E3181" s="28">
        <v>43087</v>
      </c>
      <c r="F3181" s="28">
        <v>43118</v>
      </c>
      <c r="G3181" s="28">
        <v>43496</v>
      </c>
      <c r="H3181" s="27" t="s">
        <v>560</v>
      </c>
      <c r="I3181" s="27" t="s">
        <v>560</v>
      </c>
      <c r="J3181" s="27" t="s">
        <v>1694</v>
      </c>
      <c r="K3181" s="27" t="s">
        <v>1694</v>
      </c>
      <c r="L3181" s="29" t="s">
        <v>4985</v>
      </c>
      <c r="M3181" s="29" t="s">
        <v>5011</v>
      </c>
      <c r="N3181" s="29" t="s">
        <v>1511</v>
      </c>
      <c r="O3181" s="29" t="s">
        <v>590</v>
      </c>
    </row>
    <row r="3182" spans="1:15">
      <c r="A3182" s="25">
        <v>22235</v>
      </c>
      <c r="B3182" s="34" t="s">
        <v>5012</v>
      </c>
      <c r="C3182" s="31" t="s">
        <v>521</v>
      </c>
      <c r="D3182" s="31" t="s">
        <v>1796</v>
      </c>
      <c r="E3182" s="28">
        <v>43161</v>
      </c>
      <c r="F3182" s="28">
        <v>43192</v>
      </c>
      <c r="G3182" s="28">
        <v>43555</v>
      </c>
      <c r="H3182" s="29" t="s">
        <v>560</v>
      </c>
      <c r="I3182" s="29" t="s">
        <v>560</v>
      </c>
      <c r="J3182" s="29" t="s">
        <v>1694</v>
      </c>
      <c r="K3182" s="29" t="s">
        <v>1694</v>
      </c>
      <c r="L3182" s="29" t="s">
        <v>4985</v>
      </c>
      <c r="M3182" s="29" t="s">
        <v>4999</v>
      </c>
      <c r="N3182" s="29" t="s">
        <v>1511</v>
      </c>
      <c r="O3182" s="29" t="s">
        <v>590</v>
      </c>
    </row>
    <row r="3183" spans="1:15">
      <c r="A3183" s="25">
        <v>22973</v>
      </c>
      <c r="B3183" s="34" t="s">
        <v>5013</v>
      </c>
      <c r="C3183" s="31" t="s">
        <v>521</v>
      </c>
      <c r="D3183" s="31" t="s">
        <v>1962</v>
      </c>
      <c r="E3183" s="28">
        <v>43343</v>
      </c>
      <c r="F3183" s="28">
        <v>43374</v>
      </c>
      <c r="G3183" s="28">
        <v>43738</v>
      </c>
      <c r="H3183" s="29" t="s">
        <v>560</v>
      </c>
      <c r="I3183" s="29" t="s">
        <v>560</v>
      </c>
      <c r="J3183" s="29" t="s">
        <v>1694</v>
      </c>
      <c r="K3183" s="29" t="s">
        <v>1694</v>
      </c>
      <c r="L3183" s="29" t="s">
        <v>4985</v>
      </c>
      <c r="M3183" s="29" t="s">
        <v>4998</v>
      </c>
      <c r="N3183" s="29" t="s">
        <v>1511</v>
      </c>
      <c r="O3183" s="29" t="s">
        <v>590</v>
      </c>
    </row>
    <row r="3184" spans="1:15">
      <c r="A3184" s="25">
        <v>23609</v>
      </c>
      <c r="B3184" s="34" t="s">
        <v>5014</v>
      </c>
      <c r="C3184" s="31" t="s">
        <v>521</v>
      </c>
      <c r="D3184" s="31" t="s">
        <v>884</v>
      </c>
      <c r="E3184" s="28">
        <v>43452</v>
      </c>
      <c r="F3184" s="28">
        <v>43483</v>
      </c>
      <c r="G3184" s="28">
        <v>43861</v>
      </c>
      <c r="H3184" s="29" t="s">
        <v>560</v>
      </c>
      <c r="I3184" s="29" t="s">
        <v>560</v>
      </c>
      <c r="J3184" s="29" t="s">
        <v>1694</v>
      </c>
      <c r="K3184" s="29" t="s">
        <v>1694</v>
      </c>
      <c r="L3184" s="29" t="s">
        <v>4985</v>
      </c>
      <c r="M3184" s="29" t="s">
        <v>1593</v>
      </c>
      <c r="N3184" s="29" t="s">
        <v>1586</v>
      </c>
      <c r="O3184" s="29" t="s">
        <v>590</v>
      </c>
    </row>
    <row r="3185" spans="1:15">
      <c r="A3185" s="25">
        <v>1074</v>
      </c>
      <c r="B3185" s="26" t="s">
        <v>5015</v>
      </c>
      <c r="C3185" s="27" t="s">
        <v>521</v>
      </c>
      <c r="D3185" s="27" t="s">
        <v>1411</v>
      </c>
      <c r="E3185" s="28">
        <v>37887</v>
      </c>
      <c r="F3185" s="28" t="s">
        <v>35</v>
      </c>
      <c r="G3185" s="28" t="s">
        <v>35</v>
      </c>
      <c r="H3185" s="27" t="s">
        <v>560</v>
      </c>
      <c r="I3185" s="27" t="s">
        <v>560</v>
      </c>
      <c r="J3185" s="29" t="s">
        <v>1694</v>
      </c>
      <c r="K3185" s="29" t="s">
        <v>1694</v>
      </c>
      <c r="L3185" s="29" t="s">
        <v>5016</v>
      </c>
      <c r="M3185" s="29" t="s">
        <v>5017</v>
      </c>
      <c r="N3185" s="29" t="s">
        <v>1511</v>
      </c>
      <c r="O3185" s="29" t="s">
        <v>594</v>
      </c>
    </row>
    <row r="3186" spans="1:15">
      <c r="A3186" s="25">
        <v>8841</v>
      </c>
      <c r="B3186" s="26" t="s">
        <v>5018</v>
      </c>
      <c r="C3186" s="27" t="s">
        <v>521</v>
      </c>
      <c r="D3186" s="27" t="s">
        <v>813</v>
      </c>
      <c r="E3186" s="28">
        <v>39937</v>
      </c>
      <c r="F3186" s="28" t="s">
        <v>35</v>
      </c>
      <c r="G3186" s="28" t="s">
        <v>35</v>
      </c>
      <c r="H3186" s="27" t="s">
        <v>560</v>
      </c>
      <c r="I3186" s="27" t="s">
        <v>560</v>
      </c>
      <c r="J3186" s="29" t="s">
        <v>1694</v>
      </c>
      <c r="K3186" s="29" t="s">
        <v>1694</v>
      </c>
      <c r="L3186" s="29" t="s">
        <v>5016</v>
      </c>
      <c r="M3186" s="29" t="s">
        <v>5019</v>
      </c>
      <c r="N3186" s="29" t="s">
        <v>1511</v>
      </c>
      <c r="O3186" s="29" t="s">
        <v>594</v>
      </c>
    </row>
    <row r="3187" spans="1:15">
      <c r="A3187" s="25">
        <v>8957</v>
      </c>
      <c r="B3187" s="26" t="s">
        <v>5020</v>
      </c>
      <c r="C3187" s="27" t="s">
        <v>521</v>
      </c>
      <c r="D3187" s="27" t="s">
        <v>3898</v>
      </c>
      <c r="E3187" s="28">
        <v>39968</v>
      </c>
      <c r="F3187" s="28" t="s">
        <v>35</v>
      </c>
      <c r="G3187" s="28" t="s">
        <v>35</v>
      </c>
      <c r="H3187" s="27" t="s">
        <v>560</v>
      </c>
      <c r="I3187" s="27" t="s">
        <v>560</v>
      </c>
      <c r="J3187" s="27" t="s">
        <v>1694</v>
      </c>
      <c r="K3187" s="27" t="s">
        <v>1694</v>
      </c>
      <c r="L3187" s="29" t="s">
        <v>5016</v>
      </c>
      <c r="M3187" s="29" t="s">
        <v>1550</v>
      </c>
      <c r="N3187" s="29" t="s">
        <v>1045</v>
      </c>
      <c r="O3187" s="29" t="s">
        <v>594</v>
      </c>
    </row>
    <row r="3188" spans="1:15">
      <c r="A3188" s="25">
        <v>20819</v>
      </c>
      <c r="B3188" s="26" t="s">
        <v>309</v>
      </c>
      <c r="C3188" s="27" t="s">
        <v>521</v>
      </c>
      <c r="D3188" s="27" t="s">
        <v>1684</v>
      </c>
      <c r="E3188" s="28">
        <v>42649</v>
      </c>
      <c r="F3188" s="28">
        <v>43132</v>
      </c>
      <c r="G3188" s="28">
        <v>43496</v>
      </c>
      <c r="H3188" s="27" t="s">
        <v>560</v>
      </c>
      <c r="I3188" s="27" t="s">
        <v>560</v>
      </c>
      <c r="J3188" s="27" t="s">
        <v>1694</v>
      </c>
      <c r="K3188" s="27" t="s">
        <v>1694</v>
      </c>
      <c r="L3188" s="29" t="s">
        <v>5016</v>
      </c>
      <c r="M3188" s="29" t="s">
        <v>5021</v>
      </c>
      <c r="N3188" s="29" t="s">
        <v>1525</v>
      </c>
      <c r="O3188" s="29" t="s">
        <v>594</v>
      </c>
    </row>
    <row r="3189" spans="1:15">
      <c r="A3189" s="25">
        <v>20997</v>
      </c>
      <c r="B3189" s="33" t="s">
        <v>3672</v>
      </c>
      <c r="C3189" s="27" t="s">
        <v>521</v>
      </c>
      <c r="D3189" s="27" t="s">
        <v>1184</v>
      </c>
      <c r="E3189" s="28">
        <v>42674</v>
      </c>
      <c r="F3189" s="28">
        <v>43160</v>
      </c>
      <c r="G3189" s="28">
        <v>43524</v>
      </c>
      <c r="H3189" s="31" t="s">
        <v>560</v>
      </c>
      <c r="I3189" s="31" t="s">
        <v>560</v>
      </c>
      <c r="J3189" s="27" t="s">
        <v>1694</v>
      </c>
      <c r="K3189" s="27" t="s">
        <v>1694</v>
      </c>
      <c r="L3189" s="27" t="s">
        <v>5016</v>
      </c>
      <c r="M3189" s="29" t="s">
        <v>5022</v>
      </c>
      <c r="N3189" s="29" t="s">
        <v>1511</v>
      </c>
      <c r="O3189" s="29" t="s">
        <v>594</v>
      </c>
    </row>
    <row r="3190" spans="1:15">
      <c r="A3190" s="25">
        <v>22085</v>
      </c>
      <c r="B3190" s="34" t="s">
        <v>5023</v>
      </c>
      <c r="C3190" s="31" t="s">
        <v>521</v>
      </c>
      <c r="D3190" s="31" t="s">
        <v>769</v>
      </c>
      <c r="E3190" s="28">
        <v>43150</v>
      </c>
      <c r="F3190" s="28">
        <v>43178</v>
      </c>
      <c r="G3190" s="28">
        <v>43555</v>
      </c>
      <c r="H3190" s="29" t="s">
        <v>560</v>
      </c>
      <c r="I3190" s="29" t="s">
        <v>560</v>
      </c>
      <c r="J3190" s="29" t="s">
        <v>1694</v>
      </c>
      <c r="K3190" s="29" t="s">
        <v>1694</v>
      </c>
      <c r="L3190" s="29" t="s">
        <v>5016</v>
      </c>
      <c r="M3190" s="29" t="s">
        <v>5024</v>
      </c>
      <c r="N3190" s="29" t="s">
        <v>1511</v>
      </c>
      <c r="O3190" s="29" t="s">
        <v>594</v>
      </c>
    </row>
    <row r="3191" spans="1:15">
      <c r="A3191" s="25">
        <v>22739</v>
      </c>
      <c r="B3191" s="34" t="s">
        <v>5025</v>
      </c>
      <c r="C3191" s="31" t="s">
        <v>521</v>
      </c>
      <c r="D3191" s="31" t="s">
        <v>771</v>
      </c>
      <c r="E3191" s="28">
        <v>43255</v>
      </c>
      <c r="F3191" s="28">
        <v>43285</v>
      </c>
      <c r="G3191" s="28">
        <v>43646</v>
      </c>
      <c r="H3191" s="25" t="s">
        <v>560</v>
      </c>
      <c r="I3191" s="25" t="s">
        <v>560</v>
      </c>
      <c r="J3191" s="29" t="s">
        <v>1694</v>
      </c>
      <c r="K3191" s="29" t="s">
        <v>1694</v>
      </c>
      <c r="L3191" s="29" t="s">
        <v>5016</v>
      </c>
      <c r="M3191" s="29" t="s">
        <v>5026</v>
      </c>
      <c r="N3191" s="29" t="s">
        <v>1511</v>
      </c>
      <c r="O3191" s="29" t="s">
        <v>594</v>
      </c>
    </row>
    <row r="3192" spans="1:15">
      <c r="A3192" s="25">
        <v>23087</v>
      </c>
      <c r="B3192" s="34" t="s">
        <v>5027</v>
      </c>
      <c r="C3192" s="31" t="s">
        <v>521</v>
      </c>
      <c r="D3192" s="31" t="s">
        <v>1872</v>
      </c>
      <c r="E3192" s="28">
        <v>43361</v>
      </c>
      <c r="F3192" s="28">
        <v>43391</v>
      </c>
      <c r="G3192" s="28">
        <v>43769</v>
      </c>
      <c r="H3192" s="29" t="s">
        <v>560</v>
      </c>
      <c r="I3192" s="29" t="s">
        <v>560</v>
      </c>
      <c r="J3192" s="29" t="s">
        <v>1694</v>
      </c>
      <c r="K3192" s="29" t="s">
        <v>1694</v>
      </c>
      <c r="L3192" s="29" t="s">
        <v>5016</v>
      </c>
      <c r="M3192" s="29" t="s">
        <v>5028</v>
      </c>
      <c r="N3192" s="29" t="s">
        <v>1511</v>
      </c>
      <c r="O3192" s="29" t="s">
        <v>594</v>
      </c>
    </row>
    <row r="3193" spans="1:15">
      <c r="A3193" s="25">
        <v>23119</v>
      </c>
      <c r="B3193" s="34" t="s">
        <v>5029</v>
      </c>
      <c r="C3193" s="31" t="s">
        <v>521</v>
      </c>
      <c r="D3193" s="31" t="s">
        <v>1523</v>
      </c>
      <c r="E3193" s="28">
        <v>43369</v>
      </c>
      <c r="F3193" s="28">
        <v>43399</v>
      </c>
      <c r="G3193" s="28">
        <v>43769</v>
      </c>
      <c r="H3193" s="29" t="s">
        <v>560</v>
      </c>
      <c r="I3193" s="29" t="s">
        <v>560</v>
      </c>
      <c r="J3193" s="29" t="s">
        <v>1694</v>
      </c>
      <c r="K3193" s="29" t="s">
        <v>1694</v>
      </c>
      <c r="L3193" s="29" t="s">
        <v>5016</v>
      </c>
      <c r="M3193" s="29" t="s">
        <v>5030</v>
      </c>
      <c r="N3193" s="29" t="s">
        <v>1511</v>
      </c>
      <c r="O3193" s="29" t="s">
        <v>594</v>
      </c>
    </row>
    <row r="3194" spans="1:15">
      <c r="A3194" s="25">
        <v>22971</v>
      </c>
      <c r="B3194" s="34" t="s">
        <v>5031</v>
      </c>
      <c r="C3194" s="31" t="s">
        <v>521</v>
      </c>
      <c r="D3194" s="31" t="s">
        <v>1962</v>
      </c>
      <c r="E3194" s="28">
        <v>43343</v>
      </c>
      <c r="F3194" s="28">
        <v>43374</v>
      </c>
      <c r="G3194" s="28">
        <v>43738</v>
      </c>
      <c r="H3194" s="29" t="s">
        <v>560</v>
      </c>
      <c r="I3194" s="29" t="s">
        <v>560</v>
      </c>
      <c r="J3194" s="29" t="s">
        <v>1694</v>
      </c>
      <c r="K3194" s="29" t="s">
        <v>1694</v>
      </c>
      <c r="L3194" s="29" t="s">
        <v>5016</v>
      </c>
      <c r="M3194" s="29" t="s">
        <v>5032</v>
      </c>
      <c r="N3194" s="29" t="s">
        <v>1511</v>
      </c>
      <c r="O3194" s="29" t="s">
        <v>528</v>
      </c>
    </row>
    <row r="3195" spans="1:15">
      <c r="A3195" s="25">
        <v>23425</v>
      </c>
      <c r="B3195" s="34" t="s">
        <v>5033</v>
      </c>
      <c r="C3195" s="31" t="s">
        <v>521</v>
      </c>
      <c r="D3195" s="31" t="s">
        <v>882</v>
      </c>
      <c r="E3195" s="28">
        <v>43434</v>
      </c>
      <c r="F3195" s="28">
        <v>43464</v>
      </c>
      <c r="G3195" s="28">
        <v>43830</v>
      </c>
      <c r="H3195" s="29" t="s">
        <v>560</v>
      </c>
      <c r="I3195" s="29" t="s">
        <v>560</v>
      </c>
      <c r="J3195" s="29" t="s">
        <v>1694</v>
      </c>
      <c r="K3195" s="29" t="s">
        <v>1694</v>
      </c>
      <c r="L3195" s="29" t="s">
        <v>5016</v>
      </c>
      <c r="M3195" s="29" t="s">
        <v>5034</v>
      </c>
      <c r="N3195" s="29" t="s">
        <v>1586</v>
      </c>
      <c r="O3195" s="29" t="s">
        <v>528</v>
      </c>
    </row>
    <row r="3196" spans="1:15">
      <c r="A3196" s="25">
        <v>999</v>
      </c>
      <c r="B3196" s="26" t="s">
        <v>5035</v>
      </c>
      <c r="C3196" s="27" t="s">
        <v>521</v>
      </c>
      <c r="D3196" s="27" t="s">
        <v>709</v>
      </c>
      <c r="E3196" s="28">
        <v>37872</v>
      </c>
      <c r="F3196" s="28" t="s">
        <v>35</v>
      </c>
      <c r="G3196" s="28" t="s">
        <v>35</v>
      </c>
      <c r="H3196" s="29" t="s">
        <v>560</v>
      </c>
      <c r="I3196" s="29" t="s">
        <v>560</v>
      </c>
      <c r="J3196" s="29" t="s">
        <v>1694</v>
      </c>
      <c r="K3196" s="29" t="s">
        <v>1694</v>
      </c>
      <c r="L3196" s="29" t="s">
        <v>5016</v>
      </c>
      <c r="M3196" s="29" t="s">
        <v>1550</v>
      </c>
      <c r="N3196" s="29" t="s">
        <v>1045</v>
      </c>
      <c r="O3196" s="29" t="s">
        <v>590</v>
      </c>
    </row>
    <row r="3197" spans="1:15">
      <c r="A3197" s="25">
        <v>5444</v>
      </c>
      <c r="B3197" s="26" t="s">
        <v>5036</v>
      </c>
      <c r="C3197" s="27" t="s">
        <v>521</v>
      </c>
      <c r="D3197" s="27" t="s">
        <v>760</v>
      </c>
      <c r="E3197" s="28">
        <v>38991</v>
      </c>
      <c r="F3197" s="28" t="s">
        <v>35</v>
      </c>
      <c r="G3197" s="28" t="s">
        <v>35</v>
      </c>
      <c r="H3197" s="27" t="s">
        <v>560</v>
      </c>
      <c r="I3197" s="27" t="s">
        <v>560</v>
      </c>
      <c r="J3197" s="27" t="s">
        <v>1694</v>
      </c>
      <c r="K3197" s="27" t="s">
        <v>1694</v>
      </c>
      <c r="L3197" s="27" t="s">
        <v>5016</v>
      </c>
      <c r="M3197" s="29" t="s">
        <v>5037</v>
      </c>
      <c r="N3197" s="29" t="s">
        <v>1511</v>
      </c>
      <c r="O3197" s="29" t="s">
        <v>590</v>
      </c>
    </row>
    <row r="3198" spans="1:15">
      <c r="A3198" s="25">
        <v>11527</v>
      </c>
      <c r="B3198" s="26" t="s">
        <v>5038</v>
      </c>
      <c r="C3198" s="27" t="s">
        <v>521</v>
      </c>
      <c r="D3198" s="27" t="s">
        <v>841</v>
      </c>
      <c r="E3198" s="28">
        <v>40707</v>
      </c>
      <c r="F3198" s="28" t="s">
        <v>35</v>
      </c>
      <c r="G3198" s="28" t="s">
        <v>35</v>
      </c>
      <c r="H3198" s="27" t="s">
        <v>560</v>
      </c>
      <c r="I3198" s="27" t="s">
        <v>560</v>
      </c>
      <c r="J3198" s="29" t="s">
        <v>1694</v>
      </c>
      <c r="K3198" s="29" t="s">
        <v>1694</v>
      </c>
      <c r="L3198" s="29" t="s">
        <v>5016</v>
      </c>
      <c r="M3198" s="29" t="s">
        <v>5039</v>
      </c>
      <c r="N3198" s="29" t="s">
        <v>1511</v>
      </c>
      <c r="O3198" s="29" t="s">
        <v>590</v>
      </c>
    </row>
    <row r="3199" spans="1:15">
      <c r="A3199" s="25">
        <v>15197</v>
      </c>
      <c r="B3199" s="26" t="s">
        <v>5040</v>
      </c>
      <c r="C3199" s="27" t="s">
        <v>521</v>
      </c>
      <c r="D3199" s="27" t="s">
        <v>5041</v>
      </c>
      <c r="E3199" s="28">
        <v>41435</v>
      </c>
      <c r="F3199" s="28" t="s">
        <v>35</v>
      </c>
      <c r="G3199" s="28" t="s">
        <v>35</v>
      </c>
      <c r="H3199" s="27" t="s">
        <v>560</v>
      </c>
      <c r="I3199" s="27" t="s">
        <v>560</v>
      </c>
      <c r="J3199" s="27" t="s">
        <v>1694</v>
      </c>
      <c r="K3199" s="27" t="s">
        <v>1694</v>
      </c>
      <c r="L3199" s="27" t="s">
        <v>5016</v>
      </c>
      <c r="M3199" s="29" t="s">
        <v>5042</v>
      </c>
      <c r="N3199" s="29" t="s">
        <v>1511</v>
      </c>
      <c r="O3199" s="29" t="s">
        <v>590</v>
      </c>
    </row>
    <row r="3200" spans="1:15">
      <c r="A3200" s="25">
        <v>21862</v>
      </c>
      <c r="B3200" s="34" t="s">
        <v>5043</v>
      </c>
      <c r="C3200" s="31" t="s">
        <v>521</v>
      </c>
      <c r="D3200" s="31" t="s">
        <v>732</v>
      </c>
      <c r="E3200" s="28">
        <v>43098</v>
      </c>
      <c r="F3200" s="28">
        <v>43129</v>
      </c>
      <c r="G3200" s="28">
        <v>43496</v>
      </c>
      <c r="H3200" s="29" t="s">
        <v>560</v>
      </c>
      <c r="I3200" s="29" t="s">
        <v>560</v>
      </c>
      <c r="J3200" s="29" t="s">
        <v>1694</v>
      </c>
      <c r="K3200" s="29" t="s">
        <v>1694</v>
      </c>
      <c r="L3200" s="29" t="s">
        <v>5016</v>
      </c>
      <c r="M3200" s="29" t="s">
        <v>5044</v>
      </c>
      <c r="N3200" s="29" t="s">
        <v>1511</v>
      </c>
      <c r="O3200" s="29" t="s">
        <v>590</v>
      </c>
    </row>
    <row r="3201" spans="1:15">
      <c r="A3201" s="25">
        <v>22195</v>
      </c>
      <c r="B3201" s="34" t="s">
        <v>5045</v>
      </c>
      <c r="C3201" s="31" t="s">
        <v>521</v>
      </c>
      <c r="D3201" s="31" t="s">
        <v>1201</v>
      </c>
      <c r="E3201" s="28">
        <v>43158</v>
      </c>
      <c r="F3201" s="28">
        <v>43186</v>
      </c>
      <c r="G3201" s="28">
        <v>43555</v>
      </c>
      <c r="H3201" s="29" t="s">
        <v>560</v>
      </c>
      <c r="I3201" s="29" t="s">
        <v>560</v>
      </c>
      <c r="J3201" s="29" t="s">
        <v>1694</v>
      </c>
      <c r="K3201" s="29" t="s">
        <v>1694</v>
      </c>
      <c r="L3201" s="29" t="s">
        <v>5016</v>
      </c>
      <c r="M3201" s="29" t="s">
        <v>5024</v>
      </c>
      <c r="N3201" s="29" t="s">
        <v>1511</v>
      </c>
      <c r="O3201" s="29" t="s">
        <v>590</v>
      </c>
    </row>
    <row r="3202" spans="1:15">
      <c r="A3202" s="25">
        <v>22230</v>
      </c>
      <c r="B3202" s="34" t="s">
        <v>5046</v>
      </c>
      <c r="C3202" s="31" t="s">
        <v>521</v>
      </c>
      <c r="D3202" s="31" t="s">
        <v>1796</v>
      </c>
      <c r="E3202" s="28">
        <v>43161</v>
      </c>
      <c r="F3202" s="28">
        <v>43192</v>
      </c>
      <c r="G3202" s="28">
        <v>43555</v>
      </c>
      <c r="H3202" s="29" t="s">
        <v>560</v>
      </c>
      <c r="I3202" s="29" t="s">
        <v>560</v>
      </c>
      <c r="J3202" s="29" t="s">
        <v>1694</v>
      </c>
      <c r="K3202" s="29" t="s">
        <v>1694</v>
      </c>
      <c r="L3202" s="29" t="s">
        <v>5016</v>
      </c>
      <c r="M3202" s="29" t="s">
        <v>5006</v>
      </c>
      <c r="N3202" s="29" t="s">
        <v>1525</v>
      </c>
      <c r="O3202" s="29" t="s">
        <v>590</v>
      </c>
    </row>
    <row r="3203" spans="1:15">
      <c r="A3203" s="25">
        <v>22260</v>
      </c>
      <c r="B3203" s="34" t="s">
        <v>5047</v>
      </c>
      <c r="C3203" s="31" t="s">
        <v>521</v>
      </c>
      <c r="D3203" s="31" t="s">
        <v>1189</v>
      </c>
      <c r="E3203" s="28">
        <v>43171</v>
      </c>
      <c r="F3203" s="28">
        <v>43202</v>
      </c>
      <c r="G3203" s="28">
        <v>43555</v>
      </c>
      <c r="H3203" s="29" t="s">
        <v>560</v>
      </c>
      <c r="I3203" s="29" t="s">
        <v>560</v>
      </c>
      <c r="J3203" s="29" t="s">
        <v>1694</v>
      </c>
      <c r="K3203" s="29" t="s">
        <v>1694</v>
      </c>
      <c r="L3203" s="29" t="s">
        <v>5016</v>
      </c>
      <c r="M3203" s="29" t="s">
        <v>5048</v>
      </c>
      <c r="N3203" s="29" t="s">
        <v>1511</v>
      </c>
      <c r="O3203" s="29" t="s">
        <v>590</v>
      </c>
    </row>
    <row r="3204" spans="1:15">
      <c r="A3204" s="25">
        <v>22951</v>
      </c>
      <c r="B3204" s="34" t="s">
        <v>5049</v>
      </c>
      <c r="C3204" s="31" t="s">
        <v>521</v>
      </c>
      <c r="D3204" s="31" t="s">
        <v>1962</v>
      </c>
      <c r="E3204" s="28">
        <v>43343</v>
      </c>
      <c r="F3204" s="28">
        <v>43374</v>
      </c>
      <c r="G3204" s="28">
        <v>43738</v>
      </c>
      <c r="H3204" s="29" t="s">
        <v>560</v>
      </c>
      <c r="I3204" s="29" t="s">
        <v>560</v>
      </c>
      <c r="J3204" s="29" t="s">
        <v>1694</v>
      </c>
      <c r="K3204" s="29" t="s">
        <v>1694</v>
      </c>
      <c r="L3204" s="29" t="s">
        <v>5016</v>
      </c>
      <c r="M3204" s="29" t="s">
        <v>5050</v>
      </c>
      <c r="N3204" s="29" t="s">
        <v>1511</v>
      </c>
      <c r="O3204" s="29" t="s">
        <v>590</v>
      </c>
    </row>
    <row r="3205" spans="1:15">
      <c r="A3205" s="25">
        <v>340</v>
      </c>
      <c r="B3205" s="26" t="s">
        <v>2598</v>
      </c>
      <c r="C3205" s="27" t="s">
        <v>521</v>
      </c>
      <c r="D3205" s="27" t="s">
        <v>705</v>
      </c>
      <c r="E3205" s="28">
        <v>37725</v>
      </c>
      <c r="F3205" s="28" t="s">
        <v>35</v>
      </c>
      <c r="G3205" s="28" t="s">
        <v>35</v>
      </c>
      <c r="H3205" s="27" t="s">
        <v>560</v>
      </c>
      <c r="I3205" s="27" t="s">
        <v>560</v>
      </c>
      <c r="J3205" s="29" t="s">
        <v>1654</v>
      </c>
      <c r="K3205" s="29" t="s">
        <v>1800</v>
      </c>
      <c r="L3205" s="29" t="s">
        <v>5051</v>
      </c>
      <c r="M3205" s="29" t="s">
        <v>1550</v>
      </c>
      <c r="N3205" s="29" t="s">
        <v>1045</v>
      </c>
      <c r="O3205" s="29" t="s">
        <v>594</v>
      </c>
    </row>
    <row r="3206" spans="1:15">
      <c r="A3206" s="25">
        <v>11055</v>
      </c>
      <c r="B3206" s="26" t="s">
        <v>5052</v>
      </c>
      <c r="C3206" s="27" t="s">
        <v>521</v>
      </c>
      <c r="D3206" s="27" t="s">
        <v>1420</v>
      </c>
      <c r="E3206" s="28">
        <v>40595</v>
      </c>
      <c r="F3206" s="28" t="s">
        <v>35</v>
      </c>
      <c r="G3206" s="28" t="s">
        <v>35</v>
      </c>
      <c r="H3206" s="29" t="s">
        <v>560</v>
      </c>
      <c r="I3206" s="29" t="s">
        <v>560</v>
      </c>
      <c r="J3206" s="29" t="s">
        <v>1654</v>
      </c>
      <c r="K3206" s="29" t="s">
        <v>1800</v>
      </c>
      <c r="L3206" s="29" t="s">
        <v>5051</v>
      </c>
      <c r="M3206" s="29" t="s">
        <v>5053</v>
      </c>
      <c r="N3206" s="29" t="s">
        <v>1514</v>
      </c>
      <c r="O3206" s="29" t="s">
        <v>594</v>
      </c>
    </row>
    <row r="3207" spans="1:15">
      <c r="A3207" s="25">
        <v>22298</v>
      </c>
      <c r="B3207" s="34" t="s">
        <v>247</v>
      </c>
      <c r="C3207" s="31" t="s">
        <v>521</v>
      </c>
      <c r="D3207" s="31" t="s">
        <v>1191</v>
      </c>
      <c r="E3207" s="28">
        <v>43192</v>
      </c>
      <c r="F3207" s="28">
        <v>43222</v>
      </c>
      <c r="G3207" s="28">
        <v>43585</v>
      </c>
      <c r="H3207" s="29" t="s">
        <v>560</v>
      </c>
      <c r="I3207" s="29" t="s">
        <v>560</v>
      </c>
      <c r="J3207" s="29" t="s">
        <v>1654</v>
      </c>
      <c r="K3207" s="29" t="s">
        <v>1800</v>
      </c>
      <c r="L3207" s="29" t="s">
        <v>5051</v>
      </c>
      <c r="M3207" s="29" t="s">
        <v>5054</v>
      </c>
      <c r="N3207" s="29" t="s">
        <v>1525</v>
      </c>
      <c r="O3207" s="29" t="s">
        <v>594</v>
      </c>
    </row>
    <row r="3208" spans="1:15">
      <c r="A3208" s="25">
        <v>22301</v>
      </c>
      <c r="B3208" s="34" t="s">
        <v>5055</v>
      </c>
      <c r="C3208" s="31" t="s">
        <v>521</v>
      </c>
      <c r="D3208" s="31" t="s">
        <v>1191</v>
      </c>
      <c r="E3208" s="28">
        <v>43192</v>
      </c>
      <c r="F3208" s="28">
        <v>43222</v>
      </c>
      <c r="G3208" s="28">
        <v>43585</v>
      </c>
      <c r="H3208" s="29" t="s">
        <v>560</v>
      </c>
      <c r="I3208" s="29" t="s">
        <v>560</v>
      </c>
      <c r="J3208" s="29" t="s">
        <v>1654</v>
      </c>
      <c r="K3208" s="29" t="s">
        <v>1800</v>
      </c>
      <c r="L3208" s="29" t="s">
        <v>5051</v>
      </c>
      <c r="M3208" s="29" t="s">
        <v>5056</v>
      </c>
      <c r="N3208" s="29" t="s">
        <v>1541</v>
      </c>
      <c r="O3208" s="29" t="s">
        <v>594</v>
      </c>
    </row>
    <row r="3209" spans="1:15">
      <c r="A3209" s="25">
        <v>23378</v>
      </c>
      <c r="B3209" s="34" t="s">
        <v>5057</v>
      </c>
      <c r="C3209" s="31" t="s">
        <v>521</v>
      </c>
      <c r="D3209" s="31" t="s">
        <v>1527</v>
      </c>
      <c r="E3209" s="28">
        <v>43427</v>
      </c>
      <c r="F3209" s="28">
        <v>43457</v>
      </c>
      <c r="G3209" s="28">
        <v>43830</v>
      </c>
      <c r="H3209" s="29" t="s">
        <v>560</v>
      </c>
      <c r="I3209" s="29" t="s">
        <v>560</v>
      </c>
      <c r="J3209" s="29" t="s">
        <v>1654</v>
      </c>
      <c r="K3209" s="29" t="s">
        <v>1800</v>
      </c>
      <c r="L3209" s="29" t="s">
        <v>5051</v>
      </c>
      <c r="M3209" s="29" t="s">
        <v>5058</v>
      </c>
      <c r="N3209" s="29" t="s">
        <v>1525</v>
      </c>
      <c r="O3209" s="29" t="s">
        <v>594</v>
      </c>
    </row>
    <row r="3210" spans="1:15">
      <c r="A3210" s="25">
        <v>23481</v>
      </c>
      <c r="B3210" s="34" t="s">
        <v>429</v>
      </c>
      <c r="C3210" s="31" t="s">
        <v>521</v>
      </c>
      <c r="D3210" s="31" t="s">
        <v>882</v>
      </c>
      <c r="E3210" s="28">
        <v>43434</v>
      </c>
      <c r="F3210" s="28">
        <v>43464</v>
      </c>
      <c r="G3210" s="28">
        <v>43830</v>
      </c>
      <c r="H3210" s="29" t="s">
        <v>560</v>
      </c>
      <c r="I3210" s="29" t="s">
        <v>560</v>
      </c>
      <c r="J3210" s="29" t="s">
        <v>1654</v>
      </c>
      <c r="K3210" s="29" t="s">
        <v>1800</v>
      </c>
      <c r="L3210" s="29" t="s">
        <v>5051</v>
      </c>
      <c r="M3210" s="29" t="s">
        <v>5059</v>
      </c>
      <c r="N3210" s="29" t="s">
        <v>1525</v>
      </c>
      <c r="O3210" s="29" t="s">
        <v>594</v>
      </c>
    </row>
    <row r="3211" spans="1:15">
      <c r="A3211" s="25">
        <v>6186</v>
      </c>
      <c r="B3211" s="26" t="s">
        <v>5060</v>
      </c>
      <c r="C3211" s="27" t="s">
        <v>521</v>
      </c>
      <c r="D3211" s="27" t="s">
        <v>1065</v>
      </c>
      <c r="E3211" s="28">
        <v>39173</v>
      </c>
      <c r="F3211" s="28" t="s">
        <v>35</v>
      </c>
      <c r="G3211" s="28" t="s">
        <v>35</v>
      </c>
      <c r="H3211" s="27" t="s">
        <v>560</v>
      </c>
      <c r="I3211" s="27" t="s">
        <v>560</v>
      </c>
      <c r="J3211" s="29" t="s">
        <v>1654</v>
      </c>
      <c r="K3211" s="29" t="s">
        <v>1800</v>
      </c>
      <c r="L3211" s="29" t="s">
        <v>5051</v>
      </c>
      <c r="M3211" s="29" t="s">
        <v>1550</v>
      </c>
      <c r="N3211" s="29" t="s">
        <v>1045</v>
      </c>
      <c r="O3211" s="29" t="s">
        <v>590</v>
      </c>
    </row>
    <row r="3212" spans="1:15">
      <c r="A3212" s="25">
        <v>22429</v>
      </c>
      <c r="B3212" s="34" t="s">
        <v>265</v>
      </c>
      <c r="C3212" s="31" t="s">
        <v>521</v>
      </c>
      <c r="D3212" s="31" t="s">
        <v>805</v>
      </c>
      <c r="E3212" s="28">
        <v>43213</v>
      </c>
      <c r="F3212" s="28">
        <v>43243</v>
      </c>
      <c r="G3212" s="28">
        <v>43616</v>
      </c>
      <c r="H3212" s="29" t="s">
        <v>560</v>
      </c>
      <c r="I3212" s="29" t="s">
        <v>560</v>
      </c>
      <c r="J3212" s="29" t="s">
        <v>1654</v>
      </c>
      <c r="K3212" s="29" t="s">
        <v>1800</v>
      </c>
      <c r="L3212" s="29" t="s">
        <v>5051</v>
      </c>
      <c r="M3212" s="29" t="s">
        <v>5061</v>
      </c>
      <c r="N3212" s="29" t="s">
        <v>1511</v>
      </c>
      <c r="O3212" s="29" t="s">
        <v>590</v>
      </c>
    </row>
    <row r="3213" spans="1:15">
      <c r="A3213" s="25">
        <v>23369</v>
      </c>
      <c r="B3213" s="34" t="s">
        <v>4074</v>
      </c>
      <c r="C3213" s="31" t="s">
        <v>521</v>
      </c>
      <c r="D3213" s="31" t="s">
        <v>1527</v>
      </c>
      <c r="E3213" s="28">
        <v>43427</v>
      </c>
      <c r="F3213" s="28">
        <v>43457</v>
      </c>
      <c r="G3213" s="28">
        <v>43830</v>
      </c>
      <c r="H3213" s="29" t="s">
        <v>560</v>
      </c>
      <c r="I3213" s="29" t="s">
        <v>560</v>
      </c>
      <c r="J3213" s="29" t="s">
        <v>1654</v>
      </c>
      <c r="K3213" s="29" t="s">
        <v>1800</v>
      </c>
      <c r="L3213" s="29" t="s">
        <v>5051</v>
      </c>
      <c r="M3213" s="29" t="s">
        <v>5062</v>
      </c>
      <c r="N3213" s="29" t="s">
        <v>1511</v>
      </c>
      <c r="O3213" s="29" t="s">
        <v>590</v>
      </c>
    </row>
    <row r="3214" spans="1:15">
      <c r="A3214" s="25">
        <v>23558</v>
      </c>
      <c r="B3214" s="34" t="s">
        <v>5063</v>
      </c>
      <c r="C3214" s="31" t="s">
        <v>521</v>
      </c>
      <c r="D3214" s="31" t="s">
        <v>884</v>
      </c>
      <c r="E3214" s="28">
        <v>43452</v>
      </c>
      <c r="F3214" s="28">
        <v>43483</v>
      </c>
      <c r="G3214" s="28">
        <v>43861</v>
      </c>
      <c r="H3214" s="29" t="s">
        <v>560</v>
      </c>
      <c r="I3214" s="29" t="s">
        <v>560</v>
      </c>
      <c r="J3214" s="29" t="s">
        <v>1654</v>
      </c>
      <c r="K3214" s="29" t="s">
        <v>1800</v>
      </c>
      <c r="L3214" s="29" t="s">
        <v>5051</v>
      </c>
      <c r="M3214" s="29" t="s">
        <v>1593</v>
      </c>
      <c r="N3214" s="29" t="s">
        <v>1586</v>
      </c>
      <c r="O3214" s="29" t="s">
        <v>590</v>
      </c>
    </row>
    <row r="3215" spans="1:15">
      <c r="A3215" s="25">
        <v>22685</v>
      </c>
      <c r="B3215" s="34" t="s">
        <v>5064</v>
      </c>
      <c r="C3215" s="31" t="s">
        <v>521</v>
      </c>
      <c r="D3215" s="31" t="s">
        <v>1199</v>
      </c>
      <c r="E3215" s="28">
        <v>43241</v>
      </c>
      <c r="F3215" s="28">
        <v>43272</v>
      </c>
      <c r="G3215" s="28">
        <v>43646</v>
      </c>
      <c r="H3215" s="29" t="s">
        <v>560</v>
      </c>
      <c r="I3215" s="29" t="s">
        <v>560</v>
      </c>
      <c r="J3215" s="29" t="s">
        <v>1813</v>
      </c>
      <c r="K3215" s="29" t="s">
        <v>1813</v>
      </c>
      <c r="L3215" s="29" t="s">
        <v>5065</v>
      </c>
      <c r="M3215" s="29" t="s">
        <v>5066</v>
      </c>
      <c r="N3215" s="29" t="s">
        <v>1511</v>
      </c>
      <c r="O3215" s="29" t="s">
        <v>594</v>
      </c>
    </row>
    <row r="3216" spans="1:15">
      <c r="A3216" s="25">
        <v>22695</v>
      </c>
      <c r="B3216" s="34" t="s">
        <v>5067</v>
      </c>
      <c r="C3216" s="31" t="s">
        <v>521</v>
      </c>
      <c r="D3216" s="31" t="s">
        <v>1195</v>
      </c>
      <c r="E3216" s="28">
        <v>43244</v>
      </c>
      <c r="F3216" s="28">
        <v>43275</v>
      </c>
      <c r="G3216" s="28">
        <v>43646</v>
      </c>
      <c r="H3216" s="29" t="s">
        <v>560</v>
      </c>
      <c r="I3216" s="29" t="s">
        <v>560</v>
      </c>
      <c r="J3216" s="29" t="s">
        <v>1813</v>
      </c>
      <c r="K3216" s="29" t="s">
        <v>1813</v>
      </c>
      <c r="L3216" s="29" t="s">
        <v>5065</v>
      </c>
      <c r="M3216" s="29" t="s">
        <v>5068</v>
      </c>
      <c r="N3216" s="29" t="s">
        <v>1511</v>
      </c>
      <c r="O3216" s="29" t="s">
        <v>594</v>
      </c>
    </row>
    <row r="3217" spans="1:15">
      <c r="A3217" s="25">
        <v>23549</v>
      </c>
      <c r="B3217" s="34" t="s">
        <v>5069</v>
      </c>
      <c r="C3217" s="31" t="s">
        <v>521</v>
      </c>
      <c r="D3217" s="31" t="s">
        <v>884</v>
      </c>
      <c r="E3217" s="28">
        <v>43452</v>
      </c>
      <c r="F3217" s="28">
        <v>43483</v>
      </c>
      <c r="G3217" s="28">
        <v>43861</v>
      </c>
      <c r="H3217" s="29" t="s">
        <v>560</v>
      </c>
      <c r="I3217" s="29" t="s">
        <v>560</v>
      </c>
      <c r="J3217" s="29" t="s">
        <v>1813</v>
      </c>
      <c r="K3217" s="29" t="s">
        <v>1813</v>
      </c>
      <c r="L3217" s="29" t="s">
        <v>5065</v>
      </c>
      <c r="M3217" s="29" t="s">
        <v>5070</v>
      </c>
      <c r="N3217" s="29" t="s">
        <v>1586</v>
      </c>
      <c r="O3217" s="29" t="s">
        <v>528</v>
      </c>
    </row>
    <row r="3218" spans="1:15">
      <c r="A3218" s="25">
        <v>22630</v>
      </c>
      <c r="B3218" s="34" t="s">
        <v>5071</v>
      </c>
      <c r="C3218" s="31" t="s">
        <v>521</v>
      </c>
      <c r="D3218" s="31" t="s">
        <v>745</v>
      </c>
      <c r="E3218" s="28">
        <v>43236</v>
      </c>
      <c r="F3218" s="28">
        <v>43267</v>
      </c>
      <c r="G3218" s="28">
        <v>43646</v>
      </c>
      <c r="H3218" s="29" t="s">
        <v>560</v>
      </c>
      <c r="I3218" s="29" t="s">
        <v>560</v>
      </c>
      <c r="J3218" s="29" t="s">
        <v>1813</v>
      </c>
      <c r="K3218" s="29" t="s">
        <v>1813</v>
      </c>
      <c r="L3218" s="29" t="s">
        <v>5065</v>
      </c>
      <c r="M3218" s="29" t="s">
        <v>5066</v>
      </c>
      <c r="N3218" s="29" t="s">
        <v>1511</v>
      </c>
      <c r="O3218" s="29" t="s">
        <v>590</v>
      </c>
    </row>
    <row r="3219" spans="1:15">
      <c r="A3219" s="25">
        <v>22832</v>
      </c>
      <c r="B3219" s="34" t="s">
        <v>5072</v>
      </c>
      <c r="C3219" s="31" t="s">
        <v>521</v>
      </c>
      <c r="D3219" s="31" t="s">
        <v>775</v>
      </c>
      <c r="E3219" s="28">
        <v>43333</v>
      </c>
      <c r="F3219" s="28">
        <v>43364</v>
      </c>
      <c r="G3219" s="28">
        <v>43738</v>
      </c>
      <c r="H3219" s="29" t="s">
        <v>560</v>
      </c>
      <c r="I3219" s="29" t="s">
        <v>560</v>
      </c>
      <c r="J3219" s="29" t="s">
        <v>1813</v>
      </c>
      <c r="K3219" s="29" t="s">
        <v>1813</v>
      </c>
      <c r="L3219" s="29" t="s">
        <v>5065</v>
      </c>
      <c r="M3219" s="29" t="s">
        <v>5068</v>
      </c>
      <c r="N3219" s="29" t="s">
        <v>1511</v>
      </c>
      <c r="O3219" s="29" t="s">
        <v>590</v>
      </c>
    </row>
    <row r="3220" spans="1:15">
      <c r="A3220" s="25">
        <v>630</v>
      </c>
      <c r="B3220" s="26" t="s">
        <v>5073</v>
      </c>
      <c r="C3220" s="27" t="s">
        <v>521</v>
      </c>
      <c r="D3220" s="27" t="s">
        <v>783</v>
      </c>
      <c r="E3220" s="28">
        <v>37781</v>
      </c>
      <c r="F3220" s="28" t="s">
        <v>35</v>
      </c>
      <c r="G3220" s="28" t="s">
        <v>35</v>
      </c>
      <c r="H3220" s="27" t="s">
        <v>560</v>
      </c>
      <c r="I3220" s="27" t="s">
        <v>560</v>
      </c>
      <c r="J3220" s="29" t="s">
        <v>1825</v>
      </c>
      <c r="K3220" s="29" t="s">
        <v>1825</v>
      </c>
      <c r="L3220" s="29" t="s">
        <v>5074</v>
      </c>
      <c r="M3220" s="29" t="s">
        <v>1550</v>
      </c>
      <c r="N3220" s="29" t="s">
        <v>1045</v>
      </c>
      <c r="O3220" s="29" t="s">
        <v>594</v>
      </c>
    </row>
    <row r="3221" spans="1:15">
      <c r="A3221" s="25">
        <v>756</v>
      </c>
      <c r="B3221" s="26" t="s">
        <v>5075</v>
      </c>
      <c r="C3221" s="27" t="s">
        <v>521</v>
      </c>
      <c r="D3221" s="27" t="s">
        <v>5076</v>
      </c>
      <c r="E3221" s="28">
        <v>37830</v>
      </c>
      <c r="F3221" s="28" t="s">
        <v>35</v>
      </c>
      <c r="G3221" s="28" t="s">
        <v>35</v>
      </c>
      <c r="H3221" s="27" t="s">
        <v>560</v>
      </c>
      <c r="I3221" s="27" t="s">
        <v>560</v>
      </c>
      <c r="J3221" s="29" t="s">
        <v>1825</v>
      </c>
      <c r="K3221" s="29" t="s">
        <v>1825</v>
      </c>
      <c r="L3221" s="29" t="s">
        <v>5074</v>
      </c>
      <c r="M3221" s="29" t="s">
        <v>1550</v>
      </c>
      <c r="N3221" s="29" t="s">
        <v>1045</v>
      </c>
      <c r="O3221" s="29" t="s">
        <v>594</v>
      </c>
    </row>
    <row r="3222" spans="1:15">
      <c r="A3222" s="25">
        <v>1436</v>
      </c>
      <c r="B3222" s="26" t="s">
        <v>359</v>
      </c>
      <c r="C3222" s="27" t="s">
        <v>521</v>
      </c>
      <c r="D3222" s="27" t="s">
        <v>5077</v>
      </c>
      <c r="E3222" s="28">
        <v>37970</v>
      </c>
      <c r="F3222" s="28" t="s">
        <v>35</v>
      </c>
      <c r="G3222" s="28" t="s">
        <v>35</v>
      </c>
      <c r="H3222" s="27" t="s">
        <v>560</v>
      </c>
      <c r="I3222" s="27" t="s">
        <v>560</v>
      </c>
      <c r="J3222" s="29" t="s">
        <v>1825</v>
      </c>
      <c r="K3222" s="29" t="s">
        <v>1825</v>
      </c>
      <c r="L3222" s="29" t="s">
        <v>5074</v>
      </c>
      <c r="M3222" s="29" t="s">
        <v>5078</v>
      </c>
      <c r="N3222" s="29" t="s">
        <v>4597</v>
      </c>
      <c r="O3222" s="29" t="s">
        <v>594</v>
      </c>
    </row>
    <row r="3223" spans="1:15">
      <c r="A3223" s="25">
        <v>5245</v>
      </c>
      <c r="B3223" s="26" t="s">
        <v>193</v>
      </c>
      <c r="C3223" s="27" t="s">
        <v>521</v>
      </c>
      <c r="D3223" s="27" t="s">
        <v>1130</v>
      </c>
      <c r="E3223" s="28">
        <v>38961</v>
      </c>
      <c r="F3223" s="28" t="s">
        <v>35</v>
      </c>
      <c r="G3223" s="28" t="s">
        <v>35</v>
      </c>
      <c r="H3223" s="27" t="s">
        <v>560</v>
      </c>
      <c r="I3223" s="27" t="s">
        <v>560</v>
      </c>
      <c r="J3223" s="29" t="s">
        <v>1825</v>
      </c>
      <c r="K3223" s="29" t="s">
        <v>1825</v>
      </c>
      <c r="L3223" s="29" t="s">
        <v>5074</v>
      </c>
      <c r="M3223" s="29" t="s">
        <v>5079</v>
      </c>
      <c r="N3223" s="29" t="s">
        <v>1525</v>
      </c>
      <c r="O3223" s="29" t="s">
        <v>594</v>
      </c>
    </row>
    <row r="3224" spans="1:15">
      <c r="A3224" s="25">
        <v>6129</v>
      </c>
      <c r="B3224" s="26" t="s">
        <v>5080</v>
      </c>
      <c r="C3224" s="27" t="s">
        <v>521</v>
      </c>
      <c r="D3224" s="27" t="s">
        <v>576</v>
      </c>
      <c r="E3224" s="28">
        <v>39157</v>
      </c>
      <c r="F3224" s="28" t="s">
        <v>35</v>
      </c>
      <c r="G3224" s="28" t="s">
        <v>35</v>
      </c>
      <c r="H3224" s="27" t="s">
        <v>560</v>
      </c>
      <c r="I3224" s="27" t="s">
        <v>560</v>
      </c>
      <c r="J3224" s="29" t="s">
        <v>1825</v>
      </c>
      <c r="K3224" s="29" t="s">
        <v>1825</v>
      </c>
      <c r="L3224" s="29" t="s">
        <v>5074</v>
      </c>
      <c r="M3224" s="29" t="s">
        <v>5081</v>
      </c>
      <c r="N3224" s="29" t="s">
        <v>1511</v>
      </c>
      <c r="O3224" s="29" t="s">
        <v>594</v>
      </c>
    </row>
    <row r="3225" spans="1:15">
      <c r="A3225" s="25">
        <v>9753</v>
      </c>
      <c r="B3225" s="26" t="s">
        <v>5082</v>
      </c>
      <c r="C3225" s="27" t="s">
        <v>521</v>
      </c>
      <c r="D3225" s="27" t="s">
        <v>5083</v>
      </c>
      <c r="E3225" s="28">
        <v>40301</v>
      </c>
      <c r="F3225" s="28" t="s">
        <v>35</v>
      </c>
      <c r="G3225" s="28" t="s">
        <v>35</v>
      </c>
      <c r="H3225" s="27" t="s">
        <v>560</v>
      </c>
      <c r="I3225" s="27" t="s">
        <v>560</v>
      </c>
      <c r="J3225" s="29" t="s">
        <v>1825</v>
      </c>
      <c r="K3225" s="29" t="s">
        <v>1825</v>
      </c>
      <c r="L3225" s="29" t="s">
        <v>5074</v>
      </c>
      <c r="M3225" s="29" t="s">
        <v>1550</v>
      </c>
      <c r="N3225" s="29" t="s">
        <v>1045</v>
      </c>
      <c r="O3225" s="29" t="s">
        <v>594</v>
      </c>
    </row>
    <row r="3226" spans="1:15">
      <c r="A3226" s="25">
        <v>10173</v>
      </c>
      <c r="B3226" s="26" t="s">
        <v>5084</v>
      </c>
      <c r="C3226" s="27" t="s">
        <v>521</v>
      </c>
      <c r="D3226" s="27" t="s">
        <v>787</v>
      </c>
      <c r="E3226" s="28">
        <v>40458</v>
      </c>
      <c r="F3226" s="28" t="s">
        <v>35</v>
      </c>
      <c r="G3226" s="28" t="s">
        <v>35</v>
      </c>
      <c r="H3226" s="27" t="s">
        <v>560</v>
      </c>
      <c r="I3226" s="27" t="s">
        <v>560</v>
      </c>
      <c r="J3226" s="29" t="s">
        <v>1825</v>
      </c>
      <c r="K3226" s="29" t="s">
        <v>1825</v>
      </c>
      <c r="L3226" s="29" t="s">
        <v>5074</v>
      </c>
      <c r="M3226" s="29" t="s">
        <v>5085</v>
      </c>
      <c r="N3226" s="29" t="s">
        <v>1525</v>
      </c>
      <c r="O3226" s="29" t="s">
        <v>594</v>
      </c>
    </row>
    <row r="3227" spans="1:15">
      <c r="A3227" s="25">
        <v>10229</v>
      </c>
      <c r="B3227" s="26" t="s">
        <v>486</v>
      </c>
      <c r="C3227" s="27" t="s">
        <v>521</v>
      </c>
      <c r="D3227" s="27" t="s">
        <v>736</v>
      </c>
      <c r="E3227" s="28">
        <v>40489</v>
      </c>
      <c r="F3227" s="28" t="s">
        <v>35</v>
      </c>
      <c r="G3227" s="28" t="s">
        <v>35</v>
      </c>
      <c r="H3227" s="29" t="s">
        <v>560</v>
      </c>
      <c r="I3227" s="29" t="s">
        <v>560</v>
      </c>
      <c r="J3227" s="29" t="s">
        <v>1825</v>
      </c>
      <c r="K3227" s="29" t="s">
        <v>1825</v>
      </c>
      <c r="L3227" s="29" t="s">
        <v>5074</v>
      </c>
      <c r="M3227" s="29" t="s">
        <v>5086</v>
      </c>
      <c r="N3227" s="29" t="s">
        <v>4597</v>
      </c>
      <c r="O3227" s="29" t="s">
        <v>594</v>
      </c>
    </row>
    <row r="3228" spans="1:15">
      <c r="A3228" s="25">
        <v>12629</v>
      </c>
      <c r="B3228" s="26" t="s">
        <v>5087</v>
      </c>
      <c r="C3228" s="27" t="s">
        <v>521</v>
      </c>
      <c r="D3228" s="27" t="s">
        <v>1739</v>
      </c>
      <c r="E3228" s="28">
        <v>40819</v>
      </c>
      <c r="F3228" s="28" t="s">
        <v>35</v>
      </c>
      <c r="G3228" s="28" t="s">
        <v>35</v>
      </c>
      <c r="H3228" s="29" t="s">
        <v>560</v>
      </c>
      <c r="I3228" s="29" t="s">
        <v>560</v>
      </c>
      <c r="J3228" s="29" t="s">
        <v>1825</v>
      </c>
      <c r="K3228" s="29" t="s">
        <v>1825</v>
      </c>
      <c r="L3228" s="29" t="s">
        <v>5074</v>
      </c>
      <c r="M3228" s="29" t="s">
        <v>1534</v>
      </c>
      <c r="N3228" s="29" t="s">
        <v>1514</v>
      </c>
      <c r="O3228" s="29" t="s">
        <v>594</v>
      </c>
    </row>
    <row r="3229" spans="1:15">
      <c r="A3229" s="25">
        <v>21156</v>
      </c>
      <c r="B3229" s="26" t="s">
        <v>5088</v>
      </c>
      <c r="C3229" s="27" t="s">
        <v>521</v>
      </c>
      <c r="D3229" s="27" t="s">
        <v>1676</v>
      </c>
      <c r="E3229" s="28">
        <v>42871</v>
      </c>
      <c r="F3229" s="28">
        <v>43374</v>
      </c>
      <c r="G3229" s="28">
        <v>43738</v>
      </c>
      <c r="H3229" s="25" t="s">
        <v>560</v>
      </c>
      <c r="I3229" s="27" t="s">
        <v>560</v>
      </c>
      <c r="J3229" s="29" t="s">
        <v>1825</v>
      </c>
      <c r="K3229" s="29" t="s">
        <v>1825</v>
      </c>
      <c r="L3229" s="29" t="s">
        <v>5074</v>
      </c>
      <c r="M3229" s="29" t="s">
        <v>5089</v>
      </c>
      <c r="N3229" s="29" t="s">
        <v>1525</v>
      </c>
      <c r="O3229" s="29" t="s">
        <v>594</v>
      </c>
    </row>
    <row r="3230" spans="1:15">
      <c r="A3230" s="25">
        <v>22378</v>
      </c>
      <c r="B3230" s="34" t="s">
        <v>5090</v>
      </c>
      <c r="C3230" s="31" t="s">
        <v>521</v>
      </c>
      <c r="D3230" s="31" t="s">
        <v>805</v>
      </c>
      <c r="E3230" s="28">
        <v>43213</v>
      </c>
      <c r="F3230" s="28">
        <v>43243</v>
      </c>
      <c r="G3230" s="28">
        <v>43616</v>
      </c>
      <c r="H3230" s="29" t="s">
        <v>560</v>
      </c>
      <c r="I3230" s="29" t="s">
        <v>560</v>
      </c>
      <c r="J3230" s="29" t="s">
        <v>1825</v>
      </c>
      <c r="K3230" s="29" t="s">
        <v>1825</v>
      </c>
      <c r="L3230" s="29" t="s">
        <v>5074</v>
      </c>
      <c r="M3230" s="29" t="s">
        <v>5091</v>
      </c>
      <c r="N3230" s="29" t="s">
        <v>1511</v>
      </c>
      <c r="O3230" s="29" t="s">
        <v>594</v>
      </c>
    </row>
    <row r="3231" spans="1:15">
      <c r="A3231" s="25">
        <v>22460</v>
      </c>
      <c r="B3231" s="34" t="s">
        <v>5092</v>
      </c>
      <c r="C3231" s="31" t="s">
        <v>521</v>
      </c>
      <c r="D3231" s="31" t="s">
        <v>1577</v>
      </c>
      <c r="E3231" s="28">
        <v>43220</v>
      </c>
      <c r="F3231" s="28">
        <v>43250</v>
      </c>
      <c r="G3231" s="28">
        <v>43616</v>
      </c>
      <c r="H3231" s="29" t="s">
        <v>560</v>
      </c>
      <c r="I3231" s="29" t="s">
        <v>560</v>
      </c>
      <c r="J3231" s="29" t="s">
        <v>1825</v>
      </c>
      <c r="K3231" s="29" t="s">
        <v>1825</v>
      </c>
      <c r="L3231" s="29" t="s">
        <v>5074</v>
      </c>
      <c r="M3231" s="29" t="s">
        <v>5093</v>
      </c>
      <c r="N3231" s="29" t="s">
        <v>1511</v>
      </c>
      <c r="O3231" s="29" t="s">
        <v>594</v>
      </c>
    </row>
    <row r="3232" spans="1:15">
      <c r="A3232" s="25">
        <v>22473</v>
      </c>
      <c r="B3232" s="26" t="s">
        <v>5094</v>
      </c>
      <c r="C3232" s="27" t="s">
        <v>521</v>
      </c>
      <c r="D3232" s="27" t="s">
        <v>1577</v>
      </c>
      <c r="E3232" s="28">
        <v>43220</v>
      </c>
      <c r="F3232" s="28">
        <v>43250</v>
      </c>
      <c r="G3232" s="28">
        <v>43616</v>
      </c>
      <c r="H3232" s="27" t="s">
        <v>560</v>
      </c>
      <c r="I3232" s="27" t="s">
        <v>560</v>
      </c>
      <c r="J3232" s="29" t="s">
        <v>1825</v>
      </c>
      <c r="K3232" s="29" t="s">
        <v>1825</v>
      </c>
      <c r="L3232" s="29" t="s">
        <v>5074</v>
      </c>
      <c r="M3232" s="29" t="s">
        <v>5095</v>
      </c>
      <c r="N3232" s="29" t="s">
        <v>1525</v>
      </c>
      <c r="O3232" s="29" t="s">
        <v>594</v>
      </c>
    </row>
    <row r="3233" spans="1:15">
      <c r="A3233" s="25">
        <v>22541</v>
      </c>
      <c r="B3233" s="34" t="s">
        <v>5096</v>
      </c>
      <c r="C3233" s="31" t="s">
        <v>521</v>
      </c>
      <c r="D3233" s="31" t="s">
        <v>773</v>
      </c>
      <c r="E3233" s="28">
        <v>43224</v>
      </c>
      <c r="F3233" s="28">
        <v>43255</v>
      </c>
      <c r="G3233" s="28">
        <v>43616</v>
      </c>
      <c r="H3233" s="29" t="s">
        <v>560</v>
      </c>
      <c r="I3233" s="29" t="s">
        <v>560</v>
      </c>
      <c r="J3233" s="29" t="s">
        <v>1825</v>
      </c>
      <c r="K3233" s="29" t="s">
        <v>1825</v>
      </c>
      <c r="L3233" s="29" t="s">
        <v>5074</v>
      </c>
      <c r="M3233" s="29" t="s">
        <v>5097</v>
      </c>
      <c r="N3233" s="29" t="s">
        <v>1511</v>
      </c>
      <c r="O3233" s="29" t="s">
        <v>594</v>
      </c>
    </row>
    <row r="3234" spans="1:15">
      <c r="A3234" s="25">
        <v>22668</v>
      </c>
      <c r="B3234" s="34" t="s">
        <v>5098</v>
      </c>
      <c r="C3234" s="31" t="s">
        <v>521</v>
      </c>
      <c r="D3234" s="31" t="s">
        <v>1199</v>
      </c>
      <c r="E3234" s="28">
        <v>43241</v>
      </c>
      <c r="F3234" s="28">
        <v>43272</v>
      </c>
      <c r="G3234" s="28">
        <v>43646</v>
      </c>
      <c r="H3234" s="29" t="s">
        <v>560</v>
      </c>
      <c r="I3234" s="29" t="s">
        <v>560</v>
      </c>
      <c r="J3234" s="29" t="s">
        <v>1825</v>
      </c>
      <c r="K3234" s="29" t="s">
        <v>1825</v>
      </c>
      <c r="L3234" s="29" t="s">
        <v>5074</v>
      </c>
      <c r="M3234" s="29" t="s">
        <v>5099</v>
      </c>
      <c r="N3234" s="29" t="s">
        <v>1511</v>
      </c>
      <c r="O3234" s="29" t="s">
        <v>594</v>
      </c>
    </row>
    <row r="3235" spans="1:15">
      <c r="A3235" s="25">
        <v>22670</v>
      </c>
      <c r="B3235" s="34" t="s">
        <v>192</v>
      </c>
      <c r="C3235" s="31" t="s">
        <v>521</v>
      </c>
      <c r="D3235" s="31" t="s">
        <v>1199</v>
      </c>
      <c r="E3235" s="28">
        <v>43241</v>
      </c>
      <c r="F3235" s="28">
        <v>43272</v>
      </c>
      <c r="G3235" s="28">
        <v>43646</v>
      </c>
      <c r="H3235" s="29" t="s">
        <v>560</v>
      </c>
      <c r="I3235" s="29" t="s">
        <v>560</v>
      </c>
      <c r="J3235" s="29" t="s">
        <v>1825</v>
      </c>
      <c r="K3235" s="29" t="s">
        <v>1825</v>
      </c>
      <c r="L3235" s="29" t="s">
        <v>5074</v>
      </c>
      <c r="M3235" s="29" t="s">
        <v>5100</v>
      </c>
      <c r="N3235" s="29" t="s">
        <v>4597</v>
      </c>
      <c r="O3235" s="29" t="s">
        <v>594</v>
      </c>
    </row>
    <row r="3236" spans="1:15">
      <c r="A3236" s="25">
        <v>22688</v>
      </c>
      <c r="B3236" s="26" t="s">
        <v>5101</v>
      </c>
      <c r="C3236" s="27" t="s">
        <v>521</v>
      </c>
      <c r="D3236" s="27" t="s">
        <v>1195</v>
      </c>
      <c r="E3236" s="28">
        <v>43244</v>
      </c>
      <c r="F3236" s="28">
        <v>43275</v>
      </c>
      <c r="G3236" s="28">
        <v>43646</v>
      </c>
      <c r="H3236" s="27" t="s">
        <v>560</v>
      </c>
      <c r="I3236" s="27" t="s">
        <v>560</v>
      </c>
      <c r="J3236" s="29" t="s">
        <v>1825</v>
      </c>
      <c r="K3236" s="29" t="s">
        <v>1825</v>
      </c>
      <c r="L3236" s="29" t="s">
        <v>5074</v>
      </c>
      <c r="M3236" s="29" t="s">
        <v>4798</v>
      </c>
      <c r="N3236" s="29" t="s">
        <v>1541</v>
      </c>
      <c r="O3236" s="29" t="s">
        <v>594</v>
      </c>
    </row>
    <row r="3237" spans="1:15">
      <c r="A3237" s="25">
        <v>22701</v>
      </c>
      <c r="B3237" s="26" t="s">
        <v>5102</v>
      </c>
      <c r="C3237" s="27" t="s">
        <v>521</v>
      </c>
      <c r="D3237" s="27" t="s">
        <v>1195</v>
      </c>
      <c r="E3237" s="28">
        <v>43244</v>
      </c>
      <c r="F3237" s="28">
        <v>43275</v>
      </c>
      <c r="G3237" s="28">
        <v>43646</v>
      </c>
      <c r="H3237" s="27" t="s">
        <v>560</v>
      </c>
      <c r="I3237" s="27" t="s">
        <v>560</v>
      </c>
      <c r="J3237" s="29" t="s">
        <v>1825</v>
      </c>
      <c r="K3237" s="29" t="s">
        <v>1825</v>
      </c>
      <c r="L3237" s="29" t="s">
        <v>5074</v>
      </c>
      <c r="M3237" s="29" t="s">
        <v>4798</v>
      </c>
      <c r="N3237" s="29" t="s">
        <v>1541</v>
      </c>
      <c r="O3237" s="29" t="s">
        <v>594</v>
      </c>
    </row>
    <row r="3238" spans="1:15">
      <c r="A3238" s="25">
        <v>22704</v>
      </c>
      <c r="B3238" s="26" t="s">
        <v>5103</v>
      </c>
      <c r="C3238" s="27" t="s">
        <v>521</v>
      </c>
      <c r="D3238" s="27" t="s">
        <v>1195</v>
      </c>
      <c r="E3238" s="28">
        <v>43244</v>
      </c>
      <c r="F3238" s="28">
        <v>43275</v>
      </c>
      <c r="G3238" s="28">
        <v>43646</v>
      </c>
      <c r="H3238" s="27" t="s">
        <v>560</v>
      </c>
      <c r="I3238" s="27" t="s">
        <v>560</v>
      </c>
      <c r="J3238" s="29" t="s">
        <v>1825</v>
      </c>
      <c r="K3238" s="29" t="s">
        <v>1825</v>
      </c>
      <c r="L3238" s="29" t="s">
        <v>5074</v>
      </c>
      <c r="M3238" s="29" t="s">
        <v>5104</v>
      </c>
      <c r="N3238" s="29" t="s">
        <v>1511</v>
      </c>
      <c r="O3238" s="29" t="s">
        <v>594</v>
      </c>
    </row>
    <row r="3239" spans="1:15">
      <c r="A3239" s="25">
        <v>22718</v>
      </c>
      <c r="B3239" s="26" t="s">
        <v>228</v>
      </c>
      <c r="C3239" s="27" t="s">
        <v>521</v>
      </c>
      <c r="D3239" s="27" t="s">
        <v>1195</v>
      </c>
      <c r="E3239" s="28">
        <v>43244</v>
      </c>
      <c r="F3239" s="28">
        <v>43275</v>
      </c>
      <c r="G3239" s="28">
        <v>43646</v>
      </c>
      <c r="H3239" s="27" t="s">
        <v>560</v>
      </c>
      <c r="I3239" s="27" t="s">
        <v>560</v>
      </c>
      <c r="J3239" s="29" t="s">
        <v>1825</v>
      </c>
      <c r="K3239" s="29" t="s">
        <v>1825</v>
      </c>
      <c r="L3239" s="29" t="s">
        <v>5074</v>
      </c>
      <c r="M3239" s="29" t="s">
        <v>5105</v>
      </c>
      <c r="N3239" s="29" t="s">
        <v>1511</v>
      </c>
      <c r="O3239" s="29" t="s">
        <v>594</v>
      </c>
    </row>
    <row r="3240" spans="1:15">
      <c r="A3240" s="25">
        <v>23015</v>
      </c>
      <c r="B3240" s="34" t="s">
        <v>217</v>
      </c>
      <c r="C3240" s="31" t="s">
        <v>521</v>
      </c>
      <c r="D3240" s="31" t="s">
        <v>1872</v>
      </c>
      <c r="E3240" s="28">
        <v>43361</v>
      </c>
      <c r="F3240" s="28">
        <v>43391</v>
      </c>
      <c r="G3240" s="28">
        <v>43769</v>
      </c>
      <c r="H3240" s="29" t="s">
        <v>560</v>
      </c>
      <c r="I3240" s="29" t="s">
        <v>560</v>
      </c>
      <c r="J3240" s="29" t="s">
        <v>1825</v>
      </c>
      <c r="K3240" s="29" t="s">
        <v>1825</v>
      </c>
      <c r="L3240" s="29" t="s">
        <v>5074</v>
      </c>
      <c r="M3240" s="29" t="s">
        <v>5106</v>
      </c>
      <c r="N3240" s="29" t="s">
        <v>1525</v>
      </c>
      <c r="O3240" s="29" t="s">
        <v>594</v>
      </c>
    </row>
    <row r="3241" spans="1:15">
      <c r="A3241" s="25">
        <v>23108</v>
      </c>
      <c r="B3241" s="34" t="s">
        <v>5107</v>
      </c>
      <c r="C3241" s="31" t="s">
        <v>521</v>
      </c>
      <c r="D3241" s="31" t="s">
        <v>1523</v>
      </c>
      <c r="E3241" s="28">
        <v>43369</v>
      </c>
      <c r="F3241" s="28">
        <v>43399</v>
      </c>
      <c r="G3241" s="28">
        <v>43769</v>
      </c>
      <c r="H3241" s="29" t="s">
        <v>560</v>
      </c>
      <c r="I3241" s="29" t="s">
        <v>560</v>
      </c>
      <c r="J3241" s="29" t="s">
        <v>1825</v>
      </c>
      <c r="K3241" s="29" t="s">
        <v>1825</v>
      </c>
      <c r="L3241" s="29" t="s">
        <v>5074</v>
      </c>
      <c r="M3241" s="29" t="s">
        <v>5108</v>
      </c>
      <c r="N3241" s="29" t="s">
        <v>1525</v>
      </c>
      <c r="O3241" s="29" t="s">
        <v>594</v>
      </c>
    </row>
    <row r="3242" spans="1:15">
      <c r="A3242" s="25">
        <v>23126</v>
      </c>
      <c r="B3242" s="34" t="s">
        <v>5109</v>
      </c>
      <c r="C3242" s="31" t="s">
        <v>521</v>
      </c>
      <c r="D3242" s="31" t="s">
        <v>1523</v>
      </c>
      <c r="E3242" s="28">
        <v>43369</v>
      </c>
      <c r="F3242" s="28">
        <v>43399</v>
      </c>
      <c r="G3242" s="28">
        <v>43769</v>
      </c>
      <c r="H3242" s="29" t="s">
        <v>560</v>
      </c>
      <c r="I3242" s="29" t="s">
        <v>560</v>
      </c>
      <c r="J3242" s="29" t="s">
        <v>1825</v>
      </c>
      <c r="K3242" s="29" t="s">
        <v>1825</v>
      </c>
      <c r="L3242" s="29" t="s">
        <v>5074</v>
      </c>
      <c r="M3242" s="29" t="s">
        <v>5110</v>
      </c>
      <c r="N3242" s="29" t="s">
        <v>1525</v>
      </c>
      <c r="O3242" s="29" t="s">
        <v>594</v>
      </c>
    </row>
    <row r="3243" spans="1:15">
      <c r="A3243" s="25">
        <v>23164</v>
      </c>
      <c r="B3243" s="34" t="s">
        <v>5111</v>
      </c>
      <c r="C3243" s="31" t="s">
        <v>521</v>
      </c>
      <c r="D3243" s="31" t="s">
        <v>1523</v>
      </c>
      <c r="E3243" s="28">
        <v>43369</v>
      </c>
      <c r="F3243" s="28">
        <v>43399</v>
      </c>
      <c r="G3243" s="28">
        <v>43769</v>
      </c>
      <c r="H3243" s="29" t="s">
        <v>560</v>
      </c>
      <c r="I3243" s="29" t="s">
        <v>560</v>
      </c>
      <c r="J3243" s="29" t="s">
        <v>1825</v>
      </c>
      <c r="K3243" s="29" t="s">
        <v>1825</v>
      </c>
      <c r="L3243" s="29" t="s">
        <v>5074</v>
      </c>
      <c r="M3243" s="29" t="s">
        <v>5112</v>
      </c>
      <c r="N3243" s="29" t="s">
        <v>1541</v>
      </c>
      <c r="O3243" s="29" t="s">
        <v>594</v>
      </c>
    </row>
    <row r="3244" spans="1:15">
      <c r="A3244" s="25">
        <v>23166</v>
      </c>
      <c r="B3244" s="34" t="s">
        <v>5113</v>
      </c>
      <c r="C3244" s="31" t="s">
        <v>521</v>
      </c>
      <c r="D3244" s="31" t="s">
        <v>1523</v>
      </c>
      <c r="E3244" s="28">
        <v>43369</v>
      </c>
      <c r="F3244" s="28">
        <v>43399</v>
      </c>
      <c r="G3244" s="28">
        <v>43769</v>
      </c>
      <c r="H3244" s="29" t="s">
        <v>560</v>
      </c>
      <c r="I3244" s="29" t="s">
        <v>560</v>
      </c>
      <c r="J3244" s="29" t="s">
        <v>1825</v>
      </c>
      <c r="K3244" s="29" t="s">
        <v>1825</v>
      </c>
      <c r="L3244" s="29" t="s">
        <v>5074</v>
      </c>
      <c r="M3244" s="29" t="s">
        <v>5114</v>
      </c>
      <c r="N3244" s="29" t="s">
        <v>1541</v>
      </c>
      <c r="O3244" s="29" t="s">
        <v>594</v>
      </c>
    </row>
    <row r="3245" spans="1:15">
      <c r="A3245" s="25">
        <v>23167</v>
      </c>
      <c r="B3245" s="34" t="s">
        <v>5115</v>
      </c>
      <c r="C3245" s="31" t="s">
        <v>521</v>
      </c>
      <c r="D3245" s="31" t="s">
        <v>1523</v>
      </c>
      <c r="E3245" s="28">
        <v>43369</v>
      </c>
      <c r="F3245" s="28">
        <v>43399</v>
      </c>
      <c r="G3245" s="28">
        <v>43769</v>
      </c>
      <c r="H3245" s="29" t="s">
        <v>560</v>
      </c>
      <c r="I3245" s="29" t="s">
        <v>560</v>
      </c>
      <c r="J3245" s="29" t="s">
        <v>1825</v>
      </c>
      <c r="K3245" s="29" t="s">
        <v>1825</v>
      </c>
      <c r="L3245" s="29" t="s">
        <v>5074</v>
      </c>
      <c r="M3245" s="29" t="s">
        <v>5116</v>
      </c>
      <c r="N3245" s="29" t="s">
        <v>1511</v>
      </c>
      <c r="O3245" s="29" t="s">
        <v>594</v>
      </c>
    </row>
    <row r="3246" spans="1:15">
      <c r="A3246" s="25">
        <v>23266</v>
      </c>
      <c r="B3246" s="34" t="s">
        <v>5117</v>
      </c>
      <c r="C3246" s="31" t="s">
        <v>521</v>
      </c>
      <c r="D3246" s="31" t="s">
        <v>1582</v>
      </c>
      <c r="E3246" s="28">
        <v>43421</v>
      </c>
      <c r="F3246" s="28">
        <v>43451</v>
      </c>
      <c r="G3246" s="28">
        <v>43830</v>
      </c>
      <c r="H3246" s="29" t="s">
        <v>560</v>
      </c>
      <c r="I3246" s="29" t="s">
        <v>560</v>
      </c>
      <c r="J3246" s="29" t="s">
        <v>1825</v>
      </c>
      <c r="K3246" s="29" t="s">
        <v>1825</v>
      </c>
      <c r="L3246" s="29" t="s">
        <v>5074</v>
      </c>
      <c r="M3246" s="29" t="s">
        <v>5118</v>
      </c>
      <c r="N3246" s="29" t="s">
        <v>1511</v>
      </c>
      <c r="O3246" s="29" t="s">
        <v>594</v>
      </c>
    </row>
    <row r="3247" spans="1:15">
      <c r="A3247" s="25">
        <v>23326</v>
      </c>
      <c r="B3247" s="34" t="s">
        <v>5119</v>
      </c>
      <c r="C3247" s="31" t="s">
        <v>521</v>
      </c>
      <c r="D3247" s="31" t="s">
        <v>1527</v>
      </c>
      <c r="E3247" s="28">
        <v>43427</v>
      </c>
      <c r="F3247" s="28">
        <v>43457</v>
      </c>
      <c r="G3247" s="28">
        <v>43830</v>
      </c>
      <c r="H3247" s="29" t="s">
        <v>560</v>
      </c>
      <c r="I3247" s="29" t="s">
        <v>560</v>
      </c>
      <c r="J3247" s="29" t="s">
        <v>1825</v>
      </c>
      <c r="K3247" s="29" t="s">
        <v>1825</v>
      </c>
      <c r="L3247" s="29" t="s">
        <v>5074</v>
      </c>
      <c r="M3247" s="29" t="s">
        <v>5120</v>
      </c>
      <c r="N3247" s="29" t="s">
        <v>1511</v>
      </c>
      <c r="O3247" s="29" t="s">
        <v>594</v>
      </c>
    </row>
    <row r="3248" spans="1:15">
      <c r="A3248" s="25">
        <v>23334</v>
      </c>
      <c r="B3248" s="34" t="s">
        <v>5121</v>
      </c>
      <c r="C3248" s="31" t="s">
        <v>521</v>
      </c>
      <c r="D3248" s="31" t="s">
        <v>1527</v>
      </c>
      <c r="E3248" s="28">
        <v>43427</v>
      </c>
      <c r="F3248" s="28">
        <v>43457</v>
      </c>
      <c r="G3248" s="28">
        <v>43830</v>
      </c>
      <c r="H3248" s="29" t="s">
        <v>560</v>
      </c>
      <c r="I3248" s="29" t="s">
        <v>560</v>
      </c>
      <c r="J3248" s="29" t="s">
        <v>1825</v>
      </c>
      <c r="K3248" s="29" t="s">
        <v>1825</v>
      </c>
      <c r="L3248" s="29" t="s">
        <v>5074</v>
      </c>
      <c r="M3248" s="29" t="s">
        <v>5079</v>
      </c>
      <c r="N3248" s="29" t="s">
        <v>1525</v>
      </c>
      <c r="O3248" s="29" t="s">
        <v>594</v>
      </c>
    </row>
    <row r="3249" spans="1:15">
      <c r="A3249" s="25">
        <v>23368</v>
      </c>
      <c r="B3249" s="34" t="s">
        <v>5122</v>
      </c>
      <c r="C3249" s="31" t="s">
        <v>521</v>
      </c>
      <c r="D3249" s="31" t="s">
        <v>1527</v>
      </c>
      <c r="E3249" s="28">
        <v>43427</v>
      </c>
      <c r="F3249" s="28">
        <v>43457</v>
      </c>
      <c r="G3249" s="28">
        <v>43830</v>
      </c>
      <c r="H3249" s="29" t="s">
        <v>560</v>
      </c>
      <c r="I3249" s="29" t="s">
        <v>560</v>
      </c>
      <c r="J3249" s="29" t="s">
        <v>1825</v>
      </c>
      <c r="K3249" s="29" t="s">
        <v>1825</v>
      </c>
      <c r="L3249" s="29" t="s">
        <v>5074</v>
      </c>
      <c r="M3249" s="29" t="s">
        <v>5123</v>
      </c>
      <c r="N3249" s="29" t="s">
        <v>4597</v>
      </c>
      <c r="O3249" s="29" t="s">
        <v>594</v>
      </c>
    </row>
    <row r="3250" spans="1:15">
      <c r="A3250" s="25" t="s">
        <v>5124</v>
      </c>
      <c r="B3250" s="34" t="s">
        <v>5125</v>
      </c>
      <c r="C3250" s="31" t="s">
        <v>521</v>
      </c>
      <c r="D3250" s="31" t="s">
        <v>892</v>
      </c>
      <c r="E3250" s="28">
        <v>43467</v>
      </c>
      <c r="F3250" s="28">
        <v>43467</v>
      </c>
      <c r="G3250" s="28">
        <v>43497</v>
      </c>
      <c r="H3250" s="29" t="s">
        <v>560</v>
      </c>
      <c r="I3250" s="29" t="s">
        <v>560</v>
      </c>
      <c r="J3250" s="29" t="s">
        <v>1825</v>
      </c>
      <c r="K3250" s="29" t="s">
        <v>1825</v>
      </c>
      <c r="L3250" s="29" t="s">
        <v>5074</v>
      </c>
      <c r="M3250" s="29" t="s">
        <v>5126</v>
      </c>
      <c r="N3250" s="29" t="s">
        <v>1511</v>
      </c>
      <c r="O3250" s="29" t="s">
        <v>594</v>
      </c>
    </row>
    <row r="3251" spans="1:15">
      <c r="A3251" s="25" t="s">
        <v>5127</v>
      </c>
      <c r="B3251" s="34" t="s">
        <v>5128</v>
      </c>
      <c r="C3251" s="31" t="s">
        <v>521</v>
      </c>
      <c r="D3251" s="31" t="s">
        <v>892</v>
      </c>
      <c r="E3251" s="28">
        <v>43467</v>
      </c>
      <c r="F3251" s="28">
        <v>43467</v>
      </c>
      <c r="G3251" s="28">
        <v>43497</v>
      </c>
      <c r="H3251" s="29" t="s">
        <v>560</v>
      </c>
      <c r="I3251" s="29" t="s">
        <v>560</v>
      </c>
      <c r="J3251" s="29" t="s">
        <v>1825</v>
      </c>
      <c r="K3251" s="29" t="s">
        <v>1825</v>
      </c>
      <c r="L3251" s="29" t="s">
        <v>5074</v>
      </c>
      <c r="M3251" s="29" t="s">
        <v>5129</v>
      </c>
      <c r="N3251" s="29" t="s">
        <v>1525</v>
      </c>
      <c r="O3251" s="29" t="s">
        <v>594</v>
      </c>
    </row>
    <row r="3252" spans="1:15">
      <c r="A3252" s="25" t="s">
        <v>5130</v>
      </c>
      <c r="B3252" s="34" t="s">
        <v>5131</v>
      </c>
      <c r="C3252" s="31" t="s">
        <v>521</v>
      </c>
      <c r="D3252" s="31" t="s">
        <v>962</v>
      </c>
      <c r="E3252" s="28">
        <v>43475</v>
      </c>
      <c r="F3252" s="28">
        <v>43475</v>
      </c>
      <c r="G3252" s="28">
        <v>43505</v>
      </c>
      <c r="H3252" s="29" t="s">
        <v>560</v>
      </c>
      <c r="I3252" s="29" t="s">
        <v>560</v>
      </c>
      <c r="J3252" s="29" t="s">
        <v>1825</v>
      </c>
      <c r="K3252" s="29" t="s">
        <v>1825</v>
      </c>
      <c r="L3252" s="29" t="s">
        <v>5074</v>
      </c>
      <c r="M3252" s="29" t="s">
        <v>5132</v>
      </c>
      <c r="N3252" s="29" t="s">
        <v>1525</v>
      </c>
      <c r="O3252" s="29" t="s">
        <v>594</v>
      </c>
    </row>
    <row r="3253" spans="1:15">
      <c r="A3253" s="25">
        <v>21476</v>
      </c>
      <c r="B3253" s="34" t="s">
        <v>5133</v>
      </c>
      <c r="C3253" s="31" t="s">
        <v>521</v>
      </c>
      <c r="D3253" s="31" t="s">
        <v>1804</v>
      </c>
      <c r="E3253" s="28">
        <v>43031</v>
      </c>
      <c r="F3253" s="28">
        <v>43435</v>
      </c>
      <c r="G3253" s="28">
        <v>43799</v>
      </c>
      <c r="H3253" s="29" t="s">
        <v>560</v>
      </c>
      <c r="I3253" s="29" t="s">
        <v>560</v>
      </c>
      <c r="J3253" s="29" t="s">
        <v>1825</v>
      </c>
      <c r="K3253" s="29" t="s">
        <v>1825</v>
      </c>
      <c r="L3253" s="29" t="s">
        <v>5074</v>
      </c>
      <c r="M3253" s="29" t="s">
        <v>5085</v>
      </c>
      <c r="N3253" s="29" t="s">
        <v>1525</v>
      </c>
      <c r="O3253" s="29" t="s">
        <v>528</v>
      </c>
    </row>
    <row r="3254" spans="1:15">
      <c r="A3254" s="25">
        <v>21866</v>
      </c>
      <c r="B3254" s="34" t="s">
        <v>5134</v>
      </c>
      <c r="C3254" s="31" t="s">
        <v>521</v>
      </c>
      <c r="D3254" s="31" t="s">
        <v>1870</v>
      </c>
      <c r="E3254" s="28">
        <v>43103</v>
      </c>
      <c r="F3254" s="28">
        <v>43134</v>
      </c>
      <c r="G3254" s="28">
        <v>43496</v>
      </c>
      <c r="H3254" s="29" t="s">
        <v>560</v>
      </c>
      <c r="I3254" s="29" t="s">
        <v>560</v>
      </c>
      <c r="J3254" s="29" t="s">
        <v>1825</v>
      </c>
      <c r="K3254" s="29" t="s">
        <v>1825</v>
      </c>
      <c r="L3254" s="29" t="s">
        <v>5074</v>
      </c>
      <c r="M3254" s="29" t="s">
        <v>5135</v>
      </c>
      <c r="N3254" s="29" t="s">
        <v>1541</v>
      </c>
      <c r="O3254" s="29" t="s">
        <v>528</v>
      </c>
    </row>
    <row r="3255" spans="1:15">
      <c r="A3255" s="25">
        <v>21869</v>
      </c>
      <c r="B3255" s="34" t="s">
        <v>5136</v>
      </c>
      <c r="C3255" s="31" t="s">
        <v>521</v>
      </c>
      <c r="D3255" s="31" t="s">
        <v>1870</v>
      </c>
      <c r="E3255" s="28">
        <v>43103</v>
      </c>
      <c r="F3255" s="28">
        <v>43134</v>
      </c>
      <c r="G3255" s="28">
        <v>43496</v>
      </c>
      <c r="H3255" s="29" t="s">
        <v>560</v>
      </c>
      <c r="I3255" s="29" t="s">
        <v>560</v>
      </c>
      <c r="J3255" s="29" t="s">
        <v>1825</v>
      </c>
      <c r="K3255" s="29" t="s">
        <v>1825</v>
      </c>
      <c r="L3255" s="29" t="s">
        <v>5074</v>
      </c>
      <c r="M3255" s="29" t="s">
        <v>5137</v>
      </c>
      <c r="N3255" s="29" t="s">
        <v>1525</v>
      </c>
      <c r="O3255" s="29" t="s">
        <v>528</v>
      </c>
    </row>
    <row r="3256" spans="1:15">
      <c r="A3256" s="25">
        <v>21885</v>
      </c>
      <c r="B3256" s="34" t="s">
        <v>5138</v>
      </c>
      <c r="C3256" s="31" t="s">
        <v>521</v>
      </c>
      <c r="D3256" s="31" t="s">
        <v>1870</v>
      </c>
      <c r="E3256" s="28">
        <v>43103</v>
      </c>
      <c r="F3256" s="28">
        <v>43134</v>
      </c>
      <c r="G3256" s="28">
        <v>43496</v>
      </c>
      <c r="H3256" s="29" t="s">
        <v>560</v>
      </c>
      <c r="I3256" s="29" t="s">
        <v>560</v>
      </c>
      <c r="J3256" s="29" t="s">
        <v>1825</v>
      </c>
      <c r="K3256" s="29" t="s">
        <v>1825</v>
      </c>
      <c r="L3256" s="29" t="s">
        <v>5074</v>
      </c>
      <c r="M3256" s="29" t="s">
        <v>5139</v>
      </c>
      <c r="N3256" s="29" t="s">
        <v>1525</v>
      </c>
      <c r="O3256" s="29" t="s">
        <v>528</v>
      </c>
    </row>
    <row r="3257" spans="1:15">
      <c r="A3257" s="25">
        <v>21910</v>
      </c>
      <c r="B3257" s="34" t="s">
        <v>5140</v>
      </c>
      <c r="C3257" s="31" t="s">
        <v>521</v>
      </c>
      <c r="D3257" s="31" t="s">
        <v>1870</v>
      </c>
      <c r="E3257" s="28">
        <v>43103</v>
      </c>
      <c r="F3257" s="28">
        <v>43134</v>
      </c>
      <c r="G3257" s="28">
        <v>43496</v>
      </c>
      <c r="H3257" s="29" t="s">
        <v>560</v>
      </c>
      <c r="I3257" s="29" t="s">
        <v>560</v>
      </c>
      <c r="J3257" s="29" t="s">
        <v>1825</v>
      </c>
      <c r="K3257" s="29" t="s">
        <v>1825</v>
      </c>
      <c r="L3257" s="29" t="s">
        <v>5074</v>
      </c>
      <c r="M3257" s="29" t="s">
        <v>5141</v>
      </c>
      <c r="N3257" s="29" t="s">
        <v>1525</v>
      </c>
      <c r="O3257" s="29" t="s">
        <v>528</v>
      </c>
    </row>
    <row r="3258" spans="1:15">
      <c r="A3258" s="25">
        <v>22673</v>
      </c>
      <c r="B3258" s="34" t="s">
        <v>5142</v>
      </c>
      <c r="C3258" s="31" t="s">
        <v>521</v>
      </c>
      <c r="D3258" s="31" t="s">
        <v>1199</v>
      </c>
      <c r="E3258" s="28">
        <v>43241</v>
      </c>
      <c r="F3258" s="28">
        <v>43272</v>
      </c>
      <c r="G3258" s="28">
        <v>43646</v>
      </c>
      <c r="H3258" s="29" t="s">
        <v>560</v>
      </c>
      <c r="I3258" s="29" t="s">
        <v>560</v>
      </c>
      <c r="J3258" s="29" t="s">
        <v>1825</v>
      </c>
      <c r="K3258" s="29" t="s">
        <v>1825</v>
      </c>
      <c r="L3258" s="29" t="s">
        <v>5074</v>
      </c>
      <c r="M3258" s="29" t="s">
        <v>5108</v>
      </c>
      <c r="N3258" s="29" t="s">
        <v>1525</v>
      </c>
      <c r="O3258" s="29" t="s">
        <v>528</v>
      </c>
    </row>
    <row r="3259" spans="1:15">
      <c r="A3259" s="25">
        <v>22958</v>
      </c>
      <c r="B3259" s="26" t="s">
        <v>5143</v>
      </c>
      <c r="C3259" s="27" t="s">
        <v>521</v>
      </c>
      <c r="D3259" s="27" t="s">
        <v>1962</v>
      </c>
      <c r="E3259" s="28">
        <v>43343</v>
      </c>
      <c r="F3259" s="28">
        <v>43374</v>
      </c>
      <c r="G3259" s="28">
        <v>43738</v>
      </c>
      <c r="H3259" s="27" t="s">
        <v>560</v>
      </c>
      <c r="I3259" s="27" t="s">
        <v>560</v>
      </c>
      <c r="J3259" s="29" t="s">
        <v>1825</v>
      </c>
      <c r="K3259" s="29" t="s">
        <v>1825</v>
      </c>
      <c r="L3259" s="29" t="s">
        <v>5074</v>
      </c>
      <c r="M3259" s="29" t="s">
        <v>5104</v>
      </c>
      <c r="N3259" s="29" t="s">
        <v>1511</v>
      </c>
      <c r="O3259" s="29" t="s">
        <v>528</v>
      </c>
    </row>
    <row r="3260" spans="1:15">
      <c r="A3260" s="25" t="s">
        <v>58</v>
      </c>
      <c r="B3260" s="26" t="s">
        <v>59</v>
      </c>
      <c r="C3260" s="27" t="s">
        <v>521</v>
      </c>
      <c r="D3260" s="27" t="s">
        <v>686</v>
      </c>
      <c r="E3260" s="28">
        <v>40882</v>
      </c>
      <c r="F3260" s="28" t="s">
        <v>35</v>
      </c>
      <c r="G3260" s="28" t="s">
        <v>35</v>
      </c>
      <c r="H3260" s="27" t="s">
        <v>560</v>
      </c>
      <c r="I3260" s="27" t="s">
        <v>560</v>
      </c>
      <c r="J3260" s="29" t="s">
        <v>1825</v>
      </c>
      <c r="K3260" s="29" t="s">
        <v>1825</v>
      </c>
      <c r="L3260" s="29" t="s">
        <v>5074</v>
      </c>
      <c r="M3260" s="29" t="s">
        <v>5144</v>
      </c>
      <c r="N3260" s="29" t="s">
        <v>4597</v>
      </c>
      <c r="O3260" s="29" t="s">
        <v>528</v>
      </c>
    </row>
    <row r="3261" spans="1:15">
      <c r="A3261" s="25">
        <v>23547</v>
      </c>
      <c r="B3261" s="34" t="s">
        <v>5145</v>
      </c>
      <c r="C3261" s="31" t="s">
        <v>521</v>
      </c>
      <c r="D3261" s="31" t="s">
        <v>884</v>
      </c>
      <c r="E3261" s="28">
        <v>43452</v>
      </c>
      <c r="F3261" s="28">
        <v>43483</v>
      </c>
      <c r="G3261" s="28">
        <v>43861</v>
      </c>
      <c r="H3261" s="29" t="s">
        <v>560</v>
      </c>
      <c r="I3261" s="29" t="s">
        <v>560</v>
      </c>
      <c r="J3261" s="29" t="s">
        <v>1825</v>
      </c>
      <c r="K3261" s="29" t="s">
        <v>1825</v>
      </c>
      <c r="L3261" s="29" t="s">
        <v>5074</v>
      </c>
      <c r="M3261" s="29" t="s">
        <v>5146</v>
      </c>
      <c r="N3261" s="29" t="s">
        <v>1586</v>
      </c>
      <c r="O3261" s="29" t="s">
        <v>528</v>
      </c>
    </row>
    <row r="3262" spans="1:15">
      <c r="A3262" s="25">
        <v>23550</v>
      </c>
      <c r="B3262" s="34" t="s">
        <v>5147</v>
      </c>
      <c r="C3262" s="31" t="s">
        <v>521</v>
      </c>
      <c r="D3262" s="31" t="s">
        <v>884</v>
      </c>
      <c r="E3262" s="28">
        <v>43452</v>
      </c>
      <c r="F3262" s="28">
        <v>43483</v>
      </c>
      <c r="G3262" s="28">
        <v>43861</v>
      </c>
      <c r="H3262" s="29" t="s">
        <v>560</v>
      </c>
      <c r="I3262" s="29" t="s">
        <v>560</v>
      </c>
      <c r="J3262" s="29" t="s">
        <v>1825</v>
      </c>
      <c r="K3262" s="29" t="s">
        <v>1825</v>
      </c>
      <c r="L3262" s="29" t="s">
        <v>5074</v>
      </c>
      <c r="M3262" s="29" t="s">
        <v>5148</v>
      </c>
      <c r="N3262" s="29" t="s">
        <v>1586</v>
      </c>
      <c r="O3262" s="29" t="s">
        <v>528</v>
      </c>
    </row>
    <row r="3263" spans="1:15">
      <c r="A3263" s="25">
        <v>305</v>
      </c>
      <c r="B3263" s="33" t="s">
        <v>5149</v>
      </c>
      <c r="C3263" s="27" t="s">
        <v>521</v>
      </c>
      <c r="D3263" s="27" t="s">
        <v>705</v>
      </c>
      <c r="E3263" s="28">
        <v>37725</v>
      </c>
      <c r="F3263" s="28" t="s">
        <v>35</v>
      </c>
      <c r="G3263" s="28" t="s">
        <v>35</v>
      </c>
      <c r="H3263" s="29" t="s">
        <v>560</v>
      </c>
      <c r="I3263" s="29" t="s">
        <v>560</v>
      </c>
      <c r="J3263" s="29" t="s">
        <v>1825</v>
      </c>
      <c r="K3263" s="29" t="s">
        <v>1825</v>
      </c>
      <c r="L3263" s="29" t="s">
        <v>5074</v>
      </c>
      <c r="M3263" s="29" t="s">
        <v>1550</v>
      </c>
      <c r="N3263" s="29" t="s">
        <v>1045</v>
      </c>
      <c r="O3263" s="29" t="s">
        <v>590</v>
      </c>
    </row>
    <row r="3264" spans="1:15">
      <c r="A3264" s="25">
        <v>562</v>
      </c>
      <c r="B3264" s="26" t="s">
        <v>1849</v>
      </c>
      <c r="C3264" s="27" t="s">
        <v>521</v>
      </c>
      <c r="D3264" s="27" t="s">
        <v>589</v>
      </c>
      <c r="E3264" s="28">
        <v>37774</v>
      </c>
      <c r="F3264" s="28" t="s">
        <v>35</v>
      </c>
      <c r="G3264" s="28" t="s">
        <v>35</v>
      </c>
      <c r="H3264" s="27" t="s">
        <v>560</v>
      </c>
      <c r="I3264" s="27" t="s">
        <v>560</v>
      </c>
      <c r="J3264" s="29" t="s">
        <v>1825</v>
      </c>
      <c r="K3264" s="29" t="s">
        <v>1825</v>
      </c>
      <c r="L3264" s="29" t="s">
        <v>5074</v>
      </c>
      <c r="M3264" s="29" t="s">
        <v>5150</v>
      </c>
      <c r="N3264" s="29" t="s">
        <v>1525</v>
      </c>
      <c r="O3264" s="29" t="s">
        <v>590</v>
      </c>
    </row>
    <row r="3265" spans="1:15">
      <c r="A3265" s="25">
        <v>8703</v>
      </c>
      <c r="B3265" s="26" t="s">
        <v>5151</v>
      </c>
      <c r="C3265" s="27" t="s">
        <v>521</v>
      </c>
      <c r="D3265" s="27" t="s">
        <v>692</v>
      </c>
      <c r="E3265" s="28">
        <v>39888</v>
      </c>
      <c r="F3265" s="28" t="s">
        <v>35</v>
      </c>
      <c r="G3265" s="28" t="s">
        <v>35</v>
      </c>
      <c r="H3265" s="27" t="s">
        <v>560</v>
      </c>
      <c r="I3265" s="27" t="s">
        <v>560</v>
      </c>
      <c r="J3265" s="29" t="s">
        <v>1825</v>
      </c>
      <c r="K3265" s="29" t="s">
        <v>1825</v>
      </c>
      <c r="L3265" s="29" t="s">
        <v>5074</v>
      </c>
      <c r="M3265" s="29" t="s">
        <v>5152</v>
      </c>
      <c r="N3265" s="29" t="s">
        <v>1511</v>
      </c>
      <c r="O3265" s="29" t="s">
        <v>590</v>
      </c>
    </row>
    <row r="3266" spans="1:15">
      <c r="A3266" s="25">
        <v>10593</v>
      </c>
      <c r="B3266" s="26" t="s">
        <v>5153</v>
      </c>
      <c r="C3266" s="27" t="s">
        <v>521</v>
      </c>
      <c r="D3266" s="27" t="s">
        <v>602</v>
      </c>
      <c r="E3266" s="28">
        <v>40544</v>
      </c>
      <c r="F3266" s="28" t="s">
        <v>35</v>
      </c>
      <c r="G3266" s="28" t="s">
        <v>35</v>
      </c>
      <c r="H3266" s="27" t="s">
        <v>560</v>
      </c>
      <c r="I3266" s="27" t="s">
        <v>560</v>
      </c>
      <c r="J3266" s="29" t="s">
        <v>1825</v>
      </c>
      <c r="K3266" s="29" t="s">
        <v>1825</v>
      </c>
      <c r="L3266" s="29" t="s">
        <v>5074</v>
      </c>
      <c r="M3266" s="29" t="s">
        <v>1550</v>
      </c>
      <c r="N3266" s="29" t="s">
        <v>1045</v>
      </c>
      <c r="O3266" s="29" t="s">
        <v>590</v>
      </c>
    </row>
    <row r="3267" spans="1:15">
      <c r="A3267" s="25">
        <v>20523</v>
      </c>
      <c r="B3267" s="26" t="s">
        <v>5154</v>
      </c>
      <c r="C3267" s="27" t="s">
        <v>521</v>
      </c>
      <c r="D3267" s="27" t="s">
        <v>1644</v>
      </c>
      <c r="E3267" s="28">
        <v>42634</v>
      </c>
      <c r="F3267" s="28">
        <v>43132</v>
      </c>
      <c r="G3267" s="28">
        <v>43496</v>
      </c>
      <c r="H3267" s="27" t="s">
        <v>560</v>
      </c>
      <c r="I3267" s="27" t="s">
        <v>560</v>
      </c>
      <c r="J3267" s="29" t="s">
        <v>1825</v>
      </c>
      <c r="K3267" s="29" t="s">
        <v>1825</v>
      </c>
      <c r="L3267" s="29" t="s">
        <v>5074</v>
      </c>
      <c r="M3267" s="29" t="s">
        <v>5095</v>
      </c>
      <c r="N3267" s="29" t="s">
        <v>1525</v>
      </c>
      <c r="O3267" s="29" t="s">
        <v>590</v>
      </c>
    </row>
    <row r="3268" spans="1:15">
      <c r="A3268" s="25">
        <v>21275</v>
      </c>
      <c r="B3268" s="34" t="s">
        <v>290</v>
      </c>
      <c r="C3268" s="31" t="s">
        <v>521</v>
      </c>
      <c r="D3268" s="31" t="s">
        <v>1595</v>
      </c>
      <c r="E3268" s="28">
        <v>43010</v>
      </c>
      <c r="F3268" s="28">
        <v>43405</v>
      </c>
      <c r="G3268" s="28">
        <v>43769</v>
      </c>
      <c r="H3268" s="29" t="s">
        <v>560</v>
      </c>
      <c r="I3268" s="29" t="s">
        <v>560</v>
      </c>
      <c r="J3268" s="29" t="s">
        <v>1825</v>
      </c>
      <c r="K3268" s="29" t="s">
        <v>1825</v>
      </c>
      <c r="L3268" s="29" t="s">
        <v>5074</v>
      </c>
      <c r="M3268" s="29" t="s">
        <v>5155</v>
      </c>
      <c r="N3268" s="29" t="s">
        <v>1525</v>
      </c>
      <c r="O3268" s="29" t="s">
        <v>590</v>
      </c>
    </row>
    <row r="3269" spans="1:15">
      <c r="A3269" s="25">
        <v>22434</v>
      </c>
      <c r="B3269" s="26" t="s">
        <v>5156</v>
      </c>
      <c r="C3269" s="27" t="s">
        <v>521</v>
      </c>
      <c r="D3269" s="27" t="s">
        <v>805</v>
      </c>
      <c r="E3269" s="28">
        <v>43213</v>
      </c>
      <c r="F3269" s="28">
        <v>43243</v>
      </c>
      <c r="G3269" s="28">
        <v>43616</v>
      </c>
      <c r="H3269" s="27" t="s">
        <v>560</v>
      </c>
      <c r="I3269" s="27" t="s">
        <v>560</v>
      </c>
      <c r="J3269" s="29" t="s">
        <v>1825</v>
      </c>
      <c r="K3269" s="29" t="s">
        <v>1825</v>
      </c>
      <c r="L3269" s="29" t="s">
        <v>5074</v>
      </c>
      <c r="M3269" s="29" t="s">
        <v>5112</v>
      </c>
      <c r="N3269" s="29" t="s">
        <v>1541</v>
      </c>
      <c r="O3269" s="29" t="s">
        <v>590</v>
      </c>
    </row>
    <row r="3270" spans="1:15">
      <c r="A3270" s="25">
        <v>23123</v>
      </c>
      <c r="B3270" s="34" t="s">
        <v>5157</v>
      </c>
      <c r="C3270" s="31" t="s">
        <v>521</v>
      </c>
      <c r="D3270" s="31" t="s">
        <v>1523</v>
      </c>
      <c r="E3270" s="28">
        <v>43369</v>
      </c>
      <c r="F3270" s="28">
        <v>43399</v>
      </c>
      <c r="G3270" s="28">
        <v>43769</v>
      </c>
      <c r="H3270" s="29" t="s">
        <v>560</v>
      </c>
      <c r="I3270" s="29" t="s">
        <v>560</v>
      </c>
      <c r="J3270" s="29" t="s">
        <v>1825</v>
      </c>
      <c r="K3270" s="29" t="s">
        <v>1825</v>
      </c>
      <c r="L3270" s="29" t="s">
        <v>5074</v>
      </c>
      <c r="M3270" s="29" t="s">
        <v>5106</v>
      </c>
      <c r="N3270" s="29" t="s">
        <v>1525</v>
      </c>
      <c r="O3270" s="29" t="s">
        <v>590</v>
      </c>
    </row>
    <row r="3271" spans="1:15">
      <c r="A3271" s="25">
        <v>23124</v>
      </c>
      <c r="B3271" s="34" t="s">
        <v>5158</v>
      </c>
      <c r="C3271" s="31" t="s">
        <v>521</v>
      </c>
      <c r="D3271" s="31" t="s">
        <v>1523</v>
      </c>
      <c r="E3271" s="28">
        <v>43369</v>
      </c>
      <c r="F3271" s="28">
        <v>43399</v>
      </c>
      <c r="G3271" s="28">
        <v>43769</v>
      </c>
      <c r="H3271" s="29" t="s">
        <v>560</v>
      </c>
      <c r="I3271" s="29" t="s">
        <v>560</v>
      </c>
      <c r="J3271" s="29" t="s">
        <v>1825</v>
      </c>
      <c r="K3271" s="29" t="s">
        <v>1825</v>
      </c>
      <c r="L3271" s="29" t="s">
        <v>5074</v>
      </c>
      <c r="M3271" s="29" t="s">
        <v>5093</v>
      </c>
      <c r="N3271" s="29" t="s">
        <v>1511</v>
      </c>
      <c r="O3271" s="29" t="s">
        <v>590</v>
      </c>
    </row>
    <row r="3272" spans="1:15">
      <c r="A3272" s="25">
        <v>23125</v>
      </c>
      <c r="B3272" s="34" t="s">
        <v>5159</v>
      </c>
      <c r="C3272" s="31" t="s">
        <v>521</v>
      </c>
      <c r="D3272" s="31" t="s">
        <v>1523</v>
      </c>
      <c r="E3272" s="28">
        <v>43369</v>
      </c>
      <c r="F3272" s="28">
        <v>43399</v>
      </c>
      <c r="G3272" s="28">
        <v>43769</v>
      </c>
      <c r="H3272" s="29" t="s">
        <v>560</v>
      </c>
      <c r="I3272" s="29" t="s">
        <v>560</v>
      </c>
      <c r="J3272" s="29" t="s">
        <v>1825</v>
      </c>
      <c r="K3272" s="29" t="s">
        <v>1825</v>
      </c>
      <c r="L3272" s="29" t="s">
        <v>5074</v>
      </c>
      <c r="M3272" s="29" t="s">
        <v>5160</v>
      </c>
      <c r="N3272" s="29" t="s">
        <v>1525</v>
      </c>
      <c r="O3272" s="29" t="s">
        <v>590</v>
      </c>
    </row>
    <row r="3273" spans="1:15">
      <c r="A3273" s="25">
        <v>23168</v>
      </c>
      <c r="B3273" s="34" t="s">
        <v>5161</v>
      </c>
      <c r="C3273" s="31" t="s">
        <v>521</v>
      </c>
      <c r="D3273" s="31" t="s">
        <v>1523</v>
      </c>
      <c r="E3273" s="28">
        <v>43369</v>
      </c>
      <c r="F3273" s="28">
        <v>43399</v>
      </c>
      <c r="G3273" s="28">
        <v>43769</v>
      </c>
      <c r="H3273" s="29" t="s">
        <v>560</v>
      </c>
      <c r="I3273" s="29" t="s">
        <v>560</v>
      </c>
      <c r="J3273" s="29" t="s">
        <v>1825</v>
      </c>
      <c r="K3273" s="29" t="s">
        <v>1825</v>
      </c>
      <c r="L3273" s="29" t="s">
        <v>5074</v>
      </c>
      <c r="M3273" s="29" t="s">
        <v>4798</v>
      </c>
      <c r="N3273" s="29" t="s">
        <v>1541</v>
      </c>
      <c r="O3273" s="29" t="s">
        <v>590</v>
      </c>
    </row>
    <row r="3274" spans="1:15">
      <c r="A3274" s="25">
        <v>23170</v>
      </c>
      <c r="B3274" s="34" t="s">
        <v>5162</v>
      </c>
      <c r="C3274" s="31" t="s">
        <v>521</v>
      </c>
      <c r="D3274" s="31" t="s">
        <v>1523</v>
      </c>
      <c r="E3274" s="28">
        <v>43369</v>
      </c>
      <c r="F3274" s="28">
        <v>43399</v>
      </c>
      <c r="G3274" s="28">
        <v>43769</v>
      </c>
      <c r="H3274" s="29" t="s">
        <v>560</v>
      </c>
      <c r="I3274" s="29" t="s">
        <v>560</v>
      </c>
      <c r="J3274" s="29" t="s">
        <v>1825</v>
      </c>
      <c r="K3274" s="29" t="s">
        <v>1825</v>
      </c>
      <c r="L3274" s="29" t="s">
        <v>5074</v>
      </c>
      <c r="M3274" s="29" t="s">
        <v>5099</v>
      </c>
      <c r="N3274" s="29" t="s">
        <v>1511</v>
      </c>
      <c r="O3274" s="29" t="s">
        <v>590</v>
      </c>
    </row>
    <row r="3275" spans="1:15">
      <c r="A3275" s="25">
        <v>23269</v>
      </c>
      <c r="B3275" s="34" t="s">
        <v>5163</v>
      </c>
      <c r="C3275" s="31" t="s">
        <v>521</v>
      </c>
      <c r="D3275" s="31" t="s">
        <v>1582</v>
      </c>
      <c r="E3275" s="28">
        <v>43421</v>
      </c>
      <c r="F3275" s="28">
        <v>43451</v>
      </c>
      <c r="G3275" s="28">
        <v>43830</v>
      </c>
      <c r="H3275" s="29" t="s">
        <v>560</v>
      </c>
      <c r="I3275" s="29" t="s">
        <v>560</v>
      </c>
      <c r="J3275" s="29" t="s">
        <v>1825</v>
      </c>
      <c r="K3275" s="29" t="s">
        <v>1825</v>
      </c>
      <c r="L3275" s="29" t="s">
        <v>5074</v>
      </c>
      <c r="M3275" s="29" t="s">
        <v>5164</v>
      </c>
      <c r="N3275" s="29" t="s">
        <v>1525</v>
      </c>
      <c r="O3275" s="29" t="s">
        <v>590</v>
      </c>
    </row>
    <row r="3276" spans="1:15">
      <c r="A3276" s="25">
        <v>23335</v>
      </c>
      <c r="B3276" s="34" t="s">
        <v>5165</v>
      </c>
      <c r="C3276" s="31" t="s">
        <v>521</v>
      </c>
      <c r="D3276" s="31" t="s">
        <v>1527</v>
      </c>
      <c r="E3276" s="28">
        <v>43427</v>
      </c>
      <c r="F3276" s="28">
        <v>43457</v>
      </c>
      <c r="G3276" s="28">
        <v>43830</v>
      </c>
      <c r="H3276" s="29" t="s">
        <v>560</v>
      </c>
      <c r="I3276" s="29" t="s">
        <v>560</v>
      </c>
      <c r="J3276" s="29" t="s">
        <v>1825</v>
      </c>
      <c r="K3276" s="29" t="s">
        <v>1825</v>
      </c>
      <c r="L3276" s="29" t="s">
        <v>5074</v>
      </c>
      <c r="M3276" s="29" t="s">
        <v>5166</v>
      </c>
      <c r="N3276" s="29" t="s">
        <v>1525</v>
      </c>
      <c r="O3276" s="29" t="s">
        <v>590</v>
      </c>
    </row>
    <row r="3277" spans="1:15">
      <c r="A3277" s="25">
        <v>23485</v>
      </c>
      <c r="B3277" s="34" t="s">
        <v>5167</v>
      </c>
      <c r="C3277" s="31" t="s">
        <v>521</v>
      </c>
      <c r="D3277" s="31" t="s">
        <v>882</v>
      </c>
      <c r="E3277" s="28">
        <v>43434</v>
      </c>
      <c r="F3277" s="28">
        <v>43464</v>
      </c>
      <c r="G3277" s="28">
        <v>43830</v>
      </c>
      <c r="H3277" s="29" t="s">
        <v>560</v>
      </c>
      <c r="I3277" s="29" t="s">
        <v>560</v>
      </c>
      <c r="J3277" s="29" t="s">
        <v>1825</v>
      </c>
      <c r="K3277" s="29" t="s">
        <v>1825</v>
      </c>
      <c r="L3277" s="29" t="s">
        <v>5074</v>
      </c>
      <c r="M3277" s="29" t="s">
        <v>1593</v>
      </c>
      <c r="N3277" s="29" t="s">
        <v>1586</v>
      </c>
      <c r="O3277" s="29" t="s">
        <v>590</v>
      </c>
    </row>
    <row r="3278" spans="1:15">
      <c r="A3278" s="25" t="s">
        <v>5168</v>
      </c>
      <c r="B3278" s="33" t="s">
        <v>5169</v>
      </c>
      <c r="C3278" s="27" t="s">
        <v>521</v>
      </c>
      <c r="D3278" s="27" t="s">
        <v>5170</v>
      </c>
      <c r="E3278" s="28">
        <v>41522</v>
      </c>
      <c r="F3278" s="28" t="s">
        <v>35</v>
      </c>
      <c r="G3278" s="28" t="s">
        <v>35</v>
      </c>
      <c r="H3278" s="29" t="s">
        <v>560</v>
      </c>
      <c r="I3278" s="29" t="s">
        <v>560</v>
      </c>
      <c r="J3278" s="29" t="s">
        <v>1825</v>
      </c>
      <c r="K3278" s="29" t="s">
        <v>1825</v>
      </c>
      <c r="L3278" s="29" t="s">
        <v>5074</v>
      </c>
      <c r="M3278" s="29" t="s">
        <v>1534</v>
      </c>
      <c r="N3278" s="29" t="s">
        <v>1514</v>
      </c>
      <c r="O3278" s="29" t="s">
        <v>590</v>
      </c>
    </row>
    <row r="3279" spans="1:15">
      <c r="A3279" s="25" t="s">
        <v>5171</v>
      </c>
      <c r="B3279" s="34" t="s">
        <v>5172</v>
      </c>
      <c r="C3279" s="31" t="s">
        <v>521</v>
      </c>
      <c r="D3279" s="31" t="s">
        <v>892</v>
      </c>
      <c r="E3279" s="28">
        <v>43467</v>
      </c>
      <c r="F3279" s="28">
        <v>43467</v>
      </c>
      <c r="G3279" s="28">
        <v>43497</v>
      </c>
      <c r="H3279" s="29" t="s">
        <v>560</v>
      </c>
      <c r="I3279" s="29" t="s">
        <v>560</v>
      </c>
      <c r="J3279" s="29" t="s">
        <v>1825</v>
      </c>
      <c r="K3279" s="29" t="s">
        <v>1825</v>
      </c>
      <c r="L3279" s="29" t="s">
        <v>5074</v>
      </c>
      <c r="M3279" s="29" t="s">
        <v>1593</v>
      </c>
      <c r="N3279" s="29" t="s">
        <v>1586</v>
      </c>
      <c r="O3279" s="29" t="s">
        <v>590</v>
      </c>
    </row>
    <row r="3280" spans="1:15">
      <c r="A3280" s="25" t="s">
        <v>5173</v>
      </c>
      <c r="B3280" s="34" t="s">
        <v>5174</v>
      </c>
      <c r="C3280" s="31" t="s">
        <v>521</v>
      </c>
      <c r="D3280" s="31" t="s">
        <v>892</v>
      </c>
      <c r="E3280" s="28">
        <v>43467</v>
      </c>
      <c r="F3280" s="28">
        <v>43467</v>
      </c>
      <c r="G3280" s="28">
        <v>43497</v>
      </c>
      <c r="H3280" s="29" t="s">
        <v>560</v>
      </c>
      <c r="I3280" s="29" t="s">
        <v>560</v>
      </c>
      <c r="J3280" s="29" t="s">
        <v>1825</v>
      </c>
      <c r="K3280" s="29" t="s">
        <v>1825</v>
      </c>
      <c r="L3280" s="29" t="s">
        <v>5074</v>
      </c>
      <c r="M3280" s="29" t="s">
        <v>5175</v>
      </c>
      <c r="N3280" s="29" t="s">
        <v>1586</v>
      </c>
      <c r="O3280" s="29" t="s">
        <v>590</v>
      </c>
    </row>
    <row r="3281" spans="1:15">
      <c r="A3281" s="25">
        <v>55</v>
      </c>
      <c r="B3281" s="26" t="s">
        <v>5176</v>
      </c>
      <c r="C3281" s="27" t="s">
        <v>521</v>
      </c>
      <c r="D3281" s="27" t="s">
        <v>3715</v>
      </c>
      <c r="E3281" s="28">
        <v>37578</v>
      </c>
      <c r="F3281" s="28" t="s">
        <v>35</v>
      </c>
      <c r="G3281" s="28" t="s">
        <v>35</v>
      </c>
      <c r="H3281" s="27" t="s">
        <v>560</v>
      </c>
      <c r="I3281" s="27" t="s">
        <v>560</v>
      </c>
      <c r="J3281" s="29" t="s">
        <v>1825</v>
      </c>
      <c r="K3281" s="29" t="s">
        <v>1825</v>
      </c>
      <c r="L3281" s="29" t="s">
        <v>5177</v>
      </c>
      <c r="M3281" s="29" t="s">
        <v>5093</v>
      </c>
      <c r="N3281" s="29" t="s">
        <v>1511</v>
      </c>
      <c r="O3281" s="29" t="s">
        <v>590</v>
      </c>
    </row>
    <row r="3282" spans="1:15">
      <c r="A3282" s="25">
        <v>311</v>
      </c>
      <c r="B3282" s="26" t="s">
        <v>5178</v>
      </c>
      <c r="C3282" s="27" t="s">
        <v>521</v>
      </c>
      <c r="D3282" s="27" t="s">
        <v>705</v>
      </c>
      <c r="E3282" s="28">
        <v>37725</v>
      </c>
      <c r="F3282" s="28" t="s">
        <v>35</v>
      </c>
      <c r="G3282" s="28" t="s">
        <v>35</v>
      </c>
      <c r="H3282" s="27" t="s">
        <v>560</v>
      </c>
      <c r="I3282" s="27" t="s">
        <v>560</v>
      </c>
      <c r="J3282" s="29" t="s">
        <v>1825</v>
      </c>
      <c r="K3282" s="29" t="s">
        <v>1825</v>
      </c>
      <c r="L3282" s="29" t="s">
        <v>5177</v>
      </c>
      <c r="M3282" s="29" t="s">
        <v>1550</v>
      </c>
      <c r="N3282" s="29" t="s">
        <v>1045</v>
      </c>
      <c r="O3282" s="29" t="s">
        <v>590</v>
      </c>
    </row>
    <row r="3283" spans="1:15">
      <c r="A3283" s="25">
        <v>1305</v>
      </c>
      <c r="B3283" s="34" t="s">
        <v>400</v>
      </c>
      <c r="C3283" s="31" t="s">
        <v>521</v>
      </c>
      <c r="D3283" s="31" t="s">
        <v>831</v>
      </c>
      <c r="E3283" s="28">
        <v>37928</v>
      </c>
      <c r="F3283" s="28" t="s">
        <v>35</v>
      </c>
      <c r="G3283" s="28" t="s">
        <v>35</v>
      </c>
      <c r="H3283" s="29" t="s">
        <v>560</v>
      </c>
      <c r="I3283" s="29" t="s">
        <v>560</v>
      </c>
      <c r="J3283" s="29" t="s">
        <v>1825</v>
      </c>
      <c r="K3283" s="29" t="s">
        <v>1825</v>
      </c>
      <c r="L3283" s="29" t="s">
        <v>5177</v>
      </c>
      <c r="M3283" s="29" t="s">
        <v>5100</v>
      </c>
      <c r="N3283" s="29" t="s">
        <v>4597</v>
      </c>
      <c r="O3283" s="29" t="s">
        <v>590</v>
      </c>
    </row>
    <row r="3284" spans="1:15">
      <c r="A3284" s="25">
        <v>10100</v>
      </c>
      <c r="B3284" s="26" t="s">
        <v>504</v>
      </c>
      <c r="C3284" s="27" t="s">
        <v>521</v>
      </c>
      <c r="D3284" s="27" t="s">
        <v>601</v>
      </c>
      <c r="E3284" s="28">
        <v>40444</v>
      </c>
      <c r="F3284" s="28" t="s">
        <v>35</v>
      </c>
      <c r="G3284" s="28" t="s">
        <v>35</v>
      </c>
      <c r="H3284" s="27" t="s">
        <v>560</v>
      </c>
      <c r="I3284" s="27" t="s">
        <v>560</v>
      </c>
      <c r="J3284" s="29" t="s">
        <v>1825</v>
      </c>
      <c r="K3284" s="29" t="s">
        <v>1825</v>
      </c>
      <c r="L3284" s="29" t="s">
        <v>5177</v>
      </c>
      <c r="M3284" s="29" t="s">
        <v>5086</v>
      </c>
      <c r="N3284" s="29" t="s">
        <v>4597</v>
      </c>
      <c r="O3284" s="29" t="s">
        <v>590</v>
      </c>
    </row>
    <row r="3285" spans="1:15">
      <c r="A3285" s="25">
        <v>10513</v>
      </c>
      <c r="B3285" s="26" t="s">
        <v>5179</v>
      </c>
      <c r="C3285" s="27" t="s">
        <v>521</v>
      </c>
      <c r="D3285" s="27" t="s">
        <v>738</v>
      </c>
      <c r="E3285" s="28">
        <v>40535</v>
      </c>
      <c r="F3285" s="28" t="s">
        <v>35</v>
      </c>
      <c r="G3285" s="28" t="s">
        <v>35</v>
      </c>
      <c r="H3285" s="27" t="s">
        <v>560</v>
      </c>
      <c r="I3285" s="27" t="s">
        <v>560</v>
      </c>
      <c r="J3285" s="29" t="s">
        <v>1825</v>
      </c>
      <c r="K3285" s="29" t="s">
        <v>1825</v>
      </c>
      <c r="L3285" s="29" t="s">
        <v>5177</v>
      </c>
      <c r="M3285" s="29" t="s">
        <v>5180</v>
      </c>
      <c r="N3285" s="29" t="s">
        <v>4597</v>
      </c>
      <c r="O3285" s="29" t="s">
        <v>590</v>
      </c>
    </row>
    <row r="3286" spans="1:15">
      <c r="A3286" s="25">
        <v>11345</v>
      </c>
      <c r="B3286" s="34" t="s">
        <v>5181</v>
      </c>
      <c r="C3286" s="31" t="s">
        <v>521</v>
      </c>
      <c r="D3286" s="31" t="s">
        <v>1499</v>
      </c>
      <c r="E3286" s="28">
        <v>40672</v>
      </c>
      <c r="F3286" s="28" t="s">
        <v>35</v>
      </c>
      <c r="G3286" s="28" t="s">
        <v>35</v>
      </c>
      <c r="H3286" s="29" t="s">
        <v>560</v>
      </c>
      <c r="I3286" s="29" t="s">
        <v>560</v>
      </c>
      <c r="J3286" s="29" t="s">
        <v>1825</v>
      </c>
      <c r="K3286" s="29" t="s">
        <v>1825</v>
      </c>
      <c r="L3286" s="29" t="s">
        <v>5177</v>
      </c>
      <c r="M3286" s="29" t="s">
        <v>5182</v>
      </c>
      <c r="N3286" s="29" t="s">
        <v>1511</v>
      </c>
      <c r="O3286" s="29" t="s">
        <v>590</v>
      </c>
    </row>
    <row r="3287" spans="1:15">
      <c r="A3287" s="25">
        <v>12934</v>
      </c>
      <c r="B3287" s="34" t="s">
        <v>5183</v>
      </c>
      <c r="C3287" s="31" t="s">
        <v>521</v>
      </c>
      <c r="D3287" s="31" t="s">
        <v>688</v>
      </c>
      <c r="E3287" s="28">
        <v>40833</v>
      </c>
      <c r="F3287" s="28" t="s">
        <v>35</v>
      </c>
      <c r="G3287" s="28" t="s">
        <v>35</v>
      </c>
      <c r="H3287" s="29" t="s">
        <v>560</v>
      </c>
      <c r="I3287" s="29" t="s">
        <v>560</v>
      </c>
      <c r="J3287" s="29" t="s">
        <v>1825</v>
      </c>
      <c r="K3287" s="29" t="s">
        <v>1825</v>
      </c>
      <c r="L3287" s="29" t="s">
        <v>5177</v>
      </c>
      <c r="M3287" s="29" t="s">
        <v>1534</v>
      </c>
      <c r="N3287" s="29" t="s">
        <v>1514</v>
      </c>
      <c r="O3287" s="29" t="s">
        <v>590</v>
      </c>
    </row>
    <row r="3288" spans="1:15">
      <c r="A3288" s="25">
        <v>20723</v>
      </c>
      <c r="B3288" s="26" t="s">
        <v>5184</v>
      </c>
      <c r="C3288" s="27" t="s">
        <v>521</v>
      </c>
      <c r="D3288" s="27" t="s">
        <v>815</v>
      </c>
      <c r="E3288" s="28">
        <v>42642</v>
      </c>
      <c r="F3288" s="28">
        <v>43132</v>
      </c>
      <c r="G3288" s="28">
        <v>43496</v>
      </c>
      <c r="H3288" s="27" t="s">
        <v>560</v>
      </c>
      <c r="I3288" s="31" t="s">
        <v>560</v>
      </c>
      <c r="J3288" s="29" t="s">
        <v>1825</v>
      </c>
      <c r="K3288" s="29" t="s">
        <v>1825</v>
      </c>
      <c r="L3288" s="29" t="s">
        <v>5177</v>
      </c>
      <c r="M3288" s="29" t="s">
        <v>5185</v>
      </c>
      <c r="N3288" s="29" t="s">
        <v>1511</v>
      </c>
      <c r="O3288" s="29" t="s">
        <v>590</v>
      </c>
    </row>
    <row r="3289" spans="1:15">
      <c r="A3289" s="25">
        <v>21181</v>
      </c>
      <c r="B3289" s="26" t="s">
        <v>292</v>
      </c>
      <c r="C3289" s="27" t="s">
        <v>521</v>
      </c>
      <c r="D3289" s="27" t="s">
        <v>1676</v>
      </c>
      <c r="E3289" s="28">
        <v>42871</v>
      </c>
      <c r="F3289" s="28">
        <v>43374</v>
      </c>
      <c r="G3289" s="28">
        <v>43738</v>
      </c>
      <c r="H3289" s="25" t="s">
        <v>560</v>
      </c>
      <c r="I3289" s="31" t="s">
        <v>560</v>
      </c>
      <c r="J3289" s="29" t="s">
        <v>1825</v>
      </c>
      <c r="K3289" s="29" t="s">
        <v>1825</v>
      </c>
      <c r="L3289" s="29" t="s">
        <v>5177</v>
      </c>
      <c r="M3289" s="29" t="s">
        <v>5186</v>
      </c>
      <c r="N3289" s="29" t="s">
        <v>1525</v>
      </c>
      <c r="O3289" s="29" t="s">
        <v>590</v>
      </c>
    </row>
    <row r="3290" spans="1:15">
      <c r="A3290" s="25">
        <v>22442</v>
      </c>
      <c r="B3290" s="26" t="s">
        <v>5187</v>
      </c>
      <c r="C3290" s="27" t="s">
        <v>521</v>
      </c>
      <c r="D3290" s="27" t="s">
        <v>1577</v>
      </c>
      <c r="E3290" s="28">
        <v>43220</v>
      </c>
      <c r="F3290" s="28">
        <v>43250</v>
      </c>
      <c r="G3290" s="28">
        <v>43616</v>
      </c>
      <c r="H3290" s="27" t="s">
        <v>560</v>
      </c>
      <c r="I3290" s="27" t="s">
        <v>560</v>
      </c>
      <c r="J3290" s="29" t="s">
        <v>1825</v>
      </c>
      <c r="K3290" s="29" t="s">
        <v>1825</v>
      </c>
      <c r="L3290" s="29" t="s">
        <v>5177</v>
      </c>
      <c r="M3290" s="29" t="s">
        <v>5120</v>
      </c>
      <c r="N3290" s="29" t="s">
        <v>1511</v>
      </c>
      <c r="O3290" s="29" t="s">
        <v>590</v>
      </c>
    </row>
    <row r="3291" spans="1:15">
      <c r="A3291" s="25">
        <v>22465</v>
      </c>
      <c r="B3291" s="26" t="s">
        <v>5188</v>
      </c>
      <c r="C3291" s="27" t="s">
        <v>521</v>
      </c>
      <c r="D3291" s="27" t="s">
        <v>1577</v>
      </c>
      <c r="E3291" s="28">
        <v>43220</v>
      </c>
      <c r="F3291" s="28">
        <v>43250</v>
      </c>
      <c r="G3291" s="28">
        <v>43616</v>
      </c>
      <c r="H3291" s="27" t="s">
        <v>560</v>
      </c>
      <c r="I3291" s="27" t="s">
        <v>560</v>
      </c>
      <c r="J3291" s="29" t="s">
        <v>1825</v>
      </c>
      <c r="K3291" s="29" t="s">
        <v>1825</v>
      </c>
      <c r="L3291" s="29" t="s">
        <v>5177</v>
      </c>
      <c r="M3291" s="29" t="s">
        <v>5112</v>
      </c>
      <c r="N3291" s="29" t="s">
        <v>1541</v>
      </c>
      <c r="O3291" s="29" t="s">
        <v>590</v>
      </c>
    </row>
    <row r="3292" spans="1:15">
      <c r="A3292" s="25">
        <v>22666</v>
      </c>
      <c r="B3292" s="34" t="s">
        <v>230</v>
      </c>
      <c r="C3292" s="31" t="s">
        <v>521</v>
      </c>
      <c r="D3292" s="31" t="s">
        <v>1199</v>
      </c>
      <c r="E3292" s="28">
        <v>43241</v>
      </c>
      <c r="F3292" s="28">
        <v>43272</v>
      </c>
      <c r="G3292" s="28">
        <v>43646</v>
      </c>
      <c r="H3292" s="29" t="s">
        <v>560</v>
      </c>
      <c r="I3292" s="29" t="s">
        <v>560</v>
      </c>
      <c r="J3292" s="29" t="s">
        <v>1825</v>
      </c>
      <c r="K3292" s="29" t="s">
        <v>1825</v>
      </c>
      <c r="L3292" s="29" t="s">
        <v>5177</v>
      </c>
      <c r="M3292" s="29" t="s">
        <v>5079</v>
      </c>
      <c r="N3292" s="29" t="s">
        <v>1525</v>
      </c>
      <c r="O3292" s="29" t="s">
        <v>590</v>
      </c>
    </row>
    <row r="3293" spans="1:15">
      <c r="A3293" s="25">
        <v>22690</v>
      </c>
      <c r="B3293" s="26" t="s">
        <v>5189</v>
      </c>
      <c r="C3293" s="27" t="s">
        <v>521</v>
      </c>
      <c r="D3293" s="27" t="s">
        <v>1195</v>
      </c>
      <c r="E3293" s="28">
        <v>43244</v>
      </c>
      <c r="F3293" s="28">
        <v>43275</v>
      </c>
      <c r="G3293" s="28">
        <v>43646</v>
      </c>
      <c r="H3293" s="27" t="s">
        <v>560</v>
      </c>
      <c r="I3293" s="27" t="s">
        <v>560</v>
      </c>
      <c r="J3293" s="29" t="s">
        <v>1825</v>
      </c>
      <c r="K3293" s="29" t="s">
        <v>1825</v>
      </c>
      <c r="L3293" s="29" t="s">
        <v>5177</v>
      </c>
      <c r="M3293" s="29" t="s">
        <v>4798</v>
      </c>
      <c r="N3293" s="29" t="s">
        <v>1541</v>
      </c>
      <c r="O3293" s="29" t="s">
        <v>590</v>
      </c>
    </row>
    <row r="3294" spans="1:15">
      <c r="A3294" s="25">
        <v>23610</v>
      </c>
      <c r="B3294" s="34" t="s">
        <v>5190</v>
      </c>
      <c r="C3294" s="31" t="s">
        <v>521</v>
      </c>
      <c r="D3294" s="31" t="s">
        <v>884</v>
      </c>
      <c r="E3294" s="28">
        <v>43452</v>
      </c>
      <c r="F3294" s="28">
        <v>43483</v>
      </c>
      <c r="G3294" s="28">
        <v>43861</v>
      </c>
      <c r="H3294" s="29" t="s">
        <v>560</v>
      </c>
      <c r="I3294" s="29" t="s">
        <v>560</v>
      </c>
      <c r="J3294" s="29" t="s">
        <v>1825</v>
      </c>
      <c r="K3294" s="29" t="s">
        <v>1825</v>
      </c>
      <c r="L3294" s="29" t="s">
        <v>5177</v>
      </c>
      <c r="M3294" s="29" t="s">
        <v>1593</v>
      </c>
      <c r="N3294" s="29" t="s">
        <v>1586</v>
      </c>
      <c r="O3294" s="29" t="s">
        <v>590</v>
      </c>
    </row>
    <row r="3295" spans="1:15">
      <c r="A3295" s="25">
        <v>12571</v>
      </c>
      <c r="B3295" s="26" t="s">
        <v>5191</v>
      </c>
      <c r="C3295" s="27" t="s">
        <v>521</v>
      </c>
      <c r="D3295" s="27" t="s">
        <v>722</v>
      </c>
      <c r="E3295" s="28">
        <v>40812</v>
      </c>
      <c r="F3295" s="28" t="s">
        <v>35</v>
      </c>
      <c r="G3295" s="28" t="s">
        <v>35</v>
      </c>
      <c r="H3295" s="29" t="s">
        <v>560</v>
      </c>
      <c r="I3295" s="29" t="s">
        <v>560</v>
      </c>
      <c r="J3295" s="29" t="s">
        <v>2130</v>
      </c>
      <c r="K3295" s="29" t="s">
        <v>2131</v>
      </c>
      <c r="L3295" s="29" t="s">
        <v>5192</v>
      </c>
      <c r="M3295" s="29" t="s">
        <v>1550</v>
      </c>
      <c r="N3295" s="29" t="s">
        <v>1045</v>
      </c>
      <c r="O3295" s="29" t="s">
        <v>528</v>
      </c>
    </row>
    <row r="3296" spans="1:15">
      <c r="A3296" s="25">
        <v>20663</v>
      </c>
      <c r="B3296" s="26" t="s">
        <v>5193</v>
      </c>
      <c r="C3296" s="27" t="s">
        <v>521</v>
      </c>
      <c r="D3296" s="27" t="s">
        <v>673</v>
      </c>
      <c r="E3296" s="28">
        <v>42639</v>
      </c>
      <c r="F3296" s="28">
        <v>43132</v>
      </c>
      <c r="G3296" s="28">
        <v>43496</v>
      </c>
      <c r="H3296" s="25" t="s">
        <v>560</v>
      </c>
      <c r="I3296" s="25" t="s">
        <v>560</v>
      </c>
      <c r="J3296" s="29" t="s">
        <v>2130</v>
      </c>
      <c r="K3296" s="29" t="s">
        <v>2131</v>
      </c>
      <c r="L3296" s="29" t="s">
        <v>5192</v>
      </c>
      <c r="M3296" s="29" t="s">
        <v>5194</v>
      </c>
      <c r="N3296" s="29" t="s">
        <v>1525</v>
      </c>
      <c r="O3296" s="29" t="s">
        <v>528</v>
      </c>
    </row>
    <row r="3297" spans="1:15">
      <c r="A3297" s="25">
        <v>22352</v>
      </c>
      <c r="B3297" s="34" t="s">
        <v>243</v>
      </c>
      <c r="C3297" s="31" t="s">
        <v>521</v>
      </c>
      <c r="D3297" s="31" t="s">
        <v>694</v>
      </c>
      <c r="E3297" s="28">
        <v>43195</v>
      </c>
      <c r="F3297" s="28">
        <v>43225</v>
      </c>
      <c r="G3297" s="28">
        <v>43585</v>
      </c>
      <c r="H3297" s="29" t="s">
        <v>560</v>
      </c>
      <c r="I3297" s="29" t="s">
        <v>560</v>
      </c>
      <c r="J3297" s="29" t="s">
        <v>2130</v>
      </c>
      <c r="K3297" s="29" t="s">
        <v>2131</v>
      </c>
      <c r="L3297" s="29" t="s">
        <v>5192</v>
      </c>
      <c r="M3297" s="29" t="s">
        <v>5195</v>
      </c>
      <c r="N3297" s="29" t="s">
        <v>4597</v>
      </c>
      <c r="O3297" s="29" t="s">
        <v>528</v>
      </c>
    </row>
    <row r="3298" spans="1:15">
      <c r="A3298" s="25">
        <v>22871</v>
      </c>
      <c r="B3298" s="34" t="s">
        <v>5196</v>
      </c>
      <c r="C3298" s="31" t="s">
        <v>521</v>
      </c>
      <c r="D3298" s="31" t="s">
        <v>775</v>
      </c>
      <c r="E3298" s="28">
        <v>43333</v>
      </c>
      <c r="F3298" s="28">
        <v>43364</v>
      </c>
      <c r="G3298" s="28">
        <v>43738</v>
      </c>
      <c r="H3298" s="29" t="s">
        <v>560</v>
      </c>
      <c r="I3298" s="29" t="s">
        <v>560</v>
      </c>
      <c r="J3298" s="29" t="s">
        <v>2130</v>
      </c>
      <c r="K3298" s="29" t="s">
        <v>2131</v>
      </c>
      <c r="L3298" s="29" t="s">
        <v>5192</v>
      </c>
      <c r="M3298" s="29" t="s">
        <v>5197</v>
      </c>
      <c r="N3298" s="29" t="s">
        <v>1511</v>
      </c>
      <c r="O3298" s="29" t="s">
        <v>528</v>
      </c>
    </row>
    <row r="3299" spans="1:15">
      <c r="A3299" s="25">
        <v>23312</v>
      </c>
      <c r="B3299" s="34" t="s">
        <v>5198</v>
      </c>
      <c r="C3299" s="31" t="s">
        <v>521</v>
      </c>
      <c r="D3299" s="31" t="s">
        <v>1527</v>
      </c>
      <c r="E3299" s="28">
        <v>43427</v>
      </c>
      <c r="F3299" s="28">
        <v>43457</v>
      </c>
      <c r="G3299" s="28">
        <v>43830</v>
      </c>
      <c r="H3299" s="29" t="s">
        <v>560</v>
      </c>
      <c r="I3299" s="29" t="s">
        <v>560</v>
      </c>
      <c r="J3299" s="29" t="s">
        <v>2130</v>
      </c>
      <c r="K3299" s="29" t="s">
        <v>2131</v>
      </c>
      <c r="L3299" s="29" t="s">
        <v>5192</v>
      </c>
      <c r="M3299" s="29" t="s">
        <v>5199</v>
      </c>
      <c r="N3299" s="29" t="s">
        <v>1511</v>
      </c>
      <c r="O3299" s="29" t="s">
        <v>528</v>
      </c>
    </row>
    <row r="3300" spans="1:15">
      <c r="A3300" s="25">
        <v>23476</v>
      </c>
      <c r="B3300" s="34" t="s">
        <v>5200</v>
      </c>
      <c r="C3300" s="31" t="s">
        <v>521</v>
      </c>
      <c r="D3300" s="31" t="s">
        <v>882</v>
      </c>
      <c r="E3300" s="28">
        <v>43434</v>
      </c>
      <c r="F3300" s="28">
        <v>43464</v>
      </c>
      <c r="G3300" s="28">
        <v>43830</v>
      </c>
      <c r="H3300" s="29" t="s">
        <v>560</v>
      </c>
      <c r="I3300" s="29" t="s">
        <v>560</v>
      </c>
      <c r="J3300" s="29" t="s">
        <v>2130</v>
      </c>
      <c r="K3300" s="29" t="s">
        <v>2131</v>
      </c>
      <c r="L3300" s="29" t="s">
        <v>5192</v>
      </c>
      <c r="M3300" s="29" t="s">
        <v>5201</v>
      </c>
      <c r="N3300" s="29" t="s">
        <v>1511</v>
      </c>
      <c r="O3300" s="29" t="s">
        <v>590</v>
      </c>
    </row>
    <row r="3301" spans="1:15">
      <c r="A3301" s="25">
        <v>77</v>
      </c>
      <c r="B3301" s="32" t="s">
        <v>5202</v>
      </c>
      <c r="C3301" s="27" t="s">
        <v>521</v>
      </c>
      <c r="D3301" s="27" t="s">
        <v>3715</v>
      </c>
      <c r="E3301" s="28">
        <v>37578</v>
      </c>
      <c r="F3301" s="28" t="s">
        <v>35</v>
      </c>
      <c r="G3301" s="28" t="s">
        <v>35</v>
      </c>
      <c r="H3301" s="29" t="s">
        <v>560</v>
      </c>
      <c r="I3301" s="29" t="s">
        <v>560</v>
      </c>
      <c r="J3301" s="29" t="s">
        <v>1901</v>
      </c>
      <c r="K3301" s="29" t="s">
        <v>1902</v>
      </c>
      <c r="L3301" s="29" t="s">
        <v>5203</v>
      </c>
      <c r="M3301" s="29" t="s">
        <v>1550</v>
      </c>
      <c r="N3301" s="29" t="s">
        <v>1045</v>
      </c>
      <c r="O3301" s="29" t="s">
        <v>594</v>
      </c>
    </row>
    <row r="3302" spans="1:15">
      <c r="A3302" s="25">
        <v>8859</v>
      </c>
      <c r="B3302" s="26" t="s">
        <v>5204</v>
      </c>
      <c r="C3302" s="27" t="s">
        <v>521</v>
      </c>
      <c r="D3302" s="27" t="s">
        <v>813</v>
      </c>
      <c r="E3302" s="28">
        <v>39937</v>
      </c>
      <c r="F3302" s="28" t="s">
        <v>35</v>
      </c>
      <c r="G3302" s="28" t="s">
        <v>35</v>
      </c>
      <c r="H3302" s="27" t="s">
        <v>560</v>
      </c>
      <c r="I3302" s="27" t="s">
        <v>560</v>
      </c>
      <c r="J3302" s="29" t="s">
        <v>1901</v>
      </c>
      <c r="K3302" s="29" t="s">
        <v>1902</v>
      </c>
      <c r="L3302" s="29" t="s">
        <v>5203</v>
      </c>
      <c r="M3302" s="29" t="s">
        <v>5205</v>
      </c>
      <c r="N3302" s="29" t="s">
        <v>1511</v>
      </c>
      <c r="O3302" s="29" t="s">
        <v>594</v>
      </c>
    </row>
    <row r="3303" spans="1:15">
      <c r="A3303" s="25">
        <v>10532</v>
      </c>
      <c r="B3303" s="26" t="s">
        <v>480</v>
      </c>
      <c r="C3303" s="27" t="s">
        <v>521</v>
      </c>
      <c r="D3303" s="27" t="s">
        <v>738</v>
      </c>
      <c r="E3303" s="28">
        <v>40535</v>
      </c>
      <c r="F3303" s="28" t="s">
        <v>35</v>
      </c>
      <c r="G3303" s="28" t="s">
        <v>35</v>
      </c>
      <c r="H3303" s="29" t="s">
        <v>560</v>
      </c>
      <c r="I3303" s="29" t="s">
        <v>560</v>
      </c>
      <c r="J3303" s="29" t="s">
        <v>1901</v>
      </c>
      <c r="K3303" s="29" t="s">
        <v>1902</v>
      </c>
      <c r="L3303" s="29" t="s">
        <v>5203</v>
      </c>
      <c r="M3303" s="29" t="s">
        <v>1534</v>
      </c>
      <c r="N3303" s="29" t="s">
        <v>1514</v>
      </c>
      <c r="O3303" s="29" t="s">
        <v>594</v>
      </c>
    </row>
    <row r="3304" spans="1:15">
      <c r="A3304" s="25">
        <v>19100</v>
      </c>
      <c r="B3304" s="26" t="s">
        <v>5206</v>
      </c>
      <c r="C3304" s="27" t="s">
        <v>521</v>
      </c>
      <c r="D3304" s="27" t="s">
        <v>797</v>
      </c>
      <c r="E3304" s="28">
        <v>42254</v>
      </c>
      <c r="F3304" s="28" t="s">
        <v>35</v>
      </c>
      <c r="G3304" s="28" t="s">
        <v>35</v>
      </c>
      <c r="H3304" s="27" t="s">
        <v>560</v>
      </c>
      <c r="I3304" s="27" t="s">
        <v>560</v>
      </c>
      <c r="J3304" s="29" t="s">
        <v>1901</v>
      </c>
      <c r="K3304" s="29" t="s">
        <v>1902</v>
      </c>
      <c r="L3304" s="29" t="s">
        <v>5203</v>
      </c>
      <c r="M3304" s="29" t="s">
        <v>5207</v>
      </c>
      <c r="N3304" s="29" t="s">
        <v>1525</v>
      </c>
      <c r="O3304" s="29" t="s">
        <v>594</v>
      </c>
    </row>
    <row r="3305" spans="1:15">
      <c r="A3305" s="25">
        <v>20789</v>
      </c>
      <c r="B3305" s="26" t="s">
        <v>5208</v>
      </c>
      <c r="C3305" s="27" t="s">
        <v>521</v>
      </c>
      <c r="D3305" s="27" t="s">
        <v>5209</v>
      </c>
      <c r="E3305" s="28">
        <v>42649</v>
      </c>
      <c r="F3305" s="28">
        <v>43132</v>
      </c>
      <c r="G3305" s="28">
        <v>43496</v>
      </c>
      <c r="H3305" s="27" t="s">
        <v>560</v>
      </c>
      <c r="I3305" s="27" t="s">
        <v>560</v>
      </c>
      <c r="J3305" s="27" t="s">
        <v>1901</v>
      </c>
      <c r="K3305" s="27" t="s">
        <v>1902</v>
      </c>
      <c r="L3305" s="27" t="s">
        <v>5203</v>
      </c>
      <c r="M3305" s="29" t="s">
        <v>4798</v>
      </c>
      <c r="N3305" s="29" t="s">
        <v>1541</v>
      </c>
      <c r="O3305" s="29" t="s">
        <v>594</v>
      </c>
    </row>
    <row r="3306" spans="1:15">
      <c r="A3306" s="25">
        <v>20820</v>
      </c>
      <c r="B3306" s="26" t="s">
        <v>3622</v>
      </c>
      <c r="C3306" s="27" t="s">
        <v>521</v>
      </c>
      <c r="D3306" s="27" t="s">
        <v>1684</v>
      </c>
      <c r="E3306" s="28">
        <v>42649</v>
      </c>
      <c r="F3306" s="28">
        <v>43132</v>
      </c>
      <c r="G3306" s="28">
        <v>43496</v>
      </c>
      <c r="H3306" s="25" t="s">
        <v>560</v>
      </c>
      <c r="I3306" s="29" t="s">
        <v>560</v>
      </c>
      <c r="J3306" s="29" t="s">
        <v>1901</v>
      </c>
      <c r="K3306" s="29" t="s">
        <v>1902</v>
      </c>
      <c r="L3306" s="29" t="s">
        <v>5203</v>
      </c>
      <c r="M3306" s="29" t="s">
        <v>5210</v>
      </c>
      <c r="N3306" s="29" t="s">
        <v>1525</v>
      </c>
      <c r="O3306" s="29" t="s">
        <v>594</v>
      </c>
    </row>
    <row r="3307" spans="1:15">
      <c r="A3307" s="25">
        <v>21468</v>
      </c>
      <c r="B3307" s="34" t="s">
        <v>284</v>
      </c>
      <c r="C3307" s="31" t="s">
        <v>521</v>
      </c>
      <c r="D3307" s="31" t="s">
        <v>2166</v>
      </c>
      <c r="E3307" s="28">
        <v>43024</v>
      </c>
      <c r="F3307" s="28">
        <v>43435</v>
      </c>
      <c r="G3307" s="28">
        <v>43799</v>
      </c>
      <c r="H3307" s="29" t="s">
        <v>560</v>
      </c>
      <c r="I3307" s="29" t="s">
        <v>560</v>
      </c>
      <c r="J3307" s="29" t="s">
        <v>1901</v>
      </c>
      <c r="K3307" s="29" t="s">
        <v>1902</v>
      </c>
      <c r="L3307" s="29" t="s">
        <v>5203</v>
      </c>
      <c r="M3307" s="29" t="s">
        <v>5211</v>
      </c>
      <c r="N3307" s="29" t="s">
        <v>1525</v>
      </c>
      <c r="O3307" s="29" t="s">
        <v>594</v>
      </c>
    </row>
    <row r="3308" spans="1:15">
      <c r="A3308" s="25">
        <v>21936</v>
      </c>
      <c r="B3308" s="34" t="s">
        <v>5212</v>
      </c>
      <c r="C3308" s="31" t="s">
        <v>521</v>
      </c>
      <c r="D3308" s="31" t="s">
        <v>740</v>
      </c>
      <c r="E3308" s="28">
        <v>43111</v>
      </c>
      <c r="F3308" s="28">
        <v>43142</v>
      </c>
      <c r="G3308" s="28">
        <v>43496</v>
      </c>
      <c r="H3308" s="29" t="s">
        <v>560</v>
      </c>
      <c r="I3308" s="29" t="s">
        <v>560</v>
      </c>
      <c r="J3308" s="29" t="s">
        <v>1901</v>
      </c>
      <c r="K3308" s="29" t="s">
        <v>1902</v>
      </c>
      <c r="L3308" s="29" t="s">
        <v>5203</v>
      </c>
      <c r="M3308" s="29" t="s">
        <v>5213</v>
      </c>
      <c r="N3308" s="29" t="s">
        <v>1511</v>
      </c>
      <c r="O3308" s="29" t="s">
        <v>594</v>
      </c>
    </row>
    <row r="3309" spans="1:15">
      <c r="A3309" s="25">
        <v>22096</v>
      </c>
      <c r="B3309" s="34" t="s">
        <v>5214</v>
      </c>
      <c r="C3309" s="31" t="s">
        <v>521</v>
      </c>
      <c r="D3309" s="31" t="s">
        <v>769</v>
      </c>
      <c r="E3309" s="28">
        <v>43150</v>
      </c>
      <c r="F3309" s="28">
        <v>43178</v>
      </c>
      <c r="G3309" s="28">
        <v>43555</v>
      </c>
      <c r="H3309" s="29" t="s">
        <v>560</v>
      </c>
      <c r="I3309" s="29" t="s">
        <v>560</v>
      </c>
      <c r="J3309" s="29" t="s">
        <v>1901</v>
      </c>
      <c r="K3309" s="29" t="s">
        <v>1902</v>
      </c>
      <c r="L3309" s="29" t="s">
        <v>5203</v>
      </c>
      <c r="M3309" s="29" t="s">
        <v>5215</v>
      </c>
      <c r="N3309" s="29" t="s">
        <v>1525</v>
      </c>
      <c r="O3309" s="29" t="s">
        <v>594</v>
      </c>
    </row>
    <row r="3310" spans="1:15">
      <c r="A3310" s="25">
        <v>22168</v>
      </c>
      <c r="B3310" s="34" t="s">
        <v>256</v>
      </c>
      <c r="C3310" s="31" t="s">
        <v>521</v>
      </c>
      <c r="D3310" s="31" t="s">
        <v>1201</v>
      </c>
      <c r="E3310" s="28">
        <v>43158</v>
      </c>
      <c r="F3310" s="28">
        <v>43186</v>
      </c>
      <c r="G3310" s="28">
        <v>43555</v>
      </c>
      <c r="H3310" s="29" t="s">
        <v>560</v>
      </c>
      <c r="I3310" s="29" t="s">
        <v>560</v>
      </c>
      <c r="J3310" s="29" t="s">
        <v>1901</v>
      </c>
      <c r="K3310" s="29" t="s">
        <v>1902</v>
      </c>
      <c r="L3310" s="29" t="s">
        <v>5203</v>
      </c>
      <c r="M3310" s="29" t="s">
        <v>5216</v>
      </c>
      <c r="N3310" s="29" t="s">
        <v>1525</v>
      </c>
      <c r="O3310" s="29" t="s">
        <v>594</v>
      </c>
    </row>
    <row r="3311" spans="1:15">
      <c r="A3311" s="25">
        <v>23052</v>
      </c>
      <c r="B3311" s="34" t="s">
        <v>5217</v>
      </c>
      <c r="C3311" s="31" t="s">
        <v>521</v>
      </c>
      <c r="D3311" s="31" t="s">
        <v>1872</v>
      </c>
      <c r="E3311" s="28">
        <v>43361</v>
      </c>
      <c r="F3311" s="28">
        <v>43391</v>
      </c>
      <c r="G3311" s="28">
        <v>43769</v>
      </c>
      <c r="H3311" s="29" t="s">
        <v>560</v>
      </c>
      <c r="I3311" s="29" t="s">
        <v>560</v>
      </c>
      <c r="J3311" s="29" t="s">
        <v>1901</v>
      </c>
      <c r="K3311" s="29" t="s">
        <v>1902</v>
      </c>
      <c r="L3311" s="29" t="s">
        <v>5203</v>
      </c>
      <c r="M3311" s="29" t="s">
        <v>5218</v>
      </c>
      <c r="N3311" s="29" t="s">
        <v>1525</v>
      </c>
      <c r="O3311" s="29" t="s">
        <v>594</v>
      </c>
    </row>
    <row r="3312" spans="1:15">
      <c r="A3312" s="25">
        <v>23068</v>
      </c>
      <c r="B3312" s="34" t="s">
        <v>5219</v>
      </c>
      <c r="C3312" s="31" t="s">
        <v>521</v>
      </c>
      <c r="D3312" s="31" t="s">
        <v>1872</v>
      </c>
      <c r="E3312" s="28">
        <v>43361</v>
      </c>
      <c r="F3312" s="28">
        <v>43391</v>
      </c>
      <c r="G3312" s="28">
        <v>43769</v>
      </c>
      <c r="H3312" s="29" t="s">
        <v>560</v>
      </c>
      <c r="I3312" s="29" t="s">
        <v>560</v>
      </c>
      <c r="J3312" s="29" t="s">
        <v>1901</v>
      </c>
      <c r="K3312" s="29" t="s">
        <v>1902</v>
      </c>
      <c r="L3312" s="29" t="s">
        <v>5203</v>
      </c>
      <c r="M3312" s="29" t="s">
        <v>1543</v>
      </c>
      <c r="N3312" s="29" t="s">
        <v>1541</v>
      </c>
      <c r="O3312" s="29" t="s">
        <v>594</v>
      </c>
    </row>
    <row r="3313" spans="1:15">
      <c r="A3313" s="25">
        <v>23122</v>
      </c>
      <c r="B3313" s="34" t="s">
        <v>5220</v>
      </c>
      <c r="C3313" s="31" t="s">
        <v>521</v>
      </c>
      <c r="D3313" s="31" t="s">
        <v>1523</v>
      </c>
      <c r="E3313" s="28">
        <v>43369</v>
      </c>
      <c r="F3313" s="28">
        <v>43399</v>
      </c>
      <c r="G3313" s="28">
        <v>43769</v>
      </c>
      <c r="H3313" s="29" t="s">
        <v>560</v>
      </c>
      <c r="I3313" s="29" t="s">
        <v>560</v>
      </c>
      <c r="J3313" s="29" t="s">
        <v>1901</v>
      </c>
      <c r="K3313" s="29" t="s">
        <v>1902</v>
      </c>
      <c r="L3313" s="29" t="s">
        <v>5203</v>
      </c>
      <c r="M3313" s="29" t="s">
        <v>5221</v>
      </c>
      <c r="N3313" s="29" t="s">
        <v>1525</v>
      </c>
      <c r="O3313" s="29" t="s">
        <v>594</v>
      </c>
    </row>
    <row r="3314" spans="1:15">
      <c r="A3314" s="25">
        <v>23207</v>
      </c>
      <c r="B3314" s="34" t="s">
        <v>5222</v>
      </c>
      <c r="C3314" s="31" t="s">
        <v>521</v>
      </c>
      <c r="D3314" s="31" t="s">
        <v>1582</v>
      </c>
      <c r="E3314" s="28">
        <v>43421</v>
      </c>
      <c r="F3314" s="28">
        <v>43451</v>
      </c>
      <c r="G3314" s="28">
        <v>43830</v>
      </c>
      <c r="H3314" s="29" t="s">
        <v>560</v>
      </c>
      <c r="I3314" s="29" t="s">
        <v>560</v>
      </c>
      <c r="J3314" s="29" t="s">
        <v>1901</v>
      </c>
      <c r="K3314" s="29" t="s">
        <v>1902</v>
      </c>
      <c r="L3314" s="29" t="s">
        <v>5203</v>
      </c>
      <c r="M3314" s="29" t="s">
        <v>5164</v>
      </c>
      <c r="N3314" s="29" t="s">
        <v>1525</v>
      </c>
      <c r="O3314" s="29" t="s">
        <v>594</v>
      </c>
    </row>
    <row r="3315" spans="1:15">
      <c r="A3315" s="25">
        <v>23405</v>
      </c>
      <c r="B3315" s="34" t="s">
        <v>5223</v>
      </c>
      <c r="C3315" s="31" t="s">
        <v>521</v>
      </c>
      <c r="D3315" s="31" t="s">
        <v>882</v>
      </c>
      <c r="E3315" s="28">
        <v>43434</v>
      </c>
      <c r="F3315" s="28">
        <v>43464</v>
      </c>
      <c r="G3315" s="28">
        <v>43830</v>
      </c>
      <c r="H3315" s="29" t="s">
        <v>560</v>
      </c>
      <c r="I3315" s="29" t="s">
        <v>560</v>
      </c>
      <c r="J3315" s="29" t="s">
        <v>1901</v>
      </c>
      <c r="K3315" s="29" t="s">
        <v>1902</v>
      </c>
      <c r="L3315" s="29" t="s">
        <v>5203</v>
      </c>
      <c r="M3315" s="29" t="s">
        <v>5224</v>
      </c>
      <c r="N3315" s="29" t="s">
        <v>1586</v>
      </c>
      <c r="O3315" s="29" t="s">
        <v>594</v>
      </c>
    </row>
    <row r="3316" spans="1:15">
      <c r="A3316" s="25">
        <v>23534</v>
      </c>
      <c r="B3316" s="34" t="s">
        <v>5225</v>
      </c>
      <c r="C3316" s="31" t="s">
        <v>521</v>
      </c>
      <c r="D3316" s="31" t="s">
        <v>1588</v>
      </c>
      <c r="E3316" s="28">
        <v>43441</v>
      </c>
      <c r="F3316" s="28">
        <v>43472</v>
      </c>
      <c r="G3316" s="28">
        <v>43830</v>
      </c>
      <c r="H3316" s="29" t="s">
        <v>560</v>
      </c>
      <c r="I3316" s="29" t="s">
        <v>560</v>
      </c>
      <c r="J3316" s="29" t="s">
        <v>1901</v>
      </c>
      <c r="K3316" s="29" t="s">
        <v>1902</v>
      </c>
      <c r="L3316" s="29" t="s">
        <v>5203</v>
      </c>
      <c r="M3316" s="29" t="s">
        <v>5226</v>
      </c>
      <c r="N3316" s="29" t="s">
        <v>1586</v>
      </c>
      <c r="O3316" s="29" t="s">
        <v>594</v>
      </c>
    </row>
    <row r="3317" spans="1:15">
      <c r="A3317" s="25" t="s">
        <v>33</v>
      </c>
      <c r="B3317" s="26" t="s">
        <v>34</v>
      </c>
      <c r="C3317" s="27" t="s">
        <v>521</v>
      </c>
      <c r="D3317" s="27" t="s">
        <v>5227</v>
      </c>
      <c r="E3317" s="28">
        <v>41835</v>
      </c>
      <c r="F3317" s="28" t="s">
        <v>35</v>
      </c>
      <c r="G3317" s="28" t="s">
        <v>35</v>
      </c>
      <c r="H3317" s="27" t="s">
        <v>560</v>
      </c>
      <c r="I3317" s="27" t="s">
        <v>560</v>
      </c>
      <c r="J3317" s="29" t="s">
        <v>1901</v>
      </c>
      <c r="K3317" s="29" t="s">
        <v>1902</v>
      </c>
      <c r="L3317" s="29" t="s">
        <v>5203</v>
      </c>
      <c r="M3317" s="29" t="s">
        <v>5228</v>
      </c>
      <c r="N3317" s="29" t="s">
        <v>4597</v>
      </c>
      <c r="O3317" s="29" t="s">
        <v>594</v>
      </c>
    </row>
    <row r="3318" spans="1:15">
      <c r="A3318" s="25" t="s">
        <v>5229</v>
      </c>
      <c r="B3318" s="34" t="s">
        <v>5230</v>
      </c>
      <c r="C3318" s="31" t="s">
        <v>521</v>
      </c>
      <c r="D3318" s="31" t="s">
        <v>892</v>
      </c>
      <c r="E3318" s="28">
        <v>43467</v>
      </c>
      <c r="F3318" s="28">
        <v>43467</v>
      </c>
      <c r="G3318" s="28">
        <v>43497</v>
      </c>
      <c r="H3318" s="29" t="s">
        <v>560</v>
      </c>
      <c r="I3318" s="29" t="s">
        <v>560</v>
      </c>
      <c r="J3318" s="29" t="s">
        <v>1901</v>
      </c>
      <c r="K3318" s="29" t="s">
        <v>1902</v>
      </c>
      <c r="L3318" s="29" t="s">
        <v>5203</v>
      </c>
      <c r="M3318" s="29" t="s">
        <v>4750</v>
      </c>
      <c r="N3318" s="29" t="s">
        <v>1586</v>
      </c>
      <c r="O3318" s="29" t="s">
        <v>594</v>
      </c>
    </row>
    <row r="3319" spans="1:15">
      <c r="A3319" s="25">
        <v>23611</v>
      </c>
      <c r="B3319" s="34" t="s">
        <v>5231</v>
      </c>
      <c r="C3319" s="31" t="s">
        <v>521</v>
      </c>
      <c r="D3319" s="31" t="s">
        <v>884</v>
      </c>
      <c r="E3319" s="28">
        <v>43452</v>
      </c>
      <c r="F3319" s="28">
        <v>43483</v>
      </c>
      <c r="G3319" s="28">
        <v>43861</v>
      </c>
      <c r="H3319" s="29" t="s">
        <v>560</v>
      </c>
      <c r="I3319" s="29" t="s">
        <v>560</v>
      </c>
      <c r="J3319" s="29" t="s">
        <v>1901</v>
      </c>
      <c r="K3319" s="29" t="s">
        <v>1902</v>
      </c>
      <c r="L3319" s="29" t="s">
        <v>5203</v>
      </c>
      <c r="M3319" s="29" t="s">
        <v>4750</v>
      </c>
      <c r="N3319" s="29" t="s">
        <v>1586</v>
      </c>
      <c r="O3319" s="29" t="s">
        <v>528</v>
      </c>
    </row>
    <row r="3320" spans="1:15">
      <c r="A3320" s="25">
        <v>5912</v>
      </c>
      <c r="B3320" s="26" t="s">
        <v>5232</v>
      </c>
      <c r="C3320" s="27" t="s">
        <v>521</v>
      </c>
      <c r="D3320" s="27" t="s">
        <v>713</v>
      </c>
      <c r="E3320" s="28">
        <v>39129</v>
      </c>
      <c r="F3320" s="28" t="s">
        <v>35</v>
      </c>
      <c r="G3320" s="28" t="s">
        <v>35</v>
      </c>
      <c r="H3320" s="29" t="s">
        <v>560</v>
      </c>
      <c r="I3320" s="29" t="s">
        <v>560</v>
      </c>
      <c r="J3320" s="29" t="s">
        <v>1901</v>
      </c>
      <c r="K3320" s="29" t="s">
        <v>1902</v>
      </c>
      <c r="L3320" s="29" t="s">
        <v>5203</v>
      </c>
      <c r="M3320" s="29" t="s">
        <v>1550</v>
      </c>
      <c r="N3320" s="29" t="s">
        <v>1045</v>
      </c>
      <c r="O3320" s="29" t="s">
        <v>590</v>
      </c>
    </row>
    <row r="3321" spans="1:15">
      <c r="A3321" s="25">
        <v>11546</v>
      </c>
      <c r="B3321" s="26" t="s">
        <v>5233</v>
      </c>
      <c r="C3321" s="27" t="s">
        <v>521</v>
      </c>
      <c r="D3321" s="27" t="s">
        <v>841</v>
      </c>
      <c r="E3321" s="28">
        <v>40707</v>
      </c>
      <c r="F3321" s="28" t="s">
        <v>35</v>
      </c>
      <c r="G3321" s="28" t="s">
        <v>35</v>
      </c>
      <c r="H3321" s="27" t="s">
        <v>560</v>
      </c>
      <c r="I3321" s="27" t="s">
        <v>560</v>
      </c>
      <c r="J3321" s="27" t="s">
        <v>1901</v>
      </c>
      <c r="K3321" s="27" t="s">
        <v>1902</v>
      </c>
      <c r="L3321" s="27" t="s">
        <v>5203</v>
      </c>
      <c r="M3321" s="29" t="s">
        <v>5234</v>
      </c>
      <c r="N3321" s="29" t="s">
        <v>1525</v>
      </c>
      <c r="O3321" s="29" t="s">
        <v>590</v>
      </c>
    </row>
    <row r="3322" spans="1:15">
      <c r="A3322" s="25">
        <v>20451</v>
      </c>
      <c r="B3322" s="26" t="s">
        <v>5235</v>
      </c>
      <c r="C3322" s="27" t="s">
        <v>521</v>
      </c>
      <c r="D3322" s="27" t="s">
        <v>1644</v>
      </c>
      <c r="E3322" s="28">
        <v>42634</v>
      </c>
      <c r="F3322" s="28">
        <v>43132</v>
      </c>
      <c r="G3322" s="28">
        <v>43496</v>
      </c>
      <c r="H3322" s="25" t="s">
        <v>560</v>
      </c>
      <c r="I3322" s="27" t="s">
        <v>560</v>
      </c>
      <c r="J3322" s="27" t="s">
        <v>1901</v>
      </c>
      <c r="K3322" s="27" t="s">
        <v>1902</v>
      </c>
      <c r="L3322" s="27" t="s">
        <v>5203</v>
      </c>
      <c r="M3322" s="29" t="s">
        <v>5236</v>
      </c>
      <c r="N3322" s="29" t="s">
        <v>1511</v>
      </c>
      <c r="O3322" s="29" t="s">
        <v>590</v>
      </c>
    </row>
    <row r="3323" spans="1:15">
      <c r="A3323" s="25">
        <v>20644</v>
      </c>
      <c r="B3323" s="26" t="s">
        <v>5237</v>
      </c>
      <c r="C3323" s="27" t="s">
        <v>521</v>
      </c>
      <c r="D3323" s="27" t="s">
        <v>673</v>
      </c>
      <c r="E3323" s="28">
        <v>42639</v>
      </c>
      <c r="F3323" s="28">
        <v>43132</v>
      </c>
      <c r="G3323" s="28">
        <v>43496</v>
      </c>
      <c r="H3323" s="25" t="s">
        <v>560</v>
      </c>
      <c r="I3323" s="25" t="s">
        <v>560</v>
      </c>
      <c r="J3323" s="27" t="s">
        <v>1901</v>
      </c>
      <c r="K3323" s="27" t="s">
        <v>1902</v>
      </c>
      <c r="L3323" s="27" t="s">
        <v>5203</v>
      </c>
      <c r="M3323" s="29" t="s">
        <v>5238</v>
      </c>
      <c r="N3323" s="29" t="s">
        <v>1511</v>
      </c>
      <c r="O3323" s="29" t="s">
        <v>590</v>
      </c>
    </row>
    <row r="3324" spans="1:15">
      <c r="A3324" s="25">
        <v>21020</v>
      </c>
      <c r="B3324" s="26" t="s">
        <v>5239</v>
      </c>
      <c r="C3324" s="27" t="s">
        <v>521</v>
      </c>
      <c r="D3324" s="27" t="s">
        <v>766</v>
      </c>
      <c r="E3324" s="28">
        <v>42702</v>
      </c>
      <c r="F3324" s="28">
        <v>43191</v>
      </c>
      <c r="G3324" s="28">
        <v>43555</v>
      </c>
      <c r="H3324" s="31" t="s">
        <v>560</v>
      </c>
      <c r="I3324" s="31" t="s">
        <v>560</v>
      </c>
      <c r="J3324" s="27" t="s">
        <v>1901</v>
      </c>
      <c r="K3324" s="27" t="s">
        <v>1902</v>
      </c>
      <c r="L3324" s="27" t="s">
        <v>5203</v>
      </c>
      <c r="M3324" s="29" t="s">
        <v>5240</v>
      </c>
      <c r="N3324" s="29" t="s">
        <v>1525</v>
      </c>
      <c r="O3324" s="29" t="s">
        <v>590</v>
      </c>
    </row>
    <row r="3325" spans="1:15">
      <c r="A3325" s="25">
        <v>21293</v>
      </c>
      <c r="B3325" s="34" t="s">
        <v>289</v>
      </c>
      <c r="C3325" s="31" t="s">
        <v>521</v>
      </c>
      <c r="D3325" s="31" t="s">
        <v>1595</v>
      </c>
      <c r="E3325" s="28">
        <v>43010</v>
      </c>
      <c r="F3325" s="28">
        <v>43405</v>
      </c>
      <c r="G3325" s="28">
        <v>43769</v>
      </c>
      <c r="H3325" s="29" t="s">
        <v>560</v>
      </c>
      <c r="I3325" s="29" t="s">
        <v>560</v>
      </c>
      <c r="J3325" s="29" t="s">
        <v>1901</v>
      </c>
      <c r="K3325" s="29" t="s">
        <v>1902</v>
      </c>
      <c r="L3325" s="29" t="s">
        <v>5203</v>
      </c>
      <c r="M3325" s="29" t="s">
        <v>5228</v>
      </c>
      <c r="N3325" s="29" t="s">
        <v>4597</v>
      </c>
      <c r="O3325" s="29" t="s">
        <v>590</v>
      </c>
    </row>
    <row r="3326" spans="1:15">
      <c r="A3326" s="25">
        <v>21856</v>
      </c>
      <c r="B3326" s="34" t="s">
        <v>265</v>
      </c>
      <c r="C3326" s="31" t="s">
        <v>521</v>
      </c>
      <c r="D3326" s="31" t="s">
        <v>732</v>
      </c>
      <c r="E3326" s="28">
        <v>43098</v>
      </c>
      <c r="F3326" s="28">
        <v>43129</v>
      </c>
      <c r="G3326" s="28">
        <v>43496</v>
      </c>
      <c r="H3326" s="29" t="s">
        <v>560</v>
      </c>
      <c r="I3326" s="29" t="s">
        <v>560</v>
      </c>
      <c r="J3326" s="29" t="s">
        <v>1901</v>
      </c>
      <c r="K3326" s="29" t="s">
        <v>1902</v>
      </c>
      <c r="L3326" s="29" t="s">
        <v>5203</v>
      </c>
      <c r="M3326" s="29" t="s">
        <v>5241</v>
      </c>
      <c r="N3326" s="29" t="s">
        <v>1525</v>
      </c>
      <c r="O3326" s="29" t="s">
        <v>590</v>
      </c>
    </row>
    <row r="3327" spans="1:15">
      <c r="A3327" s="25">
        <v>22456</v>
      </c>
      <c r="B3327" s="34" t="s">
        <v>5242</v>
      </c>
      <c r="C3327" s="31" t="s">
        <v>521</v>
      </c>
      <c r="D3327" s="31" t="s">
        <v>1577</v>
      </c>
      <c r="E3327" s="28">
        <v>43220</v>
      </c>
      <c r="F3327" s="28">
        <v>43250</v>
      </c>
      <c r="G3327" s="28">
        <v>43616</v>
      </c>
      <c r="H3327" s="29" t="s">
        <v>560</v>
      </c>
      <c r="I3327" s="29" t="s">
        <v>560</v>
      </c>
      <c r="J3327" s="29" t="s">
        <v>1901</v>
      </c>
      <c r="K3327" s="29" t="s">
        <v>1902</v>
      </c>
      <c r="L3327" s="29" t="s">
        <v>5203</v>
      </c>
      <c r="M3327" s="29" t="s">
        <v>5243</v>
      </c>
      <c r="N3327" s="29" t="s">
        <v>1525</v>
      </c>
      <c r="O3327" s="29" t="s">
        <v>590</v>
      </c>
    </row>
    <row r="3328" spans="1:15">
      <c r="A3328" s="25">
        <v>22565</v>
      </c>
      <c r="B3328" s="34" t="s">
        <v>5244</v>
      </c>
      <c r="C3328" s="31" t="s">
        <v>521</v>
      </c>
      <c r="D3328" s="31" t="s">
        <v>773</v>
      </c>
      <c r="E3328" s="28">
        <v>43224</v>
      </c>
      <c r="F3328" s="28">
        <v>43255</v>
      </c>
      <c r="G3328" s="28">
        <v>43616</v>
      </c>
      <c r="H3328" s="29" t="s">
        <v>560</v>
      </c>
      <c r="I3328" s="29" t="s">
        <v>560</v>
      </c>
      <c r="J3328" s="29" t="s">
        <v>1901</v>
      </c>
      <c r="K3328" s="29" t="s">
        <v>1902</v>
      </c>
      <c r="L3328" s="29" t="s">
        <v>5203</v>
      </c>
      <c r="M3328" s="29" t="s">
        <v>5205</v>
      </c>
      <c r="N3328" s="29" t="s">
        <v>1511</v>
      </c>
      <c r="O3328" s="29" t="s">
        <v>590</v>
      </c>
    </row>
    <row r="3329" spans="1:15">
      <c r="A3329" s="25">
        <v>22598</v>
      </c>
      <c r="B3329" s="34" t="s">
        <v>233</v>
      </c>
      <c r="C3329" s="31" t="s">
        <v>521</v>
      </c>
      <c r="D3329" s="31" t="s">
        <v>745</v>
      </c>
      <c r="E3329" s="28">
        <v>43236</v>
      </c>
      <c r="F3329" s="28">
        <v>43267</v>
      </c>
      <c r="G3329" s="28">
        <v>43646</v>
      </c>
      <c r="H3329" s="29" t="s">
        <v>560</v>
      </c>
      <c r="I3329" s="29" t="s">
        <v>560</v>
      </c>
      <c r="J3329" s="29" t="s">
        <v>1901</v>
      </c>
      <c r="K3329" s="29" t="s">
        <v>1902</v>
      </c>
      <c r="L3329" s="29" t="s">
        <v>5203</v>
      </c>
      <c r="M3329" s="29" t="s">
        <v>5245</v>
      </c>
      <c r="N3329" s="29" t="s">
        <v>1525</v>
      </c>
      <c r="O3329" s="29" t="s">
        <v>590</v>
      </c>
    </row>
    <row r="3330" spans="1:15">
      <c r="A3330" s="25">
        <v>22632</v>
      </c>
      <c r="B3330" s="34" t="s">
        <v>5246</v>
      </c>
      <c r="C3330" s="31" t="s">
        <v>521</v>
      </c>
      <c r="D3330" s="31" t="s">
        <v>745</v>
      </c>
      <c r="E3330" s="28">
        <v>43236</v>
      </c>
      <c r="F3330" s="28">
        <v>43267</v>
      </c>
      <c r="G3330" s="28">
        <v>43646</v>
      </c>
      <c r="H3330" s="29" t="s">
        <v>560</v>
      </c>
      <c r="I3330" s="29" t="s">
        <v>560</v>
      </c>
      <c r="J3330" s="29" t="s">
        <v>1901</v>
      </c>
      <c r="K3330" s="29" t="s">
        <v>1902</v>
      </c>
      <c r="L3330" s="29" t="s">
        <v>5203</v>
      </c>
      <c r="M3330" s="29" t="s">
        <v>4798</v>
      </c>
      <c r="N3330" s="29" t="s">
        <v>1541</v>
      </c>
      <c r="O3330" s="29" t="s">
        <v>590</v>
      </c>
    </row>
    <row r="3331" spans="1:15">
      <c r="A3331" s="25">
        <v>22687</v>
      </c>
      <c r="B3331" s="34" t="s">
        <v>5247</v>
      </c>
      <c r="C3331" s="31" t="s">
        <v>521</v>
      </c>
      <c r="D3331" s="31" t="s">
        <v>1199</v>
      </c>
      <c r="E3331" s="28">
        <v>43241</v>
      </c>
      <c r="F3331" s="28">
        <v>43272</v>
      </c>
      <c r="G3331" s="28">
        <v>43646</v>
      </c>
      <c r="H3331" s="29" t="s">
        <v>560</v>
      </c>
      <c r="I3331" s="29" t="s">
        <v>560</v>
      </c>
      <c r="J3331" s="29" t="s">
        <v>1901</v>
      </c>
      <c r="K3331" s="29" t="s">
        <v>1902</v>
      </c>
      <c r="L3331" s="29" t="s">
        <v>5203</v>
      </c>
      <c r="M3331" s="29" t="s">
        <v>1543</v>
      </c>
      <c r="N3331" s="29" t="s">
        <v>1541</v>
      </c>
      <c r="O3331" s="29" t="s">
        <v>590</v>
      </c>
    </row>
    <row r="3332" spans="1:15">
      <c r="A3332" s="25">
        <v>22728</v>
      </c>
      <c r="B3332" s="34" t="s">
        <v>5248</v>
      </c>
      <c r="C3332" s="31" t="s">
        <v>521</v>
      </c>
      <c r="D3332" s="31" t="s">
        <v>771</v>
      </c>
      <c r="E3332" s="28">
        <v>43255</v>
      </c>
      <c r="F3332" s="28">
        <v>43285</v>
      </c>
      <c r="G3332" s="28">
        <v>43646</v>
      </c>
      <c r="H3332" s="29" t="s">
        <v>560</v>
      </c>
      <c r="I3332" s="29" t="s">
        <v>560</v>
      </c>
      <c r="J3332" s="29" t="s">
        <v>1901</v>
      </c>
      <c r="K3332" s="29" t="s">
        <v>1902</v>
      </c>
      <c r="L3332" s="29" t="s">
        <v>5203</v>
      </c>
      <c r="M3332" s="29" t="s">
        <v>5249</v>
      </c>
      <c r="N3332" s="29" t="s">
        <v>1514</v>
      </c>
      <c r="O3332" s="29" t="s">
        <v>590</v>
      </c>
    </row>
    <row r="3333" spans="1:15">
      <c r="A3333" s="25">
        <v>22830</v>
      </c>
      <c r="B3333" s="34" t="s">
        <v>222</v>
      </c>
      <c r="C3333" s="31" t="s">
        <v>521</v>
      </c>
      <c r="D3333" s="31" t="s">
        <v>775</v>
      </c>
      <c r="E3333" s="28">
        <v>43333</v>
      </c>
      <c r="F3333" s="28">
        <v>43364</v>
      </c>
      <c r="G3333" s="28">
        <v>43738</v>
      </c>
      <c r="H3333" s="29" t="s">
        <v>560</v>
      </c>
      <c r="I3333" s="29" t="s">
        <v>560</v>
      </c>
      <c r="J3333" s="29" t="s">
        <v>1901</v>
      </c>
      <c r="K3333" s="29" t="s">
        <v>1902</v>
      </c>
      <c r="L3333" s="29" t="s">
        <v>5203</v>
      </c>
      <c r="M3333" s="29" t="s">
        <v>5211</v>
      </c>
      <c r="N3333" s="29" t="s">
        <v>1525</v>
      </c>
      <c r="O3333" s="29" t="s">
        <v>590</v>
      </c>
    </row>
    <row r="3334" spans="1:15">
      <c r="A3334" s="25">
        <v>22950</v>
      </c>
      <c r="B3334" s="34" t="s">
        <v>5250</v>
      </c>
      <c r="C3334" s="31" t="s">
        <v>521</v>
      </c>
      <c r="D3334" s="31" t="s">
        <v>1962</v>
      </c>
      <c r="E3334" s="28">
        <v>43343</v>
      </c>
      <c r="F3334" s="28">
        <v>43374</v>
      </c>
      <c r="G3334" s="28">
        <v>43738</v>
      </c>
      <c r="H3334" s="29" t="s">
        <v>560</v>
      </c>
      <c r="I3334" s="29" t="s">
        <v>560</v>
      </c>
      <c r="J3334" s="29" t="s">
        <v>1901</v>
      </c>
      <c r="K3334" s="29" t="s">
        <v>1902</v>
      </c>
      <c r="L3334" s="29" t="s">
        <v>5203</v>
      </c>
      <c r="M3334" s="29" t="s">
        <v>5251</v>
      </c>
      <c r="N3334" s="29" t="s">
        <v>1511</v>
      </c>
      <c r="O3334" s="29" t="s">
        <v>590</v>
      </c>
    </row>
    <row r="3335" spans="1:15">
      <c r="A3335" s="25">
        <v>23208</v>
      </c>
      <c r="B3335" s="34" t="s">
        <v>5252</v>
      </c>
      <c r="C3335" s="31" t="s">
        <v>521</v>
      </c>
      <c r="D3335" s="31" t="s">
        <v>1582</v>
      </c>
      <c r="E3335" s="28">
        <v>43421</v>
      </c>
      <c r="F3335" s="28">
        <v>43451</v>
      </c>
      <c r="G3335" s="28">
        <v>43830</v>
      </c>
      <c r="H3335" s="29" t="s">
        <v>560</v>
      </c>
      <c r="I3335" s="29" t="s">
        <v>560</v>
      </c>
      <c r="J3335" s="29" t="s">
        <v>1901</v>
      </c>
      <c r="K3335" s="29" t="s">
        <v>1902</v>
      </c>
      <c r="L3335" s="29" t="s">
        <v>5203</v>
      </c>
      <c r="M3335" s="29" t="s">
        <v>5199</v>
      </c>
      <c r="N3335" s="29" t="s">
        <v>1511</v>
      </c>
      <c r="O3335" s="29" t="s">
        <v>590</v>
      </c>
    </row>
    <row r="3336" spans="1:15">
      <c r="A3336" s="25">
        <v>23298</v>
      </c>
      <c r="B3336" s="34" t="s">
        <v>5253</v>
      </c>
      <c r="C3336" s="31" t="s">
        <v>521</v>
      </c>
      <c r="D3336" s="31" t="s">
        <v>1527</v>
      </c>
      <c r="E3336" s="28">
        <v>43427</v>
      </c>
      <c r="F3336" s="28">
        <v>43457</v>
      </c>
      <c r="G3336" s="28">
        <v>43830</v>
      </c>
      <c r="H3336" s="29" t="s">
        <v>560</v>
      </c>
      <c r="I3336" s="29" t="s">
        <v>560</v>
      </c>
      <c r="J3336" s="29" t="s">
        <v>1901</v>
      </c>
      <c r="K3336" s="29" t="s">
        <v>1902</v>
      </c>
      <c r="L3336" s="29" t="s">
        <v>5203</v>
      </c>
      <c r="M3336" s="29" t="s">
        <v>4756</v>
      </c>
      <c r="N3336" s="29" t="s">
        <v>1586</v>
      </c>
      <c r="O3336" s="29" t="s">
        <v>590</v>
      </c>
    </row>
    <row r="3337" spans="1:15">
      <c r="A3337" s="25">
        <v>23301</v>
      </c>
      <c r="B3337" s="34" t="s">
        <v>5254</v>
      </c>
      <c r="C3337" s="31" t="s">
        <v>521</v>
      </c>
      <c r="D3337" s="31" t="s">
        <v>1527</v>
      </c>
      <c r="E3337" s="28">
        <v>43427</v>
      </c>
      <c r="F3337" s="28">
        <v>43457</v>
      </c>
      <c r="G3337" s="28">
        <v>43830</v>
      </c>
      <c r="H3337" s="29" t="s">
        <v>560</v>
      </c>
      <c r="I3337" s="29" t="s">
        <v>560</v>
      </c>
      <c r="J3337" s="29" t="s">
        <v>1901</v>
      </c>
      <c r="K3337" s="29" t="s">
        <v>1902</v>
      </c>
      <c r="L3337" s="29" t="s">
        <v>5203</v>
      </c>
      <c r="M3337" s="29" t="s">
        <v>5255</v>
      </c>
      <c r="N3337" s="29" t="s">
        <v>1586</v>
      </c>
      <c r="O3337" s="29" t="s">
        <v>590</v>
      </c>
    </row>
    <row r="3338" spans="1:15">
      <c r="A3338" s="25">
        <v>23406</v>
      </c>
      <c r="B3338" s="34" t="s">
        <v>5256</v>
      </c>
      <c r="C3338" s="31" t="s">
        <v>521</v>
      </c>
      <c r="D3338" s="31" t="s">
        <v>882</v>
      </c>
      <c r="E3338" s="28">
        <v>43434</v>
      </c>
      <c r="F3338" s="28">
        <v>43464</v>
      </c>
      <c r="G3338" s="28">
        <v>43830</v>
      </c>
      <c r="H3338" s="29" t="s">
        <v>560</v>
      </c>
      <c r="I3338" s="29" t="s">
        <v>560</v>
      </c>
      <c r="J3338" s="29" t="s">
        <v>1901</v>
      </c>
      <c r="K3338" s="29" t="s">
        <v>1902</v>
      </c>
      <c r="L3338" s="29" t="s">
        <v>5203</v>
      </c>
      <c r="M3338" s="29" t="s">
        <v>5257</v>
      </c>
      <c r="N3338" s="29" t="s">
        <v>1586</v>
      </c>
      <c r="O3338" s="29" t="s">
        <v>590</v>
      </c>
    </row>
    <row r="3339" spans="1:15">
      <c r="A3339" s="25">
        <v>23535</v>
      </c>
      <c r="B3339" s="34" t="s">
        <v>5258</v>
      </c>
      <c r="C3339" s="31" t="s">
        <v>521</v>
      </c>
      <c r="D3339" s="31" t="s">
        <v>1588</v>
      </c>
      <c r="E3339" s="28">
        <v>43441</v>
      </c>
      <c r="F3339" s="28">
        <v>43472</v>
      </c>
      <c r="G3339" s="28">
        <v>43830</v>
      </c>
      <c r="H3339" s="29" t="s">
        <v>560</v>
      </c>
      <c r="I3339" s="29" t="s">
        <v>560</v>
      </c>
      <c r="J3339" s="29" t="s">
        <v>1901</v>
      </c>
      <c r="K3339" s="29" t="s">
        <v>1902</v>
      </c>
      <c r="L3339" s="29" t="s">
        <v>5203</v>
      </c>
      <c r="M3339" s="29" t="s">
        <v>4750</v>
      </c>
      <c r="N3339" s="29" t="s">
        <v>1586</v>
      </c>
      <c r="O3339" s="29" t="s">
        <v>590</v>
      </c>
    </row>
    <row r="3340" spans="1:15">
      <c r="A3340" s="25">
        <v>165</v>
      </c>
      <c r="B3340" s="26" t="s">
        <v>5259</v>
      </c>
      <c r="C3340" s="27" t="s">
        <v>521</v>
      </c>
      <c r="D3340" s="27" t="s">
        <v>1033</v>
      </c>
      <c r="E3340" s="28">
        <v>37679</v>
      </c>
      <c r="F3340" s="28" t="s">
        <v>35</v>
      </c>
      <c r="G3340" s="28" t="s">
        <v>35</v>
      </c>
      <c r="H3340" s="27" t="s">
        <v>560</v>
      </c>
      <c r="I3340" s="27" t="s">
        <v>560</v>
      </c>
      <c r="J3340" s="29" t="s">
        <v>1930</v>
      </c>
      <c r="K3340" s="29" t="s">
        <v>1930</v>
      </c>
      <c r="L3340" s="29" t="s">
        <v>5260</v>
      </c>
      <c r="M3340" s="29" t="s">
        <v>1550</v>
      </c>
      <c r="N3340" s="29" t="s">
        <v>1045</v>
      </c>
      <c r="O3340" s="29" t="s">
        <v>594</v>
      </c>
    </row>
    <row r="3341" spans="1:15">
      <c r="A3341" s="25">
        <v>6364</v>
      </c>
      <c r="B3341" s="26" t="s">
        <v>143</v>
      </c>
      <c r="C3341" s="27" t="s">
        <v>521</v>
      </c>
      <c r="D3341" s="27" t="s">
        <v>1181</v>
      </c>
      <c r="E3341" s="28">
        <v>39279</v>
      </c>
      <c r="F3341" s="28" t="s">
        <v>35</v>
      </c>
      <c r="G3341" s="28" t="s">
        <v>35</v>
      </c>
      <c r="H3341" s="27" t="s">
        <v>560</v>
      </c>
      <c r="I3341" s="27" t="s">
        <v>560</v>
      </c>
      <c r="J3341" s="29" t="s">
        <v>1930</v>
      </c>
      <c r="K3341" s="29" t="s">
        <v>1930</v>
      </c>
      <c r="L3341" s="29" t="s">
        <v>5260</v>
      </c>
      <c r="M3341" s="29" t="s">
        <v>5261</v>
      </c>
      <c r="N3341" s="29" t="s">
        <v>4597</v>
      </c>
      <c r="O3341" s="29" t="s">
        <v>594</v>
      </c>
    </row>
    <row r="3342" spans="1:15">
      <c r="A3342" s="25">
        <v>22275</v>
      </c>
      <c r="B3342" s="34" t="s">
        <v>5262</v>
      </c>
      <c r="C3342" s="31" t="s">
        <v>521</v>
      </c>
      <c r="D3342" s="31" t="s">
        <v>1191</v>
      </c>
      <c r="E3342" s="28">
        <v>43192</v>
      </c>
      <c r="F3342" s="28">
        <v>43222</v>
      </c>
      <c r="G3342" s="28">
        <v>43585</v>
      </c>
      <c r="H3342" s="29" t="s">
        <v>560</v>
      </c>
      <c r="I3342" s="29" t="s">
        <v>560</v>
      </c>
      <c r="J3342" s="29" t="s">
        <v>1930</v>
      </c>
      <c r="K3342" s="29" t="s">
        <v>1930</v>
      </c>
      <c r="L3342" s="29" t="s">
        <v>5260</v>
      </c>
      <c r="M3342" s="29" t="s">
        <v>5263</v>
      </c>
      <c r="N3342" s="29" t="s">
        <v>1511</v>
      </c>
      <c r="O3342" s="29" t="s">
        <v>594</v>
      </c>
    </row>
    <row r="3343" spans="1:15">
      <c r="A3343" s="25">
        <v>22311</v>
      </c>
      <c r="B3343" s="34" t="s">
        <v>5264</v>
      </c>
      <c r="C3343" s="31" t="s">
        <v>521</v>
      </c>
      <c r="D3343" s="31" t="s">
        <v>1191</v>
      </c>
      <c r="E3343" s="28">
        <v>43192</v>
      </c>
      <c r="F3343" s="28">
        <v>43222</v>
      </c>
      <c r="G3343" s="28">
        <v>43585</v>
      </c>
      <c r="H3343" s="29" t="s">
        <v>560</v>
      </c>
      <c r="I3343" s="29" t="s">
        <v>560</v>
      </c>
      <c r="J3343" s="29" t="s">
        <v>1930</v>
      </c>
      <c r="K3343" s="29" t="s">
        <v>1930</v>
      </c>
      <c r="L3343" s="29" t="s">
        <v>5260</v>
      </c>
      <c r="M3343" s="29" t="s">
        <v>5265</v>
      </c>
      <c r="N3343" s="29" t="s">
        <v>1511</v>
      </c>
      <c r="O3343" s="29" t="s">
        <v>594</v>
      </c>
    </row>
    <row r="3344" spans="1:15">
      <c r="A3344" s="25">
        <v>22566</v>
      </c>
      <c r="B3344" s="34" t="s">
        <v>5266</v>
      </c>
      <c r="C3344" s="31" t="s">
        <v>521</v>
      </c>
      <c r="D3344" s="31" t="s">
        <v>773</v>
      </c>
      <c r="E3344" s="28">
        <v>43224</v>
      </c>
      <c r="F3344" s="28">
        <v>43255</v>
      </c>
      <c r="G3344" s="28">
        <v>43616</v>
      </c>
      <c r="H3344" s="29" t="s">
        <v>560</v>
      </c>
      <c r="I3344" s="29" t="s">
        <v>560</v>
      </c>
      <c r="J3344" s="29" t="s">
        <v>1930</v>
      </c>
      <c r="K3344" s="29" t="s">
        <v>1930</v>
      </c>
      <c r="L3344" s="29" t="s">
        <v>5260</v>
      </c>
      <c r="M3344" s="29" t="s">
        <v>1543</v>
      </c>
      <c r="N3344" s="29" t="s">
        <v>1541</v>
      </c>
      <c r="O3344" s="29" t="s">
        <v>594</v>
      </c>
    </row>
    <row r="3345" spans="1:15">
      <c r="A3345" s="25">
        <v>22904</v>
      </c>
      <c r="B3345" s="34" t="s">
        <v>5267</v>
      </c>
      <c r="C3345" s="31" t="s">
        <v>521</v>
      </c>
      <c r="D3345" s="31" t="s">
        <v>775</v>
      </c>
      <c r="E3345" s="28">
        <v>43333</v>
      </c>
      <c r="F3345" s="28">
        <v>43364</v>
      </c>
      <c r="G3345" s="28">
        <v>43738</v>
      </c>
      <c r="H3345" s="29" t="s">
        <v>560</v>
      </c>
      <c r="I3345" s="29" t="s">
        <v>560</v>
      </c>
      <c r="J3345" s="29" t="s">
        <v>1930</v>
      </c>
      <c r="K3345" s="29" t="s">
        <v>1930</v>
      </c>
      <c r="L3345" s="29" t="s">
        <v>5260</v>
      </c>
      <c r="M3345" s="29" t="s">
        <v>4798</v>
      </c>
      <c r="N3345" s="29" t="s">
        <v>1541</v>
      </c>
      <c r="O3345" s="29" t="s">
        <v>594</v>
      </c>
    </row>
    <row r="3346" spans="1:15">
      <c r="A3346" s="25">
        <v>23212</v>
      </c>
      <c r="B3346" s="34" t="s">
        <v>5268</v>
      </c>
      <c r="C3346" s="31" t="s">
        <v>521</v>
      </c>
      <c r="D3346" s="31" t="s">
        <v>1582</v>
      </c>
      <c r="E3346" s="28">
        <v>43421</v>
      </c>
      <c r="F3346" s="28">
        <v>43451</v>
      </c>
      <c r="G3346" s="28">
        <v>43830</v>
      </c>
      <c r="H3346" s="29" t="s">
        <v>560</v>
      </c>
      <c r="I3346" s="29" t="s">
        <v>560</v>
      </c>
      <c r="J3346" s="29" t="s">
        <v>1930</v>
      </c>
      <c r="K3346" s="29" t="s">
        <v>1930</v>
      </c>
      <c r="L3346" s="29" t="s">
        <v>5260</v>
      </c>
      <c r="M3346" s="29" t="s">
        <v>5269</v>
      </c>
      <c r="N3346" s="29" t="s">
        <v>1511</v>
      </c>
      <c r="O3346" s="29" t="s">
        <v>594</v>
      </c>
    </row>
    <row r="3347" spans="1:15">
      <c r="A3347" s="25" t="s">
        <v>41</v>
      </c>
      <c r="B3347" s="26" t="s">
        <v>42</v>
      </c>
      <c r="C3347" s="27" t="s">
        <v>521</v>
      </c>
      <c r="D3347" s="27" t="s">
        <v>5270</v>
      </c>
      <c r="E3347" s="28">
        <v>41410</v>
      </c>
      <c r="F3347" s="28" t="s">
        <v>35</v>
      </c>
      <c r="G3347" s="28" t="s">
        <v>35</v>
      </c>
      <c r="H3347" s="27" t="s">
        <v>560</v>
      </c>
      <c r="I3347" s="27" t="s">
        <v>560</v>
      </c>
      <c r="J3347" s="29" t="s">
        <v>1930</v>
      </c>
      <c r="K3347" s="29" t="s">
        <v>1930</v>
      </c>
      <c r="L3347" s="29" t="s">
        <v>5260</v>
      </c>
      <c r="M3347" s="29" t="s">
        <v>5271</v>
      </c>
      <c r="N3347" s="29" t="s">
        <v>1525</v>
      </c>
      <c r="O3347" s="29" t="s">
        <v>594</v>
      </c>
    </row>
    <row r="3348" spans="1:15">
      <c r="A3348" s="25" t="s">
        <v>5272</v>
      </c>
      <c r="B3348" s="34" t="s">
        <v>5273</v>
      </c>
      <c r="C3348" s="31" t="s">
        <v>521</v>
      </c>
      <c r="D3348" s="31" t="s">
        <v>892</v>
      </c>
      <c r="E3348" s="28">
        <v>43467</v>
      </c>
      <c r="F3348" s="28">
        <v>43467</v>
      </c>
      <c r="G3348" s="28">
        <v>43497</v>
      </c>
      <c r="H3348" s="29" t="s">
        <v>560</v>
      </c>
      <c r="I3348" s="29" t="s">
        <v>560</v>
      </c>
      <c r="J3348" s="29" t="s">
        <v>1930</v>
      </c>
      <c r="K3348" s="29" t="s">
        <v>1930</v>
      </c>
      <c r="L3348" s="29" t="s">
        <v>5260</v>
      </c>
      <c r="M3348" s="29" t="s">
        <v>5129</v>
      </c>
      <c r="N3348" s="29" t="s">
        <v>1525</v>
      </c>
      <c r="O3348" s="29" t="s">
        <v>528</v>
      </c>
    </row>
    <row r="3349" spans="1:15">
      <c r="A3349" s="25">
        <v>8899</v>
      </c>
      <c r="B3349" s="26" t="s">
        <v>5274</v>
      </c>
      <c r="C3349" s="27" t="s">
        <v>521</v>
      </c>
      <c r="D3349" s="27" t="s">
        <v>1905</v>
      </c>
      <c r="E3349" s="28">
        <v>39961</v>
      </c>
      <c r="F3349" s="28" t="s">
        <v>35</v>
      </c>
      <c r="G3349" s="28" t="s">
        <v>35</v>
      </c>
      <c r="H3349" s="29" t="s">
        <v>560</v>
      </c>
      <c r="I3349" s="29" t="s">
        <v>560</v>
      </c>
      <c r="J3349" s="29" t="s">
        <v>1930</v>
      </c>
      <c r="K3349" s="29" t="s">
        <v>1930</v>
      </c>
      <c r="L3349" s="29" t="s">
        <v>5260</v>
      </c>
      <c r="M3349" s="29" t="s">
        <v>1550</v>
      </c>
      <c r="N3349" s="29" t="s">
        <v>1045</v>
      </c>
      <c r="O3349" s="29" t="s">
        <v>590</v>
      </c>
    </row>
    <row r="3350" spans="1:15">
      <c r="A3350" s="25">
        <v>11006</v>
      </c>
      <c r="B3350" s="26" t="s">
        <v>462</v>
      </c>
      <c r="C3350" s="27" t="s">
        <v>521</v>
      </c>
      <c r="D3350" s="27" t="s">
        <v>1516</v>
      </c>
      <c r="E3350" s="28">
        <v>40585</v>
      </c>
      <c r="F3350" s="28" t="s">
        <v>35</v>
      </c>
      <c r="G3350" s="28" t="s">
        <v>35</v>
      </c>
      <c r="H3350" s="29" t="s">
        <v>560</v>
      </c>
      <c r="I3350" s="29" t="s">
        <v>560</v>
      </c>
      <c r="J3350" s="29" t="s">
        <v>1930</v>
      </c>
      <c r="K3350" s="29" t="s">
        <v>1930</v>
      </c>
      <c r="L3350" s="29" t="s">
        <v>5260</v>
      </c>
      <c r="M3350" s="29" t="s">
        <v>5275</v>
      </c>
      <c r="N3350" s="29" t="s">
        <v>4597</v>
      </c>
      <c r="O3350" s="29" t="s">
        <v>590</v>
      </c>
    </row>
    <row r="3351" spans="1:15">
      <c r="A3351" s="25">
        <v>12113</v>
      </c>
      <c r="B3351" s="26" t="s">
        <v>5276</v>
      </c>
      <c r="C3351" s="27" t="s">
        <v>521</v>
      </c>
      <c r="D3351" s="27" t="s">
        <v>665</v>
      </c>
      <c r="E3351" s="28">
        <v>40798</v>
      </c>
      <c r="F3351" s="28" t="s">
        <v>35</v>
      </c>
      <c r="G3351" s="28" t="s">
        <v>35</v>
      </c>
      <c r="H3351" s="27" t="s">
        <v>560</v>
      </c>
      <c r="I3351" s="27" t="s">
        <v>560</v>
      </c>
      <c r="J3351" s="29" t="s">
        <v>1930</v>
      </c>
      <c r="K3351" s="29" t="s">
        <v>1930</v>
      </c>
      <c r="L3351" s="29" t="s">
        <v>5260</v>
      </c>
      <c r="M3351" s="29" t="s">
        <v>5277</v>
      </c>
      <c r="N3351" s="29" t="s">
        <v>1511</v>
      </c>
      <c r="O3351" s="29" t="s">
        <v>590</v>
      </c>
    </row>
    <row r="3352" spans="1:15">
      <c r="A3352" s="25">
        <v>17180</v>
      </c>
      <c r="B3352" s="26" t="s">
        <v>5278</v>
      </c>
      <c r="C3352" s="27" t="s">
        <v>521</v>
      </c>
      <c r="D3352" s="27" t="s">
        <v>4555</v>
      </c>
      <c r="E3352" s="28">
        <v>41758</v>
      </c>
      <c r="F3352" s="28" t="s">
        <v>35</v>
      </c>
      <c r="G3352" s="28" t="s">
        <v>35</v>
      </c>
      <c r="H3352" s="27" t="s">
        <v>560</v>
      </c>
      <c r="I3352" s="27" t="s">
        <v>560</v>
      </c>
      <c r="J3352" s="29" t="s">
        <v>1930</v>
      </c>
      <c r="K3352" s="29" t="s">
        <v>1930</v>
      </c>
      <c r="L3352" s="29" t="s">
        <v>5260</v>
      </c>
      <c r="M3352" s="29" t="s">
        <v>5279</v>
      </c>
      <c r="N3352" s="29" t="s">
        <v>1511</v>
      </c>
      <c r="O3352" s="29" t="s">
        <v>590</v>
      </c>
    </row>
    <row r="3353" spans="1:15">
      <c r="A3353" s="25">
        <v>21798</v>
      </c>
      <c r="B3353" s="34" t="s">
        <v>267</v>
      </c>
      <c r="C3353" s="31" t="s">
        <v>521</v>
      </c>
      <c r="D3353" s="31" t="s">
        <v>1609</v>
      </c>
      <c r="E3353" s="28">
        <v>43090</v>
      </c>
      <c r="F3353" s="28">
        <v>43121</v>
      </c>
      <c r="G3353" s="28">
        <v>43496</v>
      </c>
      <c r="H3353" s="27" t="s">
        <v>560</v>
      </c>
      <c r="I3353" s="27" t="s">
        <v>560</v>
      </c>
      <c r="J3353" s="29" t="s">
        <v>1930</v>
      </c>
      <c r="K3353" s="29" t="s">
        <v>1930</v>
      </c>
      <c r="L3353" s="29" t="s">
        <v>5260</v>
      </c>
      <c r="M3353" s="29" t="s">
        <v>5280</v>
      </c>
      <c r="N3353" s="29" t="s">
        <v>1525</v>
      </c>
      <c r="O3353" s="29" t="s">
        <v>590</v>
      </c>
    </row>
    <row r="3354" spans="1:15">
      <c r="A3354" s="25">
        <v>23136</v>
      </c>
      <c r="B3354" s="34" t="s">
        <v>5281</v>
      </c>
      <c r="C3354" s="31" t="s">
        <v>521</v>
      </c>
      <c r="D3354" s="31" t="s">
        <v>1523</v>
      </c>
      <c r="E3354" s="28">
        <v>43369</v>
      </c>
      <c r="F3354" s="28">
        <v>43399</v>
      </c>
      <c r="G3354" s="28">
        <v>43769</v>
      </c>
      <c r="H3354" s="29" t="s">
        <v>560</v>
      </c>
      <c r="I3354" s="29" t="s">
        <v>560</v>
      </c>
      <c r="J3354" s="29" t="s">
        <v>1930</v>
      </c>
      <c r="K3354" s="29" t="s">
        <v>1930</v>
      </c>
      <c r="L3354" s="29" t="s">
        <v>5260</v>
      </c>
      <c r="M3354" s="29" t="s">
        <v>4798</v>
      </c>
      <c r="N3354" s="29" t="s">
        <v>1541</v>
      </c>
      <c r="O3354" s="29" t="s">
        <v>590</v>
      </c>
    </row>
    <row r="3355" spans="1:15">
      <c r="A3355" s="25">
        <v>23195</v>
      </c>
      <c r="B3355" s="34" t="s">
        <v>5282</v>
      </c>
      <c r="C3355" s="31" t="s">
        <v>521</v>
      </c>
      <c r="D3355" s="31" t="s">
        <v>1582</v>
      </c>
      <c r="E3355" s="28">
        <v>43421</v>
      </c>
      <c r="F3355" s="28">
        <v>43451</v>
      </c>
      <c r="G3355" s="28">
        <v>43830</v>
      </c>
      <c r="H3355" s="29" t="s">
        <v>560</v>
      </c>
      <c r="I3355" s="29" t="s">
        <v>560</v>
      </c>
      <c r="J3355" s="29" t="s">
        <v>1930</v>
      </c>
      <c r="K3355" s="29" t="s">
        <v>1930</v>
      </c>
      <c r="L3355" s="29" t="s">
        <v>5260</v>
      </c>
      <c r="M3355" s="29" t="s">
        <v>1543</v>
      </c>
      <c r="N3355" s="29" t="s">
        <v>1541</v>
      </c>
      <c r="O3355" s="29" t="s">
        <v>590</v>
      </c>
    </row>
    <row r="3356" spans="1:15">
      <c r="A3356" s="25">
        <v>23264</v>
      </c>
      <c r="B3356" s="34" t="s">
        <v>5283</v>
      </c>
      <c r="C3356" s="31" t="s">
        <v>521</v>
      </c>
      <c r="D3356" s="31" t="s">
        <v>1582</v>
      </c>
      <c r="E3356" s="28">
        <v>43421</v>
      </c>
      <c r="F3356" s="28">
        <v>43451</v>
      </c>
      <c r="G3356" s="28">
        <v>43830</v>
      </c>
      <c r="H3356" s="29" t="s">
        <v>560</v>
      </c>
      <c r="I3356" s="29" t="s">
        <v>560</v>
      </c>
      <c r="J3356" s="29" t="s">
        <v>1930</v>
      </c>
      <c r="K3356" s="29" t="s">
        <v>1930</v>
      </c>
      <c r="L3356" s="29" t="s">
        <v>5260</v>
      </c>
      <c r="M3356" s="29" t="s">
        <v>5284</v>
      </c>
      <c r="N3356" s="29" t="s">
        <v>1518</v>
      </c>
      <c r="O3356" s="29" t="s">
        <v>590</v>
      </c>
    </row>
    <row r="3357" spans="1:15">
      <c r="A3357" s="25">
        <v>23419</v>
      </c>
      <c r="B3357" s="34" t="s">
        <v>5285</v>
      </c>
      <c r="C3357" s="31" t="s">
        <v>521</v>
      </c>
      <c r="D3357" s="31" t="s">
        <v>882</v>
      </c>
      <c r="E3357" s="28">
        <v>43434</v>
      </c>
      <c r="F3357" s="28">
        <v>43464</v>
      </c>
      <c r="G3357" s="28">
        <v>43830</v>
      </c>
      <c r="H3357" s="29" t="s">
        <v>560</v>
      </c>
      <c r="I3357" s="29" t="s">
        <v>560</v>
      </c>
      <c r="J3357" s="29" t="s">
        <v>1930</v>
      </c>
      <c r="K3357" s="29" t="s">
        <v>1930</v>
      </c>
      <c r="L3357" s="29" t="s">
        <v>5260</v>
      </c>
      <c r="M3357" s="29" t="s">
        <v>4756</v>
      </c>
      <c r="N3357" s="29" t="s">
        <v>1586</v>
      </c>
      <c r="O3357" s="29" t="s">
        <v>590</v>
      </c>
    </row>
    <row r="3358" spans="1:15">
      <c r="A3358" s="25">
        <v>23500</v>
      </c>
      <c r="B3358" s="34" t="s">
        <v>5286</v>
      </c>
      <c r="C3358" s="31" t="s">
        <v>521</v>
      </c>
      <c r="D3358" s="31" t="s">
        <v>1588</v>
      </c>
      <c r="E3358" s="28">
        <v>43441</v>
      </c>
      <c r="F3358" s="28">
        <v>43472</v>
      </c>
      <c r="G3358" s="28">
        <v>43830</v>
      </c>
      <c r="H3358" s="29" t="s">
        <v>560</v>
      </c>
      <c r="I3358" s="29" t="s">
        <v>560</v>
      </c>
      <c r="J3358" s="29" t="s">
        <v>1930</v>
      </c>
      <c r="K3358" s="29" t="s">
        <v>1930</v>
      </c>
      <c r="L3358" s="29" t="s">
        <v>5260</v>
      </c>
      <c r="M3358" s="29" t="s">
        <v>1593</v>
      </c>
      <c r="N3358" s="29" t="s">
        <v>1586</v>
      </c>
      <c r="O3358" s="29" t="s">
        <v>590</v>
      </c>
    </row>
    <row r="3359" spans="1:15">
      <c r="A3359" s="25" t="s">
        <v>67</v>
      </c>
      <c r="B3359" s="26" t="s">
        <v>68</v>
      </c>
      <c r="C3359" s="27" t="s">
        <v>521</v>
      </c>
      <c r="D3359" s="27" t="s">
        <v>778</v>
      </c>
      <c r="E3359" s="28">
        <v>40854</v>
      </c>
      <c r="F3359" s="28" t="s">
        <v>35</v>
      </c>
      <c r="G3359" s="28" t="s">
        <v>35</v>
      </c>
      <c r="H3359" s="27" t="s">
        <v>560</v>
      </c>
      <c r="I3359" s="27" t="s">
        <v>560</v>
      </c>
      <c r="J3359" s="29" t="s">
        <v>1930</v>
      </c>
      <c r="K3359" s="29" t="s">
        <v>1930</v>
      </c>
      <c r="L3359" s="29" t="s">
        <v>5260</v>
      </c>
      <c r="M3359" s="29" t="s">
        <v>5287</v>
      </c>
      <c r="N3359" s="29" t="s">
        <v>1525</v>
      </c>
      <c r="O3359" s="29" t="s">
        <v>590</v>
      </c>
    </row>
    <row r="3360" spans="1:15">
      <c r="A3360" s="25">
        <v>22443</v>
      </c>
      <c r="B3360" s="34" t="s">
        <v>5288</v>
      </c>
      <c r="C3360" s="31" t="s">
        <v>521</v>
      </c>
      <c r="D3360" s="31" t="s">
        <v>1577</v>
      </c>
      <c r="E3360" s="28">
        <v>43220</v>
      </c>
      <c r="F3360" s="28">
        <v>43250</v>
      </c>
      <c r="G3360" s="28">
        <v>43616</v>
      </c>
      <c r="H3360" s="29" t="s">
        <v>560</v>
      </c>
      <c r="I3360" s="29" t="s">
        <v>560</v>
      </c>
      <c r="J3360" s="29" t="s">
        <v>1930</v>
      </c>
      <c r="K3360" s="29" t="s">
        <v>1930</v>
      </c>
      <c r="L3360" s="29" t="s">
        <v>5289</v>
      </c>
      <c r="M3360" s="29" t="s">
        <v>5290</v>
      </c>
      <c r="N3360" s="29" t="s">
        <v>1525</v>
      </c>
      <c r="O3360" s="29" t="s">
        <v>594</v>
      </c>
    </row>
    <row r="3361" spans="1:15">
      <c r="A3361" s="25">
        <v>22954</v>
      </c>
      <c r="B3361" s="34" t="s">
        <v>5291</v>
      </c>
      <c r="C3361" s="31" t="s">
        <v>521</v>
      </c>
      <c r="D3361" s="31" t="s">
        <v>1962</v>
      </c>
      <c r="E3361" s="28">
        <v>43343</v>
      </c>
      <c r="F3361" s="28">
        <v>43374</v>
      </c>
      <c r="G3361" s="28">
        <v>43738</v>
      </c>
      <c r="H3361" s="29" t="s">
        <v>560</v>
      </c>
      <c r="I3361" s="29" t="s">
        <v>560</v>
      </c>
      <c r="J3361" s="29" t="s">
        <v>1930</v>
      </c>
      <c r="K3361" s="29" t="s">
        <v>1930</v>
      </c>
      <c r="L3361" s="29" t="s">
        <v>5289</v>
      </c>
      <c r="M3361" s="29" t="s">
        <v>5292</v>
      </c>
      <c r="N3361" s="29" t="s">
        <v>1511</v>
      </c>
      <c r="O3361" s="29" t="s">
        <v>594</v>
      </c>
    </row>
    <row r="3362" spans="1:15">
      <c r="A3362" s="25">
        <v>23288</v>
      </c>
      <c r="B3362" s="34" t="s">
        <v>5293</v>
      </c>
      <c r="C3362" s="31" t="s">
        <v>521</v>
      </c>
      <c r="D3362" s="31" t="s">
        <v>1582</v>
      </c>
      <c r="E3362" s="28">
        <v>43421</v>
      </c>
      <c r="F3362" s="28">
        <v>43451</v>
      </c>
      <c r="G3362" s="28">
        <v>43830</v>
      </c>
      <c r="H3362" s="29" t="s">
        <v>560</v>
      </c>
      <c r="I3362" s="29" t="s">
        <v>560</v>
      </c>
      <c r="J3362" s="29" t="s">
        <v>1930</v>
      </c>
      <c r="K3362" s="29" t="s">
        <v>1930</v>
      </c>
      <c r="L3362" s="29" t="s">
        <v>5289</v>
      </c>
      <c r="M3362" s="29" t="s">
        <v>5294</v>
      </c>
      <c r="N3362" s="29" t="s">
        <v>1511</v>
      </c>
      <c r="O3362" s="29" t="s">
        <v>594</v>
      </c>
    </row>
    <row r="3363" spans="1:15">
      <c r="A3363" s="25">
        <v>23294</v>
      </c>
      <c r="B3363" s="34" t="s">
        <v>5295</v>
      </c>
      <c r="C3363" s="31" t="s">
        <v>521</v>
      </c>
      <c r="D3363" s="31" t="s">
        <v>1527</v>
      </c>
      <c r="E3363" s="28">
        <v>43427</v>
      </c>
      <c r="F3363" s="28">
        <v>43457</v>
      </c>
      <c r="G3363" s="28">
        <v>43830</v>
      </c>
      <c r="H3363" s="29" t="s">
        <v>560</v>
      </c>
      <c r="I3363" s="29" t="s">
        <v>560</v>
      </c>
      <c r="J3363" s="29" t="s">
        <v>1930</v>
      </c>
      <c r="K3363" s="29" t="s">
        <v>1930</v>
      </c>
      <c r="L3363" s="29" t="s">
        <v>5289</v>
      </c>
      <c r="M3363" s="29" t="s">
        <v>5296</v>
      </c>
      <c r="N3363" s="29" t="s">
        <v>1541</v>
      </c>
      <c r="O3363" s="29" t="s">
        <v>594</v>
      </c>
    </row>
    <row r="3364" spans="1:15">
      <c r="A3364" s="25">
        <v>23344</v>
      </c>
      <c r="B3364" s="34" t="s">
        <v>1849</v>
      </c>
      <c r="C3364" s="31" t="s">
        <v>521</v>
      </c>
      <c r="D3364" s="31" t="s">
        <v>1527</v>
      </c>
      <c r="E3364" s="28">
        <v>43427</v>
      </c>
      <c r="F3364" s="28">
        <v>43457</v>
      </c>
      <c r="G3364" s="28">
        <v>43830</v>
      </c>
      <c r="H3364" s="29" t="s">
        <v>560</v>
      </c>
      <c r="I3364" s="29" t="s">
        <v>560</v>
      </c>
      <c r="J3364" s="29" t="s">
        <v>1930</v>
      </c>
      <c r="K3364" s="29" t="s">
        <v>1930</v>
      </c>
      <c r="L3364" s="29" t="s">
        <v>5289</v>
      </c>
      <c r="M3364" s="29" t="s">
        <v>5297</v>
      </c>
      <c r="N3364" s="29" t="s">
        <v>1541</v>
      </c>
      <c r="O3364" s="29" t="s">
        <v>594</v>
      </c>
    </row>
    <row r="3365" spans="1:15">
      <c r="A3365" s="25">
        <v>23374</v>
      </c>
      <c r="B3365" s="34" t="s">
        <v>5298</v>
      </c>
      <c r="C3365" s="31" t="s">
        <v>521</v>
      </c>
      <c r="D3365" s="31" t="s">
        <v>1527</v>
      </c>
      <c r="E3365" s="28">
        <v>43427</v>
      </c>
      <c r="F3365" s="28">
        <v>43457</v>
      </c>
      <c r="G3365" s="28">
        <v>43830</v>
      </c>
      <c r="H3365" s="29" t="s">
        <v>560</v>
      </c>
      <c r="I3365" s="29" t="s">
        <v>560</v>
      </c>
      <c r="J3365" s="29" t="s">
        <v>1930</v>
      </c>
      <c r="K3365" s="29" t="s">
        <v>1930</v>
      </c>
      <c r="L3365" s="29" t="s">
        <v>5289</v>
      </c>
      <c r="M3365" s="29" t="s">
        <v>5294</v>
      </c>
      <c r="N3365" s="29" t="s">
        <v>1511</v>
      </c>
      <c r="O3365" s="29" t="s">
        <v>594</v>
      </c>
    </row>
    <row r="3366" spans="1:15">
      <c r="A3366" s="25">
        <v>21927</v>
      </c>
      <c r="B3366" s="34" t="s">
        <v>5299</v>
      </c>
      <c r="C3366" s="31" t="s">
        <v>521</v>
      </c>
      <c r="D3366" s="31" t="s">
        <v>1061</v>
      </c>
      <c r="E3366" s="28">
        <v>43108</v>
      </c>
      <c r="F3366" s="28">
        <v>43139</v>
      </c>
      <c r="G3366" s="28">
        <v>43496</v>
      </c>
      <c r="H3366" s="29" t="s">
        <v>560</v>
      </c>
      <c r="I3366" s="29" t="s">
        <v>560</v>
      </c>
      <c r="J3366" s="29" t="s">
        <v>1930</v>
      </c>
      <c r="K3366" s="29" t="s">
        <v>1930</v>
      </c>
      <c r="L3366" s="29" t="s">
        <v>5289</v>
      </c>
      <c r="M3366" s="29" t="s">
        <v>1513</v>
      </c>
      <c r="N3366" s="29" t="s">
        <v>1514</v>
      </c>
      <c r="O3366" s="29" t="s">
        <v>590</v>
      </c>
    </row>
    <row r="3367" spans="1:15">
      <c r="A3367" s="25">
        <v>23001</v>
      </c>
      <c r="B3367" s="34" t="s">
        <v>5300</v>
      </c>
      <c r="C3367" s="31" t="s">
        <v>521</v>
      </c>
      <c r="D3367" s="31" t="s">
        <v>1872</v>
      </c>
      <c r="E3367" s="28">
        <v>43361</v>
      </c>
      <c r="F3367" s="28">
        <v>43391</v>
      </c>
      <c r="G3367" s="28">
        <v>43769</v>
      </c>
      <c r="H3367" s="29" t="s">
        <v>560</v>
      </c>
      <c r="I3367" s="29" t="s">
        <v>560</v>
      </c>
      <c r="J3367" s="29" t="s">
        <v>1930</v>
      </c>
      <c r="K3367" s="29" t="s">
        <v>1930</v>
      </c>
      <c r="L3367" s="29" t="s">
        <v>5289</v>
      </c>
      <c r="M3367" s="29" t="s">
        <v>5301</v>
      </c>
      <c r="N3367" s="29" t="s">
        <v>1511</v>
      </c>
      <c r="O3367" s="29" t="s">
        <v>590</v>
      </c>
    </row>
    <row r="3368" spans="1:15">
      <c r="A3368" s="25">
        <v>23135</v>
      </c>
      <c r="B3368" s="34" t="s">
        <v>5302</v>
      </c>
      <c r="C3368" s="31" t="s">
        <v>521</v>
      </c>
      <c r="D3368" s="31" t="s">
        <v>1523</v>
      </c>
      <c r="E3368" s="28">
        <v>43369</v>
      </c>
      <c r="F3368" s="28">
        <v>43399</v>
      </c>
      <c r="G3368" s="28">
        <v>43769</v>
      </c>
      <c r="H3368" s="29" t="s">
        <v>560</v>
      </c>
      <c r="I3368" s="29" t="s">
        <v>560</v>
      </c>
      <c r="J3368" s="29" t="s">
        <v>1930</v>
      </c>
      <c r="K3368" s="29" t="s">
        <v>1930</v>
      </c>
      <c r="L3368" s="29" t="s">
        <v>5289</v>
      </c>
      <c r="M3368" s="29" t="s">
        <v>5303</v>
      </c>
      <c r="N3368" s="29" t="s">
        <v>1541</v>
      </c>
      <c r="O3368" s="29" t="s">
        <v>590</v>
      </c>
    </row>
    <row r="3369" spans="1:15">
      <c r="A3369" s="25">
        <v>23376</v>
      </c>
      <c r="B3369" s="34" t="s">
        <v>5304</v>
      </c>
      <c r="C3369" s="31" t="s">
        <v>521</v>
      </c>
      <c r="D3369" s="31" t="s">
        <v>1527</v>
      </c>
      <c r="E3369" s="28">
        <v>43427</v>
      </c>
      <c r="F3369" s="28">
        <v>43457</v>
      </c>
      <c r="G3369" s="28">
        <v>43830</v>
      </c>
      <c r="H3369" s="29" t="s">
        <v>560</v>
      </c>
      <c r="I3369" s="29" t="s">
        <v>560</v>
      </c>
      <c r="J3369" s="29" t="s">
        <v>1930</v>
      </c>
      <c r="K3369" s="29" t="s">
        <v>1930</v>
      </c>
      <c r="L3369" s="29" t="s">
        <v>5289</v>
      </c>
      <c r="M3369" s="29" t="s">
        <v>5305</v>
      </c>
      <c r="N3369" s="29" t="s">
        <v>1541</v>
      </c>
      <c r="O3369" s="29" t="s">
        <v>590</v>
      </c>
    </row>
    <row r="3370" spans="1:15">
      <c r="A3370" s="25">
        <v>23377</v>
      </c>
      <c r="B3370" s="34" t="s">
        <v>5306</v>
      </c>
      <c r="C3370" s="31" t="s">
        <v>521</v>
      </c>
      <c r="D3370" s="31" t="s">
        <v>1527</v>
      </c>
      <c r="E3370" s="28">
        <v>43427</v>
      </c>
      <c r="F3370" s="28">
        <v>43457</v>
      </c>
      <c r="G3370" s="28">
        <v>43830</v>
      </c>
      <c r="H3370" s="29" t="s">
        <v>560</v>
      </c>
      <c r="I3370" s="29" t="s">
        <v>560</v>
      </c>
      <c r="J3370" s="29" t="s">
        <v>1930</v>
      </c>
      <c r="K3370" s="29" t="s">
        <v>1930</v>
      </c>
      <c r="L3370" s="29" t="s">
        <v>5289</v>
      </c>
      <c r="M3370" s="29" t="s">
        <v>5164</v>
      </c>
      <c r="N3370" s="29" t="s">
        <v>1525</v>
      </c>
      <c r="O3370" s="29" t="s">
        <v>590</v>
      </c>
    </row>
    <row r="3371" spans="1:15">
      <c r="A3371" s="25">
        <v>23379</v>
      </c>
      <c r="B3371" s="34" t="s">
        <v>5307</v>
      </c>
      <c r="C3371" s="31" t="s">
        <v>521</v>
      </c>
      <c r="D3371" s="31" t="s">
        <v>1527</v>
      </c>
      <c r="E3371" s="28">
        <v>43427</v>
      </c>
      <c r="F3371" s="28">
        <v>43457</v>
      </c>
      <c r="G3371" s="28">
        <v>43830</v>
      </c>
      <c r="H3371" s="29" t="s">
        <v>560</v>
      </c>
      <c r="I3371" s="29" t="s">
        <v>560</v>
      </c>
      <c r="J3371" s="29" t="s">
        <v>1930</v>
      </c>
      <c r="K3371" s="29" t="s">
        <v>1930</v>
      </c>
      <c r="L3371" s="29" t="s">
        <v>5289</v>
      </c>
      <c r="M3371" s="29" t="s">
        <v>5308</v>
      </c>
      <c r="N3371" s="29" t="s">
        <v>1511</v>
      </c>
      <c r="O3371" s="29" t="s">
        <v>590</v>
      </c>
    </row>
    <row r="3372" spans="1:15">
      <c r="A3372" s="25">
        <v>23387</v>
      </c>
      <c r="B3372" s="34" t="s">
        <v>5309</v>
      </c>
      <c r="C3372" s="31" t="s">
        <v>521</v>
      </c>
      <c r="D3372" s="31" t="s">
        <v>1527</v>
      </c>
      <c r="E3372" s="28">
        <v>43427</v>
      </c>
      <c r="F3372" s="28">
        <v>43457</v>
      </c>
      <c r="G3372" s="28">
        <v>43830</v>
      </c>
      <c r="H3372" s="29" t="s">
        <v>560</v>
      </c>
      <c r="I3372" s="29" t="s">
        <v>560</v>
      </c>
      <c r="J3372" s="29" t="s">
        <v>1930</v>
      </c>
      <c r="K3372" s="29" t="s">
        <v>1930</v>
      </c>
      <c r="L3372" s="29" t="s">
        <v>5289</v>
      </c>
      <c r="M3372" s="29" t="s">
        <v>5294</v>
      </c>
      <c r="N3372" s="29" t="s">
        <v>1511</v>
      </c>
      <c r="O3372" s="29" t="s">
        <v>590</v>
      </c>
    </row>
    <row r="3373" spans="1:15">
      <c r="A3373" s="25">
        <v>9486</v>
      </c>
      <c r="B3373" s="26" t="s">
        <v>5310</v>
      </c>
      <c r="C3373" s="27" t="s">
        <v>521</v>
      </c>
      <c r="D3373" s="27" t="s">
        <v>658</v>
      </c>
      <c r="E3373" s="28">
        <v>40148</v>
      </c>
      <c r="F3373" s="28" t="s">
        <v>35</v>
      </c>
      <c r="G3373" s="28" t="s">
        <v>35</v>
      </c>
      <c r="H3373" s="29" t="s">
        <v>560</v>
      </c>
      <c r="I3373" s="29" t="s">
        <v>560</v>
      </c>
      <c r="J3373" s="29" t="s">
        <v>525</v>
      </c>
      <c r="K3373" s="29" t="s">
        <v>525</v>
      </c>
      <c r="L3373" s="29" t="s">
        <v>5311</v>
      </c>
      <c r="M3373" s="29" t="s">
        <v>5312</v>
      </c>
      <c r="N3373" s="29" t="s">
        <v>5311</v>
      </c>
      <c r="O3373" s="29" t="s">
        <v>528</v>
      </c>
    </row>
    <row r="3374" spans="1:15">
      <c r="A3374" s="25">
        <v>9898</v>
      </c>
      <c r="B3374" s="26" t="s">
        <v>88</v>
      </c>
      <c r="C3374" s="27" t="s">
        <v>521</v>
      </c>
      <c r="D3374" s="27" t="s">
        <v>1748</v>
      </c>
      <c r="E3374" s="28">
        <v>40424</v>
      </c>
      <c r="F3374" s="28" t="s">
        <v>35</v>
      </c>
      <c r="G3374" s="28" t="s">
        <v>35</v>
      </c>
      <c r="H3374" s="29" t="s">
        <v>560</v>
      </c>
      <c r="I3374" s="29" t="s">
        <v>560</v>
      </c>
      <c r="J3374" s="29" t="s">
        <v>525</v>
      </c>
      <c r="K3374" s="29" t="s">
        <v>525</v>
      </c>
      <c r="L3374" s="29" t="s">
        <v>5311</v>
      </c>
      <c r="M3374" s="29" t="s">
        <v>5312</v>
      </c>
      <c r="N3374" s="29" t="s">
        <v>5311</v>
      </c>
      <c r="O3374" s="29" t="s">
        <v>528</v>
      </c>
    </row>
    <row r="3375" spans="1:15">
      <c r="A3375" s="25">
        <v>9961</v>
      </c>
      <c r="B3375" s="34" t="s">
        <v>85</v>
      </c>
      <c r="C3375" s="31" t="s">
        <v>521</v>
      </c>
      <c r="D3375" s="31" t="s">
        <v>803</v>
      </c>
      <c r="E3375" s="28">
        <v>40431</v>
      </c>
      <c r="F3375" s="28" t="s">
        <v>35</v>
      </c>
      <c r="G3375" s="28" t="s">
        <v>35</v>
      </c>
      <c r="H3375" s="29" t="s">
        <v>560</v>
      </c>
      <c r="I3375" s="29" t="s">
        <v>560</v>
      </c>
      <c r="J3375" s="29" t="s">
        <v>525</v>
      </c>
      <c r="K3375" s="29" t="s">
        <v>525</v>
      </c>
      <c r="L3375" s="29" t="s">
        <v>5311</v>
      </c>
      <c r="M3375" s="29" t="s">
        <v>5312</v>
      </c>
      <c r="N3375" s="29" t="s">
        <v>5311</v>
      </c>
      <c r="O3375" s="29" t="s">
        <v>528</v>
      </c>
    </row>
    <row r="3376" spans="1:15">
      <c r="A3376" s="25">
        <v>10523</v>
      </c>
      <c r="B3376" s="26" t="s">
        <v>5313</v>
      </c>
      <c r="C3376" s="27" t="s">
        <v>521</v>
      </c>
      <c r="D3376" s="27" t="s">
        <v>738</v>
      </c>
      <c r="E3376" s="28">
        <v>40535</v>
      </c>
      <c r="F3376" s="28" t="s">
        <v>35</v>
      </c>
      <c r="G3376" s="28" t="s">
        <v>35</v>
      </c>
      <c r="H3376" s="29" t="s">
        <v>560</v>
      </c>
      <c r="I3376" s="29" t="s">
        <v>560</v>
      </c>
      <c r="J3376" s="29" t="s">
        <v>525</v>
      </c>
      <c r="K3376" s="29" t="s">
        <v>525</v>
      </c>
      <c r="L3376" s="29" t="s">
        <v>5311</v>
      </c>
      <c r="M3376" s="29" t="s">
        <v>5312</v>
      </c>
      <c r="N3376" s="29" t="s">
        <v>5311</v>
      </c>
      <c r="O3376" s="29" t="s">
        <v>528</v>
      </c>
    </row>
    <row r="3377" spans="1:15">
      <c r="A3377" s="25">
        <v>11483</v>
      </c>
      <c r="B3377" s="26" t="s">
        <v>445</v>
      </c>
      <c r="C3377" s="27" t="s">
        <v>521</v>
      </c>
      <c r="D3377" s="27" t="s">
        <v>711</v>
      </c>
      <c r="E3377" s="28">
        <v>40701</v>
      </c>
      <c r="F3377" s="28" t="s">
        <v>35</v>
      </c>
      <c r="G3377" s="28" t="s">
        <v>35</v>
      </c>
      <c r="H3377" s="29" t="s">
        <v>560</v>
      </c>
      <c r="I3377" s="29" t="s">
        <v>560</v>
      </c>
      <c r="J3377" s="29" t="s">
        <v>525</v>
      </c>
      <c r="K3377" s="29" t="s">
        <v>525</v>
      </c>
      <c r="L3377" s="29" t="s">
        <v>5311</v>
      </c>
      <c r="M3377" s="29" t="s">
        <v>5312</v>
      </c>
      <c r="N3377" s="29" t="s">
        <v>5311</v>
      </c>
      <c r="O3377" s="29" t="s">
        <v>528</v>
      </c>
    </row>
    <row r="3378" spans="1:15">
      <c r="A3378" s="25">
        <v>11656</v>
      </c>
      <c r="B3378" s="26" t="s">
        <v>441</v>
      </c>
      <c r="C3378" s="27" t="s">
        <v>521</v>
      </c>
      <c r="D3378" s="27" t="s">
        <v>675</v>
      </c>
      <c r="E3378" s="28">
        <v>40714</v>
      </c>
      <c r="F3378" s="28" t="s">
        <v>35</v>
      </c>
      <c r="G3378" s="28" t="s">
        <v>35</v>
      </c>
      <c r="H3378" s="29" t="s">
        <v>560</v>
      </c>
      <c r="I3378" s="29" t="s">
        <v>560</v>
      </c>
      <c r="J3378" s="29" t="s">
        <v>525</v>
      </c>
      <c r="K3378" s="29" t="s">
        <v>525</v>
      </c>
      <c r="L3378" s="29" t="s">
        <v>5311</v>
      </c>
      <c r="M3378" s="29" t="s">
        <v>5312</v>
      </c>
      <c r="N3378" s="29" t="s">
        <v>5311</v>
      </c>
      <c r="O3378" s="29" t="s">
        <v>528</v>
      </c>
    </row>
    <row r="3379" spans="1:15">
      <c r="A3379" s="25">
        <v>11743</v>
      </c>
      <c r="B3379" s="26" t="s">
        <v>437</v>
      </c>
      <c r="C3379" s="27" t="s">
        <v>521</v>
      </c>
      <c r="D3379" s="27" t="s">
        <v>675</v>
      </c>
      <c r="E3379" s="28">
        <v>40714</v>
      </c>
      <c r="F3379" s="28" t="s">
        <v>35</v>
      </c>
      <c r="G3379" s="28" t="s">
        <v>35</v>
      </c>
      <c r="H3379" s="29" t="s">
        <v>560</v>
      </c>
      <c r="I3379" s="29" t="s">
        <v>560</v>
      </c>
      <c r="J3379" s="29" t="s">
        <v>525</v>
      </c>
      <c r="K3379" s="29" t="s">
        <v>525</v>
      </c>
      <c r="L3379" s="29" t="s">
        <v>5311</v>
      </c>
      <c r="M3379" s="29" t="s">
        <v>5314</v>
      </c>
      <c r="N3379" s="29" t="s">
        <v>5311</v>
      </c>
      <c r="O3379" s="29" t="s">
        <v>528</v>
      </c>
    </row>
    <row r="3380" spans="1:15">
      <c r="A3380" s="25">
        <v>11787</v>
      </c>
      <c r="B3380" s="26" t="s">
        <v>436</v>
      </c>
      <c r="C3380" s="27" t="s">
        <v>521</v>
      </c>
      <c r="D3380" s="27" t="s">
        <v>675</v>
      </c>
      <c r="E3380" s="28">
        <v>40714</v>
      </c>
      <c r="F3380" s="28" t="s">
        <v>35</v>
      </c>
      <c r="G3380" s="28" t="s">
        <v>35</v>
      </c>
      <c r="H3380" s="29" t="s">
        <v>560</v>
      </c>
      <c r="I3380" s="29" t="s">
        <v>560</v>
      </c>
      <c r="J3380" s="29" t="s">
        <v>525</v>
      </c>
      <c r="K3380" s="29" t="s">
        <v>525</v>
      </c>
      <c r="L3380" s="29" t="s">
        <v>5311</v>
      </c>
      <c r="M3380" s="29" t="s">
        <v>5312</v>
      </c>
      <c r="N3380" s="29" t="s">
        <v>5311</v>
      </c>
      <c r="O3380" s="29" t="s">
        <v>528</v>
      </c>
    </row>
    <row r="3381" spans="1:15">
      <c r="A3381" s="25">
        <v>11820</v>
      </c>
      <c r="B3381" s="26" t="s">
        <v>433</v>
      </c>
      <c r="C3381" s="27" t="s">
        <v>521</v>
      </c>
      <c r="D3381" s="27" t="s">
        <v>799</v>
      </c>
      <c r="E3381" s="28">
        <v>40721</v>
      </c>
      <c r="F3381" s="28" t="s">
        <v>35</v>
      </c>
      <c r="G3381" s="28" t="s">
        <v>35</v>
      </c>
      <c r="H3381" s="29" t="s">
        <v>560</v>
      </c>
      <c r="I3381" s="29" t="s">
        <v>560</v>
      </c>
      <c r="J3381" s="29" t="s">
        <v>525</v>
      </c>
      <c r="K3381" s="29" t="s">
        <v>525</v>
      </c>
      <c r="L3381" s="29" t="s">
        <v>5311</v>
      </c>
      <c r="M3381" s="29" t="s">
        <v>5314</v>
      </c>
      <c r="N3381" s="29" t="s">
        <v>5311</v>
      </c>
      <c r="O3381" s="29" t="s">
        <v>528</v>
      </c>
    </row>
    <row r="3382" spans="1:15">
      <c r="A3382" s="25">
        <v>11903</v>
      </c>
      <c r="B3382" s="26" t="s">
        <v>429</v>
      </c>
      <c r="C3382" s="27" t="s">
        <v>521</v>
      </c>
      <c r="D3382" s="27" t="s">
        <v>701</v>
      </c>
      <c r="E3382" s="28">
        <v>40735</v>
      </c>
      <c r="F3382" s="28" t="s">
        <v>35</v>
      </c>
      <c r="G3382" s="28" t="s">
        <v>35</v>
      </c>
      <c r="H3382" s="29" t="s">
        <v>560</v>
      </c>
      <c r="I3382" s="29" t="s">
        <v>560</v>
      </c>
      <c r="J3382" s="29" t="s">
        <v>525</v>
      </c>
      <c r="K3382" s="29" t="s">
        <v>525</v>
      </c>
      <c r="L3382" s="29" t="s">
        <v>5311</v>
      </c>
      <c r="M3382" s="29" t="s">
        <v>5312</v>
      </c>
      <c r="N3382" s="29" t="s">
        <v>5311</v>
      </c>
      <c r="O3382" s="29" t="s">
        <v>528</v>
      </c>
    </row>
    <row r="3383" spans="1:15">
      <c r="A3383" s="25" t="s">
        <v>56</v>
      </c>
      <c r="B3383" s="26" t="s">
        <v>57</v>
      </c>
      <c r="C3383" s="27" t="s">
        <v>521</v>
      </c>
      <c r="D3383" s="27" t="s">
        <v>1853</v>
      </c>
      <c r="E3383" s="28">
        <v>40896</v>
      </c>
      <c r="F3383" s="28" t="s">
        <v>35</v>
      </c>
      <c r="G3383" s="28" t="s">
        <v>35</v>
      </c>
      <c r="H3383" s="29" t="s">
        <v>560</v>
      </c>
      <c r="I3383" s="29" t="s">
        <v>560</v>
      </c>
      <c r="J3383" s="29" t="s">
        <v>525</v>
      </c>
      <c r="K3383" s="29" t="s">
        <v>525</v>
      </c>
      <c r="L3383" s="29" t="s">
        <v>5311</v>
      </c>
      <c r="M3383" s="29" t="s">
        <v>5312</v>
      </c>
      <c r="N3383" s="29" t="s">
        <v>5311</v>
      </c>
      <c r="O3383" s="29" t="s">
        <v>528</v>
      </c>
    </row>
    <row r="3384" spans="1:15">
      <c r="A3384" s="25" t="s">
        <v>51</v>
      </c>
      <c r="B3384" s="26" t="s">
        <v>52</v>
      </c>
      <c r="C3384" s="27" t="s">
        <v>521</v>
      </c>
      <c r="D3384" s="27" t="s">
        <v>1893</v>
      </c>
      <c r="E3384" s="28">
        <v>40910</v>
      </c>
      <c r="F3384" s="28" t="s">
        <v>35</v>
      </c>
      <c r="G3384" s="28" t="s">
        <v>35</v>
      </c>
      <c r="H3384" s="29" t="s">
        <v>560</v>
      </c>
      <c r="I3384" s="29" t="s">
        <v>560</v>
      </c>
      <c r="J3384" s="29" t="s">
        <v>525</v>
      </c>
      <c r="K3384" s="29" t="s">
        <v>525</v>
      </c>
      <c r="L3384" s="29" t="s">
        <v>5311</v>
      </c>
      <c r="M3384" s="29" t="s">
        <v>5312</v>
      </c>
      <c r="N3384" s="29" t="s">
        <v>5311</v>
      </c>
      <c r="O3384" s="29" t="s">
        <v>528</v>
      </c>
    </row>
    <row r="3385" spans="1:15">
      <c r="A3385" s="25">
        <v>1004</v>
      </c>
      <c r="B3385" s="26" t="s">
        <v>507</v>
      </c>
      <c r="C3385" s="27" t="s">
        <v>521</v>
      </c>
      <c r="D3385" s="27" t="s">
        <v>709</v>
      </c>
      <c r="E3385" s="28">
        <v>37872</v>
      </c>
      <c r="F3385" s="28" t="s">
        <v>35</v>
      </c>
      <c r="G3385" s="28" t="s">
        <v>35</v>
      </c>
      <c r="H3385" s="29" t="s">
        <v>560</v>
      </c>
      <c r="I3385" s="29" t="s">
        <v>560</v>
      </c>
      <c r="J3385" s="29" t="s">
        <v>525</v>
      </c>
      <c r="K3385" s="29" t="s">
        <v>525</v>
      </c>
      <c r="L3385" s="29" t="s">
        <v>5311</v>
      </c>
      <c r="M3385" s="29" t="s">
        <v>5312</v>
      </c>
      <c r="N3385" s="29" t="s">
        <v>5311</v>
      </c>
      <c r="O3385" s="29" t="s">
        <v>528</v>
      </c>
    </row>
    <row r="3386" spans="1:15">
      <c r="A3386" s="25">
        <v>11860</v>
      </c>
      <c r="B3386" s="26" t="s">
        <v>5315</v>
      </c>
      <c r="C3386" s="27" t="s">
        <v>521</v>
      </c>
      <c r="D3386" s="27" t="s">
        <v>799</v>
      </c>
      <c r="E3386" s="28">
        <v>40721</v>
      </c>
      <c r="F3386" s="28" t="s">
        <v>35</v>
      </c>
      <c r="G3386" s="28" t="s">
        <v>35</v>
      </c>
      <c r="H3386" s="27" t="s">
        <v>560</v>
      </c>
      <c r="I3386" s="27" t="s">
        <v>5316</v>
      </c>
      <c r="J3386" s="29" t="s">
        <v>525</v>
      </c>
      <c r="K3386" s="29" t="s">
        <v>525</v>
      </c>
      <c r="L3386" s="29" t="s">
        <v>5316</v>
      </c>
      <c r="M3386" s="29" t="s">
        <v>5317</v>
      </c>
      <c r="N3386" s="29" t="s">
        <v>659</v>
      </c>
      <c r="O3386" s="29" t="s">
        <v>594</v>
      </c>
    </row>
    <row r="3387" spans="1:15">
      <c r="A3387" s="25">
        <v>12161</v>
      </c>
      <c r="B3387" s="26" t="s">
        <v>5318</v>
      </c>
      <c r="C3387" s="27" t="s">
        <v>521</v>
      </c>
      <c r="D3387" s="27" t="s">
        <v>5319</v>
      </c>
      <c r="E3387" s="28">
        <v>40800</v>
      </c>
      <c r="F3387" s="28" t="s">
        <v>35</v>
      </c>
      <c r="G3387" s="28" t="s">
        <v>35</v>
      </c>
      <c r="H3387" s="27" t="s">
        <v>560</v>
      </c>
      <c r="I3387" s="27" t="s">
        <v>5316</v>
      </c>
      <c r="J3387" s="27" t="s">
        <v>525</v>
      </c>
      <c r="K3387" s="27" t="s">
        <v>525</v>
      </c>
      <c r="L3387" s="27" t="s">
        <v>5316</v>
      </c>
      <c r="M3387" s="27" t="s">
        <v>5317</v>
      </c>
      <c r="N3387" s="31" t="s">
        <v>659</v>
      </c>
      <c r="O3387" s="27" t="s">
        <v>528</v>
      </c>
    </row>
    <row r="3388" spans="1:15">
      <c r="A3388" s="25">
        <v>15931</v>
      </c>
      <c r="B3388" s="26" t="s">
        <v>5320</v>
      </c>
      <c r="C3388" s="27" t="s">
        <v>521</v>
      </c>
      <c r="D3388" s="27" t="s">
        <v>5321</v>
      </c>
      <c r="E3388" s="28">
        <v>41557</v>
      </c>
      <c r="F3388" s="28" t="s">
        <v>35</v>
      </c>
      <c r="G3388" s="28" t="s">
        <v>35</v>
      </c>
      <c r="H3388" s="29" t="s">
        <v>560</v>
      </c>
      <c r="I3388" s="29" t="s">
        <v>5316</v>
      </c>
      <c r="J3388" s="29" t="s">
        <v>525</v>
      </c>
      <c r="K3388" s="29" t="s">
        <v>525</v>
      </c>
      <c r="L3388" s="29" t="s">
        <v>5316</v>
      </c>
      <c r="M3388" s="29" t="s">
        <v>5317</v>
      </c>
      <c r="N3388" s="29" t="s">
        <v>659</v>
      </c>
      <c r="O3388" s="29" t="s">
        <v>528</v>
      </c>
    </row>
    <row r="3389" spans="1:15">
      <c r="A3389" s="25">
        <v>20205</v>
      </c>
      <c r="B3389" s="26" t="s">
        <v>5322</v>
      </c>
      <c r="C3389" s="27" t="s">
        <v>521</v>
      </c>
      <c r="D3389" s="27" t="s">
        <v>2987</v>
      </c>
      <c r="E3389" s="28">
        <v>42604</v>
      </c>
      <c r="F3389" s="28" t="s">
        <v>35</v>
      </c>
      <c r="G3389" s="28" t="s">
        <v>35</v>
      </c>
      <c r="H3389" s="29" t="s">
        <v>560</v>
      </c>
      <c r="I3389" s="27" t="s">
        <v>5316</v>
      </c>
      <c r="J3389" s="29" t="s">
        <v>525</v>
      </c>
      <c r="K3389" s="29" t="s">
        <v>525</v>
      </c>
      <c r="L3389" s="29" t="s">
        <v>5316</v>
      </c>
      <c r="M3389" s="29" t="s">
        <v>5323</v>
      </c>
      <c r="N3389" s="29" t="s">
        <v>659</v>
      </c>
      <c r="O3389" s="29" t="s">
        <v>528</v>
      </c>
    </row>
    <row r="3390" spans="1:15">
      <c r="A3390" s="25">
        <v>11037</v>
      </c>
      <c r="B3390" s="26" t="s">
        <v>5324</v>
      </c>
      <c r="C3390" s="27" t="s">
        <v>521</v>
      </c>
      <c r="D3390" s="27" t="s">
        <v>1770</v>
      </c>
      <c r="E3390" s="28">
        <v>40592</v>
      </c>
      <c r="F3390" s="28" t="s">
        <v>35</v>
      </c>
      <c r="G3390" s="28" t="s">
        <v>35</v>
      </c>
      <c r="H3390" s="27" t="s">
        <v>560</v>
      </c>
      <c r="I3390" s="27" t="s">
        <v>5316</v>
      </c>
      <c r="J3390" s="27" t="s">
        <v>525</v>
      </c>
      <c r="K3390" s="27" t="s">
        <v>525</v>
      </c>
      <c r="L3390" s="29" t="s">
        <v>5316</v>
      </c>
      <c r="M3390" s="29" t="s">
        <v>5317</v>
      </c>
      <c r="N3390" s="29" t="s">
        <v>659</v>
      </c>
      <c r="O3390" s="29" t="s">
        <v>590</v>
      </c>
    </row>
    <row r="3391" spans="1:15">
      <c r="A3391" s="25">
        <v>9569</v>
      </c>
      <c r="B3391" s="26" t="s">
        <v>5325</v>
      </c>
      <c r="C3391" s="27" t="s">
        <v>521</v>
      </c>
      <c r="D3391" s="27" t="s">
        <v>810</v>
      </c>
      <c r="E3391" s="28">
        <v>40179</v>
      </c>
      <c r="F3391" s="28" t="s">
        <v>35</v>
      </c>
      <c r="G3391" s="28" t="s">
        <v>35</v>
      </c>
      <c r="H3391" s="27" t="s">
        <v>560</v>
      </c>
      <c r="I3391" s="27" t="s">
        <v>5326</v>
      </c>
      <c r="J3391" s="29" t="s">
        <v>525</v>
      </c>
      <c r="K3391" s="29" t="s">
        <v>525</v>
      </c>
      <c r="L3391" s="29" t="s">
        <v>5327</v>
      </c>
      <c r="M3391" s="29" t="s">
        <v>5328</v>
      </c>
      <c r="N3391" s="29" t="s">
        <v>1223</v>
      </c>
      <c r="O3391" s="29" t="s">
        <v>594</v>
      </c>
    </row>
    <row r="3392" spans="1:15">
      <c r="A3392" s="25">
        <v>5441</v>
      </c>
      <c r="B3392" s="26" t="s">
        <v>127</v>
      </c>
      <c r="C3392" s="27" t="s">
        <v>521</v>
      </c>
      <c r="D3392" s="27" t="s">
        <v>760</v>
      </c>
      <c r="E3392" s="28">
        <v>38991</v>
      </c>
      <c r="F3392" s="28" t="s">
        <v>35</v>
      </c>
      <c r="G3392" s="28" t="s">
        <v>35</v>
      </c>
      <c r="H3392" s="27" t="s">
        <v>560</v>
      </c>
      <c r="I3392" s="27" t="s">
        <v>5326</v>
      </c>
      <c r="J3392" s="27" t="s">
        <v>525</v>
      </c>
      <c r="K3392" s="27" t="s">
        <v>525</v>
      </c>
      <c r="L3392" s="29" t="s">
        <v>5327</v>
      </c>
      <c r="M3392" s="29" t="s">
        <v>5329</v>
      </c>
      <c r="N3392" s="29" t="s">
        <v>1223</v>
      </c>
      <c r="O3392" s="29" t="s">
        <v>590</v>
      </c>
    </row>
    <row r="3393" spans="1:15">
      <c r="A3393" s="25">
        <v>11238</v>
      </c>
      <c r="B3393" s="26" t="s">
        <v>5330</v>
      </c>
      <c r="C3393" s="27" t="s">
        <v>521</v>
      </c>
      <c r="D3393" s="27" t="s">
        <v>1453</v>
      </c>
      <c r="E3393" s="28">
        <v>40610</v>
      </c>
      <c r="F3393" s="28" t="s">
        <v>35</v>
      </c>
      <c r="G3393" s="28" t="s">
        <v>35</v>
      </c>
      <c r="H3393" s="27" t="s">
        <v>560</v>
      </c>
      <c r="I3393" s="27" t="s">
        <v>5326</v>
      </c>
      <c r="J3393" s="27" t="s">
        <v>525</v>
      </c>
      <c r="K3393" s="27" t="s">
        <v>525</v>
      </c>
      <c r="L3393" s="29" t="s">
        <v>5331</v>
      </c>
      <c r="M3393" s="29" t="s">
        <v>5329</v>
      </c>
      <c r="N3393" s="29" t="s">
        <v>1223</v>
      </c>
      <c r="O3393" s="29" t="s">
        <v>594</v>
      </c>
    </row>
    <row r="3394" spans="1:15">
      <c r="A3394" s="25">
        <v>5550</v>
      </c>
      <c r="B3394" s="26" t="s">
        <v>190</v>
      </c>
      <c r="C3394" s="27" t="s">
        <v>521</v>
      </c>
      <c r="D3394" s="27" t="s">
        <v>1064</v>
      </c>
      <c r="E3394" s="28">
        <v>39052</v>
      </c>
      <c r="F3394" s="28" t="s">
        <v>35</v>
      </c>
      <c r="G3394" s="28" t="s">
        <v>35</v>
      </c>
      <c r="H3394" s="27" t="s">
        <v>560</v>
      </c>
      <c r="I3394" s="27" t="s">
        <v>5326</v>
      </c>
      <c r="J3394" s="27" t="s">
        <v>525</v>
      </c>
      <c r="K3394" s="27" t="s">
        <v>525</v>
      </c>
      <c r="L3394" s="29" t="s">
        <v>5331</v>
      </c>
      <c r="M3394" s="29" t="s">
        <v>5329</v>
      </c>
      <c r="N3394" s="29" t="s">
        <v>1223</v>
      </c>
      <c r="O3394" s="29" t="s">
        <v>590</v>
      </c>
    </row>
    <row r="3395" spans="1:15">
      <c r="A3395" s="25">
        <v>9450</v>
      </c>
      <c r="B3395" s="26" t="s">
        <v>5332</v>
      </c>
      <c r="C3395" s="27" t="s">
        <v>521</v>
      </c>
      <c r="D3395" s="27" t="s">
        <v>658</v>
      </c>
      <c r="E3395" s="28">
        <v>40148</v>
      </c>
      <c r="F3395" s="28" t="s">
        <v>35</v>
      </c>
      <c r="G3395" s="28" t="s">
        <v>35</v>
      </c>
      <c r="H3395" s="27" t="s">
        <v>560</v>
      </c>
      <c r="I3395" s="27" t="s">
        <v>5326</v>
      </c>
      <c r="J3395" s="29" t="s">
        <v>525</v>
      </c>
      <c r="K3395" s="29" t="s">
        <v>525</v>
      </c>
      <c r="L3395" s="29" t="s">
        <v>5333</v>
      </c>
      <c r="M3395" s="29" t="s">
        <v>5329</v>
      </c>
      <c r="N3395" s="29" t="s">
        <v>1223</v>
      </c>
      <c r="O3395" s="29" t="s">
        <v>594</v>
      </c>
    </row>
    <row r="3396" spans="1:15">
      <c r="A3396" s="25">
        <v>65</v>
      </c>
      <c r="B3396" s="26" t="s">
        <v>5334</v>
      </c>
      <c r="C3396" s="27" t="s">
        <v>521</v>
      </c>
      <c r="D3396" s="27" t="s">
        <v>3715</v>
      </c>
      <c r="E3396" s="28">
        <v>37578</v>
      </c>
      <c r="F3396" s="28" t="s">
        <v>35</v>
      </c>
      <c r="G3396" s="28" t="s">
        <v>35</v>
      </c>
      <c r="H3396" s="27" t="s">
        <v>560</v>
      </c>
      <c r="I3396" s="27" t="s">
        <v>5326</v>
      </c>
      <c r="J3396" s="29" t="s">
        <v>525</v>
      </c>
      <c r="K3396" s="29" t="s">
        <v>525</v>
      </c>
      <c r="L3396" s="29" t="s">
        <v>5333</v>
      </c>
      <c r="M3396" s="29" t="s">
        <v>5329</v>
      </c>
      <c r="N3396" s="29" t="s">
        <v>1223</v>
      </c>
      <c r="O3396" s="29" t="s">
        <v>590</v>
      </c>
    </row>
    <row r="3397" spans="1:15">
      <c r="A3397" s="25">
        <v>53</v>
      </c>
      <c r="B3397" s="26" t="s">
        <v>5335</v>
      </c>
      <c r="C3397" s="27" t="s">
        <v>521</v>
      </c>
      <c r="D3397" s="27" t="s">
        <v>3715</v>
      </c>
      <c r="E3397" s="28">
        <v>37578</v>
      </c>
      <c r="F3397" s="28" t="s">
        <v>35</v>
      </c>
      <c r="G3397" s="28" t="s">
        <v>35</v>
      </c>
      <c r="H3397" s="27" t="s">
        <v>560</v>
      </c>
      <c r="I3397" s="27" t="s">
        <v>5326</v>
      </c>
      <c r="J3397" s="27" t="s">
        <v>525</v>
      </c>
      <c r="K3397" s="27" t="s">
        <v>525</v>
      </c>
      <c r="L3397" s="29" t="s">
        <v>5336</v>
      </c>
      <c r="M3397" s="29" t="s">
        <v>5329</v>
      </c>
      <c r="N3397" s="29" t="s">
        <v>1223</v>
      </c>
      <c r="O3397" s="29" t="s">
        <v>594</v>
      </c>
    </row>
    <row r="3398" spans="1:15">
      <c r="A3398" s="25">
        <v>8941</v>
      </c>
      <c r="B3398" s="26" t="s">
        <v>5337</v>
      </c>
      <c r="C3398" s="27" t="s">
        <v>521</v>
      </c>
      <c r="D3398" s="27" t="s">
        <v>798</v>
      </c>
      <c r="E3398" s="28">
        <v>39966</v>
      </c>
      <c r="F3398" s="28" t="s">
        <v>35</v>
      </c>
      <c r="G3398" s="28" t="s">
        <v>35</v>
      </c>
      <c r="H3398" s="27" t="s">
        <v>560</v>
      </c>
      <c r="I3398" s="27" t="s">
        <v>5326</v>
      </c>
      <c r="J3398" s="29" t="s">
        <v>525</v>
      </c>
      <c r="K3398" s="29" t="s">
        <v>525</v>
      </c>
      <c r="L3398" s="29" t="s">
        <v>5336</v>
      </c>
      <c r="M3398" s="29" t="s">
        <v>5338</v>
      </c>
      <c r="N3398" s="29" t="s">
        <v>1223</v>
      </c>
      <c r="O3398" s="29" t="s">
        <v>594</v>
      </c>
    </row>
    <row r="3399" spans="1:15">
      <c r="A3399" s="25">
        <v>786</v>
      </c>
      <c r="B3399" s="26" t="s">
        <v>155</v>
      </c>
      <c r="C3399" s="27" t="s">
        <v>521</v>
      </c>
      <c r="D3399" s="27" t="s">
        <v>1212</v>
      </c>
      <c r="E3399" s="28">
        <v>37830</v>
      </c>
      <c r="F3399" s="28" t="s">
        <v>35</v>
      </c>
      <c r="G3399" s="28" t="s">
        <v>35</v>
      </c>
      <c r="H3399" s="29" t="s">
        <v>560</v>
      </c>
      <c r="I3399" s="27" t="s">
        <v>5326</v>
      </c>
      <c r="J3399" s="29" t="s">
        <v>525</v>
      </c>
      <c r="K3399" s="29" t="s">
        <v>525</v>
      </c>
      <c r="L3399" s="29" t="s">
        <v>5336</v>
      </c>
      <c r="M3399" s="29" t="s">
        <v>5329</v>
      </c>
      <c r="N3399" s="29" t="s">
        <v>1223</v>
      </c>
      <c r="O3399" s="29" t="s">
        <v>590</v>
      </c>
    </row>
    <row r="3400" spans="1:15">
      <c r="A3400" s="25">
        <v>1171</v>
      </c>
      <c r="B3400" s="26" t="s">
        <v>5339</v>
      </c>
      <c r="C3400" s="27" t="s">
        <v>521</v>
      </c>
      <c r="D3400" s="27" t="s">
        <v>1468</v>
      </c>
      <c r="E3400" s="28">
        <v>37907</v>
      </c>
      <c r="F3400" s="28" t="s">
        <v>35</v>
      </c>
      <c r="G3400" s="28" t="s">
        <v>35</v>
      </c>
      <c r="H3400" s="27" t="s">
        <v>560</v>
      </c>
      <c r="I3400" s="27" t="s">
        <v>5326</v>
      </c>
      <c r="J3400" s="29" t="s">
        <v>525</v>
      </c>
      <c r="K3400" s="29" t="s">
        <v>525</v>
      </c>
      <c r="L3400" s="29" t="s">
        <v>5336</v>
      </c>
      <c r="M3400" s="29" t="s">
        <v>5329</v>
      </c>
      <c r="N3400" s="29" t="s">
        <v>1223</v>
      </c>
      <c r="O3400" s="29" t="s">
        <v>590</v>
      </c>
    </row>
    <row r="3401" spans="1:15">
      <c r="A3401" s="25">
        <v>9649</v>
      </c>
      <c r="B3401" s="26" t="s">
        <v>5340</v>
      </c>
      <c r="C3401" s="27" t="s">
        <v>521</v>
      </c>
      <c r="D3401" s="27" t="s">
        <v>1598</v>
      </c>
      <c r="E3401" s="28">
        <v>40179</v>
      </c>
      <c r="F3401" s="28" t="s">
        <v>35</v>
      </c>
      <c r="G3401" s="28" t="s">
        <v>35</v>
      </c>
      <c r="H3401" s="27" t="s">
        <v>560</v>
      </c>
      <c r="I3401" s="27" t="s">
        <v>5326</v>
      </c>
      <c r="J3401" s="27" t="s">
        <v>525</v>
      </c>
      <c r="K3401" s="27" t="s">
        <v>525</v>
      </c>
      <c r="L3401" s="29" t="s">
        <v>5341</v>
      </c>
      <c r="M3401" s="29" t="s">
        <v>5329</v>
      </c>
      <c r="N3401" s="29" t="s">
        <v>1223</v>
      </c>
      <c r="O3401" s="29" t="s">
        <v>594</v>
      </c>
    </row>
    <row r="3402" spans="1:15">
      <c r="A3402" s="25">
        <v>6145</v>
      </c>
      <c r="B3402" s="26" t="s">
        <v>5342</v>
      </c>
      <c r="C3402" s="27" t="s">
        <v>521</v>
      </c>
      <c r="D3402" s="27" t="s">
        <v>576</v>
      </c>
      <c r="E3402" s="28">
        <v>39157</v>
      </c>
      <c r="F3402" s="28" t="s">
        <v>35</v>
      </c>
      <c r="G3402" s="28" t="s">
        <v>35</v>
      </c>
      <c r="H3402" s="27" t="s">
        <v>560</v>
      </c>
      <c r="I3402" s="27" t="s">
        <v>5326</v>
      </c>
      <c r="J3402" s="27" t="s">
        <v>525</v>
      </c>
      <c r="K3402" s="27" t="s">
        <v>525</v>
      </c>
      <c r="L3402" s="29" t="s">
        <v>5341</v>
      </c>
      <c r="M3402" s="29" t="s">
        <v>5329</v>
      </c>
      <c r="N3402" s="29" t="s">
        <v>1223</v>
      </c>
      <c r="O3402" s="29" t="s">
        <v>590</v>
      </c>
    </row>
    <row r="3403" spans="1:15">
      <c r="A3403" s="25">
        <v>322</v>
      </c>
      <c r="B3403" s="26" t="s">
        <v>5343</v>
      </c>
      <c r="C3403" s="27" t="s">
        <v>521</v>
      </c>
      <c r="D3403" s="27" t="s">
        <v>705</v>
      </c>
      <c r="E3403" s="28">
        <v>37725</v>
      </c>
      <c r="F3403" s="28" t="s">
        <v>35</v>
      </c>
      <c r="G3403" s="28" t="s">
        <v>35</v>
      </c>
      <c r="H3403" s="27" t="s">
        <v>560</v>
      </c>
      <c r="I3403" s="27" t="s">
        <v>5326</v>
      </c>
      <c r="J3403" s="27" t="s">
        <v>525</v>
      </c>
      <c r="K3403" s="27" t="s">
        <v>525</v>
      </c>
      <c r="L3403" s="29" t="s">
        <v>5344</v>
      </c>
      <c r="M3403" s="29" t="s">
        <v>5329</v>
      </c>
      <c r="N3403" s="29" t="s">
        <v>1223</v>
      </c>
      <c r="O3403" s="29" t="s">
        <v>594</v>
      </c>
    </row>
    <row r="3404" spans="1:15">
      <c r="A3404" s="25">
        <v>82</v>
      </c>
      <c r="B3404" s="26" t="s">
        <v>5345</v>
      </c>
      <c r="C3404" s="27" t="s">
        <v>521</v>
      </c>
      <c r="D3404" s="27" t="s">
        <v>5346</v>
      </c>
      <c r="E3404" s="28">
        <v>37610</v>
      </c>
      <c r="F3404" s="28" t="s">
        <v>35</v>
      </c>
      <c r="G3404" s="28" t="s">
        <v>35</v>
      </c>
      <c r="H3404" s="27" t="s">
        <v>560</v>
      </c>
      <c r="I3404" s="27" t="s">
        <v>5326</v>
      </c>
      <c r="J3404" s="27" t="s">
        <v>525</v>
      </c>
      <c r="K3404" s="27" t="s">
        <v>525</v>
      </c>
      <c r="L3404" s="29" t="s">
        <v>5344</v>
      </c>
      <c r="M3404" s="29" t="s">
        <v>5329</v>
      </c>
      <c r="N3404" s="29" t="s">
        <v>1223</v>
      </c>
      <c r="O3404" s="29" t="s">
        <v>590</v>
      </c>
    </row>
    <row r="3405" spans="1:15">
      <c r="A3405" s="25">
        <v>247</v>
      </c>
      <c r="B3405" s="26" t="s">
        <v>5347</v>
      </c>
      <c r="C3405" s="27" t="s">
        <v>521</v>
      </c>
      <c r="D3405" s="27" t="s">
        <v>644</v>
      </c>
      <c r="E3405" s="28">
        <v>37704</v>
      </c>
      <c r="F3405" s="28" t="s">
        <v>35</v>
      </c>
      <c r="G3405" s="28" t="s">
        <v>35</v>
      </c>
      <c r="H3405" s="27" t="s">
        <v>560</v>
      </c>
      <c r="I3405" s="27" t="s">
        <v>5326</v>
      </c>
      <c r="J3405" s="27" t="s">
        <v>525</v>
      </c>
      <c r="K3405" s="27" t="s">
        <v>525</v>
      </c>
      <c r="L3405" s="29" t="s">
        <v>5348</v>
      </c>
      <c r="M3405" s="29" t="s">
        <v>5329</v>
      </c>
      <c r="N3405" s="29" t="s">
        <v>1223</v>
      </c>
      <c r="O3405" s="29" t="s">
        <v>594</v>
      </c>
    </row>
    <row r="3406" spans="1:15">
      <c r="A3406" s="25">
        <v>121</v>
      </c>
      <c r="B3406" s="26" t="s">
        <v>172</v>
      </c>
      <c r="C3406" s="27" t="s">
        <v>521</v>
      </c>
      <c r="D3406" s="27" t="s">
        <v>1106</v>
      </c>
      <c r="E3406" s="28">
        <v>37627</v>
      </c>
      <c r="F3406" s="28" t="s">
        <v>35</v>
      </c>
      <c r="G3406" s="28" t="s">
        <v>35</v>
      </c>
      <c r="H3406" s="27" t="s">
        <v>560</v>
      </c>
      <c r="I3406" s="27" t="s">
        <v>5326</v>
      </c>
      <c r="J3406" s="27" t="s">
        <v>525</v>
      </c>
      <c r="K3406" s="27" t="s">
        <v>525</v>
      </c>
      <c r="L3406" s="29" t="s">
        <v>5348</v>
      </c>
      <c r="M3406" s="29" t="s">
        <v>5329</v>
      </c>
      <c r="N3406" s="29" t="s">
        <v>1223</v>
      </c>
      <c r="O3406" s="29" t="s">
        <v>590</v>
      </c>
    </row>
    <row r="3407" spans="1:15">
      <c r="A3407" s="25">
        <v>625</v>
      </c>
      <c r="B3407" s="26" t="s">
        <v>3707</v>
      </c>
      <c r="C3407" s="27" t="s">
        <v>521</v>
      </c>
      <c r="D3407" s="27" t="s">
        <v>783</v>
      </c>
      <c r="E3407" s="28">
        <v>37781</v>
      </c>
      <c r="F3407" s="28" t="s">
        <v>35</v>
      </c>
      <c r="G3407" s="28" t="s">
        <v>35</v>
      </c>
      <c r="H3407" s="27" t="s">
        <v>560</v>
      </c>
      <c r="I3407" s="27" t="s">
        <v>5326</v>
      </c>
      <c r="J3407" s="27" t="s">
        <v>525</v>
      </c>
      <c r="K3407" s="27" t="s">
        <v>525</v>
      </c>
      <c r="L3407" s="29" t="s">
        <v>4634</v>
      </c>
      <c r="M3407" s="29" t="s">
        <v>5326</v>
      </c>
      <c r="N3407" s="29" t="s">
        <v>1223</v>
      </c>
      <c r="O3407" s="29" t="s">
        <v>528</v>
      </c>
    </row>
    <row r="3408" spans="1:15">
      <c r="A3408" s="25">
        <v>641</v>
      </c>
      <c r="B3408" s="26" t="s">
        <v>5349</v>
      </c>
      <c r="C3408" s="27" t="s">
        <v>521</v>
      </c>
      <c r="D3408" s="27" t="s">
        <v>783</v>
      </c>
      <c r="E3408" s="28">
        <v>37781</v>
      </c>
      <c r="F3408" s="28" t="s">
        <v>35</v>
      </c>
      <c r="G3408" s="28" t="s">
        <v>35</v>
      </c>
      <c r="H3408" s="27" t="s">
        <v>560</v>
      </c>
      <c r="I3408" s="27" t="s">
        <v>5326</v>
      </c>
      <c r="J3408" s="27" t="s">
        <v>525</v>
      </c>
      <c r="K3408" s="27" t="s">
        <v>525</v>
      </c>
      <c r="L3408" s="29" t="s">
        <v>4634</v>
      </c>
      <c r="M3408" s="29" t="s">
        <v>5326</v>
      </c>
      <c r="N3408" s="29" t="s">
        <v>1223</v>
      </c>
      <c r="O3408" s="29" t="s">
        <v>528</v>
      </c>
    </row>
    <row r="3409" spans="1:15">
      <c r="A3409" s="25">
        <v>751</v>
      </c>
      <c r="B3409" s="26" t="s">
        <v>5350</v>
      </c>
      <c r="C3409" s="27" t="s">
        <v>521</v>
      </c>
      <c r="D3409" s="27" t="s">
        <v>2713</v>
      </c>
      <c r="E3409" s="28">
        <v>37816</v>
      </c>
      <c r="F3409" s="28" t="s">
        <v>35</v>
      </c>
      <c r="G3409" s="28" t="s">
        <v>35</v>
      </c>
      <c r="H3409" s="27" t="s">
        <v>560</v>
      </c>
      <c r="I3409" s="27" t="s">
        <v>5326</v>
      </c>
      <c r="J3409" s="27" t="s">
        <v>525</v>
      </c>
      <c r="K3409" s="27" t="s">
        <v>525</v>
      </c>
      <c r="L3409" s="29" t="s">
        <v>2021</v>
      </c>
      <c r="M3409" s="29" t="s">
        <v>5329</v>
      </c>
      <c r="N3409" s="29" t="s">
        <v>1223</v>
      </c>
      <c r="O3409" s="29" t="s">
        <v>594</v>
      </c>
    </row>
    <row r="3410" spans="1:15">
      <c r="A3410" s="25">
        <v>5443</v>
      </c>
      <c r="B3410" s="26" t="s">
        <v>191</v>
      </c>
      <c r="C3410" s="27" t="s">
        <v>521</v>
      </c>
      <c r="D3410" s="27" t="s">
        <v>760</v>
      </c>
      <c r="E3410" s="28">
        <v>38991</v>
      </c>
      <c r="F3410" s="28" t="s">
        <v>35</v>
      </c>
      <c r="G3410" s="28" t="s">
        <v>35</v>
      </c>
      <c r="H3410" s="29" t="s">
        <v>560</v>
      </c>
      <c r="I3410" s="27" t="s">
        <v>5326</v>
      </c>
      <c r="J3410" s="29" t="s">
        <v>525</v>
      </c>
      <c r="K3410" s="29" t="s">
        <v>525</v>
      </c>
      <c r="L3410" s="29" t="s">
        <v>2021</v>
      </c>
      <c r="M3410" s="29" t="s">
        <v>5329</v>
      </c>
      <c r="N3410" s="29" t="s">
        <v>1223</v>
      </c>
      <c r="O3410" s="29" t="s">
        <v>590</v>
      </c>
    </row>
    <row r="3411" spans="1:15">
      <c r="A3411" s="25">
        <v>6359</v>
      </c>
      <c r="B3411" s="26" t="s">
        <v>5351</v>
      </c>
      <c r="C3411" s="27" t="s">
        <v>521</v>
      </c>
      <c r="D3411" s="27" t="s">
        <v>1181</v>
      </c>
      <c r="E3411" s="28">
        <v>39279</v>
      </c>
      <c r="F3411" s="28" t="s">
        <v>35</v>
      </c>
      <c r="G3411" s="28" t="s">
        <v>35</v>
      </c>
      <c r="H3411" s="27" t="s">
        <v>560</v>
      </c>
      <c r="I3411" s="27" t="s">
        <v>5326</v>
      </c>
      <c r="J3411" s="27" t="s">
        <v>525</v>
      </c>
      <c r="K3411" s="27" t="s">
        <v>525</v>
      </c>
      <c r="L3411" s="29" t="s">
        <v>5352</v>
      </c>
      <c r="M3411" s="29" t="s">
        <v>5329</v>
      </c>
      <c r="N3411" s="29" t="s">
        <v>1223</v>
      </c>
      <c r="O3411" s="29" t="s">
        <v>594</v>
      </c>
    </row>
    <row r="3412" spans="1:15">
      <c r="A3412" s="25">
        <v>5254</v>
      </c>
      <c r="B3412" s="26" t="s">
        <v>5353</v>
      </c>
      <c r="C3412" s="27" t="s">
        <v>521</v>
      </c>
      <c r="D3412" s="27" t="s">
        <v>1130</v>
      </c>
      <c r="E3412" s="28">
        <v>38961</v>
      </c>
      <c r="F3412" s="28" t="s">
        <v>35</v>
      </c>
      <c r="G3412" s="28" t="s">
        <v>35</v>
      </c>
      <c r="H3412" s="27" t="s">
        <v>560</v>
      </c>
      <c r="I3412" s="27" t="s">
        <v>5326</v>
      </c>
      <c r="J3412" s="29" t="s">
        <v>525</v>
      </c>
      <c r="K3412" s="29" t="s">
        <v>525</v>
      </c>
      <c r="L3412" s="29" t="s">
        <v>5354</v>
      </c>
      <c r="M3412" s="29" t="s">
        <v>5338</v>
      </c>
      <c r="N3412" s="29" t="s">
        <v>1223</v>
      </c>
      <c r="O3412" s="29" t="s">
        <v>594</v>
      </c>
    </row>
    <row r="3413" spans="1:15">
      <c r="A3413" s="25">
        <v>6366</v>
      </c>
      <c r="B3413" s="26" t="s">
        <v>5355</v>
      </c>
      <c r="C3413" s="27" t="s">
        <v>521</v>
      </c>
      <c r="D3413" s="27" t="s">
        <v>1181</v>
      </c>
      <c r="E3413" s="28">
        <v>39279</v>
      </c>
      <c r="F3413" s="28" t="s">
        <v>35</v>
      </c>
      <c r="G3413" s="28" t="s">
        <v>35</v>
      </c>
      <c r="H3413" s="27" t="s">
        <v>560</v>
      </c>
      <c r="I3413" s="27" t="s">
        <v>5326</v>
      </c>
      <c r="J3413" s="27" t="s">
        <v>525</v>
      </c>
      <c r="K3413" s="27" t="s">
        <v>525</v>
      </c>
      <c r="L3413" s="29" t="s">
        <v>5354</v>
      </c>
      <c r="M3413" s="29" t="s">
        <v>5329</v>
      </c>
      <c r="N3413" s="29" t="s">
        <v>1223</v>
      </c>
      <c r="O3413" s="29" t="s">
        <v>590</v>
      </c>
    </row>
    <row r="3414" spans="1:15">
      <c r="A3414" s="25">
        <v>6061</v>
      </c>
      <c r="B3414" s="26" t="s">
        <v>5356</v>
      </c>
      <c r="C3414" s="27" t="s">
        <v>521</v>
      </c>
      <c r="D3414" s="27" t="s">
        <v>591</v>
      </c>
      <c r="E3414" s="28">
        <v>39142</v>
      </c>
      <c r="F3414" s="28" t="s">
        <v>35</v>
      </c>
      <c r="G3414" s="28" t="s">
        <v>35</v>
      </c>
      <c r="H3414" s="27" t="s">
        <v>560</v>
      </c>
      <c r="I3414" s="27" t="s">
        <v>5326</v>
      </c>
      <c r="J3414" s="29" t="s">
        <v>525</v>
      </c>
      <c r="K3414" s="29" t="s">
        <v>525</v>
      </c>
      <c r="L3414" s="29" t="s">
        <v>2306</v>
      </c>
      <c r="M3414" s="29" t="s">
        <v>5329</v>
      </c>
      <c r="N3414" s="29" t="s">
        <v>1223</v>
      </c>
      <c r="O3414" s="29" t="s">
        <v>594</v>
      </c>
    </row>
    <row r="3415" spans="1:15">
      <c r="A3415" s="25">
        <v>58</v>
      </c>
      <c r="B3415" s="26" t="s">
        <v>5357</v>
      </c>
      <c r="C3415" s="27" t="s">
        <v>521</v>
      </c>
      <c r="D3415" s="27" t="s">
        <v>3715</v>
      </c>
      <c r="E3415" s="28">
        <v>37578</v>
      </c>
      <c r="F3415" s="28" t="s">
        <v>35</v>
      </c>
      <c r="G3415" s="28" t="s">
        <v>35</v>
      </c>
      <c r="H3415" s="27" t="s">
        <v>560</v>
      </c>
      <c r="I3415" s="27" t="s">
        <v>5326</v>
      </c>
      <c r="J3415" s="27" t="s">
        <v>525</v>
      </c>
      <c r="K3415" s="27" t="s">
        <v>525</v>
      </c>
      <c r="L3415" s="29" t="s">
        <v>2306</v>
      </c>
      <c r="M3415" s="29" t="s">
        <v>5329</v>
      </c>
      <c r="N3415" s="29" t="s">
        <v>1223</v>
      </c>
      <c r="O3415" s="29" t="s">
        <v>590</v>
      </c>
    </row>
    <row r="3416" spans="1:15">
      <c r="A3416" s="25">
        <v>208</v>
      </c>
      <c r="B3416" s="26" t="s">
        <v>5358</v>
      </c>
      <c r="C3416" s="27" t="s">
        <v>521</v>
      </c>
      <c r="D3416" s="27" t="s">
        <v>679</v>
      </c>
      <c r="E3416" s="28">
        <v>37697</v>
      </c>
      <c r="F3416" s="28" t="s">
        <v>35</v>
      </c>
      <c r="G3416" s="28" t="s">
        <v>35</v>
      </c>
      <c r="H3416" s="27" t="s">
        <v>560</v>
      </c>
      <c r="I3416" s="27" t="s">
        <v>5326</v>
      </c>
      <c r="J3416" s="27" t="s">
        <v>525</v>
      </c>
      <c r="K3416" s="27" t="s">
        <v>525</v>
      </c>
      <c r="L3416" s="29" t="s">
        <v>2306</v>
      </c>
      <c r="M3416" s="29" t="s">
        <v>5329</v>
      </c>
      <c r="N3416" s="29" t="s">
        <v>1223</v>
      </c>
      <c r="O3416" s="29" t="s">
        <v>590</v>
      </c>
    </row>
    <row r="3417" spans="1:15">
      <c r="A3417" s="25">
        <v>10585</v>
      </c>
      <c r="B3417" s="26" t="s">
        <v>5359</v>
      </c>
      <c r="C3417" s="27" t="s">
        <v>521</v>
      </c>
      <c r="D3417" s="27" t="s">
        <v>602</v>
      </c>
      <c r="E3417" s="28">
        <v>40544</v>
      </c>
      <c r="F3417" s="28" t="s">
        <v>35</v>
      </c>
      <c r="G3417" s="28" t="s">
        <v>35</v>
      </c>
      <c r="H3417" s="27" t="s">
        <v>560</v>
      </c>
      <c r="I3417" s="27" t="s">
        <v>5326</v>
      </c>
      <c r="J3417" s="29" t="s">
        <v>525</v>
      </c>
      <c r="K3417" s="29" t="s">
        <v>525</v>
      </c>
      <c r="L3417" s="29" t="s">
        <v>2424</v>
      </c>
      <c r="M3417" s="29" t="s">
        <v>5328</v>
      </c>
      <c r="N3417" s="29" t="s">
        <v>1223</v>
      </c>
      <c r="O3417" s="29" t="s">
        <v>594</v>
      </c>
    </row>
    <row r="3418" spans="1:15">
      <c r="A3418" s="25">
        <v>5842</v>
      </c>
      <c r="B3418" s="26" t="s">
        <v>5360</v>
      </c>
      <c r="C3418" s="27" t="s">
        <v>521</v>
      </c>
      <c r="D3418" s="27" t="s">
        <v>794</v>
      </c>
      <c r="E3418" s="28">
        <v>39114</v>
      </c>
      <c r="F3418" s="28" t="s">
        <v>35</v>
      </c>
      <c r="G3418" s="28" t="s">
        <v>35</v>
      </c>
      <c r="H3418" s="27" t="s">
        <v>560</v>
      </c>
      <c r="I3418" s="27" t="s">
        <v>5326</v>
      </c>
      <c r="J3418" s="27" t="s">
        <v>525</v>
      </c>
      <c r="K3418" s="27" t="s">
        <v>525</v>
      </c>
      <c r="L3418" s="29" t="s">
        <v>2424</v>
      </c>
      <c r="M3418" s="29" t="s">
        <v>5329</v>
      </c>
      <c r="N3418" s="29" t="s">
        <v>1223</v>
      </c>
      <c r="O3418" s="29" t="s">
        <v>590</v>
      </c>
    </row>
    <row r="3419" spans="1:15">
      <c r="A3419" s="25">
        <v>370</v>
      </c>
      <c r="B3419" s="26" t="s">
        <v>5361</v>
      </c>
      <c r="C3419" s="27" t="s">
        <v>521</v>
      </c>
      <c r="D3419" s="27" t="s">
        <v>703</v>
      </c>
      <c r="E3419" s="28">
        <v>37732</v>
      </c>
      <c r="F3419" s="28" t="s">
        <v>35</v>
      </c>
      <c r="G3419" s="28" t="s">
        <v>35</v>
      </c>
      <c r="H3419" s="27" t="s">
        <v>560</v>
      </c>
      <c r="I3419" s="27" t="s">
        <v>5326</v>
      </c>
      <c r="J3419" s="27" t="s">
        <v>525</v>
      </c>
      <c r="K3419" s="27" t="s">
        <v>525</v>
      </c>
      <c r="L3419" s="29" t="s">
        <v>2514</v>
      </c>
      <c r="M3419" s="29" t="s">
        <v>5329</v>
      </c>
      <c r="N3419" s="29" t="s">
        <v>1223</v>
      </c>
      <c r="O3419" s="29" t="s">
        <v>594</v>
      </c>
    </row>
    <row r="3420" spans="1:15">
      <c r="A3420" s="25">
        <v>63</v>
      </c>
      <c r="B3420" s="26" t="s">
        <v>5362</v>
      </c>
      <c r="C3420" s="27" t="s">
        <v>521</v>
      </c>
      <c r="D3420" s="27" t="s">
        <v>3715</v>
      </c>
      <c r="E3420" s="28">
        <v>37578</v>
      </c>
      <c r="F3420" s="28" t="s">
        <v>35</v>
      </c>
      <c r="G3420" s="28" t="s">
        <v>35</v>
      </c>
      <c r="H3420" s="27" t="s">
        <v>560</v>
      </c>
      <c r="I3420" s="27" t="s">
        <v>5326</v>
      </c>
      <c r="J3420" s="27" t="s">
        <v>525</v>
      </c>
      <c r="K3420" s="27" t="s">
        <v>525</v>
      </c>
      <c r="L3420" s="29" t="s">
        <v>2514</v>
      </c>
      <c r="M3420" s="29" t="s">
        <v>5329</v>
      </c>
      <c r="N3420" s="29" t="s">
        <v>1223</v>
      </c>
      <c r="O3420" s="29" t="s">
        <v>590</v>
      </c>
    </row>
    <row r="3421" spans="1:15">
      <c r="A3421" s="25">
        <v>9707</v>
      </c>
      <c r="B3421" s="26" t="s">
        <v>5363</v>
      </c>
      <c r="C3421" s="27" t="s">
        <v>521</v>
      </c>
      <c r="D3421" s="27" t="s">
        <v>1736</v>
      </c>
      <c r="E3421" s="28">
        <v>40299</v>
      </c>
      <c r="F3421" s="28" t="s">
        <v>35</v>
      </c>
      <c r="G3421" s="28" t="s">
        <v>35</v>
      </c>
      <c r="H3421" s="27" t="s">
        <v>560</v>
      </c>
      <c r="I3421" s="27" t="s">
        <v>5326</v>
      </c>
      <c r="J3421" s="29" t="s">
        <v>525</v>
      </c>
      <c r="K3421" s="29" t="s">
        <v>525</v>
      </c>
      <c r="L3421" s="29" t="s">
        <v>2648</v>
      </c>
      <c r="M3421" s="29" t="s">
        <v>5338</v>
      </c>
      <c r="N3421" s="29" t="s">
        <v>1223</v>
      </c>
      <c r="O3421" s="29" t="s">
        <v>594</v>
      </c>
    </row>
    <row r="3422" spans="1:15">
      <c r="A3422" s="25">
        <v>282</v>
      </c>
      <c r="B3422" s="26" t="s">
        <v>5364</v>
      </c>
      <c r="C3422" s="27" t="s">
        <v>521</v>
      </c>
      <c r="D3422" s="27" t="s">
        <v>812</v>
      </c>
      <c r="E3422" s="28">
        <v>37718</v>
      </c>
      <c r="F3422" s="28" t="s">
        <v>35</v>
      </c>
      <c r="G3422" s="28" t="s">
        <v>35</v>
      </c>
      <c r="H3422" s="27" t="s">
        <v>560</v>
      </c>
      <c r="I3422" s="27" t="s">
        <v>5326</v>
      </c>
      <c r="J3422" s="27" t="s">
        <v>525</v>
      </c>
      <c r="K3422" s="27" t="s">
        <v>525</v>
      </c>
      <c r="L3422" s="29" t="s">
        <v>5365</v>
      </c>
      <c r="M3422" s="29" t="s">
        <v>5329</v>
      </c>
      <c r="N3422" s="29" t="s">
        <v>1223</v>
      </c>
      <c r="O3422" s="29" t="s">
        <v>594</v>
      </c>
    </row>
    <row r="3423" spans="1:15">
      <c r="A3423" s="25">
        <v>8933</v>
      </c>
      <c r="B3423" s="26" t="s">
        <v>5366</v>
      </c>
      <c r="C3423" s="27" t="s">
        <v>521</v>
      </c>
      <c r="D3423" s="27" t="s">
        <v>798</v>
      </c>
      <c r="E3423" s="28">
        <v>39966</v>
      </c>
      <c r="F3423" s="28" t="s">
        <v>35</v>
      </c>
      <c r="G3423" s="28" t="s">
        <v>35</v>
      </c>
      <c r="H3423" s="27" t="s">
        <v>560</v>
      </c>
      <c r="I3423" s="27" t="s">
        <v>5326</v>
      </c>
      <c r="J3423" s="29" t="s">
        <v>525</v>
      </c>
      <c r="K3423" s="29" t="s">
        <v>525</v>
      </c>
      <c r="L3423" s="29" t="s">
        <v>2966</v>
      </c>
      <c r="M3423" s="29" t="s">
        <v>5329</v>
      </c>
      <c r="N3423" s="29" t="s">
        <v>1223</v>
      </c>
      <c r="O3423" s="29" t="s">
        <v>594</v>
      </c>
    </row>
    <row r="3424" spans="1:15">
      <c r="A3424" s="25">
        <v>9998</v>
      </c>
      <c r="B3424" s="26" t="s">
        <v>5367</v>
      </c>
      <c r="C3424" s="27" t="s">
        <v>521</v>
      </c>
      <c r="D3424" s="27" t="s">
        <v>762</v>
      </c>
      <c r="E3424" s="28">
        <v>40438</v>
      </c>
      <c r="F3424" s="28" t="s">
        <v>35</v>
      </c>
      <c r="G3424" s="28" t="s">
        <v>35</v>
      </c>
      <c r="H3424" s="27" t="s">
        <v>560</v>
      </c>
      <c r="I3424" s="27" t="s">
        <v>5326</v>
      </c>
      <c r="J3424" s="29" t="s">
        <v>525</v>
      </c>
      <c r="K3424" s="29" t="s">
        <v>525</v>
      </c>
      <c r="L3424" s="29" t="s">
        <v>2966</v>
      </c>
      <c r="M3424" s="29" t="s">
        <v>5328</v>
      </c>
      <c r="N3424" s="29" t="s">
        <v>1223</v>
      </c>
      <c r="O3424" s="29" t="s">
        <v>590</v>
      </c>
    </row>
    <row r="3425" spans="1:15">
      <c r="A3425" s="25">
        <v>17459</v>
      </c>
      <c r="B3425" s="26" t="s">
        <v>5368</v>
      </c>
      <c r="C3425" s="27" t="s">
        <v>521</v>
      </c>
      <c r="D3425" s="27" t="s">
        <v>5369</v>
      </c>
      <c r="E3425" s="28">
        <v>41778</v>
      </c>
      <c r="F3425" s="28" t="s">
        <v>35</v>
      </c>
      <c r="G3425" s="28" t="s">
        <v>35</v>
      </c>
      <c r="H3425" s="27" t="s">
        <v>560</v>
      </c>
      <c r="I3425" s="27" t="s">
        <v>5326</v>
      </c>
      <c r="J3425" s="27" t="s">
        <v>525</v>
      </c>
      <c r="K3425" s="27" t="s">
        <v>525</v>
      </c>
      <c r="L3425" s="29" t="s">
        <v>3125</v>
      </c>
      <c r="M3425" s="29" t="s">
        <v>5329</v>
      </c>
      <c r="N3425" s="29" t="s">
        <v>1223</v>
      </c>
      <c r="O3425" s="29" t="s">
        <v>594</v>
      </c>
    </row>
    <row r="3426" spans="1:15">
      <c r="A3426" s="25">
        <v>5425</v>
      </c>
      <c r="B3426" s="26" t="s">
        <v>5370</v>
      </c>
      <c r="C3426" s="27" t="s">
        <v>521</v>
      </c>
      <c r="D3426" s="27" t="s">
        <v>760</v>
      </c>
      <c r="E3426" s="28">
        <v>38991</v>
      </c>
      <c r="F3426" s="28" t="s">
        <v>35</v>
      </c>
      <c r="G3426" s="28" t="s">
        <v>35</v>
      </c>
      <c r="H3426" s="27" t="s">
        <v>560</v>
      </c>
      <c r="I3426" s="27" t="s">
        <v>5326</v>
      </c>
      <c r="J3426" s="27" t="s">
        <v>525</v>
      </c>
      <c r="K3426" s="27" t="s">
        <v>525</v>
      </c>
      <c r="L3426" s="29" t="s">
        <v>3157</v>
      </c>
      <c r="M3426" s="29" t="s">
        <v>5329</v>
      </c>
      <c r="N3426" s="29" t="s">
        <v>1223</v>
      </c>
      <c r="O3426" s="29" t="s">
        <v>594</v>
      </c>
    </row>
    <row r="3427" spans="1:15">
      <c r="A3427" s="25">
        <v>5728</v>
      </c>
      <c r="B3427" s="26" t="s">
        <v>5371</v>
      </c>
      <c r="C3427" s="27" t="s">
        <v>521</v>
      </c>
      <c r="D3427" s="27" t="s">
        <v>790</v>
      </c>
      <c r="E3427" s="28">
        <v>39098</v>
      </c>
      <c r="F3427" s="28" t="s">
        <v>35</v>
      </c>
      <c r="G3427" s="28" t="s">
        <v>35</v>
      </c>
      <c r="H3427" s="27" t="s">
        <v>560</v>
      </c>
      <c r="I3427" s="27" t="s">
        <v>5326</v>
      </c>
      <c r="J3427" s="27" t="s">
        <v>525</v>
      </c>
      <c r="K3427" s="27" t="s">
        <v>525</v>
      </c>
      <c r="L3427" s="29" t="s">
        <v>3157</v>
      </c>
      <c r="M3427" s="29" t="s">
        <v>5329</v>
      </c>
      <c r="N3427" s="29" t="s">
        <v>1223</v>
      </c>
      <c r="O3427" s="29" t="s">
        <v>590</v>
      </c>
    </row>
    <row r="3428" spans="1:15">
      <c r="A3428" s="25">
        <v>480</v>
      </c>
      <c r="B3428" s="26" t="s">
        <v>5372</v>
      </c>
      <c r="C3428" s="27" t="s">
        <v>521</v>
      </c>
      <c r="D3428" s="27" t="s">
        <v>1043</v>
      </c>
      <c r="E3428" s="28">
        <v>37760</v>
      </c>
      <c r="F3428" s="28" t="s">
        <v>35</v>
      </c>
      <c r="G3428" s="28" t="s">
        <v>35</v>
      </c>
      <c r="H3428" s="27" t="s">
        <v>560</v>
      </c>
      <c r="I3428" s="27" t="s">
        <v>5326</v>
      </c>
      <c r="J3428" s="27" t="s">
        <v>525</v>
      </c>
      <c r="K3428" s="27" t="s">
        <v>525</v>
      </c>
      <c r="L3428" s="29" t="s">
        <v>3306</v>
      </c>
      <c r="M3428" s="29" t="s">
        <v>5329</v>
      </c>
      <c r="N3428" s="29" t="s">
        <v>1223</v>
      </c>
      <c r="O3428" s="29" t="s">
        <v>594</v>
      </c>
    </row>
    <row r="3429" spans="1:15">
      <c r="A3429" s="25">
        <v>410</v>
      </c>
      <c r="B3429" s="26" t="s">
        <v>5373</v>
      </c>
      <c r="C3429" s="27" t="s">
        <v>521</v>
      </c>
      <c r="D3429" s="27" t="s">
        <v>1351</v>
      </c>
      <c r="E3429" s="28">
        <v>37739</v>
      </c>
      <c r="F3429" s="28" t="s">
        <v>35</v>
      </c>
      <c r="G3429" s="28" t="s">
        <v>35</v>
      </c>
      <c r="H3429" s="27" t="s">
        <v>560</v>
      </c>
      <c r="I3429" s="27" t="s">
        <v>5326</v>
      </c>
      <c r="J3429" s="27" t="s">
        <v>525</v>
      </c>
      <c r="K3429" s="27" t="s">
        <v>525</v>
      </c>
      <c r="L3429" s="29" t="s">
        <v>3306</v>
      </c>
      <c r="M3429" s="29" t="s">
        <v>5329</v>
      </c>
      <c r="N3429" s="29" t="s">
        <v>1223</v>
      </c>
      <c r="O3429" s="29" t="s">
        <v>590</v>
      </c>
    </row>
    <row r="3430" spans="1:15">
      <c r="A3430" s="25">
        <v>79</v>
      </c>
      <c r="B3430" s="26" t="s">
        <v>5374</v>
      </c>
      <c r="C3430" s="27" t="s">
        <v>521</v>
      </c>
      <c r="D3430" s="27" t="s">
        <v>1106</v>
      </c>
      <c r="E3430" s="28">
        <v>37627</v>
      </c>
      <c r="F3430" s="28" t="s">
        <v>35</v>
      </c>
      <c r="G3430" s="28" t="s">
        <v>35</v>
      </c>
      <c r="H3430" s="27" t="s">
        <v>560</v>
      </c>
      <c r="I3430" s="27" t="s">
        <v>5326</v>
      </c>
      <c r="J3430" s="29" t="s">
        <v>525</v>
      </c>
      <c r="K3430" s="29" t="s">
        <v>525</v>
      </c>
      <c r="L3430" s="29" t="s">
        <v>3434</v>
      </c>
      <c r="M3430" s="29" t="s">
        <v>5329</v>
      </c>
      <c r="N3430" s="29" t="s">
        <v>1223</v>
      </c>
      <c r="O3430" s="29" t="s">
        <v>528</v>
      </c>
    </row>
    <row r="3431" spans="1:15">
      <c r="A3431" s="25">
        <v>5539</v>
      </c>
      <c r="B3431" s="26" t="s">
        <v>5375</v>
      </c>
      <c r="C3431" s="27" t="s">
        <v>521</v>
      </c>
      <c r="D3431" s="27" t="s">
        <v>1064</v>
      </c>
      <c r="E3431" s="28">
        <v>39052</v>
      </c>
      <c r="F3431" s="28" t="s">
        <v>35</v>
      </c>
      <c r="G3431" s="28" t="s">
        <v>35</v>
      </c>
      <c r="H3431" s="27" t="s">
        <v>560</v>
      </c>
      <c r="I3431" s="27" t="s">
        <v>5326</v>
      </c>
      <c r="J3431" s="27" t="s">
        <v>525</v>
      </c>
      <c r="K3431" s="27" t="s">
        <v>525</v>
      </c>
      <c r="L3431" s="29" t="s">
        <v>5376</v>
      </c>
      <c r="M3431" s="29" t="s">
        <v>5329</v>
      </c>
      <c r="N3431" s="29" t="s">
        <v>1223</v>
      </c>
      <c r="O3431" s="29" t="s">
        <v>594</v>
      </c>
    </row>
    <row r="3432" spans="1:15">
      <c r="A3432" s="25">
        <v>183</v>
      </c>
      <c r="B3432" s="26" t="s">
        <v>4227</v>
      </c>
      <c r="C3432" s="27" t="s">
        <v>521</v>
      </c>
      <c r="D3432" s="27" t="s">
        <v>1033</v>
      </c>
      <c r="E3432" s="28">
        <v>37679</v>
      </c>
      <c r="F3432" s="28" t="s">
        <v>35</v>
      </c>
      <c r="G3432" s="28" t="s">
        <v>35</v>
      </c>
      <c r="H3432" s="27" t="s">
        <v>560</v>
      </c>
      <c r="I3432" s="27" t="s">
        <v>5326</v>
      </c>
      <c r="J3432" s="27" t="s">
        <v>525</v>
      </c>
      <c r="K3432" s="27" t="s">
        <v>525</v>
      </c>
      <c r="L3432" s="29" t="s">
        <v>5376</v>
      </c>
      <c r="M3432" s="29" t="s">
        <v>5329</v>
      </c>
      <c r="N3432" s="29" t="s">
        <v>1223</v>
      </c>
      <c r="O3432" s="29" t="s">
        <v>590</v>
      </c>
    </row>
    <row r="3433" spans="1:15">
      <c r="A3433" s="25">
        <v>8771</v>
      </c>
      <c r="B3433" s="26" t="s">
        <v>5377</v>
      </c>
      <c r="C3433" s="27" t="s">
        <v>521</v>
      </c>
      <c r="D3433" s="27" t="s">
        <v>747</v>
      </c>
      <c r="E3433" s="28">
        <v>39931</v>
      </c>
      <c r="F3433" s="28" t="s">
        <v>35</v>
      </c>
      <c r="G3433" s="28" t="s">
        <v>35</v>
      </c>
      <c r="H3433" s="27" t="s">
        <v>560</v>
      </c>
      <c r="I3433" s="27" t="s">
        <v>5326</v>
      </c>
      <c r="J3433" s="29" t="s">
        <v>525</v>
      </c>
      <c r="K3433" s="29" t="s">
        <v>525</v>
      </c>
      <c r="L3433" s="29" t="s">
        <v>5378</v>
      </c>
      <c r="M3433" s="29" t="s">
        <v>5329</v>
      </c>
      <c r="N3433" s="29" t="s">
        <v>1223</v>
      </c>
      <c r="O3433" s="29" t="s">
        <v>594</v>
      </c>
    </row>
    <row r="3434" spans="1:15">
      <c r="A3434" s="25">
        <v>8794</v>
      </c>
      <c r="B3434" s="26" t="s">
        <v>5379</v>
      </c>
      <c r="C3434" s="27" t="s">
        <v>521</v>
      </c>
      <c r="D3434" s="27" t="s">
        <v>747</v>
      </c>
      <c r="E3434" s="28">
        <v>39931</v>
      </c>
      <c r="F3434" s="28" t="s">
        <v>35</v>
      </c>
      <c r="G3434" s="28" t="s">
        <v>35</v>
      </c>
      <c r="H3434" s="27" t="s">
        <v>560</v>
      </c>
      <c r="I3434" s="27" t="s">
        <v>5326</v>
      </c>
      <c r="J3434" s="29" t="s">
        <v>525</v>
      </c>
      <c r="K3434" s="29" t="s">
        <v>525</v>
      </c>
      <c r="L3434" s="29" t="s">
        <v>5378</v>
      </c>
      <c r="M3434" s="29" t="s">
        <v>5329</v>
      </c>
      <c r="N3434" s="29" t="s">
        <v>1223</v>
      </c>
      <c r="O3434" s="29" t="s">
        <v>590</v>
      </c>
    </row>
    <row r="3435" spans="1:15">
      <c r="A3435" s="25">
        <v>6137</v>
      </c>
      <c r="B3435" s="26" t="s">
        <v>5380</v>
      </c>
      <c r="C3435" s="27" t="s">
        <v>521</v>
      </c>
      <c r="D3435" s="27" t="s">
        <v>576</v>
      </c>
      <c r="E3435" s="28">
        <v>39157</v>
      </c>
      <c r="F3435" s="28" t="s">
        <v>35</v>
      </c>
      <c r="G3435" s="28" t="s">
        <v>35</v>
      </c>
      <c r="H3435" s="27" t="s">
        <v>560</v>
      </c>
      <c r="I3435" s="27" t="s">
        <v>5326</v>
      </c>
      <c r="J3435" s="29" t="s">
        <v>525</v>
      </c>
      <c r="K3435" s="29" t="s">
        <v>525</v>
      </c>
      <c r="L3435" s="29" t="s">
        <v>3807</v>
      </c>
      <c r="M3435" s="29" t="s">
        <v>5329</v>
      </c>
      <c r="N3435" s="29" t="s">
        <v>1223</v>
      </c>
      <c r="O3435" s="29" t="s">
        <v>594</v>
      </c>
    </row>
    <row r="3436" spans="1:15">
      <c r="A3436" s="25">
        <v>519</v>
      </c>
      <c r="B3436" s="26" t="s">
        <v>5381</v>
      </c>
      <c r="C3436" s="27" t="s">
        <v>521</v>
      </c>
      <c r="D3436" s="27" t="s">
        <v>1063</v>
      </c>
      <c r="E3436" s="28">
        <v>37767</v>
      </c>
      <c r="F3436" s="28" t="s">
        <v>35</v>
      </c>
      <c r="G3436" s="28" t="s">
        <v>35</v>
      </c>
      <c r="H3436" s="27" t="s">
        <v>560</v>
      </c>
      <c r="I3436" s="27" t="s">
        <v>5326</v>
      </c>
      <c r="J3436" s="27" t="s">
        <v>525</v>
      </c>
      <c r="K3436" s="27" t="s">
        <v>525</v>
      </c>
      <c r="L3436" s="29" t="s">
        <v>3807</v>
      </c>
      <c r="M3436" s="29" t="s">
        <v>5329</v>
      </c>
      <c r="N3436" s="29" t="s">
        <v>1223</v>
      </c>
      <c r="O3436" s="29" t="s">
        <v>590</v>
      </c>
    </row>
    <row r="3437" spans="1:15">
      <c r="A3437" s="25">
        <v>285</v>
      </c>
      <c r="B3437" s="26" t="s">
        <v>5382</v>
      </c>
      <c r="C3437" s="27" t="s">
        <v>521</v>
      </c>
      <c r="D3437" s="27" t="s">
        <v>812</v>
      </c>
      <c r="E3437" s="28">
        <v>37718</v>
      </c>
      <c r="F3437" s="28" t="s">
        <v>35</v>
      </c>
      <c r="G3437" s="28" t="s">
        <v>35</v>
      </c>
      <c r="H3437" s="27" t="s">
        <v>560</v>
      </c>
      <c r="I3437" s="27" t="s">
        <v>5326</v>
      </c>
      <c r="J3437" s="29" t="s">
        <v>525</v>
      </c>
      <c r="K3437" s="29" t="s">
        <v>525</v>
      </c>
      <c r="L3437" s="29" t="s">
        <v>3896</v>
      </c>
      <c r="M3437" s="29" t="s">
        <v>5329</v>
      </c>
      <c r="N3437" s="29" t="s">
        <v>1223</v>
      </c>
      <c r="O3437" s="29" t="s">
        <v>594</v>
      </c>
    </row>
    <row r="3438" spans="1:15">
      <c r="A3438" s="25">
        <v>9030</v>
      </c>
      <c r="B3438" s="26" t="s">
        <v>5383</v>
      </c>
      <c r="C3438" s="27" t="s">
        <v>521</v>
      </c>
      <c r="D3438" s="27" t="s">
        <v>715</v>
      </c>
      <c r="E3438" s="28">
        <v>39975</v>
      </c>
      <c r="F3438" s="28" t="s">
        <v>35</v>
      </c>
      <c r="G3438" s="28" t="s">
        <v>35</v>
      </c>
      <c r="H3438" s="27" t="s">
        <v>560</v>
      </c>
      <c r="I3438" s="27" t="s">
        <v>5326</v>
      </c>
      <c r="J3438" s="29" t="s">
        <v>525</v>
      </c>
      <c r="K3438" s="29" t="s">
        <v>525</v>
      </c>
      <c r="L3438" s="29" t="s">
        <v>3896</v>
      </c>
      <c r="M3438" s="29" t="s">
        <v>5329</v>
      </c>
      <c r="N3438" s="29" t="s">
        <v>1223</v>
      </c>
      <c r="O3438" s="29" t="s">
        <v>594</v>
      </c>
    </row>
    <row r="3439" spans="1:15">
      <c r="A3439" s="25">
        <v>125</v>
      </c>
      <c r="B3439" s="26" t="s">
        <v>5384</v>
      </c>
      <c r="C3439" s="27" t="s">
        <v>521</v>
      </c>
      <c r="D3439" s="27" t="s">
        <v>1106</v>
      </c>
      <c r="E3439" s="28">
        <v>37627</v>
      </c>
      <c r="F3439" s="28" t="s">
        <v>35</v>
      </c>
      <c r="G3439" s="28" t="s">
        <v>35</v>
      </c>
      <c r="H3439" s="27" t="s">
        <v>560</v>
      </c>
      <c r="I3439" s="27" t="s">
        <v>5326</v>
      </c>
      <c r="J3439" s="27" t="s">
        <v>525</v>
      </c>
      <c r="K3439" s="27" t="s">
        <v>525</v>
      </c>
      <c r="L3439" s="29" t="s">
        <v>5385</v>
      </c>
      <c r="M3439" s="29" t="s">
        <v>5329</v>
      </c>
      <c r="N3439" s="29" t="s">
        <v>1223</v>
      </c>
      <c r="O3439" s="29" t="s">
        <v>594</v>
      </c>
    </row>
    <row r="3440" spans="1:15">
      <c r="A3440" s="25">
        <v>181</v>
      </c>
      <c r="B3440" s="26" t="s">
        <v>5386</v>
      </c>
      <c r="C3440" s="27" t="s">
        <v>521</v>
      </c>
      <c r="D3440" s="27" t="s">
        <v>1033</v>
      </c>
      <c r="E3440" s="28">
        <v>37679</v>
      </c>
      <c r="F3440" s="28" t="s">
        <v>35</v>
      </c>
      <c r="G3440" s="28" t="s">
        <v>35</v>
      </c>
      <c r="H3440" s="27" t="s">
        <v>560</v>
      </c>
      <c r="I3440" s="27" t="s">
        <v>5326</v>
      </c>
      <c r="J3440" s="27" t="s">
        <v>525</v>
      </c>
      <c r="K3440" s="27" t="s">
        <v>525</v>
      </c>
      <c r="L3440" s="29" t="s">
        <v>5385</v>
      </c>
      <c r="M3440" s="29" t="s">
        <v>5329</v>
      </c>
      <c r="N3440" s="29" t="s">
        <v>1223</v>
      </c>
      <c r="O3440" s="29" t="s">
        <v>590</v>
      </c>
    </row>
    <row r="3441" spans="1:15">
      <c r="A3441" s="25">
        <v>614</v>
      </c>
      <c r="B3441" s="26" t="s">
        <v>5387</v>
      </c>
      <c r="C3441" s="27" t="s">
        <v>521</v>
      </c>
      <c r="D3441" s="27" t="s">
        <v>783</v>
      </c>
      <c r="E3441" s="28">
        <v>37781</v>
      </c>
      <c r="F3441" s="28" t="s">
        <v>35</v>
      </c>
      <c r="G3441" s="28" t="s">
        <v>35</v>
      </c>
      <c r="H3441" s="27" t="s">
        <v>560</v>
      </c>
      <c r="I3441" s="27" t="s">
        <v>5326</v>
      </c>
      <c r="J3441" s="29" t="s">
        <v>525</v>
      </c>
      <c r="K3441" s="29" t="s">
        <v>525</v>
      </c>
      <c r="L3441" s="29" t="s">
        <v>5388</v>
      </c>
      <c r="M3441" s="29" t="s">
        <v>5328</v>
      </c>
      <c r="N3441" s="29" t="s">
        <v>1223</v>
      </c>
      <c r="O3441" s="29" t="s">
        <v>594</v>
      </c>
    </row>
    <row r="3442" spans="1:15">
      <c r="A3442" s="25">
        <v>5694</v>
      </c>
      <c r="B3442" s="26" t="s">
        <v>5389</v>
      </c>
      <c r="C3442" s="27" t="s">
        <v>521</v>
      </c>
      <c r="D3442" s="27" t="s">
        <v>790</v>
      </c>
      <c r="E3442" s="28">
        <v>39098</v>
      </c>
      <c r="F3442" s="28" t="s">
        <v>35</v>
      </c>
      <c r="G3442" s="28" t="s">
        <v>35</v>
      </c>
      <c r="H3442" s="29" t="s">
        <v>560</v>
      </c>
      <c r="I3442" s="27" t="s">
        <v>5326</v>
      </c>
      <c r="J3442" s="29" t="s">
        <v>525</v>
      </c>
      <c r="K3442" s="29" t="s">
        <v>525</v>
      </c>
      <c r="L3442" s="29" t="s">
        <v>5388</v>
      </c>
      <c r="M3442" s="29" t="s">
        <v>5329</v>
      </c>
      <c r="N3442" s="29" t="s">
        <v>1223</v>
      </c>
      <c r="O3442" s="29" t="s">
        <v>590</v>
      </c>
    </row>
    <row r="3443" spans="1:15">
      <c r="A3443" s="25">
        <v>3732</v>
      </c>
      <c r="B3443" s="26" t="s">
        <v>5390</v>
      </c>
      <c r="C3443" s="27" t="s">
        <v>521</v>
      </c>
      <c r="D3443" s="27" t="s">
        <v>4686</v>
      </c>
      <c r="E3443" s="28">
        <v>38626</v>
      </c>
      <c r="F3443" s="28" t="s">
        <v>35</v>
      </c>
      <c r="G3443" s="28" t="s">
        <v>35</v>
      </c>
      <c r="H3443" s="27" t="s">
        <v>560</v>
      </c>
      <c r="I3443" s="27" t="s">
        <v>5326</v>
      </c>
      <c r="J3443" s="29" t="s">
        <v>525</v>
      </c>
      <c r="K3443" s="29" t="s">
        <v>525</v>
      </c>
      <c r="L3443" s="29" t="s">
        <v>5391</v>
      </c>
      <c r="M3443" s="29" t="s">
        <v>5329</v>
      </c>
      <c r="N3443" s="29" t="s">
        <v>1223</v>
      </c>
      <c r="O3443" s="29" t="s">
        <v>594</v>
      </c>
    </row>
    <row r="3444" spans="1:15">
      <c r="A3444" s="25">
        <v>217</v>
      </c>
      <c r="B3444" s="26" t="s">
        <v>5392</v>
      </c>
      <c r="C3444" s="27" t="s">
        <v>521</v>
      </c>
      <c r="D3444" s="27" t="s">
        <v>679</v>
      </c>
      <c r="E3444" s="28">
        <v>37697</v>
      </c>
      <c r="F3444" s="28" t="s">
        <v>35</v>
      </c>
      <c r="G3444" s="28" t="s">
        <v>35</v>
      </c>
      <c r="H3444" s="27" t="s">
        <v>560</v>
      </c>
      <c r="I3444" s="27" t="s">
        <v>5326</v>
      </c>
      <c r="J3444" s="27" t="s">
        <v>525</v>
      </c>
      <c r="K3444" s="27" t="s">
        <v>525</v>
      </c>
      <c r="L3444" s="29" t="s">
        <v>5391</v>
      </c>
      <c r="M3444" s="29" t="s">
        <v>5329</v>
      </c>
      <c r="N3444" s="29" t="s">
        <v>1223</v>
      </c>
      <c r="O3444" s="29" t="s">
        <v>590</v>
      </c>
    </row>
    <row r="3445" spans="1:15">
      <c r="A3445" s="25">
        <v>9519</v>
      </c>
      <c r="B3445" s="26" t="s">
        <v>5393</v>
      </c>
      <c r="C3445" s="27" t="s">
        <v>521</v>
      </c>
      <c r="D3445" s="27" t="s">
        <v>658</v>
      </c>
      <c r="E3445" s="28">
        <v>40148</v>
      </c>
      <c r="F3445" s="28" t="s">
        <v>35</v>
      </c>
      <c r="G3445" s="28" t="s">
        <v>35</v>
      </c>
      <c r="H3445" s="27" t="s">
        <v>560</v>
      </c>
      <c r="I3445" s="27" t="s">
        <v>5326</v>
      </c>
      <c r="J3445" s="29" t="s">
        <v>525</v>
      </c>
      <c r="K3445" s="29" t="s">
        <v>525</v>
      </c>
      <c r="L3445" s="29" t="s">
        <v>5394</v>
      </c>
      <c r="M3445" s="29" t="s">
        <v>5329</v>
      </c>
      <c r="N3445" s="29" t="s">
        <v>1223</v>
      </c>
      <c r="O3445" s="29" t="s">
        <v>590</v>
      </c>
    </row>
    <row r="3446" spans="1:15">
      <c r="A3446" s="25">
        <v>8679</v>
      </c>
      <c r="B3446" s="26" t="s">
        <v>5395</v>
      </c>
      <c r="C3446" s="27" t="s">
        <v>521</v>
      </c>
      <c r="D3446" s="27" t="s">
        <v>692</v>
      </c>
      <c r="E3446" s="28">
        <v>39888</v>
      </c>
      <c r="F3446" s="28" t="s">
        <v>35</v>
      </c>
      <c r="G3446" s="28" t="s">
        <v>35</v>
      </c>
      <c r="H3446" s="27" t="s">
        <v>560</v>
      </c>
      <c r="I3446" s="27" t="s">
        <v>5326</v>
      </c>
      <c r="J3446" s="29" t="s">
        <v>525</v>
      </c>
      <c r="K3446" s="29" t="s">
        <v>525</v>
      </c>
      <c r="L3446" s="29" t="s">
        <v>5396</v>
      </c>
      <c r="M3446" s="29" t="s">
        <v>5328</v>
      </c>
      <c r="N3446" s="29" t="s">
        <v>1223</v>
      </c>
      <c r="O3446" s="29" t="s">
        <v>594</v>
      </c>
    </row>
    <row r="3447" spans="1:15">
      <c r="A3447" s="25">
        <v>281</v>
      </c>
      <c r="B3447" s="26" t="s">
        <v>5397</v>
      </c>
      <c r="C3447" s="27" t="s">
        <v>521</v>
      </c>
      <c r="D3447" s="27" t="s">
        <v>812</v>
      </c>
      <c r="E3447" s="28">
        <v>37718</v>
      </c>
      <c r="F3447" s="28" t="s">
        <v>35</v>
      </c>
      <c r="G3447" s="28" t="s">
        <v>35</v>
      </c>
      <c r="H3447" s="27" t="s">
        <v>560</v>
      </c>
      <c r="I3447" s="27" t="s">
        <v>5326</v>
      </c>
      <c r="J3447" s="27" t="s">
        <v>525</v>
      </c>
      <c r="K3447" s="27" t="s">
        <v>525</v>
      </c>
      <c r="L3447" s="29" t="s">
        <v>5398</v>
      </c>
      <c r="M3447" s="29" t="s">
        <v>5326</v>
      </c>
      <c r="N3447" s="29" t="s">
        <v>1223</v>
      </c>
      <c r="O3447" s="29" t="s">
        <v>528</v>
      </c>
    </row>
    <row r="3448" spans="1:15">
      <c r="A3448" s="25">
        <v>9487</v>
      </c>
      <c r="B3448" s="26" t="s">
        <v>5399</v>
      </c>
      <c r="C3448" s="27" t="s">
        <v>521</v>
      </c>
      <c r="D3448" s="27" t="s">
        <v>658</v>
      </c>
      <c r="E3448" s="28">
        <v>40148</v>
      </c>
      <c r="F3448" s="28" t="s">
        <v>35</v>
      </c>
      <c r="G3448" s="28" t="s">
        <v>35</v>
      </c>
      <c r="H3448" s="27" t="s">
        <v>560</v>
      </c>
      <c r="I3448" s="27" t="s">
        <v>5326</v>
      </c>
      <c r="J3448" s="29" t="s">
        <v>525</v>
      </c>
      <c r="K3448" s="29" t="s">
        <v>525</v>
      </c>
      <c r="L3448" s="29" t="s">
        <v>5400</v>
      </c>
      <c r="M3448" s="29" t="s">
        <v>5328</v>
      </c>
      <c r="N3448" s="29" t="s">
        <v>1223</v>
      </c>
      <c r="O3448" s="29" t="s">
        <v>528</v>
      </c>
    </row>
    <row r="3449" spans="1:15">
      <c r="A3449" s="25">
        <v>3735</v>
      </c>
      <c r="B3449" s="26" t="s">
        <v>5401</v>
      </c>
      <c r="C3449" s="27" t="s">
        <v>521</v>
      </c>
      <c r="D3449" s="27" t="s">
        <v>4686</v>
      </c>
      <c r="E3449" s="28">
        <v>38626</v>
      </c>
      <c r="F3449" s="28" t="s">
        <v>35</v>
      </c>
      <c r="G3449" s="28" t="s">
        <v>35</v>
      </c>
      <c r="H3449" s="27" t="s">
        <v>560</v>
      </c>
      <c r="I3449" s="27" t="s">
        <v>5326</v>
      </c>
      <c r="J3449" s="27" t="s">
        <v>525</v>
      </c>
      <c r="K3449" s="27" t="s">
        <v>525</v>
      </c>
      <c r="L3449" s="29" t="s">
        <v>5402</v>
      </c>
      <c r="M3449" s="29" t="s">
        <v>5326</v>
      </c>
      <c r="N3449" s="29" t="s">
        <v>1223</v>
      </c>
      <c r="O3449" s="29" t="s">
        <v>528</v>
      </c>
    </row>
    <row r="3450" spans="1:15">
      <c r="A3450" s="25">
        <v>706</v>
      </c>
      <c r="B3450" s="26" t="s">
        <v>5403</v>
      </c>
      <c r="C3450" s="27" t="s">
        <v>521</v>
      </c>
      <c r="D3450" s="27" t="s">
        <v>522</v>
      </c>
      <c r="E3450" s="28">
        <v>37802</v>
      </c>
      <c r="F3450" s="28" t="s">
        <v>35</v>
      </c>
      <c r="G3450" s="28" t="s">
        <v>35</v>
      </c>
      <c r="H3450" s="27" t="s">
        <v>560</v>
      </c>
      <c r="I3450" s="27" t="s">
        <v>5404</v>
      </c>
      <c r="J3450" s="27" t="s">
        <v>525</v>
      </c>
      <c r="K3450" s="27" t="s">
        <v>525</v>
      </c>
      <c r="L3450" s="27" t="s">
        <v>1110</v>
      </c>
      <c r="M3450" s="27" t="s">
        <v>5405</v>
      </c>
      <c r="N3450" s="31" t="s">
        <v>5406</v>
      </c>
      <c r="O3450" s="27" t="s">
        <v>594</v>
      </c>
    </row>
    <row r="3451" spans="1:15">
      <c r="A3451" s="25">
        <v>5533</v>
      </c>
      <c r="B3451" s="26" t="s">
        <v>5407</v>
      </c>
      <c r="C3451" s="27" t="s">
        <v>521</v>
      </c>
      <c r="D3451" s="27" t="s">
        <v>522</v>
      </c>
      <c r="E3451" s="28">
        <v>39027</v>
      </c>
      <c r="F3451" s="28" t="s">
        <v>35</v>
      </c>
      <c r="G3451" s="28" t="s">
        <v>35</v>
      </c>
      <c r="H3451" s="27" t="s">
        <v>560</v>
      </c>
      <c r="I3451" s="27" t="s">
        <v>5404</v>
      </c>
      <c r="J3451" s="27" t="s">
        <v>525</v>
      </c>
      <c r="K3451" s="27" t="s">
        <v>525</v>
      </c>
      <c r="L3451" s="29" t="s">
        <v>1110</v>
      </c>
      <c r="M3451" s="29" t="s">
        <v>5405</v>
      </c>
      <c r="N3451" s="29" t="s">
        <v>5406</v>
      </c>
      <c r="O3451" s="29" t="s">
        <v>528</v>
      </c>
    </row>
    <row r="3452" spans="1:15">
      <c r="A3452" s="25">
        <v>1655</v>
      </c>
      <c r="B3452" s="26" t="s">
        <v>5408</v>
      </c>
      <c r="C3452" s="27" t="s">
        <v>521</v>
      </c>
      <c r="D3452" s="27" t="s">
        <v>522</v>
      </c>
      <c r="E3452" s="28">
        <v>38061</v>
      </c>
      <c r="F3452" s="28" t="s">
        <v>35</v>
      </c>
      <c r="G3452" s="28" t="s">
        <v>35</v>
      </c>
      <c r="H3452" s="27" t="s">
        <v>560</v>
      </c>
      <c r="I3452" s="27" t="s">
        <v>5404</v>
      </c>
      <c r="J3452" s="27" t="s">
        <v>525</v>
      </c>
      <c r="K3452" s="27" t="s">
        <v>525</v>
      </c>
      <c r="L3452" s="27" t="s">
        <v>1110</v>
      </c>
      <c r="M3452" s="27" t="s">
        <v>5405</v>
      </c>
      <c r="N3452" s="27" t="s">
        <v>5406</v>
      </c>
      <c r="O3452" s="27" t="s">
        <v>590</v>
      </c>
    </row>
    <row r="3453" spans="1:15">
      <c r="A3453" s="25">
        <v>126</v>
      </c>
      <c r="B3453" s="26" t="s">
        <v>5409</v>
      </c>
      <c r="C3453" s="27" t="s">
        <v>521</v>
      </c>
      <c r="D3453" s="27" t="s">
        <v>522</v>
      </c>
      <c r="E3453" s="28">
        <v>37627</v>
      </c>
      <c r="F3453" s="28" t="s">
        <v>35</v>
      </c>
      <c r="G3453" s="28" t="s">
        <v>35</v>
      </c>
      <c r="H3453" s="27" t="s">
        <v>560</v>
      </c>
      <c r="I3453" s="27" t="s">
        <v>5404</v>
      </c>
      <c r="J3453" s="27" t="s">
        <v>525</v>
      </c>
      <c r="K3453" s="27" t="s">
        <v>525</v>
      </c>
      <c r="L3453" s="27" t="s">
        <v>569</v>
      </c>
      <c r="M3453" s="29" t="s">
        <v>5410</v>
      </c>
      <c r="N3453" s="29" t="s">
        <v>5406</v>
      </c>
      <c r="O3453" s="29" t="s">
        <v>594</v>
      </c>
    </row>
    <row r="3454" spans="1:15">
      <c r="A3454" s="25">
        <v>268</v>
      </c>
      <c r="B3454" s="26" t="s">
        <v>5411</v>
      </c>
      <c r="C3454" s="27" t="s">
        <v>521</v>
      </c>
      <c r="D3454" s="27" t="s">
        <v>522</v>
      </c>
      <c r="E3454" s="28">
        <v>37704</v>
      </c>
      <c r="F3454" s="28" t="s">
        <v>35</v>
      </c>
      <c r="G3454" s="28" t="s">
        <v>35</v>
      </c>
      <c r="H3454" s="27" t="s">
        <v>560</v>
      </c>
      <c r="I3454" s="27" t="s">
        <v>5404</v>
      </c>
      <c r="J3454" s="27" t="s">
        <v>525</v>
      </c>
      <c r="K3454" s="27" t="s">
        <v>525</v>
      </c>
      <c r="L3454" s="27" t="s">
        <v>569</v>
      </c>
      <c r="M3454" s="29" t="s">
        <v>5412</v>
      </c>
      <c r="N3454" s="29" t="s">
        <v>5406</v>
      </c>
      <c r="O3454" s="29" t="s">
        <v>594</v>
      </c>
    </row>
    <row r="3455" spans="1:15">
      <c r="A3455" s="25">
        <v>12028</v>
      </c>
      <c r="B3455" s="26" t="s">
        <v>5413</v>
      </c>
      <c r="C3455" s="27" t="s">
        <v>521</v>
      </c>
      <c r="D3455" s="27" t="s">
        <v>522</v>
      </c>
      <c r="E3455" s="28">
        <v>40791</v>
      </c>
      <c r="F3455" s="28" t="s">
        <v>35</v>
      </c>
      <c r="G3455" s="28" t="s">
        <v>35</v>
      </c>
      <c r="H3455" s="27" t="s">
        <v>560</v>
      </c>
      <c r="I3455" s="27" t="s">
        <v>5404</v>
      </c>
      <c r="J3455" s="27" t="s">
        <v>525</v>
      </c>
      <c r="K3455" s="27" t="s">
        <v>525</v>
      </c>
      <c r="L3455" s="29" t="s">
        <v>569</v>
      </c>
      <c r="M3455" s="29" t="s">
        <v>5414</v>
      </c>
      <c r="N3455" s="29" t="s">
        <v>5406</v>
      </c>
      <c r="O3455" s="29" t="s">
        <v>594</v>
      </c>
    </row>
    <row r="3456" spans="1:15">
      <c r="A3456" s="25">
        <v>18662</v>
      </c>
      <c r="B3456" s="33" t="s">
        <v>4351</v>
      </c>
      <c r="C3456" s="27" t="s">
        <v>521</v>
      </c>
      <c r="D3456" s="27" t="s">
        <v>522</v>
      </c>
      <c r="E3456" s="28">
        <v>42009</v>
      </c>
      <c r="F3456" s="28" t="s">
        <v>35</v>
      </c>
      <c r="G3456" s="28" t="s">
        <v>35</v>
      </c>
      <c r="H3456" s="27" t="s">
        <v>560</v>
      </c>
      <c r="I3456" s="27" t="s">
        <v>5404</v>
      </c>
      <c r="J3456" s="27" t="s">
        <v>525</v>
      </c>
      <c r="K3456" s="27" t="s">
        <v>525</v>
      </c>
      <c r="L3456" s="27" t="s">
        <v>569</v>
      </c>
      <c r="M3456" s="29" t="s">
        <v>5415</v>
      </c>
      <c r="N3456" s="29" t="s">
        <v>5406</v>
      </c>
      <c r="O3456" s="29" t="s">
        <v>594</v>
      </c>
    </row>
    <row r="3457" spans="1:15">
      <c r="A3457" s="25">
        <v>1170</v>
      </c>
      <c r="B3457" s="26" t="s">
        <v>5416</v>
      </c>
      <c r="C3457" s="27" t="s">
        <v>521</v>
      </c>
      <c r="D3457" s="27" t="s">
        <v>522</v>
      </c>
      <c r="E3457" s="28">
        <v>37907</v>
      </c>
      <c r="F3457" s="28" t="s">
        <v>35</v>
      </c>
      <c r="G3457" s="28" t="s">
        <v>35</v>
      </c>
      <c r="H3457" s="27" t="s">
        <v>560</v>
      </c>
      <c r="I3457" s="27" t="s">
        <v>5404</v>
      </c>
      <c r="J3457" s="27" t="s">
        <v>525</v>
      </c>
      <c r="K3457" s="27" t="s">
        <v>525</v>
      </c>
      <c r="L3457" s="27" t="s">
        <v>569</v>
      </c>
      <c r="M3457" s="29" t="s">
        <v>5417</v>
      </c>
      <c r="N3457" s="29" t="s">
        <v>5406</v>
      </c>
      <c r="O3457" s="29" t="s">
        <v>528</v>
      </c>
    </row>
    <row r="3458" spans="1:15">
      <c r="A3458" s="25">
        <v>4648</v>
      </c>
      <c r="B3458" s="33" t="s">
        <v>5418</v>
      </c>
      <c r="C3458" s="27" t="s">
        <v>521</v>
      </c>
      <c r="D3458" s="27" t="s">
        <v>522</v>
      </c>
      <c r="E3458" s="28">
        <v>38901</v>
      </c>
      <c r="F3458" s="28" t="s">
        <v>35</v>
      </c>
      <c r="G3458" s="28" t="s">
        <v>35</v>
      </c>
      <c r="H3458" s="27" t="s">
        <v>560</v>
      </c>
      <c r="I3458" s="27" t="s">
        <v>5404</v>
      </c>
      <c r="J3458" s="27" t="s">
        <v>525</v>
      </c>
      <c r="K3458" s="27" t="s">
        <v>525</v>
      </c>
      <c r="L3458" s="27" t="s">
        <v>569</v>
      </c>
      <c r="M3458" s="29" t="s">
        <v>5419</v>
      </c>
      <c r="N3458" s="29" t="s">
        <v>5406</v>
      </c>
      <c r="O3458" s="29" t="s">
        <v>528</v>
      </c>
    </row>
    <row r="3459" spans="1:15">
      <c r="A3459" s="25">
        <v>12032</v>
      </c>
      <c r="B3459" s="26" t="s">
        <v>5420</v>
      </c>
      <c r="C3459" s="27" t="s">
        <v>521</v>
      </c>
      <c r="D3459" s="27" t="s">
        <v>522</v>
      </c>
      <c r="E3459" s="28">
        <v>40791</v>
      </c>
      <c r="F3459" s="28" t="s">
        <v>35</v>
      </c>
      <c r="G3459" s="28" t="s">
        <v>35</v>
      </c>
      <c r="H3459" s="27" t="s">
        <v>560</v>
      </c>
      <c r="I3459" s="27" t="s">
        <v>5404</v>
      </c>
      <c r="J3459" s="27" t="s">
        <v>525</v>
      </c>
      <c r="K3459" s="27" t="s">
        <v>525</v>
      </c>
      <c r="L3459" s="27" t="s">
        <v>569</v>
      </c>
      <c r="M3459" s="29" t="s">
        <v>5421</v>
      </c>
      <c r="N3459" s="29" t="s">
        <v>5406</v>
      </c>
      <c r="O3459" s="29" t="s">
        <v>528</v>
      </c>
    </row>
    <row r="3460" spans="1:15">
      <c r="A3460" s="25">
        <v>13649</v>
      </c>
      <c r="B3460" s="34" t="s">
        <v>5422</v>
      </c>
      <c r="C3460" s="31" t="s">
        <v>521</v>
      </c>
      <c r="D3460" s="27" t="s">
        <v>522</v>
      </c>
      <c r="E3460" s="28">
        <v>41155</v>
      </c>
      <c r="F3460" s="28" t="s">
        <v>35</v>
      </c>
      <c r="G3460" s="28" t="s">
        <v>35</v>
      </c>
      <c r="H3460" s="27" t="s">
        <v>560</v>
      </c>
      <c r="I3460" s="27" t="s">
        <v>5404</v>
      </c>
      <c r="J3460" s="27" t="s">
        <v>525</v>
      </c>
      <c r="K3460" s="27" t="s">
        <v>525</v>
      </c>
      <c r="L3460" s="29" t="s">
        <v>569</v>
      </c>
      <c r="M3460" s="29" t="s">
        <v>5423</v>
      </c>
      <c r="N3460" s="29" t="s">
        <v>5406</v>
      </c>
      <c r="O3460" s="29" t="s">
        <v>528</v>
      </c>
    </row>
    <row r="3461" spans="1:15">
      <c r="A3461" s="25">
        <v>284</v>
      </c>
      <c r="B3461" s="26" t="s">
        <v>5424</v>
      </c>
      <c r="C3461" s="27" t="s">
        <v>521</v>
      </c>
      <c r="D3461" s="27" t="s">
        <v>522</v>
      </c>
      <c r="E3461" s="28">
        <v>37718</v>
      </c>
      <c r="F3461" s="28" t="s">
        <v>35</v>
      </c>
      <c r="G3461" s="28" t="s">
        <v>35</v>
      </c>
      <c r="H3461" s="27" t="s">
        <v>560</v>
      </c>
      <c r="I3461" s="27" t="s">
        <v>5404</v>
      </c>
      <c r="J3461" s="27" t="s">
        <v>525</v>
      </c>
      <c r="K3461" s="27" t="s">
        <v>525</v>
      </c>
      <c r="L3461" s="27" t="s">
        <v>569</v>
      </c>
      <c r="M3461" s="29" t="s">
        <v>5414</v>
      </c>
      <c r="N3461" s="29" t="s">
        <v>5406</v>
      </c>
      <c r="O3461" s="29" t="s">
        <v>590</v>
      </c>
    </row>
    <row r="3462" spans="1:15">
      <c r="A3462" s="25">
        <v>711</v>
      </c>
      <c r="B3462" s="26" t="s">
        <v>5425</v>
      </c>
      <c r="C3462" s="27" t="s">
        <v>521</v>
      </c>
      <c r="D3462" s="27" t="s">
        <v>522</v>
      </c>
      <c r="E3462" s="28">
        <v>37802</v>
      </c>
      <c r="F3462" s="28" t="s">
        <v>35</v>
      </c>
      <c r="G3462" s="28" t="s">
        <v>35</v>
      </c>
      <c r="H3462" s="27" t="s">
        <v>560</v>
      </c>
      <c r="I3462" s="27" t="s">
        <v>5404</v>
      </c>
      <c r="J3462" s="27" t="s">
        <v>525</v>
      </c>
      <c r="K3462" s="27" t="s">
        <v>525</v>
      </c>
      <c r="L3462" s="29" t="s">
        <v>569</v>
      </c>
      <c r="M3462" s="29" t="s">
        <v>5410</v>
      </c>
      <c r="N3462" s="29" t="s">
        <v>5406</v>
      </c>
      <c r="O3462" s="29" t="s">
        <v>590</v>
      </c>
    </row>
    <row r="3463" spans="1:15">
      <c r="A3463" s="25">
        <v>1206</v>
      </c>
      <c r="B3463" s="26" t="s">
        <v>2923</v>
      </c>
      <c r="C3463" s="27" t="s">
        <v>521</v>
      </c>
      <c r="D3463" s="27" t="s">
        <v>522</v>
      </c>
      <c r="E3463" s="28">
        <v>37914</v>
      </c>
      <c r="F3463" s="28" t="s">
        <v>35</v>
      </c>
      <c r="G3463" s="28" t="s">
        <v>35</v>
      </c>
      <c r="H3463" s="27" t="s">
        <v>560</v>
      </c>
      <c r="I3463" s="27" t="s">
        <v>5404</v>
      </c>
      <c r="J3463" s="27" t="s">
        <v>525</v>
      </c>
      <c r="K3463" s="27" t="s">
        <v>525</v>
      </c>
      <c r="L3463" s="27" t="s">
        <v>569</v>
      </c>
      <c r="M3463" s="29" t="s">
        <v>5412</v>
      </c>
      <c r="N3463" s="29" t="s">
        <v>5406</v>
      </c>
      <c r="O3463" s="29" t="s">
        <v>590</v>
      </c>
    </row>
    <row r="3464" spans="1:15">
      <c r="A3464" s="25">
        <v>13645</v>
      </c>
      <c r="B3464" s="34" t="s">
        <v>5426</v>
      </c>
      <c r="C3464" s="31" t="s">
        <v>521</v>
      </c>
      <c r="D3464" s="27" t="s">
        <v>522</v>
      </c>
      <c r="E3464" s="28">
        <v>41092</v>
      </c>
      <c r="F3464" s="28" t="s">
        <v>35</v>
      </c>
      <c r="G3464" s="28" t="s">
        <v>35</v>
      </c>
      <c r="H3464" s="27" t="s">
        <v>560</v>
      </c>
      <c r="I3464" s="27" t="s">
        <v>5404</v>
      </c>
      <c r="J3464" s="27" t="s">
        <v>525</v>
      </c>
      <c r="K3464" s="27" t="s">
        <v>525</v>
      </c>
      <c r="L3464" s="27" t="s">
        <v>569</v>
      </c>
      <c r="M3464" s="29" t="s">
        <v>5415</v>
      </c>
      <c r="N3464" s="29" t="s">
        <v>5406</v>
      </c>
      <c r="O3464" s="29" t="s">
        <v>590</v>
      </c>
    </row>
    <row r="3465" spans="1:15">
      <c r="A3465" s="25">
        <v>18660</v>
      </c>
      <c r="B3465" s="33" t="s">
        <v>5427</v>
      </c>
      <c r="C3465" s="27" t="s">
        <v>521</v>
      </c>
      <c r="D3465" s="27" t="s">
        <v>522</v>
      </c>
      <c r="E3465" s="28">
        <v>42009</v>
      </c>
      <c r="F3465" s="28" t="s">
        <v>35</v>
      </c>
      <c r="G3465" s="28" t="s">
        <v>35</v>
      </c>
      <c r="H3465" s="27" t="s">
        <v>560</v>
      </c>
      <c r="I3465" s="27" t="s">
        <v>5404</v>
      </c>
      <c r="J3465" s="27" t="s">
        <v>525</v>
      </c>
      <c r="K3465" s="27" t="s">
        <v>525</v>
      </c>
      <c r="L3465" s="27" t="s">
        <v>569</v>
      </c>
      <c r="M3465" s="29" t="s">
        <v>1662</v>
      </c>
      <c r="N3465" s="29" t="s">
        <v>5406</v>
      </c>
      <c r="O3465" s="29" t="s">
        <v>590</v>
      </c>
    </row>
    <row r="3466" spans="1:15">
      <c r="A3466" s="25">
        <v>9633</v>
      </c>
      <c r="B3466" s="33" t="s">
        <v>4533</v>
      </c>
      <c r="C3466" s="27" t="s">
        <v>521</v>
      </c>
      <c r="D3466" s="27" t="s">
        <v>1598</v>
      </c>
      <c r="E3466" s="28">
        <v>40179</v>
      </c>
      <c r="F3466" s="28" t="s">
        <v>35</v>
      </c>
      <c r="G3466" s="28" t="s">
        <v>35</v>
      </c>
      <c r="H3466" s="31" t="s">
        <v>534</v>
      </c>
      <c r="I3466" s="31" t="s">
        <v>5428</v>
      </c>
      <c r="J3466" s="29" t="s">
        <v>525</v>
      </c>
      <c r="K3466" s="29" t="s">
        <v>525</v>
      </c>
      <c r="L3466" s="29" t="s">
        <v>525</v>
      </c>
      <c r="M3466" s="29" t="s">
        <v>5429</v>
      </c>
      <c r="N3466" s="29" t="s">
        <v>1045</v>
      </c>
      <c r="O3466" s="29" t="s">
        <v>594</v>
      </c>
    </row>
    <row r="3467" spans="1:15">
      <c r="A3467" s="25">
        <v>9926</v>
      </c>
      <c r="B3467" s="34" t="s">
        <v>5430</v>
      </c>
      <c r="C3467" s="31" t="s">
        <v>521</v>
      </c>
      <c r="D3467" s="27" t="s">
        <v>803</v>
      </c>
      <c r="E3467" s="28">
        <v>40431</v>
      </c>
      <c r="F3467" s="28" t="s">
        <v>35</v>
      </c>
      <c r="G3467" s="28" t="s">
        <v>35</v>
      </c>
      <c r="H3467" s="27" t="s">
        <v>534</v>
      </c>
      <c r="I3467" s="27" t="s">
        <v>5428</v>
      </c>
      <c r="J3467" s="29" t="s">
        <v>525</v>
      </c>
      <c r="K3467" s="29" t="s">
        <v>525</v>
      </c>
      <c r="L3467" s="29" t="s">
        <v>525</v>
      </c>
      <c r="M3467" s="29" t="s">
        <v>5431</v>
      </c>
      <c r="N3467" s="29" t="s">
        <v>2026</v>
      </c>
      <c r="O3467" s="29" t="s">
        <v>594</v>
      </c>
    </row>
    <row r="3468" spans="1:15">
      <c r="A3468" s="25">
        <v>10287</v>
      </c>
      <c r="B3468" s="26" t="s">
        <v>5432</v>
      </c>
      <c r="C3468" s="27" t="s">
        <v>521</v>
      </c>
      <c r="D3468" s="27" t="s">
        <v>2527</v>
      </c>
      <c r="E3468" s="28">
        <v>40504</v>
      </c>
      <c r="F3468" s="28" t="s">
        <v>35</v>
      </c>
      <c r="G3468" s="28" t="s">
        <v>35</v>
      </c>
      <c r="H3468" s="27" t="s">
        <v>534</v>
      </c>
      <c r="I3468" s="27" t="s">
        <v>5428</v>
      </c>
      <c r="J3468" s="29" t="s">
        <v>525</v>
      </c>
      <c r="K3468" s="29" t="s">
        <v>525</v>
      </c>
      <c r="L3468" s="29" t="s">
        <v>525</v>
      </c>
      <c r="M3468" s="29" t="s">
        <v>5431</v>
      </c>
      <c r="N3468" s="29" t="s">
        <v>2026</v>
      </c>
      <c r="O3468" s="29" t="s">
        <v>594</v>
      </c>
    </row>
    <row r="3469" spans="1:15">
      <c r="A3469" s="25">
        <v>12233</v>
      </c>
      <c r="B3469" s="34" t="s">
        <v>5433</v>
      </c>
      <c r="C3469" s="31" t="s">
        <v>521</v>
      </c>
      <c r="D3469" s="31" t="s">
        <v>817</v>
      </c>
      <c r="E3469" s="28">
        <v>40805</v>
      </c>
      <c r="F3469" s="28" t="s">
        <v>35</v>
      </c>
      <c r="G3469" s="28" t="s">
        <v>35</v>
      </c>
      <c r="H3469" s="31" t="s">
        <v>534</v>
      </c>
      <c r="I3469" s="31" t="s">
        <v>5428</v>
      </c>
      <c r="J3469" s="29" t="s">
        <v>525</v>
      </c>
      <c r="K3469" s="29" t="s">
        <v>525</v>
      </c>
      <c r="L3469" s="29" t="s">
        <v>525</v>
      </c>
      <c r="M3469" s="29" t="s">
        <v>5431</v>
      </c>
      <c r="N3469" s="29" t="s">
        <v>2026</v>
      </c>
      <c r="O3469" s="29" t="s">
        <v>594</v>
      </c>
    </row>
    <row r="3470" spans="1:15">
      <c r="A3470" s="25">
        <v>12930</v>
      </c>
      <c r="B3470" s="33" t="s">
        <v>5434</v>
      </c>
      <c r="C3470" s="27" t="s">
        <v>521</v>
      </c>
      <c r="D3470" s="27" t="s">
        <v>688</v>
      </c>
      <c r="E3470" s="28">
        <v>40833</v>
      </c>
      <c r="F3470" s="28" t="s">
        <v>35</v>
      </c>
      <c r="G3470" s="28" t="s">
        <v>35</v>
      </c>
      <c r="H3470" s="31" t="s">
        <v>534</v>
      </c>
      <c r="I3470" s="31" t="s">
        <v>5428</v>
      </c>
      <c r="J3470" s="29" t="s">
        <v>525</v>
      </c>
      <c r="K3470" s="29" t="s">
        <v>525</v>
      </c>
      <c r="L3470" s="29" t="s">
        <v>525</v>
      </c>
      <c r="M3470" s="29" t="s">
        <v>5431</v>
      </c>
      <c r="N3470" s="29" t="s">
        <v>2026</v>
      </c>
      <c r="O3470" s="29" t="s">
        <v>594</v>
      </c>
    </row>
    <row r="3471" spans="1:15">
      <c r="A3471" s="25">
        <v>13653</v>
      </c>
      <c r="B3471" s="34" t="s">
        <v>5435</v>
      </c>
      <c r="C3471" s="31" t="s">
        <v>521</v>
      </c>
      <c r="D3471" s="31" t="s">
        <v>2731</v>
      </c>
      <c r="E3471" s="28">
        <v>41165</v>
      </c>
      <c r="F3471" s="28" t="s">
        <v>35</v>
      </c>
      <c r="G3471" s="28" t="s">
        <v>35</v>
      </c>
      <c r="H3471" s="31" t="s">
        <v>534</v>
      </c>
      <c r="I3471" s="31" t="s">
        <v>5428</v>
      </c>
      <c r="J3471" s="29" t="s">
        <v>525</v>
      </c>
      <c r="K3471" s="29" t="s">
        <v>525</v>
      </c>
      <c r="L3471" s="29" t="s">
        <v>525</v>
      </c>
      <c r="M3471" s="29" t="s">
        <v>5431</v>
      </c>
      <c r="N3471" s="29" t="s">
        <v>2026</v>
      </c>
      <c r="O3471" s="29" t="s">
        <v>594</v>
      </c>
    </row>
    <row r="3472" spans="1:15">
      <c r="A3472" s="25">
        <v>5767</v>
      </c>
      <c r="B3472" s="26" t="s">
        <v>5436</v>
      </c>
      <c r="C3472" s="27" t="s">
        <v>521</v>
      </c>
      <c r="D3472" s="27" t="s">
        <v>794</v>
      </c>
      <c r="E3472" s="28">
        <v>39114</v>
      </c>
      <c r="F3472" s="28" t="s">
        <v>35</v>
      </c>
      <c r="G3472" s="28" t="s">
        <v>35</v>
      </c>
      <c r="H3472" s="27" t="s">
        <v>534</v>
      </c>
      <c r="I3472" s="27" t="s">
        <v>5428</v>
      </c>
      <c r="J3472" s="29" t="s">
        <v>525</v>
      </c>
      <c r="K3472" s="29" t="s">
        <v>525</v>
      </c>
      <c r="L3472" s="29" t="s">
        <v>525</v>
      </c>
      <c r="M3472" s="29" t="s">
        <v>5429</v>
      </c>
      <c r="N3472" s="29" t="s">
        <v>1045</v>
      </c>
      <c r="O3472" s="29" t="s">
        <v>590</v>
      </c>
    </row>
    <row r="3473" spans="1:15">
      <c r="A3473" s="25">
        <v>6147</v>
      </c>
      <c r="B3473" s="26" t="s">
        <v>4411</v>
      </c>
      <c r="C3473" s="27" t="s">
        <v>521</v>
      </c>
      <c r="D3473" s="27" t="s">
        <v>576</v>
      </c>
      <c r="E3473" s="28">
        <v>39157</v>
      </c>
      <c r="F3473" s="28" t="s">
        <v>35</v>
      </c>
      <c r="G3473" s="28" t="s">
        <v>35</v>
      </c>
      <c r="H3473" s="29" t="s">
        <v>534</v>
      </c>
      <c r="I3473" s="29" t="s">
        <v>5428</v>
      </c>
      <c r="J3473" s="29" t="s">
        <v>525</v>
      </c>
      <c r="K3473" s="29" t="s">
        <v>525</v>
      </c>
      <c r="L3473" s="29" t="s">
        <v>525</v>
      </c>
      <c r="M3473" s="29" t="s">
        <v>5431</v>
      </c>
      <c r="N3473" s="29" t="s">
        <v>2026</v>
      </c>
      <c r="O3473" s="29" t="s">
        <v>590</v>
      </c>
    </row>
    <row r="3474" spans="1:15">
      <c r="A3474" s="25">
        <v>9427</v>
      </c>
      <c r="B3474" s="26" t="s">
        <v>5437</v>
      </c>
      <c r="C3474" s="27" t="s">
        <v>521</v>
      </c>
      <c r="D3474" s="27" t="s">
        <v>658</v>
      </c>
      <c r="E3474" s="28">
        <v>40148</v>
      </c>
      <c r="F3474" s="28" t="s">
        <v>35</v>
      </c>
      <c r="G3474" s="28" t="s">
        <v>35</v>
      </c>
      <c r="H3474" s="27" t="s">
        <v>534</v>
      </c>
      <c r="I3474" s="27" t="s">
        <v>5428</v>
      </c>
      <c r="J3474" s="29" t="s">
        <v>525</v>
      </c>
      <c r="K3474" s="29" t="s">
        <v>525</v>
      </c>
      <c r="L3474" s="29" t="s">
        <v>525</v>
      </c>
      <c r="M3474" s="29" t="s">
        <v>5431</v>
      </c>
      <c r="N3474" s="29" t="s">
        <v>2026</v>
      </c>
      <c r="O3474" s="29" t="s">
        <v>590</v>
      </c>
    </row>
    <row r="3475" spans="1:15">
      <c r="A3475" s="25">
        <v>10127</v>
      </c>
      <c r="B3475" s="84" t="s">
        <v>5438</v>
      </c>
      <c r="C3475" s="85" t="s">
        <v>521</v>
      </c>
      <c r="D3475" s="27" t="s">
        <v>601</v>
      </c>
      <c r="E3475" s="28">
        <v>40444</v>
      </c>
      <c r="F3475" s="28" t="s">
        <v>35</v>
      </c>
      <c r="G3475" s="28" t="s">
        <v>35</v>
      </c>
      <c r="H3475" s="27" t="s">
        <v>534</v>
      </c>
      <c r="I3475" s="27" t="s">
        <v>5428</v>
      </c>
      <c r="J3475" s="29" t="s">
        <v>525</v>
      </c>
      <c r="K3475" s="29" t="s">
        <v>525</v>
      </c>
      <c r="L3475" s="29" t="s">
        <v>525</v>
      </c>
      <c r="M3475" s="29" t="s">
        <v>5431</v>
      </c>
      <c r="N3475" s="29" t="s">
        <v>2026</v>
      </c>
      <c r="O3475" s="29" t="s">
        <v>590</v>
      </c>
    </row>
    <row r="3476" spans="1:15">
      <c r="A3476" s="25">
        <v>10203</v>
      </c>
      <c r="B3476" s="26" t="s">
        <v>3617</v>
      </c>
      <c r="C3476" s="27" t="s">
        <v>521</v>
      </c>
      <c r="D3476" s="27" t="s">
        <v>787</v>
      </c>
      <c r="E3476" s="28">
        <v>40458</v>
      </c>
      <c r="F3476" s="28" t="s">
        <v>35</v>
      </c>
      <c r="G3476" s="28" t="s">
        <v>35</v>
      </c>
      <c r="H3476" s="27" t="s">
        <v>534</v>
      </c>
      <c r="I3476" s="27" t="s">
        <v>5428</v>
      </c>
      <c r="J3476" s="29" t="s">
        <v>525</v>
      </c>
      <c r="K3476" s="29" t="s">
        <v>525</v>
      </c>
      <c r="L3476" s="29" t="s">
        <v>525</v>
      </c>
      <c r="M3476" s="29" t="s">
        <v>5431</v>
      </c>
      <c r="N3476" s="29" t="s">
        <v>2026</v>
      </c>
      <c r="O3476" s="29" t="s">
        <v>590</v>
      </c>
    </row>
    <row r="3477" spans="1:15">
      <c r="A3477" s="25">
        <v>10290</v>
      </c>
      <c r="B3477" s="26" t="s">
        <v>5439</v>
      </c>
      <c r="C3477" s="27" t="s">
        <v>521</v>
      </c>
      <c r="D3477" s="27" t="s">
        <v>2527</v>
      </c>
      <c r="E3477" s="28">
        <v>40504</v>
      </c>
      <c r="F3477" s="28" t="s">
        <v>35</v>
      </c>
      <c r="G3477" s="28" t="s">
        <v>35</v>
      </c>
      <c r="H3477" s="31" t="s">
        <v>534</v>
      </c>
      <c r="I3477" s="31" t="s">
        <v>5428</v>
      </c>
      <c r="J3477" s="29" t="s">
        <v>525</v>
      </c>
      <c r="K3477" s="29" t="s">
        <v>525</v>
      </c>
      <c r="L3477" s="29" t="s">
        <v>525</v>
      </c>
      <c r="M3477" s="29" t="s">
        <v>5431</v>
      </c>
      <c r="N3477" s="29" t="s">
        <v>2026</v>
      </c>
      <c r="O3477" s="29" t="s">
        <v>590</v>
      </c>
    </row>
    <row r="3478" spans="1:15">
      <c r="A3478" s="25">
        <v>11019</v>
      </c>
      <c r="B3478" s="34" t="s">
        <v>5440</v>
      </c>
      <c r="C3478" s="31" t="s">
        <v>521</v>
      </c>
      <c r="D3478" s="31" t="s">
        <v>1516</v>
      </c>
      <c r="E3478" s="28">
        <v>40585</v>
      </c>
      <c r="F3478" s="28" t="s">
        <v>35</v>
      </c>
      <c r="G3478" s="28" t="s">
        <v>35</v>
      </c>
      <c r="H3478" s="27" t="s">
        <v>534</v>
      </c>
      <c r="I3478" s="31" t="s">
        <v>5428</v>
      </c>
      <c r="J3478" s="29" t="s">
        <v>525</v>
      </c>
      <c r="K3478" s="29" t="s">
        <v>525</v>
      </c>
      <c r="L3478" s="29" t="s">
        <v>525</v>
      </c>
      <c r="M3478" s="29" t="s">
        <v>5431</v>
      </c>
      <c r="N3478" s="29" t="s">
        <v>2026</v>
      </c>
      <c r="O3478" s="29" t="s">
        <v>590</v>
      </c>
    </row>
    <row r="3479" spans="1:15">
      <c r="A3479" s="25">
        <v>4851</v>
      </c>
      <c r="B3479" s="26" t="s">
        <v>5441</v>
      </c>
      <c r="C3479" s="31" t="s">
        <v>521</v>
      </c>
      <c r="D3479" s="27" t="s">
        <v>756</v>
      </c>
      <c r="E3479" s="28">
        <v>38930</v>
      </c>
      <c r="F3479" s="28" t="s">
        <v>35</v>
      </c>
      <c r="G3479" s="28" t="s">
        <v>35</v>
      </c>
      <c r="H3479" s="29" t="s">
        <v>534</v>
      </c>
      <c r="I3479" s="29" t="s">
        <v>5428</v>
      </c>
      <c r="J3479" s="29" t="s">
        <v>1545</v>
      </c>
      <c r="K3479" s="29" t="s">
        <v>1545</v>
      </c>
      <c r="L3479" s="29" t="s">
        <v>1546</v>
      </c>
      <c r="M3479" s="29" t="s">
        <v>4604</v>
      </c>
      <c r="N3479" s="29" t="s">
        <v>4605</v>
      </c>
      <c r="O3479" s="29" t="s">
        <v>594</v>
      </c>
    </row>
    <row r="3480" spans="1:15">
      <c r="A3480" s="25">
        <v>5230</v>
      </c>
      <c r="B3480" s="26" t="s">
        <v>5442</v>
      </c>
      <c r="C3480" s="27" t="s">
        <v>521</v>
      </c>
      <c r="D3480" s="27" t="s">
        <v>1130</v>
      </c>
      <c r="E3480" s="28">
        <v>38961</v>
      </c>
      <c r="F3480" s="28" t="s">
        <v>35</v>
      </c>
      <c r="G3480" s="28" t="s">
        <v>35</v>
      </c>
      <c r="H3480" s="31" t="s">
        <v>534</v>
      </c>
      <c r="I3480" s="31" t="s">
        <v>5428</v>
      </c>
      <c r="J3480" s="27" t="s">
        <v>1545</v>
      </c>
      <c r="K3480" s="27" t="s">
        <v>1545</v>
      </c>
      <c r="L3480" s="29" t="s">
        <v>1546</v>
      </c>
      <c r="M3480" s="29" t="s">
        <v>4604</v>
      </c>
      <c r="N3480" s="29" t="s">
        <v>4605</v>
      </c>
      <c r="O3480" s="29" t="s">
        <v>594</v>
      </c>
    </row>
    <row r="3481" spans="1:15">
      <c r="A3481" s="25">
        <v>13504</v>
      </c>
      <c r="B3481" s="34" t="s">
        <v>5443</v>
      </c>
      <c r="C3481" s="31" t="s">
        <v>521</v>
      </c>
      <c r="D3481" s="31" t="s">
        <v>2952</v>
      </c>
      <c r="E3481" s="28">
        <v>40945</v>
      </c>
      <c r="F3481" s="28" t="s">
        <v>35</v>
      </c>
      <c r="G3481" s="28" t="s">
        <v>35</v>
      </c>
      <c r="H3481" s="31" t="s">
        <v>534</v>
      </c>
      <c r="I3481" s="31" t="s">
        <v>5428</v>
      </c>
      <c r="J3481" s="27" t="s">
        <v>1545</v>
      </c>
      <c r="K3481" s="27" t="s">
        <v>1545</v>
      </c>
      <c r="L3481" s="29" t="s">
        <v>1546</v>
      </c>
      <c r="M3481" s="29" t="s">
        <v>4604</v>
      </c>
      <c r="N3481" s="29" t="s">
        <v>4605</v>
      </c>
      <c r="O3481" s="29" t="s">
        <v>594</v>
      </c>
    </row>
    <row r="3482" spans="1:15">
      <c r="A3482" s="25">
        <v>22883</v>
      </c>
      <c r="B3482" s="34" t="s">
        <v>5444</v>
      </c>
      <c r="C3482" s="31" t="s">
        <v>521</v>
      </c>
      <c r="D3482" s="31" t="s">
        <v>775</v>
      </c>
      <c r="E3482" s="28">
        <v>43333</v>
      </c>
      <c r="F3482" s="28">
        <v>43364</v>
      </c>
      <c r="G3482" s="28">
        <v>43738</v>
      </c>
      <c r="H3482" s="29" t="s">
        <v>534</v>
      </c>
      <c r="I3482" s="29" t="s">
        <v>5428</v>
      </c>
      <c r="J3482" s="29" t="s">
        <v>1545</v>
      </c>
      <c r="K3482" s="29" t="s">
        <v>1545</v>
      </c>
      <c r="L3482" s="29" t="s">
        <v>1546</v>
      </c>
      <c r="M3482" s="29" t="s">
        <v>4604</v>
      </c>
      <c r="N3482" s="29" t="s">
        <v>4605</v>
      </c>
      <c r="O3482" s="29" t="s">
        <v>594</v>
      </c>
    </row>
    <row r="3483" spans="1:15">
      <c r="A3483" s="25">
        <v>10235</v>
      </c>
      <c r="B3483" s="26" t="s">
        <v>5445</v>
      </c>
      <c r="C3483" s="27" t="s">
        <v>521</v>
      </c>
      <c r="D3483" s="27" t="s">
        <v>736</v>
      </c>
      <c r="E3483" s="28">
        <v>40489</v>
      </c>
      <c r="F3483" s="28" t="s">
        <v>35</v>
      </c>
      <c r="G3483" s="28" t="s">
        <v>35</v>
      </c>
      <c r="H3483" s="29" t="s">
        <v>534</v>
      </c>
      <c r="I3483" s="29" t="s">
        <v>5428</v>
      </c>
      <c r="J3483" s="29" t="s">
        <v>1545</v>
      </c>
      <c r="K3483" s="29" t="s">
        <v>1545</v>
      </c>
      <c r="L3483" s="29" t="s">
        <v>1546</v>
      </c>
      <c r="M3483" s="29" t="s">
        <v>4604</v>
      </c>
      <c r="N3483" s="29" t="s">
        <v>4605</v>
      </c>
      <c r="O3483" s="29" t="s">
        <v>590</v>
      </c>
    </row>
    <row r="3484" spans="1:15">
      <c r="A3484" s="25">
        <v>11854</v>
      </c>
      <c r="B3484" s="26" t="s">
        <v>5446</v>
      </c>
      <c r="C3484" s="27" t="s">
        <v>521</v>
      </c>
      <c r="D3484" s="25" t="s">
        <v>799</v>
      </c>
      <c r="E3484" s="28">
        <v>40721</v>
      </c>
      <c r="F3484" s="28" t="s">
        <v>35</v>
      </c>
      <c r="G3484" s="28" t="s">
        <v>35</v>
      </c>
      <c r="H3484" s="29" t="s">
        <v>534</v>
      </c>
      <c r="I3484" s="29" t="s">
        <v>5428</v>
      </c>
      <c r="J3484" s="29" t="s">
        <v>1545</v>
      </c>
      <c r="K3484" s="29" t="s">
        <v>1545</v>
      </c>
      <c r="L3484" s="29" t="s">
        <v>1546</v>
      </c>
      <c r="M3484" s="29" t="s">
        <v>4604</v>
      </c>
      <c r="N3484" s="29" t="s">
        <v>4605</v>
      </c>
      <c r="O3484" s="29" t="s">
        <v>590</v>
      </c>
    </row>
    <row r="3485" spans="1:15">
      <c r="A3485" s="25">
        <v>11946</v>
      </c>
      <c r="B3485" s="26" t="s">
        <v>5447</v>
      </c>
      <c r="C3485" s="27" t="s">
        <v>521</v>
      </c>
      <c r="D3485" s="27" t="s">
        <v>699</v>
      </c>
      <c r="E3485" s="28">
        <v>40770</v>
      </c>
      <c r="F3485" s="28" t="s">
        <v>35</v>
      </c>
      <c r="G3485" s="28" t="s">
        <v>35</v>
      </c>
      <c r="H3485" s="27" t="s">
        <v>534</v>
      </c>
      <c r="I3485" s="27" t="s">
        <v>5428</v>
      </c>
      <c r="J3485" s="27" t="s">
        <v>1545</v>
      </c>
      <c r="K3485" s="27" t="s">
        <v>1545</v>
      </c>
      <c r="L3485" s="29" t="s">
        <v>1546</v>
      </c>
      <c r="M3485" s="29" t="s">
        <v>4604</v>
      </c>
      <c r="N3485" s="29" t="s">
        <v>4605</v>
      </c>
      <c r="O3485" s="29" t="s">
        <v>590</v>
      </c>
    </row>
    <row r="3486" spans="1:15">
      <c r="A3486" s="25">
        <v>21961</v>
      </c>
      <c r="B3486" s="34" t="s">
        <v>5448</v>
      </c>
      <c r="C3486" s="31" t="s">
        <v>521</v>
      </c>
      <c r="D3486" s="31" t="s">
        <v>1573</v>
      </c>
      <c r="E3486" s="28">
        <v>43116</v>
      </c>
      <c r="F3486" s="28">
        <v>43147</v>
      </c>
      <c r="G3486" s="28">
        <v>43524</v>
      </c>
      <c r="H3486" s="29" t="s">
        <v>534</v>
      </c>
      <c r="I3486" s="29" t="s">
        <v>5428</v>
      </c>
      <c r="J3486" s="29" t="s">
        <v>1545</v>
      </c>
      <c r="K3486" s="29" t="s">
        <v>1545</v>
      </c>
      <c r="L3486" s="29" t="s">
        <v>1546</v>
      </c>
      <c r="M3486" s="29" t="s">
        <v>4604</v>
      </c>
      <c r="N3486" s="29" t="s">
        <v>4605</v>
      </c>
      <c r="O3486" s="29" t="s">
        <v>590</v>
      </c>
    </row>
    <row r="3487" spans="1:15">
      <c r="A3487" s="25">
        <v>5435</v>
      </c>
      <c r="B3487" s="34" t="s">
        <v>5449</v>
      </c>
      <c r="C3487" s="31" t="s">
        <v>521</v>
      </c>
      <c r="D3487" s="31" t="s">
        <v>760</v>
      </c>
      <c r="E3487" s="28">
        <v>38991</v>
      </c>
      <c r="F3487" s="28" t="s">
        <v>35</v>
      </c>
      <c r="G3487" s="28" t="s">
        <v>35</v>
      </c>
      <c r="H3487" s="27" t="s">
        <v>534</v>
      </c>
      <c r="I3487" s="31" t="s">
        <v>5428</v>
      </c>
      <c r="J3487" s="27" t="s">
        <v>1901</v>
      </c>
      <c r="K3487" s="29" t="s">
        <v>1902</v>
      </c>
      <c r="L3487" s="29" t="s">
        <v>2021</v>
      </c>
      <c r="M3487" s="29" t="s">
        <v>4604</v>
      </c>
      <c r="N3487" s="29" t="s">
        <v>4605</v>
      </c>
      <c r="O3487" s="29" t="s">
        <v>594</v>
      </c>
    </row>
    <row r="3488" spans="1:15">
      <c r="A3488" s="25">
        <v>10642</v>
      </c>
      <c r="B3488" s="26" t="s">
        <v>5450</v>
      </c>
      <c r="C3488" s="27" t="s">
        <v>521</v>
      </c>
      <c r="D3488" s="27" t="s">
        <v>2426</v>
      </c>
      <c r="E3488" s="28">
        <v>40549</v>
      </c>
      <c r="F3488" s="28" t="s">
        <v>35</v>
      </c>
      <c r="G3488" s="28" t="s">
        <v>35</v>
      </c>
      <c r="H3488" s="27" t="s">
        <v>534</v>
      </c>
      <c r="I3488" s="27" t="s">
        <v>5428</v>
      </c>
      <c r="J3488" s="29" t="s">
        <v>1901</v>
      </c>
      <c r="K3488" s="29" t="s">
        <v>1902</v>
      </c>
      <c r="L3488" s="29" t="s">
        <v>2021</v>
      </c>
      <c r="M3488" s="29" t="s">
        <v>5451</v>
      </c>
      <c r="N3488" s="29" t="s">
        <v>5451</v>
      </c>
      <c r="O3488" s="29" t="s">
        <v>594</v>
      </c>
    </row>
    <row r="3489" spans="1:15">
      <c r="A3489" s="25">
        <v>23020</v>
      </c>
      <c r="B3489" s="34" t="s">
        <v>96</v>
      </c>
      <c r="C3489" s="31" t="s">
        <v>521</v>
      </c>
      <c r="D3489" s="31" t="s">
        <v>1872</v>
      </c>
      <c r="E3489" s="28">
        <v>43361</v>
      </c>
      <c r="F3489" s="28">
        <v>43391</v>
      </c>
      <c r="G3489" s="28">
        <v>43769</v>
      </c>
      <c r="H3489" s="29" t="s">
        <v>534</v>
      </c>
      <c r="I3489" s="29" t="s">
        <v>5428</v>
      </c>
      <c r="J3489" s="29" t="s">
        <v>1901</v>
      </c>
      <c r="K3489" s="29" t="s">
        <v>1902</v>
      </c>
      <c r="L3489" s="29" t="s">
        <v>2021</v>
      </c>
      <c r="M3489" s="29" t="s">
        <v>4604</v>
      </c>
      <c r="N3489" s="29" t="s">
        <v>4605</v>
      </c>
      <c r="O3489" s="29" t="s">
        <v>594</v>
      </c>
    </row>
    <row r="3490" spans="1:15">
      <c r="A3490" s="25" t="s">
        <v>5452</v>
      </c>
      <c r="B3490" s="34" t="s">
        <v>5453</v>
      </c>
      <c r="C3490" s="31" t="s">
        <v>521</v>
      </c>
      <c r="D3490" s="31" t="s">
        <v>1856</v>
      </c>
      <c r="E3490" s="28">
        <v>40955</v>
      </c>
      <c r="F3490" s="28" t="s">
        <v>35</v>
      </c>
      <c r="G3490" s="28" t="s">
        <v>35</v>
      </c>
      <c r="H3490" s="31" t="s">
        <v>534</v>
      </c>
      <c r="I3490" s="31" t="s">
        <v>5428</v>
      </c>
      <c r="J3490" s="29" t="s">
        <v>1901</v>
      </c>
      <c r="K3490" s="29" t="s">
        <v>1902</v>
      </c>
      <c r="L3490" s="29" t="s">
        <v>2021</v>
      </c>
      <c r="M3490" s="29" t="s">
        <v>5451</v>
      </c>
      <c r="N3490" s="29" t="s">
        <v>5451</v>
      </c>
      <c r="O3490" s="29" t="s">
        <v>594</v>
      </c>
    </row>
    <row r="3491" spans="1:15">
      <c r="A3491" s="25">
        <v>10274</v>
      </c>
      <c r="B3491" s="26" t="s">
        <v>5454</v>
      </c>
      <c r="C3491" s="27" t="s">
        <v>521</v>
      </c>
      <c r="D3491" s="27" t="s">
        <v>681</v>
      </c>
      <c r="E3491" s="28">
        <v>40497</v>
      </c>
      <c r="F3491" s="28" t="s">
        <v>35</v>
      </c>
      <c r="G3491" s="28" t="s">
        <v>35</v>
      </c>
      <c r="H3491" s="27" t="s">
        <v>534</v>
      </c>
      <c r="I3491" s="27" t="s">
        <v>5428</v>
      </c>
      <c r="J3491" s="27" t="s">
        <v>1901</v>
      </c>
      <c r="K3491" s="29" t="s">
        <v>1902</v>
      </c>
      <c r="L3491" s="29" t="s">
        <v>2021</v>
      </c>
      <c r="M3491" s="29" t="s">
        <v>4604</v>
      </c>
      <c r="N3491" s="29" t="s">
        <v>4605</v>
      </c>
      <c r="O3491" s="29" t="s">
        <v>590</v>
      </c>
    </row>
    <row r="3492" spans="1:15">
      <c r="A3492" s="25">
        <v>11522</v>
      </c>
      <c r="B3492" s="33" t="s">
        <v>5455</v>
      </c>
      <c r="C3492" s="27" t="s">
        <v>521</v>
      </c>
      <c r="D3492" s="27" t="s">
        <v>841</v>
      </c>
      <c r="E3492" s="28">
        <v>40707</v>
      </c>
      <c r="F3492" s="28" t="s">
        <v>35</v>
      </c>
      <c r="G3492" s="28" t="s">
        <v>35</v>
      </c>
      <c r="H3492" s="31" t="s">
        <v>534</v>
      </c>
      <c r="I3492" s="31" t="s">
        <v>5428</v>
      </c>
      <c r="J3492" s="27" t="s">
        <v>1901</v>
      </c>
      <c r="K3492" s="29" t="s">
        <v>1902</v>
      </c>
      <c r="L3492" s="29" t="s">
        <v>2021</v>
      </c>
      <c r="M3492" s="29" t="s">
        <v>5451</v>
      </c>
      <c r="N3492" s="29" t="s">
        <v>5451</v>
      </c>
      <c r="O3492" s="29" t="s">
        <v>590</v>
      </c>
    </row>
    <row r="3493" spans="1:15">
      <c r="A3493" s="25">
        <v>12254</v>
      </c>
      <c r="B3493" s="26" t="s">
        <v>417</v>
      </c>
      <c r="C3493" s="27" t="s">
        <v>521</v>
      </c>
      <c r="D3493" s="27" t="s">
        <v>817</v>
      </c>
      <c r="E3493" s="28">
        <v>40805</v>
      </c>
      <c r="F3493" s="28" t="s">
        <v>35</v>
      </c>
      <c r="G3493" s="28" t="s">
        <v>35</v>
      </c>
      <c r="H3493" s="29" t="s">
        <v>534</v>
      </c>
      <c r="I3493" s="29" t="s">
        <v>5428</v>
      </c>
      <c r="J3493" s="29" t="s">
        <v>1901</v>
      </c>
      <c r="K3493" s="29" t="s">
        <v>1902</v>
      </c>
      <c r="L3493" s="29" t="s">
        <v>2021</v>
      </c>
      <c r="M3493" s="29" t="s">
        <v>5451</v>
      </c>
      <c r="N3493" s="29" t="s">
        <v>5451</v>
      </c>
      <c r="O3493" s="29" t="s">
        <v>590</v>
      </c>
    </row>
    <row r="3494" spans="1:15">
      <c r="A3494" s="25">
        <v>19080</v>
      </c>
      <c r="B3494" s="26" t="s">
        <v>5456</v>
      </c>
      <c r="C3494" s="27" t="s">
        <v>521</v>
      </c>
      <c r="D3494" s="27" t="s">
        <v>797</v>
      </c>
      <c r="E3494" s="28">
        <v>42254</v>
      </c>
      <c r="F3494" s="28" t="s">
        <v>35</v>
      </c>
      <c r="G3494" s="28" t="s">
        <v>35</v>
      </c>
      <c r="H3494" s="27" t="s">
        <v>534</v>
      </c>
      <c r="I3494" s="27" t="s">
        <v>5428</v>
      </c>
      <c r="J3494" s="27" t="s">
        <v>1901</v>
      </c>
      <c r="K3494" s="29" t="s">
        <v>1902</v>
      </c>
      <c r="L3494" s="29" t="s">
        <v>2021</v>
      </c>
      <c r="M3494" s="29" t="s">
        <v>4604</v>
      </c>
      <c r="N3494" s="29" t="s">
        <v>4605</v>
      </c>
      <c r="O3494" s="29" t="s">
        <v>590</v>
      </c>
    </row>
    <row r="3495" spans="1:15">
      <c r="A3495" s="25">
        <v>5256</v>
      </c>
      <c r="B3495" s="33" t="s">
        <v>5457</v>
      </c>
      <c r="C3495" s="27" t="s">
        <v>521</v>
      </c>
      <c r="D3495" s="27" t="s">
        <v>1130</v>
      </c>
      <c r="E3495" s="28">
        <v>38961</v>
      </c>
      <c r="F3495" s="28" t="s">
        <v>35</v>
      </c>
      <c r="G3495" s="28" t="s">
        <v>35</v>
      </c>
      <c r="H3495" s="31" t="s">
        <v>534</v>
      </c>
      <c r="I3495" s="31" t="s">
        <v>5428</v>
      </c>
      <c r="J3495" s="29" t="s">
        <v>5458</v>
      </c>
      <c r="K3495" s="29" t="s">
        <v>5459</v>
      </c>
      <c r="L3495" s="29" t="s">
        <v>5460</v>
      </c>
      <c r="M3495" s="29" t="s">
        <v>5461</v>
      </c>
      <c r="N3495" s="29" t="s">
        <v>1045</v>
      </c>
      <c r="O3495" s="29" t="s">
        <v>594</v>
      </c>
    </row>
    <row r="3496" spans="1:15">
      <c r="A3496" s="25">
        <v>5430</v>
      </c>
      <c r="B3496" s="26" t="s">
        <v>5462</v>
      </c>
      <c r="C3496" s="27" t="s">
        <v>521</v>
      </c>
      <c r="D3496" s="27" t="s">
        <v>760</v>
      </c>
      <c r="E3496" s="28">
        <v>38991</v>
      </c>
      <c r="F3496" s="28" t="s">
        <v>35</v>
      </c>
      <c r="G3496" s="28" t="s">
        <v>35</v>
      </c>
      <c r="H3496" s="27" t="s">
        <v>534</v>
      </c>
      <c r="I3496" s="27" t="s">
        <v>5428</v>
      </c>
      <c r="J3496" s="29" t="s">
        <v>5458</v>
      </c>
      <c r="K3496" s="29" t="s">
        <v>5459</v>
      </c>
      <c r="L3496" s="29" t="s">
        <v>5460</v>
      </c>
      <c r="M3496" s="29" t="s">
        <v>5461</v>
      </c>
      <c r="N3496" s="29" t="s">
        <v>1045</v>
      </c>
      <c r="O3496" s="29" t="s">
        <v>590</v>
      </c>
    </row>
    <row r="3497" spans="1:15">
      <c r="A3497" s="25">
        <v>10931</v>
      </c>
      <c r="B3497" s="33" t="s">
        <v>5463</v>
      </c>
      <c r="C3497" s="27" t="s">
        <v>521</v>
      </c>
      <c r="D3497" s="27" t="s">
        <v>670</v>
      </c>
      <c r="E3497" s="28">
        <v>40578</v>
      </c>
      <c r="F3497" s="28" t="s">
        <v>35</v>
      </c>
      <c r="G3497" s="28" t="s">
        <v>35</v>
      </c>
      <c r="H3497" s="31" t="s">
        <v>534</v>
      </c>
      <c r="I3497" s="31" t="s">
        <v>5428</v>
      </c>
      <c r="J3497" s="27" t="s">
        <v>2208</v>
      </c>
      <c r="K3497" s="29" t="s">
        <v>2209</v>
      </c>
      <c r="L3497" s="29" t="s">
        <v>2210</v>
      </c>
      <c r="M3497" s="29" t="s">
        <v>4604</v>
      </c>
      <c r="N3497" s="29" t="s">
        <v>4605</v>
      </c>
      <c r="O3497" s="29" t="s">
        <v>594</v>
      </c>
    </row>
    <row r="3498" spans="1:15">
      <c r="A3498" s="25">
        <v>13251</v>
      </c>
      <c r="B3498" s="26" t="s">
        <v>5464</v>
      </c>
      <c r="C3498" s="27" t="s">
        <v>521</v>
      </c>
      <c r="D3498" s="27" t="s">
        <v>1949</v>
      </c>
      <c r="E3498" s="28">
        <v>40917</v>
      </c>
      <c r="F3498" s="28" t="s">
        <v>35</v>
      </c>
      <c r="G3498" s="28" t="s">
        <v>35</v>
      </c>
      <c r="H3498" s="27" t="s">
        <v>534</v>
      </c>
      <c r="I3498" s="27" t="s">
        <v>5428</v>
      </c>
      <c r="J3498" s="27" t="s">
        <v>2208</v>
      </c>
      <c r="K3498" s="29" t="s">
        <v>2209</v>
      </c>
      <c r="L3498" s="29" t="s">
        <v>2210</v>
      </c>
      <c r="M3498" s="29" t="s">
        <v>5451</v>
      </c>
      <c r="N3498" s="29" t="s">
        <v>5451</v>
      </c>
      <c r="O3498" s="29" t="s">
        <v>594</v>
      </c>
    </row>
    <row r="3499" spans="1:15">
      <c r="A3499" s="25">
        <v>15339</v>
      </c>
      <c r="B3499" s="26" t="s">
        <v>5465</v>
      </c>
      <c r="C3499" s="27" t="s">
        <v>521</v>
      </c>
      <c r="D3499" s="27" t="s">
        <v>5466</v>
      </c>
      <c r="E3499" s="28">
        <v>41442</v>
      </c>
      <c r="F3499" s="28" t="s">
        <v>35</v>
      </c>
      <c r="G3499" s="28" t="s">
        <v>35</v>
      </c>
      <c r="H3499" s="29" t="s">
        <v>534</v>
      </c>
      <c r="I3499" s="29" t="s">
        <v>5428</v>
      </c>
      <c r="J3499" s="29" t="s">
        <v>2208</v>
      </c>
      <c r="K3499" s="29" t="s">
        <v>2209</v>
      </c>
      <c r="L3499" s="29" t="s">
        <v>2210</v>
      </c>
      <c r="M3499" s="29" t="s">
        <v>4604</v>
      </c>
      <c r="N3499" s="29" t="s">
        <v>4605</v>
      </c>
      <c r="O3499" s="29" t="s">
        <v>594</v>
      </c>
    </row>
    <row r="3500" spans="1:15">
      <c r="A3500" s="25">
        <v>3723</v>
      </c>
      <c r="B3500" s="84" t="s">
        <v>5467</v>
      </c>
      <c r="C3500" s="85" t="s">
        <v>521</v>
      </c>
      <c r="D3500" s="27" t="s">
        <v>4686</v>
      </c>
      <c r="E3500" s="28">
        <v>38626</v>
      </c>
      <c r="F3500" s="28" t="s">
        <v>35</v>
      </c>
      <c r="G3500" s="28" t="s">
        <v>35</v>
      </c>
      <c r="H3500" s="27" t="s">
        <v>534</v>
      </c>
      <c r="I3500" s="27" t="s">
        <v>5428</v>
      </c>
      <c r="J3500" s="29" t="s">
        <v>5468</v>
      </c>
      <c r="K3500" s="29" t="s">
        <v>5469</v>
      </c>
      <c r="L3500" s="29" t="s">
        <v>5470</v>
      </c>
      <c r="M3500" s="29" t="s">
        <v>5461</v>
      </c>
      <c r="N3500" s="29" t="s">
        <v>1045</v>
      </c>
      <c r="O3500" s="29" t="s">
        <v>594</v>
      </c>
    </row>
    <row r="3501" spans="1:15">
      <c r="A3501" s="25" t="s">
        <v>5471</v>
      </c>
      <c r="B3501" s="34" t="s">
        <v>5472</v>
      </c>
      <c r="C3501" s="31" t="s">
        <v>521</v>
      </c>
      <c r="D3501" s="31" t="s">
        <v>3150</v>
      </c>
      <c r="E3501" s="28">
        <v>40868</v>
      </c>
      <c r="F3501" s="28" t="s">
        <v>35</v>
      </c>
      <c r="G3501" s="28" t="s">
        <v>35</v>
      </c>
      <c r="H3501" s="31" t="s">
        <v>534</v>
      </c>
      <c r="I3501" s="31" t="s">
        <v>5428</v>
      </c>
      <c r="J3501" s="29" t="s">
        <v>5468</v>
      </c>
      <c r="K3501" s="29" t="s">
        <v>5469</v>
      </c>
      <c r="L3501" s="29" t="s">
        <v>5470</v>
      </c>
      <c r="M3501" s="29" t="s">
        <v>5461</v>
      </c>
      <c r="N3501" s="29" t="s">
        <v>1045</v>
      </c>
      <c r="O3501" s="29" t="s">
        <v>590</v>
      </c>
    </row>
    <row r="3502" spans="1:15">
      <c r="A3502" s="25">
        <v>11584</v>
      </c>
      <c r="B3502" s="33" t="s">
        <v>3297</v>
      </c>
      <c r="C3502" s="27" t="s">
        <v>521</v>
      </c>
      <c r="D3502" s="27" t="s">
        <v>841</v>
      </c>
      <c r="E3502" s="28">
        <v>40707</v>
      </c>
      <c r="F3502" s="28" t="s">
        <v>35</v>
      </c>
      <c r="G3502" s="28" t="s">
        <v>35</v>
      </c>
      <c r="H3502" s="31" t="s">
        <v>534</v>
      </c>
      <c r="I3502" s="31" t="s">
        <v>5428</v>
      </c>
      <c r="J3502" s="29" t="s">
        <v>2270</v>
      </c>
      <c r="K3502" s="29" t="s">
        <v>2271</v>
      </c>
      <c r="L3502" s="29" t="s">
        <v>2272</v>
      </c>
      <c r="M3502" s="29" t="s">
        <v>2030</v>
      </c>
      <c r="N3502" s="29" t="s">
        <v>2031</v>
      </c>
      <c r="O3502" s="29" t="s">
        <v>590</v>
      </c>
    </row>
    <row r="3503" spans="1:15">
      <c r="A3503" s="25">
        <v>20513</v>
      </c>
      <c r="B3503" s="26" t="s">
        <v>2728</v>
      </c>
      <c r="C3503" s="27" t="s">
        <v>521</v>
      </c>
      <c r="D3503" s="27" t="s">
        <v>1644</v>
      </c>
      <c r="E3503" s="28">
        <v>42634</v>
      </c>
      <c r="F3503" s="28">
        <v>43132</v>
      </c>
      <c r="G3503" s="28">
        <v>43496</v>
      </c>
      <c r="H3503" s="25" t="s">
        <v>534</v>
      </c>
      <c r="I3503" s="27" t="s">
        <v>5428</v>
      </c>
      <c r="J3503" s="29" t="s">
        <v>2270</v>
      </c>
      <c r="K3503" s="29" t="s">
        <v>2271</v>
      </c>
      <c r="L3503" s="29" t="s">
        <v>2272</v>
      </c>
      <c r="M3503" s="29" t="s">
        <v>2030</v>
      </c>
      <c r="N3503" s="29" t="s">
        <v>2031</v>
      </c>
      <c r="O3503" s="29" t="s">
        <v>590</v>
      </c>
    </row>
    <row r="3504" spans="1:15">
      <c r="A3504" s="25">
        <v>5794</v>
      </c>
      <c r="B3504" s="32" t="s">
        <v>5473</v>
      </c>
      <c r="C3504" s="27" t="s">
        <v>521</v>
      </c>
      <c r="D3504" s="27" t="s">
        <v>794</v>
      </c>
      <c r="E3504" s="28">
        <v>39114</v>
      </c>
      <c r="F3504" s="28" t="s">
        <v>35</v>
      </c>
      <c r="G3504" s="28" t="s">
        <v>35</v>
      </c>
      <c r="H3504" s="27" t="s">
        <v>534</v>
      </c>
      <c r="I3504" s="27" t="s">
        <v>5428</v>
      </c>
      <c r="J3504" s="29" t="s">
        <v>5474</v>
      </c>
      <c r="K3504" s="29" t="s">
        <v>5469</v>
      </c>
      <c r="L3504" s="29" t="s">
        <v>5475</v>
      </c>
      <c r="M3504" s="29" t="s">
        <v>5461</v>
      </c>
      <c r="N3504" s="29" t="s">
        <v>1045</v>
      </c>
      <c r="O3504" s="29" t="s">
        <v>594</v>
      </c>
    </row>
    <row r="3505" spans="1:15">
      <c r="A3505" s="25" t="s">
        <v>5476</v>
      </c>
      <c r="B3505" s="33" t="s">
        <v>5477</v>
      </c>
      <c r="C3505" s="27" t="s">
        <v>521</v>
      </c>
      <c r="D3505" s="27" t="s">
        <v>668</v>
      </c>
      <c r="E3505" s="28">
        <v>40826</v>
      </c>
      <c r="F3505" s="28" t="s">
        <v>35</v>
      </c>
      <c r="G3505" s="28" t="s">
        <v>35</v>
      </c>
      <c r="H3505" s="31" t="s">
        <v>534</v>
      </c>
      <c r="I3505" s="31" t="s">
        <v>5428</v>
      </c>
      <c r="J3505" s="29" t="s">
        <v>5474</v>
      </c>
      <c r="K3505" s="29" t="s">
        <v>5469</v>
      </c>
      <c r="L3505" s="29" t="s">
        <v>5475</v>
      </c>
      <c r="M3505" s="29" t="s">
        <v>5461</v>
      </c>
      <c r="N3505" s="29" t="s">
        <v>1045</v>
      </c>
      <c r="O3505" s="29" t="s">
        <v>590</v>
      </c>
    </row>
    <row r="3506" spans="1:15">
      <c r="A3506" s="25">
        <v>1133</v>
      </c>
      <c r="B3506" s="26" t="s">
        <v>451</v>
      </c>
      <c r="C3506" s="27" t="s">
        <v>521</v>
      </c>
      <c r="D3506" s="27" t="s">
        <v>1247</v>
      </c>
      <c r="E3506" s="28">
        <v>37900</v>
      </c>
      <c r="F3506" s="28" t="s">
        <v>35</v>
      </c>
      <c r="G3506" s="28" t="s">
        <v>35</v>
      </c>
      <c r="H3506" s="29" t="s">
        <v>534</v>
      </c>
      <c r="I3506" s="29" t="s">
        <v>5428</v>
      </c>
      <c r="J3506" s="29" t="s">
        <v>2304</v>
      </c>
      <c r="K3506" s="29" t="s">
        <v>5478</v>
      </c>
      <c r="L3506" s="29" t="s">
        <v>2306</v>
      </c>
      <c r="M3506" s="29" t="s">
        <v>5479</v>
      </c>
      <c r="N3506" s="29" t="s">
        <v>4605</v>
      </c>
      <c r="O3506" s="29" t="s">
        <v>594</v>
      </c>
    </row>
    <row r="3507" spans="1:15">
      <c r="A3507" s="25">
        <v>9994</v>
      </c>
      <c r="B3507" s="34" t="s">
        <v>5480</v>
      </c>
      <c r="C3507" s="31" t="s">
        <v>521</v>
      </c>
      <c r="D3507" s="31" t="s">
        <v>762</v>
      </c>
      <c r="E3507" s="28">
        <v>40438</v>
      </c>
      <c r="F3507" s="28" t="s">
        <v>35</v>
      </c>
      <c r="G3507" s="28" t="s">
        <v>35</v>
      </c>
      <c r="H3507" s="31" t="s">
        <v>534</v>
      </c>
      <c r="I3507" s="31" t="s">
        <v>5428</v>
      </c>
      <c r="J3507" s="29" t="s">
        <v>2304</v>
      </c>
      <c r="K3507" s="29" t="s">
        <v>5478</v>
      </c>
      <c r="L3507" s="29" t="s">
        <v>2306</v>
      </c>
      <c r="M3507" s="29" t="s">
        <v>4604</v>
      </c>
      <c r="N3507" s="29" t="s">
        <v>4605</v>
      </c>
      <c r="O3507" s="29" t="s">
        <v>594</v>
      </c>
    </row>
    <row r="3508" spans="1:15">
      <c r="A3508" s="25">
        <v>10128</v>
      </c>
      <c r="B3508" s="26" t="s">
        <v>496</v>
      </c>
      <c r="C3508" s="27" t="s">
        <v>521</v>
      </c>
      <c r="D3508" s="27" t="s">
        <v>601</v>
      </c>
      <c r="E3508" s="28">
        <v>40444</v>
      </c>
      <c r="F3508" s="28" t="s">
        <v>35</v>
      </c>
      <c r="G3508" s="28" t="s">
        <v>35</v>
      </c>
      <c r="H3508" s="27" t="s">
        <v>534</v>
      </c>
      <c r="I3508" s="27" t="s">
        <v>5428</v>
      </c>
      <c r="J3508" s="29" t="s">
        <v>2304</v>
      </c>
      <c r="K3508" s="29" t="s">
        <v>5478</v>
      </c>
      <c r="L3508" s="29" t="s">
        <v>2306</v>
      </c>
      <c r="M3508" s="29" t="s">
        <v>4604</v>
      </c>
      <c r="N3508" s="29" t="s">
        <v>4605</v>
      </c>
      <c r="O3508" s="29" t="s">
        <v>594</v>
      </c>
    </row>
    <row r="3509" spans="1:15">
      <c r="A3509" s="25">
        <v>10602</v>
      </c>
      <c r="B3509" s="26" t="s">
        <v>5481</v>
      </c>
      <c r="C3509" s="27" t="s">
        <v>521</v>
      </c>
      <c r="D3509" s="27" t="s">
        <v>602</v>
      </c>
      <c r="E3509" s="28">
        <v>40544</v>
      </c>
      <c r="F3509" s="28" t="s">
        <v>35</v>
      </c>
      <c r="G3509" s="28" t="s">
        <v>35</v>
      </c>
      <c r="H3509" s="27" t="s">
        <v>534</v>
      </c>
      <c r="I3509" s="27" t="s">
        <v>5428</v>
      </c>
      <c r="J3509" s="29" t="s">
        <v>2304</v>
      </c>
      <c r="K3509" s="29" t="s">
        <v>5478</v>
      </c>
      <c r="L3509" s="29" t="s">
        <v>2306</v>
      </c>
      <c r="M3509" s="29" t="s">
        <v>5482</v>
      </c>
      <c r="N3509" s="29" t="s">
        <v>5483</v>
      </c>
      <c r="O3509" s="29" t="s">
        <v>594</v>
      </c>
    </row>
    <row r="3510" spans="1:15">
      <c r="A3510" s="25">
        <v>303</v>
      </c>
      <c r="B3510" s="33" t="s">
        <v>208</v>
      </c>
      <c r="C3510" s="27" t="s">
        <v>521</v>
      </c>
      <c r="D3510" s="27" t="s">
        <v>812</v>
      </c>
      <c r="E3510" s="28">
        <v>37718</v>
      </c>
      <c r="F3510" s="28" t="s">
        <v>35</v>
      </c>
      <c r="G3510" s="28" t="s">
        <v>35</v>
      </c>
      <c r="H3510" s="27" t="s">
        <v>534</v>
      </c>
      <c r="I3510" s="27" t="s">
        <v>5428</v>
      </c>
      <c r="J3510" s="29" t="s">
        <v>1508</v>
      </c>
      <c r="K3510" s="29" t="s">
        <v>1508</v>
      </c>
      <c r="L3510" s="29" t="s">
        <v>2424</v>
      </c>
      <c r="M3510" s="29" t="s">
        <v>4604</v>
      </c>
      <c r="N3510" s="29" t="s">
        <v>4605</v>
      </c>
      <c r="O3510" s="29" t="s">
        <v>594</v>
      </c>
    </row>
    <row r="3511" spans="1:15">
      <c r="A3511" s="25">
        <v>9937</v>
      </c>
      <c r="B3511" s="33" t="s">
        <v>86</v>
      </c>
      <c r="C3511" s="27" t="s">
        <v>521</v>
      </c>
      <c r="D3511" s="27" t="s">
        <v>803</v>
      </c>
      <c r="E3511" s="28">
        <v>40431</v>
      </c>
      <c r="F3511" s="28" t="s">
        <v>35</v>
      </c>
      <c r="G3511" s="28" t="s">
        <v>35</v>
      </c>
      <c r="H3511" s="27" t="s">
        <v>534</v>
      </c>
      <c r="I3511" s="27" t="s">
        <v>5428</v>
      </c>
      <c r="J3511" s="29" t="s">
        <v>1508</v>
      </c>
      <c r="K3511" s="29" t="s">
        <v>1508</v>
      </c>
      <c r="L3511" s="29" t="s">
        <v>2424</v>
      </c>
      <c r="M3511" s="29" t="s">
        <v>4604</v>
      </c>
      <c r="N3511" s="29" t="s">
        <v>4605</v>
      </c>
      <c r="O3511" s="29" t="s">
        <v>594</v>
      </c>
    </row>
    <row r="3512" spans="1:15">
      <c r="A3512" s="25">
        <v>5275</v>
      </c>
      <c r="B3512" s="26" t="s">
        <v>5484</v>
      </c>
      <c r="C3512" s="27" t="s">
        <v>521</v>
      </c>
      <c r="D3512" s="27" t="s">
        <v>1130</v>
      </c>
      <c r="E3512" s="28">
        <v>38961</v>
      </c>
      <c r="F3512" s="28" t="s">
        <v>35</v>
      </c>
      <c r="G3512" s="28" t="s">
        <v>35</v>
      </c>
      <c r="H3512" s="27" t="s">
        <v>534</v>
      </c>
      <c r="I3512" s="27" t="s">
        <v>5428</v>
      </c>
      <c r="J3512" s="29" t="s">
        <v>1508</v>
      </c>
      <c r="K3512" s="29" t="s">
        <v>1508</v>
      </c>
      <c r="L3512" s="29" t="s">
        <v>2424</v>
      </c>
      <c r="M3512" s="29" t="s">
        <v>5482</v>
      </c>
      <c r="N3512" s="29" t="s">
        <v>5483</v>
      </c>
      <c r="O3512" s="29" t="s">
        <v>590</v>
      </c>
    </row>
    <row r="3513" spans="1:15">
      <c r="A3513" s="25">
        <v>5775</v>
      </c>
      <c r="B3513" s="26" t="s">
        <v>5485</v>
      </c>
      <c r="C3513" s="27" t="s">
        <v>521</v>
      </c>
      <c r="D3513" s="27" t="s">
        <v>794</v>
      </c>
      <c r="E3513" s="28">
        <v>39114</v>
      </c>
      <c r="F3513" s="28" t="s">
        <v>35</v>
      </c>
      <c r="G3513" s="28" t="s">
        <v>35</v>
      </c>
      <c r="H3513" s="29" t="s">
        <v>534</v>
      </c>
      <c r="I3513" s="29" t="s">
        <v>5428</v>
      </c>
      <c r="J3513" s="29" t="s">
        <v>1508</v>
      </c>
      <c r="K3513" s="29" t="s">
        <v>1508</v>
      </c>
      <c r="L3513" s="29" t="s">
        <v>2424</v>
      </c>
      <c r="M3513" s="29" t="s">
        <v>4604</v>
      </c>
      <c r="N3513" s="29" t="s">
        <v>4605</v>
      </c>
      <c r="O3513" s="29" t="s">
        <v>590</v>
      </c>
    </row>
    <row r="3514" spans="1:15">
      <c r="A3514" s="25">
        <v>9436</v>
      </c>
      <c r="B3514" s="84" t="s">
        <v>103</v>
      </c>
      <c r="C3514" s="85" t="s">
        <v>521</v>
      </c>
      <c r="D3514" s="27" t="s">
        <v>658</v>
      </c>
      <c r="E3514" s="28">
        <v>40148</v>
      </c>
      <c r="F3514" s="28" t="s">
        <v>35</v>
      </c>
      <c r="G3514" s="28" t="s">
        <v>35</v>
      </c>
      <c r="H3514" s="27" t="s">
        <v>534</v>
      </c>
      <c r="I3514" s="27" t="s">
        <v>5428</v>
      </c>
      <c r="J3514" s="29" t="s">
        <v>1508</v>
      </c>
      <c r="K3514" s="29" t="s">
        <v>1508</v>
      </c>
      <c r="L3514" s="29" t="s">
        <v>2424</v>
      </c>
      <c r="M3514" s="29" t="s">
        <v>4604</v>
      </c>
      <c r="N3514" s="29" t="s">
        <v>4605</v>
      </c>
      <c r="O3514" s="29" t="s">
        <v>590</v>
      </c>
    </row>
    <row r="3515" spans="1:15">
      <c r="A3515" s="25">
        <v>1154</v>
      </c>
      <c r="B3515" s="33" t="s">
        <v>5486</v>
      </c>
      <c r="C3515" s="27" t="s">
        <v>521</v>
      </c>
      <c r="D3515" s="27" t="s">
        <v>1247</v>
      </c>
      <c r="E3515" s="28">
        <v>37900</v>
      </c>
      <c r="F3515" s="28" t="s">
        <v>35</v>
      </c>
      <c r="G3515" s="28" t="s">
        <v>35</v>
      </c>
      <c r="H3515" s="27" t="s">
        <v>534</v>
      </c>
      <c r="I3515" s="27" t="s">
        <v>5428</v>
      </c>
      <c r="J3515" s="29" t="s">
        <v>5487</v>
      </c>
      <c r="K3515" s="29" t="s">
        <v>5487</v>
      </c>
      <c r="L3515" s="29" t="s">
        <v>5488</v>
      </c>
      <c r="M3515" s="29" t="s">
        <v>5461</v>
      </c>
      <c r="N3515" s="29" t="s">
        <v>1045</v>
      </c>
      <c r="O3515" s="29" t="s">
        <v>594</v>
      </c>
    </row>
    <row r="3516" spans="1:15">
      <c r="A3516" s="25">
        <v>319</v>
      </c>
      <c r="B3516" s="26" t="s">
        <v>5489</v>
      </c>
      <c r="C3516" s="27" t="s">
        <v>521</v>
      </c>
      <c r="D3516" s="27" t="s">
        <v>705</v>
      </c>
      <c r="E3516" s="28">
        <v>37725</v>
      </c>
      <c r="F3516" s="28" t="s">
        <v>35</v>
      </c>
      <c r="G3516" s="28" t="s">
        <v>35</v>
      </c>
      <c r="H3516" s="29" t="s">
        <v>534</v>
      </c>
      <c r="I3516" s="29" t="s">
        <v>5428</v>
      </c>
      <c r="J3516" s="29" t="s">
        <v>5487</v>
      </c>
      <c r="K3516" s="29" t="s">
        <v>5487</v>
      </c>
      <c r="L3516" s="29" t="s">
        <v>5488</v>
      </c>
      <c r="M3516" s="29" t="s">
        <v>5461</v>
      </c>
      <c r="N3516" s="29" t="s">
        <v>1045</v>
      </c>
      <c r="O3516" s="29" t="s">
        <v>528</v>
      </c>
    </row>
    <row r="3517" spans="1:15">
      <c r="A3517" s="25">
        <v>725</v>
      </c>
      <c r="B3517" s="26" t="s">
        <v>5490</v>
      </c>
      <c r="C3517" s="27" t="s">
        <v>521</v>
      </c>
      <c r="D3517" s="27" t="s">
        <v>2713</v>
      </c>
      <c r="E3517" s="28">
        <v>37816</v>
      </c>
      <c r="F3517" s="28" t="s">
        <v>35</v>
      </c>
      <c r="G3517" s="28" t="s">
        <v>35</v>
      </c>
      <c r="H3517" s="27" t="s">
        <v>534</v>
      </c>
      <c r="I3517" s="27" t="s">
        <v>5428</v>
      </c>
      <c r="J3517" s="29" t="s">
        <v>5487</v>
      </c>
      <c r="K3517" s="29" t="s">
        <v>5487</v>
      </c>
      <c r="L3517" s="29" t="s">
        <v>5488</v>
      </c>
      <c r="M3517" s="29" t="s">
        <v>5461</v>
      </c>
      <c r="N3517" s="29" t="s">
        <v>1045</v>
      </c>
      <c r="O3517" s="29" t="s">
        <v>590</v>
      </c>
    </row>
    <row r="3518" spans="1:15">
      <c r="A3518" s="25">
        <v>1265</v>
      </c>
      <c r="B3518" s="84" t="s">
        <v>5491</v>
      </c>
      <c r="C3518" s="85" t="s">
        <v>521</v>
      </c>
      <c r="D3518" s="27" t="s">
        <v>1458</v>
      </c>
      <c r="E3518" s="28">
        <v>37921</v>
      </c>
      <c r="F3518" s="28" t="s">
        <v>35</v>
      </c>
      <c r="G3518" s="28" t="s">
        <v>35</v>
      </c>
      <c r="H3518" s="27" t="s">
        <v>534</v>
      </c>
      <c r="I3518" s="27" t="s">
        <v>5428</v>
      </c>
      <c r="J3518" s="29" t="s">
        <v>1508</v>
      </c>
      <c r="K3518" s="29" t="s">
        <v>1508</v>
      </c>
      <c r="L3518" s="29" t="s">
        <v>2514</v>
      </c>
      <c r="M3518" s="29" t="s">
        <v>4604</v>
      </c>
      <c r="N3518" s="29" t="s">
        <v>4605</v>
      </c>
      <c r="O3518" s="29" t="s">
        <v>594</v>
      </c>
    </row>
    <row r="3519" spans="1:15">
      <c r="A3519" s="25">
        <v>9230</v>
      </c>
      <c r="B3519" s="26" t="s">
        <v>5492</v>
      </c>
      <c r="C3519" s="27" t="s">
        <v>521</v>
      </c>
      <c r="D3519" s="27" t="s">
        <v>658</v>
      </c>
      <c r="E3519" s="28">
        <v>40008</v>
      </c>
      <c r="F3519" s="28" t="s">
        <v>35</v>
      </c>
      <c r="G3519" s="28" t="s">
        <v>35</v>
      </c>
      <c r="H3519" s="27" t="s">
        <v>534</v>
      </c>
      <c r="I3519" s="27" t="s">
        <v>5428</v>
      </c>
      <c r="J3519" s="29" t="s">
        <v>1508</v>
      </c>
      <c r="K3519" s="29" t="s">
        <v>1508</v>
      </c>
      <c r="L3519" s="29" t="s">
        <v>2514</v>
      </c>
      <c r="M3519" s="29" t="s">
        <v>5482</v>
      </c>
      <c r="N3519" s="29" t="s">
        <v>5483</v>
      </c>
      <c r="O3519" s="29" t="s">
        <v>594</v>
      </c>
    </row>
    <row r="3520" spans="1:15">
      <c r="A3520" s="25">
        <v>11711</v>
      </c>
      <c r="B3520" s="32" t="s">
        <v>439</v>
      </c>
      <c r="C3520" s="27" t="s">
        <v>521</v>
      </c>
      <c r="D3520" s="27" t="s">
        <v>675</v>
      </c>
      <c r="E3520" s="28">
        <v>40714</v>
      </c>
      <c r="F3520" s="28" t="s">
        <v>35</v>
      </c>
      <c r="G3520" s="28" t="s">
        <v>35</v>
      </c>
      <c r="H3520" s="27" t="s">
        <v>534</v>
      </c>
      <c r="I3520" s="31" t="s">
        <v>5428</v>
      </c>
      <c r="J3520" s="29" t="s">
        <v>1508</v>
      </c>
      <c r="K3520" s="29" t="s">
        <v>1508</v>
      </c>
      <c r="L3520" s="29" t="s">
        <v>2514</v>
      </c>
      <c r="M3520" s="29" t="s">
        <v>4604</v>
      </c>
      <c r="N3520" s="29" t="s">
        <v>4605</v>
      </c>
      <c r="O3520" s="29" t="s">
        <v>590</v>
      </c>
    </row>
    <row r="3521" spans="1:15">
      <c r="A3521" s="25">
        <v>10858</v>
      </c>
      <c r="B3521" s="26" t="s">
        <v>4227</v>
      </c>
      <c r="C3521" s="27" t="s">
        <v>521</v>
      </c>
      <c r="D3521" s="27" t="s">
        <v>795</v>
      </c>
      <c r="E3521" s="28">
        <v>40572</v>
      </c>
      <c r="F3521" s="28" t="s">
        <v>35</v>
      </c>
      <c r="G3521" s="28" t="s">
        <v>35</v>
      </c>
      <c r="H3521" s="27" t="s">
        <v>534</v>
      </c>
      <c r="I3521" s="27" t="s">
        <v>5428</v>
      </c>
      <c r="J3521" s="27" t="s">
        <v>2646</v>
      </c>
      <c r="K3521" s="29" t="s">
        <v>2647</v>
      </c>
      <c r="L3521" s="29" t="s">
        <v>2648</v>
      </c>
      <c r="M3521" s="29" t="s">
        <v>4604</v>
      </c>
      <c r="N3521" s="29" t="s">
        <v>4605</v>
      </c>
      <c r="O3521" s="29" t="s">
        <v>594</v>
      </c>
    </row>
    <row r="3522" spans="1:15">
      <c r="A3522" s="25">
        <v>11739</v>
      </c>
      <c r="B3522" s="32" t="s">
        <v>5493</v>
      </c>
      <c r="C3522" s="27" t="s">
        <v>521</v>
      </c>
      <c r="D3522" s="27" t="s">
        <v>675</v>
      </c>
      <c r="E3522" s="28">
        <v>40714</v>
      </c>
      <c r="F3522" s="28" t="s">
        <v>35</v>
      </c>
      <c r="G3522" s="28" t="s">
        <v>35</v>
      </c>
      <c r="H3522" s="27" t="s">
        <v>534</v>
      </c>
      <c r="I3522" s="31" t="s">
        <v>5428</v>
      </c>
      <c r="J3522" s="27" t="s">
        <v>2646</v>
      </c>
      <c r="K3522" s="29" t="s">
        <v>2647</v>
      </c>
      <c r="L3522" s="29" t="s">
        <v>2648</v>
      </c>
      <c r="M3522" s="29" t="s">
        <v>5451</v>
      </c>
      <c r="N3522" s="29" t="s">
        <v>5451</v>
      </c>
      <c r="O3522" s="29" t="s">
        <v>594</v>
      </c>
    </row>
    <row r="3523" spans="1:15">
      <c r="A3523" s="25">
        <v>12603</v>
      </c>
      <c r="B3523" s="84" t="s">
        <v>5494</v>
      </c>
      <c r="C3523" s="85" t="s">
        <v>521</v>
      </c>
      <c r="D3523" s="27" t="s">
        <v>858</v>
      </c>
      <c r="E3523" s="28">
        <v>40816</v>
      </c>
      <c r="F3523" s="28" t="s">
        <v>35</v>
      </c>
      <c r="G3523" s="28" t="s">
        <v>35</v>
      </c>
      <c r="H3523" s="27" t="s">
        <v>534</v>
      </c>
      <c r="I3523" s="27" t="s">
        <v>5428</v>
      </c>
      <c r="J3523" s="27" t="s">
        <v>2646</v>
      </c>
      <c r="K3523" s="29" t="s">
        <v>2647</v>
      </c>
      <c r="L3523" s="29" t="s">
        <v>2648</v>
      </c>
      <c r="M3523" s="29" t="s">
        <v>4604</v>
      </c>
      <c r="N3523" s="29" t="s">
        <v>4605</v>
      </c>
      <c r="O3523" s="29" t="s">
        <v>594</v>
      </c>
    </row>
    <row r="3524" spans="1:15">
      <c r="A3524" s="25">
        <v>22365</v>
      </c>
      <c r="B3524" s="34" t="s">
        <v>5495</v>
      </c>
      <c r="C3524" s="31" t="s">
        <v>521</v>
      </c>
      <c r="D3524" s="31" t="s">
        <v>805</v>
      </c>
      <c r="E3524" s="28">
        <v>43213</v>
      </c>
      <c r="F3524" s="28">
        <v>43243</v>
      </c>
      <c r="G3524" s="28">
        <v>43616</v>
      </c>
      <c r="H3524" s="29" t="s">
        <v>534</v>
      </c>
      <c r="I3524" s="29" t="s">
        <v>5428</v>
      </c>
      <c r="J3524" s="29" t="s">
        <v>2304</v>
      </c>
      <c r="K3524" s="29" t="s">
        <v>2647</v>
      </c>
      <c r="L3524" s="29" t="s">
        <v>2648</v>
      </c>
      <c r="M3524" s="29" t="s">
        <v>5496</v>
      </c>
      <c r="N3524" s="29" t="s">
        <v>5451</v>
      </c>
      <c r="O3524" s="29" t="s">
        <v>594</v>
      </c>
    </row>
    <row r="3525" spans="1:15">
      <c r="A3525" s="25">
        <v>581</v>
      </c>
      <c r="B3525" s="34" t="s">
        <v>5497</v>
      </c>
      <c r="C3525" s="31" t="s">
        <v>521</v>
      </c>
      <c r="D3525" s="31" t="s">
        <v>589</v>
      </c>
      <c r="E3525" s="28">
        <v>37774</v>
      </c>
      <c r="F3525" s="28" t="s">
        <v>35</v>
      </c>
      <c r="G3525" s="28" t="s">
        <v>35</v>
      </c>
      <c r="H3525" s="31" t="s">
        <v>534</v>
      </c>
      <c r="I3525" s="31" t="s">
        <v>5428</v>
      </c>
      <c r="J3525" s="29" t="s">
        <v>2646</v>
      </c>
      <c r="K3525" s="29" t="s">
        <v>2647</v>
      </c>
      <c r="L3525" s="29" t="s">
        <v>2648</v>
      </c>
      <c r="M3525" s="29" t="s">
        <v>5482</v>
      </c>
      <c r="N3525" s="29" t="s">
        <v>5483</v>
      </c>
      <c r="O3525" s="29" t="s">
        <v>590</v>
      </c>
    </row>
    <row r="3526" spans="1:15">
      <c r="A3526" s="25">
        <v>5706</v>
      </c>
      <c r="B3526" s="84" t="s">
        <v>176</v>
      </c>
      <c r="C3526" s="85" t="s">
        <v>521</v>
      </c>
      <c r="D3526" s="27" t="s">
        <v>790</v>
      </c>
      <c r="E3526" s="28">
        <v>39098</v>
      </c>
      <c r="F3526" s="28" t="s">
        <v>35</v>
      </c>
      <c r="G3526" s="28" t="s">
        <v>35</v>
      </c>
      <c r="H3526" s="27" t="s">
        <v>534</v>
      </c>
      <c r="I3526" s="27" t="s">
        <v>5428</v>
      </c>
      <c r="J3526" s="29" t="s">
        <v>2646</v>
      </c>
      <c r="K3526" s="29" t="s">
        <v>2647</v>
      </c>
      <c r="L3526" s="29" t="s">
        <v>2648</v>
      </c>
      <c r="M3526" s="29" t="s">
        <v>4604</v>
      </c>
      <c r="N3526" s="29" t="s">
        <v>4605</v>
      </c>
      <c r="O3526" s="29" t="s">
        <v>590</v>
      </c>
    </row>
    <row r="3527" spans="1:15">
      <c r="A3527" s="25">
        <v>19287</v>
      </c>
      <c r="B3527" s="33" t="s">
        <v>5498</v>
      </c>
      <c r="C3527" s="27" t="s">
        <v>521</v>
      </c>
      <c r="D3527" s="27" t="s">
        <v>2226</v>
      </c>
      <c r="E3527" s="28">
        <v>42282</v>
      </c>
      <c r="F3527" s="28" t="s">
        <v>35</v>
      </c>
      <c r="G3527" s="28" t="s">
        <v>35</v>
      </c>
      <c r="H3527" s="25" t="s">
        <v>534</v>
      </c>
      <c r="I3527" s="25" t="s">
        <v>5428</v>
      </c>
      <c r="J3527" s="29" t="s">
        <v>2646</v>
      </c>
      <c r="K3527" s="29" t="s">
        <v>2647</v>
      </c>
      <c r="L3527" s="29" t="s">
        <v>2648</v>
      </c>
      <c r="M3527" s="29" t="s">
        <v>5451</v>
      </c>
      <c r="N3527" s="29" t="s">
        <v>5451</v>
      </c>
      <c r="O3527" s="29" t="s">
        <v>590</v>
      </c>
    </row>
    <row r="3528" spans="1:15">
      <c r="A3528" s="25">
        <v>22909</v>
      </c>
      <c r="B3528" s="34" t="s">
        <v>5499</v>
      </c>
      <c r="C3528" s="31" t="s">
        <v>521</v>
      </c>
      <c r="D3528" s="31" t="s">
        <v>1962</v>
      </c>
      <c r="E3528" s="28">
        <v>43343</v>
      </c>
      <c r="F3528" s="28">
        <v>43374</v>
      </c>
      <c r="G3528" s="28">
        <v>43738</v>
      </c>
      <c r="H3528" s="29" t="s">
        <v>534</v>
      </c>
      <c r="I3528" s="29" t="s">
        <v>5428</v>
      </c>
      <c r="J3528" s="29" t="s">
        <v>2304</v>
      </c>
      <c r="K3528" s="29" t="s">
        <v>2647</v>
      </c>
      <c r="L3528" s="29" t="s">
        <v>2648</v>
      </c>
      <c r="M3528" s="29" t="s">
        <v>5496</v>
      </c>
      <c r="N3528" s="29" t="s">
        <v>5451</v>
      </c>
      <c r="O3528" s="29" t="s">
        <v>590</v>
      </c>
    </row>
    <row r="3529" spans="1:15">
      <c r="A3529" s="25">
        <v>356</v>
      </c>
      <c r="B3529" s="26" t="s">
        <v>5500</v>
      </c>
      <c r="C3529" s="27" t="s">
        <v>521</v>
      </c>
      <c r="D3529" s="27" t="s">
        <v>703</v>
      </c>
      <c r="E3529" s="28">
        <v>37732</v>
      </c>
      <c r="F3529" s="28" t="s">
        <v>35</v>
      </c>
      <c r="G3529" s="28" t="s">
        <v>35</v>
      </c>
      <c r="H3529" s="31" t="s">
        <v>534</v>
      </c>
      <c r="I3529" s="31" t="s">
        <v>5428</v>
      </c>
      <c r="J3529" s="29" t="s">
        <v>5501</v>
      </c>
      <c r="K3529" s="29" t="s">
        <v>2765</v>
      </c>
      <c r="L3529" s="29" t="s">
        <v>2766</v>
      </c>
      <c r="M3529" s="29" t="s">
        <v>5482</v>
      </c>
      <c r="N3529" s="29" t="s">
        <v>5483</v>
      </c>
      <c r="O3529" s="29" t="s">
        <v>594</v>
      </c>
    </row>
    <row r="3530" spans="1:15">
      <c r="A3530" s="25">
        <v>6088</v>
      </c>
      <c r="B3530" s="26" t="s">
        <v>156</v>
      </c>
      <c r="C3530" s="27" t="s">
        <v>521</v>
      </c>
      <c r="D3530" s="27" t="s">
        <v>591</v>
      </c>
      <c r="E3530" s="28">
        <v>39142</v>
      </c>
      <c r="F3530" s="28" t="s">
        <v>35</v>
      </c>
      <c r="G3530" s="28" t="s">
        <v>35</v>
      </c>
      <c r="H3530" s="27" t="s">
        <v>534</v>
      </c>
      <c r="I3530" s="31" t="s">
        <v>5428</v>
      </c>
      <c r="J3530" s="29" t="s">
        <v>2270</v>
      </c>
      <c r="K3530" s="29" t="s">
        <v>2765</v>
      </c>
      <c r="L3530" s="29" t="s">
        <v>2766</v>
      </c>
      <c r="M3530" s="29" t="s">
        <v>4604</v>
      </c>
      <c r="N3530" s="29" t="s">
        <v>4605</v>
      </c>
      <c r="O3530" s="29" t="s">
        <v>594</v>
      </c>
    </row>
    <row r="3531" spans="1:15">
      <c r="A3531" s="25">
        <v>10232</v>
      </c>
      <c r="B3531" s="26" t="s">
        <v>5502</v>
      </c>
      <c r="C3531" s="27" t="s">
        <v>521</v>
      </c>
      <c r="D3531" s="27" t="s">
        <v>736</v>
      </c>
      <c r="E3531" s="28">
        <v>40489</v>
      </c>
      <c r="F3531" s="28" t="s">
        <v>35</v>
      </c>
      <c r="G3531" s="28" t="s">
        <v>35</v>
      </c>
      <c r="H3531" s="27" t="s">
        <v>534</v>
      </c>
      <c r="I3531" s="27" t="s">
        <v>5428</v>
      </c>
      <c r="J3531" s="29" t="s">
        <v>2270</v>
      </c>
      <c r="K3531" s="29" t="s">
        <v>2765</v>
      </c>
      <c r="L3531" s="29" t="s">
        <v>2766</v>
      </c>
      <c r="M3531" s="29" t="s">
        <v>4604</v>
      </c>
      <c r="N3531" s="29" t="s">
        <v>4605</v>
      </c>
      <c r="O3531" s="29" t="s">
        <v>594</v>
      </c>
    </row>
    <row r="3532" spans="1:15">
      <c r="A3532" s="25">
        <v>11838</v>
      </c>
      <c r="B3532" s="26" t="s">
        <v>5503</v>
      </c>
      <c r="C3532" s="27" t="s">
        <v>521</v>
      </c>
      <c r="D3532" s="27" t="s">
        <v>799</v>
      </c>
      <c r="E3532" s="28">
        <v>40721</v>
      </c>
      <c r="F3532" s="28" t="s">
        <v>35</v>
      </c>
      <c r="G3532" s="28" t="s">
        <v>35</v>
      </c>
      <c r="H3532" s="31" t="s">
        <v>534</v>
      </c>
      <c r="I3532" s="31" t="s">
        <v>5428</v>
      </c>
      <c r="J3532" s="29" t="s">
        <v>2270</v>
      </c>
      <c r="K3532" s="29" t="s">
        <v>2765</v>
      </c>
      <c r="L3532" s="29" t="s">
        <v>2766</v>
      </c>
      <c r="M3532" s="29" t="s">
        <v>5479</v>
      </c>
      <c r="N3532" s="29" t="s">
        <v>4605</v>
      </c>
      <c r="O3532" s="29" t="s">
        <v>594</v>
      </c>
    </row>
    <row r="3533" spans="1:15">
      <c r="A3533" s="25">
        <v>21210</v>
      </c>
      <c r="B3533" s="26" t="s">
        <v>5504</v>
      </c>
      <c r="C3533" s="27" t="s">
        <v>521</v>
      </c>
      <c r="D3533" s="27" t="s">
        <v>2480</v>
      </c>
      <c r="E3533" s="28">
        <v>42877</v>
      </c>
      <c r="F3533" s="28">
        <v>43374</v>
      </c>
      <c r="G3533" s="28">
        <v>43738</v>
      </c>
      <c r="H3533" s="29" t="s">
        <v>534</v>
      </c>
      <c r="I3533" s="29" t="s">
        <v>5428</v>
      </c>
      <c r="J3533" s="29" t="s">
        <v>2270</v>
      </c>
      <c r="K3533" s="29" t="s">
        <v>2765</v>
      </c>
      <c r="L3533" s="29" t="s">
        <v>2766</v>
      </c>
      <c r="M3533" s="29" t="s">
        <v>4604</v>
      </c>
      <c r="N3533" s="29" t="s">
        <v>4605</v>
      </c>
      <c r="O3533" s="29" t="s">
        <v>590</v>
      </c>
    </row>
    <row r="3534" spans="1:15">
      <c r="A3534" s="25">
        <v>21342</v>
      </c>
      <c r="B3534" s="34" t="s">
        <v>5505</v>
      </c>
      <c r="C3534" s="31" t="s">
        <v>521</v>
      </c>
      <c r="D3534" s="31" t="s">
        <v>2162</v>
      </c>
      <c r="E3534" s="28">
        <v>43013</v>
      </c>
      <c r="F3534" s="28">
        <v>43405</v>
      </c>
      <c r="G3534" s="28">
        <v>43769</v>
      </c>
      <c r="H3534" s="29" t="s">
        <v>534</v>
      </c>
      <c r="I3534" s="29" t="s">
        <v>5428</v>
      </c>
      <c r="J3534" s="29" t="s">
        <v>2270</v>
      </c>
      <c r="K3534" s="29" t="s">
        <v>2765</v>
      </c>
      <c r="L3534" s="29" t="s">
        <v>2766</v>
      </c>
      <c r="M3534" s="29" t="s">
        <v>4604</v>
      </c>
      <c r="N3534" s="29" t="s">
        <v>4605</v>
      </c>
      <c r="O3534" s="29" t="s">
        <v>590</v>
      </c>
    </row>
    <row r="3535" spans="1:15">
      <c r="A3535" s="25">
        <v>23038</v>
      </c>
      <c r="B3535" s="34" t="s">
        <v>5506</v>
      </c>
      <c r="C3535" s="31" t="s">
        <v>521</v>
      </c>
      <c r="D3535" s="31" t="s">
        <v>1872</v>
      </c>
      <c r="E3535" s="28">
        <v>43361</v>
      </c>
      <c r="F3535" s="28">
        <v>43391</v>
      </c>
      <c r="G3535" s="28">
        <v>43769</v>
      </c>
      <c r="H3535" s="29" t="s">
        <v>534</v>
      </c>
      <c r="I3535" s="29" t="s">
        <v>5428</v>
      </c>
      <c r="J3535" s="29" t="s">
        <v>2270</v>
      </c>
      <c r="K3535" s="29" t="s">
        <v>2765</v>
      </c>
      <c r="L3535" s="29" t="s">
        <v>2766</v>
      </c>
      <c r="M3535" s="29" t="s">
        <v>5479</v>
      </c>
      <c r="N3535" s="29" t="s">
        <v>4605</v>
      </c>
      <c r="O3535" s="29" t="s">
        <v>590</v>
      </c>
    </row>
    <row r="3536" spans="1:15">
      <c r="A3536" s="25">
        <v>916</v>
      </c>
      <c r="B3536" s="84" t="s">
        <v>5507</v>
      </c>
      <c r="C3536" s="85" t="s">
        <v>521</v>
      </c>
      <c r="D3536" s="27" t="s">
        <v>754</v>
      </c>
      <c r="E3536" s="28">
        <v>37858</v>
      </c>
      <c r="F3536" s="28" t="s">
        <v>35</v>
      </c>
      <c r="G3536" s="28" t="s">
        <v>35</v>
      </c>
      <c r="H3536" s="27" t="s">
        <v>534</v>
      </c>
      <c r="I3536" s="27" t="s">
        <v>5428</v>
      </c>
      <c r="J3536" s="29" t="s">
        <v>5508</v>
      </c>
      <c r="K3536" s="29" t="s">
        <v>5469</v>
      </c>
      <c r="L3536" s="29" t="s">
        <v>5509</v>
      </c>
      <c r="M3536" s="29" t="s">
        <v>5461</v>
      </c>
      <c r="N3536" s="29" t="s">
        <v>1045</v>
      </c>
      <c r="O3536" s="29" t="s">
        <v>594</v>
      </c>
    </row>
    <row r="3537" spans="1:15">
      <c r="A3537" s="25">
        <v>220</v>
      </c>
      <c r="B3537" s="26" t="s">
        <v>5510</v>
      </c>
      <c r="C3537" s="27" t="s">
        <v>521</v>
      </c>
      <c r="D3537" s="27" t="s">
        <v>679</v>
      </c>
      <c r="E3537" s="28">
        <v>37697</v>
      </c>
      <c r="F3537" s="28" t="s">
        <v>35</v>
      </c>
      <c r="G3537" s="28" t="s">
        <v>35</v>
      </c>
      <c r="H3537" s="27" t="s">
        <v>534</v>
      </c>
      <c r="I3537" s="27" t="s">
        <v>5428</v>
      </c>
      <c r="J3537" s="29" t="s">
        <v>5508</v>
      </c>
      <c r="K3537" s="29" t="s">
        <v>5469</v>
      </c>
      <c r="L3537" s="29" t="s">
        <v>5509</v>
      </c>
      <c r="M3537" s="29" t="s">
        <v>5461</v>
      </c>
      <c r="N3537" s="29" t="s">
        <v>1045</v>
      </c>
      <c r="O3537" s="29" t="s">
        <v>590</v>
      </c>
    </row>
    <row r="3538" spans="1:15">
      <c r="A3538" s="25">
        <v>12506</v>
      </c>
      <c r="B3538" s="26" t="s">
        <v>5511</v>
      </c>
      <c r="C3538" s="27" t="s">
        <v>521</v>
      </c>
      <c r="D3538" s="27" t="s">
        <v>722</v>
      </c>
      <c r="E3538" s="28">
        <v>40812</v>
      </c>
      <c r="F3538" s="28" t="s">
        <v>35</v>
      </c>
      <c r="G3538" s="28" t="s">
        <v>35</v>
      </c>
      <c r="H3538" s="27" t="s">
        <v>534</v>
      </c>
      <c r="I3538" s="27" t="s">
        <v>5428</v>
      </c>
      <c r="J3538" s="27" t="s">
        <v>1813</v>
      </c>
      <c r="K3538" s="27" t="s">
        <v>1813</v>
      </c>
      <c r="L3538" s="29" t="s">
        <v>2837</v>
      </c>
      <c r="M3538" s="29" t="s">
        <v>5479</v>
      </c>
      <c r="N3538" s="29" t="s">
        <v>4605</v>
      </c>
      <c r="O3538" s="29" t="s">
        <v>594</v>
      </c>
    </row>
    <row r="3539" spans="1:15">
      <c r="A3539" s="25">
        <v>17334</v>
      </c>
      <c r="B3539" s="33" t="s">
        <v>5512</v>
      </c>
      <c r="C3539" s="27" t="s">
        <v>521</v>
      </c>
      <c r="D3539" s="27" t="s">
        <v>2985</v>
      </c>
      <c r="E3539" s="28">
        <v>41767</v>
      </c>
      <c r="F3539" s="28" t="s">
        <v>35</v>
      </c>
      <c r="G3539" s="28" t="s">
        <v>35</v>
      </c>
      <c r="H3539" s="31" t="s">
        <v>534</v>
      </c>
      <c r="I3539" s="31" t="s">
        <v>5428</v>
      </c>
      <c r="J3539" s="27" t="s">
        <v>1813</v>
      </c>
      <c r="K3539" s="27" t="s">
        <v>1813</v>
      </c>
      <c r="L3539" s="29" t="s">
        <v>2837</v>
      </c>
      <c r="M3539" s="29" t="s">
        <v>2030</v>
      </c>
      <c r="N3539" s="29" t="s">
        <v>2031</v>
      </c>
      <c r="O3539" s="29" t="s">
        <v>594</v>
      </c>
    </row>
    <row r="3540" spans="1:15">
      <c r="A3540" s="25">
        <v>1192</v>
      </c>
      <c r="B3540" s="34" t="s">
        <v>5513</v>
      </c>
      <c r="C3540" s="31" t="s">
        <v>521</v>
      </c>
      <c r="D3540" s="31" t="s">
        <v>1468</v>
      </c>
      <c r="E3540" s="28">
        <v>37907</v>
      </c>
      <c r="F3540" s="28" t="s">
        <v>35</v>
      </c>
      <c r="G3540" s="28" t="s">
        <v>35</v>
      </c>
      <c r="H3540" s="31" t="s">
        <v>534</v>
      </c>
      <c r="I3540" s="31" t="s">
        <v>5428</v>
      </c>
      <c r="J3540" s="29" t="s">
        <v>1813</v>
      </c>
      <c r="K3540" s="29" t="s">
        <v>1813</v>
      </c>
      <c r="L3540" s="29" t="s">
        <v>2837</v>
      </c>
      <c r="M3540" s="29" t="s">
        <v>5482</v>
      </c>
      <c r="N3540" s="29" t="s">
        <v>5483</v>
      </c>
      <c r="O3540" s="29" t="s">
        <v>590</v>
      </c>
    </row>
    <row r="3541" spans="1:15">
      <c r="A3541" s="25">
        <v>1251</v>
      </c>
      <c r="B3541" s="34" t="s">
        <v>5514</v>
      </c>
      <c r="C3541" s="31" t="s">
        <v>521</v>
      </c>
      <c r="D3541" s="31" t="s">
        <v>1458</v>
      </c>
      <c r="E3541" s="28">
        <v>37921</v>
      </c>
      <c r="F3541" s="28" t="s">
        <v>35</v>
      </c>
      <c r="G3541" s="28" t="s">
        <v>35</v>
      </c>
      <c r="H3541" s="29" t="s">
        <v>534</v>
      </c>
      <c r="I3541" s="29" t="s">
        <v>5428</v>
      </c>
      <c r="J3541" s="29" t="s">
        <v>1813</v>
      </c>
      <c r="K3541" s="29" t="s">
        <v>1813</v>
      </c>
      <c r="L3541" s="29" t="s">
        <v>2837</v>
      </c>
      <c r="M3541" s="29" t="s">
        <v>5479</v>
      </c>
      <c r="N3541" s="29" t="s">
        <v>4605</v>
      </c>
      <c r="O3541" s="29" t="s">
        <v>590</v>
      </c>
    </row>
    <row r="3542" spans="1:15">
      <c r="A3542" s="25">
        <v>10201</v>
      </c>
      <c r="B3542" s="34" t="s">
        <v>5515</v>
      </c>
      <c r="C3542" s="31" t="s">
        <v>521</v>
      </c>
      <c r="D3542" s="31" t="s">
        <v>787</v>
      </c>
      <c r="E3542" s="28">
        <v>40458</v>
      </c>
      <c r="F3542" s="28" t="s">
        <v>35</v>
      </c>
      <c r="G3542" s="28" t="s">
        <v>35</v>
      </c>
      <c r="H3542" s="31" t="s">
        <v>534</v>
      </c>
      <c r="I3542" s="27" t="s">
        <v>5428</v>
      </c>
      <c r="J3542" s="27" t="s">
        <v>1813</v>
      </c>
      <c r="K3542" s="27" t="s">
        <v>1813</v>
      </c>
      <c r="L3542" s="29" t="s">
        <v>2837</v>
      </c>
      <c r="M3542" s="29" t="s">
        <v>2030</v>
      </c>
      <c r="N3542" s="29" t="s">
        <v>2031</v>
      </c>
      <c r="O3542" s="29" t="s">
        <v>590</v>
      </c>
    </row>
    <row r="3543" spans="1:15">
      <c r="A3543" s="25">
        <v>9069</v>
      </c>
      <c r="B3543" s="26" t="s">
        <v>5516</v>
      </c>
      <c r="C3543" s="27" t="s">
        <v>521</v>
      </c>
      <c r="D3543" s="27" t="s">
        <v>1908</v>
      </c>
      <c r="E3543" s="28">
        <v>39993</v>
      </c>
      <c r="F3543" s="28" t="s">
        <v>35</v>
      </c>
      <c r="G3543" s="28" t="s">
        <v>35</v>
      </c>
      <c r="H3543" s="27" t="s">
        <v>534</v>
      </c>
      <c r="I3543" s="27" t="s">
        <v>5428</v>
      </c>
      <c r="J3543" s="27" t="s">
        <v>1813</v>
      </c>
      <c r="K3543" s="27" t="s">
        <v>1813</v>
      </c>
      <c r="L3543" s="27" t="s">
        <v>2857</v>
      </c>
      <c r="M3543" s="29" t="s">
        <v>5479</v>
      </c>
      <c r="N3543" s="29" t="s">
        <v>4605</v>
      </c>
      <c r="O3543" s="29" t="s">
        <v>594</v>
      </c>
    </row>
    <row r="3544" spans="1:15">
      <c r="A3544" s="25">
        <v>14817</v>
      </c>
      <c r="B3544" s="32" t="s">
        <v>68</v>
      </c>
      <c r="C3544" s="27" t="s">
        <v>521</v>
      </c>
      <c r="D3544" s="27" t="s">
        <v>5517</v>
      </c>
      <c r="E3544" s="28">
        <v>41400</v>
      </c>
      <c r="F3544" s="28" t="s">
        <v>35</v>
      </c>
      <c r="G3544" s="28" t="s">
        <v>35</v>
      </c>
      <c r="H3544" s="27" t="s">
        <v>534</v>
      </c>
      <c r="I3544" s="31" t="s">
        <v>5428</v>
      </c>
      <c r="J3544" s="27" t="s">
        <v>1813</v>
      </c>
      <c r="K3544" s="27" t="s">
        <v>1813</v>
      </c>
      <c r="L3544" s="27" t="s">
        <v>2857</v>
      </c>
      <c r="M3544" s="29" t="s">
        <v>2030</v>
      </c>
      <c r="N3544" s="29" t="s">
        <v>2031</v>
      </c>
      <c r="O3544" s="29" t="s">
        <v>594</v>
      </c>
    </row>
    <row r="3545" spans="1:15">
      <c r="A3545" s="25">
        <v>10560</v>
      </c>
      <c r="B3545" s="32" t="s">
        <v>5518</v>
      </c>
      <c r="C3545" s="27" t="s">
        <v>521</v>
      </c>
      <c r="D3545" s="27" t="s">
        <v>1672</v>
      </c>
      <c r="E3545" s="28">
        <v>40542</v>
      </c>
      <c r="F3545" s="28" t="s">
        <v>35</v>
      </c>
      <c r="G3545" s="28" t="s">
        <v>35</v>
      </c>
      <c r="H3545" s="27" t="s">
        <v>534</v>
      </c>
      <c r="I3545" s="31" t="s">
        <v>5428</v>
      </c>
      <c r="J3545" s="29" t="s">
        <v>1813</v>
      </c>
      <c r="K3545" s="29" t="s">
        <v>1813</v>
      </c>
      <c r="L3545" s="29" t="s">
        <v>2857</v>
      </c>
      <c r="M3545" s="29" t="s">
        <v>5479</v>
      </c>
      <c r="N3545" s="29" t="s">
        <v>4605</v>
      </c>
      <c r="O3545" s="29" t="s">
        <v>590</v>
      </c>
    </row>
    <row r="3546" spans="1:15">
      <c r="A3546" s="25">
        <v>15337</v>
      </c>
      <c r="B3546" s="32" t="s">
        <v>5519</v>
      </c>
      <c r="C3546" s="27" t="s">
        <v>521</v>
      </c>
      <c r="D3546" s="27" t="s">
        <v>5466</v>
      </c>
      <c r="E3546" s="28">
        <v>41442</v>
      </c>
      <c r="F3546" s="28" t="s">
        <v>35</v>
      </c>
      <c r="G3546" s="28" t="s">
        <v>35</v>
      </c>
      <c r="H3546" s="27" t="s">
        <v>534</v>
      </c>
      <c r="I3546" s="31" t="s">
        <v>5428</v>
      </c>
      <c r="J3546" s="27" t="s">
        <v>1813</v>
      </c>
      <c r="K3546" s="27" t="s">
        <v>1813</v>
      </c>
      <c r="L3546" s="29" t="s">
        <v>2857</v>
      </c>
      <c r="M3546" s="29" t="s">
        <v>2030</v>
      </c>
      <c r="N3546" s="29" t="s">
        <v>2031</v>
      </c>
      <c r="O3546" s="29" t="s">
        <v>590</v>
      </c>
    </row>
    <row r="3547" spans="1:15">
      <c r="A3547" s="25">
        <v>12581</v>
      </c>
      <c r="B3547" s="34" t="s">
        <v>5520</v>
      </c>
      <c r="C3547" s="31" t="s">
        <v>521</v>
      </c>
      <c r="D3547" s="31" t="s">
        <v>858</v>
      </c>
      <c r="E3547" s="28">
        <v>40816</v>
      </c>
      <c r="F3547" s="28" t="s">
        <v>35</v>
      </c>
      <c r="G3547" s="28" t="s">
        <v>35</v>
      </c>
      <c r="H3547" s="27" t="s">
        <v>534</v>
      </c>
      <c r="I3547" s="31" t="s">
        <v>5428</v>
      </c>
      <c r="J3547" s="27" t="s">
        <v>1813</v>
      </c>
      <c r="K3547" s="27" t="s">
        <v>1813</v>
      </c>
      <c r="L3547" s="29" t="s">
        <v>2869</v>
      </c>
      <c r="M3547" s="29" t="s">
        <v>2030</v>
      </c>
      <c r="N3547" s="29" t="s">
        <v>2031</v>
      </c>
      <c r="O3547" s="29" t="s">
        <v>594</v>
      </c>
    </row>
    <row r="3548" spans="1:15">
      <c r="A3548" s="25">
        <v>11653</v>
      </c>
      <c r="B3548" s="26" t="s">
        <v>5521</v>
      </c>
      <c r="C3548" s="27" t="s">
        <v>521</v>
      </c>
      <c r="D3548" s="27" t="s">
        <v>675</v>
      </c>
      <c r="E3548" s="28">
        <v>40714</v>
      </c>
      <c r="F3548" s="28" t="s">
        <v>35</v>
      </c>
      <c r="G3548" s="28" t="s">
        <v>35</v>
      </c>
      <c r="H3548" s="27" t="s">
        <v>534</v>
      </c>
      <c r="I3548" s="27" t="s">
        <v>5428</v>
      </c>
      <c r="J3548" s="27" t="s">
        <v>1813</v>
      </c>
      <c r="K3548" s="27" t="s">
        <v>1813</v>
      </c>
      <c r="L3548" s="29" t="s">
        <v>2869</v>
      </c>
      <c r="M3548" s="29" t="s">
        <v>2030</v>
      </c>
      <c r="N3548" s="29" t="s">
        <v>2031</v>
      </c>
      <c r="O3548" s="29" t="s">
        <v>590</v>
      </c>
    </row>
    <row r="3549" spans="1:15">
      <c r="A3549" s="25">
        <v>934</v>
      </c>
      <c r="B3549" s="26" t="s">
        <v>5522</v>
      </c>
      <c r="C3549" s="27" t="s">
        <v>521</v>
      </c>
      <c r="D3549" s="27" t="s">
        <v>827</v>
      </c>
      <c r="E3549" s="28">
        <v>37865</v>
      </c>
      <c r="F3549" s="28" t="s">
        <v>35</v>
      </c>
      <c r="G3549" s="28" t="s">
        <v>35</v>
      </c>
      <c r="H3549" s="31" t="s">
        <v>534</v>
      </c>
      <c r="I3549" s="31" t="s">
        <v>5428</v>
      </c>
      <c r="J3549" s="29" t="s">
        <v>2304</v>
      </c>
      <c r="K3549" s="29" t="s">
        <v>2881</v>
      </c>
      <c r="L3549" s="29" t="s">
        <v>2882</v>
      </c>
      <c r="M3549" s="29" t="s">
        <v>5482</v>
      </c>
      <c r="N3549" s="29" t="s">
        <v>5483</v>
      </c>
      <c r="O3549" s="29" t="s">
        <v>590</v>
      </c>
    </row>
    <row r="3550" spans="1:15">
      <c r="A3550" s="25">
        <v>8815</v>
      </c>
      <c r="B3550" s="26" t="s">
        <v>5523</v>
      </c>
      <c r="C3550" s="27" t="s">
        <v>521</v>
      </c>
      <c r="D3550" s="27" t="s">
        <v>813</v>
      </c>
      <c r="E3550" s="28">
        <v>39937</v>
      </c>
      <c r="F3550" s="28" t="s">
        <v>35</v>
      </c>
      <c r="G3550" s="28" t="s">
        <v>35</v>
      </c>
      <c r="H3550" s="29" t="s">
        <v>534</v>
      </c>
      <c r="I3550" s="29" t="s">
        <v>5428</v>
      </c>
      <c r="J3550" s="29" t="s">
        <v>2304</v>
      </c>
      <c r="K3550" s="29" t="s">
        <v>2881</v>
      </c>
      <c r="L3550" s="29" t="s">
        <v>2882</v>
      </c>
      <c r="M3550" s="29" t="s">
        <v>2030</v>
      </c>
      <c r="N3550" s="29" t="s">
        <v>2031</v>
      </c>
      <c r="O3550" s="29" t="s">
        <v>590</v>
      </c>
    </row>
    <row r="3551" spans="1:15">
      <c r="A3551" s="25">
        <v>9864</v>
      </c>
      <c r="B3551" s="34" t="s">
        <v>5524</v>
      </c>
      <c r="C3551" s="31" t="s">
        <v>521</v>
      </c>
      <c r="D3551" s="31" t="s">
        <v>802</v>
      </c>
      <c r="E3551" s="28">
        <v>40411</v>
      </c>
      <c r="F3551" s="28" t="s">
        <v>35</v>
      </c>
      <c r="G3551" s="28" t="s">
        <v>35</v>
      </c>
      <c r="H3551" s="27" t="s">
        <v>534</v>
      </c>
      <c r="I3551" s="27" t="s">
        <v>5428</v>
      </c>
      <c r="J3551" s="29" t="s">
        <v>2304</v>
      </c>
      <c r="K3551" s="29" t="s">
        <v>2881</v>
      </c>
      <c r="L3551" s="29" t="s">
        <v>2882</v>
      </c>
      <c r="M3551" s="29" t="s">
        <v>2030</v>
      </c>
      <c r="N3551" s="29" t="s">
        <v>2031</v>
      </c>
      <c r="O3551" s="29" t="s">
        <v>590</v>
      </c>
    </row>
    <row r="3552" spans="1:15">
      <c r="A3552" s="25">
        <v>22671</v>
      </c>
      <c r="B3552" s="34" t="s">
        <v>5525</v>
      </c>
      <c r="C3552" s="31" t="s">
        <v>521</v>
      </c>
      <c r="D3552" s="31" t="s">
        <v>1199</v>
      </c>
      <c r="E3552" s="28">
        <v>43241</v>
      </c>
      <c r="F3552" s="28">
        <v>43272</v>
      </c>
      <c r="G3552" s="28">
        <v>43646</v>
      </c>
      <c r="H3552" s="29" t="s">
        <v>534</v>
      </c>
      <c r="I3552" s="29" t="s">
        <v>5428</v>
      </c>
      <c r="J3552" s="29" t="s">
        <v>2304</v>
      </c>
      <c r="K3552" s="29" t="s">
        <v>2881</v>
      </c>
      <c r="L3552" s="29" t="s">
        <v>2882</v>
      </c>
      <c r="M3552" s="29" t="s">
        <v>5479</v>
      </c>
      <c r="N3552" s="29" t="s">
        <v>4605</v>
      </c>
      <c r="O3552" s="29" t="s">
        <v>590</v>
      </c>
    </row>
    <row r="3553" spans="1:15">
      <c r="A3553" s="25">
        <v>12619</v>
      </c>
      <c r="B3553" s="26" t="s">
        <v>5526</v>
      </c>
      <c r="C3553" s="27" t="s">
        <v>521</v>
      </c>
      <c r="D3553" s="27" t="s">
        <v>858</v>
      </c>
      <c r="E3553" s="28">
        <v>40816</v>
      </c>
      <c r="F3553" s="28" t="s">
        <v>35</v>
      </c>
      <c r="G3553" s="28" t="s">
        <v>35</v>
      </c>
      <c r="H3553" s="27" t="s">
        <v>534</v>
      </c>
      <c r="I3553" s="27" t="s">
        <v>5428</v>
      </c>
      <c r="J3553" s="29" t="s">
        <v>2924</v>
      </c>
      <c r="K3553" s="29" t="s">
        <v>2925</v>
      </c>
      <c r="L3553" s="29" t="s">
        <v>2926</v>
      </c>
      <c r="M3553" s="29" t="s">
        <v>2030</v>
      </c>
      <c r="N3553" s="29" t="s">
        <v>2031</v>
      </c>
      <c r="O3553" s="29" t="s">
        <v>594</v>
      </c>
    </row>
    <row r="3554" spans="1:15">
      <c r="A3554" s="25">
        <v>22173</v>
      </c>
      <c r="B3554" s="34" t="s">
        <v>5527</v>
      </c>
      <c r="C3554" s="31" t="s">
        <v>521</v>
      </c>
      <c r="D3554" s="31" t="s">
        <v>1201</v>
      </c>
      <c r="E3554" s="28">
        <v>43158</v>
      </c>
      <c r="F3554" s="28">
        <v>43186</v>
      </c>
      <c r="G3554" s="28">
        <v>43555</v>
      </c>
      <c r="H3554" s="29" t="s">
        <v>534</v>
      </c>
      <c r="I3554" s="29" t="s">
        <v>5428</v>
      </c>
      <c r="J3554" s="29" t="s">
        <v>2924</v>
      </c>
      <c r="K3554" s="29" t="s">
        <v>2925</v>
      </c>
      <c r="L3554" s="29" t="s">
        <v>2926</v>
      </c>
      <c r="M3554" s="29" t="s">
        <v>5479</v>
      </c>
      <c r="N3554" s="29" t="s">
        <v>4605</v>
      </c>
      <c r="O3554" s="29" t="s">
        <v>594</v>
      </c>
    </row>
    <row r="3555" spans="1:15">
      <c r="A3555" s="25">
        <v>11680</v>
      </c>
      <c r="B3555" s="26" t="s">
        <v>5528</v>
      </c>
      <c r="C3555" s="27" t="s">
        <v>521</v>
      </c>
      <c r="D3555" s="27" t="s">
        <v>675</v>
      </c>
      <c r="E3555" s="28">
        <v>40714</v>
      </c>
      <c r="F3555" s="28" t="s">
        <v>35</v>
      </c>
      <c r="G3555" s="28" t="s">
        <v>35</v>
      </c>
      <c r="H3555" s="29" t="s">
        <v>534</v>
      </c>
      <c r="I3555" s="29" t="s">
        <v>5428</v>
      </c>
      <c r="J3555" s="29" t="s">
        <v>2924</v>
      </c>
      <c r="K3555" s="29" t="s">
        <v>2925</v>
      </c>
      <c r="L3555" s="29" t="s">
        <v>2926</v>
      </c>
      <c r="M3555" s="29" t="s">
        <v>2030</v>
      </c>
      <c r="N3555" s="29" t="s">
        <v>2031</v>
      </c>
      <c r="O3555" s="29" t="s">
        <v>590</v>
      </c>
    </row>
    <row r="3556" spans="1:15">
      <c r="A3556" s="25">
        <v>22309</v>
      </c>
      <c r="B3556" s="34" t="s">
        <v>5529</v>
      </c>
      <c r="C3556" s="31" t="s">
        <v>521</v>
      </c>
      <c r="D3556" s="31" t="s">
        <v>1191</v>
      </c>
      <c r="E3556" s="28">
        <v>43192</v>
      </c>
      <c r="F3556" s="28">
        <v>43222</v>
      </c>
      <c r="G3556" s="28">
        <v>43585</v>
      </c>
      <c r="H3556" s="29" t="s">
        <v>534</v>
      </c>
      <c r="I3556" s="29" t="s">
        <v>5428</v>
      </c>
      <c r="J3556" s="29" t="s">
        <v>2924</v>
      </c>
      <c r="K3556" s="29" t="s">
        <v>2925</v>
      </c>
      <c r="L3556" s="29" t="s">
        <v>2926</v>
      </c>
      <c r="M3556" s="29" t="s">
        <v>2030</v>
      </c>
      <c r="N3556" s="29" t="s">
        <v>2031</v>
      </c>
      <c r="O3556" s="29" t="s">
        <v>590</v>
      </c>
    </row>
    <row r="3557" spans="1:15">
      <c r="A3557" s="25">
        <v>22665</v>
      </c>
      <c r="B3557" s="34" t="s">
        <v>5530</v>
      </c>
      <c r="C3557" s="31" t="s">
        <v>521</v>
      </c>
      <c r="D3557" s="31" t="s">
        <v>1199</v>
      </c>
      <c r="E3557" s="28">
        <v>43241</v>
      </c>
      <c r="F3557" s="28">
        <v>43272</v>
      </c>
      <c r="G3557" s="28">
        <v>43646</v>
      </c>
      <c r="H3557" s="29" t="s">
        <v>534</v>
      </c>
      <c r="I3557" s="29" t="s">
        <v>5428</v>
      </c>
      <c r="J3557" s="29" t="s">
        <v>2924</v>
      </c>
      <c r="K3557" s="29" t="s">
        <v>2925</v>
      </c>
      <c r="L3557" s="29" t="s">
        <v>2926</v>
      </c>
      <c r="M3557" s="29" t="s">
        <v>2030</v>
      </c>
      <c r="N3557" s="29" t="s">
        <v>2031</v>
      </c>
      <c r="O3557" s="29" t="s">
        <v>590</v>
      </c>
    </row>
    <row r="3558" spans="1:15">
      <c r="A3558" s="25">
        <v>13269</v>
      </c>
      <c r="B3558" s="83" t="s">
        <v>3182</v>
      </c>
      <c r="C3558" s="25" t="s">
        <v>521</v>
      </c>
      <c r="D3558" s="25" t="s">
        <v>1949</v>
      </c>
      <c r="E3558" s="28">
        <v>40917</v>
      </c>
      <c r="F3558" s="28" t="s">
        <v>35</v>
      </c>
      <c r="G3558" s="28" t="s">
        <v>35</v>
      </c>
      <c r="H3558" s="31" t="s">
        <v>534</v>
      </c>
      <c r="I3558" s="31" t="s">
        <v>5428</v>
      </c>
      <c r="J3558" s="29" t="s">
        <v>2945</v>
      </c>
      <c r="K3558" s="29" t="s">
        <v>2946</v>
      </c>
      <c r="L3558" s="29" t="s">
        <v>2947</v>
      </c>
      <c r="M3558" s="29" t="s">
        <v>4604</v>
      </c>
      <c r="N3558" s="29" t="s">
        <v>4605</v>
      </c>
      <c r="O3558" s="29" t="s">
        <v>528</v>
      </c>
    </row>
    <row r="3559" spans="1:15">
      <c r="A3559" s="25">
        <v>10619</v>
      </c>
      <c r="B3559" s="26" t="s">
        <v>479</v>
      </c>
      <c r="C3559" s="27" t="s">
        <v>521</v>
      </c>
      <c r="D3559" s="27" t="s">
        <v>2426</v>
      </c>
      <c r="E3559" s="28">
        <v>40549</v>
      </c>
      <c r="F3559" s="28" t="s">
        <v>35</v>
      </c>
      <c r="G3559" s="28" t="s">
        <v>35</v>
      </c>
      <c r="H3559" s="27" t="s">
        <v>534</v>
      </c>
      <c r="I3559" s="31" t="s">
        <v>5428</v>
      </c>
      <c r="J3559" s="27" t="s">
        <v>2964</v>
      </c>
      <c r="K3559" s="29" t="s">
        <v>2965</v>
      </c>
      <c r="L3559" s="29" t="s">
        <v>2966</v>
      </c>
      <c r="M3559" s="29" t="s">
        <v>5451</v>
      </c>
      <c r="N3559" s="29" t="s">
        <v>5451</v>
      </c>
      <c r="O3559" s="29" t="s">
        <v>594</v>
      </c>
    </row>
    <row r="3560" spans="1:15">
      <c r="A3560" s="25">
        <v>11137</v>
      </c>
      <c r="B3560" s="26" t="s">
        <v>5531</v>
      </c>
      <c r="C3560" s="27" t="s">
        <v>521</v>
      </c>
      <c r="D3560" s="27" t="s">
        <v>1423</v>
      </c>
      <c r="E3560" s="28">
        <v>40603</v>
      </c>
      <c r="F3560" s="28" t="s">
        <v>35</v>
      </c>
      <c r="G3560" s="28" t="s">
        <v>35</v>
      </c>
      <c r="H3560" s="27" t="s">
        <v>534</v>
      </c>
      <c r="I3560" s="27" t="s">
        <v>5428</v>
      </c>
      <c r="J3560" s="27" t="s">
        <v>2964</v>
      </c>
      <c r="K3560" s="29" t="s">
        <v>2965</v>
      </c>
      <c r="L3560" s="29" t="s">
        <v>2966</v>
      </c>
      <c r="M3560" s="29" t="s">
        <v>4604</v>
      </c>
      <c r="N3560" s="29" t="s">
        <v>4605</v>
      </c>
      <c r="O3560" s="29" t="s">
        <v>594</v>
      </c>
    </row>
    <row r="3561" spans="1:15">
      <c r="A3561" s="25">
        <v>12228</v>
      </c>
      <c r="B3561" s="34" t="s">
        <v>5532</v>
      </c>
      <c r="C3561" s="31" t="s">
        <v>521</v>
      </c>
      <c r="D3561" s="31" t="s">
        <v>750</v>
      </c>
      <c r="E3561" s="28">
        <v>40802</v>
      </c>
      <c r="F3561" s="28" t="s">
        <v>35</v>
      </c>
      <c r="G3561" s="28" t="s">
        <v>35</v>
      </c>
      <c r="H3561" s="27" t="s">
        <v>534</v>
      </c>
      <c r="I3561" s="27" t="s">
        <v>5428</v>
      </c>
      <c r="J3561" s="27" t="s">
        <v>2964</v>
      </c>
      <c r="K3561" s="29" t="s">
        <v>2965</v>
      </c>
      <c r="L3561" s="29" t="s">
        <v>2966</v>
      </c>
      <c r="M3561" s="29" t="s">
        <v>5451</v>
      </c>
      <c r="N3561" s="29" t="s">
        <v>5451</v>
      </c>
      <c r="O3561" s="29" t="s">
        <v>594</v>
      </c>
    </row>
    <row r="3562" spans="1:15">
      <c r="A3562" s="25">
        <v>20726</v>
      </c>
      <c r="B3562" s="26" t="s">
        <v>5533</v>
      </c>
      <c r="C3562" s="27" t="s">
        <v>521</v>
      </c>
      <c r="D3562" s="27" t="s">
        <v>815</v>
      </c>
      <c r="E3562" s="28">
        <v>42642</v>
      </c>
      <c r="F3562" s="28">
        <v>43132</v>
      </c>
      <c r="G3562" s="28">
        <v>43496</v>
      </c>
      <c r="H3562" s="27" t="s">
        <v>534</v>
      </c>
      <c r="I3562" s="27" t="s">
        <v>5428</v>
      </c>
      <c r="J3562" s="29" t="s">
        <v>2964</v>
      </c>
      <c r="K3562" s="29" t="s">
        <v>2965</v>
      </c>
      <c r="L3562" s="29" t="s">
        <v>2966</v>
      </c>
      <c r="M3562" s="29" t="s">
        <v>4604</v>
      </c>
      <c r="N3562" s="29" t="s">
        <v>4605</v>
      </c>
      <c r="O3562" s="29" t="s">
        <v>594</v>
      </c>
    </row>
    <row r="3563" spans="1:15">
      <c r="A3563" s="25">
        <v>21715</v>
      </c>
      <c r="B3563" s="34" t="s">
        <v>5534</v>
      </c>
      <c r="C3563" s="31" t="s">
        <v>521</v>
      </c>
      <c r="D3563" s="31" t="s">
        <v>663</v>
      </c>
      <c r="E3563" s="28">
        <v>43087</v>
      </c>
      <c r="F3563" s="28">
        <v>43118</v>
      </c>
      <c r="G3563" s="28">
        <v>43496</v>
      </c>
      <c r="H3563" s="29" t="s">
        <v>534</v>
      </c>
      <c r="I3563" s="29" t="s">
        <v>5428</v>
      </c>
      <c r="J3563" s="29" t="s">
        <v>2964</v>
      </c>
      <c r="K3563" s="29" t="s">
        <v>2965</v>
      </c>
      <c r="L3563" s="29" t="s">
        <v>2966</v>
      </c>
      <c r="M3563" s="29" t="s">
        <v>4604</v>
      </c>
      <c r="N3563" s="29" t="s">
        <v>4605</v>
      </c>
      <c r="O3563" s="29" t="s">
        <v>594</v>
      </c>
    </row>
    <row r="3564" spans="1:15">
      <c r="A3564" s="25" t="s">
        <v>5535</v>
      </c>
      <c r="B3564" s="34" t="s">
        <v>5536</v>
      </c>
      <c r="C3564" s="31" t="s">
        <v>521</v>
      </c>
      <c r="D3564" s="31" t="s">
        <v>1859</v>
      </c>
      <c r="E3564" s="28">
        <v>41015</v>
      </c>
      <c r="F3564" s="28" t="s">
        <v>35</v>
      </c>
      <c r="G3564" s="28" t="s">
        <v>35</v>
      </c>
      <c r="H3564" s="31" t="s">
        <v>534</v>
      </c>
      <c r="I3564" s="31" t="s">
        <v>5428</v>
      </c>
      <c r="J3564" s="29" t="s">
        <v>2964</v>
      </c>
      <c r="K3564" s="29" t="s">
        <v>2965</v>
      </c>
      <c r="L3564" s="29" t="s">
        <v>2966</v>
      </c>
      <c r="M3564" s="29" t="s">
        <v>4604</v>
      </c>
      <c r="N3564" s="29" t="s">
        <v>4605</v>
      </c>
      <c r="O3564" s="29" t="s">
        <v>594</v>
      </c>
    </row>
    <row r="3565" spans="1:15">
      <c r="A3565" s="25">
        <v>10397</v>
      </c>
      <c r="B3565" s="26" t="s">
        <v>5537</v>
      </c>
      <c r="C3565" s="27" t="s">
        <v>521</v>
      </c>
      <c r="D3565" s="27" t="s">
        <v>752</v>
      </c>
      <c r="E3565" s="28">
        <v>40518</v>
      </c>
      <c r="F3565" s="28" t="s">
        <v>35</v>
      </c>
      <c r="G3565" s="28" t="s">
        <v>35</v>
      </c>
      <c r="H3565" s="27" t="s">
        <v>534</v>
      </c>
      <c r="I3565" s="27" t="s">
        <v>5428</v>
      </c>
      <c r="J3565" s="27" t="s">
        <v>2964</v>
      </c>
      <c r="K3565" s="29" t="s">
        <v>2965</v>
      </c>
      <c r="L3565" s="29" t="s">
        <v>2966</v>
      </c>
      <c r="M3565" s="29" t="s">
        <v>4604</v>
      </c>
      <c r="N3565" s="29" t="s">
        <v>4605</v>
      </c>
      <c r="O3565" s="29" t="s">
        <v>590</v>
      </c>
    </row>
    <row r="3566" spans="1:15">
      <c r="A3566" s="25">
        <v>11677</v>
      </c>
      <c r="B3566" s="26" t="s">
        <v>5538</v>
      </c>
      <c r="C3566" s="27" t="s">
        <v>521</v>
      </c>
      <c r="D3566" s="25" t="s">
        <v>675</v>
      </c>
      <c r="E3566" s="28">
        <v>40714</v>
      </c>
      <c r="F3566" s="28" t="s">
        <v>35</v>
      </c>
      <c r="G3566" s="28" t="s">
        <v>35</v>
      </c>
      <c r="H3566" s="27" t="s">
        <v>534</v>
      </c>
      <c r="I3566" s="27" t="s">
        <v>5428</v>
      </c>
      <c r="J3566" s="27" t="s">
        <v>2964</v>
      </c>
      <c r="K3566" s="29" t="s">
        <v>2965</v>
      </c>
      <c r="L3566" s="29" t="s">
        <v>2966</v>
      </c>
      <c r="M3566" s="29" t="s">
        <v>5451</v>
      </c>
      <c r="N3566" s="29" t="s">
        <v>5451</v>
      </c>
      <c r="O3566" s="29" t="s">
        <v>590</v>
      </c>
    </row>
    <row r="3567" spans="1:15">
      <c r="A3567" s="25">
        <v>11984</v>
      </c>
      <c r="B3567" s="26" t="s">
        <v>425</v>
      </c>
      <c r="C3567" s="27" t="s">
        <v>521</v>
      </c>
      <c r="D3567" s="27" t="s">
        <v>2429</v>
      </c>
      <c r="E3567" s="28">
        <v>40777</v>
      </c>
      <c r="F3567" s="28" t="s">
        <v>35</v>
      </c>
      <c r="G3567" s="28" t="s">
        <v>35</v>
      </c>
      <c r="H3567" s="27" t="s">
        <v>534</v>
      </c>
      <c r="I3567" s="27" t="s">
        <v>5428</v>
      </c>
      <c r="J3567" s="27" t="s">
        <v>2964</v>
      </c>
      <c r="K3567" s="29" t="s">
        <v>2965</v>
      </c>
      <c r="L3567" s="29" t="s">
        <v>2966</v>
      </c>
      <c r="M3567" s="29" t="s">
        <v>4604</v>
      </c>
      <c r="N3567" s="29" t="s">
        <v>4605</v>
      </c>
      <c r="O3567" s="29" t="s">
        <v>590</v>
      </c>
    </row>
    <row r="3568" spans="1:15">
      <c r="A3568" s="25">
        <v>12748</v>
      </c>
      <c r="B3568" s="33" t="s">
        <v>4002</v>
      </c>
      <c r="C3568" s="27" t="s">
        <v>521</v>
      </c>
      <c r="D3568" s="27" t="s">
        <v>1739</v>
      </c>
      <c r="E3568" s="28">
        <v>40819</v>
      </c>
      <c r="F3568" s="28" t="s">
        <v>35</v>
      </c>
      <c r="G3568" s="28" t="s">
        <v>35</v>
      </c>
      <c r="H3568" s="31" t="s">
        <v>534</v>
      </c>
      <c r="I3568" s="31" t="s">
        <v>5428</v>
      </c>
      <c r="J3568" s="27" t="s">
        <v>2964</v>
      </c>
      <c r="K3568" s="29" t="s">
        <v>2965</v>
      </c>
      <c r="L3568" s="29" t="s">
        <v>2966</v>
      </c>
      <c r="M3568" s="29" t="s">
        <v>4604</v>
      </c>
      <c r="N3568" s="29" t="s">
        <v>4605</v>
      </c>
      <c r="O3568" s="29" t="s">
        <v>590</v>
      </c>
    </row>
    <row r="3569" spans="1:15">
      <c r="A3569" s="25">
        <v>20084</v>
      </c>
      <c r="B3569" s="26" t="s">
        <v>5539</v>
      </c>
      <c r="C3569" s="27" t="s">
        <v>521</v>
      </c>
      <c r="D3569" s="27" t="s">
        <v>5540</v>
      </c>
      <c r="E3569" s="28">
        <v>42523</v>
      </c>
      <c r="F3569" s="28" t="s">
        <v>35</v>
      </c>
      <c r="G3569" s="28" t="s">
        <v>35</v>
      </c>
      <c r="H3569" s="27" t="s">
        <v>534</v>
      </c>
      <c r="I3569" s="27" t="s">
        <v>5428</v>
      </c>
      <c r="J3569" s="29" t="s">
        <v>2964</v>
      </c>
      <c r="K3569" s="29" t="s">
        <v>2965</v>
      </c>
      <c r="L3569" s="29" t="s">
        <v>2966</v>
      </c>
      <c r="M3569" s="29" t="s">
        <v>5451</v>
      </c>
      <c r="N3569" s="29" t="s">
        <v>5451</v>
      </c>
      <c r="O3569" s="29" t="s">
        <v>590</v>
      </c>
    </row>
    <row r="3570" spans="1:15">
      <c r="A3570" s="25">
        <v>21410</v>
      </c>
      <c r="B3570" s="34" t="s">
        <v>5541</v>
      </c>
      <c r="C3570" s="31" t="s">
        <v>521</v>
      </c>
      <c r="D3570" s="31" t="s">
        <v>2283</v>
      </c>
      <c r="E3570" s="28">
        <v>43018</v>
      </c>
      <c r="F3570" s="28">
        <v>43405</v>
      </c>
      <c r="G3570" s="28">
        <v>43769</v>
      </c>
      <c r="H3570" s="29" t="s">
        <v>534</v>
      </c>
      <c r="I3570" s="29" t="s">
        <v>5428</v>
      </c>
      <c r="J3570" s="29" t="s">
        <v>2964</v>
      </c>
      <c r="K3570" s="29" t="s">
        <v>2965</v>
      </c>
      <c r="L3570" s="29" t="s">
        <v>2966</v>
      </c>
      <c r="M3570" s="29" t="s">
        <v>4604</v>
      </c>
      <c r="N3570" s="29" t="s">
        <v>4605</v>
      </c>
      <c r="O3570" s="29" t="s">
        <v>590</v>
      </c>
    </row>
    <row r="3571" spans="1:15">
      <c r="A3571" s="25">
        <v>19784</v>
      </c>
      <c r="B3571" s="26" t="s">
        <v>5542</v>
      </c>
      <c r="C3571" s="27" t="s">
        <v>521</v>
      </c>
      <c r="D3571" s="27" t="s">
        <v>2148</v>
      </c>
      <c r="E3571" s="28">
        <v>42499</v>
      </c>
      <c r="F3571" s="28" t="s">
        <v>35</v>
      </c>
      <c r="G3571" s="28" t="s">
        <v>35</v>
      </c>
      <c r="H3571" s="31" t="s">
        <v>534</v>
      </c>
      <c r="I3571" s="31" t="s">
        <v>5428</v>
      </c>
      <c r="J3571" s="29" t="s">
        <v>2130</v>
      </c>
      <c r="K3571" s="29" t="s">
        <v>2131</v>
      </c>
      <c r="L3571" s="29" t="s">
        <v>3125</v>
      </c>
      <c r="M3571" s="29" t="s">
        <v>4604</v>
      </c>
      <c r="N3571" s="29" t="s">
        <v>4605</v>
      </c>
      <c r="O3571" s="29" t="s">
        <v>594</v>
      </c>
    </row>
    <row r="3572" spans="1:15">
      <c r="A3572" s="25">
        <v>6131</v>
      </c>
      <c r="B3572" s="32" t="s">
        <v>5543</v>
      </c>
      <c r="C3572" s="27" t="s">
        <v>521</v>
      </c>
      <c r="D3572" s="27" t="s">
        <v>576</v>
      </c>
      <c r="E3572" s="28">
        <v>39157</v>
      </c>
      <c r="F3572" s="28" t="s">
        <v>35</v>
      </c>
      <c r="G3572" s="28" t="s">
        <v>35</v>
      </c>
      <c r="H3572" s="27" t="s">
        <v>534</v>
      </c>
      <c r="I3572" s="31" t="s">
        <v>5428</v>
      </c>
      <c r="J3572" s="29" t="s">
        <v>2130</v>
      </c>
      <c r="K3572" s="29" t="s">
        <v>2131</v>
      </c>
      <c r="L3572" s="29" t="s">
        <v>3125</v>
      </c>
      <c r="M3572" s="29" t="s">
        <v>5482</v>
      </c>
      <c r="N3572" s="29" t="s">
        <v>5483</v>
      </c>
      <c r="O3572" s="29" t="s">
        <v>590</v>
      </c>
    </row>
    <row r="3573" spans="1:15">
      <c r="A3573" s="25">
        <v>5751</v>
      </c>
      <c r="B3573" s="32" t="s">
        <v>5544</v>
      </c>
      <c r="C3573" s="27" t="s">
        <v>521</v>
      </c>
      <c r="D3573" s="27" t="s">
        <v>790</v>
      </c>
      <c r="E3573" s="28">
        <v>39098</v>
      </c>
      <c r="F3573" s="28" t="s">
        <v>35</v>
      </c>
      <c r="G3573" s="28" t="s">
        <v>35</v>
      </c>
      <c r="H3573" s="86" t="s">
        <v>534</v>
      </c>
      <c r="I3573" s="27" t="s">
        <v>5428</v>
      </c>
      <c r="J3573" s="29" t="s">
        <v>1825</v>
      </c>
      <c r="K3573" s="29" t="s">
        <v>1825</v>
      </c>
      <c r="L3573" s="29" t="s">
        <v>3157</v>
      </c>
      <c r="M3573" s="29" t="s">
        <v>5451</v>
      </c>
      <c r="N3573" s="29" t="s">
        <v>5451</v>
      </c>
      <c r="O3573" s="29" t="s">
        <v>594</v>
      </c>
    </row>
    <row r="3574" spans="1:15">
      <c r="A3574" s="25">
        <v>10238</v>
      </c>
      <c r="B3574" s="33" t="s">
        <v>5545</v>
      </c>
      <c r="C3574" s="27" t="s">
        <v>521</v>
      </c>
      <c r="D3574" s="27" t="s">
        <v>736</v>
      </c>
      <c r="E3574" s="28">
        <v>40489</v>
      </c>
      <c r="F3574" s="28" t="s">
        <v>35</v>
      </c>
      <c r="G3574" s="28" t="s">
        <v>35</v>
      </c>
      <c r="H3574" s="29" t="s">
        <v>534</v>
      </c>
      <c r="I3574" s="29" t="s">
        <v>5428</v>
      </c>
      <c r="J3574" s="29" t="s">
        <v>1825</v>
      </c>
      <c r="K3574" s="29" t="s">
        <v>5546</v>
      </c>
      <c r="L3574" s="29" t="s">
        <v>3157</v>
      </c>
      <c r="M3574" s="29" t="s">
        <v>5451</v>
      </c>
      <c r="N3574" s="29" t="s">
        <v>5451</v>
      </c>
      <c r="O3574" s="29" t="s">
        <v>594</v>
      </c>
    </row>
    <row r="3575" spans="1:15">
      <c r="A3575" s="25">
        <v>10296</v>
      </c>
      <c r="B3575" s="34" t="s">
        <v>5547</v>
      </c>
      <c r="C3575" s="31" t="s">
        <v>521</v>
      </c>
      <c r="D3575" s="31" t="s">
        <v>2527</v>
      </c>
      <c r="E3575" s="28">
        <v>40504</v>
      </c>
      <c r="F3575" s="28" t="s">
        <v>35</v>
      </c>
      <c r="G3575" s="28" t="s">
        <v>35</v>
      </c>
      <c r="H3575" s="31" t="s">
        <v>534</v>
      </c>
      <c r="I3575" s="31" t="s">
        <v>5428</v>
      </c>
      <c r="J3575" s="29" t="s">
        <v>1825</v>
      </c>
      <c r="K3575" s="29" t="s">
        <v>1825</v>
      </c>
      <c r="L3575" s="29" t="s">
        <v>3157</v>
      </c>
      <c r="M3575" s="29" t="s">
        <v>4604</v>
      </c>
      <c r="N3575" s="29" t="s">
        <v>4605</v>
      </c>
      <c r="O3575" s="29" t="s">
        <v>594</v>
      </c>
    </row>
    <row r="3576" spans="1:15">
      <c r="A3576" s="25">
        <v>13193</v>
      </c>
      <c r="B3576" s="26" t="s">
        <v>5548</v>
      </c>
      <c r="C3576" s="27" t="s">
        <v>521</v>
      </c>
      <c r="D3576" s="27" t="s">
        <v>819</v>
      </c>
      <c r="E3576" s="28">
        <v>40904</v>
      </c>
      <c r="F3576" s="28" t="s">
        <v>35</v>
      </c>
      <c r="G3576" s="28" t="s">
        <v>35</v>
      </c>
      <c r="H3576" s="29" t="s">
        <v>534</v>
      </c>
      <c r="I3576" s="29" t="s">
        <v>5428</v>
      </c>
      <c r="J3576" s="29" t="s">
        <v>1825</v>
      </c>
      <c r="K3576" s="29" t="s">
        <v>1825</v>
      </c>
      <c r="L3576" s="29" t="s">
        <v>3157</v>
      </c>
      <c r="M3576" s="29" t="s">
        <v>4604</v>
      </c>
      <c r="N3576" s="29" t="s">
        <v>4605</v>
      </c>
      <c r="O3576" s="29" t="s">
        <v>594</v>
      </c>
    </row>
    <row r="3577" spans="1:15">
      <c r="A3577" s="25">
        <v>21455</v>
      </c>
      <c r="B3577" s="33" t="s">
        <v>5549</v>
      </c>
      <c r="C3577" s="27" t="s">
        <v>521</v>
      </c>
      <c r="D3577" s="27" t="s">
        <v>2166</v>
      </c>
      <c r="E3577" s="28">
        <v>43024</v>
      </c>
      <c r="F3577" s="28">
        <v>43435</v>
      </c>
      <c r="G3577" s="28">
        <v>43799</v>
      </c>
      <c r="H3577" s="29" t="s">
        <v>534</v>
      </c>
      <c r="I3577" s="29" t="s">
        <v>5428</v>
      </c>
      <c r="J3577" s="29" t="s">
        <v>1825</v>
      </c>
      <c r="K3577" s="29" t="s">
        <v>5546</v>
      </c>
      <c r="L3577" s="29" t="s">
        <v>3157</v>
      </c>
      <c r="M3577" s="29" t="s">
        <v>4604</v>
      </c>
      <c r="N3577" s="29" t="s">
        <v>4605</v>
      </c>
      <c r="O3577" s="29" t="s">
        <v>594</v>
      </c>
    </row>
    <row r="3578" spans="1:15">
      <c r="A3578" s="25">
        <v>21595</v>
      </c>
      <c r="B3578" s="34" t="s">
        <v>5550</v>
      </c>
      <c r="C3578" s="31" t="s">
        <v>521</v>
      </c>
      <c r="D3578" s="31" t="s">
        <v>1603</v>
      </c>
      <c r="E3578" s="28">
        <v>43048</v>
      </c>
      <c r="F3578" s="28">
        <v>43435</v>
      </c>
      <c r="G3578" s="28">
        <v>43799</v>
      </c>
      <c r="H3578" s="29" t="s">
        <v>534</v>
      </c>
      <c r="I3578" s="29" t="s">
        <v>5428</v>
      </c>
      <c r="J3578" s="29" t="s">
        <v>1825</v>
      </c>
      <c r="K3578" s="29" t="s">
        <v>5546</v>
      </c>
      <c r="L3578" s="29" t="s">
        <v>3157</v>
      </c>
      <c r="M3578" s="29" t="s">
        <v>4604</v>
      </c>
      <c r="N3578" s="29" t="s">
        <v>4605</v>
      </c>
      <c r="O3578" s="29" t="s">
        <v>594</v>
      </c>
    </row>
    <row r="3579" spans="1:15">
      <c r="A3579" s="25">
        <v>986</v>
      </c>
      <c r="B3579" s="26" t="s">
        <v>5551</v>
      </c>
      <c r="C3579" s="27" t="s">
        <v>521</v>
      </c>
      <c r="D3579" s="27" t="s">
        <v>709</v>
      </c>
      <c r="E3579" s="28">
        <v>37872</v>
      </c>
      <c r="F3579" s="28" t="s">
        <v>35</v>
      </c>
      <c r="G3579" s="28" t="s">
        <v>35</v>
      </c>
      <c r="H3579" s="29" t="s">
        <v>534</v>
      </c>
      <c r="I3579" s="29" t="s">
        <v>5428</v>
      </c>
      <c r="J3579" s="29" t="s">
        <v>1825</v>
      </c>
      <c r="K3579" s="29" t="s">
        <v>5546</v>
      </c>
      <c r="L3579" s="29" t="s">
        <v>3157</v>
      </c>
      <c r="M3579" s="29" t="s">
        <v>4604</v>
      </c>
      <c r="N3579" s="29" t="s">
        <v>4605</v>
      </c>
      <c r="O3579" s="29" t="s">
        <v>590</v>
      </c>
    </row>
    <row r="3580" spans="1:15">
      <c r="A3580" s="25">
        <v>1137</v>
      </c>
      <c r="B3580" s="26" t="s">
        <v>5552</v>
      </c>
      <c r="C3580" s="27" t="s">
        <v>521</v>
      </c>
      <c r="D3580" s="27" t="s">
        <v>1247</v>
      </c>
      <c r="E3580" s="28">
        <v>37900</v>
      </c>
      <c r="F3580" s="28" t="s">
        <v>35</v>
      </c>
      <c r="G3580" s="28" t="s">
        <v>35</v>
      </c>
      <c r="H3580" s="31" t="s">
        <v>534</v>
      </c>
      <c r="I3580" s="31" t="s">
        <v>5428</v>
      </c>
      <c r="J3580" s="29" t="s">
        <v>1825</v>
      </c>
      <c r="K3580" s="29" t="s">
        <v>5546</v>
      </c>
      <c r="L3580" s="29" t="s">
        <v>3157</v>
      </c>
      <c r="M3580" s="29" t="s">
        <v>5482</v>
      </c>
      <c r="N3580" s="29" t="s">
        <v>5483</v>
      </c>
      <c r="O3580" s="29" t="s">
        <v>590</v>
      </c>
    </row>
    <row r="3581" spans="1:15">
      <c r="A3581" s="25">
        <v>8697</v>
      </c>
      <c r="B3581" s="34" t="s">
        <v>5553</v>
      </c>
      <c r="C3581" s="31" t="s">
        <v>521</v>
      </c>
      <c r="D3581" s="29" t="s">
        <v>692</v>
      </c>
      <c r="E3581" s="28">
        <v>39888</v>
      </c>
      <c r="F3581" s="28" t="s">
        <v>35</v>
      </c>
      <c r="G3581" s="28" t="s">
        <v>35</v>
      </c>
      <c r="H3581" s="29" t="s">
        <v>534</v>
      </c>
      <c r="I3581" s="29" t="s">
        <v>5428</v>
      </c>
      <c r="J3581" s="29" t="s">
        <v>1825</v>
      </c>
      <c r="K3581" s="29" t="s">
        <v>5546</v>
      </c>
      <c r="L3581" s="29" t="s">
        <v>3157</v>
      </c>
      <c r="M3581" s="29" t="s">
        <v>4604</v>
      </c>
      <c r="N3581" s="29" t="s">
        <v>4605</v>
      </c>
      <c r="O3581" s="29" t="s">
        <v>590</v>
      </c>
    </row>
    <row r="3582" spans="1:15">
      <c r="A3582" s="25">
        <v>10536</v>
      </c>
      <c r="B3582" s="26" t="s">
        <v>5554</v>
      </c>
      <c r="C3582" s="27" t="s">
        <v>521</v>
      </c>
      <c r="D3582" s="27" t="s">
        <v>738</v>
      </c>
      <c r="E3582" s="28">
        <v>40535</v>
      </c>
      <c r="F3582" s="28" t="s">
        <v>35</v>
      </c>
      <c r="G3582" s="28" t="s">
        <v>35</v>
      </c>
      <c r="H3582" s="29" t="s">
        <v>534</v>
      </c>
      <c r="I3582" s="29" t="s">
        <v>5428</v>
      </c>
      <c r="J3582" s="29" t="s">
        <v>1825</v>
      </c>
      <c r="K3582" s="29" t="s">
        <v>5546</v>
      </c>
      <c r="L3582" s="29" t="s">
        <v>3157</v>
      </c>
      <c r="M3582" s="29" t="s">
        <v>4604</v>
      </c>
      <c r="N3582" s="29" t="s">
        <v>4605</v>
      </c>
      <c r="O3582" s="29" t="s">
        <v>590</v>
      </c>
    </row>
    <row r="3583" spans="1:15">
      <c r="A3583" s="25">
        <v>11248</v>
      </c>
      <c r="B3583" s="26" t="s">
        <v>5555</v>
      </c>
      <c r="C3583" s="27" t="s">
        <v>521</v>
      </c>
      <c r="D3583" s="27" t="s">
        <v>828</v>
      </c>
      <c r="E3583" s="28">
        <v>40617</v>
      </c>
      <c r="F3583" s="28" t="s">
        <v>35</v>
      </c>
      <c r="G3583" s="28" t="s">
        <v>35</v>
      </c>
      <c r="H3583" s="29" t="s">
        <v>534</v>
      </c>
      <c r="I3583" s="29" t="s">
        <v>5428</v>
      </c>
      <c r="J3583" s="29" t="s">
        <v>1825</v>
      </c>
      <c r="K3583" s="29" t="s">
        <v>5546</v>
      </c>
      <c r="L3583" s="29" t="s">
        <v>3157</v>
      </c>
      <c r="M3583" s="29" t="s">
        <v>5451</v>
      </c>
      <c r="N3583" s="29" t="s">
        <v>5451</v>
      </c>
      <c r="O3583" s="29" t="s">
        <v>590</v>
      </c>
    </row>
    <row r="3584" spans="1:15">
      <c r="A3584" s="25">
        <v>12950</v>
      </c>
      <c r="B3584" s="26" t="s">
        <v>5556</v>
      </c>
      <c r="C3584" s="27" t="s">
        <v>521</v>
      </c>
      <c r="D3584" s="27" t="s">
        <v>688</v>
      </c>
      <c r="E3584" s="28">
        <v>40833</v>
      </c>
      <c r="F3584" s="28" t="s">
        <v>35</v>
      </c>
      <c r="G3584" s="28" t="s">
        <v>35</v>
      </c>
      <c r="H3584" s="29" t="s">
        <v>534</v>
      </c>
      <c r="I3584" s="29" t="s">
        <v>5428</v>
      </c>
      <c r="J3584" s="29" t="s">
        <v>1825</v>
      </c>
      <c r="K3584" s="29" t="s">
        <v>5546</v>
      </c>
      <c r="L3584" s="29" t="s">
        <v>3157</v>
      </c>
      <c r="M3584" s="29" t="s">
        <v>5451</v>
      </c>
      <c r="N3584" s="29" t="s">
        <v>5451</v>
      </c>
      <c r="O3584" s="29" t="s">
        <v>590</v>
      </c>
    </row>
    <row r="3585" spans="1:15">
      <c r="A3585" s="25">
        <v>13053</v>
      </c>
      <c r="B3585" s="26" t="s">
        <v>5557</v>
      </c>
      <c r="C3585" s="27" t="s">
        <v>521</v>
      </c>
      <c r="D3585" s="27" t="s">
        <v>785</v>
      </c>
      <c r="E3585" s="28">
        <v>40844</v>
      </c>
      <c r="F3585" s="28" t="s">
        <v>35</v>
      </c>
      <c r="G3585" s="28" t="s">
        <v>35</v>
      </c>
      <c r="H3585" s="29" t="s">
        <v>534</v>
      </c>
      <c r="I3585" s="29" t="s">
        <v>5428</v>
      </c>
      <c r="J3585" s="29" t="s">
        <v>1825</v>
      </c>
      <c r="K3585" s="29" t="s">
        <v>5546</v>
      </c>
      <c r="L3585" s="29" t="s">
        <v>3157</v>
      </c>
      <c r="M3585" s="29" t="s">
        <v>4604</v>
      </c>
      <c r="N3585" s="29" t="s">
        <v>4605</v>
      </c>
      <c r="O3585" s="29" t="s">
        <v>590</v>
      </c>
    </row>
    <row r="3586" spans="1:15">
      <c r="A3586" s="25">
        <v>1054</v>
      </c>
      <c r="B3586" s="26" t="s">
        <v>5558</v>
      </c>
      <c r="C3586" s="27" t="s">
        <v>521</v>
      </c>
      <c r="D3586" s="27" t="s">
        <v>1139</v>
      </c>
      <c r="E3586" s="28">
        <v>37879</v>
      </c>
      <c r="F3586" s="28" t="s">
        <v>35</v>
      </c>
      <c r="G3586" s="28" t="s">
        <v>35</v>
      </c>
      <c r="H3586" s="31" t="s">
        <v>534</v>
      </c>
      <c r="I3586" s="31" t="s">
        <v>5428</v>
      </c>
      <c r="J3586" s="29" t="s">
        <v>1825</v>
      </c>
      <c r="K3586" s="29" t="s">
        <v>1825</v>
      </c>
      <c r="L3586" s="29" t="s">
        <v>3306</v>
      </c>
      <c r="M3586" s="29" t="s">
        <v>5482</v>
      </c>
      <c r="N3586" s="29" t="s">
        <v>5483</v>
      </c>
      <c r="O3586" s="29" t="s">
        <v>594</v>
      </c>
    </row>
    <row r="3587" spans="1:15">
      <c r="A3587" s="25">
        <v>6095</v>
      </c>
      <c r="B3587" s="26" t="s">
        <v>5446</v>
      </c>
      <c r="C3587" s="27" t="s">
        <v>521</v>
      </c>
      <c r="D3587" s="27" t="s">
        <v>591</v>
      </c>
      <c r="E3587" s="28">
        <v>39142</v>
      </c>
      <c r="F3587" s="28" t="s">
        <v>35</v>
      </c>
      <c r="G3587" s="28" t="s">
        <v>35</v>
      </c>
      <c r="H3587" s="29" t="s">
        <v>534</v>
      </c>
      <c r="I3587" s="29" t="s">
        <v>5428</v>
      </c>
      <c r="J3587" s="29" t="s">
        <v>1825</v>
      </c>
      <c r="K3587" s="29" t="s">
        <v>1825</v>
      </c>
      <c r="L3587" s="29" t="s">
        <v>3306</v>
      </c>
      <c r="M3587" s="29" t="s">
        <v>4604</v>
      </c>
      <c r="N3587" s="29" t="s">
        <v>4605</v>
      </c>
      <c r="O3587" s="29" t="s">
        <v>594</v>
      </c>
    </row>
    <row r="3588" spans="1:15">
      <c r="A3588" s="25">
        <v>11047</v>
      </c>
      <c r="B3588" s="26" t="s">
        <v>2931</v>
      </c>
      <c r="C3588" s="27" t="s">
        <v>521</v>
      </c>
      <c r="D3588" s="27" t="s">
        <v>1770</v>
      </c>
      <c r="E3588" s="28">
        <v>40592</v>
      </c>
      <c r="F3588" s="28" t="s">
        <v>35</v>
      </c>
      <c r="G3588" s="28" t="s">
        <v>35</v>
      </c>
      <c r="H3588" s="29" t="s">
        <v>534</v>
      </c>
      <c r="I3588" s="29" t="s">
        <v>5428</v>
      </c>
      <c r="J3588" s="29" t="s">
        <v>1825</v>
      </c>
      <c r="K3588" s="29" t="s">
        <v>1825</v>
      </c>
      <c r="L3588" s="29" t="s">
        <v>3306</v>
      </c>
      <c r="M3588" s="29" t="s">
        <v>5451</v>
      </c>
      <c r="N3588" s="29" t="s">
        <v>5451</v>
      </c>
      <c r="O3588" s="29" t="s">
        <v>594</v>
      </c>
    </row>
    <row r="3589" spans="1:15">
      <c r="A3589" s="25">
        <v>10517</v>
      </c>
      <c r="B3589" s="34" t="s">
        <v>5559</v>
      </c>
      <c r="C3589" s="31" t="s">
        <v>521</v>
      </c>
      <c r="D3589" s="31" t="s">
        <v>738</v>
      </c>
      <c r="E3589" s="28">
        <v>40535</v>
      </c>
      <c r="F3589" s="28" t="s">
        <v>35</v>
      </c>
      <c r="G3589" s="28" t="s">
        <v>35</v>
      </c>
      <c r="H3589" s="29" t="s">
        <v>534</v>
      </c>
      <c r="I3589" s="29" t="s">
        <v>5428</v>
      </c>
      <c r="J3589" s="29" t="s">
        <v>1825</v>
      </c>
      <c r="K3589" s="29" t="s">
        <v>1825</v>
      </c>
      <c r="L3589" s="29" t="s">
        <v>3306</v>
      </c>
      <c r="M3589" s="29" t="s">
        <v>5451</v>
      </c>
      <c r="N3589" s="29" t="s">
        <v>5451</v>
      </c>
      <c r="O3589" s="29" t="s">
        <v>590</v>
      </c>
    </row>
    <row r="3590" spans="1:15">
      <c r="A3590" s="25">
        <v>10853</v>
      </c>
      <c r="B3590" s="26" t="s">
        <v>470</v>
      </c>
      <c r="C3590" s="27" t="s">
        <v>521</v>
      </c>
      <c r="D3590" s="27" t="s">
        <v>795</v>
      </c>
      <c r="E3590" s="28">
        <v>40572</v>
      </c>
      <c r="F3590" s="28" t="s">
        <v>35</v>
      </c>
      <c r="G3590" s="28" t="s">
        <v>35</v>
      </c>
      <c r="H3590" s="27" t="s">
        <v>534</v>
      </c>
      <c r="I3590" s="27" t="s">
        <v>5428</v>
      </c>
      <c r="J3590" s="29" t="s">
        <v>1825</v>
      </c>
      <c r="K3590" s="29" t="s">
        <v>1825</v>
      </c>
      <c r="L3590" s="29" t="s">
        <v>3306</v>
      </c>
      <c r="M3590" s="29" t="s">
        <v>4604</v>
      </c>
      <c r="N3590" s="29" t="s">
        <v>4605</v>
      </c>
      <c r="O3590" s="29" t="s">
        <v>590</v>
      </c>
    </row>
    <row r="3591" spans="1:15">
      <c r="A3591" s="25">
        <v>8667</v>
      </c>
      <c r="B3591" s="33" t="s">
        <v>5560</v>
      </c>
      <c r="C3591" s="27" t="s">
        <v>521</v>
      </c>
      <c r="D3591" s="27" t="s">
        <v>1493</v>
      </c>
      <c r="E3591" s="28">
        <v>39878</v>
      </c>
      <c r="F3591" s="28" t="s">
        <v>35</v>
      </c>
      <c r="G3591" s="28" t="s">
        <v>35</v>
      </c>
      <c r="H3591" s="31" t="s">
        <v>534</v>
      </c>
      <c r="I3591" s="31" t="s">
        <v>5428</v>
      </c>
      <c r="J3591" s="29" t="s">
        <v>1825</v>
      </c>
      <c r="K3591" s="29" t="s">
        <v>1825</v>
      </c>
      <c r="L3591" s="29" t="s">
        <v>3434</v>
      </c>
      <c r="M3591" s="29" t="s">
        <v>4604</v>
      </c>
      <c r="N3591" s="29" t="s">
        <v>4605</v>
      </c>
      <c r="O3591" s="29" t="s">
        <v>528</v>
      </c>
    </row>
    <row r="3592" spans="1:15">
      <c r="A3592" s="25">
        <v>10527</v>
      </c>
      <c r="B3592" s="26" t="s">
        <v>5561</v>
      </c>
      <c r="C3592" s="27" t="s">
        <v>521</v>
      </c>
      <c r="D3592" s="27" t="s">
        <v>738</v>
      </c>
      <c r="E3592" s="28">
        <v>40535</v>
      </c>
      <c r="F3592" s="28" t="s">
        <v>35</v>
      </c>
      <c r="G3592" s="28" t="s">
        <v>35</v>
      </c>
      <c r="H3592" s="29" t="s">
        <v>534</v>
      </c>
      <c r="I3592" s="29" t="s">
        <v>5428</v>
      </c>
      <c r="J3592" s="29" t="s">
        <v>1825</v>
      </c>
      <c r="K3592" s="29" t="s">
        <v>1825</v>
      </c>
      <c r="L3592" s="29" t="s">
        <v>3434</v>
      </c>
      <c r="M3592" s="29" t="s">
        <v>5451</v>
      </c>
      <c r="N3592" s="29" t="s">
        <v>5451</v>
      </c>
      <c r="O3592" s="29" t="s">
        <v>528</v>
      </c>
    </row>
    <row r="3593" spans="1:15">
      <c r="A3593" s="25">
        <v>9159</v>
      </c>
      <c r="B3593" s="26" t="s">
        <v>3152</v>
      </c>
      <c r="C3593" s="27" t="s">
        <v>521</v>
      </c>
      <c r="D3593" s="27" t="s">
        <v>653</v>
      </c>
      <c r="E3593" s="28">
        <v>40000</v>
      </c>
      <c r="F3593" s="28" t="s">
        <v>35</v>
      </c>
      <c r="G3593" s="28" t="s">
        <v>35</v>
      </c>
      <c r="H3593" s="27" t="s">
        <v>534</v>
      </c>
      <c r="I3593" s="27" t="s">
        <v>5428</v>
      </c>
      <c r="J3593" s="29" t="s">
        <v>1825</v>
      </c>
      <c r="K3593" s="29" t="s">
        <v>1825</v>
      </c>
      <c r="L3593" s="29" t="s">
        <v>3434</v>
      </c>
      <c r="M3593" s="29" t="s">
        <v>5482</v>
      </c>
      <c r="N3593" s="29" t="s">
        <v>5483</v>
      </c>
      <c r="O3593" s="29" t="s">
        <v>590</v>
      </c>
    </row>
    <row r="3594" spans="1:15">
      <c r="A3594" s="25">
        <v>1088</v>
      </c>
      <c r="B3594" s="26" t="s">
        <v>5562</v>
      </c>
      <c r="C3594" s="27" t="s">
        <v>521</v>
      </c>
      <c r="D3594" s="27" t="s">
        <v>1411</v>
      </c>
      <c r="E3594" s="28">
        <v>37887</v>
      </c>
      <c r="F3594" s="28" t="s">
        <v>35</v>
      </c>
      <c r="G3594" s="28" t="s">
        <v>35</v>
      </c>
      <c r="H3594" s="27" t="s">
        <v>534</v>
      </c>
      <c r="I3594" s="27" t="s">
        <v>5428</v>
      </c>
      <c r="J3594" s="29" t="s">
        <v>1662</v>
      </c>
      <c r="K3594" s="29" t="s">
        <v>1662</v>
      </c>
      <c r="L3594" s="29" t="s">
        <v>3493</v>
      </c>
      <c r="M3594" s="29" t="s">
        <v>5482</v>
      </c>
      <c r="N3594" s="29" t="s">
        <v>5483</v>
      </c>
      <c r="O3594" s="29" t="s">
        <v>594</v>
      </c>
    </row>
    <row r="3595" spans="1:15">
      <c r="A3595" s="25">
        <v>9434</v>
      </c>
      <c r="B3595" s="26" t="s">
        <v>5563</v>
      </c>
      <c r="C3595" s="27" t="s">
        <v>521</v>
      </c>
      <c r="D3595" s="27" t="s">
        <v>658</v>
      </c>
      <c r="E3595" s="28">
        <v>40148</v>
      </c>
      <c r="F3595" s="28" t="s">
        <v>35</v>
      </c>
      <c r="G3595" s="28" t="s">
        <v>35</v>
      </c>
      <c r="H3595" s="31" t="s">
        <v>534</v>
      </c>
      <c r="I3595" s="31" t="s">
        <v>5428</v>
      </c>
      <c r="J3595" s="29" t="s">
        <v>1662</v>
      </c>
      <c r="K3595" s="29" t="s">
        <v>1662</v>
      </c>
      <c r="L3595" s="29" t="s">
        <v>3493</v>
      </c>
      <c r="M3595" s="29" t="s">
        <v>5451</v>
      </c>
      <c r="N3595" s="29" t="s">
        <v>5451</v>
      </c>
      <c r="O3595" s="29" t="s">
        <v>594</v>
      </c>
    </row>
    <row r="3596" spans="1:15">
      <c r="A3596" s="25">
        <v>12203</v>
      </c>
      <c r="B3596" s="26" t="s">
        <v>5564</v>
      </c>
      <c r="C3596" s="27" t="s">
        <v>521</v>
      </c>
      <c r="D3596" s="27" t="s">
        <v>750</v>
      </c>
      <c r="E3596" s="28">
        <v>40802</v>
      </c>
      <c r="F3596" s="28" t="s">
        <v>35</v>
      </c>
      <c r="G3596" s="28" t="s">
        <v>35</v>
      </c>
      <c r="H3596" s="29" t="s">
        <v>534</v>
      </c>
      <c r="I3596" s="29" t="s">
        <v>5428</v>
      </c>
      <c r="J3596" s="29" t="s">
        <v>1662</v>
      </c>
      <c r="K3596" s="29" t="s">
        <v>1662</v>
      </c>
      <c r="L3596" s="29" t="s">
        <v>3493</v>
      </c>
      <c r="M3596" s="29" t="s">
        <v>5451</v>
      </c>
      <c r="N3596" s="29" t="s">
        <v>5451</v>
      </c>
      <c r="O3596" s="29" t="s">
        <v>594</v>
      </c>
    </row>
    <row r="3597" spans="1:15">
      <c r="A3597" s="25">
        <v>21551</v>
      </c>
      <c r="B3597" s="34" t="s">
        <v>5565</v>
      </c>
      <c r="C3597" s="31" t="s">
        <v>521</v>
      </c>
      <c r="D3597" s="31" t="s">
        <v>1760</v>
      </c>
      <c r="E3597" s="28">
        <v>43045</v>
      </c>
      <c r="F3597" s="28">
        <v>43435</v>
      </c>
      <c r="G3597" s="28">
        <v>43799</v>
      </c>
      <c r="H3597" s="29" t="s">
        <v>534</v>
      </c>
      <c r="I3597" s="29" t="s">
        <v>5428</v>
      </c>
      <c r="J3597" s="29" t="s">
        <v>1662</v>
      </c>
      <c r="K3597" s="29" t="s">
        <v>1662</v>
      </c>
      <c r="L3597" s="29" t="s">
        <v>3493</v>
      </c>
      <c r="M3597" s="29" t="s">
        <v>5479</v>
      </c>
      <c r="N3597" s="29" t="s">
        <v>4605</v>
      </c>
      <c r="O3597" s="29" t="s">
        <v>594</v>
      </c>
    </row>
    <row r="3598" spans="1:15">
      <c r="A3598" s="25">
        <v>12870</v>
      </c>
      <c r="B3598" s="34" t="s">
        <v>5566</v>
      </c>
      <c r="C3598" s="31" t="s">
        <v>521</v>
      </c>
      <c r="D3598" s="31" t="s">
        <v>688</v>
      </c>
      <c r="E3598" s="28">
        <v>40833</v>
      </c>
      <c r="F3598" s="28" t="s">
        <v>35</v>
      </c>
      <c r="G3598" s="28" t="s">
        <v>35</v>
      </c>
      <c r="H3598" s="27" t="s">
        <v>534</v>
      </c>
      <c r="I3598" s="27" t="s">
        <v>5428</v>
      </c>
      <c r="J3598" s="29" t="s">
        <v>1662</v>
      </c>
      <c r="K3598" s="29" t="s">
        <v>1662</v>
      </c>
      <c r="L3598" s="29" t="s">
        <v>3493</v>
      </c>
      <c r="M3598" s="29" t="s">
        <v>5451</v>
      </c>
      <c r="N3598" s="29" t="s">
        <v>5451</v>
      </c>
      <c r="O3598" s="29" t="s">
        <v>590</v>
      </c>
    </row>
    <row r="3599" spans="1:15">
      <c r="A3599" s="25">
        <v>20509</v>
      </c>
      <c r="B3599" s="26" t="s">
        <v>5567</v>
      </c>
      <c r="C3599" s="27" t="s">
        <v>521</v>
      </c>
      <c r="D3599" s="27" t="s">
        <v>1644</v>
      </c>
      <c r="E3599" s="28">
        <v>42634</v>
      </c>
      <c r="F3599" s="28">
        <v>43132</v>
      </c>
      <c r="G3599" s="28">
        <v>43496</v>
      </c>
      <c r="H3599" s="25" t="s">
        <v>534</v>
      </c>
      <c r="I3599" s="27" t="s">
        <v>5428</v>
      </c>
      <c r="J3599" s="29" t="s">
        <v>1662</v>
      </c>
      <c r="K3599" s="29" t="s">
        <v>1662</v>
      </c>
      <c r="L3599" s="29" t="s">
        <v>3493</v>
      </c>
      <c r="M3599" s="29" t="s">
        <v>5451</v>
      </c>
      <c r="N3599" s="29" t="s">
        <v>5451</v>
      </c>
      <c r="O3599" s="29" t="s">
        <v>590</v>
      </c>
    </row>
    <row r="3600" spans="1:15">
      <c r="A3600" s="25">
        <v>21516</v>
      </c>
      <c r="B3600" s="34" t="s">
        <v>5568</v>
      </c>
      <c r="C3600" s="31" t="s">
        <v>521</v>
      </c>
      <c r="D3600" s="31" t="s">
        <v>1760</v>
      </c>
      <c r="E3600" s="28">
        <v>43045</v>
      </c>
      <c r="F3600" s="28">
        <v>43435</v>
      </c>
      <c r="G3600" s="28">
        <v>43799</v>
      </c>
      <c r="H3600" s="29" t="s">
        <v>534</v>
      </c>
      <c r="I3600" s="29" t="s">
        <v>5428</v>
      </c>
      <c r="J3600" s="29" t="s">
        <v>1662</v>
      </c>
      <c r="K3600" s="29" t="s">
        <v>1662</v>
      </c>
      <c r="L3600" s="29" t="s">
        <v>3493</v>
      </c>
      <c r="M3600" s="29" t="s">
        <v>5479</v>
      </c>
      <c r="N3600" s="29" t="s">
        <v>4605</v>
      </c>
      <c r="O3600" s="29" t="s">
        <v>590</v>
      </c>
    </row>
    <row r="3601" spans="1:15">
      <c r="A3601" s="25">
        <v>8779</v>
      </c>
      <c r="B3601" s="26" t="s">
        <v>5569</v>
      </c>
      <c r="C3601" s="27" t="s">
        <v>521</v>
      </c>
      <c r="D3601" s="27" t="s">
        <v>747</v>
      </c>
      <c r="E3601" s="28">
        <v>39931</v>
      </c>
      <c r="F3601" s="28" t="s">
        <v>35</v>
      </c>
      <c r="G3601" s="28" t="s">
        <v>35</v>
      </c>
      <c r="H3601" s="29" t="s">
        <v>534</v>
      </c>
      <c r="I3601" s="29" t="s">
        <v>5428</v>
      </c>
      <c r="J3601" s="29" t="s">
        <v>1662</v>
      </c>
      <c r="K3601" s="29" t="s">
        <v>1662</v>
      </c>
      <c r="L3601" s="29" t="s">
        <v>3654</v>
      </c>
      <c r="M3601" s="29" t="s">
        <v>2030</v>
      </c>
      <c r="N3601" s="29" t="s">
        <v>2031</v>
      </c>
      <c r="O3601" s="29" t="s">
        <v>594</v>
      </c>
    </row>
    <row r="3602" spans="1:15">
      <c r="A3602" s="25">
        <v>9644</v>
      </c>
      <c r="B3602" s="26" t="s">
        <v>3621</v>
      </c>
      <c r="C3602" s="27" t="s">
        <v>521</v>
      </c>
      <c r="D3602" s="25" t="s">
        <v>1598</v>
      </c>
      <c r="E3602" s="28">
        <v>40179</v>
      </c>
      <c r="F3602" s="28" t="s">
        <v>35</v>
      </c>
      <c r="G3602" s="28" t="s">
        <v>35</v>
      </c>
      <c r="H3602" s="31" t="s">
        <v>534</v>
      </c>
      <c r="I3602" s="31" t="s">
        <v>5428</v>
      </c>
      <c r="J3602" s="29" t="s">
        <v>1662</v>
      </c>
      <c r="K3602" s="29" t="s">
        <v>1662</v>
      </c>
      <c r="L3602" s="29" t="s">
        <v>3654</v>
      </c>
      <c r="M3602" s="29" t="s">
        <v>5482</v>
      </c>
      <c r="N3602" s="29" t="s">
        <v>5483</v>
      </c>
      <c r="O3602" s="29" t="s">
        <v>590</v>
      </c>
    </row>
    <row r="3603" spans="1:15">
      <c r="A3603" s="25">
        <v>22046</v>
      </c>
      <c r="B3603" s="34" t="s">
        <v>5570</v>
      </c>
      <c r="C3603" s="31" t="s">
        <v>521</v>
      </c>
      <c r="D3603" s="31" t="s">
        <v>631</v>
      </c>
      <c r="E3603" s="28">
        <v>43144</v>
      </c>
      <c r="F3603" s="28">
        <v>43172</v>
      </c>
      <c r="G3603" s="28">
        <v>43524</v>
      </c>
      <c r="H3603" s="29" t="s">
        <v>534</v>
      </c>
      <c r="I3603" s="29" t="s">
        <v>5428</v>
      </c>
      <c r="J3603" s="29" t="s">
        <v>1662</v>
      </c>
      <c r="K3603" s="29" t="s">
        <v>1662</v>
      </c>
      <c r="L3603" s="29" t="s">
        <v>3654</v>
      </c>
      <c r="M3603" s="29" t="s">
        <v>2030</v>
      </c>
      <c r="N3603" s="29" t="s">
        <v>2031</v>
      </c>
      <c r="O3603" s="29" t="s">
        <v>590</v>
      </c>
    </row>
    <row r="3604" spans="1:15">
      <c r="A3604" s="25">
        <v>5882</v>
      </c>
      <c r="B3604" s="26" t="s">
        <v>5571</v>
      </c>
      <c r="C3604" s="27" t="s">
        <v>521</v>
      </c>
      <c r="D3604" s="27" t="s">
        <v>713</v>
      </c>
      <c r="E3604" s="28">
        <v>39129</v>
      </c>
      <c r="F3604" s="28" t="s">
        <v>35</v>
      </c>
      <c r="G3604" s="28" t="s">
        <v>35</v>
      </c>
      <c r="H3604" s="29" t="s">
        <v>534</v>
      </c>
      <c r="I3604" s="29" t="s">
        <v>5428</v>
      </c>
      <c r="J3604" s="29" t="s">
        <v>1662</v>
      </c>
      <c r="K3604" s="29" t="s">
        <v>1662</v>
      </c>
      <c r="L3604" s="29" t="s">
        <v>3680</v>
      </c>
      <c r="M3604" s="29" t="s">
        <v>5451</v>
      </c>
      <c r="N3604" s="29" t="s">
        <v>5451</v>
      </c>
      <c r="O3604" s="29" t="s">
        <v>594</v>
      </c>
    </row>
    <row r="3605" spans="1:15">
      <c r="A3605" s="25">
        <v>11755</v>
      </c>
      <c r="B3605" s="33" t="s">
        <v>2146</v>
      </c>
      <c r="C3605" s="27" t="s">
        <v>521</v>
      </c>
      <c r="D3605" s="27" t="s">
        <v>675</v>
      </c>
      <c r="E3605" s="28">
        <v>40714</v>
      </c>
      <c r="F3605" s="28" t="s">
        <v>35</v>
      </c>
      <c r="G3605" s="28" t="s">
        <v>35</v>
      </c>
      <c r="H3605" s="31" t="s">
        <v>534</v>
      </c>
      <c r="I3605" s="31" t="s">
        <v>5428</v>
      </c>
      <c r="J3605" s="29" t="s">
        <v>1662</v>
      </c>
      <c r="K3605" s="29" t="s">
        <v>1662</v>
      </c>
      <c r="L3605" s="29" t="s">
        <v>3680</v>
      </c>
      <c r="M3605" s="29" t="s">
        <v>5451</v>
      </c>
      <c r="N3605" s="29" t="s">
        <v>5451</v>
      </c>
      <c r="O3605" s="29" t="s">
        <v>594</v>
      </c>
    </row>
    <row r="3606" spans="1:15">
      <c r="A3606" s="25">
        <v>814</v>
      </c>
      <c r="B3606" s="33" t="s">
        <v>5572</v>
      </c>
      <c r="C3606" s="27" t="s">
        <v>521</v>
      </c>
      <c r="D3606" s="27" t="s">
        <v>734</v>
      </c>
      <c r="E3606" s="28">
        <v>37837</v>
      </c>
      <c r="F3606" s="28" t="s">
        <v>35</v>
      </c>
      <c r="G3606" s="28" t="s">
        <v>35</v>
      </c>
      <c r="H3606" s="31" t="s">
        <v>534</v>
      </c>
      <c r="I3606" s="31" t="s">
        <v>5428</v>
      </c>
      <c r="J3606" s="29" t="s">
        <v>1662</v>
      </c>
      <c r="K3606" s="29" t="s">
        <v>1662</v>
      </c>
      <c r="L3606" s="29" t="s">
        <v>3680</v>
      </c>
      <c r="M3606" s="29" t="s">
        <v>5451</v>
      </c>
      <c r="N3606" s="29" t="s">
        <v>5451</v>
      </c>
      <c r="O3606" s="29" t="s">
        <v>590</v>
      </c>
    </row>
    <row r="3607" spans="1:15">
      <c r="A3607" s="25">
        <v>21346</v>
      </c>
      <c r="B3607" s="34" t="s">
        <v>5573</v>
      </c>
      <c r="C3607" s="31" t="s">
        <v>521</v>
      </c>
      <c r="D3607" s="31" t="s">
        <v>2162</v>
      </c>
      <c r="E3607" s="28">
        <v>43013</v>
      </c>
      <c r="F3607" s="28">
        <v>43405</v>
      </c>
      <c r="G3607" s="28">
        <v>43769</v>
      </c>
      <c r="H3607" s="29" t="s">
        <v>534</v>
      </c>
      <c r="I3607" s="29" t="s">
        <v>5428</v>
      </c>
      <c r="J3607" s="29" t="s">
        <v>1662</v>
      </c>
      <c r="K3607" s="29" t="s">
        <v>1662</v>
      </c>
      <c r="L3607" s="29" t="s">
        <v>3680</v>
      </c>
      <c r="M3607" s="29" t="s">
        <v>5451</v>
      </c>
      <c r="N3607" s="29" t="s">
        <v>5451</v>
      </c>
      <c r="O3607" s="29" t="s">
        <v>590</v>
      </c>
    </row>
    <row r="3608" spans="1:15">
      <c r="A3608" s="25">
        <v>13142</v>
      </c>
      <c r="B3608" s="26" t="s">
        <v>5574</v>
      </c>
      <c r="C3608" s="27" t="s">
        <v>521</v>
      </c>
      <c r="D3608" s="27" t="s">
        <v>1485</v>
      </c>
      <c r="E3608" s="28">
        <v>40889</v>
      </c>
      <c r="F3608" s="28" t="s">
        <v>35</v>
      </c>
      <c r="G3608" s="28" t="s">
        <v>35</v>
      </c>
      <c r="H3608" s="29" t="s">
        <v>534</v>
      </c>
      <c r="I3608" s="29" t="s">
        <v>5428</v>
      </c>
      <c r="J3608" s="29" t="s">
        <v>1662</v>
      </c>
      <c r="K3608" s="29" t="s">
        <v>1662</v>
      </c>
      <c r="L3608" s="29" t="s">
        <v>3743</v>
      </c>
      <c r="M3608" s="29" t="s">
        <v>2030</v>
      </c>
      <c r="N3608" s="29" t="s">
        <v>2031</v>
      </c>
      <c r="O3608" s="29" t="s">
        <v>594</v>
      </c>
    </row>
    <row r="3609" spans="1:15">
      <c r="A3609" s="25">
        <v>21519</v>
      </c>
      <c r="B3609" s="34" t="s">
        <v>5575</v>
      </c>
      <c r="C3609" s="31" t="s">
        <v>521</v>
      </c>
      <c r="D3609" s="31" t="s">
        <v>1760</v>
      </c>
      <c r="E3609" s="28">
        <v>43045</v>
      </c>
      <c r="F3609" s="28">
        <v>43435</v>
      </c>
      <c r="G3609" s="28">
        <v>43799</v>
      </c>
      <c r="H3609" s="29" t="s">
        <v>534</v>
      </c>
      <c r="I3609" s="29" t="s">
        <v>5428</v>
      </c>
      <c r="J3609" s="29" t="s">
        <v>1662</v>
      </c>
      <c r="K3609" s="29" t="s">
        <v>1662</v>
      </c>
      <c r="L3609" s="29" t="s">
        <v>3743</v>
      </c>
      <c r="M3609" s="29" t="s">
        <v>2030</v>
      </c>
      <c r="N3609" s="29" t="s">
        <v>2031</v>
      </c>
      <c r="O3609" s="29" t="s">
        <v>594</v>
      </c>
    </row>
    <row r="3610" spans="1:15">
      <c r="A3610" s="25">
        <v>8669</v>
      </c>
      <c r="B3610" s="34" t="s">
        <v>5576</v>
      </c>
      <c r="C3610" s="31" t="s">
        <v>521</v>
      </c>
      <c r="D3610" s="31" t="s">
        <v>1493</v>
      </c>
      <c r="E3610" s="28">
        <v>39878</v>
      </c>
      <c r="F3610" s="28" t="s">
        <v>35</v>
      </c>
      <c r="G3610" s="28" t="s">
        <v>35</v>
      </c>
      <c r="H3610" s="29" t="s">
        <v>534</v>
      </c>
      <c r="I3610" s="29" t="s">
        <v>5428</v>
      </c>
      <c r="J3610" s="29" t="s">
        <v>1662</v>
      </c>
      <c r="K3610" s="29" t="s">
        <v>1662</v>
      </c>
      <c r="L3610" s="29" t="s">
        <v>3743</v>
      </c>
      <c r="M3610" s="29" t="s">
        <v>2030</v>
      </c>
      <c r="N3610" s="29" t="s">
        <v>2031</v>
      </c>
      <c r="O3610" s="29" t="s">
        <v>590</v>
      </c>
    </row>
    <row r="3611" spans="1:15">
      <c r="A3611" s="25">
        <v>20539</v>
      </c>
      <c r="B3611" s="26" t="s">
        <v>5577</v>
      </c>
      <c r="C3611" s="27" t="s">
        <v>521</v>
      </c>
      <c r="D3611" s="27" t="s">
        <v>1644</v>
      </c>
      <c r="E3611" s="28">
        <v>42634</v>
      </c>
      <c r="F3611" s="28">
        <v>43132</v>
      </c>
      <c r="G3611" s="28">
        <v>43496</v>
      </c>
      <c r="H3611" s="29" t="s">
        <v>534</v>
      </c>
      <c r="I3611" s="29" t="s">
        <v>5428</v>
      </c>
      <c r="J3611" s="29" t="s">
        <v>1662</v>
      </c>
      <c r="K3611" s="29" t="s">
        <v>1662</v>
      </c>
      <c r="L3611" s="29" t="s">
        <v>3743</v>
      </c>
      <c r="M3611" s="29" t="s">
        <v>2030</v>
      </c>
      <c r="N3611" s="29" t="s">
        <v>2031</v>
      </c>
      <c r="O3611" s="29" t="s">
        <v>590</v>
      </c>
    </row>
    <row r="3612" spans="1:15">
      <c r="A3612" s="25">
        <v>9925</v>
      </c>
      <c r="B3612" s="26" t="s">
        <v>5578</v>
      </c>
      <c r="C3612" s="27" t="s">
        <v>521</v>
      </c>
      <c r="D3612" s="27" t="s">
        <v>803</v>
      </c>
      <c r="E3612" s="28">
        <v>40431</v>
      </c>
      <c r="F3612" s="28" t="s">
        <v>35</v>
      </c>
      <c r="G3612" s="28" t="s">
        <v>35</v>
      </c>
      <c r="H3612" s="29" t="s">
        <v>534</v>
      </c>
      <c r="I3612" s="29" t="s">
        <v>5428</v>
      </c>
      <c r="J3612" s="29" t="s">
        <v>1662</v>
      </c>
      <c r="K3612" s="29" t="s">
        <v>1662</v>
      </c>
      <c r="L3612" s="29" t="s">
        <v>3786</v>
      </c>
      <c r="M3612" s="29" t="s">
        <v>2030</v>
      </c>
      <c r="N3612" s="29" t="s">
        <v>2031</v>
      </c>
      <c r="O3612" s="29" t="s">
        <v>594</v>
      </c>
    </row>
    <row r="3613" spans="1:15">
      <c r="A3613" s="25">
        <v>21232</v>
      </c>
      <c r="B3613" s="34" t="s">
        <v>5579</v>
      </c>
      <c r="C3613" s="31" t="s">
        <v>521</v>
      </c>
      <c r="D3613" s="31" t="s">
        <v>2670</v>
      </c>
      <c r="E3613" s="28">
        <v>42893</v>
      </c>
      <c r="F3613" s="28">
        <v>43374</v>
      </c>
      <c r="G3613" s="28">
        <v>43738</v>
      </c>
      <c r="H3613" s="29" t="s">
        <v>534</v>
      </c>
      <c r="I3613" s="29" t="s">
        <v>5428</v>
      </c>
      <c r="J3613" s="29" t="s">
        <v>1662</v>
      </c>
      <c r="K3613" s="29" t="s">
        <v>1662</v>
      </c>
      <c r="L3613" s="29" t="s">
        <v>3786</v>
      </c>
      <c r="M3613" s="29" t="s">
        <v>2030</v>
      </c>
      <c r="N3613" s="29" t="s">
        <v>2031</v>
      </c>
      <c r="O3613" s="29" t="s">
        <v>594</v>
      </c>
    </row>
    <row r="3614" spans="1:15">
      <c r="A3614" s="25">
        <v>1139</v>
      </c>
      <c r="B3614" s="26" t="s">
        <v>5580</v>
      </c>
      <c r="C3614" s="27" t="s">
        <v>521</v>
      </c>
      <c r="D3614" s="27" t="s">
        <v>1247</v>
      </c>
      <c r="E3614" s="28">
        <v>37900</v>
      </c>
      <c r="F3614" s="28" t="s">
        <v>35</v>
      </c>
      <c r="G3614" s="28" t="s">
        <v>35</v>
      </c>
      <c r="H3614" s="27" t="s">
        <v>534</v>
      </c>
      <c r="I3614" s="27" t="s">
        <v>5428</v>
      </c>
      <c r="J3614" s="29" t="s">
        <v>1662</v>
      </c>
      <c r="K3614" s="29" t="s">
        <v>1662</v>
      </c>
      <c r="L3614" s="29" t="s">
        <v>3786</v>
      </c>
      <c r="M3614" s="29" t="s">
        <v>2030</v>
      </c>
      <c r="N3614" s="29" t="s">
        <v>2031</v>
      </c>
      <c r="O3614" s="29" t="s">
        <v>590</v>
      </c>
    </row>
    <row r="3615" spans="1:15">
      <c r="A3615" s="25">
        <v>23003</v>
      </c>
      <c r="B3615" s="34" t="s">
        <v>5581</v>
      </c>
      <c r="C3615" s="31" t="s">
        <v>521</v>
      </c>
      <c r="D3615" s="31" t="s">
        <v>1872</v>
      </c>
      <c r="E3615" s="28">
        <v>43361</v>
      </c>
      <c r="F3615" s="28">
        <v>43391</v>
      </c>
      <c r="G3615" s="28">
        <v>43769</v>
      </c>
      <c r="H3615" s="29" t="s">
        <v>534</v>
      </c>
      <c r="I3615" s="29" t="s">
        <v>5428</v>
      </c>
      <c r="J3615" s="29" t="s">
        <v>1662</v>
      </c>
      <c r="K3615" s="29" t="s">
        <v>1662</v>
      </c>
      <c r="L3615" s="29" t="s">
        <v>3786</v>
      </c>
      <c r="M3615" s="29" t="s">
        <v>2030</v>
      </c>
      <c r="N3615" s="29" t="s">
        <v>2031</v>
      </c>
      <c r="O3615" s="29" t="s">
        <v>590</v>
      </c>
    </row>
    <row r="3616" spans="1:15">
      <c r="A3616" s="25">
        <v>6056</v>
      </c>
      <c r="B3616" s="26" t="s">
        <v>5582</v>
      </c>
      <c r="C3616" s="27" t="s">
        <v>521</v>
      </c>
      <c r="D3616" s="27" t="s">
        <v>591</v>
      </c>
      <c r="E3616" s="28">
        <v>39142</v>
      </c>
      <c r="F3616" s="28" t="s">
        <v>35</v>
      </c>
      <c r="G3616" s="28" t="s">
        <v>35</v>
      </c>
      <c r="H3616" s="29" t="s">
        <v>534</v>
      </c>
      <c r="I3616" s="29" t="s">
        <v>5428</v>
      </c>
      <c r="J3616" s="29" t="s">
        <v>3805</v>
      </c>
      <c r="K3616" s="29" t="s">
        <v>3805</v>
      </c>
      <c r="L3616" s="29" t="s">
        <v>3807</v>
      </c>
      <c r="M3616" s="29" t="s">
        <v>5482</v>
      </c>
      <c r="N3616" s="29" t="s">
        <v>5483</v>
      </c>
      <c r="O3616" s="29" t="s">
        <v>594</v>
      </c>
    </row>
    <row r="3617" spans="1:15">
      <c r="A3617" s="25">
        <v>11079</v>
      </c>
      <c r="B3617" s="26" t="s">
        <v>5583</v>
      </c>
      <c r="C3617" s="27" t="s">
        <v>521</v>
      </c>
      <c r="D3617" s="27" t="s">
        <v>1420</v>
      </c>
      <c r="E3617" s="28">
        <v>40595</v>
      </c>
      <c r="F3617" s="28" t="s">
        <v>35</v>
      </c>
      <c r="G3617" s="28" t="s">
        <v>35</v>
      </c>
      <c r="H3617" s="27" t="s">
        <v>534</v>
      </c>
      <c r="I3617" s="27" t="s">
        <v>5428</v>
      </c>
      <c r="J3617" s="29" t="s">
        <v>3805</v>
      </c>
      <c r="K3617" s="29" t="s">
        <v>3805</v>
      </c>
      <c r="L3617" s="29" t="s">
        <v>3807</v>
      </c>
      <c r="M3617" s="29" t="s">
        <v>5451</v>
      </c>
      <c r="N3617" s="29" t="s">
        <v>5451</v>
      </c>
      <c r="O3617" s="29" t="s">
        <v>594</v>
      </c>
    </row>
    <row r="3618" spans="1:15">
      <c r="A3618" s="25">
        <v>11690</v>
      </c>
      <c r="B3618" s="26" t="s">
        <v>5584</v>
      </c>
      <c r="C3618" s="27" t="s">
        <v>521</v>
      </c>
      <c r="D3618" s="25" t="s">
        <v>675</v>
      </c>
      <c r="E3618" s="28">
        <v>40714</v>
      </c>
      <c r="F3618" s="28" t="s">
        <v>35</v>
      </c>
      <c r="G3618" s="28" t="s">
        <v>35</v>
      </c>
      <c r="H3618" s="27" t="s">
        <v>534</v>
      </c>
      <c r="I3618" s="27" t="s">
        <v>5428</v>
      </c>
      <c r="J3618" s="29" t="s">
        <v>3805</v>
      </c>
      <c r="K3618" s="29" t="s">
        <v>3805</v>
      </c>
      <c r="L3618" s="29" t="s">
        <v>3807</v>
      </c>
      <c r="M3618" s="29" t="s">
        <v>4604</v>
      </c>
      <c r="N3618" s="29" t="s">
        <v>4605</v>
      </c>
      <c r="O3618" s="29" t="s">
        <v>594</v>
      </c>
    </row>
    <row r="3619" spans="1:15">
      <c r="A3619" s="25">
        <v>12386</v>
      </c>
      <c r="B3619" s="26" t="s">
        <v>5585</v>
      </c>
      <c r="C3619" s="27" t="s">
        <v>521</v>
      </c>
      <c r="D3619" s="27" t="s">
        <v>724</v>
      </c>
      <c r="E3619" s="28">
        <v>40809</v>
      </c>
      <c r="F3619" s="28" t="s">
        <v>35</v>
      </c>
      <c r="G3619" s="28" t="s">
        <v>35</v>
      </c>
      <c r="H3619" s="29" t="s">
        <v>534</v>
      </c>
      <c r="I3619" s="29" t="s">
        <v>5428</v>
      </c>
      <c r="J3619" s="29" t="s">
        <v>3805</v>
      </c>
      <c r="K3619" s="29" t="s">
        <v>3805</v>
      </c>
      <c r="L3619" s="29" t="s">
        <v>3807</v>
      </c>
      <c r="M3619" s="29" t="s">
        <v>4604</v>
      </c>
      <c r="N3619" s="29" t="s">
        <v>4605</v>
      </c>
      <c r="O3619" s="29" t="s">
        <v>594</v>
      </c>
    </row>
    <row r="3620" spans="1:15">
      <c r="A3620" s="25">
        <v>4401</v>
      </c>
      <c r="B3620" s="26" t="s">
        <v>5586</v>
      </c>
      <c r="C3620" s="27" t="s">
        <v>521</v>
      </c>
      <c r="D3620" s="27" t="s">
        <v>5587</v>
      </c>
      <c r="E3620" s="28">
        <v>38754</v>
      </c>
      <c r="F3620" s="28" t="s">
        <v>35</v>
      </c>
      <c r="G3620" s="28" t="s">
        <v>35</v>
      </c>
      <c r="H3620" s="27" t="s">
        <v>534</v>
      </c>
      <c r="I3620" s="27" t="s">
        <v>5428</v>
      </c>
      <c r="J3620" s="29" t="s">
        <v>3805</v>
      </c>
      <c r="K3620" s="29" t="s">
        <v>3805</v>
      </c>
      <c r="L3620" s="29" t="s">
        <v>3807</v>
      </c>
      <c r="M3620" s="29" t="s">
        <v>4604</v>
      </c>
      <c r="N3620" s="29" t="s">
        <v>4605</v>
      </c>
      <c r="O3620" s="29" t="s">
        <v>590</v>
      </c>
    </row>
    <row r="3621" spans="1:15">
      <c r="A3621" s="25">
        <v>12343</v>
      </c>
      <c r="B3621" s="33" t="s">
        <v>5588</v>
      </c>
      <c r="C3621" s="27" t="s">
        <v>521</v>
      </c>
      <c r="D3621" s="27" t="s">
        <v>817</v>
      </c>
      <c r="E3621" s="28">
        <v>40805</v>
      </c>
      <c r="F3621" s="28" t="s">
        <v>35</v>
      </c>
      <c r="G3621" s="28" t="s">
        <v>35</v>
      </c>
      <c r="H3621" s="31" t="s">
        <v>534</v>
      </c>
      <c r="I3621" s="31" t="s">
        <v>5428</v>
      </c>
      <c r="J3621" s="29" t="s">
        <v>3805</v>
      </c>
      <c r="K3621" s="29" t="s">
        <v>3805</v>
      </c>
      <c r="L3621" s="29" t="s">
        <v>3807</v>
      </c>
      <c r="M3621" s="29" t="s">
        <v>4604</v>
      </c>
      <c r="N3621" s="29" t="s">
        <v>4605</v>
      </c>
      <c r="O3621" s="29" t="s">
        <v>590</v>
      </c>
    </row>
    <row r="3622" spans="1:15">
      <c r="A3622" s="25">
        <v>21540</v>
      </c>
      <c r="B3622" s="34" t="s">
        <v>5589</v>
      </c>
      <c r="C3622" s="31" t="s">
        <v>521</v>
      </c>
      <c r="D3622" s="31" t="s">
        <v>1760</v>
      </c>
      <c r="E3622" s="28">
        <v>43045</v>
      </c>
      <c r="F3622" s="28">
        <v>43435</v>
      </c>
      <c r="G3622" s="28">
        <v>43799</v>
      </c>
      <c r="H3622" s="29" t="s">
        <v>534</v>
      </c>
      <c r="I3622" s="29" t="s">
        <v>5428</v>
      </c>
      <c r="J3622" s="29" t="s">
        <v>3805</v>
      </c>
      <c r="K3622" s="29" t="s">
        <v>3805</v>
      </c>
      <c r="L3622" s="29" t="s">
        <v>3807</v>
      </c>
      <c r="M3622" s="29" t="s">
        <v>5451</v>
      </c>
      <c r="N3622" s="29" t="s">
        <v>5451</v>
      </c>
      <c r="O3622" s="29" t="s">
        <v>590</v>
      </c>
    </row>
    <row r="3623" spans="1:15">
      <c r="A3623" s="25">
        <v>10244</v>
      </c>
      <c r="B3623" s="34" t="s">
        <v>5590</v>
      </c>
      <c r="C3623" s="31" t="s">
        <v>521</v>
      </c>
      <c r="D3623" s="31" t="s">
        <v>681</v>
      </c>
      <c r="E3623" s="28">
        <v>40497</v>
      </c>
      <c r="F3623" s="28" t="s">
        <v>35</v>
      </c>
      <c r="G3623" s="28" t="s">
        <v>35</v>
      </c>
      <c r="H3623" s="29" t="s">
        <v>534</v>
      </c>
      <c r="I3623" s="29" t="s">
        <v>5428</v>
      </c>
      <c r="J3623" s="29" t="s">
        <v>5591</v>
      </c>
      <c r="K3623" s="29" t="s">
        <v>2369</v>
      </c>
      <c r="L3623" s="29" t="s">
        <v>3896</v>
      </c>
      <c r="M3623" s="29" t="s">
        <v>4604</v>
      </c>
      <c r="N3623" s="29" t="s">
        <v>4605</v>
      </c>
      <c r="O3623" s="29" t="s">
        <v>594</v>
      </c>
    </row>
    <row r="3624" spans="1:15">
      <c r="A3624" s="25">
        <v>10784</v>
      </c>
      <c r="B3624" s="33" t="s">
        <v>5592</v>
      </c>
      <c r="C3624" s="27" t="s">
        <v>521</v>
      </c>
      <c r="D3624" s="27" t="s">
        <v>838</v>
      </c>
      <c r="E3624" s="28">
        <v>40567</v>
      </c>
      <c r="F3624" s="28" t="s">
        <v>35</v>
      </c>
      <c r="G3624" s="28" t="s">
        <v>35</v>
      </c>
      <c r="H3624" s="31" t="s">
        <v>534</v>
      </c>
      <c r="I3624" s="31" t="s">
        <v>5428</v>
      </c>
      <c r="J3624" s="29" t="s">
        <v>5591</v>
      </c>
      <c r="K3624" s="29" t="s">
        <v>2369</v>
      </c>
      <c r="L3624" s="29" t="s">
        <v>3896</v>
      </c>
      <c r="M3624" s="29" t="s">
        <v>5482</v>
      </c>
      <c r="N3624" s="29" t="s">
        <v>5483</v>
      </c>
      <c r="O3624" s="29" t="s">
        <v>594</v>
      </c>
    </row>
    <row r="3625" spans="1:15">
      <c r="A3625" s="25">
        <v>11608</v>
      </c>
      <c r="B3625" s="32" t="s">
        <v>5593</v>
      </c>
      <c r="C3625" s="27" t="s">
        <v>521</v>
      </c>
      <c r="D3625" s="27" t="s">
        <v>841</v>
      </c>
      <c r="E3625" s="28">
        <v>40707</v>
      </c>
      <c r="F3625" s="28" t="s">
        <v>35</v>
      </c>
      <c r="G3625" s="28" t="s">
        <v>35</v>
      </c>
      <c r="H3625" s="27" t="s">
        <v>534</v>
      </c>
      <c r="I3625" s="31" t="s">
        <v>5428</v>
      </c>
      <c r="J3625" s="29" t="s">
        <v>5591</v>
      </c>
      <c r="K3625" s="29" t="s">
        <v>2369</v>
      </c>
      <c r="L3625" s="29" t="s">
        <v>3896</v>
      </c>
      <c r="M3625" s="29" t="s">
        <v>4604</v>
      </c>
      <c r="N3625" s="29" t="s">
        <v>4605</v>
      </c>
      <c r="O3625" s="29" t="s">
        <v>594</v>
      </c>
    </row>
    <row r="3626" spans="1:15">
      <c r="A3626" s="25">
        <v>21200</v>
      </c>
      <c r="B3626" s="26" t="s">
        <v>5594</v>
      </c>
      <c r="C3626" s="27" t="s">
        <v>521</v>
      </c>
      <c r="D3626" s="27" t="s">
        <v>2480</v>
      </c>
      <c r="E3626" s="28">
        <v>42877</v>
      </c>
      <c r="F3626" s="28">
        <v>43374</v>
      </c>
      <c r="G3626" s="28">
        <v>43738</v>
      </c>
      <c r="H3626" s="29" t="s">
        <v>534</v>
      </c>
      <c r="I3626" s="29" t="s">
        <v>5428</v>
      </c>
      <c r="J3626" s="29" t="s">
        <v>5591</v>
      </c>
      <c r="K3626" s="29" t="s">
        <v>2369</v>
      </c>
      <c r="L3626" s="29" t="s">
        <v>3896</v>
      </c>
      <c r="M3626" s="29" t="s">
        <v>5451</v>
      </c>
      <c r="N3626" s="29" t="s">
        <v>5451</v>
      </c>
      <c r="O3626" s="29" t="s">
        <v>594</v>
      </c>
    </row>
    <row r="3627" spans="1:15">
      <c r="A3627" s="25">
        <v>11619</v>
      </c>
      <c r="B3627" s="26" t="s">
        <v>5595</v>
      </c>
      <c r="C3627" s="27" t="s">
        <v>521</v>
      </c>
      <c r="D3627" s="27" t="s">
        <v>841</v>
      </c>
      <c r="E3627" s="28">
        <v>40707</v>
      </c>
      <c r="F3627" s="28" t="s">
        <v>35</v>
      </c>
      <c r="G3627" s="28" t="s">
        <v>35</v>
      </c>
      <c r="H3627" s="31" t="s">
        <v>534</v>
      </c>
      <c r="I3627" s="31" t="s">
        <v>5428</v>
      </c>
      <c r="J3627" s="29" t="s">
        <v>5591</v>
      </c>
      <c r="K3627" s="29" t="s">
        <v>2369</v>
      </c>
      <c r="L3627" s="29" t="s">
        <v>3896</v>
      </c>
      <c r="M3627" s="29" t="s">
        <v>4604</v>
      </c>
      <c r="N3627" s="29" t="s">
        <v>4605</v>
      </c>
      <c r="O3627" s="29" t="s">
        <v>590</v>
      </c>
    </row>
    <row r="3628" spans="1:15">
      <c r="A3628" s="25">
        <v>12692</v>
      </c>
      <c r="B3628" s="26" t="s">
        <v>5596</v>
      </c>
      <c r="C3628" s="27" t="s">
        <v>521</v>
      </c>
      <c r="D3628" s="27" t="s">
        <v>1739</v>
      </c>
      <c r="E3628" s="28">
        <v>40819</v>
      </c>
      <c r="F3628" s="28" t="s">
        <v>35</v>
      </c>
      <c r="G3628" s="28" t="s">
        <v>35</v>
      </c>
      <c r="H3628" s="31" t="s">
        <v>534</v>
      </c>
      <c r="I3628" s="31" t="s">
        <v>5428</v>
      </c>
      <c r="J3628" s="29" t="s">
        <v>5591</v>
      </c>
      <c r="K3628" s="29" t="s">
        <v>2369</v>
      </c>
      <c r="L3628" s="29" t="s">
        <v>3896</v>
      </c>
      <c r="M3628" s="29" t="s">
        <v>4604</v>
      </c>
      <c r="N3628" s="29" t="s">
        <v>4605</v>
      </c>
      <c r="O3628" s="29" t="s">
        <v>590</v>
      </c>
    </row>
    <row r="3629" spans="1:15">
      <c r="A3629" s="25">
        <v>21485</v>
      </c>
      <c r="B3629" s="34" t="s">
        <v>5597</v>
      </c>
      <c r="C3629" s="31" t="s">
        <v>521</v>
      </c>
      <c r="D3629" s="31" t="s">
        <v>1804</v>
      </c>
      <c r="E3629" s="28">
        <v>43031</v>
      </c>
      <c r="F3629" s="28">
        <v>43435</v>
      </c>
      <c r="G3629" s="28">
        <v>43799</v>
      </c>
      <c r="H3629" s="29" t="s">
        <v>534</v>
      </c>
      <c r="I3629" s="29" t="s">
        <v>5428</v>
      </c>
      <c r="J3629" s="29" t="s">
        <v>5591</v>
      </c>
      <c r="K3629" s="29" t="s">
        <v>2369</v>
      </c>
      <c r="L3629" s="29" t="s">
        <v>3896</v>
      </c>
      <c r="M3629" s="29" t="s">
        <v>5451</v>
      </c>
      <c r="N3629" s="29" t="s">
        <v>5451</v>
      </c>
      <c r="O3629" s="29" t="s">
        <v>590</v>
      </c>
    </row>
    <row r="3630" spans="1:15">
      <c r="A3630" s="25">
        <v>5548</v>
      </c>
      <c r="B3630" s="33" t="s">
        <v>284</v>
      </c>
      <c r="C3630" s="27" t="s">
        <v>521</v>
      </c>
      <c r="D3630" s="27" t="s">
        <v>1064</v>
      </c>
      <c r="E3630" s="28">
        <v>39052</v>
      </c>
      <c r="F3630" s="28" t="s">
        <v>35</v>
      </c>
      <c r="G3630" s="28" t="s">
        <v>35</v>
      </c>
      <c r="H3630" s="31" t="s">
        <v>534</v>
      </c>
      <c r="I3630" s="31" t="s">
        <v>5428</v>
      </c>
      <c r="J3630" s="27" t="s">
        <v>3957</v>
      </c>
      <c r="K3630" s="29" t="s">
        <v>3958</v>
      </c>
      <c r="L3630" s="29" t="s">
        <v>3959</v>
      </c>
      <c r="M3630" s="29" t="s">
        <v>5598</v>
      </c>
      <c r="N3630" s="29" t="s">
        <v>4605</v>
      </c>
      <c r="O3630" s="29" t="s">
        <v>594</v>
      </c>
    </row>
    <row r="3631" spans="1:15">
      <c r="A3631" s="25">
        <v>9466</v>
      </c>
      <c r="B3631" s="26" t="s">
        <v>5239</v>
      </c>
      <c r="C3631" s="27" t="s">
        <v>521</v>
      </c>
      <c r="D3631" s="27" t="s">
        <v>658</v>
      </c>
      <c r="E3631" s="28">
        <v>40148</v>
      </c>
      <c r="F3631" s="28" t="s">
        <v>35</v>
      </c>
      <c r="G3631" s="28" t="s">
        <v>35</v>
      </c>
      <c r="H3631" s="31" t="s">
        <v>534</v>
      </c>
      <c r="I3631" s="31" t="s">
        <v>5428</v>
      </c>
      <c r="J3631" s="27" t="s">
        <v>3957</v>
      </c>
      <c r="K3631" s="29" t="s">
        <v>3958</v>
      </c>
      <c r="L3631" s="29" t="s">
        <v>3959</v>
      </c>
      <c r="M3631" s="29" t="s">
        <v>5599</v>
      </c>
      <c r="N3631" s="29" t="s">
        <v>4605</v>
      </c>
      <c r="O3631" s="29" t="s">
        <v>594</v>
      </c>
    </row>
    <row r="3632" spans="1:15">
      <c r="A3632" s="25">
        <v>9972</v>
      </c>
      <c r="B3632" s="26" t="s">
        <v>5600</v>
      </c>
      <c r="C3632" s="27" t="s">
        <v>521</v>
      </c>
      <c r="D3632" s="27" t="s">
        <v>803</v>
      </c>
      <c r="E3632" s="28">
        <v>40431</v>
      </c>
      <c r="F3632" s="28" t="s">
        <v>35</v>
      </c>
      <c r="G3632" s="28" t="s">
        <v>35</v>
      </c>
      <c r="H3632" s="29" t="s">
        <v>534</v>
      </c>
      <c r="I3632" s="29" t="s">
        <v>5428</v>
      </c>
      <c r="J3632" s="29" t="s">
        <v>3957</v>
      </c>
      <c r="K3632" s="29" t="s">
        <v>3958</v>
      </c>
      <c r="L3632" s="29" t="s">
        <v>3959</v>
      </c>
      <c r="M3632" s="29" t="s">
        <v>5601</v>
      </c>
      <c r="N3632" s="29" t="s">
        <v>4605</v>
      </c>
      <c r="O3632" s="29" t="s">
        <v>594</v>
      </c>
    </row>
    <row r="3633" spans="1:15">
      <c r="A3633" s="25">
        <v>21038</v>
      </c>
      <c r="B3633" s="26" t="s">
        <v>5602</v>
      </c>
      <c r="C3633" s="27" t="s">
        <v>521</v>
      </c>
      <c r="D3633" s="27" t="s">
        <v>1067</v>
      </c>
      <c r="E3633" s="28">
        <v>42863</v>
      </c>
      <c r="F3633" s="28">
        <v>43344</v>
      </c>
      <c r="G3633" s="28">
        <v>43708</v>
      </c>
      <c r="H3633" s="27" t="s">
        <v>534</v>
      </c>
      <c r="I3633" s="27" t="s">
        <v>5428</v>
      </c>
      <c r="J3633" s="29" t="s">
        <v>3957</v>
      </c>
      <c r="K3633" s="29" t="s">
        <v>3958</v>
      </c>
      <c r="L3633" s="29" t="s">
        <v>3959</v>
      </c>
      <c r="M3633" s="29" t="s">
        <v>5479</v>
      </c>
      <c r="N3633" s="29" t="s">
        <v>4605</v>
      </c>
      <c r="O3633" s="29" t="s">
        <v>594</v>
      </c>
    </row>
    <row r="3634" spans="1:15">
      <c r="A3634" s="25">
        <v>10202</v>
      </c>
      <c r="B3634" s="26" t="s">
        <v>5603</v>
      </c>
      <c r="C3634" s="27" t="s">
        <v>521</v>
      </c>
      <c r="D3634" s="27" t="s">
        <v>787</v>
      </c>
      <c r="E3634" s="28">
        <v>40458</v>
      </c>
      <c r="F3634" s="28" t="s">
        <v>35</v>
      </c>
      <c r="G3634" s="28" t="s">
        <v>35</v>
      </c>
      <c r="H3634" s="27" t="s">
        <v>534</v>
      </c>
      <c r="I3634" s="27" t="s">
        <v>5428</v>
      </c>
      <c r="J3634" s="29" t="s">
        <v>3957</v>
      </c>
      <c r="K3634" s="29" t="s">
        <v>3958</v>
      </c>
      <c r="L3634" s="29" t="s">
        <v>3959</v>
      </c>
      <c r="M3634" s="29" t="s">
        <v>5601</v>
      </c>
      <c r="N3634" s="29" t="s">
        <v>4605</v>
      </c>
      <c r="O3634" s="29" t="s">
        <v>590</v>
      </c>
    </row>
    <row r="3635" spans="1:15">
      <c r="A3635" s="25">
        <v>19613</v>
      </c>
      <c r="B3635" s="26" t="s">
        <v>5604</v>
      </c>
      <c r="C3635" s="27" t="s">
        <v>521</v>
      </c>
      <c r="D3635" s="27" t="s">
        <v>1464</v>
      </c>
      <c r="E3635" s="28">
        <v>42475</v>
      </c>
      <c r="F3635" s="28" t="s">
        <v>35</v>
      </c>
      <c r="G3635" s="28" t="s">
        <v>35</v>
      </c>
      <c r="H3635" s="27" t="s">
        <v>534</v>
      </c>
      <c r="I3635" s="27" t="s">
        <v>5428</v>
      </c>
      <c r="J3635" s="27" t="s">
        <v>3957</v>
      </c>
      <c r="K3635" s="29" t="s">
        <v>3958</v>
      </c>
      <c r="L3635" s="29" t="s">
        <v>3959</v>
      </c>
      <c r="M3635" s="29" t="s">
        <v>5598</v>
      </c>
      <c r="N3635" s="29" t="s">
        <v>4605</v>
      </c>
      <c r="O3635" s="29" t="s">
        <v>590</v>
      </c>
    </row>
    <row r="3636" spans="1:15">
      <c r="A3636" s="25">
        <v>20915</v>
      </c>
      <c r="B3636" s="26" t="s">
        <v>5605</v>
      </c>
      <c r="C3636" s="27" t="s">
        <v>521</v>
      </c>
      <c r="D3636" s="27" t="s">
        <v>807</v>
      </c>
      <c r="E3636" s="28">
        <v>42660</v>
      </c>
      <c r="F3636" s="28">
        <v>43160</v>
      </c>
      <c r="G3636" s="28">
        <v>43524</v>
      </c>
      <c r="H3636" s="27" t="s">
        <v>534</v>
      </c>
      <c r="I3636" s="27" t="s">
        <v>5428</v>
      </c>
      <c r="J3636" s="29" t="s">
        <v>3957</v>
      </c>
      <c r="K3636" s="29" t="s">
        <v>3958</v>
      </c>
      <c r="L3636" s="29" t="s">
        <v>3959</v>
      </c>
      <c r="M3636" s="29" t="s">
        <v>5479</v>
      </c>
      <c r="N3636" s="29" t="s">
        <v>4605</v>
      </c>
      <c r="O3636" s="29" t="s">
        <v>590</v>
      </c>
    </row>
    <row r="3637" spans="1:15">
      <c r="A3637" s="25" t="s">
        <v>5606</v>
      </c>
      <c r="B3637" s="26" t="s">
        <v>5607</v>
      </c>
      <c r="C3637" s="27" t="s">
        <v>521</v>
      </c>
      <c r="D3637" s="27" t="s">
        <v>5608</v>
      </c>
      <c r="E3637" s="28">
        <v>41452</v>
      </c>
      <c r="F3637" s="28" t="s">
        <v>35</v>
      </c>
      <c r="G3637" s="28" t="s">
        <v>35</v>
      </c>
      <c r="H3637" s="31" t="s">
        <v>534</v>
      </c>
      <c r="I3637" s="31" t="s">
        <v>5428</v>
      </c>
      <c r="J3637" s="29" t="s">
        <v>3957</v>
      </c>
      <c r="K3637" s="29" t="s">
        <v>3958</v>
      </c>
      <c r="L3637" s="29" t="s">
        <v>3959</v>
      </c>
      <c r="M3637" s="29" t="s">
        <v>5599</v>
      </c>
      <c r="N3637" s="29" t="s">
        <v>4605</v>
      </c>
      <c r="O3637" s="29" t="s">
        <v>590</v>
      </c>
    </row>
    <row r="3638" spans="1:15">
      <c r="A3638" s="25" t="s">
        <v>5609</v>
      </c>
      <c r="B3638" s="33" t="s">
        <v>5610</v>
      </c>
      <c r="C3638" s="27" t="s">
        <v>521</v>
      </c>
      <c r="D3638" s="27" t="s">
        <v>778</v>
      </c>
      <c r="E3638" s="28">
        <v>40854</v>
      </c>
      <c r="F3638" s="28" t="s">
        <v>35</v>
      </c>
      <c r="G3638" s="28" t="s">
        <v>35</v>
      </c>
      <c r="H3638" s="29" t="s">
        <v>534</v>
      </c>
      <c r="I3638" s="29" t="s">
        <v>5428</v>
      </c>
      <c r="J3638" s="29" t="s">
        <v>1930</v>
      </c>
      <c r="K3638" s="29" t="s">
        <v>4051</v>
      </c>
      <c r="L3638" s="29" t="s">
        <v>4052</v>
      </c>
      <c r="M3638" s="29" t="s">
        <v>5611</v>
      </c>
      <c r="N3638" s="29" t="s">
        <v>4605</v>
      </c>
      <c r="O3638" s="29" t="s">
        <v>594</v>
      </c>
    </row>
    <row r="3639" spans="1:15">
      <c r="A3639" s="25">
        <v>11007</v>
      </c>
      <c r="B3639" s="26" t="s">
        <v>86</v>
      </c>
      <c r="C3639" s="27" t="s">
        <v>521</v>
      </c>
      <c r="D3639" s="27" t="s">
        <v>1516</v>
      </c>
      <c r="E3639" s="28">
        <v>40585</v>
      </c>
      <c r="F3639" s="28" t="s">
        <v>35</v>
      </c>
      <c r="G3639" s="28" t="s">
        <v>35</v>
      </c>
      <c r="H3639" s="29" t="s">
        <v>534</v>
      </c>
      <c r="I3639" s="29" t="s">
        <v>5428</v>
      </c>
      <c r="J3639" s="29" t="s">
        <v>1930</v>
      </c>
      <c r="K3639" s="29" t="s">
        <v>4051</v>
      </c>
      <c r="L3639" s="29" t="s">
        <v>4052</v>
      </c>
      <c r="M3639" s="29" t="s">
        <v>5612</v>
      </c>
      <c r="N3639" s="29" t="s">
        <v>4605</v>
      </c>
      <c r="O3639" s="29" t="s">
        <v>590</v>
      </c>
    </row>
    <row r="3640" spans="1:15">
      <c r="A3640" s="25">
        <v>20622</v>
      </c>
      <c r="B3640" s="26" t="s">
        <v>5613</v>
      </c>
      <c r="C3640" s="27" t="s">
        <v>521</v>
      </c>
      <c r="D3640" s="27" t="s">
        <v>673</v>
      </c>
      <c r="E3640" s="28">
        <v>42639</v>
      </c>
      <c r="F3640" s="28">
        <v>43132</v>
      </c>
      <c r="G3640" s="28">
        <v>43496</v>
      </c>
      <c r="H3640" s="29" t="s">
        <v>534</v>
      </c>
      <c r="I3640" s="29" t="s">
        <v>5428</v>
      </c>
      <c r="J3640" s="29" t="s">
        <v>1930</v>
      </c>
      <c r="K3640" s="29" t="s">
        <v>4051</v>
      </c>
      <c r="L3640" s="29" t="s">
        <v>4052</v>
      </c>
      <c r="M3640" s="29" t="s">
        <v>5614</v>
      </c>
      <c r="N3640" s="29" t="s">
        <v>4605</v>
      </c>
      <c r="O3640" s="29" t="s">
        <v>590</v>
      </c>
    </row>
    <row r="3641" spans="1:15">
      <c r="A3641" s="25">
        <v>264</v>
      </c>
      <c r="B3641" s="32" t="s">
        <v>5615</v>
      </c>
      <c r="C3641" s="27" t="s">
        <v>521</v>
      </c>
      <c r="D3641" s="27" t="s">
        <v>644</v>
      </c>
      <c r="E3641" s="28">
        <v>37704</v>
      </c>
      <c r="F3641" s="28" t="s">
        <v>35</v>
      </c>
      <c r="G3641" s="28" t="s">
        <v>35</v>
      </c>
      <c r="H3641" s="27" t="s">
        <v>534</v>
      </c>
      <c r="I3641" s="31" t="s">
        <v>5428</v>
      </c>
      <c r="J3641" s="27" t="s">
        <v>1654</v>
      </c>
      <c r="K3641" s="29" t="s">
        <v>1800</v>
      </c>
      <c r="L3641" s="29" t="s">
        <v>4084</v>
      </c>
      <c r="M3641" s="29" t="s">
        <v>4604</v>
      </c>
      <c r="N3641" s="29" t="s">
        <v>4605</v>
      </c>
      <c r="O3641" s="29" t="s">
        <v>594</v>
      </c>
    </row>
    <row r="3642" spans="1:15">
      <c r="A3642" s="25">
        <v>9845</v>
      </c>
      <c r="B3642" s="34" t="s">
        <v>5616</v>
      </c>
      <c r="C3642" s="31" t="s">
        <v>521</v>
      </c>
      <c r="D3642" s="27" t="s">
        <v>802</v>
      </c>
      <c r="E3642" s="28">
        <v>40411</v>
      </c>
      <c r="F3642" s="28" t="s">
        <v>35</v>
      </c>
      <c r="G3642" s="28" t="s">
        <v>35</v>
      </c>
      <c r="H3642" s="27" t="s">
        <v>534</v>
      </c>
      <c r="I3642" s="27" t="s">
        <v>5428</v>
      </c>
      <c r="J3642" s="27" t="s">
        <v>1654</v>
      </c>
      <c r="K3642" s="29" t="s">
        <v>1800</v>
      </c>
      <c r="L3642" s="29" t="s">
        <v>4084</v>
      </c>
      <c r="M3642" s="29" t="s">
        <v>4604</v>
      </c>
      <c r="N3642" s="29" t="s">
        <v>4605</v>
      </c>
      <c r="O3642" s="29" t="s">
        <v>594</v>
      </c>
    </row>
    <row r="3643" spans="1:15">
      <c r="A3643" s="25">
        <v>10936</v>
      </c>
      <c r="B3643" s="26" t="s">
        <v>5617</v>
      </c>
      <c r="C3643" s="27" t="s">
        <v>521</v>
      </c>
      <c r="D3643" s="27" t="s">
        <v>670</v>
      </c>
      <c r="E3643" s="28">
        <v>40578</v>
      </c>
      <c r="F3643" s="28" t="s">
        <v>35</v>
      </c>
      <c r="G3643" s="28" t="s">
        <v>35</v>
      </c>
      <c r="H3643" s="29" t="s">
        <v>534</v>
      </c>
      <c r="I3643" s="29" t="s">
        <v>5428</v>
      </c>
      <c r="J3643" s="29" t="s">
        <v>1654</v>
      </c>
      <c r="K3643" s="29" t="s">
        <v>1800</v>
      </c>
      <c r="L3643" s="29" t="s">
        <v>4084</v>
      </c>
      <c r="M3643" s="29" t="s">
        <v>4604</v>
      </c>
      <c r="N3643" s="29" t="s">
        <v>4605</v>
      </c>
      <c r="O3643" s="29" t="s">
        <v>594</v>
      </c>
    </row>
    <row r="3644" spans="1:15">
      <c r="A3644" s="25">
        <v>20807</v>
      </c>
      <c r="B3644" s="26" t="s">
        <v>931</v>
      </c>
      <c r="C3644" s="27" t="s">
        <v>521</v>
      </c>
      <c r="D3644" s="27" t="s">
        <v>1684</v>
      </c>
      <c r="E3644" s="28">
        <v>42649</v>
      </c>
      <c r="F3644" s="28">
        <v>43132</v>
      </c>
      <c r="G3644" s="28">
        <v>43496</v>
      </c>
      <c r="H3644" s="29" t="s">
        <v>534</v>
      </c>
      <c r="I3644" s="29" t="s">
        <v>5428</v>
      </c>
      <c r="J3644" s="29" t="s">
        <v>1654</v>
      </c>
      <c r="K3644" s="29" t="s">
        <v>1800</v>
      </c>
      <c r="L3644" s="29" t="s">
        <v>4084</v>
      </c>
      <c r="M3644" s="29" t="s">
        <v>4604</v>
      </c>
      <c r="N3644" s="29" t="s">
        <v>4605</v>
      </c>
      <c r="O3644" s="29" t="s">
        <v>594</v>
      </c>
    </row>
    <row r="3645" spans="1:15">
      <c r="A3645" s="25">
        <v>414</v>
      </c>
      <c r="B3645" s="26" t="s">
        <v>5618</v>
      </c>
      <c r="C3645" s="27" t="s">
        <v>521</v>
      </c>
      <c r="D3645" s="27" t="s">
        <v>1351</v>
      </c>
      <c r="E3645" s="28">
        <v>37739</v>
      </c>
      <c r="F3645" s="28" t="s">
        <v>35</v>
      </c>
      <c r="G3645" s="28" t="s">
        <v>35</v>
      </c>
      <c r="H3645" s="31" t="s">
        <v>534</v>
      </c>
      <c r="I3645" s="31" t="s">
        <v>5428</v>
      </c>
      <c r="J3645" s="29" t="s">
        <v>1654</v>
      </c>
      <c r="K3645" s="29" t="s">
        <v>1800</v>
      </c>
      <c r="L3645" s="29" t="s">
        <v>4084</v>
      </c>
      <c r="M3645" s="29" t="s">
        <v>4604</v>
      </c>
      <c r="N3645" s="29" t="s">
        <v>4605</v>
      </c>
      <c r="O3645" s="29" t="s">
        <v>590</v>
      </c>
    </row>
    <row r="3646" spans="1:15">
      <c r="A3646" s="25">
        <v>10176</v>
      </c>
      <c r="B3646" s="34" t="s">
        <v>5619</v>
      </c>
      <c r="C3646" s="31" t="s">
        <v>521</v>
      </c>
      <c r="D3646" s="31" t="s">
        <v>787</v>
      </c>
      <c r="E3646" s="28">
        <v>40458</v>
      </c>
      <c r="F3646" s="28" t="s">
        <v>35</v>
      </c>
      <c r="G3646" s="28" t="s">
        <v>35</v>
      </c>
      <c r="H3646" s="31" t="s">
        <v>534</v>
      </c>
      <c r="I3646" s="31" t="s">
        <v>5428</v>
      </c>
      <c r="J3646" s="29" t="s">
        <v>1654</v>
      </c>
      <c r="K3646" s="29" t="s">
        <v>1800</v>
      </c>
      <c r="L3646" s="29" t="s">
        <v>4084</v>
      </c>
      <c r="M3646" s="29" t="s">
        <v>4604</v>
      </c>
      <c r="N3646" s="29" t="s">
        <v>4605</v>
      </c>
      <c r="O3646" s="29" t="s">
        <v>590</v>
      </c>
    </row>
    <row r="3647" spans="1:15">
      <c r="A3647" s="25">
        <v>11550</v>
      </c>
      <c r="B3647" s="33" t="s">
        <v>5620</v>
      </c>
      <c r="C3647" s="27" t="s">
        <v>521</v>
      </c>
      <c r="D3647" s="27" t="s">
        <v>841</v>
      </c>
      <c r="E3647" s="28">
        <v>40707</v>
      </c>
      <c r="F3647" s="28" t="s">
        <v>35</v>
      </c>
      <c r="G3647" s="28" t="s">
        <v>35</v>
      </c>
      <c r="H3647" s="31" t="s">
        <v>534</v>
      </c>
      <c r="I3647" s="31" t="s">
        <v>5428</v>
      </c>
      <c r="J3647" s="27" t="s">
        <v>1654</v>
      </c>
      <c r="K3647" s="29" t="s">
        <v>1800</v>
      </c>
      <c r="L3647" s="29" t="s">
        <v>4084</v>
      </c>
      <c r="M3647" s="29" t="s">
        <v>4604</v>
      </c>
      <c r="N3647" s="29" t="s">
        <v>4605</v>
      </c>
      <c r="O3647" s="29" t="s">
        <v>590</v>
      </c>
    </row>
    <row r="3648" spans="1:15">
      <c r="A3648" s="25">
        <v>1266</v>
      </c>
      <c r="B3648" s="26" t="s">
        <v>5621</v>
      </c>
      <c r="C3648" s="27" t="s">
        <v>521</v>
      </c>
      <c r="D3648" s="27" t="s">
        <v>1458</v>
      </c>
      <c r="E3648" s="28">
        <v>37921</v>
      </c>
      <c r="F3648" s="28" t="s">
        <v>35</v>
      </c>
      <c r="G3648" s="28" t="s">
        <v>35</v>
      </c>
      <c r="H3648" s="31" t="s">
        <v>534</v>
      </c>
      <c r="I3648" s="31" t="s">
        <v>5428</v>
      </c>
      <c r="J3648" s="27" t="s">
        <v>4132</v>
      </c>
      <c r="K3648" s="27" t="s">
        <v>4132</v>
      </c>
      <c r="L3648" s="27" t="s">
        <v>4133</v>
      </c>
      <c r="M3648" s="27" t="s">
        <v>4604</v>
      </c>
      <c r="N3648" s="27" t="s">
        <v>4605</v>
      </c>
      <c r="O3648" s="27" t="s">
        <v>594</v>
      </c>
    </row>
    <row r="3649" spans="1:15">
      <c r="A3649" s="25">
        <v>20806</v>
      </c>
      <c r="B3649" s="26" t="s">
        <v>5622</v>
      </c>
      <c r="C3649" s="27" t="s">
        <v>521</v>
      </c>
      <c r="D3649" s="27" t="s">
        <v>1684</v>
      </c>
      <c r="E3649" s="28">
        <v>42649</v>
      </c>
      <c r="F3649" s="28">
        <v>43132</v>
      </c>
      <c r="G3649" s="28">
        <v>43496</v>
      </c>
      <c r="H3649" s="27" t="s">
        <v>534</v>
      </c>
      <c r="I3649" s="27" t="s">
        <v>5428</v>
      </c>
      <c r="J3649" s="29" t="s">
        <v>4132</v>
      </c>
      <c r="K3649" s="29" t="s">
        <v>4132</v>
      </c>
      <c r="L3649" s="29" t="s">
        <v>4133</v>
      </c>
      <c r="M3649" s="29" t="s">
        <v>5479</v>
      </c>
      <c r="N3649" s="29" t="s">
        <v>4605</v>
      </c>
      <c r="O3649" s="29" t="s">
        <v>594</v>
      </c>
    </row>
    <row r="3650" spans="1:15">
      <c r="A3650" s="25">
        <v>11461</v>
      </c>
      <c r="B3650" s="26" t="s">
        <v>5623</v>
      </c>
      <c r="C3650" s="27" t="s">
        <v>521</v>
      </c>
      <c r="D3650" s="27" t="s">
        <v>711</v>
      </c>
      <c r="E3650" s="28">
        <v>40701</v>
      </c>
      <c r="F3650" s="28" t="s">
        <v>35</v>
      </c>
      <c r="G3650" s="28" t="s">
        <v>35</v>
      </c>
      <c r="H3650" s="29" t="s">
        <v>534</v>
      </c>
      <c r="I3650" s="29" t="s">
        <v>5428</v>
      </c>
      <c r="J3650" s="29" t="s">
        <v>4132</v>
      </c>
      <c r="K3650" s="29" t="s">
        <v>4132</v>
      </c>
      <c r="L3650" s="29" t="s">
        <v>4133</v>
      </c>
      <c r="M3650" s="29" t="s">
        <v>4604</v>
      </c>
      <c r="N3650" s="29" t="s">
        <v>4605</v>
      </c>
      <c r="O3650" s="29" t="s">
        <v>590</v>
      </c>
    </row>
    <row r="3651" spans="1:15">
      <c r="A3651" s="25">
        <v>22662</v>
      </c>
      <c r="B3651" s="34" t="s">
        <v>5624</v>
      </c>
      <c r="C3651" s="31" t="s">
        <v>521</v>
      </c>
      <c r="D3651" s="31" t="s">
        <v>1199</v>
      </c>
      <c r="E3651" s="28">
        <v>43241</v>
      </c>
      <c r="F3651" s="28">
        <v>43272</v>
      </c>
      <c r="G3651" s="28">
        <v>43646</v>
      </c>
      <c r="H3651" s="29" t="s">
        <v>534</v>
      </c>
      <c r="I3651" s="29" t="s">
        <v>5428</v>
      </c>
      <c r="J3651" s="29" t="s">
        <v>4132</v>
      </c>
      <c r="K3651" s="29" t="s">
        <v>4132</v>
      </c>
      <c r="L3651" s="29" t="s">
        <v>4133</v>
      </c>
      <c r="M3651" s="29" t="s">
        <v>5479</v>
      </c>
      <c r="N3651" s="29" t="s">
        <v>4605</v>
      </c>
      <c r="O3651" s="29" t="s">
        <v>590</v>
      </c>
    </row>
    <row r="3652" spans="1:15">
      <c r="A3652" s="25">
        <v>6165</v>
      </c>
      <c r="B3652" s="33" t="s">
        <v>1744</v>
      </c>
      <c r="C3652" s="27" t="s">
        <v>521</v>
      </c>
      <c r="D3652" s="27" t="s">
        <v>576</v>
      </c>
      <c r="E3652" s="28">
        <v>39157</v>
      </c>
      <c r="F3652" s="28" t="s">
        <v>35</v>
      </c>
      <c r="G3652" s="28" t="s">
        <v>35</v>
      </c>
      <c r="H3652" s="27" t="s">
        <v>534</v>
      </c>
      <c r="I3652" s="27" t="s">
        <v>5428</v>
      </c>
      <c r="J3652" s="27" t="s">
        <v>1930</v>
      </c>
      <c r="K3652" s="29" t="s">
        <v>4193</v>
      </c>
      <c r="L3652" s="29" t="s">
        <v>4194</v>
      </c>
      <c r="M3652" s="29" t="s">
        <v>4604</v>
      </c>
      <c r="N3652" s="29" t="s">
        <v>4605</v>
      </c>
      <c r="O3652" s="29" t="s">
        <v>594</v>
      </c>
    </row>
    <row r="3653" spans="1:15">
      <c r="A3653" s="25">
        <v>13135</v>
      </c>
      <c r="B3653" s="26" t="s">
        <v>5625</v>
      </c>
      <c r="C3653" s="27" t="s">
        <v>521</v>
      </c>
      <c r="D3653" s="27" t="s">
        <v>5626</v>
      </c>
      <c r="E3653" s="28">
        <v>40882</v>
      </c>
      <c r="F3653" s="28" t="s">
        <v>35</v>
      </c>
      <c r="G3653" s="28" t="s">
        <v>35</v>
      </c>
      <c r="H3653" s="27" t="s">
        <v>534</v>
      </c>
      <c r="I3653" s="27" t="s">
        <v>5428</v>
      </c>
      <c r="J3653" s="27" t="s">
        <v>1930</v>
      </c>
      <c r="K3653" s="29" t="s">
        <v>4193</v>
      </c>
      <c r="L3653" s="29" t="s">
        <v>4194</v>
      </c>
      <c r="M3653" s="29" t="s">
        <v>5611</v>
      </c>
      <c r="N3653" s="29" t="s">
        <v>4605</v>
      </c>
      <c r="O3653" s="29" t="s">
        <v>594</v>
      </c>
    </row>
    <row r="3654" spans="1:15">
      <c r="A3654" s="25">
        <v>13471</v>
      </c>
      <c r="B3654" s="26" t="s">
        <v>5627</v>
      </c>
      <c r="C3654" s="27" t="s">
        <v>521</v>
      </c>
      <c r="D3654" s="27" t="s">
        <v>2952</v>
      </c>
      <c r="E3654" s="28">
        <v>40945</v>
      </c>
      <c r="F3654" s="28" t="s">
        <v>35</v>
      </c>
      <c r="G3654" s="28" t="s">
        <v>35</v>
      </c>
      <c r="H3654" s="29" t="s">
        <v>534</v>
      </c>
      <c r="I3654" s="29" t="s">
        <v>5428</v>
      </c>
      <c r="J3654" s="29" t="s">
        <v>1930</v>
      </c>
      <c r="K3654" s="29" t="s">
        <v>4193</v>
      </c>
      <c r="L3654" s="29" t="s">
        <v>4194</v>
      </c>
      <c r="M3654" s="29" t="s">
        <v>5611</v>
      </c>
      <c r="N3654" s="29" t="s">
        <v>4605</v>
      </c>
      <c r="O3654" s="29" t="s">
        <v>528</v>
      </c>
    </row>
    <row r="3655" spans="1:15">
      <c r="A3655" s="25">
        <v>11643</v>
      </c>
      <c r="B3655" s="26" t="s">
        <v>5628</v>
      </c>
      <c r="C3655" s="27" t="s">
        <v>521</v>
      </c>
      <c r="D3655" s="27" t="s">
        <v>841</v>
      </c>
      <c r="E3655" s="28">
        <v>40707</v>
      </c>
      <c r="F3655" s="28" t="s">
        <v>35</v>
      </c>
      <c r="G3655" s="28" t="s">
        <v>35</v>
      </c>
      <c r="H3655" s="29" t="s">
        <v>534</v>
      </c>
      <c r="I3655" s="29" t="s">
        <v>5428</v>
      </c>
      <c r="J3655" s="29" t="s">
        <v>1930</v>
      </c>
      <c r="K3655" s="29" t="s">
        <v>4235</v>
      </c>
      <c r="L3655" s="29" t="s">
        <v>4236</v>
      </c>
      <c r="M3655" s="29" t="s">
        <v>5629</v>
      </c>
      <c r="N3655" s="29" t="s">
        <v>4605</v>
      </c>
      <c r="O3655" s="29" t="s">
        <v>594</v>
      </c>
    </row>
    <row r="3656" spans="1:15">
      <c r="A3656" s="25">
        <v>12368</v>
      </c>
      <c r="B3656" s="26" t="s">
        <v>413</v>
      </c>
      <c r="C3656" s="27" t="s">
        <v>521</v>
      </c>
      <c r="D3656" s="27" t="s">
        <v>724</v>
      </c>
      <c r="E3656" s="28">
        <v>40809</v>
      </c>
      <c r="F3656" s="28" t="s">
        <v>35</v>
      </c>
      <c r="G3656" s="28" t="s">
        <v>35</v>
      </c>
      <c r="H3656" s="29" t="s">
        <v>534</v>
      </c>
      <c r="I3656" s="29" t="s">
        <v>5428</v>
      </c>
      <c r="J3656" s="29" t="s">
        <v>1930</v>
      </c>
      <c r="K3656" s="29" t="s">
        <v>4235</v>
      </c>
      <c r="L3656" s="29" t="s">
        <v>4236</v>
      </c>
      <c r="M3656" s="29" t="s">
        <v>5629</v>
      </c>
      <c r="N3656" s="29" t="s">
        <v>4605</v>
      </c>
      <c r="O3656" s="29" t="s">
        <v>590</v>
      </c>
    </row>
    <row r="3657" spans="1:15">
      <c r="A3657" s="25">
        <v>17230</v>
      </c>
      <c r="B3657" s="26" t="s">
        <v>5630</v>
      </c>
      <c r="C3657" s="27" t="s">
        <v>521</v>
      </c>
      <c r="D3657" s="27" t="s">
        <v>5631</v>
      </c>
      <c r="E3657" s="28">
        <v>41764</v>
      </c>
      <c r="F3657" s="28" t="s">
        <v>35</v>
      </c>
      <c r="G3657" s="28" t="s">
        <v>35</v>
      </c>
      <c r="H3657" s="31" t="s">
        <v>534</v>
      </c>
      <c r="I3657" s="31" t="s">
        <v>5428</v>
      </c>
      <c r="J3657" s="29" t="s">
        <v>1930</v>
      </c>
      <c r="K3657" s="29" t="s">
        <v>4235</v>
      </c>
      <c r="L3657" s="29" t="s">
        <v>5632</v>
      </c>
      <c r="M3657" s="29" t="s">
        <v>5629</v>
      </c>
      <c r="N3657" s="29" t="s">
        <v>4605</v>
      </c>
      <c r="O3657" s="29" t="s">
        <v>594</v>
      </c>
    </row>
    <row r="3658" spans="1:15">
      <c r="A3658" s="25">
        <v>22070</v>
      </c>
      <c r="B3658" s="34" t="s">
        <v>5633</v>
      </c>
      <c r="C3658" s="31" t="s">
        <v>521</v>
      </c>
      <c r="D3658" s="31" t="s">
        <v>769</v>
      </c>
      <c r="E3658" s="28">
        <v>43150</v>
      </c>
      <c r="F3658" s="28">
        <v>43178</v>
      </c>
      <c r="G3658" s="28">
        <v>43555</v>
      </c>
      <c r="H3658" s="29" t="s">
        <v>534</v>
      </c>
      <c r="I3658" s="29" t="s">
        <v>5428</v>
      </c>
      <c r="J3658" s="29" t="s">
        <v>1930</v>
      </c>
      <c r="K3658" s="29" t="s">
        <v>4235</v>
      </c>
      <c r="L3658" s="29" t="s">
        <v>5632</v>
      </c>
      <c r="M3658" s="29" t="s">
        <v>5629</v>
      </c>
      <c r="N3658" s="29" t="s">
        <v>4605</v>
      </c>
      <c r="O3658" s="29" t="s">
        <v>590</v>
      </c>
    </row>
    <row r="3659" spans="1:15">
      <c r="A3659" s="25">
        <v>10526</v>
      </c>
      <c r="B3659" s="26" t="s">
        <v>5634</v>
      </c>
      <c r="C3659" s="27" t="s">
        <v>521</v>
      </c>
      <c r="D3659" s="27" t="s">
        <v>738</v>
      </c>
      <c r="E3659" s="28">
        <v>40535</v>
      </c>
      <c r="F3659" s="28" t="s">
        <v>35</v>
      </c>
      <c r="G3659" s="28" t="s">
        <v>35</v>
      </c>
      <c r="H3659" s="27" t="s">
        <v>534</v>
      </c>
      <c r="I3659" s="27" t="s">
        <v>5428</v>
      </c>
      <c r="J3659" s="29" t="s">
        <v>4289</v>
      </c>
      <c r="K3659" s="29" t="s">
        <v>4290</v>
      </c>
      <c r="L3659" s="29" t="s">
        <v>4291</v>
      </c>
      <c r="M3659" s="29" t="s">
        <v>5635</v>
      </c>
      <c r="N3659" s="29" t="s">
        <v>2023</v>
      </c>
      <c r="O3659" s="29" t="s">
        <v>528</v>
      </c>
    </row>
    <row r="3660" spans="1:15">
      <c r="A3660" s="25">
        <v>13530</v>
      </c>
      <c r="B3660" s="26" t="s">
        <v>5636</v>
      </c>
      <c r="C3660" s="27" t="s">
        <v>521</v>
      </c>
      <c r="D3660" s="27" t="s">
        <v>5637</v>
      </c>
      <c r="E3660" s="28">
        <v>40948</v>
      </c>
      <c r="F3660" s="28" t="s">
        <v>35</v>
      </c>
      <c r="G3660" s="28" t="s">
        <v>35</v>
      </c>
      <c r="H3660" s="29" t="s">
        <v>534</v>
      </c>
      <c r="I3660" s="29" t="s">
        <v>5428</v>
      </c>
      <c r="J3660" s="29" t="s">
        <v>4289</v>
      </c>
      <c r="K3660" s="29" t="s">
        <v>4290</v>
      </c>
      <c r="L3660" s="29" t="s">
        <v>4291</v>
      </c>
      <c r="M3660" s="29" t="s">
        <v>5635</v>
      </c>
      <c r="N3660" s="29" t="s">
        <v>2023</v>
      </c>
      <c r="O3660" s="29" t="s">
        <v>528</v>
      </c>
    </row>
    <row r="3661" spans="1:15">
      <c r="A3661" s="25">
        <v>10299</v>
      </c>
      <c r="B3661" s="33" t="s">
        <v>5638</v>
      </c>
      <c r="C3661" s="27" t="s">
        <v>521</v>
      </c>
      <c r="D3661" s="27" t="s">
        <v>825</v>
      </c>
      <c r="E3661" s="28">
        <v>40511</v>
      </c>
      <c r="F3661" s="28" t="s">
        <v>35</v>
      </c>
      <c r="G3661" s="28" t="s">
        <v>35</v>
      </c>
      <c r="H3661" s="31" t="s">
        <v>534</v>
      </c>
      <c r="I3661" s="31" t="s">
        <v>5428</v>
      </c>
      <c r="J3661" s="27" t="s">
        <v>1930</v>
      </c>
      <c r="K3661" s="29" t="s">
        <v>4300</v>
      </c>
      <c r="L3661" s="29" t="s">
        <v>4301</v>
      </c>
      <c r="M3661" s="29" t="s">
        <v>4604</v>
      </c>
      <c r="N3661" s="29" t="s">
        <v>4605</v>
      </c>
      <c r="O3661" s="29" t="s">
        <v>594</v>
      </c>
    </row>
    <row r="3662" spans="1:15">
      <c r="A3662" s="25">
        <v>12482</v>
      </c>
      <c r="B3662" s="26" t="s">
        <v>5639</v>
      </c>
      <c r="C3662" s="27" t="s">
        <v>521</v>
      </c>
      <c r="D3662" s="27" t="s">
        <v>722</v>
      </c>
      <c r="E3662" s="28">
        <v>40812</v>
      </c>
      <c r="F3662" s="28" t="s">
        <v>35</v>
      </c>
      <c r="G3662" s="28" t="s">
        <v>35</v>
      </c>
      <c r="H3662" s="25" t="s">
        <v>534</v>
      </c>
      <c r="I3662" s="25" t="s">
        <v>5428</v>
      </c>
      <c r="J3662" s="29" t="s">
        <v>1930</v>
      </c>
      <c r="K3662" s="29" t="s">
        <v>4300</v>
      </c>
      <c r="L3662" s="29" t="s">
        <v>4301</v>
      </c>
      <c r="M3662" s="29" t="s">
        <v>4604</v>
      </c>
      <c r="N3662" s="29" t="s">
        <v>4605</v>
      </c>
      <c r="O3662" s="29" t="s">
        <v>594</v>
      </c>
    </row>
    <row r="3663" spans="1:15">
      <c r="A3663" s="25">
        <v>5915</v>
      </c>
      <c r="B3663" s="34" t="s">
        <v>4609</v>
      </c>
      <c r="C3663" s="31" t="s">
        <v>521</v>
      </c>
      <c r="D3663" s="31" t="s">
        <v>713</v>
      </c>
      <c r="E3663" s="28">
        <v>39129</v>
      </c>
      <c r="F3663" s="28" t="s">
        <v>35</v>
      </c>
      <c r="G3663" s="28" t="s">
        <v>35</v>
      </c>
      <c r="H3663" s="27" t="s">
        <v>534</v>
      </c>
      <c r="I3663" s="31" t="s">
        <v>5428</v>
      </c>
      <c r="J3663" s="29" t="s">
        <v>1930</v>
      </c>
      <c r="K3663" s="29" t="s">
        <v>4300</v>
      </c>
      <c r="L3663" s="29" t="s">
        <v>4301</v>
      </c>
      <c r="M3663" s="29" t="s">
        <v>5482</v>
      </c>
      <c r="N3663" s="29" t="s">
        <v>5483</v>
      </c>
      <c r="O3663" s="29" t="s">
        <v>590</v>
      </c>
    </row>
    <row r="3664" spans="1:15">
      <c r="A3664" s="25">
        <v>10097</v>
      </c>
      <c r="B3664" s="26" t="s">
        <v>5640</v>
      </c>
      <c r="C3664" s="27" t="s">
        <v>521</v>
      </c>
      <c r="D3664" s="27" t="s">
        <v>601</v>
      </c>
      <c r="E3664" s="28">
        <v>40444</v>
      </c>
      <c r="F3664" s="28" t="s">
        <v>35</v>
      </c>
      <c r="G3664" s="28" t="s">
        <v>35</v>
      </c>
      <c r="H3664" s="29" t="s">
        <v>534</v>
      </c>
      <c r="I3664" s="29" t="s">
        <v>5428</v>
      </c>
      <c r="J3664" s="29" t="s">
        <v>1930</v>
      </c>
      <c r="K3664" s="29" t="s">
        <v>4300</v>
      </c>
      <c r="L3664" s="29" t="s">
        <v>4301</v>
      </c>
      <c r="M3664" s="29" t="s">
        <v>4604</v>
      </c>
      <c r="N3664" s="29" t="s">
        <v>4605</v>
      </c>
      <c r="O3664" s="29" t="s">
        <v>590</v>
      </c>
    </row>
    <row r="3665" spans="1:15">
      <c r="A3665" s="25">
        <v>20525</v>
      </c>
      <c r="B3665" s="26" t="s">
        <v>5641</v>
      </c>
      <c r="C3665" s="27" t="s">
        <v>521</v>
      </c>
      <c r="D3665" s="27" t="s">
        <v>1644</v>
      </c>
      <c r="E3665" s="28">
        <v>42634</v>
      </c>
      <c r="F3665" s="28">
        <v>43132</v>
      </c>
      <c r="G3665" s="28">
        <v>43496</v>
      </c>
      <c r="H3665" s="25" t="s">
        <v>534</v>
      </c>
      <c r="I3665" s="27" t="s">
        <v>5428</v>
      </c>
      <c r="J3665" s="29" t="s">
        <v>1930</v>
      </c>
      <c r="K3665" s="29" t="s">
        <v>4300</v>
      </c>
      <c r="L3665" s="29" t="s">
        <v>4301</v>
      </c>
      <c r="M3665" s="29" t="s">
        <v>4604</v>
      </c>
      <c r="N3665" s="29" t="s">
        <v>4605</v>
      </c>
      <c r="O3665" s="29" t="s">
        <v>590</v>
      </c>
    </row>
    <row r="3666" spans="1:15">
      <c r="A3666" s="25">
        <v>9160</v>
      </c>
      <c r="B3666" s="83" t="s">
        <v>5642</v>
      </c>
      <c r="C3666" s="25" t="s">
        <v>521</v>
      </c>
      <c r="D3666" s="25" t="s">
        <v>653</v>
      </c>
      <c r="E3666" s="28">
        <v>40000</v>
      </c>
      <c r="F3666" s="28" t="s">
        <v>35</v>
      </c>
      <c r="G3666" s="28" t="s">
        <v>35</v>
      </c>
      <c r="H3666" s="31" t="s">
        <v>534</v>
      </c>
      <c r="I3666" s="31" t="s">
        <v>5428</v>
      </c>
      <c r="J3666" s="29" t="s">
        <v>1930</v>
      </c>
      <c r="K3666" s="29" t="s">
        <v>5643</v>
      </c>
      <c r="L3666" s="29" t="s">
        <v>4363</v>
      </c>
      <c r="M3666" s="29" t="s">
        <v>5482</v>
      </c>
      <c r="N3666" s="29" t="s">
        <v>5483</v>
      </c>
      <c r="O3666" s="29" t="s">
        <v>594</v>
      </c>
    </row>
    <row r="3667" spans="1:15">
      <c r="A3667" s="25">
        <v>10660</v>
      </c>
      <c r="B3667" s="34" t="s">
        <v>5644</v>
      </c>
      <c r="C3667" s="31" t="s">
        <v>521</v>
      </c>
      <c r="D3667" s="31" t="s">
        <v>847</v>
      </c>
      <c r="E3667" s="28">
        <v>40553</v>
      </c>
      <c r="F3667" s="28" t="s">
        <v>35</v>
      </c>
      <c r="G3667" s="28" t="s">
        <v>35</v>
      </c>
      <c r="H3667" s="29" t="s">
        <v>534</v>
      </c>
      <c r="I3667" s="29" t="s">
        <v>5428</v>
      </c>
      <c r="J3667" s="29" t="s">
        <v>1930</v>
      </c>
      <c r="K3667" s="29" t="s">
        <v>5643</v>
      </c>
      <c r="L3667" s="29" t="s">
        <v>4363</v>
      </c>
      <c r="M3667" s="29" t="s">
        <v>3190</v>
      </c>
      <c r="N3667" s="29" t="s">
        <v>2031</v>
      </c>
      <c r="O3667" s="29" t="s">
        <v>594</v>
      </c>
    </row>
    <row r="3668" spans="1:15">
      <c r="A3668" s="25">
        <v>5724</v>
      </c>
      <c r="B3668" s="26" t="s">
        <v>5645</v>
      </c>
      <c r="C3668" s="27" t="s">
        <v>521</v>
      </c>
      <c r="D3668" s="27" t="s">
        <v>790</v>
      </c>
      <c r="E3668" s="28">
        <v>39098</v>
      </c>
      <c r="F3668" s="28" t="s">
        <v>35</v>
      </c>
      <c r="G3668" s="28" t="s">
        <v>35</v>
      </c>
      <c r="H3668" s="29" t="s">
        <v>534</v>
      </c>
      <c r="I3668" s="29" t="s">
        <v>5428</v>
      </c>
      <c r="J3668" s="29" t="s">
        <v>1930</v>
      </c>
      <c r="K3668" s="29" t="s">
        <v>5643</v>
      </c>
      <c r="L3668" s="29" t="s">
        <v>4363</v>
      </c>
      <c r="M3668" s="29" t="s">
        <v>3190</v>
      </c>
      <c r="N3668" s="29" t="s">
        <v>2031</v>
      </c>
      <c r="O3668" s="29" t="s">
        <v>590</v>
      </c>
    </row>
    <row r="3669" spans="1:15">
      <c r="A3669" s="25">
        <v>22840</v>
      </c>
      <c r="B3669" s="34" t="s">
        <v>5646</v>
      </c>
      <c r="C3669" s="31" t="s">
        <v>521</v>
      </c>
      <c r="D3669" s="31" t="s">
        <v>775</v>
      </c>
      <c r="E3669" s="28">
        <v>43333</v>
      </c>
      <c r="F3669" s="28">
        <v>43364</v>
      </c>
      <c r="G3669" s="28">
        <v>43738</v>
      </c>
      <c r="H3669" s="29" t="s">
        <v>534</v>
      </c>
      <c r="I3669" s="29" t="s">
        <v>5428</v>
      </c>
      <c r="J3669" s="29" t="s">
        <v>1930</v>
      </c>
      <c r="K3669" s="29" t="s">
        <v>5643</v>
      </c>
      <c r="L3669" s="29" t="s">
        <v>4363</v>
      </c>
      <c r="M3669" s="29" t="s">
        <v>5479</v>
      </c>
      <c r="N3669" s="29" t="s">
        <v>4605</v>
      </c>
      <c r="O3669" s="29" t="s">
        <v>590</v>
      </c>
    </row>
    <row r="3670" spans="1:15">
      <c r="A3670" s="25">
        <v>11723</v>
      </c>
      <c r="B3670" s="26" t="s">
        <v>5647</v>
      </c>
      <c r="C3670" s="27" t="s">
        <v>521</v>
      </c>
      <c r="D3670" s="27" t="s">
        <v>675</v>
      </c>
      <c r="E3670" s="28">
        <v>40714</v>
      </c>
      <c r="F3670" s="28" t="s">
        <v>35</v>
      </c>
      <c r="G3670" s="28" t="s">
        <v>35</v>
      </c>
      <c r="H3670" s="29" t="s">
        <v>534</v>
      </c>
      <c r="I3670" s="29" t="s">
        <v>5428</v>
      </c>
      <c r="J3670" s="29" t="s">
        <v>1930</v>
      </c>
      <c r="K3670" s="29" t="s">
        <v>5643</v>
      </c>
      <c r="L3670" s="29" t="s">
        <v>4409</v>
      </c>
      <c r="M3670" s="29" t="s">
        <v>3190</v>
      </c>
      <c r="N3670" s="29" t="s">
        <v>2031</v>
      </c>
      <c r="O3670" s="29" t="s">
        <v>594</v>
      </c>
    </row>
    <row r="3671" spans="1:15">
      <c r="A3671" s="25">
        <v>12795</v>
      </c>
      <c r="B3671" s="34" t="s">
        <v>5648</v>
      </c>
      <c r="C3671" s="31" t="s">
        <v>521</v>
      </c>
      <c r="D3671" s="31" t="s">
        <v>1739</v>
      </c>
      <c r="E3671" s="28">
        <v>40819</v>
      </c>
      <c r="F3671" s="28" t="s">
        <v>35</v>
      </c>
      <c r="G3671" s="28" t="s">
        <v>35</v>
      </c>
      <c r="H3671" s="29" t="s">
        <v>534</v>
      </c>
      <c r="I3671" s="29" t="s">
        <v>5428</v>
      </c>
      <c r="J3671" s="29" t="s">
        <v>1930</v>
      </c>
      <c r="K3671" s="29" t="s">
        <v>5643</v>
      </c>
      <c r="L3671" s="29" t="s">
        <v>4409</v>
      </c>
      <c r="M3671" s="29" t="s">
        <v>4604</v>
      </c>
      <c r="N3671" s="29" t="s">
        <v>4605</v>
      </c>
      <c r="O3671" s="29" t="s">
        <v>594</v>
      </c>
    </row>
    <row r="3672" spans="1:15">
      <c r="A3672" s="25">
        <v>1079</v>
      </c>
      <c r="B3672" s="26" t="s">
        <v>5649</v>
      </c>
      <c r="C3672" s="27" t="s">
        <v>521</v>
      </c>
      <c r="D3672" s="27" t="s">
        <v>1411</v>
      </c>
      <c r="E3672" s="28">
        <v>37887</v>
      </c>
      <c r="F3672" s="28" t="s">
        <v>35</v>
      </c>
      <c r="G3672" s="28" t="s">
        <v>35</v>
      </c>
      <c r="H3672" s="29" t="s">
        <v>534</v>
      </c>
      <c r="I3672" s="29" t="s">
        <v>5428</v>
      </c>
      <c r="J3672" s="29" t="s">
        <v>1930</v>
      </c>
      <c r="K3672" s="29" t="s">
        <v>5643</v>
      </c>
      <c r="L3672" s="29" t="s">
        <v>4409</v>
      </c>
      <c r="M3672" s="29" t="s">
        <v>3190</v>
      </c>
      <c r="N3672" s="29" t="s">
        <v>2031</v>
      </c>
      <c r="O3672" s="29" t="s">
        <v>590</v>
      </c>
    </row>
    <row r="3673" spans="1:15">
      <c r="A3673" s="25">
        <v>10746</v>
      </c>
      <c r="B3673" s="26" t="s">
        <v>5650</v>
      </c>
      <c r="C3673" s="27" t="s">
        <v>521</v>
      </c>
      <c r="D3673" s="27" t="s">
        <v>730</v>
      </c>
      <c r="E3673" s="28">
        <v>40566</v>
      </c>
      <c r="F3673" s="28" t="s">
        <v>35</v>
      </c>
      <c r="G3673" s="28" t="s">
        <v>35</v>
      </c>
      <c r="H3673" s="29" t="s">
        <v>534</v>
      </c>
      <c r="I3673" s="29" t="s">
        <v>5428</v>
      </c>
      <c r="J3673" s="29" t="s">
        <v>1930</v>
      </c>
      <c r="K3673" s="29" t="s">
        <v>5643</v>
      </c>
      <c r="L3673" s="29" t="s">
        <v>4409</v>
      </c>
      <c r="M3673" s="29" t="s">
        <v>4604</v>
      </c>
      <c r="N3673" s="29" t="s">
        <v>4605</v>
      </c>
      <c r="O3673" s="29" t="s">
        <v>590</v>
      </c>
    </row>
    <row r="3674" spans="1:15">
      <c r="A3674" s="25">
        <v>8824</v>
      </c>
      <c r="B3674" s="26" t="s">
        <v>5651</v>
      </c>
      <c r="C3674" s="27" t="s">
        <v>521</v>
      </c>
      <c r="D3674" s="27" t="s">
        <v>813</v>
      </c>
      <c r="E3674" s="28">
        <v>39937</v>
      </c>
      <c r="F3674" s="28" t="s">
        <v>35</v>
      </c>
      <c r="G3674" s="28" t="s">
        <v>35</v>
      </c>
      <c r="H3674" s="29" t="s">
        <v>534</v>
      </c>
      <c r="I3674" s="29" t="s">
        <v>5428</v>
      </c>
      <c r="J3674" s="29" t="s">
        <v>1654</v>
      </c>
      <c r="K3674" s="29" t="s">
        <v>1800</v>
      </c>
      <c r="L3674" s="29" t="s">
        <v>4443</v>
      </c>
      <c r="M3674" s="29" t="s">
        <v>4604</v>
      </c>
      <c r="N3674" s="29" t="s">
        <v>4605</v>
      </c>
      <c r="O3674" s="29" t="s">
        <v>528</v>
      </c>
    </row>
    <row r="3675" spans="1:15">
      <c r="A3675" s="25">
        <v>12253</v>
      </c>
      <c r="B3675" s="33" t="s">
        <v>5652</v>
      </c>
      <c r="C3675" s="27" t="s">
        <v>521</v>
      </c>
      <c r="D3675" s="27" t="s">
        <v>817</v>
      </c>
      <c r="E3675" s="28">
        <v>40805</v>
      </c>
      <c r="F3675" s="28" t="s">
        <v>35</v>
      </c>
      <c r="G3675" s="28" t="s">
        <v>35</v>
      </c>
      <c r="H3675" s="29" t="s">
        <v>534</v>
      </c>
      <c r="I3675" s="29" t="s">
        <v>5428</v>
      </c>
      <c r="J3675" s="29" t="s">
        <v>1654</v>
      </c>
      <c r="K3675" s="29" t="s">
        <v>1800</v>
      </c>
      <c r="L3675" s="29" t="s">
        <v>4443</v>
      </c>
      <c r="M3675" s="29" t="s">
        <v>4604</v>
      </c>
      <c r="N3675" s="29" t="s">
        <v>4605</v>
      </c>
      <c r="O3675" s="29" t="s">
        <v>528</v>
      </c>
    </row>
    <row r="3676" spans="1:15">
      <c r="A3676" s="25">
        <v>320</v>
      </c>
      <c r="B3676" s="26" t="s">
        <v>5653</v>
      </c>
      <c r="C3676" s="27" t="s">
        <v>521</v>
      </c>
      <c r="D3676" s="27" t="s">
        <v>705</v>
      </c>
      <c r="E3676" s="28">
        <v>37725</v>
      </c>
      <c r="F3676" s="28" t="s">
        <v>35</v>
      </c>
      <c r="G3676" s="28" t="s">
        <v>35</v>
      </c>
      <c r="H3676" s="29" t="s">
        <v>534</v>
      </c>
      <c r="I3676" s="29" t="s">
        <v>5428</v>
      </c>
      <c r="J3676" s="29" t="s">
        <v>1930</v>
      </c>
      <c r="K3676" s="29" t="s">
        <v>5654</v>
      </c>
      <c r="L3676" s="29" t="s">
        <v>4458</v>
      </c>
      <c r="M3676" s="29" t="s">
        <v>5655</v>
      </c>
      <c r="N3676" s="29" t="s">
        <v>2023</v>
      </c>
      <c r="O3676" s="29" t="s">
        <v>528</v>
      </c>
    </row>
    <row r="3677" spans="1:15">
      <c r="A3677" s="25">
        <v>11433</v>
      </c>
      <c r="B3677" s="26" t="s">
        <v>5656</v>
      </c>
      <c r="C3677" s="27" t="s">
        <v>521</v>
      </c>
      <c r="D3677" s="27" t="s">
        <v>711</v>
      </c>
      <c r="E3677" s="28">
        <v>40701</v>
      </c>
      <c r="F3677" s="28" t="s">
        <v>35</v>
      </c>
      <c r="G3677" s="28" t="s">
        <v>35</v>
      </c>
      <c r="H3677" s="29" t="s">
        <v>534</v>
      </c>
      <c r="I3677" s="29" t="s">
        <v>5428</v>
      </c>
      <c r="J3677" s="29" t="s">
        <v>3957</v>
      </c>
      <c r="K3677" s="29" t="s">
        <v>4470</v>
      </c>
      <c r="L3677" s="29" t="s">
        <v>4471</v>
      </c>
      <c r="M3677" s="29" t="s">
        <v>5611</v>
      </c>
      <c r="N3677" s="29" t="s">
        <v>4605</v>
      </c>
      <c r="O3677" s="29" t="s">
        <v>594</v>
      </c>
    </row>
    <row r="3678" spans="1:15">
      <c r="A3678" s="25">
        <v>11852</v>
      </c>
      <c r="B3678" s="26" t="s">
        <v>5657</v>
      </c>
      <c r="C3678" s="27" t="s">
        <v>521</v>
      </c>
      <c r="D3678" s="27" t="s">
        <v>799</v>
      </c>
      <c r="E3678" s="28">
        <v>40721</v>
      </c>
      <c r="F3678" s="28" t="s">
        <v>35</v>
      </c>
      <c r="G3678" s="28" t="s">
        <v>35</v>
      </c>
      <c r="H3678" s="29" t="s">
        <v>534</v>
      </c>
      <c r="I3678" s="29" t="s">
        <v>5428</v>
      </c>
      <c r="J3678" s="29" t="s">
        <v>3957</v>
      </c>
      <c r="K3678" s="29" t="s">
        <v>4470</v>
      </c>
      <c r="L3678" s="29" t="s">
        <v>4471</v>
      </c>
      <c r="M3678" s="29" t="s">
        <v>5658</v>
      </c>
      <c r="N3678" s="29" t="s">
        <v>4605</v>
      </c>
      <c r="O3678" s="29" t="s">
        <v>594</v>
      </c>
    </row>
    <row r="3679" spans="1:15">
      <c r="A3679" s="25">
        <v>9896</v>
      </c>
      <c r="B3679" s="26" t="s">
        <v>5659</v>
      </c>
      <c r="C3679" s="27" t="s">
        <v>521</v>
      </c>
      <c r="D3679" s="27" t="s">
        <v>1748</v>
      </c>
      <c r="E3679" s="28">
        <v>40424</v>
      </c>
      <c r="F3679" s="28" t="s">
        <v>35</v>
      </c>
      <c r="G3679" s="28" t="s">
        <v>35</v>
      </c>
      <c r="H3679" s="29" t="s">
        <v>534</v>
      </c>
      <c r="I3679" s="29" t="s">
        <v>5428</v>
      </c>
      <c r="J3679" s="29" t="s">
        <v>3957</v>
      </c>
      <c r="K3679" s="29" t="s">
        <v>4470</v>
      </c>
      <c r="L3679" s="29" t="s">
        <v>4471</v>
      </c>
      <c r="M3679" s="29" t="s">
        <v>5658</v>
      </c>
      <c r="N3679" s="29" t="s">
        <v>4605</v>
      </c>
      <c r="O3679" s="29" t="s">
        <v>590</v>
      </c>
    </row>
    <row r="3680" spans="1:15">
      <c r="A3680" s="25">
        <v>11551</v>
      </c>
      <c r="B3680" s="26" t="s">
        <v>5660</v>
      </c>
      <c r="C3680" s="27" t="s">
        <v>521</v>
      </c>
      <c r="D3680" s="27" t="s">
        <v>841</v>
      </c>
      <c r="E3680" s="28">
        <v>40707</v>
      </c>
      <c r="F3680" s="28" t="s">
        <v>35</v>
      </c>
      <c r="G3680" s="28" t="s">
        <v>35</v>
      </c>
      <c r="H3680" s="29" t="s">
        <v>534</v>
      </c>
      <c r="I3680" s="29" t="s">
        <v>5428</v>
      </c>
      <c r="J3680" s="29" t="s">
        <v>3957</v>
      </c>
      <c r="K3680" s="29" t="s">
        <v>4470</v>
      </c>
      <c r="L3680" s="29" t="s">
        <v>4471</v>
      </c>
      <c r="M3680" s="29" t="s">
        <v>5611</v>
      </c>
      <c r="N3680" s="29" t="s">
        <v>4605</v>
      </c>
      <c r="O3680" s="29" t="s">
        <v>590</v>
      </c>
    </row>
    <row r="3681" spans="1:15">
      <c r="A3681" s="25">
        <v>13052</v>
      </c>
      <c r="B3681" s="34" t="s">
        <v>5661</v>
      </c>
      <c r="C3681" s="31" t="s">
        <v>521</v>
      </c>
      <c r="D3681" s="27" t="s">
        <v>785</v>
      </c>
      <c r="E3681" s="28">
        <v>40844</v>
      </c>
      <c r="F3681" s="28" t="s">
        <v>35</v>
      </c>
      <c r="G3681" s="28" t="s">
        <v>35</v>
      </c>
      <c r="H3681" s="29" t="s">
        <v>534</v>
      </c>
      <c r="I3681" s="29" t="s">
        <v>5428</v>
      </c>
      <c r="J3681" s="29" t="s">
        <v>3957</v>
      </c>
      <c r="K3681" s="29" t="s">
        <v>4470</v>
      </c>
      <c r="L3681" s="29" t="s">
        <v>4537</v>
      </c>
      <c r="M3681" s="29" t="s">
        <v>5611</v>
      </c>
      <c r="N3681" s="29" t="s">
        <v>4605</v>
      </c>
      <c r="O3681" s="29" t="s">
        <v>594</v>
      </c>
    </row>
    <row r="3682" spans="1:15">
      <c r="A3682" s="25">
        <v>23183</v>
      </c>
      <c r="B3682" s="34" t="s">
        <v>5662</v>
      </c>
      <c r="C3682" s="31" t="s">
        <v>521</v>
      </c>
      <c r="D3682" s="31" t="s">
        <v>5663</v>
      </c>
      <c r="E3682" s="28">
        <v>43374</v>
      </c>
      <c r="F3682" s="28">
        <v>43405</v>
      </c>
      <c r="G3682" s="28">
        <v>43769</v>
      </c>
      <c r="H3682" s="29" t="s">
        <v>534</v>
      </c>
      <c r="I3682" s="29" t="s">
        <v>5428</v>
      </c>
      <c r="J3682" s="29" t="s">
        <v>3957</v>
      </c>
      <c r="K3682" s="29" t="s">
        <v>4470</v>
      </c>
      <c r="L3682" s="29" t="s">
        <v>4537</v>
      </c>
      <c r="M3682" s="29" t="s">
        <v>5479</v>
      </c>
      <c r="N3682" s="29" t="s">
        <v>4605</v>
      </c>
      <c r="O3682" s="29" t="s">
        <v>594</v>
      </c>
    </row>
    <row r="3683" spans="1:15">
      <c r="A3683" s="25" t="s">
        <v>5664</v>
      </c>
      <c r="B3683" s="34" t="s">
        <v>5665</v>
      </c>
      <c r="C3683" s="31" t="s">
        <v>521</v>
      </c>
      <c r="D3683" s="31" t="s">
        <v>5666</v>
      </c>
      <c r="E3683" s="28">
        <v>41087</v>
      </c>
      <c r="F3683" s="28" t="s">
        <v>35</v>
      </c>
      <c r="G3683" s="28" t="s">
        <v>35</v>
      </c>
      <c r="H3683" s="29" t="s">
        <v>534</v>
      </c>
      <c r="I3683" s="29" t="s">
        <v>5428</v>
      </c>
      <c r="J3683" s="29" t="s">
        <v>3957</v>
      </c>
      <c r="K3683" s="29" t="s">
        <v>4470</v>
      </c>
      <c r="L3683" s="29" t="s">
        <v>4537</v>
      </c>
      <c r="M3683" s="29" t="s">
        <v>5658</v>
      </c>
      <c r="N3683" s="29" t="s">
        <v>4605</v>
      </c>
      <c r="O3683" s="29" t="s">
        <v>594</v>
      </c>
    </row>
    <row r="3684" spans="1:15">
      <c r="A3684" s="25">
        <v>11106</v>
      </c>
      <c r="B3684" s="26" t="s">
        <v>5667</v>
      </c>
      <c r="C3684" s="27" t="s">
        <v>521</v>
      </c>
      <c r="D3684" s="27" t="s">
        <v>1423</v>
      </c>
      <c r="E3684" s="28">
        <v>40603</v>
      </c>
      <c r="F3684" s="28" t="s">
        <v>35</v>
      </c>
      <c r="G3684" s="28" t="s">
        <v>35</v>
      </c>
      <c r="H3684" s="29" t="s">
        <v>534</v>
      </c>
      <c r="I3684" s="29" t="s">
        <v>5428</v>
      </c>
      <c r="J3684" s="29" t="s">
        <v>3957</v>
      </c>
      <c r="K3684" s="29" t="s">
        <v>4470</v>
      </c>
      <c r="L3684" s="29" t="s">
        <v>4537</v>
      </c>
      <c r="M3684" s="29" t="s">
        <v>5658</v>
      </c>
      <c r="N3684" s="29" t="s">
        <v>4605</v>
      </c>
      <c r="O3684" s="29" t="s">
        <v>590</v>
      </c>
    </row>
    <row r="3685" spans="1:15">
      <c r="A3685" s="25">
        <v>12842</v>
      </c>
      <c r="B3685" s="26" t="s">
        <v>5668</v>
      </c>
      <c r="C3685" s="27" t="s">
        <v>521</v>
      </c>
      <c r="D3685" s="27" t="s">
        <v>688</v>
      </c>
      <c r="E3685" s="28">
        <v>40833</v>
      </c>
      <c r="F3685" s="28" t="s">
        <v>35</v>
      </c>
      <c r="G3685" s="28" t="s">
        <v>35</v>
      </c>
      <c r="H3685" s="29" t="s">
        <v>534</v>
      </c>
      <c r="I3685" s="29" t="s">
        <v>5428</v>
      </c>
      <c r="J3685" s="29" t="s">
        <v>3957</v>
      </c>
      <c r="K3685" s="29" t="s">
        <v>4470</v>
      </c>
      <c r="L3685" s="29" t="s">
        <v>4537</v>
      </c>
      <c r="M3685" s="29" t="s">
        <v>5611</v>
      </c>
      <c r="N3685" s="29" t="s">
        <v>4605</v>
      </c>
      <c r="O3685" s="29" t="s">
        <v>590</v>
      </c>
    </row>
    <row r="3686" spans="1:15">
      <c r="A3686" s="25">
        <v>1123</v>
      </c>
      <c r="B3686" s="26" t="s">
        <v>5669</v>
      </c>
      <c r="C3686" s="27" t="s">
        <v>521</v>
      </c>
      <c r="D3686" s="27" t="s">
        <v>1247</v>
      </c>
      <c r="E3686" s="28">
        <v>37900</v>
      </c>
      <c r="F3686" s="28" t="s">
        <v>35</v>
      </c>
      <c r="G3686" s="28" t="s">
        <v>35</v>
      </c>
      <c r="H3686" s="27" t="s">
        <v>534</v>
      </c>
      <c r="I3686" s="27" t="s">
        <v>5428</v>
      </c>
      <c r="J3686" s="29" t="s">
        <v>1930</v>
      </c>
      <c r="K3686" s="29" t="s">
        <v>1930</v>
      </c>
      <c r="L3686" s="29" t="s">
        <v>5670</v>
      </c>
      <c r="M3686" s="29" t="s">
        <v>5461</v>
      </c>
      <c r="N3686" s="29" t="s">
        <v>1045</v>
      </c>
      <c r="O3686" s="29" t="s">
        <v>594</v>
      </c>
    </row>
    <row r="3687" spans="1:15">
      <c r="A3687" s="25">
        <v>1301</v>
      </c>
      <c r="B3687" s="33" t="s">
        <v>5671</v>
      </c>
      <c r="C3687" s="27" t="s">
        <v>521</v>
      </c>
      <c r="D3687" s="27" t="s">
        <v>831</v>
      </c>
      <c r="E3687" s="28">
        <v>37928</v>
      </c>
      <c r="F3687" s="28" t="s">
        <v>35</v>
      </c>
      <c r="G3687" s="28" t="s">
        <v>35</v>
      </c>
      <c r="H3687" s="31" t="s">
        <v>534</v>
      </c>
      <c r="I3687" s="31" t="s">
        <v>5428</v>
      </c>
      <c r="J3687" s="29" t="s">
        <v>1930</v>
      </c>
      <c r="K3687" s="29" t="s">
        <v>1930</v>
      </c>
      <c r="L3687" s="29" t="s">
        <v>5670</v>
      </c>
      <c r="M3687" s="29" t="s">
        <v>5461</v>
      </c>
      <c r="N3687" s="29" t="s">
        <v>1045</v>
      </c>
      <c r="O3687" s="29" t="s">
        <v>590</v>
      </c>
    </row>
    <row r="3688" spans="1:15">
      <c r="A3688" s="25">
        <v>206</v>
      </c>
      <c r="B3688" s="26" t="s">
        <v>5672</v>
      </c>
      <c r="C3688" s="27" t="s">
        <v>521</v>
      </c>
      <c r="D3688" s="27" t="s">
        <v>679</v>
      </c>
      <c r="E3688" s="28">
        <v>37697</v>
      </c>
      <c r="F3688" s="28" t="s">
        <v>35</v>
      </c>
      <c r="G3688" s="28" t="s">
        <v>35</v>
      </c>
      <c r="H3688" s="29" t="s">
        <v>534</v>
      </c>
      <c r="I3688" s="29" t="s">
        <v>5428</v>
      </c>
      <c r="J3688" s="29" t="s">
        <v>5673</v>
      </c>
      <c r="K3688" s="29" t="s">
        <v>5673</v>
      </c>
      <c r="L3688" s="29" t="s">
        <v>5674</v>
      </c>
      <c r="M3688" s="29" t="s">
        <v>5461</v>
      </c>
      <c r="N3688" s="29" t="s">
        <v>1045</v>
      </c>
      <c r="O3688" s="29" t="s">
        <v>594</v>
      </c>
    </row>
    <row r="3689" spans="1:15">
      <c r="A3689" s="25">
        <v>724</v>
      </c>
      <c r="B3689" s="26" t="s">
        <v>5675</v>
      </c>
      <c r="C3689" s="27" t="s">
        <v>521</v>
      </c>
      <c r="D3689" s="27" t="s">
        <v>2713</v>
      </c>
      <c r="E3689" s="28">
        <v>37816</v>
      </c>
      <c r="F3689" s="28" t="s">
        <v>35</v>
      </c>
      <c r="G3689" s="28" t="s">
        <v>35</v>
      </c>
      <c r="H3689" s="31" t="s">
        <v>534</v>
      </c>
      <c r="I3689" s="31" t="s">
        <v>5428</v>
      </c>
      <c r="J3689" s="29" t="s">
        <v>5673</v>
      </c>
      <c r="K3689" s="29" t="s">
        <v>5673</v>
      </c>
      <c r="L3689" s="29" t="s">
        <v>5674</v>
      </c>
      <c r="M3689" s="29" t="s">
        <v>5461</v>
      </c>
      <c r="N3689" s="29" t="s">
        <v>1045</v>
      </c>
      <c r="O3689" s="29" t="s">
        <v>590</v>
      </c>
    </row>
    <row r="3690" spans="1:15">
      <c r="A3690" s="25">
        <v>11120</v>
      </c>
      <c r="B3690" s="26" t="s">
        <v>5676</v>
      </c>
      <c r="C3690" s="27" t="s">
        <v>521</v>
      </c>
      <c r="D3690" s="27" t="s">
        <v>1423</v>
      </c>
      <c r="E3690" s="28">
        <v>40603</v>
      </c>
      <c r="F3690" s="28" t="s">
        <v>35</v>
      </c>
      <c r="G3690" s="28" t="s">
        <v>35</v>
      </c>
      <c r="H3690" s="29" t="s">
        <v>534</v>
      </c>
      <c r="I3690" s="29" t="s">
        <v>5428</v>
      </c>
      <c r="J3690" s="29" t="s">
        <v>1930</v>
      </c>
      <c r="K3690" s="29" t="s">
        <v>1930</v>
      </c>
      <c r="L3690" s="29" t="s">
        <v>4641</v>
      </c>
      <c r="M3690" s="29" t="s">
        <v>4644</v>
      </c>
      <c r="N3690" s="29" t="s">
        <v>659</v>
      </c>
      <c r="O3690" s="29" t="s">
        <v>528</v>
      </c>
    </row>
    <row r="3691" spans="1:15">
      <c r="A3691" s="25">
        <v>11757</v>
      </c>
      <c r="B3691" s="26" t="s">
        <v>1849</v>
      </c>
      <c r="C3691" s="27" t="s">
        <v>521</v>
      </c>
      <c r="D3691" s="27" t="s">
        <v>675</v>
      </c>
      <c r="E3691" s="28">
        <v>40714</v>
      </c>
      <c r="F3691" s="28" t="s">
        <v>35</v>
      </c>
      <c r="G3691" s="28" t="s">
        <v>35</v>
      </c>
      <c r="H3691" s="25" t="s">
        <v>534</v>
      </c>
      <c r="I3691" s="25" t="s">
        <v>5428</v>
      </c>
      <c r="J3691" s="29" t="s">
        <v>1508</v>
      </c>
      <c r="K3691" s="29" t="s">
        <v>1508</v>
      </c>
      <c r="L3691" s="29" t="s">
        <v>4732</v>
      </c>
      <c r="M3691" s="29" t="s">
        <v>80</v>
      </c>
      <c r="N3691" s="29" t="s">
        <v>1210</v>
      </c>
      <c r="O3691" s="29" t="s">
        <v>594</v>
      </c>
    </row>
    <row r="3692" spans="1:15">
      <c r="A3692" s="25">
        <v>10946</v>
      </c>
      <c r="B3692" s="26" t="s">
        <v>464</v>
      </c>
      <c r="C3692" s="27" t="s">
        <v>521</v>
      </c>
      <c r="D3692" s="27" t="s">
        <v>670</v>
      </c>
      <c r="E3692" s="28">
        <v>40578</v>
      </c>
      <c r="F3692" s="28" t="s">
        <v>35</v>
      </c>
      <c r="G3692" s="28" t="s">
        <v>35</v>
      </c>
      <c r="H3692" s="27" t="s">
        <v>534</v>
      </c>
      <c r="I3692" s="27" t="s">
        <v>5428</v>
      </c>
      <c r="J3692" s="29" t="s">
        <v>1508</v>
      </c>
      <c r="K3692" s="29" t="s">
        <v>1508</v>
      </c>
      <c r="L3692" s="29" t="s">
        <v>4732</v>
      </c>
      <c r="M3692" s="29" t="s">
        <v>80</v>
      </c>
      <c r="N3692" s="29" t="s">
        <v>1210</v>
      </c>
      <c r="O3692" s="29" t="s">
        <v>590</v>
      </c>
    </row>
    <row r="3693" spans="1:15">
      <c r="A3693" s="25">
        <v>21800</v>
      </c>
      <c r="B3693" s="34" t="s">
        <v>5677</v>
      </c>
      <c r="C3693" s="31" t="s">
        <v>521</v>
      </c>
      <c r="D3693" s="31" t="s">
        <v>1609</v>
      </c>
      <c r="E3693" s="28">
        <v>43090</v>
      </c>
      <c r="F3693" s="28">
        <v>43121</v>
      </c>
      <c r="G3693" s="28">
        <v>43496</v>
      </c>
      <c r="H3693" s="29" t="s">
        <v>534</v>
      </c>
      <c r="I3693" s="29" t="s">
        <v>5428</v>
      </c>
      <c r="J3693" s="29" t="s">
        <v>1694</v>
      </c>
      <c r="K3693" s="29" t="s">
        <v>1694</v>
      </c>
      <c r="L3693" s="29" t="s">
        <v>4852</v>
      </c>
      <c r="M3693" s="29" t="s">
        <v>5678</v>
      </c>
      <c r="N3693" s="29" t="s">
        <v>5679</v>
      </c>
      <c r="O3693" s="29" t="s">
        <v>594</v>
      </c>
    </row>
    <row r="3694" spans="1:15">
      <c r="A3694" s="25" t="s">
        <v>5680</v>
      </c>
      <c r="B3694" s="26" t="s">
        <v>5681</v>
      </c>
      <c r="C3694" s="27" t="s">
        <v>521</v>
      </c>
      <c r="D3694" s="27" t="s">
        <v>1859</v>
      </c>
      <c r="E3694" s="28">
        <v>41015</v>
      </c>
      <c r="F3694" s="28" t="s">
        <v>35</v>
      </c>
      <c r="G3694" s="28" t="s">
        <v>35</v>
      </c>
      <c r="H3694" s="31" t="s">
        <v>534</v>
      </c>
      <c r="I3694" s="31" t="s">
        <v>5428</v>
      </c>
      <c r="J3694" s="29" t="s">
        <v>1694</v>
      </c>
      <c r="K3694" s="29" t="s">
        <v>1694</v>
      </c>
      <c r="L3694" s="29" t="s">
        <v>4852</v>
      </c>
      <c r="M3694" s="29" t="s">
        <v>5678</v>
      </c>
      <c r="N3694" s="29" t="s">
        <v>5679</v>
      </c>
      <c r="O3694" s="29" t="s">
        <v>590</v>
      </c>
    </row>
    <row r="3695" spans="1:15">
      <c r="A3695" s="25">
        <v>11084</v>
      </c>
      <c r="B3695" s="26" t="s">
        <v>5682</v>
      </c>
      <c r="C3695" s="27" t="s">
        <v>521</v>
      </c>
      <c r="D3695" s="27" t="s">
        <v>1420</v>
      </c>
      <c r="E3695" s="28">
        <v>40595</v>
      </c>
      <c r="F3695" s="28" t="s">
        <v>35</v>
      </c>
      <c r="G3695" s="28" t="s">
        <v>35</v>
      </c>
      <c r="H3695" s="27" t="s">
        <v>534</v>
      </c>
      <c r="I3695" s="27" t="s">
        <v>5428</v>
      </c>
      <c r="J3695" s="29" t="s">
        <v>1694</v>
      </c>
      <c r="K3695" s="29" t="s">
        <v>1694</v>
      </c>
      <c r="L3695" s="29" t="s">
        <v>5016</v>
      </c>
      <c r="M3695" s="29" t="s">
        <v>5678</v>
      </c>
      <c r="N3695" s="29" t="s">
        <v>5679</v>
      </c>
      <c r="O3695" s="29" t="s">
        <v>594</v>
      </c>
    </row>
    <row r="3696" spans="1:15">
      <c r="A3696" s="25">
        <v>21628</v>
      </c>
      <c r="B3696" s="34" t="s">
        <v>5683</v>
      </c>
      <c r="C3696" s="31" t="s">
        <v>521</v>
      </c>
      <c r="D3696" s="31" t="s">
        <v>1603</v>
      </c>
      <c r="E3696" s="28">
        <v>43048</v>
      </c>
      <c r="F3696" s="28">
        <v>43435</v>
      </c>
      <c r="G3696" s="28">
        <v>43799</v>
      </c>
      <c r="H3696" s="29" t="s">
        <v>534</v>
      </c>
      <c r="I3696" s="29" t="s">
        <v>5428</v>
      </c>
      <c r="J3696" s="29" t="s">
        <v>1694</v>
      </c>
      <c r="K3696" s="29" t="s">
        <v>1694</v>
      </c>
      <c r="L3696" s="29" t="s">
        <v>5016</v>
      </c>
      <c r="M3696" s="29" t="s">
        <v>80</v>
      </c>
      <c r="N3696" s="29" t="s">
        <v>1210</v>
      </c>
      <c r="O3696" s="29" t="s">
        <v>594</v>
      </c>
    </row>
    <row r="3697" spans="1:15">
      <c r="A3697" s="25">
        <v>4857</v>
      </c>
      <c r="B3697" s="26" t="s">
        <v>5684</v>
      </c>
      <c r="C3697" s="27" t="s">
        <v>521</v>
      </c>
      <c r="D3697" s="27" t="s">
        <v>756</v>
      </c>
      <c r="E3697" s="28">
        <v>38930</v>
      </c>
      <c r="F3697" s="28" t="s">
        <v>35</v>
      </c>
      <c r="G3697" s="28" t="s">
        <v>35</v>
      </c>
      <c r="H3697" s="29" t="s">
        <v>534</v>
      </c>
      <c r="I3697" s="29" t="s">
        <v>5428</v>
      </c>
      <c r="J3697" s="29" t="s">
        <v>1694</v>
      </c>
      <c r="K3697" s="29" t="s">
        <v>1694</v>
      </c>
      <c r="L3697" s="29" t="s">
        <v>5016</v>
      </c>
      <c r="M3697" s="29" t="s">
        <v>80</v>
      </c>
      <c r="N3697" s="29" t="s">
        <v>1210</v>
      </c>
      <c r="O3697" s="29" t="s">
        <v>590</v>
      </c>
    </row>
    <row r="3698" spans="1:15">
      <c r="A3698" s="25">
        <v>10094</v>
      </c>
      <c r="B3698" s="33" t="s">
        <v>5685</v>
      </c>
      <c r="C3698" s="27" t="s">
        <v>521</v>
      </c>
      <c r="D3698" s="27" t="s">
        <v>601</v>
      </c>
      <c r="E3698" s="28">
        <v>40444</v>
      </c>
      <c r="F3698" s="28" t="s">
        <v>35</v>
      </c>
      <c r="G3698" s="28" t="s">
        <v>35</v>
      </c>
      <c r="H3698" s="31" t="s">
        <v>534</v>
      </c>
      <c r="I3698" s="31" t="s">
        <v>5428</v>
      </c>
      <c r="J3698" s="29" t="s">
        <v>1694</v>
      </c>
      <c r="K3698" s="29" t="s">
        <v>1694</v>
      </c>
      <c r="L3698" s="29" t="s">
        <v>5016</v>
      </c>
      <c r="M3698" s="29" t="s">
        <v>5678</v>
      </c>
      <c r="N3698" s="29" t="s">
        <v>5679</v>
      </c>
      <c r="O3698" s="29" t="s">
        <v>590</v>
      </c>
    </row>
    <row r="3699" spans="1:15">
      <c r="A3699" s="25">
        <v>12859</v>
      </c>
      <c r="B3699" s="26" t="s">
        <v>404</v>
      </c>
      <c r="C3699" s="27" t="s">
        <v>521</v>
      </c>
      <c r="D3699" s="27" t="s">
        <v>688</v>
      </c>
      <c r="E3699" s="28">
        <v>40833</v>
      </c>
      <c r="F3699" s="28" t="s">
        <v>35</v>
      </c>
      <c r="G3699" s="28" t="s">
        <v>35</v>
      </c>
      <c r="H3699" s="27" t="s">
        <v>534</v>
      </c>
      <c r="I3699" s="27" t="s">
        <v>5428</v>
      </c>
      <c r="J3699" s="29" t="s">
        <v>4289</v>
      </c>
      <c r="K3699" s="29" t="s">
        <v>4290</v>
      </c>
      <c r="L3699" s="29" t="s">
        <v>5051</v>
      </c>
      <c r="M3699" s="29" t="s">
        <v>80</v>
      </c>
      <c r="N3699" s="29" t="s">
        <v>1210</v>
      </c>
      <c r="O3699" s="29" t="s">
        <v>594</v>
      </c>
    </row>
    <row r="3700" spans="1:15">
      <c r="A3700" s="25">
        <v>10194</v>
      </c>
      <c r="B3700" s="26" t="s">
        <v>487</v>
      </c>
      <c r="C3700" s="27" t="s">
        <v>521</v>
      </c>
      <c r="D3700" s="27" t="s">
        <v>787</v>
      </c>
      <c r="E3700" s="28">
        <v>40458</v>
      </c>
      <c r="F3700" s="28" t="s">
        <v>35</v>
      </c>
      <c r="G3700" s="28" t="s">
        <v>35</v>
      </c>
      <c r="H3700" s="27" t="s">
        <v>534</v>
      </c>
      <c r="I3700" s="27" t="s">
        <v>5428</v>
      </c>
      <c r="J3700" s="29" t="s">
        <v>4289</v>
      </c>
      <c r="K3700" s="29" t="s">
        <v>4290</v>
      </c>
      <c r="L3700" s="29" t="s">
        <v>5051</v>
      </c>
      <c r="M3700" s="29" t="s">
        <v>80</v>
      </c>
      <c r="N3700" s="29" t="s">
        <v>1210</v>
      </c>
      <c r="O3700" s="29" t="s">
        <v>590</v>
      </c>
    </row>
    <row r="3701" spans="1:15">
      <c r="A3701" s="25">
        <v>958</v>
      </c>
      <c r="B3701" s="26" t="s">
        <v>5686</v>
      </c>
      <c r="C3701" s="27" t="s">
        <v>521</v>
      </c>
      <c r="D3701" s="27" t="s">
        <v>827</v>
      </c>
      <c r="E3701" s="28">
        <v>37865</v>
      </c>
      <c r="F3701" s="28" t="s">
        <v>35</v>
      </c>
      <c r="G3701" s="28" t="s">
        <v>35</v>
      </c>
      <c r="H3701" s="27" t="s">
        <v>534</v>
      </c>
      <c r="I3701" s="27" t="s">
        <v>5428</v>
      </c>
      <c r="J3701" s="29" t="s">
        <v>1825</v>
      </c>
      <c r="K3701" s="29" t="s">
        <v>1825</v>
      </c>
      <c r="L3701" s="29" t="s">
        <v>5074</v>
      </c>
      <c r="M3701" s="29" t="s">
        <v>80</v>
      </c>
      <c r="N3701" s="29" t="s">
        <v>1210</v>
      </c>
      <c r="O3701" s="29" t="s">
        <v>594</v>
      </c>
    </row>
    <row r="3702" spans="1:15">
      <c r="A3702" s="25" t="s">
        <v>54</v>
      </c>
      <c r="B3702" s="34" t="s">
        <v>55</v>
      </c>
      <c r="C3702" s="31" t="s">
        <v>521</v>
      </c>
      <c r="D3702" s="31" t="s">
        <v>1890</v>
      </c>
      <c r="E3702" s="28">
        <v>40904</v>
      </c>
      <c r="F3702" s="28" t="s">
        <v>35</v>
      </c>
      <c r="G3702" s="28" t="s">
        <v>35</v>
      </c>
      <c r="H3702" s="31" t="s">
        <v>534</v>
      </c>
      <c r="I3702" s="31" t="s">
        <v>5428</v>
      </c>
      <c r="J3702" s="29" t="s">
        <v>1825</v>
      </c>
      <c r="K3702" s="29" t="s">
        <v>1825</v>
      </c>
      <c r="L3702" s="29" t="s">
        <v>5074</v>
      </c>
      <c r="M3702" s="29" t="s">
        <v>5678</v>
      </c>
      <c r="N3702" s="29" t="s">
        <v>5679</v>
      </c>
      <c r="O3702" s="29" t="s">
        <v>594</v>
      </c>
    </row>
    <row r="3703" spans="1:15">
      <c r="A3703" s="25">
        <v>11627</v>
      </c>
      <c r="B3703" s="26" t="s">
        <v>284</v>
      </c>
      <c r="C3703" s="27" t="s">
        <v>521</v>
      </c>
      <c r="D3703" s="27" t="s">
        <v>841</v>
      </c>
      <c r="E3703" s="28">
        <v>40707</v>
      </c>
      <c r="F3703" s="28" t="s">
        <v>35</v>
      </c>
      <c r="G3703" s="28" t="s">
        <v>35</v>
      </c>
      <c r="H3703" s="27" t="s">
        <v>534</v>
      </c>
      <c r="I3703" s="27" t="s">
        <v>5428</v>
      </c>
      <c r="J3703" s="29" t="s">
        <v>1825</v>
      </c>
      <c r="K3703" s="29" t="s">
        <v>1825</v>
      </c>
      <c r="L3703" s="29" t="s">
        <v>5074</v>
      </c>
      <c r="M3703" s="29" t="s">
        <v>80</v>
      </c>
      <c r="N3703" s="29" t="s">
        <v>1210</v>
      </c>
      <c r="O3703" s="29" t="s">
        <v>590</v>
      </c>
    </row>
    <row r="3704" spans="1:15">
      <c r="A3704" s="25" t="s">
        <v>49</v>
      </c>
      <c r="B3704" s="34" t="s">
        <v>50</v>
      </c>
      <c r="C3704" s="31" t="s">
        <v>521</v>
      </c>
      <c r="D3704" s="31" t="s">
        <v>5687</v>
      </c>
      <c r="E3704" s="28">
        <v>41078</v>
      </c>
      <c r="F3704" s="28" t="s">
        <v>35</v>
      </c>
      <c r="G3704" s="28" t="s">
        <v>35</v>
      </c>
      <c r="H3704" s="31" t="s">
        <v>534</v>
      </c>
      <c r="I3704" s="31" t="s">
        <v>5428</v>
      </c>
      <c r="J3704" s="29" t="s">
        <v>1825</v>
      </c>
      <c r="K3704" s="29" t="s">
        <v>1825</v>
      </c>
      <c r="L3704" s="29" t="s">
        <v>5074</v>
      </c>
      <c r="M3704" s="29" t="s">
        <v>5678</v>
      </c>
      <c r="N3704" s="29" t="s">
        <v>5679</v>
      </c>
      <c r="O3704" s="29" t="s">
        <v>590</v>
      </c>
    </row>
    <row r="3705" spans="1:15">
      <c r="A3705" s="25" t="s">
        <v>78</v>
      </c>
      <c r="B3705" s="34" t="s">
        <v>79</v>
      </c>
      <c r="C3705" s="31" t="s">
        <v>521</v>
      </c>
      <c r="D3705" s="31" t="s">
        <v>1846</v>
      </c>
      <c r="E3705" s="28">
        <v>40840</v>
      </c>
      <c r="F3705" s="28" t="s">
        <v>35</v>
      </c>
      <c r="G3705" s="28" t="s">
        <v>35</v>
      </c>
      <c r="H3705" s="27" t="s">
        <v>534</v>
      </c>
      <c r="I3705" s="31" t="s">
        <v>5428</v>
      </c>
      <c r="J3705" s="29" t="s">
        <v>1901</v>
      </c>
      <c r="K3705" s="29" t="s">
        <v>1902</v>
      </c>
      <c r="L3705" s="29" t="s">
        <v>5203</v>
      </c>
      <c r="M3705" s="29" t="s">
        <v>5678</v>
      </c>
      <c r="N3705" s="29" t="s">
        <v>5679</v>
      </c>
      <c r="O3705" s="29" t="s">
        <v>594</v>
      </c>
    </row>
    <row r="3706" spans="1:15">
      <c r="A3706" s="25">
        <v>5906</v>
      </c>
      <c r="B3706" s="34" t="s">
        <v>2722</v>
      </c>
      <c r="C3706" s="31" t="s">
        <v>521</v>
      </c>
      <c r="D3706" s="31" t="s">
        <v>713</v>
      </c>
      <c r="E3706" s="28">
        <v>39129</v>
      </c>
      <c r="F3706" s="28" t="s">
        <v>35</v>
      </c>
      <c r="G3706" s="28" t="s">
        <v>35</v>
      </c>
      <c r="H3706" s="29" t="s">
        <v>534</v>
      </c>
      <c r="I3706" s="29" t="s">
        <v>5428</v>
      </c>
      <c r="J3706" s="29" t="s">
        <v>1901</v>
      </c>
      <c r="K3706" s="29" t="s">
        <v>1902</v>
      </c>
      <c r="L3706" s="29" t="s">
        <v>5203</v>
      </c>
      <c r="M3706" s="29" t="s">
        <v>5678</v>
      </c>
      <c r="N3706" s="29" t="s">
        <v>5679</v>
      </c>
      <c r="O3706" s="29" t="s">
        <v>590</v>
      </c>
    </row>
    <row r="3707" spans="1:15">
      <c r="A3707" s="25">
        <v>1099</v>
      </c>
      <c r="B3707" s="26" t="s">
        <v>5688</v>
      </c>
      <c r="C3707" s="27" t="s">
        <v>521</v>
      </c>
      <c r="D3707" s="27" t="s">
        <v>1411</v>
      </c>
      <c r="E3707" s="28">
        <v>37887</v>
      </c>
      <c r="F3707" s="28" t="s">
        <v>35</v>
      </c>
      <c r="G3707" s="28" t="s">
        <v>35</v>
      </c>
      <c r="H3707" s="31" t="s">
        <v>534</v>
      </c>
      <c r="I3707" s="31" t="s">
        <v>5428</v>
      </c>
      <c r="J3707" s="29" t="s">
        <v>525</v>
      </c>
      <c r="K3707" s="29" t="s">
        <v>525</v>
      </c>
      <c r="L3707" s="29" t="s">
        <v>5689</v>
      </c>
      <c r="M3707" s="29" t="s">
        <v>5461</v>
      </c>
      <c r="N3707" s="29" t="s">
        <v>1045</v>
      </c>
      <c r="O3707" s="29" t="s">
        <v>594</v>
      </c>
    </row>
    <row r="3708" spans="1:15">
      <c r="A3708" s="25">
        <v>628</v>
      </c>
      <c r="B3708" s="26" t="s">
        <v>5690</v>
      </c>
      <c r="C3708" s="27" t="s">
        <v>521</v>
      </c>
      <c r="D3708" s="27" t="s">
        <v>783</v>
      </c>
      <c r="E3708" s="28">
        <v>37781</v>
      </c>
      <c r="F3708" s="28" t="s">
        <v>35</v>
      </c>
      <c r="G3708" s="28" t="s">
        <v>35</v>
      </c>
      <c r="H3708" s="27" t="s">
        <v>534</v>
      </c>
      <c r="I3708" s="27" t="s">
        <v>5428</v>
      </c>
      <c r="J3708" s="29" t="s">
        <v>525</v>
      </c>
      <c r="K3708" s="29" t="s">
        <v>525</v>
      </c>
      <c r="L3708" s="29" t="s">
        <v>5689</v>
      </c>
      <c r="M3708" s="29" t="s">
        <v>5461</v>
      </c>
      <c r="N3708" s="29" t="s">
        <v>1045</v>
      </c>
      <c r="O3708" s="29" t="s">
        <v>590</v>
      </c>
    </row>
    <row r="3709" spans="1:15">
      <c r="A3709" s="25">
        <v>169</v>
      </c>
      <c r="B3709" s="26" t="s">
        <v>5691</v>
      </c>
      <c r="C3709" s="27" t="s">
        <v>521</v>
      </c>
      <c r="D3709" s="27" t="s">
        <v>1033</v>
      </c>
      <c r="E3709" s="28">
        <v>37679</v>
      </c>
      <c r="F3709" s="28" t="s">
        <v>35</v>
      </c>
      <c r="G3709" s="28" t="s">
        <v>35</v>
      </c>
      <c r="H3709" s="27" t="s">
        <v>534</v>
      </c>
      <c r="I3709" s="27" t="s">
        <v>5692</v>
      </c>
      <c r="J3709" s="27" t="s">
        <v>525</v>
      </c>
      <c r="K3709" s="27" t="s">
        <v>525</v>
      </c>
      <c r="L3709" s="27" t="s">
        <v>5692</v>
      </c>
      <c r="M3709" s="27" t="s">
        <v>5693</v>
      </c>
      <c r="N3709" s="27" t="s">
        <v>5692</v>
      </c>
      <c r="O3709" s="27" t="s">
        <v>594</v>
      </c>
    </row>
    <row r="3710" spans="1:15">
      <c r="A3710" s="25">
        <v>1284</v>
      </c>
      <c r="B3710" s="26" t="s">
        <v>5694</v>
      </c>
      <c r="C3710" s="27" t="s">
        <v>521</v>
      </c>
      <c r="D3710" s="27" t="s">
        <v>1458</v>
      </c>
      <c r="E3710" s="28">
        <v>37921</v>
      </c>
      <c r="F3710" s="28" t="s">
        <v>35</v>
      </c>
      <c r="G3710" s="28" t="s">
        <v>35</v>
      </c>
      <c r="H3710" s="29" t="s">
        <v>534</v>
      </c>
      <c r="I3710" s="29" t="s">
        <v>5692</v>
      </c>
      <c r="J3710" s="29" t="s">
        <v>525</v>
      </c>
      <c r="K3710" s="29" t="s">
        <v>525</v>
      </c>
      <c r="L3710" s="29" t="s">
        <v>5692</v>
      </c>
      <c r="M3710" s="29" t="s">
        <v>5693</v>
      </c>
      <c r="N3710" s="29" t="s">
        <v>5692</v>
      </c>
      <c r="O3710" s="29" t="s">
        <v>594</v>
      </c>
    </row>
    <row r="3711" spans="1:15">
      <c r="A3711" s="25">
        <v>8777</v>
      </c>
      <c r="B3711" s="26" t="s">
        <v>5695</v>
      </c>
      <c r="C3711" s="27" t="s">
        <v>521</v>
      </c>
      <c r="D3711" s="27" t="s">
        <v>747</v>
      </c>
      <c r="E3711" s="28">
        <v>39931</v>
      </c>
      <c r="F3711" s="28" t="s">
        <v>35</v>
      </c>
      <c r="G3711" s="28" t="s">
        <v>35</v>
      </c>
      <c r="H3711" s="27" t="s">
        <v>534</v>
      </c>
      <c r="I3711" s="27" t="s">
        <v>5692</v>
      </c>
      <c r="J3711" s="27" t="s">
        <v>525</v>
      </c>
      <c r="K3711" s="27" t="s">
        <v>525</v>
      </c>
      <c r="L3711" s="27" t="s">
        <v>5692</v>
      </c>
      <c r="M3711" s="27" t="s">
        <v>5693</v>
      </c>
      <c r="N3711" s="27" t="s">
        <v>5692</v>
      </c>
      <c r="O3711" s="27" t="s">
        <v>594</v>
      </c>
    </row>
    <row r="3712" spans="1:15">
      <c r="A3712" s="25">
        <v>10253</v>
      </c>
      <c r="B3712" s="34" t="s">
        <v>5696</v>
      </c>
      <c r="C3712" s="31" t="s">
        <v>521</v>
      </c>
      <c r="D3712" s="31" t="s">
        <v>681</v>
      </c>
      <c r="E3712" s="28">
        <v>40497</v>
      </c>
      <c r="F3712" s="28" t="s">
        <v>35</v>
      </c>
      <c r="G3712" s="28" t="s">
        <v>35</v>
      </c>
      <c r="H3712" s="27" t="s">
        <v>534</v>
      </c>
      <c r="I3712" s="27" t="s">
        <v>5692</v>
      </c>
      <c r="J3712" s="27" t="s">
        <v>525</v>
      </c>
      <c r="K3712" s="27" t="s">
        <v>525</v>
      </c>
      <c r="L3712" s="27" t="s">
        <v>5692</v>
      </c>
      <c r="M3712" s="27" t="s">
        <v>5693</v>
      </c>
      <c r="N3712" s="27" t="s">
        <v>5692</v>
      </c>
      <c r="O3712" s="27" t="s">
        <v>594</v>
      </c>
    </row>
    <row r="3713" spans="1:15">
      <c r="A3713" s="25">
        <v>5269</v>
      </c>
      <c r="B3713" s="26" t="s">
        <v>5697</v>
      </c>
      <c r="C3713" s="27" t="s">
        <v>521</v>
      </c>
      <c r="D3713" s="27" t="s">
        <v>1130</v>
      </c>
      <c r="E3713" s="28">
        <v>38961</v>
      </c>
      <c r="F3713" s="28" t="s">
        <v>35</v>
      </c>
      <c r="G3713" s="28" t="s">
        <v>35</v>
      </c>
      <c r="H3713" s="27" t="s">
        <v>534</v>
      </c>
      <c r="I3713" s="27" t="s">
        <v>5692</v>
      </c>
      <c r="J3713" s="27" t="s">
        <v>525</v>
      </c>
      <c r="K3713" s="27" t="s">
        <v>525</v>
      </c>
      <c r="L3713" s="27" t="s">
        <v>5692</v>
      </c>
      <c r="M3713" s="29" t="s">
        <v>5698</v>
      </c>
      <c r="N3713" s="29" t="s">
        <v>5692</v>
      </c>
      <c r="O3713" s="29" t="s">
        <v>528</v>
      </c>
    </row>
    <row r="3714" spans="1:15">
      <c r="A3714" s="25">
        <v>14797</v>
      </c>
      <c r="B3714" s="34" t="s">
        <v>5699</v>
      </c>
      <c r="C3714" s="31" t="s">
        <v>521</v>
      </c>
      <c r="D3714" s="31" t="s">
        <v>5517</v>
      </c>
      <c r="E3714" s="28">
        <v>41400</v>
      </c>
      <c r="F3714" s="28" t="s">
        <v>35</v>
      </c>
      <c r="G3714" s="28" t="s">
        <v>35</v>
      </c>
      <c r="H3714" s="27" t="s">
        <v>534</v>
      </c>
      <c r="I3714" s="27" t="s">
        <v>5692</v>
      </c>
      <c r="J3714" s="27" t="s">
        <v>525</v>
      </c>
      <c r="K3714" s="29" t="s">
        <v>525</v>
      </c>
      <c r="L3714" s="29" t="s">
        <v>5692</v>
      </c>
      <c r="M3714" s="29" t="s">
        <v>5317</v>
      </c>
      <c r="N3714" s="29" t="s">
        <v>5692</v>
      </c>
      <c r="O3714" s="29" t="s">
        <v>528</v>
      </c>
    </row>
    <row r="3715" spans="1:15">
      <c r="A3715" s="25">
        <v>66</v>
      </c>
      <c r="B3715" s="26" t="s">
        <v>5700</v>
      </c>
      <c r="C3715" s="27" t="s">
        <v>521</v>
      </c>
      <c r="D3715" s="27" t="s">
        <v>3715</v>
      </c>
      <c r="E3715" s="28">
        <v>37578</v>
      </c>
      <c r="F3715" s="28" t="s">
        <v>35</v>
      </c>
      <c r="G3715" s="28" t="s">
        <v>35</v>
      </c>
      <c r="H3715" s="27" t="s">
        <v>534</v>
      </c>
      <c r="I3715" s="27" t="s">
        <v>5692</v>
      </c>
      <c r="J3715" s="27" t="s">
        <v>525</v>
      </c>
      <c r="K3715" s="27" t="s">
        <v>525</v>
      </c>
      <c r="L3715" s="27" t="s">
        <v>5692</v>
      </c>
      <c r="M3715" s="27" t="s">
        <v>5693</v>
      </c>
      <c r="N3715" s="27" t="s">
        <v>5692</v>
      </c>
      <c r="O3715" s="27" t="s">
        <v>590</v>
      </c>
    </row>
    <row r="3716" spans="1:15">
      <c r="A3716" s="25">
        <v>424</v>
      </c>
      <c r="B3716" s="26" t="s">
        <v>5701</v>
      </c>
      <c r="C3716" s="27" t="s">
        <v>521</v>
      </c>
      <c r="D3716" s="27" t="s">
        <v>1351</v>
      </c>
      <c r="E3716" s="28">
        <v>37739</v>
      </c>
      <c r="F3716" s="28" t="s">
        <v>35</v>
      </c>
      <c r="G3716" s="28" t="s">
        <v>35</v>
      </c>
      <c r="H3716" s="31" t="s">
        <v>534</v>
      </c>
      <c r="I3716" s="31" t="s">
        <v>5692</v>
      </c>
      <c r="J3716" s="31" t="s">
        <v>525</v>
      </c>
      <c r="K3716" s="31" t="s">
        <v>525</v>
      </c>
      <c r="L3716" s="31" t="s">
        <v>5692</v>
      </c>
      <c r="M3716" s="31" t="s">
        <v>5693</v>
      </c>
      <c r="N3716" s="31" t="s">
        <v>5692</v>
      </c>
      <c r="O3716" s="29" t="s">
        <v>590</v>
      </c>
    </row>
    <row r="3717" spans="1:15">
      <c r="A3717" s="25">
        <v>3725</v>
      </c>
      <c r="B3717" s="26" t="s">
        <v>205</v>
      </c>
      <c r="C3717" s="27" t="s">
        <v>521</v>
      </c>
      <c r="D3717" s="27" t="s">
        <v>4686</v>
      </c>
      <c r="E3717" s="28">
        <v>38626</v>
      </c>
      <c r="F3717" s="28" t="s">
        <v>35</v>
      </c>
      <c r="G3717" s="28" t="s">
        <v>35</v>
      </c>
      <c r="H3717" s="29" t="s">
        <v>534</v>
      </c>
      <c r="I3717" s="29" t="s">
        <v>5692</v>
      </c>
      <c r="J3717" s="29" t="s">
        <v>525</v>
      </c>
      <c r="K3717" s="29" t="s">
        <v>525</v>
      </c>
      <c r="L3717" s="29" t="s">
        <v>5692</v>
      </c>
      <c r="M3717" s="29" t="s">
        <v>5693</v>
      </c>
      <c r="N3717" s="29" t="s">
        <v>5692</v>
      </c>
      <c r="O3717" s="29" t="s">
        <v>590</v>
      </c>
    </row>
    <row r="3718" spans="1:15">
      <c r="A3718" s="25">
        <v>10624</v>
      </c>
      <c r="B3718" s="34" t="s">
        <v>5702</v>
      </c>
      <c r="C3718" s="31" t="s">
        <v>521</v>
      </c>
      <c r="D3718" s="31" t="s">
        <v>2426</v>
      </c>
      <c r="E3718" s="28">
        <v>40549</v>
      </c>
      <c r="F3718" s="28" t="s">
        <v>35</v>
      </c>
      <c r="G3718" s="28" t="s">
        <v>35</v>
      </c>
      <c r="H3718" s="31" t="s">
        <v>534</v>
      </c>
      <c r="I3718" s="27" t="s">
        <v>5692</v>
      </c>
      <c r="J3718" s="27" t="s">
        <v>525</v>
      </c>
      <c r="K3718" s="27" t="s">
        <v>525</v>
      </c>
      <c r="L3718" s="27" t="s">
        <v>5692</v>
      </c>
      <c r="M3718" s="27" t="s">
        <v>5693</v>
      </c>
      <c r="N3718" s="27" t="s">
        <v>5692</v>
      </c>
      <c r="O3718" s="27" t="s">
        <v>590</v>
      </c>
    </row>
    <row r="3719" spans="1:15">
      <c r="A3719" s="25">
        <v>12615</v>
      </c>
      <c r="B3719" s="34" t="s">
        <v>5703</v>
      </c>
      <c r="C3719" s="31" t="s">
        <v>521</v>
      </c>
      <c r="D3719" s="31" t="s">
        <v>858</v>
      </c>
      <c r="E3719" s="28">
        <v>40816</v>
      </c>
      <c r="F3719" s="28" t="s">
        <v>35</v>
      </c>
      <c r="G3719" s="28" t="s">
        <v>35</v>
      </c>
      <c r="H3719" s="27" t="s">
        <v>534</v>
      </c>
      <c r="I3719" s="27" t="s">
        <v>5692</v>
      </c>
      <c r="J3719" s="27" t="s">
        <v>525</v>
      </c>
      <c r="K3719" s="27" t="s">
        <v>525</v>
      </c>
      <c r="L3719" s="27" t="s">
        <v>5692</v>
      </c>
      <c r="M3719" s="27" t="s">
        <v>5693</v>
      </c>
      <c r="N3719" s="27" t="s">
        <v>5692</v>
      </c>
      <c r="O3719" s="27" t="s">
        <v>590</v>
      </c>
    </row>
    <row r="3720" spans="1:15">
      <c r="A3720" s="25">
        <v>13490</v>
      </c>
      <c r="B3720" s="34" t="s">
        <v>5704</v>
      </c>
      <c r="C3720" s="31" t="s">
        <v>521</v>
      </c>
      <c r="D3720" s="31" t="s">
        <v>2952</v>
      </c>
      <c r="E3720" s="28">
        <v>40945</v>
      </c>
      <c r="F3720" s="28" t="s">
        <v>35</v>
      </c>
      <c r="G3720" s="28" t="s">
        <v>35</v>
      </c>
      <c r="H3720" s="27" t="s">
        <v>534</v>
      </c>
      <c r="I3720" s="27" t="s">
        <v>5692</v>
      </c>
      <c r="J3720" s="27" t="s">
        <v>525</v>
      </c>
      <c r="K3720" s="27" t="s">
        <v>525</v>
      </c>
      <c r="L3720" s="27" t="s">
        <v>5692</v>
      </c>
      <c r="M3720" s="27" t="s">
        <v>5693</v>
      </c>
      <c r="N3720" s="27" t="s">
        <v>5692</v>
      </c>
      <c r="O3720" s="27" t="s">
        <v>590</v>
      </c>
    </row>
    <row r="3721" spans="1:15">
      <c r="A3721" s="25">
        <v>394</v>
      </c>
      <c r="B3721" s="26" t="s">
        <v>2923</v>
      </c>
      <c r="C3721" s="27" t="s">
        <v>521</v>
      </c>
      <c r="D3721" s="27" t="s">
        <v>1058</v>
      </c>
      <c r="E3721" s="28">
        <v>37732</v>
      </c>
      <c r="F3721" s="28" t="s">
        <v>35</v>
      </c>
      <c r="G3721" s="28" t="s">
        <v>35</v>
      </c>
      <c r="H3721" s="27" t="s">
        <v>534</v>
      </c>
      <c r="I3721" s="27" t="s">
        <v>5705</v>
      </c>
      <c r="J3721" s="27" t="s">
        <v>525</v>
      </c>
      <c r="K3721" s="27" t="s">
        <v>525</v>
      </c>
      <c r="L3721" s="27" t="s">
        <v>5705</v>
      </c>
      <c r="M3721" s="27" t="s">
        <v>5317</v>
      </c>
      <c r="N3721" s="27" t="s">
        <v>5705</v>
      </c>
      <c r="O3721" s="27" t="s">
        <v>528</v>
      </c>
    </row>
    <row r="3722" spans="1:15">
      <c r="A3722" s="25">
        <v>5475</v>
      </c>
      <c r="B3722" s="26" t="s">
        <v>5706</v>
      </c>
      <c r="C3722" s="27" t="s">
        <v>521</v>
      </c>
      <c r="D3722" s="27" t="s">
        <v>1090</v>
      </c>
      <c r="E3722" s="28">
        <v>38991</v>
      </c>
      <c r="F3722" s="28" t="s">
        <v>35</v>
      </c>
      <c r="G3722" s="28" t="s">
        <v>35</v>
      </c>
      <c r="H3722" s="27" t="s">
        <v>534</v>
      </c>
      <c r="I3722" s="31" t="s">
        <v>5705</v>
      </c>
      <c r="J3722" s="27" t="s">
        <v>525</v>
      </c>
      <c r="K3722" s="27" t="s">
        <v>525</v>
      </c>
      <c r="L3722" s="27" t="s">
        <v>5705</v>
      </c>
      <c r="M3722" s="27" t="s">
        <v>5317</v>
      </c>
      <c r="N3722" s="27" t="s">
        <v>5705</v>
      </c>
      <c r="O3722" s="27" t="s">
        <v>528</v>
      </c>
    </row>
    <row r="3723" spans="1:15">
      <c r="A3723" s="25">
        <v>723</v>
      </c>
      <c r="B3723" s="26" t="s">
        <v>5707</v>
      </c>
      <c r="C3723" s="27" t="s">
        <v>521</v>
      </c>
      <c r="D3723" s="27" t="s">
        <v>2713</v>
      </c>
      <c r="E3723" s="28">
        <v>37816</v>
      </c>
      <c r="F3723" s="28" t="s">
        <v>35</v>
      </c>
      <c r="G3723" s="28" t="s">
        <v>35</v>
      </c>
      <c r="H3723" s="27" t="s">
        <v>534</v>
      </c>
      <c r="I3723" s="27" t="s">
        <v>5708</v>
      </c>
      <c r="J3723" s="29" t="s">
        <v>1930</v>
      </c>
      <c r="K3723" s="29" t="s">
        <v>1930</v>
      </c>
      <c r="L3723" s="29" t="s">
        <v>5708</v>
      </c>
      <c r="M3723" s="29" t="s">
        <v>573</v>
      </c>
      <c r="N3723" s="29" t="s">
        <v>1223</v>
      </c>
      <c r="O3723" s="29" t="s">
        <v>594</v>
      </c>
    </row>
    <row r="3724" spans="1:15">
      <c r="A3724" s="25">
        <v>5510</v>
      </c>
      <c r="B3724" s="32" t="s">
        <v>1744</v>
      </c>
      <c r="C3724" s="27" t="s">
        <v>521</v>
      </c>
      <c r="D3724" s="27" t="s">
        <v>792</v>
      </c>
      <c r="E3724" s="28">
        <v>39022</v>
      </c>
      <c r="F3724" s="28" t="s">
        <v>35</v>
      </c>
      <c r="G3724" s="28" t="s">
        <v>35</v>
      </c>
      <c r="H3724" s="31" t="s">
        <v>534</v>
      </c>
      <c r="I3724" s="31" t="s">
        <v>5708</v>
      </c>
      <c r="J3724" s="29" t="s">
        <v>1901</v>
      </c>
      <c r="K3724" s="29" t="s">
        <v>1902</v>
      </c>
      <c r="L3724" s="29" t="s">
        <v>5708</v>
      </c>
      <c r="M3724" s="29" t="s">
        <v>573</v>
      </c>
      <c r="N3724" s="29" t="s">
        <v>1223</v>
      </c>
      <c r="O3724" s="29" t="s">
        <v>594</v>
      </c>
    </row>
    <row r="3725" spans="1:15">
      <c r="A3725" s="25">
        <v>17683</v>
      </c>
      <c r="B3725" s="33" t="s">
        <v>5709</v>
      </c>
      <c r="C3725" s="27" t="s">
        <v>521</v>
      </c>
      <c r="D3725" s="27" t="s">
        <v>5710</v>
      </c>
      <c r="E3725" s="28">
        <v>41792</v>
      </c>
      <c r="F3725" s="28" t="s">
        <v>35</v>
      </c>
      <c r="G3725" s="28" t="s">
        <v>35</v>
      </c>
      <c r="H3725" s="31" t="s">
        <v>534</v>
      </c>
      <c r="I3725" s="31" t="s">
        <v>5708</v>
      </c>
      <c r="J3725" s="29" t="s">
        <v>1694</v>
      </c>
      <c r="K3725" s="29" t="s">
        <v>1694</v>
      </c>
      <c r="L3725" s="29" t="s">
        <v>5708</v>
      </c>
      <c r="M3725" s="29" t="s">
        <v>573</v>
      </c>
      <c r="N3725" s="29" t="s">
        <v>1223</v>
      </c>
      <c r="O3725" s="29" t="s">
        <v>594</v>
      </c>
    </row>
    <row r="3726" spans="1:15">
      <c r="A3726" s="25">
        <v>5825</v>
      </c>
      <c r="B3726" s="26" t="s">
        <v>5711</v>
      </c>
      <c r="C3726" s="27" t="s">
        <v>521</v>
      </c>
      <c r="D3726" s="27" t="s">
        <v>794</v>
      </c>
      <c r="E3726" s="28">
        <v>39114</v>
      </c>
      <c r="F3726" s="28" t="s">
        <v>35</v>
      </c>
      <c r="G3726" s="28" t="s">
        <v>35</v>
      </c>
      <c r="H3726" s="27" t="s">
        <v>534</v>
      </c>
      <c r="I3726" s="27" t="s">
        <v>5708</v>
      </c>
      <c r="J3726" s="29" t="s">
        <v>1508</v>
      </c>
      <c r="K3726" s="29" t="s">
        <v>1508</v>
      </c>
      <c r="L3726" s="29" t="s">
        <v>5708</v>
      </c>
      <c r="M3726" s="29" t="s">
        <v>573</v>
      </c>
      <c r="N3726" s="29" t="s">
        <v>1223</v>
      </c>
      <c r="O3726" s="29" t="s">
        <v>528</v>
      </c>
    </row>
    <row r="3727" spans="1:15">
      <c r="A3727" s="25">
        <v>7094</v>
      </c>
      <c r="B3727" s="26" t="s">
        <v>5712</v>
      </c>
      <c r="C3727" s="27" t="s">
        <v>521</v>
      </c>
      <c r="D3727" s="27" t="s">
        <v>1472</v>
      </c>
      <c r="E3727" s="28">
        <v>39479</v>
      </c>
      <c r="F3727" s="28" t="s">
        <v>35</v>
      </c>
      <c r="G3727" s="28" t="s">
        <v>35</v>
      </c>
      <c r="H3727" s="27" t="s">
        <v>534</v>
      </c>
      <c r="I3727" s="27" t="s">
        <v>5708</v>
      </c>
      <c r="J3727" s="29" t="s">
        <v>1694</v>
      </c>
      <c r="K3727" s="29" t="s">
        <v>1694</v>
      </c>
      <c r="L3727" s="29" t="s">
        <v>5708</v>
      </c>
      <c r="M3727" s="29" t="s">
        <v>573</v>
      </c>
      <c r="N3727" s="29" t="s">
        <v>1223</v>
      </c>
      <c r="O3727" s="29" t="s">
        <v>528</v>
      </c>
    </row>
    <row r="3728" spans="1:15">
      <c r="A3728" s="25">
        <v>228</v>
      </c>
      <c r="B3728" s="26" t="s">
        <v>224</v>
      </c>
      <c r="C3728" s="27" t="s">
        <v>521</v>
      </c>
      <c r="D3728" s="27" t="s">
        <v>679</v>
      </c>
      <c r="E3728" s="28">
        <v>37697</v>
      </c>
      <c r="F3728" s="28" t="s">
        <v>35</v>
      </c>
      <c r="G3728" s="28" t="s">
        <v>35</v>
      </c>
      <c r="H3728" s="29" t="s">
        <v>534</v>
      </c>
      <c r="I3728" s="29" t="s">
        <v>5708</v>
      </c>
      <c r="J3728" s="29" t="s">
        <v>1694</v>
      </c>
      <c r="K3728" s="29" t="s">
        <v>1694</v>
      </c>
      <c r="L3728" s="29" t="s">
        <v>5708</v>
      </c>
      <c r="M3728" s="29" t="s">
        <v>573</v>
      </c>
      <c r="N3728" s="29" t="s">
        <v>1223</v>
      </c>
      <c r="O3728" s="29" t="s">
        <v>590</v>
      </c>
    </row>
    <row r="3729" spans="1:15">
      <c r="A3729" s="25">
        <v>243</v>
      </c>
      <c r="B3729" s="26" t="s">
        <v>5713</v>
      </c>
      <c r="C3729" s="27" t="s">
        <v>521</v>
      </c>
      <c r="D3729" s="27" t="s">
        <v>644</v>
      </c>
      <c r="E3729" s="28">
        <v>37704</v>
      </c>
      <c r="F3729" s="28" t="s">
        <v>35</v>
      </c>
      <c r="G3729" s="28" t="s">
        <v>35</v>
      </c>
      <c r="H3729" s="27" t="s">
        <v>534</v>
      </c>
      <c r="I3729" s="29" t="s">
        <v>5708</v>
      </c>
      <c r="J3729" s="29" t="s">
        <v>1930</v>
      </c>
      <c r="K3729" s="29" t="s">
        <v>1930</v>
      </c>
      <c r="L3729" s="29" t="s">
        <v>5708</v>
      </c>
      <c r="M3729" s="29" t="s">
        <v>5714</v>
      </c>
      <c r="N3729" s="29" t="s">
        <v>1223</v>
      </c>
      <c r="O3729" s="29" t="s">
        <v>590</v>
      </c>
    </row>
    <row r="3730" spans="1:15">
      <c r="A3730" s="25">
        <v>13636</v>
      </c>
      <c r="B3730" s="34" t="s">
        <v>5715</v>
      </c>
      <c r="C3730" s="31" t="s">
        <v>521</v>
      </c>
      <c r="D3730" s="31" t="s">
        <v>5716</v>
      </c>
      <c r="E3730" s="28">
        <v>41015</v>
      </c>
      <c r="F3730" s="28" t="s">
        <v>35</v>
      </c>
      <c r="G3730" s="28" t="s">
        <v>35</v>
      </c>
      <c r="H3730" s="31" t="s">
        <v>534</v>
      </c>
      <c r="I3730" s="31" t="s">
        <v>5708</v>
      </c>
      <c r="J3730" s="29" t="s">
        <v>1901</v>
      </c>
      <c r="K3730" s="29" t="s">
        <v>1902</v>
      </c>
      <c r="L3730" s="29" t="s">
        <v>5708</v>
      </c>
      <c r="M3730" s="29" t="s">
        <v>573</v>
      </c>
      <c r="N3730" s="29" t="s">
        <v>1223</v>
      </c>
      <c r="O3730" s="29" t="s">
        <v>590</v>
      </c>
    </row>
    <row r="3731" spans="1:15">
      <c r="A3731" s="25">
        <v>8631</v>
      </c>
      <c r="B3731" s="26" t="s">
        <v>5717</v>
      </c>
      <c r="C3731" s="27" t="s">
        <v>521</v>
      </c>
      <c r="D3731" s="27" t="s">
        <v>522</v>
      </c>
      <c r="E3731" s="28">
        <v>39776</v>
      </c>
      <c r="F3731" s="28" t="s">
        <v>35</v>
      </c>
      <c r="G3731" s="28" t="s">
        <v>35</v>
      </c>
      <c r="H3731" s="27" t="s">
        <v>534</v>
      </c>
      <c r="I3731" s="27" t="s">
        <v>5718</v>
      </c>
      <c r="J3731" s="27" t="s">
        <v>525</v>
      </c>
      <c r="K3731" s="27" t="s">
        <v>525</v>
      </c>
      <c r="L3731" s="29" t="s">
        <v>5719</v>
      </c>
      <c r="M3731" s="29" t="s">
        <v>5720</v>
      </c>
      <c r="N3731" s="29" t="s">
        <v>1037</v>
      </c>
      <c r="O3731" s="29" t="s">
        <v>528</v>
      </c>
    </row>
    <row r="3732" spans="1:15">
      <c r="A3732" s="25">
        <v>703</v>
      </c>
      <c r="B3732" s="26" t="s">
        <v>5721</v>
      </c>
      <c r="C3732" s="27" t="s">
        <v>521</v>
      </c>
      <c r="D3732" s="27" t="s">
        <v>522</v>
      </c>
      <c r="E3732" s="28">
        <v>37802</v>
      </c>
      <c r="F3732" s="28" t="s">
        <v>35</v>
      </c>
      <c r="G3732" s="28" t="s">
        <v>35</v>
      </c>
      <c r="H3732" s="27" t="s">
        <v>534</v>
      </c>
      <c r="I3732" s="27" t="s">
        <v>5718</v>
      </c>
      <c r="J3732" s="27" t="s">
        <v>525</v>
      </c>
      <c r="K3732" s="27" t="s">
        <v>525</v>
      </c>
      <c r="L3732" s="27" t="s">
        <v>5718</v>
      </c>
      <c r="M3732" s="29" t="s">
        <v>5722</v>
      </c>
      <c r="N3732" s="29" t="s">
        <v>1037</v>
      </c>
      <c r="O3732" s="29" t="s">
        <v>528</v>
      </c>
    </row>
    <row r="3733" spans="1:15">
      <c r="A3733" s="25">
        <v>1158</v>
      </c>
      <c r="B3733" s="26" t="s">
        <v>5723</v>
      </c>
      <c r="C3733" s="27" t="s">
        <v>521</v>
      </c>
      <c r="D3733" s="27" t="s">
        <v>522</v>
      </c>
      <c r="E3733" s="28">
        <v>37900</v>
      </c>
      <c r="F3733" s="28" t="s">
        <v>35</v>
      </c>
      <c r="G3733" s="28" t="s">
        <v>35</v>
      </c>
      <c r="H3733" s="27" t="s">
        <v>534</v>
      </c>
      <c r="I3733" s="27" t="s">
        <v>5718</v>
      </c>
      <c r="J3733" s="27" t="s">
        <v>525</v>
      </c>
      <c r="K3733" s="27" t="s">
        <v>525</v>
      </c>
      <c r="L3733" s="27" t="s">
        <v>5718</v>
      </c>
      <c r="M3733" s="29" t="s">
        <v>5724</v>
      </c>
      <c r="N3733" s="29" t="s">
        <v>1037</v>
      </c>
      <c r="O3733" s="29" t="s">
        <v>528</v>
      </c>
    </row>
    <row r="3734" spans="1:15">
      <c r="A3734" s="25">
        <v>3644</v>
      </c>
      <c r="B3734" s="26" t="s">
        <v>5725</v>
      </c>
      <c r="C3734" s="27" t="s">
        <v>521</v>
      </c>
      <c r="D3734" s="27" t="s">
        <v>522</v>
      </c>
      <c r="E3734" s="28">
        <v>38285</v>
      </c>
      <c r="F3734" s="28" t="s">
        <v>35</v>
      </c>
      <c r="G3734" s="28" t="s">
        <v>35</v>
      </c>
      <c r="H3734" s="27" t="s">
        <v>534</v>
      </c>
      <c r="I3734" s="27" t="s">
        <v>5718</v>
      </c>
      <c r="J3734" s="27" t="s">
        <v>525</v>
      </c>
      <c r="K3734" s="27" t="s">
        <v>525</v>
      </c>
      <c r="L3734" s="27" t="s">
        <v>5718</v>
      </c>
      <c r="M3734" s="29" t="s">
        <v>5726</v>
      </c>
      <c r="N3734" s="29" t="s">
        <v>1037</v>
      </c>
      <c r="O3734" s="29" t="s">
        <v>528</v>
      </c>
    </row>
    <row r="3735" spans="1:15">
      <c r="A3735" s="25">
        <v>12027</v>
      </c>
      <c r="B3735" s="26" t="s">
        <v>5727</v>
      </c>
      <c r="C3735" s="27" t="s">
        <v>521</v>
      </c>
      <c r="D3735" s="27" t="s">
        <v>522</v>
      </c>
      <c r="E3735" s="28">
        <v>40791</v>
      </c>
      <c r="F3735" s="28" t="s">
        <v>35</v>
      </c>
      <c r="G3735" s="28" t="s">
        <v>35</v>
      </c>
      <c r="H3735" s="27" t="s">
        <v>534</v>
      </c>
      <c r="I3735" s="27" t="s">
        <v>5718</v>
      </c>
      <c r="J3735" s="27" t="s">
        <v>525</v>
      </c>
      <c r="K3735" s="27" t="s">
        <v>525</v>
      </c>
      <c r="L3735" s="27" t="s">
        <v>5718</v>
      </c>
      <c r="M3735" s="29" t="s">
        <v>5728</v>
      </c>
      <c r="N3735" s="29" t="s">
        <v>1037</v>
      </c>
      <c r="O3735" s="29" t="s">
        <v>528</v>
      </c>
    </row>
    <row r="3736" spans="1:15">
      <c r="A3736" s="25">
        <v>13027</v>
      </c>
      <c r="B3736" s="26" t="s">
        <v>4939</v>
      </c>
      <c r="C3736" s="27" t="s">
        <v>521</v>
      </c>
      <c r="D3736" s="27" t="s">
        <v>785</v>
      </c>
      <c r="E3736" s="28">
        <v>40844</v>
      </c>
      <c r="F3736" s="28" t="s">
        <v>35</v>
      </c>
      <c r="G3736" s="28" t="s">
        <v>35</v>
      </c>
      <c r="H3736" s="29" t="s">
        <v>534</v>
      </c>
      <c r="I3736" s="29" t="s">
        <v>5729</v>
      </c>
      <c r="J3736" s="29" t="s">
        <v>525</v>
      </c>
      <c r="K3736" s="29" t="s">
        <v>525</v>
      </c>
      <c r="L3736" s="29" t="s">
        <v>5729</v>
      </c>
      <c r="M3736" s="29" t="s">
        <v>5317</v>
      </c>
      <c r="N3736" s="29" t="s">
        <v>5729</v>
      </c>
      <c r="O3736" s="29" t="s">
        <v>528</v>
      </c>
    </row>
    <row r="3737" spans="1:15">
      <c r="A3737" s="25">
        <v>13604</v>
      </c>
      <c r="B3737" s="34" t="s">
        <v>380</v>
      </c>
      <c r="C3737" s="31" t="s">
        <v>521</v>
      </c>
      <c r="D3737" s="31" t="s">
        <v>5730</v>
      </c>
      <c r="E3737" s="28">
        <v>40966</v>
      </c>
      <c r="F3737" s="28" t="s">
        <v>35</v>
      </c>
      <c r="G3737" s="28" t="s">
        <v>35</v>
      </c>
      <c r="H3737" s="27" t="s">
        <v>534</v>
      </c>
      <c r="I3737" s="27" t="s">
        <v>5729</v>
      </c>
      <c r="J3737" s="27" t="s">
        <v>525</v>
      </c>
      <c r="K3737" s="27" t="s">
        <v>525</v>
      </c>
      <c r="L3737" s="27" t="s">
        <v>5729</v>
      </c>
      <c r="M3737" s="27" t="s">
        <v>5317</v>
      </c>
      <c r="N3737" s="27" t="s">
        <v>5729</v>
      </c>
      <c r="O3737" s="27" t="s">
        <v>528</v>
      </c>
    </row>
    <row r="3738" spans="1:15">
      <c r="A3738" s="25">
        <v>20693</v>
      </c>
      <c r="B3738" s="26" t="s">
        <v>5731</v>
      </c>
      <c r="C3738" s="27" t="s">
        <v>521</v>
      </c>
      <c r="D3738" s="27" t="s">
        <v>5732</v>
      </c>
      <c r="E3738" s="28">
        <v>42642</v>
      </c>
      <c r="F3738" s="28" t="s">
        <v>35</v>
      </c>
      <c r="G3738" s="28" t="s">
        <v>35</v>
      </c>
      <c r="H3738" s="27" t="s">
        <v>534</v>
      </c>
      <c r="I3738" s="29" t="s">
        <v>5729</v>
      </c>
      <c r="J3738" s="29" t="s">
        <v>525</v>
      </c>
      <c r="K3738" s="29" t="s">
        <v>525</v>
      </c>
      <c r="L3738" s="29" t="s">
        <v>5729</v>
      </c>
      <c r="M3738" s="29" t="s">
        <v>573</v>
      </c>
      <c r="N3738" s="29" t="s">
        <v>648</v>
      </c>
      <c r="O3738" s="29" t="s">
        <v>528</v>
      </c>
    </row>
    <row r="3739" spans="1:15">
      <c r="A3739" s="25">
        <v>23095</v>
      </c>
      <c r="B3739" s="34" t="s">
        <v>215</v>
      </c>
      <c r="C3739" s="31" t="s">
        <v>521</v>
      </c>
      <c r="D3739" s="31" t="s">
        <v>1523</v>
      </c>
      <c r="E3739" s="28">
        <v>43369</v>
      </c>
      <c r="F3739" s="28">
        <v>43399</v>
      </c>
      <c r="G3739" s="28">
        <v>43769</v>
      </c>
      <c r="H3739" s="29" t="s">
        <v>534</v>
      </c>
      <c r="I3739" s="27" t="s">
        <v>5729</v>
      </c>
      <c r="J3739" s="27" t="s">
        <v>525</v>
      </c>
      <c r="K3739" s="27" t="s">
        <v>525</v>
      </c>
      <c r="L3739" s="27" t="s">
        <v>5729</v>
      </c>
      <c r="M3739" s="29" t="s">
        <v>5317</v>
      </c>
      <c r="N3739" s="29" t="s">
        <v>5729</v>
      </c>
      <c r="O3739" s="29" t="s">
        <v>528</v>
      </c>
    </row>
    <row r="3740" spans="1:15">
      <c r="A3740" s="25" t="s">
        <v>61</v>
      </c>
      <c r="B3740" s="34" t="s">
        <v>62</v>
      </c>
      <c r="C3740" s="31" t="s">
        <v>521</v>
      </c>
      <c r="D3740" s="31" t="s">
        <v>686</v>
      </c>
      <c r="E3740" s="28">
        <v>40882</v>
      </c>
      <c r="F3740" s="28" t="s">
        <v>35</v>
      </c>
      <c r="G3740" s="28" t="s">
        <v>35</v>
      </c>
      <c r="H3740" s="31" t="s">
        <v>534</v>
      </c>
      <c r="I3740" s="27" t="s">
        <v>5729</v>
      </c>
      <c r="J3740" s="27" t="s">
        <v>525</v>
      </c>
      <c r="K3740" s="27" t="s">
        <v>525</v>
      </c>
      <c r="L3740" s="27" t="s">
        <v>5729</v>
      </c>
      <c r="M3740" s="29" t="s">
        <v>5317</v>
      </c>
      <c r="N3740" s="29" t="s">
        <v>5729</v>
      </c>
      <c r="O3740" s="29" t="s">
        <v>528</v>
      </c>
    </row>
    <row r="3741" spans="1:15">
      <c r="A3741" s="25">
        <v>182</v>
      </c>
      <c r="B3741" s="26" t="s">
        <v>5733</v>
      </c>
      <c r="C3741" s="27" t="s">
        <v>521</v>
      </c>
      <c r="D3741" s="27" t="s">
        <v>1033</v>
      </c>
      <c r="E3741" s="28">
        <v>37679</v>
      </c>
      <c r="F3741" s="28" t="s">
        <v>35</v>
      </c>
      <c r="G3741" s="28" t="s">
        <v>35</v>
      </c>
      <c r="H3741" s="27" t="s">
        <v>534</v>
      </c>
      <c r="I3741" s="27" t="s">
        <v>5734</v>
      </c>
      <c r="J3741" s="27" t="s">
        <v>525</v>
      </c>
      <c r="K3741" s="27" t="s">
        <v>525</v>
      </c>
      <c r="L3741" s="27" t="s">
        <v>5735</v>
      </c>
      <c r="M3741" s="31" t="s">
        <v>5736</v>
      </c>
      <c r="N3741" s="31" t="s">
        <v>5734</v>
      </c>
      <c r="O3741" s="31" t="s">
        <v>594</v>
      </c>
    </row>
    <row r="3742" spans="1:15">
      <c r="A3742" s="25">
        <v>5789</v>
      </c>
      <c r="B3742" s="26" t="s">
        <v>1652</v>
      </c>
      <c r="C3742" s="27" t="s">
        <v>521</v>
      </c>
      <c r="D3742" s="27" t="s">
        <v>794</v>
      </c>
      <c r="E3742" s="28">
        <v>39114</v>
      </c>
      <c r="F3742" s="28" t="s">
        <v>35</v>
      </c>
      <c r="G3742" s="28" t="s">
        <v>35</v>
      </c>
      <c r="H3742" s="27" t="s">
        <v>534</v>
      </c>
      <c r="I3742" s="27" t="s">
        <v>5734</v>
      </c>
      <c r="J3742" s="27" t="s">
        <v>525</v>
      </c>
      <c r="K3742" s="27" t="s">
        <v>525</v>
      </c>
      <c r="L3742" s="27" t="s">
        <v>5735</v>
      </c>
      <c r="M3742" s="31" t="s">
        <v>5736</v>
      </c>
      <c r="N3742" s="31" t="s">
        <v>5734</v>
      </c>
      <c r="O3742" s="31" t="s">
        <v>594</v>
      </c>
    </row>
    <row r="3743" spans="1:15">
      <c r="A3743" s="25">
        <v>6140</v>
      </c>
      <c r="B3743" s="26" t="s">
        <v>5737</v>
      </c>
      <c r="C3743" s="27" t="s">
        <v>521</v>
      </c>
      <c r="D3743" s="27" t="s">
        <v>576</v>
      </c>
      <c r="E3743" s="28">
        <v>39157</v>
      </c>
      <c r="F3743" s="28" t="s">
        <v>35</v>
      </c>
      <c r="G3743" s="28" t="s">
        <v>35</v>
      </c>
      <c r="H3743" s="27" t="s">
        <v>534</v>
      </c>
      <c r="I3743" s="27" t="s">
        <v>5734</v>
      </c>
      <c r="J3743" s="27" t="s">
        <v>525</v>
      </c>
      <c r="K3743" s="27" t="s">
        <v>525</v>
      </c>
      <c r="L3743" s="27" t="s">
        <v>5735</v>
      </c>
      <c r="M3743" s="31" t="s">
        <v>5736</v>
      </c>
      <c r="N3743" s="31" t="s">
        <v>5734</v>
      </c>
      <c r="O3743" s="29" t="s">
        <v>594</v>
      </c>
    </row>
    <row r="3744" spans="1:15">
      <c r="A3744" s="25">
        <v>589</v>
      </c>
      <c r="B3744" s="26" t="s">
        <v>921</v>
      </c>
      <c r="C3744" s="27" t="s">
        <v>521</v>
      </c>
      <c r="D3744" s="27" t="s">
        <v>612</v>
      </c>
      <c r="E3744" s="28">
        <v>37774</v>
      </c>
      <c r="F3744" s="28" t="s">
        <v>35</v>
      </c>
      <c r="G3744" s="28" t="s">
        <v>35</v>
      </c>
      <c r="H3744" s="27" t="s">
        <v>534</v>
      </c>
      <c r="I3744" s="27" t="s">
        <v>5734</v>
      </c>
      <c r="J3744" s="27" t="s">
        <v>525</v>
      </c>
      <c r="K3744" s="27" t="s">
        <v>525</v>
      </c>
      <c r="L3744" s="27" t="s">
        <v>5735</v>
      </c>
      <c r="M3744" s="31" t="s">
        <v>5317</v>
      </c>
      <c r="N3744" s="31" t="s">
        <v>5734</v>
      </c>
      <c r="O3744" s="31" t="s">
        <v>528</v>
      </c>
    </row>
    <row r="3745" spans="1:15">
      <c r="A3745" s="25">
        <v>1113</v>
      </c>
      <c r="B3745" s="26" t="s">
        <v>5738</v>
      </c>
      <c r="C3745" s="27" t="s">
        <v>521</v>
      </c>
      <c r="D3745" s="27" t="s">
        <v>615</v>
      </c>
      <c r="E3745" s="28">
        <v>37887</v>
      </c>
      <c r="F3745" s="28" t="s">
        <v>35</v>
      </c>
      <c r="G3745" s="28" t="s">
        <v>35</v>
      </c>
      <c r="H3745" s="27" t="s">
        <v>534</v>
      </c>
      <c r="I3745" s="27" t="s">
        <v>5734</v>
      </c>
      <c r="J3745" s="27" t="s">
        <v>525</v>
      </c>
      <c r="K3745" s="27" t="s">
        <v>525</v>
      </c>
      <c r="L3745" s="27" t="s">
        <v>5735</v>
      </c>
      <c r="M3745" s="27" t="s">
        <v>573</v>
      </c>
      <c r="N3745" s="27" t="s">
        <v>648</v>
      </c>
      <c r="O3745" s="27" t="s">
        <v>528</v>
      </c>
    </row>
    <row r="3746" spans="1:15">
      <c r="A3746" s="25">
        <v>5828</v>
      </c>
      <c r="B3746" s="26" t="s">
        <v>5739</v>
      </c>
      <c r="C3746" s="27" t="s">
        <v>521</v>
      </c>
      <c r="D3746" s="27" t="s">
        <v>794</v>
      </c>
      <c r="E3746" s="28">
        <v>39114</v>
      </c>
      <c r="F3746" s="28" t="s">
        <v>35</v>
      </c>
      <c r="G3746" s="28" t="s">
        <v>35</v>
      </c>
      <c r="H3746" s="31" t="s">
        <v>534</v>
      </c>
      <c r="I3746" s="29" t="s">
        <v>5734</v>
      </c>
      <c r="J3746" s="29" t="s">
        <v>525</v>
      </c>
      <c r="K3746" s="29" t="s">
        <v>525</v>
      </c>
      <c r="L3746" s="29" t="s">
        <v>5735</v>
      </c>
      <c r="M3746" s="29" t="s">
        <v>5740</v>
      </c>
      <c r="N3746" s="29" t="s">
        <v>5734</v>
      </c>
      <c r="O3746" s="29" t="s">
        <v>528</v>
      </c>
    </row>
    <row r="3747" spans="1:15">
      <c r="A3747" s="25">
        <v>9183</v>
      </c>
      <c r="B3747" s="26" t="s">
        <v>5741</v>
      </c>
      <c r="C3747" s="27" t="s">
        <v>521</v>
      </c>
      <c r="D3747" s="27" t="s">
        <v>658</v>
      </c>
      <c r="E3747" s="28">
        <v>40008</v>
      </c>
      <c r="F3747" s="28" t="s">
        <v>35</v>
      </c>
      <c r="G3747" s="28" t="s">
        <v>35</v>
      </c>
      <c r="H3747" s="31" t="s">
        <v>534</v>
      </c>
      <c r="I3747" s="27" t="s">
        <v>5734</v>
      </c>
      <c r="J3747" s="27" t="s">
        <v>525</v>
      </c>
      <c r="K3747" s="27" t="s">
        <v>525</v>
      </c>
      <c r="L3747" s="27" t="s">
        <v>5735</v>
      </c>
      <c r="M3747" s="31" t="s">
        <v>5736</v>
      </c>
      <c r="N3747" s="31" t="s">
        <v>5734</v>
      </c>
      <c r="O3747" s="31" t="s">
        <v>590</v>
      </c>
    </row>
    <row r="3748" spans="1:15">
      <c r="A3748" s="25">
        <v>10816</v>
      </c>
      <c r="B3748" s="34" t="s">
        <v>5742</v>
      </c>
      <c r="C3748" s="31" t="s">
        <v>521</v>
      </c>
      <c r="D3748" s="31" t="s">
        <v>838</v>
      </c>
      <c r="E3748" s="28">
        <v>40567</v>
      </c>
      <c r="F3748" s="28" t="s">
        <v>35</v>
      </c>
      <c r="G3748" s="28" t="s">
        <v>35</v>
      </c>
      <c r="H3748" s="27" t="s">
        <v>534</v>
      </c>
      <c r="I3748" s="29" t="s">
        <v>5734</v>
      </c>
      <c r="J3748" s="29" t="s">
        <v>525</v>
      </c>
      <c r="K3748" s="29" t="s">
        <v>525</v>
      </c>
      <c r="L3748" s="29" t="s">
        <v>5735</v>
      </c>
      <c r="M3748" s="29" t="s">
        <v>5736</v>
      </c>
      <c r="N3748" s="29" t="s">
        <v>5734</v>
      </c>
      <c r="O3748" s="29" t="s">
        <v>590</v>
      </c>
    </row>
    <row r="3749" spans="1:15">
      <c r="A3749" s="25">
        <v>12914</v>
      </c>
      <c r="B3749" s="26" t="s">
        <v>5743</v>
      </c>
      <c r="C3749" s="27" t="s">
        <v>521</v>
      </c>
      <c r="D3749" s="27" t="s">
        <v>688</v>
      </c>
      <c r="E3749" s="28">
        <v>40833</v>
      </c>
      <c r="F3749" s="28" t="s">
        <v>35</v>
      </c>
      <c r="G3749" s="28" t="s">
        <v>35</v>
      </c>
      <c r="H3749" s="31" t="s">
        <v>534</v>
      </c>
      <c r="I3749" s="27" t="s">
        <v>5734</v>
      </c>
      <c r="J3749" s="27" t="s">
        <v>525</v>
      </c>
      <c r="K3749" s="27" t="s">
        <v>525</v>
      </c>
      <c r="L3749" s="27" t="s">
        <v>5735</v>
      </c>
      <c r="M3749" s="31" t="s">
        <v>5736</v>
      </c>
      <c r="N3749" s="31" t="s">
        <v>5734</v>
      </c>
      <c r="O3749" s="31" t="s">
        <v>590</v>
      </c>
    </row>
    <row r="3750" spans="1:15">
      <c r="A3750" s="25"/>
      <c r="B3750" s="26"/>
      <c r="C3750" s="27"/>
      <c r="D3750" s="27"/>
      <c r="E3750" s="28"/>
      <c r="F3750" s="28"/>
      <c r="G3750" s="28"/>
      <c r="H3750" s="31"/>
      <c r="I3750" s="27"/>
      <c r="J3750" s="27"/>
      <c r="K3750" s="27"/>
      <c r="L3750" s="27"/>
      <c r="M3750" s="31"/>
      <c r="N3750" s="31"/>
      <c r="O3750" s="31"/>
    </row>
    <row r="3751" spans="1:15">
      <c r="A3751" s="25">
        <v>10738</v>
      </c>
      <c r="B3751" s="26" t="s">
        <v>475</v>
      </c>
      <c r="C3751" s="27" t="s">
        <v>521</v>
      </c>
      <c r="D3751" s="27" t="s">
        <v>730</v>
      </c>
      <c r="E3751" s="28">
        <v>40566</v>
      </c>
      <c r="F3751" s="28" t="s">
        <v>35</v>
      </c>
      <c r="G3751" s="28" t="s">
        <v>35</v>
      </c>
      <c r="H3751" s="29" t="s">
        <v>560</v>
      </c>
      <c r="I3751" s="29" t="s">
        <v>560</v>
      </c>
      <c r="J3751" s="29" t="s">
        <v>525</v>
      </c>
      <c r="K3751" s="29" t="s">
        <v>525</v>
      </c>
      <c r="L3751" s="29" t="s">
        <v>5311</v>
      </c>
      <c r="M3751" s="29" t="s">
        <v>5312</v>
      </c>
      <c r="N3751" s="29" t="s">
        <v>5311</v>
      </c>
      <c r="O3751" s="29" t="s">
        <v>528</v>
      </c>
    </row>
    <row r="3752" spans="1:15">
      <c r="A3752" s="25">
        <v>17879</v>
      </c>
      <c r="B3752" s="34" t="s">
        <v>5744</v>
      </c>
      <c r="C3752" s="31" t="s">
        <v>521</v>
      </c>
      <c r="D3752" s="27" t="s">
        <v>522</v>
      </c>
      <c r="E3752" s="28">
        <v>41822</v>
      </c>
      <c r="F3752" s="28" t="s">
        <v>35</v>
      </c>
      <c r="G3752" s="28" t="s">
        <v>35</v>
      </c>
      <c r="H3752" s="27" t="s">
        <v>560</v>
      </c>
      <c r="I3752" s="27" t="s">
        <v>5404</v>
      </c>
      <c r="J3752" s="27" t="s">
        <v>525</v>
      </c>
      <c r="K3752" s="27" t="s">
        <v>525</v>
      </c>
      <c r="L3752" s="27" t="s">
        <v>569</v>
      </c>
      <c r="M3752" s="27" t="s">
        <v>569</v>
      </c>
      <c r="N3752" s="29" t="s">
        <v>5406</v>
      </c>
      <c r="O3752" s="27" t="s">
        <v>528</v>
      </c>
    </row>
    <row r="3753" spans="1:15">
      <c r="A3753" s="25">
        <v>21298</v>
      </c>
      <c r="B3753" s="34" t="s">
        <v>5745</v>
      </c>
      <c r="C3753" s="31" t="s">
        <v>521</v>
      </c>
      <c r="D3753" s="31" t="s">
        <v>1595</v>
      </c>
      <c r="E3753" s="28">
        <v>43010</v>
      </c>
      <c r="F3753" s="28">
        <v>43405</v>
      </c>
      <c r="G3753" s="28">
        <v>43769</v>
      </c>
      <c r="H3753" s="29" t="s">
        <v>560</v>
      </c>
      <c r="I3753" s="29" t="s">
        <v>560</v>
      </c>
      <c r="J3753" s="29" t="s">
        <v>2304</v>
      </c>
      <c r="K3753" s="29" t="s">
        <v>2369</v>
      </c>
      <c r="L3753" s="29" t="s">
        <v>2370</v>
      </c>
      <c r="M3753" s="29" t="s">
        <v>2183</v>
      </c>
      <c r="N3753" s="29" t="s">
        <v>1434</v>
      </c>
      <c r="O3753" s="29" t="s">
        <v>590</v>
      </c>
    </row>
    <row r="3754" spans="1:15">
      <c r="A3754" s="25">
        <v>21985</v>
      </c>
      <c r="B3754" s="34" t="s">
        <v>5746</v>
      </c>
      <c r="C3754" s="31" t="s">
        <v>521</v>
      </c>
      <c r="D3754" s="31" t="s">
        <v>1171</v>
      </c>
      <c r="E3754" s="28">
        <v>43139</v>
      </c>
      <c r="F3754" s="28">
        <v>43167</v>
      </c>
      <c r="G3754" s="28">
        <v>43524</v>
      </c>
      <c r="H3754" s="29" t="s">
        <v>560</v>
      </c>
      <c r="I3754" s="29" t="s">
        <v>560</v>
      </c>
      <c r="J3754" s="29" t="s">
        <v>1930</v>
      </c>
      <c r="K3754" s="29" t="s">
        <v>4235</v>
      </c>
      <c r="L3754" s="29" t="s">
        <v>4236</v>
      </c>
      <c r="M3754" s="29" t="s">
        <v>2030</v>
      </c>
      <c r="N3754" s="29" t="s">
        <v>2031</v>
      </c>
      <c r="O3754" s="29" t="s">
        <v>594</v>
      </c>
    </row>
    <row r="3755" spans="1:15">
      <c r="A3755" s="25">
        <v>22065</v>
      </c>
      <c r="B3755" s="34" t="s">
        <v>5747</v>
      </c>
      <c r="C3755" s="31" t="s">
        <v>521</v>
      </c>
      <c r="D3755" s="31" t="s">
        <v>769</v>
      </c>
      <c r="E3755" s="28">
        <v>43150</v>
      </c>
      <c r="F3755" s="28">
        <v>43178</v>
      </c>
      <c r="G3755" s="28">
        <v>43555</v>
      </c>
      <c r="H3755" s="29" t="s">
        <v>560</v>
      </c>
      <c r="I3755" s="29" t="s">
        <v>560</v>
      </c>
      <c r="J3755" s="29" t="s">
        <v>3805</v>
      </c>
      <c r="K3755" s="29" t="s">
        <v>3806</v>
      </c>
      <c r="L3755" s="29" t="s">
        <v>3807</v>
      </c>
      <c r="M3755" s="29" t="s">
        <v>2593</v>
      </c>
      <c r="N3755" s="29" t="s">
        <v>1434</v>
      </c>
      <c r="O3755" s="29" t="s">
        <v>590</v>
      </c>
    </row>
    <row r="3756" spans="1:15">
      <c r="A3756" s="25">
        <v>22120</v>
      </c>
      <c r="B3756" s="34" t="s">
        <v>5748</v>
      </c>
      <c r="C3756" s="31" t="s">
        <v>521</v>
      </c>
      <c r="D3756" s="31" t="s">
        <v>758</v>
      </c>
      <c r="E3756" s="28">
        <v>43153</v>
      </c>
      <c r="F3756" s="28">
        <v>43181</v>
      </c>
      <c r="G3756" s="28">
        <v>43555</v>
      </c>
      <c r="H3756" s="29" t="s">
        <v>560</v>
      </c>
      <c r="I3756" s="29" t="s">
        <v>560</v>
      </c>
      <c r="J3756" s="29" t="s">
        <v>3805</v>
      </c>
      <c r="K3756" s="29" t="s">
        <v>3806</v>
      </c>
      <c r="L3756" s="29" t="s">
        <v>3807</v>
      </c>
      <c r="M3756" s="29" t="s">
        <v>2462</v>
      </c>
      <c r="N3756" s="29" t="s">
        <v>2077</v>
      </c>
      <c r="O3756" s="29" t="s">
        <v>590</v>
      </c>
    </row>
    <row r="3757" spans="1:15">
      <c r="A3757" s="25">
        <v>22803</v>
      </c>
      <c r="B3757" s="34" t="s">
        <v>5749</v>
      </c>
      <c r="C3757" s="31" t="s">
        <v>521</v>
      </c>
      <c r="D3757" s="31" t="s">
        <v>775</v>
      </c>
      <c r="E3757" s="28">
        <v>43333</v>
      </c>
      <c r="F3757" s="28">
        <v>43364</v>
      </c>
      <c r="G3757" s="28">
        <v>43738</v>
      </c>
      <c r="H3757" s="29" t="s">
        <v>560</v>
      </c>
      <c r="I3757" s="29" t="s">
        <v>560</v>
      </c>
      <c r="J3757" s="29" t="s">
        <v>1972</v>
      </c>
      <c r="K3757" s="29" t="s">
        <v>1972</v>
      </c>
      <c r="L3757" s="29" t="s">
        <v>1972</v>
      </c>
      <c r="M3757" s="29" t="s">
        <v>1976</v>
      </c>
      <c r="N3757" s="29" t="s">
        <v>1541</v>
      </c>
      <c r="O3757" s="29" t="s">
        <v>590</v>
      </c>
    </row>
    <row r="3758" spans="1:15">
      <c r="A3758" s="25">
        <v>22817</v>
      </c>
      <c r="B3758" s="34" t="s">
        <v>5750</v>
      </c>
      <c r="C3758" s="31" t="s">
        <v>521</v>
      </c>
      <c r="D3758" s="31" t="s">
        <v>775</v>
      </c>
      <c r="E3758" s="28">
        <v>43333</v>
      </c>
      <c r="F3758" s="28">
        <v>43364</v>
      </c>
      <c r="G3758" s="28">
        <v>43738</v>
      </c>
      <c r="H3758" s="29" t="s">
        <v>560</v>
      </c>
      <c r="I3758" s="29" t="s">
        <v>560</v>
      </c>
      <c r="J3758" s="29" t="s">
        <v>1825</v>
      </c>
      <c r="K3758" s="29" t="s">
        <v>3305</v>
      </c>
      <c r="L3758" s="29" t="s">
        <v>3306</v>
      </c>
      <c r="M3758" s="29" t="s">
        <v>2215</v>
      </c>
      <c r="N3758" s="29" t="s">
        <v>1434</v>
      </c>
      <c r="O3758" s="29" t="s">
        <v>590</v>
      </c>
    </row>
    <row r="3759" spans="1:15">
      <c r="A3759" s="25">
        <v>23079</v>
      </c>
      <c r="B3759" s="34" t="s">
        <v>5751</v>
      </c>
      <c r="C3759" s="31" t="s">
        <v>521</v>
      </c>
      <c r="D3759" s="31" t="s">
        <v>1872</v>
      </c>
      <c r="E3759" s="28">
        <v>43361</v>
      </c>
      <c r="F3759" s="28">
        <v>43391</v>
      </c>
      <c r="G3759" s="28">
        <v>43769</v>
      </c>
      <c r="H3759" s="29" t="s">
        <v>560</v>
      </c>
      <c r="I3759" s="29" t="s">
        <v>560</v>
      </c>
      <c r="J3759" s="29" t="s">
        <v>1813</v>
      </c>
      <c r="K3759" s="29" t="s">
        <v>1813</v>
      </c>
      <c r="L3759" s="29" t="s">
        <v>1814</v>
      </c>
      <c r="M3759" s="29" t="s">
        <v>1815</v>
      </c>
      <c r="N3759" s="29" t="s">
        <v>1518</v>
      </c>
      <c r="O3759" s="29" t="s">
        <v>590</v>
      </c>
    </row>
    <row r="3760" spans="1:15">
      <c r="A3760" s="25">
        <v>23317</v>
      </c>
      <c r="B3760" s="34" t="s">
        <v>5752</v>
      </c>
      <c r="C3760" s="31" t="s">
        <v>521</v>
      </c>
      <c r="D3760" s="31" t="s">
        <v>1527</v>
      </c>
      <c r="E3760" s="28">
        <v>43427</v>
      </c>
      <c r="F3760" s="28">
        <v>43457</v>
      </c>
      <c r="G3760" s="28">
        <v>43830</v>
      </c>
      <c r="H3760" s="29" t="s">
        <v>560</v>
      </c>
      <c r="I3760" s="29" t="s">
        <v>560</v>
      </c>
      <c r="J3760" s="29" t="s">
        <v>1901</v>
      </c>
      <c r="K3760" s="29" t="s">
        <v>1902</v>
      </c>
      <c r="L3760" s="29" t="s">
        <v>5203</v>
      </c>
      <c r="M3760" s="29" t="s">
        <v>5753</v>
      </c>
      <c r="N3760" s="29" t="s">
        <v>1586</v>
      </c>
      <c r="O3760" s="29" t="s">
        <v>594</v>
      </c>
    </row>
    <row r="3761" spans="1:15">
      <c r="A3761" s="25">
        <v>23451</v>
      </c>
      <c r="B3761" s="34" t="s">
        <v>5754</v>
      </c>
      <c r="C3761" s="31" t="s">
        <v>521</v>
      </c>
      <c r="D3761" s="31" t="s">
        <v>882</v>
      </c>
      <c r="E3761" s="28">
        <v>43434</v>
      </c>
      <c r="F3761" s="28">
        <v>43464</v>
      </c>
      <c r="G3761" s="28">
        <v>43830</v>
      </c>
      <c r="H3761" s="29" t="s">
        <v>560</v>
      </c>
      <c r="I3761" s="29" t="s">
        <v>560</v>
      </c>
      <c r="J3761" s="29" t="s">
        <v>2304</v>
      </c>
      <c r="K3761" s="29" t="s">
        <v>2881</v>
      </c>
      <c r="L3761" s="29" t="s">
        <v>2882</v>
      </c>
      <c r="M3761" s="29" t="s">
        <v>1593</v>
      </c>
      <c r="N3761" s="29" t="s">
        <v>1586</v>
      </c>
      <c r="O3761" s="29" t="s">
        <v>590</v>
      </c>
    </row>
    <row r="3762" spans="1:15">
      <c r="A3762" s="25">
        <v>23458</v>
      </c>
      <c r="B3762" s="34" t="s">
        <v>5755</v>
      </c>
      <c r="C3762" s="31" t="s">
        <v>521</v>
      </c>
      <c r="D3762" s="31" t="s">
        <v>882</v>
      </c>
      <c r="E3762" s="28">
        <v>43434</v>
      </c>
      <c r="F3762" s="28">
        <v>43464</v>
      </c>
      <c r="G3762" s="28">
        <v>43830</v>
      </c>
      <c r="H3762" s="29" t="s">
        <v>560</v>
      </c>
      <c r="I3762" s="29" t="s">
        <v>560</v>
      </c>
      <c r="J3762" s="29" t="s">
        <v>3805</v>
      </c>
      <c r="K3762" s="29" t="s">
        <v>3806</v>
      </c>
      <c r="L3762" s="29" t="s">
        <v>3807</v>
      </c>
      <c r="M3762" s="29" t="s">
        <v>5756</v>
      </c>
      <c r="N3762" s="29" t="s">
        <v>1586</v>
      </c>
      <c r="O3762" s="29" t="s">
        <v>590</v>
      </c>
    </row>
    <row r="3763" spans="1:15">
      <c r="A3763" s="25">
        <v>23469</v>
      </c>
      <c r="B3763" s="34" t="s">
        <v>5757</v>
      </c>
      <c r="C3763" s="31" t="s">
        <v>521</v>
      </c>
      <c r="D3763" s="31" t="s">
        <v>882</v>
      </c>
      <c r="E3763" s="28">
        <v>43434</v>
      </c>
      <c r="F3763" s="28">
        <v>43464</v>
      </c>
      <c r="G3763" s="28">
        <v>43830</v>
      </c>
      <c r="H3763" s="29" t="s">
        <v>560</v>
      </c>
      <c r="I3763" s="29" t="s">
        <v>560</v>
      </c>
      <c r="J3763" s="29" t="s">
        <v>1825</v>
      </c>
      <c r="K3763" s="29" t="s">
        <v>3305</v>
      </c>
      <c r="L3763" s="29" t="s">
        <v>3306</v>
      </c>
      <c r="M3763" s="29" t="s">
        <v>1593</v>
      </c>
      <c r="N3763" s="29" t="s">
        <v>1586</v>
      </c>
      <c r="O3763" s="29" t="s">
        <v>590</v>
      </c>
    </row>
  </sheetData>
  <conditionalFormatting sqref="C210:D216 C123:D124 C3405:D3411 C2357:D2461 C1843:D1847 C1987:D2355 C1983:D1985 C126:D172 C1:D86 C189:D189 C222:D572 C574:D801 C2466:D3168 C3170:D3384 C101:D121 C3386:D3403 C1849:D1981 C3590:D3763 C183:D184 C803:D1841 C3413:D3588">
    <cfRule type="containsText" dxfId="47" priority="48" operator="containsText" text="BBF">
      <formula>NOT(ISERROR(SEARCH("BBF",C1)))</formula>
    </cfRule>
  </conditionalFormatting>
  <conditionalFormatting sqref="C3169:D3169">
    <cfRule type="containsText" dxfId="46" priority="47" operator="containsText" text="BBF">
      <formula>NOT(ISERROR(SEARCH("BBF",C3169)))</formula>
    </cfRule>
  </conditionalFormatting>
  <conditionalFormatting sqref="C173:D173">
    <cfRule type="containsText" dxfId="45" priority="46" operator="containsText" text="BBF">
      <formula>NOT(ISERROR(SEARCH("BBF",C173)))</formula>
    </cfRule>
  </conditionalFormatting>
  <conditionalFormatting sqref="C122:D122">
    <cfRule type="containsText" dxfId="44" priority="45" operator="containsText" text="BBF">
      <formula>NOT(ISERROR(SEARCH("BBF",C122)))</formula>
    </cfRule>
  </conditionalFormatting>
  <conditionalFormatting sqref="C87:D87">
    <cfRule type="containsText" dxfId="43" priority="44" operator="containsText" text="BBF">
      <formula>NOT(ISERROR(SEARCH("BBF",C87)))</formula>
    </cfRule>
  </conditionalFormatting>
  <conditionalFormatting sqref="C217:D221">
    <cfRule type="containsText" dxfId="42" priority="43" operator="containsText" text="BBF">
      <formula>NOT(ISERROR(SEARCH("BBF",C217)))</formula>
    </cfRule>
  </conditionalFormatting>
  <conditionalFormatting sqref="C88:D88">
    <cfRule type="containsText" dxfId="41" priority="42" operator="containsText" text="BBF">
      <formula>NOT(ISERROR(SEARCH("BBF",C88)))</formula>
    </cfRule>
  </conditionalFormatting>
  <conditionalFormatting sqref="C174:D174">
    <cfRule type="containsText" dxfId="40" priority="41" operator="containsText" text="BBF">
      <formula>NOT(ISERROR(SEARCH("BBF",C174)))</formula>
    </cfRule>
  </conditionalFormatting>
  <conditionalFormatting sqref="C3589:D3589">
    <cfRule type="containsText" dxfId="39" priority="40" operator="containsText" text="BBF">
      <formula>NOT(ISERROR(SEARCH("BBF",C3589)))</formula>
    </cfRule>
  </conditionalFormatting>
  <conditionalFormatting sqref="C199:D199">
    <cfRule type="containsText" dxfId="38" priority="39" operator="containsText" text="BBF">
      <formula>NOT(ISERROR(SEARCH("BBF",C199)))</formula>
    </cfRule>
  </conditionalFormatting>
  <conditionalFormatting sqref="C200:D200">
    <cfRule type="containsText" dxfId="37" priority="38" operator="containsText" text="BBF">
      <formula>NOT(ISERROR(SEARCH("BBF",C200)))</formula>
    </cfRule>
  </conditionalFormatting>
  <conditionalFormatting sqref="C201:D201">
    <cfRule type="containsText" dxfId="36" priority="37" operator="containsText" text="BBF">
      <formula>NOT(ISERROR(SEARCH("BBF",C201)))</formula>
    </cfRule>
  </conditionalFormatting>
  <conditionalFormatting sqref="C202:D202">
    <cfRule type="containsText" dxfId="35" priority="36" operator="containsText" text="BBF">
      <formula>NOT(ISERROR(SEARCH("BBF",C202)))</formula>
    </cfRule>
  </conditionalFormatting>
  <conditionalFormatting sqref="C203:D204">
    <cfRule type="containsText" dxfId="34" priority="35" operator="containsText" text="BBF">
      <formula>NOT(ISERROR(SEARCH("BBF",C203)))</formula>
    </cfRule>
  </conditionalFormatting>
  <conditionalFormatting sqref="C205:D205">
    <cfRule type="containsText" dxfId="33" priority="34" operator="containsText" text="BBF">
      <formula>NOT(ISERROR(SEARCH("BBF",C205)))</formula>
    </cfRule>
  </conditionalFormatting>
  <conditionalFormatting sqref="C206:D206">
    <cfRule type="containsText" dxfId="32" priority="33" operator="containsText" text="BBF">
      <formula>NOT(ISERROR(SEARCH("BBF",C206)))</formula>
    </cfRule>
  </conditionalFormatting>
  <conditionalFormatting sqref="C207:D207">
    <cfRule type="containsText" dxfId="31" priority="32" operator="containsText" text="BBF">
      <formula>NOT(ISERROR(SEARCH("BBF",C207)))</formula>
    </cfRule>
  </conditionalFormatting>
  <conditionalFormatting sqref="C208:D208">
    <cfRule type="containsText" dxfId="30" priority="31" operator="containsText" text="BBF">
      <formula>NOT(ISERROR(SEARCH("BBF",C208)))</formula>
    </cfRule>
  </conditionalFormatting>
  <conditionalFormatting sqref="C209:D209">
    <cfRule type="containsText" dxfId="29" priority="30" operator="containsText" text="BBF">
      <formula>NOT(ISERROR(SEARCH("BBF",C209)))</formula>
    </cfRule>
  </conditionalFormatting>
  <conditionalFormatting sqref="C175:D177">
    <cfRule type="containsText" dxfId="28" priority="29" operator="containsText" text="BBF">
      <formula>NOT(ISERROR(SEARCH("BBF",C175)))</formula>
    </cfRule>
  </conditionalFormatting>
  <conditionalFormatting sqref="C125:D125">
    <cfRule type="containsText" dxfId="27" priority="28" operator="containsText" text="BBF">
      <formula>NOT(ISERROR(SEARCH("BBF",C125)))</formula>
    </cfRule>
  </conditionalFormatting>
  <conditionalFormatting sqref="C802:D802">
    <cfRule type="containsText" dxfId="26" priority="27" operator="containsText" text="BBF">
      <formula>NOT(ISERROR(SEARCH("BBF",C802)))</formula>
    </cfRule>
  </conditionalFormatting>
  <conditionalFormatting sqref="C89:D89">
    <cfRule type="containsText" dxfId="25" priority="26" operator="containsText" text="BBF">
      <formula>NOT(ISERROR(SEARCH("BBF",C89)))</formula>
    </cfRule>
  </conditionalFormatting>
  <conditionalFormatting sqref="C573:D573">
    <cfRule type="containsText" dxfId="24" priority="25" operator="containsText" text="BBF">
      <formula>NOT(ISERROR(SEARCH("BBF",C573)))</formula>
    </cfRule>
  </conditionalFormatting>
  <conditionalFormatting sqref="C178:D178">
    <cfRule type="containsText" dxfId="23" priority="24" operator="containsText" text="BBF">
      <formula>NOT(ISERROR(SEARCH("BBF",C178)))</formula>
    </cfRule>
  </conditionalFormatting>
  <conditionalFormatting sqref="C179:D179">
    <cfRule type="containsText" dxfId="22" priority="23" operator="containsText" text="BBF">
      <formula>NOT(ISERROR(SEARCH("BBF",C179)))</formula>
    </cfRule>
  </conditionalFormatting>
  <conditionalFormatting sqref="C180:D180">
    <cfRule type="containsText" dxfId="21" priority="22" operator="containsText" text="BBF">
      <formula>NOT(ISERROR(SEARCH("BBF",C180)))</formula>
    </cfRule>
  </conditionalFormatting>
  <conditionalFormatting sqref="C3404:D3404">
    <cfRule type="containsText" dxfId="20" priority="21" operator="containsText" text="BBF">
      <formula>NOT(ISERROR(SEARCH("BBF",C3404)))</formula>
    </cfRule>
  </conditionalFormatting>
  <conditionalFormatting sqref="C90:D91">
    <cfRule type="containsText" dxfId="19" priority="20" operator="containsText" text="BBF">
      <formula>NOT(ISERROR(SEARCH("BBF",C90)))</formula>
    </cfRule>
  </conditionalFormatting>
  <conditionalFormatting sqref="C181:D181">
    <cfRule type="containsText" dxfId="18" priority="19" operator="containsText" text="BBF">
      <formula>NOT(ISERROR(SEARCH("BBF",C181)))</formula>
    </cfRule>
  </conditionalFormatting>
  <conditionalFormatting sqref="C182:D182">
    <cfRule type="containsText" dxfId="17" priority="18" operator="containsText" text="BBF">
      <formula>NOT(ISERROR(SEARCH("BBF",C182)))</formula>
    </cfRule>
  </conditionalFormatting>
  <conditionalFormatting sqref="C92:D92">
    <cfRule type="containsText" dxfId="16" priority="17" operator="containsText" text="BBF">
      <formula>NOT(ISERROR(SEARCH("BBF",C92)))</formula>
    </cfRule>
  </conditionalFormatting>
  <conditionalFormatting sqref="C2356:D2356">
    <cfRule type="containsText" dxfId="15" priority="16" operator="containsText" text="BBF">
      <formula>NOT(ISERROR(SEARCH("BBF",C2356)))</formula>
    </cfRule>
  </conditionalFormatting>
  <conditionalFormatting sqref="C1986:D1986">
    <cfRule type="containsText" dxfId="14" priority="15" operator="containsText" text="BBF">
      <formula>NOT(ISERROR(SEARCH("BBF",C1986)))</formula>
    </cfRule>
  </conditionalFormatting>
  <conditionalFormatting sqref="C1842:D1842">
    <cfRule type="containsText" dxfId="13" priority="14" operator="containsText" text="BBF">
      <formula>NOT(ISERROR(SEARCH("BBF",C1842)))</formula>
    </cfRule>
  </conditionalFormatting>
  <conditionalFormatting sqref="C3412:D3412">
    <cfRule type="containsText" dxfId="12" priority="13" operator="containsText" text="BBF">
      <formula>NOT(ISERROR(SEARCH("BBF",C3412)))</formula>
    </cfRule>
  </conditionalFormatting>
  <conditionalFormatting sqref="C1982:D1982">
    <cfRule type="containsText" dxfId="11" priority="12" operator="containsText" text="BBF">
      <formula>NOT(ISERROR(SEARCH("BBF",C1982)))</formula>
    </cfRule>
  </conditionalFormatting>
  <conditionalFormatting sqref="C188:D188">
    <cfRule type="containsText" dxfId="10" priority="11" operator="containsText" text="BBF">
      <formula>NOT(ISERROR(SEARCH("BBF",C188)))</formula>
    </cfRule>
  </conditionalFormatting>
  <conditionalFormatting sqref="C93:D97">
    <cfRule type="containsText" dxfId="9" priority="10" operator="containsText" text="BBF">
      <formula>NOT(ISERROR(SEARCH("BBF",C93)))</formula>
    </cfRule>
  </conditionalFormatting>
  <conditionalFormatting sqref="C98:D98">
    <cfRule type="containsText" dxfId="8" priority="9" operator="containsText" text="BBF">
      <formula>NOT(ISERROR(SEARCH("BBF",C98)))</formula>
    </cfRule>
  </conditionalFormatting>
  <conditionalFormatting sqref="C99:D99">
    <cfRule type="containsText" dxfId="7" priority="8" operator="containsText" text="BBF">
      <formula>NOT(ISERROR(SEARCH("BBF",C99)))</formula>
    </cfRule>
  </conditionalFormatting>
  <conditionalFormatting sqref="C190:D198">
    <cfRule type="containsText" dxfId="6" priority="7" operator="containsText" text="BBF">
      <formula>NOT(ISERROR(SEARCH("BBF",C190)))</formula>
    </cfRule>
  </conditionalFormatting>
  <conditionalFormatting sqref="C100:D100">
    <cfRule type="containsText" dxfId="5" priority="6" operator="containsText" text="BBF">
      <formula>NOT(ISERROR(SEARCH("BBF",C100)))</formula>
    </cfRule>
  </conditionalFormatting>
  <conditionalFormatting sqref="C3385:D3385">
    <cfRule type="containsText" dxfId="4" priority="5" operator="containsText" text="BBF">
      <formula>NOT(ISERROR(SEARCH("BBF",C3385)))</formula>
    </cfRule>
  </conditionalFormatting>
  <conditionalFormatting sqref="C1848:D1848">
    <cfRule type="containsText" dxfId="3" priority="4" operator="containsText" text="BBF">
      <formula>NOT(ISERROR(SEARCH("BBF",C1848)))</formula>
    </cfRule>
  </conditionalFormatting>
  <conditionalFormatting sqref="C185:D185">
    <cfRule type="containsText" dxfId="2" priority="3" operator="containsText" text="BBF">
      <formula>NOT(ISERROR(SEARCH("BBF",C185)))</formula>
    </cfRule>
  </conditionalFormatting>
  <conditionalFormatting sqref="C186:D186">
    <cfRule type="containsText" dxfId="1" priority="2" operator="containsText" text="BBF">
      <formula>NOT(ISERROR(SEARCH("BBF",C186)))</formula>
    </cfRule>
  </conditionalFormatting>
  <conditionalFormatting sqref="C187:D187">
    <cfRule type="containsText" dxfId="0" priority="1" operator="containsText" text="BBF">
      <formula>NOT(ISERROR(SEARCH("BBF",C187)))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79998168889431442"/>
  </sheetPr>
  <dimension ref="A1:K378"/>
  <sheetViews>
    <sheetView topLeftCell="A67" workbookViewId="0">
      <selection activeCell="E79" sqref="E79"/>
    </sheetView>
  </sheetViews>
  <sheetFormatPr defaultRowHeight="15"/>
  <cols>
    <col min="1" max="1" width="9.140625" style="10"/>
    <col min="2" max="2" width="9.140625" style="9"/>
    <col min="3" max="3" width="15.28515625" style="11" customWidth="1"/>
    <col min="4" max="4" width="29.42578125" style="9" customWidth="1"/>
    <col min="5" max="5" width="34.85546875" style="9" customWidth="1"/>
    <col min="6" max="6" width="35.85546875" style="9" customWidth="1"/>
    <col min="7" max="7" width="16.85546875" style="9" customWidth="1"/>
    <col min="8" max="8" width="9.140625" style="9"/>
    <col min="9" max="9" width="28.85546875" style="9" customWidth="1"/>
    <col min="10" max="10" width="9.140625" style="9"/>
    <col min="11" max="11" width="16.85546875" style="9" customWidth="1"/>
    <col min="12" max="258" width="9.140625" style="9"/>
    <col min="259" max="259" width="15.28515625" style="9" customWidth="1"/>
    <col min="260" max="260" width="29.42578125" style="9" customWidth="1"/>
    <col min="261" max="261" width="34.85546875" style="9" customWidth="1"/>
    <col min="262" max="262" width="35.85546875" style="9" customWidth="1"/>
    <col min="263" max="263" width="16.85546875" style="9" customWidth="1"/>
    <col min="264" max="264" width="9.140625" style="9"/>
    <col min="265" max="265" width="28.85546875" style="9" customWidth="1"/>
    <col min="266" max="266" width="9.140625" style="9"/>
    <col min="267" max="267" width="16.85546875" style="9" customWidth="1"/>
    <col min="268" max="514" width="9.140625" style="9"/>
    <col min="515" max="515" width="15.28515625" style="9" customWidth="1"/>
    <col min="516" max="516" width="29.42578125" style="9" customWidth="1"/>
    <col min="517" max="517" width="34.85546875" style="9" customWidth="1"/>
    <col min="518" max="518" width="35.85546875" style="9" customWidth="1"/>
    <col min="519" max="519" width="16.85546875" style="9" customWidth="1"/>
    <col min="520" max="520" width="9.140625" style="9"/>
    <col min="521" max="521" width="28.85546875" style="9" customWidth="1"/>
    <col min="522" max="522" width="9.140625" style="9"/>
    <col min="523" max="523" width="16.85546875" style="9" customWidth="1"/>
    <col min="524" max="770" width="9.140625" style="9"/>
    <col min="771" max="771" width="15.28515625" style="9" customWidth="1"/>
    <col min="772" max="772" width="29.42578125" style="9" customWidth="1"/>
    <col min="773" max="773" width="34.85546875" style="9" customWidth="1"/>
    <col min="774" max="774" width="35.85546875" style="9" customWidth="1"/>
    <col min="775" max="775" width="16.85546875" style="9" customWidth="1"/>
    <col min="776" max="776" width="9.140625" style="9"/>
    <col min="777" max="777" width="28.85546875" style="9" customWidth="1"/>
    <col min="778" max="778" width="9.140625" style="9"/>
    <col min="779" max="779" width="16.85546875" style="9" customWidth="1"/>
    <col min="780" max="1026" width="9.140625" style="9"/>
    <col min="1027" max="1027" width="15.28515625" style="9" customWidth="1"/>
    <col min="1028" max="1028" width="29.42578125" style="9" customWidth="1"/>
    <col min="1029" max="1029" width="34.85546875" style="9" customWidth="1"/>
    <col min="1030" max="1030" width="35.85546875" style="9" customWidth="1"/>
    <col min="1031" max="1031" width="16.85546875" style="9" customWidth="1"/>
    <col min="1032" max="1032" width="9.140625" style="9"/>
    <col min="1033" max="1033" width="28.85546875" style="9" customWidth="1"/>
    <col min="1034" max="1034" width="9.140625" style="9"/>
    <col min="1035" max="1035" width="16.85546875" style="9" customWidth="1"/>
    <col min="1036" max="1282" width="9.140625" style="9"/>
    <col min="1283" max="1283" width="15.28515625" style="9" customWidth="1"/>
    <col min="1284" max="1284" width="29.42578125" style="9" customWidth="1"/>
    <col min="1285" max="1285" width="34.85546875" style="9" customWidth="1"/>
    <col min="1286" max="1286" width="35.85546875" style="9" customWidth="1"/>
    <col min="1287" max="1287" width="16.85546875" style="9" customWidth="1"/>
    <col min="1288" max="1288" width="9.140625" style="9"/>
    <col min="1289" max="1289" width="28.85546875" style="9" customWidth="1"/>
    <col min="1290" max="1290" width="9.140625" style="9"/>
    <col min="1291" max="1291" width="16.85546875" style="9" customWidth="1"/>
    <col min="1292" max="1538" width="9.140625" style="9"/>
    <col min="1539" max="1539" width="15.28515625" style="9" customWidth="1"/>
    <col min="1540" max="1540" width="29.42578125" style="9" customWidth="1"/>
    <col min="1541" max="1541" width="34.85546875" style="9" customWidth="1"/>
    <col min="1542" max="1542" width="35.85546875" style="9" customWidth="1"/>
    <col min="1543" max="1543" width="16.85546875" style="9" customWidth="1"/>
    <col min="1544" max="1544" width="9.140625" style="9"/>
    <col min="1545" max="1545" width="28.85546875" style="9" customWidth="1"/>
    <col min="1546" max="1546" width="9.140625" style="9"/>
    <col min="1547" max="1547" width="16.85546875" style="9" customWidth="1"/>
    <col min="1548" max="1794" width="9.140625" style="9"/>
    <col min="1795" max="1795" width="15.28515625" style="9" customWidth="1"/>
    <col min="1796" max="1796" width="29.42578125" style="9" customWidth="1"/>
    <col min="1797" max="1797" width="34.85546875" style="9" customWidth="1"/>
    <col min="1798" max="1798" width="35.85546875" style="9" customWidth="1"/>
    <col min="1799" max="1799" width="16.85546875" style="9" customWidth="1"/>
    <col min="1800" max="1800" width="9.140625" style="9"/>
    <col min="1801" max="1801" width="28.85546875" style="9" customWidth="1"/>
    <col min="1802" max="1802" width="9.140625" style="9"/>
    <col min="1803" max="1803" width="16.85546875" style="9" customWidth="1"/>
    <col min="1804" max="2050" width="9.140625" style="9"/>
    <col min="2051" max="2051" width="15.28515625" style="9" customWidth="1"/>
    <col min="2052" max="2052" width="29.42578125" style="9" customWidth="1"/>
    <col min="2053" max="2053" width="34.85546875" style="9" customWidth="1"/>
    <col min="2054" max="2054" width="35.85546875" style="9" customWidth="1"/>
    <col min="2055" max="2055" width="16.85546875" style="9" customWidth="1"/>
    <col min="2056" max="2056" width="9.140625" style="9"/>
    <col min="2057" max="2057" width="28.85546875" style="9" customWidth="1"/>
    <col min="2058" max="2058" width="9.140625" style="9"/>
    <col min="2059" max="2059" width="16.85546875" style="9" customWidth="1"/>
    <col min="2060" max="2306" width="9.140625" style="9"/>
    <col min="2307" max="2307" width="15.28515625" style="9" customWidth="1"/>
    <col min="2308" max="2308" width="29.42578125" style="9" customWidth="1"/>
    <col min="2309" max="2309" width="34.85546875" style="9" customWidth="1"/>
    <col min="2310" max="2310" width="35.85546875" style="9" customWidth="1"/>
    <col min="2311" max="2311" width="16.85546875" style="9" customWidth="1"/>
    <col min="2312" max="2312" width="9.140625" style="9"/>
    <col min="2313" max="2313" width="28.85546875" style="9" customWidth="1"/>
    <col min="2314" max="2314" width="9.140625" style="9"/>
    <col min="2315" max="2315" width="16.85546875" style="9" customWidth="1"/>
    <col min="2316" max="2562" width="9.140625" style="9"/>
    <col min="2563" max="2563" width="15.28515625" style="9" customWidth="1"/>
    <col min="2564" max="2564" width="29.42578125" style="9" customWidth="1"/>
    <col min="2565" max="2565" width="34.85546875" style="9" customWidth="1"/>
    <col min="2566" max="2566" width="35.85546875" style="9" customWidth="1"/>
    <col min="2567" max="2567" width="16.85546875" style="9" customWidth="1"/>
    <col min="2568" max="2568" width="9.140625" style="9"/>
    <col min="2569" max="2569" width="28.85546875" style="9" customWidth="1"/>
    <col min="2570" max="2570" width="9.140625" style="9"/>
    <col min="2571" max="2571" width="16.85546875" style="9" customWidth="1"/>
    <col min="2572" max="2818" width="9.140625" style="9"/>
    <col min="2819" max="2819" width="15.28515625" style="9" customWidth="1"/>
    <col min="2820" max="2820" width="29.42578125" style="9" customWidth="1"/>
    <col min="2821" max="2821" width="34.85546875" style="9" customWidth="1"/>
    <col min="2822" max="2822" width="35.85546875" style="9" customWidth="1"/>
    <col min="2823" max="2823" width="16.85546875" style="9" customWidth="1"/>
    <col min="2824" max="2824" width="9.140625" style="9"/>
    <col min="2825" max="2825" width="28.85546875" style="9" customWidth="1"/>
    <col min="2826" max="2826" width="9.140625" style="9"/>
    <col min="2827" max="2827" width="16.85546875" style="9" customWidth="1"/>
    <col min="2828" max="3074" width="9.140625" style="9"/>
    <col min="3075" max="3075" width="15.28515625" style="9" customWidth="1"/>
    <col min="3076" max="3076" width="29.42578125" style="9" customWidth="1"/>
    <col min="3077" max="3077" width="34.85546875" style="9" customWidth="1"/>
    <col min="3078" max="3078" width="35.85546875" style="9" customWidth="1"/>
    <col min="3079" max="3079" width="16.85546875" style="9" customWidth="1"/>
    <col min="3080" max="3080" width="9.140625" style="9"/>
    <col min="3081" max="3081" width="28.85546875" style="9" customWidth="1"/>
    <col min="3082" max="3082" width="9.140625" style="9"/>
    <col min="3083" max="3083" width="16.85546875" style="9" customWidth="1"/>
    <col min="3084" max="3330" width="9.140625" style="9"/>
    <col min="3331" max="3331" width="15.28515625" style="9" customWidth="1"/>
    <col min="3332" max="3332" width="29.42578125" style="9" customWidth="1"/>
    <col min="3333" max="3333" width="34.85546875" style="9" customWidth="1"/>
    <col min="3334" max="3334" width="35.85546875" style="9" customWidth="1"/>
    <col min="3335" max="3335" width="16.85546875" style="9" customWidth="1"/>
    <col min="3336" max="3336" width="9.140625" style="9"/>
    <col min="3337" max="3337" width="28.85546875" style="9" customWidth="1"/>
    <col min="3338" max="3338" width="9.140625" style="9"/>
    <col min="3339" max="3339" width="16.85546875" style="9" customWidth="1"/>
    <col min="3340" max="3586" width="9.140625" style="9"/>
    <col min="3587" max="3587" width="15.28515625" style="9" customWidth="1"/>
    <col min="3588" max="3588" width="29.42578125" style="9" customWidth="1"/>
    <col min="3589" max="3589" width="34.85546875" style="9" customWidth="1"/>
    <col min="3590" max="3590" width="35.85546875" style="9" customWidth="1"/>
    <col min="3591" max="3591" width="16.85546875" style="9" customWidth="1"/>
    <col min="3592" max="3592" width="9.140625" style="9"/>
    <col min="3593" max="3593" width="28.85546875" style="9" customWidth="1"/>
    <col min="3594" max="3594" width="9.140625" style="9"/>
    <col min="3595" max="3595" width="16.85546875" style="9" customWidth="1"/>
    <col min="3596" max="3842" width="9.140625" style="9"/>
    <col min="3843" max="3843" width="15.28515625" style="9" customWidth="1"/>
    <col min="3844" max="3844" width="29.42578125" style="9" customWidth="1"/>
    <col min="3845" max="3845" width="34.85546875" style="9" customWidth="1"/>
    <col min="3846" max="3846" width="35.85546875" style="9" customWidth="1"/>
    <col min="3847" max="3847" width="16.85546875" style="9" customWidth="1"/>
    <col min="3848" max="3848" width="9.140625" style="9"/>
    <col min="3849" max="3849" width="28.85546875" style="9" customWidth="1"/>
    <col min="3850" max="3850" width="9.140625" style="9"/>
    <col min="3851" max="3851" width="16.85546875" style="9" customWidth="1"/>
    <col min="3852" max="4098" width="9.140625" style="9"/>
    <col min="4099" max="4099" width="15.28515625" style="9" customWidth="1"/>
    <col min="4100" max="4100" width="29.42578125" style="9" customWidth="1"/>
    <col min="4101" max="4101" width="34.85546875" style="9" customWidth="1"/>
    <col min="4102" max="4102" width="35.85546875" style="9" customWidth="1"/>
    <col min="4103" max="4103" width="16.85546875" style="9" customWidth="1"/>
    <col min="4104" max="4104" width="9.140625" style="9"/>
    <col min="4105" max="4105" width="28.85546875" style="9" customWidth="1"/>
    <col min="4106" max="4106" width="9.140625" style="9"/>
    <col min="4107" max="4107" width="16.85546875" style="9" customWidth="1"/>
    <col min="4108" max="4354" width="9.140625" style="9"/>
    <col min="4355" max="4355" width="15.28515625" style="9" customWidth="1"/>
    <col min="4356" max="4356" width="29.42578125" style="9" customWidth="1"/>
    <col min="4357" max="4357" width="34.85546875" style="9" customWidth="1"/>
    <col min="4358" max="4358" width="35.85546875" style="9" customWidth="1"/>
    <col min="4359" max="4359" width="16.85546875" style="9" customWidth="1"/>
    <col min="4360" max="4360" width="9.140625" style="9"/>
    <col min="4361" max="4361" width="28.85546875" style="9" customWidth="1"/>
    <col min="4362" max="4362" width="9.140625" style="9"/>
    <col min="4363" max="4363" width="16.85546875" style="9" customWidth="1"/>
    <col min="4364" max="4610" width="9.140625" style="9"/>
    <col min="4611" max="4611" width="15.28515625" style="9" customWidth="1"/>
    <col min="4612" max="4612" width="29.42578125" style="9" customWidth="1"/>
    <col min="4613" max="4613" width="34.85546875" style="9" customWidth="1"/>
    <col min="4614" max="4614" width="35.85546875" style="9" customWidth="1"/>
    <col min="4615" max="4615" width="16.85546875" style="9" customWidth="1"/>
    <col min="4616" max="4616" width="9.140625" style="9"/>
    <col min="4617" max="4617" width="28.85546875" style="9" customWidth="1"/>
    <col min="4618" max="4618" width="9.140625" style="9"/>
    <col min="4619" max="4619" width="16.85546875" style="9" customWidth="1"/>
    <col min="4620" max="4866" width="9.140625" style="9"/>
    <col min="4867" max="4867" width="15.28515625" style="9" customWidth="1"/>
    <col min="4868" max="4868" width="29.42578125" style="9" customWidth="1"/>
    <col min="4869" max="4869" width="34.85546875" style="9" customWidth="1"/>
    <col min="4870" max="4870" width="35.85546875" style="9" customWidth="1"/>
    <col min="4871" max="4871" width="16.85546875" style="9" customWidth="1"/>
    <col min="4872" max="4872" width="9.140625" style="9"/>
    <col min="4873" max="4873" width="28.85546875" style="9" customWidth="1"/>
    <col min="4874" max="4874" width="9.140625" style="9"/>
    <col min="4875" max="4875" width="16.85546875" style="9" customWidth="1"/>
    <col min="4876" max="5122" width="9.140625" style="9"/>
    <col min="5123" max="5123" width="15.28515625" style="9" customWidth="1"/>
    <col min="5124" max="5124" width="29.42578125" style="9" customWidth="1"/>
    <col min="5125" max="5125" width="34.85546875" style="9" customWidth="1"/>
    <col min="5126" max="5126" width="35.85546875" style="9" customWidth="1"/>
    <col min="5127" max="5127" width="16.85546875" style="9" customWidth="1"/>
    <col min="5128" max="5128" width="9.140625" style="9"/>
    <col min="5129" max="5129" width="28.85546875" style="9" customWidth="1"/>
    <col min="5130" max="5130" width="9.140625" style="9"/>
    <col min="5131" max="5131" width="16.85546875" style="9" customWidth="1"/>
    <col min="5132" max="5378" width="9.140625" style="9"/>
    <col min="5379" max="5379" width="15.28515625" style="9" customWidth="1"/>
    <col min="5380" max="5380" width="29.42578125" style="9" customWidth="1"/>
    <col min="5381" max="5381" width="34.85546875" style="9" customWidth="1"/>
    <col min="5382" max="5382" width="35.85546875" style="9" customWidth="1"/>
    <col min="5383" max="5383" width="16.85546875" style="9" customWidth="1"/>
    <col min="5384" max="5384" width="9.140625" style="9"/>
    <col min="5385" max="5385" width="28.85546875" style="9" customWidth="1"/>
    <col min="5386" max="5386" width="9.140625" style="9"/>
    <col min="5387" max="5387" width="16.85546875" style="9" customWidth="1"/>
    <col min="5388" max="5634" width="9.140625" style="9"/>
    <col min="5635" max="5635" width="15.28515625" style="9" customWidth="1"/>
    <col min="5636" max="5636" width="29.42578125" style="9" customWidth="1"/>
    <col min="5637" max="5637" width="34.85546875" style="9" customWidth="1"/>
    <col min="5638" max="5638" width="35.85546875" style="9" customWidth="1"/>
    <col min="5639" max="5639" width="16.85546875" style="9" customWidth="1"/>
    <col min="5640" max="5640" width="9.140625" style="9"/>
    <col min="5641" max="5641" width="28.85546875" style="9" customWidth="1"/>
    <col min="5642" max="5642" width="9.140625" style="9"/>
    <col min="5643" max="5643" width="16.85546875" style="9" customWidth="1"/>
    <col min="5644" max="5890" width="9.140625" style="9"/>
    <col min="5891" max="5891" width="15.28515625" style="9" customWidth="1"/>
    <col min="5892" max="5892" width="29.42578125" style="9" customWidth="1"/>
    <col min="5893" max="5893" width="34.85546875" style="9" customWidth="1"/>
    <col min="5894" max="5894" width="35.85546875" style="9" customWidth="1"/>
    <col min="5895" max="5895" width="16.85546875" style="9" customWidth="1"/>
    <col min="5896" max="5896" width="9.140625" style="9"/>
    <col min="5897" max="5897" width="28.85546875" style="9" customWidth="1"/>
    <col min="5898" max="5898" width="9.140625" style="9"/>
    <col min="5899" max="5899" width="16.85546875" style="9" customWidth="1"/>
    <col min="5900" max="6146" width="9.140625" style="9"/>
    <col min="6147" max="6147" width="15.28515625" style="9" customWidth="1"/>
    <col min="6148" max="6148" width="29.42578125" style="9" customWidth="1"/>
    <col min="6149" max="6149" width="34.85546875" style="9" customWidth="1"/>
    <col min="6150" max="6150" width="35.85546875" style="9" customWidth="1"/>
    <col min="6151" max="6151" width="16.85546875" style="9" customWidth="1"/>
    <col min="6152" max="6152" width="9.140625" style="9"/>
    <col min="6153" max="6153" width="28.85546875" style="9" customWidth="1"/>
    <col min="6154" max="6154" width="9.140625" style="9"/>
    <col min="6155" max="6155" width="16.85546875" style="9" customWidth="1"/>
    <col min="6156" max="6402" width="9.140625" style="9"/>
    <col min="6403" max="6403" width="15.28515625" style="9" customWidth="1"/>
    <col min="6404" max="6404" width="29.42578125" style="9" customWidth="1"/>
    <col min="6405" max="6405" width="34.85546875" style="9" customWidth="1"/>
    <col min="6406" max="6406" width="35.85546875" style="9" customWidth="1"/>
    <col min="6407" max="6407" width="16.85546875" style="9" customWidth="1"/>
    <col min="6408" max="6408" width="9.140625" style="9"/>
    <col min="6409" max="6409" width="28.85546875" style="9" customWidth="1"/>
    <col min="6410" max="6410" width="9.140625" style="9"/>
    <col min="6411" max="6411" width="16.85546875" style="9" customWidth="1"/>
    <col min="6412" max="6658" width="9.140625" style="9"/>
    <col min="6659" max="6659" width="15.28515625" style="9" customWidth="1"/>
    <col min="6660" max="6660" width="29.42578125" style="9" customWidth="1"/>
    <col min="6661" max="6661" width="34.85546875" style="9" customWidth="1"/>
    <col min="6662" max="6662" width="35.85546875" style="9" customWidth="1"/>
    <col min="6663" max="6663" width="16.85546875" style="9" customWidth="1"/>
    <col min="6664" max="6664" width="9.140625" style="9"/>
    <col min="6665" max="6665" width="28.85546875" style="9" customWidth="1"/>
    <col min="6666" max="6666" width="9.140625" style="9"/>
    <col min="6667" max="6667" width="16.85546875" style="9" customWidth="1"/>
    <col min="6668" max="6914" width="9.140625" style="9"/>
    <col min="6915" max="6915" width="15.28515625" style="9" customWidth="1"/>
    <col min="6916" max="6916" width="29.42578125" style="9" customWidth="1"/>
    <col min="6917" max="6917" width="34.85546875" style="9" customWidth="1"/>
    <col min="6918" max="6918" width="35.85546875" style="9" customWidth="1"/>
    <col min="6919" max="6919" width="16.85546875" style="9" customWidth="1"/>
    <col min="6920" max="6920" width="9.140625" style="9"/>
    <col min="6921" max="6921" width="28.85546875" style="9" customWidth="1"/>
    <col min="6922" max="6922" width="9.140625" style="9"/>
    <col min="6923" max="6923" width="16.85546875" style="9" customWidth="1"/>
    <col min="6924" max="7170" width="9.140625" style="9"/>
    <col min="7171" max="7171" width="15.28515625" style="9" customWidth="1"/>
    <col min="7172" max="7172" width="29.42578125" style="9" customWidth="1"/>
    <col min="7173" max="7173" width="34.85546875" style="9" customWidth="1"/>
    <col min="7174" max="7174" width="35.85546875" style="9" customWidth="1"/>
    <col min="7175" max="7175" width="16.85546875" style="9" customWidth="1"/>
    <col min="7176" max="7176" width="9.140625" style="9"/>
    <col min="7177" max="7177" width="28.85546875" style="9" customWidth="1"/>
    <col min="7178" max="7178" width="9.140625" style="9"/>
    <col min="7179" max="7179" width="16.85546875" style="9" customWidth="1"/>
    <col min="7180" max="7426" width="9.140625" style="9"/>
    <col min="7427" max="7427" width="15.28515625" style="9" customWidth="1"/>
    <col min="7428" max="7428" width="29.42578125" style="9" customWidth="1"/>
    <col min="7429" max="7429" width="34.85546875" style="9" customWidth="1"/>
    <col min="7430" max="7430" width="35.85546875" style="9" customWidth="1"/>
    <col min="7431" max="7431" width="16.85546875" style="9" customWidth="1"/>
    <col min="7432" max="7432" width="9.140625" style="9"/>
    <col min="7433" max="7433" width="28.85546875" style="9" customWidth="1"/>
    <col min="7434" max="7434" width="9.140625" style="9"/>
    <col min="7435" max="7435" width="16.85546875" style="9" customWidth="1"/>
    <col min="7436" max="7682" width="9.140625" style="9"/>
    <col min="7683" max="7683" width="15.28515625" style="9" customWidth="1"/>
    <col min="7684" max="7684" width="29.42578125" style="9" customWidth="1"/>
    <col min="7685" max="7685" width="34.85546875" style="9" customWidth="1"/>
    <col min="7686" max="7686" width="35.85546875" style="9" customWidth="1"/>
    <col min="7687" max="7687" width="16.85546875" style="9" customWidth="1"/>
    <col min="7688" max="7688" width="9.140625" style="9"/>
    <col min="7689" max="7689" width="28.85546875" style="9" customWidth="1"/>
    <col min="7690" max="7690" width="9.140625" style="9"/>
    <col min="7691" max="7691" width="16.85546875" style="9" customWidth="1"/>
    <col min="7692" max="7938" width="9.140625" style="9"/>
    <col min="7939" max="7939" width="15.28515625" style="9" customWidth="1"/>
    <col min="7940" max="7940" width="29.42578125" style="9" customWidth="1"/>
    <col min="7941" max="7941" width="34.85546875" style="9" customWidth="1"/>
    <col min="7942" max="7942" width="35.85546875" style="9" customWidth="1"/>
    <col min="7943" max="7943" width="16.85546875" style="9" customWidth="1"/>
    <col min="7944" max="7944" width="9.140625" style="9"/>
    <col min="7945" max="7945" width="28.85546875" style="9" customWidth="1"/>
    <col min="7946" max="7946" width="9.140625" style="9"/>
    <col min="7947" max="7947" width="16.85546875" style="9" customWidth="1"/>
    <col min="7948" max="8194" width="9.140625" style="9"/>
    <col min="8195" max="8195" width="15.28515625" style="9" customWidth="1"/>
    <col min="8196" max="8196" width="29.42578125" style="9" customWidth="1"/>
    <col min="8197" max="8197" width="34.85546875" style="9" customWidth="1"/>
    <col min="8198" max="8198" width="35.85546875" style="9" customWidth="1"/>
    <col min="8199" max="8199" width="16.85546875" style="9" customWidth="1"/>
    <col min="8200" max="8200" width="9.140625" style="9"/>
    <col min="8201" max="8201" width="28.85546875" style="9" customWidth="1"/>
    <col min="8202" max="8202" width="9.140625" style="9"/>
    <col min="8203" max="8203" width="16.85546875" style="9" customWidth="1"/>
    <col min="8204" max="8450" width="9.140625" style="9"/>
    <col min="8451" max="8451" width="15.28515625" style="9" customWidth="1"/>
    <col min="8452" max="8452" width="29.42578125" style="9" customWidth="1"/>
    <col min="8453" max="8453" width="34.85546875" style="9" customWidth="1"/>
    <col min="8454" max="8454" width="35.85546875" style="9" customWidth="1"/>
    <col min="8455" max="8455" width="16.85546875" style="9" customWidth="1"/>
    <col min="8456" max="8456" width="9.140625" style="9"/>
    <col min="8457" max="8457" width="28.85546875" style="9" customWidth="1"/>
    <col min="8458" max="8458" width="9.140625" style="9"/>
    <col min="8459" max="8459" width="16.85546875" style="9" customWidth="1"/>
    <col min="8460" max="8706" width="9.140625" style="9"/>
    <col min="8707" max="8707" width="15.28515625" style="9" customWidth="1"/>
    <col min="8708" max="8708" width="29.42578125" style="9" customWidth="1"/>
    <col min="8709" max="8709" width="34.85546875" style="9" customWidth="1"/>
    <col min="8710" max="8710" width="35.85546875" style="9" customWidth="1"/>
    <col min="8711" max="8711" width="16.85546875" style="9" customWidth="1"/>
    <col min="8712" max="8712" width="9.140625" style="9"/>
    <col min="8713" max="8713" width="28.85546875" style="9" customWidth="1"/>
    <col min="8714" max="8714" width="9.140625" style="9"/>
    <col min="8715" max="8715" width="16.85546875" style="9" customWidth="1"/>
    <col min="8716" max="8962" width="9.140625" style="9"/>
    <col min="8963" max="8963" width="15.28515625" style="9" customWidth="1"/>
    <col min="8964" max="8964" width="29.42578125" style="9" customWidth="1"/>
    <col min="8965" max="8965" width="34.85546875" style="9" customWidth="1"/>
    <col min="8966" max="8966" width="35.85546875" style="9" customWidth="1"/>
    <col min="8967" max="8967" width="16.85546875" style="9" customWidth="1"/>
    <col min="8968" max="8968" width="9.140625" style="9"/>
    <col min="8969" max="8969" width="28.85546875" style="9" customWidth="1"/>
    <col min="8970" max="8970" width="9.140625" style="9"/>
    <col min="8971" max="8971" width="16.85546875" style="9" customWidth="1"/>
    <col min="8972" max="9218" width="9.140625" style="9"/>
    <col min="9219" max="9219" width="15.28515625" style="9" customWidth="1"/>
    <col min="9220" max="9220" width="29.42578125" style="9" customWidth="1"/>
    <col min="9221" max="9221" width="34.85546875" style="9" customWidth="1"/>
    <col min="9222" max="9222" width="35.85546875" style="9" customWidth="1"/>
    <col min="9223" max="9223" width="16.85546875" style="9" customWidth="1"/>
    <col min="9224" max="9224" width="9.140625" style="9"/>
    <col min="9225" max="9225" width="28.85546875" style="9" customWidth="1"/>
    <col min="9226" max="9226" width="9.140625" style="9"/>
    <col min="9227" max="9227" width="16.85546875" style="9" customWidth="1"/>
    <col min="9228" max="9474" width="9.140625" style="9"/>
    <col min="9475" max="9475" width="15.28515625" style="9" customWidth="1"/>
    <col min="9476" max="9476" width="29.42578125" style="9" customWidth="1"/>
    <col min="9477" max="9477" width="34.85546875" style="9" customWidth="1"/>
    <col min="9478" max="9478" width="35.85546875" style="9" customWidth="1"/>
    <col min="9479" max="9479" width="16.85546875" style="9" customWidth="1"/>
    <col min="9480" max="9480" width="9.140625" style="9"/>
    <col min="9481" max="9481" width="28.85546875" style="9" customWidth="1"/>
    <col min="9482" max="9482" width="9.140625" style="9"/>
    <col min="9483" max="9483" width="16.85546875" style="9" customWidth="1"/>
    <col min="9484" max="9730" width="9.140625" style="9"/>
    <col min="9731" max="9731" width="15.28515625" style="9" customWidth="1"/>
    <col min="9732" max="9732" width="29.42578125" style="9" customWidth="1"/>
    <col min="9733" max="9733" width="34.85546875" style="9" customWidth="1"/>
    <col min="9734" max="9734" width="35.85546875" style="9" customWidth="1"/>
    <col min="9735" max="9735" width="16.85546875" style="9" customWidth="1"/>
    <col min="9736" max="9736" width="9.140625" style="9"/>
    <col min="9737" max="9737" width="28.85546875" style="9" customWidth="1"/>
    <col min="9738" max="9738" width="9.140625" style="9"/>
    <col min="9739" max="9739" width="16.85546875" style="9" customWidth="1"/>
    <col min="9740" max="9986" width="9.140625" style="9"/>
    <col min="9987" max="9987" width="15.28515625" style="9" customWidth="1"/>
    <col min="9988" max="9988" width="29.42578125" style="9" customWidth="1"/>
    <col min="9989" max="9989" width="34.85546875" style="9" customWidth="1"/>
    <col min="9990" max="9990" width="35.85546875" style="9" customWidth="1"/>
    <col min="9991" max="9991" width="16.85546875" style="9" customWidth="1"/>
    <col min="9992" max="9992" width="9.140625" style="9"/>
    <col min="9993" max="9993" width="28.85546875" style="9" customWidth="1"/>
    <col min="9994" max="9994" width="9.140625" style="9"/>
    <col min="9995" max="9995" width="16.85546875" style="9" customWidth="1"/>
    <col min="9996" max="10242" width="9.140625" style="9"/>
    <col min="10243" max="10243" width="15.28515625" style="9" customWidth="1"/>
    <col min="10244" max="10244" width="29.42578125" style="9" customWidth="1"/>
    <col min="10245" max="10245" width="34.85546875" style="9" customWidth="1"/>
    <col min="10246" max="10246" width="35.85546875" style="9" customWidth="1"/>
    <col min="10247" max="10247" width="16.85546875" style="9" customWidth="1"/>
    <col min="10248" max="10248" width="9.140625" style="9"/>
    <col min="10249" max="10249" width="28.85546875" style="9" customWidth="1"/>
    <col min="10250" max="10250" width="9.140625" style="9"/>
    <col min="10251" max="10251" width="16.85546875" style="9" customWidth="1"/>
    <col min="10252" max="10498" width="9.140625" style="9"/>
    <col min="10499" max="10499" width="15.28515625" style="9" customWidth="1"/>
    <col min="10500" max="10500" width="29.42578125" style="9" customWidth="1"/>
    <col min="10501" max="10501" width="34.85546875" style="9" customWidth="1"/>
    <col min="10502" max="10502" width="35.85546875" style="9" customWidth="1"/>
    <col min="10503" max="10503" width="16.85546875" style="9" customWidth="1"/>
    <col min="10504" max="10504" width="9.140625" style="9"/>
    <col min="10505" max="10505" width="28.85546875" style="9" customWidth="1"/>
    <col min="10506" max="10506" width="9.140625" style="9"/>
    <col min="10507" max="10507" width="16.85546875" style="9" customWidth="1"/>
    <col min="10508" max="10754" width="9.140625" style="9"/>
    <col min="10755" max="10755" width="15.28515625" style="9" customWidth="1"/>
    <col min="10756" max="10756" width="29.42578125" style="9" customWidth="1"/>
    <col min="10757" max="10757" width="34.85546875" style="9" customWidth="1"/>
    <col min="10758" max="10758" width="35.85546875" style="9" customWidth="1"/>
    <col min="10759" max="10759" width="16.85546875" style="9" customWidth="1"/>
    <col min="10760" max="10760" width="9.140625" style="9"/>
    <col min="10761" max="10761" width="28.85546875" style="9" customWidth="1"/>
    <col min="10762" max="10762" width="9.140625" style="9"/>
    <col min="10763" max="10763" width="16.85546875" style="9" customWidth="1"/>
    <col min="10764" max="11010" width="9.140625" style="9"/>
    <col min="11011" max="11011" width="15.28515625" style="9" customWidth="1"/>
    <col min="11012" max="11012" width="29.42578125" style="9" customWidth="1"/>
    <col min="11013" max="11013" width="34.85546875" style="9" customWidth="1"/>
    <col min="11014" max="11014" width="35.85546875" style="9" customWidth="1"/>
    <col min="11015" max="11015" width="16.85546875" style="9" customWidth="1"/>
    <col min="11016" max="11016" width="9.140625" style="9"/>
    <col min="11017" max="11017" width="28.85546875" style="9" customWidth="1"/>
    <col min="11018" max="11018" width="9.140625" style="9"/>
    <col min="11019" max="11019" width="16.85546875" style="9" customWidth="1"/>
    <col min="11020" max="11266" width="9.140625" style="9"/>
    <col min="11267" max="11267" width="15.28515625" style="9" customWidth="1"/>
    <col min="11268" max="11268" width="29.42578125" style="9" customWidth="1"/>
    <col min="11269" max="11269" width="34.85546875" style="9" customWidth="1"/>
    <col min="11270" max="11270" width="35.85546875" style="9" customWidth="1"/>
    <col min="11271" max="11271" width="16.85546875" style="9" customWidth="1"/>
    <col min="11272" max="11272" width="9.140625" style="9"/>
    <col min="11273" max="11273" width="28.85546875" style="9" customWidth="1"/>
    <col min="11274" max="11274" width="9.140625" style="9"/>
    <col min="11275" max="11275" width="16.85546875" style="9" customWidth="1"/>
    <col min="11276" max="11522" width="9.140625" style="9"/>
    <col min="11523" max="11523" width="15.28515625" style="9" customWidth="1"/>
    <col min="11524" max="11524" width="29.42578125" style="9" customWidth="1"/>
    <col min="11525" max="11525" width="34.85546875" style="9" customWidth="1"/>
    <col min="11526" max="11526" width="35.85546875" style="9" customWidth="1"/>
    <col min="11527" max="11527" width="16.85546875" style="9" customWidth="1"/>
    <col min="11528" max="11528" width="9.140625" style="9"/>
    <col min="11529" max="11529" width="28.85546875" style="9" customWidth="1"/>
    <col min="11530" max="11530" width="9.140625" style="9"/>
    <col min="11531" max="11531" width="16.85546875" style="9" customWidth="1"/>
    <col min="11532" max="11778" width="9.140625" style="9"/>
    <col min="11779" max="11779" width="15.28515625" style="9" customWidth="1"/>
    <col min="11780" max="11780" width="29.42578125" style="9" customWidth="1"/>
    <col min="11781" max="11781" width="34.85546875" style="9" customWidth="1"/>
    <col min="11782" max="11782" width="35.85546875" style="9" customWidth="1"/>
    <col min="11783" max="11783" width="16.85546875" style="9" customWidth="1"/>
    <col min="11784" max="11784" width="9.140625" style="9"/>
    <col min="11785" max="11785" width="28.85546875" style="9" customWidth="1"/>
    <col min="11786" max="11786" width="9.140625" style="9"/>
    <col min="11787" max="11787" width="16.85546875" style="9" customWidth="1"/>
    <col min="11788" max="12034" width="9.140625" style="9"/>
    <col min="12035" max="12035" width="15.28515625" style="9" customWidth="1"/>
    <col min="12036" max="12036" width="29.42578125" style="9" customWidth="1"/>
    <col min="12037" max="12037" width="34.85546875" style="9" customWidth="1"/>
    <col min="12038" max="12038" width="35.85546875" style="9" customWidth="1"/>
    <col min="12039" max="12039" width="16.85546875" style="9" customWidth="1"/>
    <col min="12040" max="12040" width="9.140625" style="9"/>
    <col min="12041" max="12041" width="28.85546875" style="9" customWidth="1"/>
    <col min="12042" max="12042" width="9.140625" style="9"/>
    <col min="12043" max="12043" width="16.85546875" style="9" customWidth="1"/>
    <col min="12044" max="12290" width="9.140625" style="9"/>
    <col min="12291" max="12291" width="15.28515625" style="9" customWidth="1"/>
    <col min="12292" max="12292" width="29.42578125" style="9" customWidth="1"/>
    <col min="12293" max="12293" width="34.85546875" style="9" customWidth="1"/>
    <col min="12294" max="12294" width="35.85546875" style="9" customWidth="1"/>
    <col min="12295" max="12295" width="16.85546875" style="9" customWidth="1"/>
    <col min="12296" max="12296" width="9.140625" style="9"/>
    <col min="12297" max="12297" width="28.85546875" style="9" customWidth="1"/>
    <col min="12298" max="12298" width="9.140625" style="9"/>
    <col min="12299" max="12299" width="16.85546875" style="9" customWidth="1"/>
    <col min="12300" max="12546" width="9.140625" style="9"/>
    <col min="12547" max="12547" width="15.28515625" style="9" customWidth="1"/>
    <col min="12548" max="12548" width="29.42578125" style="9" customWidth="1"/>
    <col min="12549" max="12549" width="34.85546875" style="9" customWidth="1"/>
    <col min="12550" max="12550" width="35.85546875" style="9" customWidth="1"/>
    <col min="12551" max="12551" width="16.85546875" style="9" customWidth="1"/>
    <col min="12552" max="12552" width="9.140625" style="9"/>
    <col min="12553" max="12553" width="28.85546875" style="9" customWidth="1"/>
    <col min="12554" max="12554" width="9.140625" style="9"/>
    <col min="12555" max="12555" width="16.85546875" style="9" customWidth="1"/>
    <col min="12556" max="12802" width="9.140625" style="9"/>
    <col min="12803" max="12803" width="15.28515625" style="9" customWidth="1"/>
    <col min="12804" max="12804" width="29.42578125" style="9" customWidth="1"/>
    <col min="12805" max="12805" width="34.85546875" style="9" customWidth="1"/>
    <col min="12806" max="12806" width="35.85546875" style="9" customWidth="1"/>
    <col min="12807" max="12807" width="16.85546875" style="9" customWidth="1"/>
    <col min="12808" max="12808" width="9.140625" style="9"/>
    <col min="12809" max="12809" width="28.85546875" style="9" customWidth="1"/>
    <col min="12810" max="12810" width="9.140625" style="9"/>
    <col min="12811" max="12811" width="16.85546875" style="9" customWidth="1"/>
    <col min="12812" max="13058" width="9.140625" style="9"/>
    <col min="13059" max="13059" width="15.28515625" style="9" customWidth="1"/>
    <col min="13060" max="13060" width="29.42578125" style="9" customWidth="1"/>
    <col min="13061" max="13061" width="34.85546875" style="9" customWidth="1"/>
    <col min="13062" max="13062" width="35.85546875" style="9" customWidth="1"/>
    <col min="13063" max="13063" width="16.85546875" style="9" customWidth="1"/>
    <col min="13064" max="13064" width="9.140625" style="9"/>
    <col min="13065" max="13065" width="28.85546875" style="9" customWidth="1"/>
    <col min="13066" max="13066" width="9.140625" style="9"/>
    <col min="13067" max="13067" width="16.85546875" style="9" customWidth="1"/>
    <col min="13068" max="13314" width="9.140625" style="9"/>
    <col min="13315" max="13315" width="15.28515625" style="9" customWidth="1"/>
    <col min="13316" max="13316" width="29.42578125" style="9" customWidth="1"/>
    <col min="13317" max="13317" width="34.85546875" style="9" customWidth="1"/>
    <col min="13318" max="13318" width="35.85546875" style="9" customWidth="1"/>
    <col min="13319" max="13319" width="16.85546875" style="9" customWidth="1"/>
    <col min="13320" max="13320" width="9.140625" style="9"/>
    <col min="13321" max="13321" width="28.85546875" style="9" customWidth="1"/>
    <col min="13322" max="13322" width="9.140625" style="9"/>
    <col min="13323" max="13323" width="16.85546875" style="9" customWidth="1"/>
    <col min="13324" max="13570" width="9.140625" style="9"/>
    <col min="13571" max="13571" width="15.28515625" style="9" customWidth="1"/>
    <col min="13572" max="13572" width="29.42578125" style="9" customWidth="1"/>
    <col min="13573" max="13573" width="34.85546875" style="9" customWidth="1"/>
    <col min="13574" max="13574" width="35.85546875" style="9" customWidth="1"/>
    <col min="13575" max="13575" width="16.85546875" style="9" customWidth="1"/>
    <col min="13576" max="13576" width="9.140625" style="9"/>
    <col min="13577" max="13577" width="28.85546875" style="9" customWidth="1"/>
    <col min="13578" max="13578" width="9.140625" style="9"/>
    <col min="13579" max="13579" width="16.85546875" style="9" customWidth="1"/>
    <col min="13580" max="13826" width="9.140625" style="9"/>
    <col min="13827" max="13827" width="15.28515625" style="9" customWidth="1"/>
    <col min="13828" max="13828" width="29.42578125" style="9" customWidth="1"/>
    <col min="13829" max="13829" width="34.85546875" style="9" customWidth="1"/>
    <col min="13830" max="13830" width="35.85546875" style="9" customWidth="1"/>
    <col min="13831" max="13831" width="16.85546875" style="9" customWidth="1"/>
    <col min="13832" max="13832" width="9.140625" style="9"/>
    <col min="13833" max="13833" width="28.85546875" style="9" customWidth="1"/>
    <col min="13834" max="13834" width="9.140625" style="9"/>
    <col min="13835" max="13835" width="16.85546875" style="9" customWidth="1"/>
    <col min="13836" max="14082" width="9.140625" style="9"/>
    <col min="14083" max="14083" width="15.28515625" style="9" customWidth="1"/>
    <col min="14084" max="14084" width="29.42578125" style="9" customWidth="1"/>
    <col min="14085" max="14085" width="34.85546875" style="9" customWidth="1"/>
    <col min="14086" max="14086" width="35.85546875" style="9" customWidth="1"/>
    <col min="14087" max="14087" width="16.85546875" style="9" customWidth="1"/>
    <col min="14088" max="14088" width="9.140625" style="9"/>
    <col min="14089" max="14089" width="28.85546875" style="9" customWidth="1"/>
    <col min="14090" max="14090" width="9.140625" style="9"/>
    <col min="14091" max="14091" width="16.85546875" style="9" customWidth="1"/>
    <col min="14092" max="14338" width="9.140625" style="9"/>
    <col min="14339" max="14339" width="15.28515625" style="9" customWidth="1"/>
    <col min="14340" max="14340" width="29.42578125" style="9" customWidth="1"/>
    <col min="14341" max="14341" width="34.85546875" style="9" customWidth="1"/>
    <col min="14342" max="14342" width="35.85546875" style="9" customWidth="1"/>
    <col min="14343" max="14343" width="16.85546875" style="9" customWidth="1"/>
    <col min="14344" max="14344" width="9.140625" style="9"/>
    <col min="14345" max="14345" width="28.85546875" style="9" customWidth="1"/>
    <col min="14346" max="14346" width="9.140625" style="9"/>
    <col min="14347" max="14347" width="16.85546875" style="9" customWidth="1"/>
    <col min="14348" max="14594" width="9.140625" style="9"/>
    <col min="14595" max="14595" width="15.28515625" style="9" customWidth="1"/>
    <col min="14596" max="14596" width="29.42578125" style="9" customWidth="1"/>
    <col min="14597" max="14597" width="34.85546875" style="9" customWidth="1"/>
    <col min="14598" max="14598" width="35.85546875" style="9" customWidth="1"/>
    <col min="14599" max="14599" width="16.85546875" style="9" customWidth="1"/>
    <col min="14600" max="14600" width="9.140625" style="9"/>
    <col min="14601" max="14601" width="28.85546875" style="9" customWidth="1"/>
    <col min="14602" max="14602" width="9.140625" style="9"/>
    <col min="14603" max="14603" width="16.85546875" style="9" customWidth="1"/>
    <col min="14604" max="14850" width="9.140625" style="9"/>
    <col min="14851" max="14851" width="15.28515625" style="9" customWidth="1"/>
    <col min="14852" max="14852" width="29.42578125" style="9" customWidth="1"/>
    <col min="14853" max="14853" width="34.85546875" style="9" customWidth="1"/>
    <col min="14854" max="14854" width="35.85546875" style="9" customWidth="1"/>
    <col min="14855" max="14855" width="16.85546875" style="9" customWidth="1"/>
    <col min="14856" max="14856" width="9.140625" style="9"/>
    <col min="14857" max="14857" width="28.85546875" style="9" customWidth="1"/>
    <col min="14858" max="14858" width="9.140625" style="9"/>
    <col min="14859" max="14859" width="16.85546875" style="9" customWidth="1"/>
    <col min="14860" max="15106" width="9.140625" style="9"/>
    <col min="15107" max="15107" width="15.28515625" style="9" customWidth="1"/>
    <col min="15108" max="15108" width="29.42578125" style="9" customWidth="1"/>
    <col min="15109" max="15109" width="34.85546875" style="9" customWidth="1"/>
    <col min="15110" max="15110" width="35.85546875" style="9" customWidth="1"/>
    <col min="15111" max="15111" width="16.85546875" style="9" customWidth="1"/>
    <col min="15112" max="15112" width="9.140625" style="9"/>
    <col min="15113" max="15113" width="28.85546875" style="9" customWidth="1"/>
    <col min="15114" max="15114" width="9.140625" style="9"/>
    <col min="15115" max="15115" width="16.85546875" style="9" customWidth="1"/>
    <col min="15116" max="15362" width="9.140625" style="9"/>
    <col min="15363" max="15363" width="15.28515625" style="9" customWidth="1"/>
    <col min="15364" max="15364" width="29.42578125" style="9" customWidth="1"/>
    <col min="15365" max="15365" width="34.85546875" style="9" customWidth="1"/>
    <col min="15366" max="15366" width="35.85546875" style="9" customWidth="1"/>
    <col min="15367" max="15367" width="16.85546875" style="9" customWidth="1"/>
    <col min="15368" max="15368" width="9.140625" style="9"/>
    <col min="15369" max="15369" width="28.85546875" style="9" customWidth="1"/>
    <col min="15370" max="15370" width="9.140625" style="9"/>
    <col min="15371" max="15371" width="16.85546875" style="9" customWidth="1"/>
    <col min="15372" max="15618" width="9.140625" style="9"/>
    <col min="15619" max="15619" width="15.28515625" style="9" customWidth="1"/>
    <col min="15620" max="15620" width="29.42578125" style="9" customWidth="1"/>
    <col min="15621" max="15621" width="34.85546875" style="9" customWidth="1"/>
    <col min="15622" max="15622" width="35.85546875" style="9" customWidth="1"/>
    <col min="15623" max="15623" width="16.85546875" style="9" customWidth="1"/>
    <col min="15624" max="15624" width="9.140625" style="9"/>
    <col min="15625" max="15625" width="28.85546875" style="9" customWidth="1"/>
    <col min="15626" max="15626" width="9.140625" style="9"/>
    <col min="15627" max="15627" width="16.85546875" style="9" customWidth="1"/>
    <col min="15628" max="15874" width="9.140625" style="9"/>
    <col min="15875" max="15875" width="15.28515625" style="9" customWidth="1"/>
    <col min="15876" max="15876" width="29.42578125" style="9" customWidth="1"/>
    <col min="15877" max="15877" width="34.85546875" style="9" customWidth="1"/>
    <col min="15878" max="15878" width="35.85546875" style="9" customWidth="1"/>
    <col min="15879" max="15879" width="16.85546875" style="9" customWidth="1"/>
    <col min="15880" max="15880" width="9.140625" style="9"/>
    <col min="15881" max="15881" width="28.85546875" style="9" customWidth="1"/>
    <col min="15882" max="15882" width="9.140625" style="9"/>
    <col min="15883" max="15883" width="16.85546875" style="9" customWidth="1"/>
    <col min="15884" max="16130" width="9.140625" style="9"/>
    <col min="16131" max="16131" width="15.28515625" style="9" customWidth="1"/>
    <col min="16132" max="16132" width="29.42578125" style="9" customWidth="1"/>
    <col min="16133" max="16133" width="34.85546875" style="9" customWidth="1"/>
    <col min="16134" max="16134" width="35.85546875" style="9" customWidth="1"/>
    <col min="16135" max="16135" width="16.85546875" style="9" customWidth="1"/>
    <col min="16136" max="16136" width="9.140625" style="9"/>
    <col min="16137" max="16137" width="28.85546875" style="9" customWidth="1"/>
    <col min="16138" max="16138" width="9.140625" style="9"/>
    <col min="16139" max="16139" width="16.85546875" style="9" customWidth="1"/>
    <col min="16140" max="16384" width="9.140625" style="9"/>
  </cols>
  <sheetData>
    <row r="1" spans="1:11">
      <c r="A1" s="6" t="s">
        <v>23</v>
      </c>
      <c r="B1" s="7" t="s">
        <v>14</v>
      </c>
      <c r="C1" s="8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7" t="s">
        <v>32</v>
      </c>
    </row>
    <row r="2" spans="1:11">
      <c r="A2" s="10">
        <v>1</v>
      </c>
      <c r="B2" s="9">
        <v>201901</v>
      </c>
      <c r="C2" s="11" t="s">
        <v>33</v>
      </c>
      <c r="D2" s="9" t="s">
        <v>34</v>
      </c>
      <c r="E2" s="9" t="str">
        <f>VLOOKUP(C2,[1]MP!A1:O3769,12,0)</f>
        <v>PRE ASSY SUZUKI YW0</v>
      </c>
      <c r="F2" s="9" t="str">
        <f>VLOOKUP(C2,[1]MP!A2:O3782,13,0)</f>
        <v>BM3-SZK-01,02</v>
      </c>
      <c r="G2" s="9" t="s">
        <v>35</v>
      </c>
      <c r="H2" s="9" t="s">
        <v>35</v>
      </c>
      <c r="I2" s="9" t="s">
        <v>36</v>
      </c>
      <c r="J2" s="9" t="s">
        <v>37</v>
      </c>
      <c r="K2" s="12">
        <v>43468</v>
      </c>
    </row>
    <row r="3" spans="1:11">
      <c r="A3" s="10">
        <v>2</v>
      </c>
      <c r="B3" s="9">
        <v>201901</v>
      </c>
      <c r="C3" s="11" t="s">
        <v>38</v>
      </c>
      <c r="D3" s="9" t="s">
        <v>39</v>
      </c>
      <c r="E3" s="9" t="str">
        <f>VLOOKUP(C3,[1]MP!A2:O3770,12,0)</f>
        <v>L. DOCK</v>
      </c>
      <c r="F3" s="9" t="str">
        <f>VLOOKUP(C3,[1]MP!A3:O3783,13,0)</f>
        <v>L. DOCK</v>
      </c>
      <c r="G3" s="9" t="s">
        <v>35</v>
      </c>
      <c r="H3" s="9" t="s">
        <v>35</v>
      </c>
      <c r="I3" s="9" t="s">
        <v>40</v>
      </c>
      <c r="J3" s="9" t="s">
        <v>37</v>
      </c>
      <c r="K3" s="12">
        <v>43468</v>
      </c>
    </row>
    <row r="4" spans="1:11">
      <c r="A4" s="10">
        <v>3</v>
      </c>
      <c r="B4" s="9">
        <v>201901</v>
      </c>
      <c r="C4" s="11" t="s">
        <v>41</v>
      </c>
      <c r="D4" s="9" t="s">
        <v>42</v>
      </c>
      <c r="E4" s="9" t="str">
        <f>VLOOKUP(C4,[1]MP!A3:O3771,12,0)</f>
        <v>PRE ASSY TOYOTA HV</v>
      </c>
      <c r="F4" s="9" t="str">
        <f>VLOOKUP(C4,[1]MP!A4:O3784,13,0)</f>
        <v>DRY-T-01, 02</v>
      </c>
      <c r="G4" s="9" t="s">
        <v>35</v>
      </c>
      <c r="H4" s="9" t="s">
        <v>35</v>
      </c>
      <c r="I4" s="9" t="s">
        <v>43</v>
      </c>
      <c r="J4" s="9" t="s">
        <v>37</v>
      </c>
      <c r="K4" s="12">
        <v>43468</v>
      </c>
    </row>
    <row r="5" spans="1:11">
      <c r="A5" s="10">
        <v>4</v>
      </c>
      <c r="B5" s="9">
        <v>201901</v>
      </c>
      <c r="C5" s="11" t="s">
        <v>44</v>
      </c>
      <c r="D5" s="9" t="s">
        <v>45</v>
      </c>
      <c r="E5" s="9" t="str">
        <f>VLOOKUP(C5,[1]MP!A4:O3772,12,0)</f>
        <v>MTC</v>
      </c>
      <c r="F5" s="9" t="str">
        <f>VLOOKUP(C5,[1]MP!A5:O3785,13,0)</f>
        <v>BREAKDOWN FA</v>
      </c>
      <c r="G5" s="9" t="s">
        <v>35</v>
      </c>
      <c r="H5" s="9" t="s">
        <v>35</v>
      </c>
      <c r="I5" s="12">
        <v>43193</v>
      </c>
      <c r="J5" s="9" t="s">
        <v>37</v>
      </c>
      <c r="K5" s="12">
        <v>43468</v>
      </c>
    </row>
    <row r="6" spans="1:11">
      <c r="A6" s="10">
        <v>5</v>
      </c>
      <c r="B6" s="9">
        <v>201901</v>
      </c>
      <c r="C6" s="11" t="s">
        <v>46</v>
      </c>
      <c r="D6" s="9" t="s">
        <v>47</v>
      </c>
      <c r="E6" s="9" t="str">
        <f>VLOOKUP(C6,[1]MP!A5:O3773,12,0)</f>
        <v>BUFFER MP SAMI</v>
      </c>
      <c r="F6" s="9" t="str">
        <f>VLOOKUP(C6,[1]MP!A6:O3786,13,0)</f>
        <v>BUFFER MP</v>
      </c>
      <c r="G6" s="9" t="s">
        <v>35</v>
      </c>
      <c r="H6" s="9" t="s">
        <v>35</v>
      </c>
      <c r="I6" s="9" t="s">
        <v>48</v>
      </c>
      <c r="J6" s="9" t="s">
        <v>37</v>
      </c>
      <c r="K6" s="12">
        <v>43468</v>
      </c>
    </row>
    <row r="7" spans="1:11">
      <c r="A7" s="10">
        <v>6</v>
      </c>
      <c r="B7" s="9">
        <v>201901</v>
      </c>
      <c r="C7" s="11" t="s">
        <v>49</v>
      </c>
      <c r="D7" s="9" t="s">
        <v>50</v>
      </c>
      <c r="E7" s="9" t="str">
        <f>VLOOKUP(C7,[1]MP!A6:O3774,12,0)</f>
        <v>PRE ASSY MAZDA ATENZA</v>
      </c>
      <c r="F7" s="9" t="str">
        <f>VLOOKUP(C7,[1]MP!A7:O3787,13,0)</f>
        <v>INSP TENSILE</v>
      </c>
      <c r="G7" s="9" t="s">
        <v>35</v>
      </c>
      <c r="H7" s="9" t="s">
        <v>35</v>
      </c>
      <c r="I7" s="9" t="s">
        <v>36</v>
      </c>
      <c r="J7" s="9" t="s">
        <v>37</v>
      </c>
      <c r="K7" s="12">
        <v>43468</v>
      </c>
    </row>
    <row r="8" spans="1:11">
      <c r="A8" s="10">
        <v>7</v>
      </c>
      <c r="B8" s="9">
        <v>201901</v>
      </c>
      <c r="C8" s="11" t="s">
        <v>51</v>
      </c>
      <c r="D8" s="9" t="s">
        <v>52</v>
      </c>
      <c r="E8" s="9" t="str">
        <f>VLOOKUP(C8,[1]MP!A7:O3775,12,0)</f>
        <v>PREGNANT LINE</v>
      </c>
      <c r="F8" s="9" t="str">
        <f>VLOOKUP(C8,[1]MP!A8:O3788,13,0)</f>
        <v>INSERT PLUG</v>
      </c>
      <c r="G8" s="9" t="s">
        <v>35</v>
      </c>
      <c r="H8" s="9" t="s">
        <v>35</v>
      </c>
      <c r="I8" s="9" t="s">
        <v>53</v>
      </c>
      <c r="J8" s="9" t="s">
        <v>37</v>
      </c>
      <c r="K8" s="12">
        <v>43468</v>
      </c>
    </row>
    <row r="9" spans="1:11">
      <c r="A9" s="10">
        <v>8</v>
      </c>
      <c r="B9" s="9">
        <v>201901</v>
      </c>
      <c r="C9" s="11" t="s">
        <v>54</v>
      </c>
      <c r="D9" s="9" t="s">
        <v>55</v>
      </c>
      <c r="E9" s="9" t="str">
        <f>VLOOKUP(C9,[1]MP!A8:O3776,12,0)</f>
        <v>PRE ASSY MAZDA ATENZA</v>
      </c>
      <c r="F9" s="9" t="str">
        <f>VLOOKUP(C9,[1]MP!A9:O3789,13,0)</f>
        <v>INSP TENSILE</v>
      </c>
      <c r="G9" s="9" t="s">
        <v>35</v>
      </c>
      <c r="H9" s="9" t="s">
        <v>35</v>
      </c>
      <c r="J9" s="9" t="s">
        <v>37</v>
      </c>
      <c r="K9" s="12">
        <v>43468</v>
      </c>
    </row>
    <row r="10" spans="1:11">
      <c r="A10" s="10">
        <v>9</v>
      </c>
      <c r="B10" s="9">
        <v>201901</v>
      </c>
      <c r="C10" s="11" t="s">
        <v>56</v>
      </c>
      <c r="D10" s="9" t="s">
        <v>57</v>
      </c>
      <c r="E10" s="9" t="str">
        <f>VLOOKUP(C10,[1]MP!A9:O3777,12,0)</f>
        <v>PREGNANT LINE</v>
      </c>
      <c r="F10" s="9" t="str">
        <f>VLOOKUP(C10,[1]MP!A10:O3790,13,0)</f>
        <v>INSERT PLUG</v>
      </c>
      <c r="G10" s="9" t="s">
        <v>35</v>
      </c>
      <c r="H10" s="9" t="s">
        <v>35</v>
      </c>
      <c r="I10" s="9" t="s">
        <v>53</v>
      </c>
      <c r="J10" s="9" t="s">
        <v>37</v>
      </c>
      <c r="K10" s="12">
        <v>43468</v>
      </c>
    </row>
    <row r="11" spans="1:11">
      <c r="A11" s="10">
        <v>10</v>
      </c>
      <c r="B11" s="9">
        <v>201901</v>
      </c>
      <c r="C11" s="11" t="s">
        <v>58</v>
      </c>
      <c r="D11" s="9" t="s">
        <v>59</v>
      </c>
      <c r="E11" s="9" t="str">
        <f>VLOOKUP(C11,[1]MP!A11:O3779,12,0)</f>
        <v>PRE ASSY MAZDA ATENZA</v>
      </c>
      <c r="F11" s="9" t="str">
        <f>VLOOKUP(C11,[1]MP!A12:O3792,13,0)</f>
        <v>BM2-MZD-01</v>
      </c>
      <c r="G11" s="9" t="s">
        <v>35</v>
      </c>
      <c r="H11" s="9" t="s">
        <v>35</v>
      </c>
      <c r="I11" s="9" t="s">
        <v>60</v>
      </c>
      <c r="J11" s="9" t="s">
        <v>37</v>
      </c>
      <c r="K11" s="12">
        <v>43468</v>
      </c>
    </row>
    <row r="12" spans="1:11">
      <c r="A12" s="10">
        <v>11</v>
      </c>
      <c r="B12" s="9">
        <v>201901</v>
      </c>
      <c r="C12" s="11" t="s">
        <v>61</v>
      </c>
      <c r="D12" s="9" t="s">
        <v>62</v>
      </c>
      <c r="E12" s="9" t="str">
        <f>VLOOKUP(C12,[1]MP!A12:O3780,12,0)</f>
        <v>QS</v>
      </c>
      <c r="F12" s="9" t="str">
        <f>VLOOKUP(C12,[1]MP!A13:O3793,13,0)</f>
        <v>ADMINISTRATION</v>
      </c>
      <c r="G12" s="9" t="s">
        <v>35</v>
      </c>
      <c r="H12" s="9" t="s">
        <v>35</v>
      </c>
      <c r="I12" s="9" t="s">
        <v>63</v>
      </c>
      <c r="J12" s="9" t="s">
        <v>37</v>
      </c>
      <c r="K12" s="12">
        <v>43468</v>
      </c>
    </row>
    <row r="13" spans="1:11">
      <c r="A13" s="10">
        <v>12</v>
      </c>
      <c r="B13" s="9">
        <v>201901</v>
      </c>
      <c r="C13" s="11" t="s">
        <v>64</v>
      </c>
      <c r="D13" s="9" t="s">
        <v>65</v>
      </c>
      <c r="E13" s="9" t="str">
        <f>VLOOKUP(C13,[1]MP!A13:O3781,12,0)</f>
        <v>L. DOCK</v>
      </c>
      <c r="F13" s="9" t="str">
        <f>VLOOKUP(C13,[1]MP!A14:O3794,13,0)</f>
        <v>L. DOCK</v>
      </c>
      <c r="G13" s="9" t="s">
        <v>35</v>
      </c>
      <c r="H13" s="9" t="s">
        <v>35</v>
      </c>
      <c r="I13" s="9" t="s">
        <v>66</v>
      </c>
      <c r="J13" s="9" t="s">
        <v>37</v>
      </c>
      <c r="K13" s="12">
        <v>43468</v>
      </c>
    </row>
    <row r="14" spans="1:11">
      <c r="A14" s="10">
        <v>13</v>
      </c>
      <c r="B14" s="9">
        <v>201901</v>
      </c>
      <c r="C14" s="11" t="s">
        <v>67</v>
      </c>
      <c r="D14" s="9" t="s">
        <v>68</v>
      </c>
      <c r="E14" s="9" t="str">
        <f>VLOOKUP(C14,[1]MP!A14:O3782,12,0)</f>
        <v>PRE ASSY TOYOTA HV</v>
      </c>
      <c r="F14" s="9" t="str">
        <f>VLOOKUP(C14,[1]MP!A15:O3795,13,0)</f>
        <v>PEMOTONG AMIZEN, RYC-T-01</v>
      </c>
      <c r="G14" s="9" t="s">
        <v>35</v>
      </c>
      <c r="H14" s="9" t="s">
        <v>35</v>
      </c>
      <c r="I14" s="9" t="s">
        <v>69</v>
      </c>
      <c r="J14" s="9" t="s">
        <v>37</v>
      </c>
      <c r="K14" s="12">
        <v>43468</v>
      </c>
    </row>
    <row r="15" spans="1:11">
      <c r="A15" s="10">
        <v>14</v>
      </c>
      <c r="B15" s="9">
        <v>201901</v>
      </c>
      <c r="C15" s="11" t="s">
        <v>70</v>
      </c>
      <c r="D15" s="9" t="s">
        <v>71</v>
      </c>
      <c r="E15" s="9" t="str">
        <f>VLOOKUP(C15,[1]MP!A15:O3783,12,0)</f>
        <v>BUFFER MP SAMI</v>
      </c>
      <c r="F15" s="9" t="str">
        <f>VLOOKUP(C15,[1]MP!A16:O3796,13,0)</f>
        <v>BUFFER MP</v>
      </c>
      <c r="G15" s="9" t="s">
        <v>35</v>
      </c>
      <c r="H15" s="9" t="s">
        <v>35</v>
      </c>
      <c r="I15" s="9" t="s">
        <v>72</v>
      </c>
      <c r="J15" s="9" t="s">
        <v>37</v>
      </c>
      <c r="K15" s="12">
        <v>43468</v>
      </c>
    </row>
    <row r="16" spans="1:11">
      <c r="A16" s="10">
        <v>15</v>
      </c>
      <c r="B16" s="9">
        <v>201901</v>
      </c>
      <c r="C16" s="11" t="s">
        <v>73</v>
      </c>
      <c r="D16" s="9" t="s">
        <v>74</v>
      </c>
      <c r="E16" s="9" t="str">
        <f>VLOOKUP(C16,[1]MP!A16:O3784,12,0)</f>
        <v>BUFFER MP SAMI</v>
      </c>
      <c r="F16" s="9" t="str">
        <f>VLOOKUP(C16,[1]MP!A17:O3797,13,0)</f>
        <v>BUFFER MP</v>
      </c>
      <c r="G16" s="9" t="s">
        <v>35</v>
      </c>
      <c r="H16" s="9" t="s">
        <v>35</v>
      </c>
      <c r="I16" s="9" t="s">
        <v>75</v>
      </c>
      <c r="J16" s="9" t="s">
        <v>37</v>
      </c>
      <c r="K16" s="12">
        <v>43468</v>
      </c>
    </row>
    <row r="17" spans="1:11">
      <c r="A17" s="10">
        <v>16</v>
      </c>
      <c r="B17" s="9">
        <v>201901</v>
      </c>
      <c r="C17" s="11" t="s">
        <v>76</v>
      </c>
      <c r="D17" s="9" t="s">
        <v>77</v>
      </c>
      <c r="E17" s="9" t="str">
        <f>VLOOKUP(C17,[1]MP!A17:O3785,12,0)</f>
        <v>CV 16</v>
      </c>
      <c r="F17" s="9" t="str">
        <f>VLOOKUP(C17,[1]MP!A18:O3798,13,0)</f>
        <v>S/A SP</v>
      </c>
      <c r="G17" s="9" t="s">
        <v>35</v>
      </c>
      <c r="H17" s="9" t="s">
        <v>35</v>
      </c>
      <c r="J17" s="9" t="s">
        <v>37</v>
      </c>
      <c r="K17" s="12">
        <v>43468</v>
      </c>
    </row>
    <row r="18" spans="1:11">
      <c r="A18" s="10">
        <v>17</v>
      </c>
      <c r="B18" s="9">
        <v>201901</v>
      </c>
      <c r="C18" s="11" t="s">
        <v>78</v>
      </c>
      <c r="D18" s="9" t="s">
        <v>79</v>
      </c>
      <c r="E18" s="9" t="str">
        <f>VLOOKUP(C18,[1]MP!A18:O3786,12,0)</f>
        <v>PRE ASSY SUZUKI YW0</v>
      </c>
      <c r="F18" s="9" t="str">
        <f>VLOOKUP(C18,[1]MP!A19:O3799,13,0)</f>
        <v>INSP TENSILE</v>
      </c>
      <c r="G18" s="9" t="s">
        <v>35</v>
      </c>
      <c r="H18" s="9" t="s">
        <v>35</v>
      </c>
      <c r="I18" s="9" t="s">
        <v>80</v>
      </c>
      <c r="J18" s="9" t="s">
        <v>37</v>
      </c>
      <c r="K18" s="12">
        <v>43468</v>
      </c>
    </row>
    <row r="19" spans="1:11">
      <c r="A19" s="10">
        <v>18</v>
      </c>
      <c r="B19" s="9">
        <v>201901</v>
      </c>
      <c r="C19" s="11" t="s">
        <v>81</v>
      </c>
      <c r="D19" s="9" t="s">
        <v>82</v>
      </c>
      <c r="E19" s="9" t="str">
        <f>VLOOKUP(C19,[1]MP!A19:O3787,12,0)</f>
        <v>CV A03</v>
      </c>
      <c r="F19" s="9" t="str">
        <f>VLOOKUP(C19,[1]MP!A20:O3800,13,0)</f>
        <v>-</v>
      </c>
      <c r="G19" s="9" t="s">
        <v>35</v>
      </c>
      <c r="H19" s="9" t="s">
        <v>35</v>
      </c>
      <c r="I19" s="9" t="s">
        <v>53</v>
      </c>
      <c r="J19" s="9" t="s">
        <v>37</v>
      </c>
      <c r="K19" s="12">
        <v>43468</v>
      </c>
    </row>
    <row r="20" spans="1:11">
      <c r="A20" s="10">
        <v>19</v>
      </c>
      <c r="B20" s="9">
        <v>201901</v>
      </c>
      <c r="C20" s="11">
        <v>9987</v>
      </c>
      <c r="D20" s="9" t="s">
        <v>83</v>
      </c>
      <c r="E20" s="9" t="str">
        <f>VLOOKUP(C20,[1]MP!A21:O3789,12,0)</f>
        <v>BUFFER MP SAMI</v>
      </c>
      <c r="F20" s="9" t="str">
        <f>VLOOKUP(C20,[1]MP!A22:O3802,13,0)</f>
        <v>BUFFER MP</v>
      </c>
      <c r="G20" s="9" t="s">
        <v>35</v>
      </c>
      <c r="H20" s="9" t="s">
        <v>35</v>
      </c>
      <c r="I20" s="9" t="s">
        <v>84</v>
      </c>
      <c r="J20" s="9" t="s">
        <v>37</v>
      </c>
      <c r="K20" s="12">
        <v>43468</v>
      </c>
    </row>
    <row r="21" spans="1:11">
      <c r="A21" s="10">
        <v>20</v>
      </c>
      <c r="B21" s="9">
        <v>201901</v>
      </c>
      <c r="C21" s="11">
        <v>9961</v>
      </c>
      <c r="D21" s="9" t="s">
        <v>85</v>
      </c>
      <c r="E21" s="9" t="str">
        <f>VLOOKUP(C21,[1]MP!A22:O3790,12,0)</f>
        <v>PREGNANT LINE</v>
      </c>
      <c r="F21" s="9" t="str">
        <f>VLOOKUP(C21,[1]MP!A23:O3803,13,0)</f>
        <v>INSERT PLUG</v>
      </c>
      <c r="G21" s="9" t="s">
        <v>35</v>
      </c>
      <c r="H21" s="9" t="s">
        <v>35</v>
      </c>
      <c r="I21" s="9" t="s">
        <v>53</v>
      </c>
      <c r="J21" s="9" t="s">
        <v>37</v>
      </c>
      <c r="K21" s="12">
        <v>43468</v>
      </c>
    </row>
    <row r="22" spans="1:11">
      <c r="A22" s="10">
        <v>21</v>
      </c>
      <c r="B22" s="9">
        <v>201901</v>
      </c>
      <c r="C22" s="11">
        <v>9937</v>
      </c>
      <c r="D22" s="9" t="s">
        <v>86</v>
      </c>
      <c r="E22" s="9" t="str">
        <f>VLOOKUP(C22,[1]MP!A23:O3791,12,0)</f>
        <v>CV 14</v>
      </c>
      <c r="F22" s="9" t="str">
        <f>VLOOKUP(C22,[1]MP!A24:O3804,13,0)</f>
        <v>FINAL INSPECTION</v>
      </c>
      <c r="G22" s="9" t="s">
        <v>35</v>
      </c>
      <c r="H22" s="9" t="s">
        <v>35</v>
      </c>
      <c r="I22" s="9" t="s">
        <v>87</v>
      </c>
      <c r="J22" s="9" t="s">
        <v>37</v>
      </c>
      <c r="K22" s="12">
        <v>43468</v>
      </c>
    </row>
    <row r="23" spans="1:11">
      <c r="A23" s="10">
        <v>22</v>
      </c>
      <c r="B23" s="9">
        <v>201901</v>
      </c>
      <c r="C23" s="11">
        <v>9898</v>
      </c>
      <c r="D23" s="9" t="s">
        <v>88</v>
      </c>
      <c r="E23" s="9" t="str">
        <f>VLOOKUP(C23,[1]MP!A24:O3792,12,0)</f>
        <v>PREGNANT LINE</v>
      </c>
      <c r="F23" s="9" t="str">
        <f>VLOOKUP(C23,[1]MP!A25:O3805,13,0)</f>
        <v>INSERT PLUG</v>
      </c>
      <c r="G23" s="9" t="s">
        <v>35</v>
      </c>
      <c r="H23" s="9" t="s">
        <v>35</v>
      </c>
      <c r="I23" s="9" t="s">
        <v>89</v>
      </c>
      <c r="J23" s="9" t="s">
        <v>37</v>
      </c>
      <c r="K23" s="12">
        <v>43468</v>
      </c>
    </row>
    <row r="24" spans="1:11">
      <c r="A24" s="10">
        <v>23</v>
      </c>
      <c r="B24" s="9">
        <v>201901</v>
      </c>
      <c r="C24" s="11">
        <v>9849</v>
      </c>
      <c r="D24" s="9" t="s">
        <v>90</v>
      </c>
      <c r="E24" s="9" t="str">
        <f>VLOOKUP(C24,[1]MP!A25:O3793,12,0)</f>
        <v>BUFFER MP SAMI</v>
      </c>
      <c r="F24" s="9" t="str">
        <f>VLOOKUP(C24,[1]MP!A26:O3806,13,0)</f>
        <v>BUFFER MP</v>
      </c>
      <c r="G24" s="9" t="s">
        <v>35</v>
      </c>
      <c r="H24" s="9" t="s">
        <v>35</v>
      </c>
      <c r="I24" s="9" t="s">
        <v>91</v>
      </c>
      <c r="J24" s="9" t="s">
        <v>37</v>
      </c>
      <c r="K24" s="12">
        <v>43468</v>
      </c>
    </row>
    <row r="25" spans="1:11">
      <c r="A25" s="10">
        <v>24</v>
      </c>
      <c r="B25" s="9">
        <v>201901</v>
      </c>
      <c r="C25" s="11">
        <v>9847</v>
      </c>
      <c r="D25" s="9" t="s">
        <v>92</v>
      </c>
      <c r="E25" s="9" t="str">
        <f>VLOOKUP(C25,[1]MP!A26:O3794,12,0)</f>
        <v>BUFFER MP SAMI</v>
      </c>
      <c r="F25" s="9" t="str">
        <f>VLOOKUP(C25,[1]MP!A27:O3807,13,0)</f>
        <v>BUFFER MP</v>
      </c>
      <c r="G25" s="9" t="s">
        <v>35</v>
      </c>
      <c r="H25" s="9" t="s">
        <v>35</v>
      </c>
      <c r="I25" s="9" t="s">
        <v>93</v>
      </c>
      <c r="J25" s="9" t="s">
        <v>37</v>
      </c>
      <c r="K25" s="12">
        <v>43468</v>
      </c>
    </row>
    <row r="26" spans="1:11">
      <c r="A26" s="10">
        <v>25</v>
      </c>
      <c r="B26" s="9">
        <v>201901</v>
      </c>
      <c r="C26" s="11">
        <v>9786</v>
      </c>
      <c r="D26" s="9" t="s">
        <v>94</v>
      </c>
      <c r="E26" s="9" t="str">
        <f>VLOOKUP(C26,[1]MP!A27:O3795,12,0)</f>
        <v>CBP</v>
      </c>
      <c r="F26" s="9" t="str">
        <f>VLOOKUP(C26,[1]MP!A28:O3808,13,0)</f>
        <v>CHECKER BOARD FABRICATION</v>
      </c>
      <c r="G26" s="9" t="s">
        <v>35</v>
      </c>
      <c r="H26" s="9" t="s">
        <v>35</v>
      </c>
      <c r="I26" s="9" t="s">
        <v>87</v>
      </c>
      <c r="J26" s="9" t="s">
        <v>37</v>
      </c>
      <c r="K26" s="12">
        <v>43468</v>
      </c>
    </row>
    <row r="27" spans="1:11">
      <c r="A27" s="10">
        <v>26</v>
      </c>
      <c r="B27" s="9">
        <v>201901</v>
      </c>
      <c r="C27" s="11">
        <v>9767</v>
      </c>
      <c r="D27" s="9" t="s">
        <v>95</v>
      </c>
      <c r="E27" s="9" t="str">
        <f>VLOOKUP(C27,[1]MP!A28:O3796,12,0)</f>
        <v>BUFFER MP SAMI</v>
      </c>
      <c r="F27" s="9" t="str">
        <f>VLOOKUP(C27,[1]MP!A29:O3809,13,0)</f>
        <v>BUFFER MP</v>
      </c>
      <c r="G27" s="9" t="s">
        <v>35</v>
      </c>
      <c r="H27" s="9" t="s">
        <v>35</v>
      </c>
      <c r="I27" s="9" t="s">
        <v>53</v>
      </c>
      <c r="J27" s="9" t="s">
        <v>37</v>
      </c>
      <c r="K27" s="12">
        <v>43468</v>
      </c>
    </row>
    <row r="28" spans="1:11">
      <c r="A28" s="10">
        <v>27</v>
      </c>
      <c r="B28" s="9">
        <v>201901</v>
      </c>
      <c r="C28" s="11">
        <v>9684</v>
      </c>
      <c r="D28" s="9" t="s">
        <v>96</v>
      </c>
      <c r="E28" s="9" t="str">
        <f>VLOOKUP(C28,[1]MP!A30:O3798,12,0)</f>
        <v>CV 14</v>
      </c>
      <c r="F28" s="9" t="str">
        <f>VLOOKUP(C28,[1]MP!A31:O3811,13,0)</f>
        <v>VISUAL</v>
      </c>
      <c r="G28" s="9" t="s">
        <v>35</v>
      </c>
      <c r="H28" s="9" t="s">
        <v>35</v>
      </c>
      <c r="I28" s="9" t="s">
        <v>87</v>
      </c>
      <c r="J28" s="9" t="s">
        <v>37</v>
      </c>
      <c r="K28" s="12">
        <v>43468</v>
      </c>
    </row>
    <row r="29" spans="1:11">
      <c r="A29" s="10">
        <v>28</v>
      </c>
      <c r="B29" s="9">
        <v>201901</v>
      </c>
      <c r="C29" s="11">
        <v>9667</v>
      </c>
      <c r="D29" s="9" t="s">
        <v>97</v>
      </c>
      <c r="E29" s="9" t="str">
        <f>VLOOKUP(C29,[1]MP!A31:O3799,12,0)</f>
        <v>MTC</v>
      </c>
      <c r="F29" s="9" t="str">
        <f>VLOOKUP(C29,[1]MP!A32:O3812,13,0)</f>
        <v>BREAKDOWN</v>
      </c>
      <c r="G29" s="9" t="s">
        <v>35</v>
      </c>
      <c r="H29" s="9" t="s">
        <v>35</v>
      </c>
      <c r="I29" s="9" t="s">
        <v>87</v>
      </c>
      <c r="J29" s="9" t="s">
        <v>37</v>
      </c>
      <c r="K29" s="12">
        <v>43468</v>
      </c>
    </row>
    <row r="30" spans="1:11">
      <c r="A30" s="10">
        <v>29</v>
      </c>
      <c r="B30" s="9">
        <v>201901</v>
      </c>
      <c r="C30" s="11">
        <v>9563</v>
      </c>
      <c r="D30" s="9" t="s">
        <v>98</v>
      </c>
      <c r="E30" s="9" t="str">
        <f>VLOOKUP(C30,[1]MP!A32:O3800,12,0)</f>
        <v>BUFFER MP SAMI</v>
      </c>
      <c r="F30" s="9" t="str">
        <f>VLOOKUP(C30,[1]MP!A33:O3813,13,0)</f>
        <v>BUFFER MP</v>
      </c>
      <c r="G30" s="9" t="s">
        <v>35</v>
      </c>
      <c r="H30" s="9" t="s">
        <v>35</v>
      </c>
      <c r="I30" s="9" t="s">
        <v>48</v>
      </c>
      <c r="J30" s="9" t="s">
        <v>37</v>
      </c>
      <c r="K30" s="12">
        <v>43468</v>
      </c>
    </row>
    <row r="31" spans="1:11">
      <c r="A31" s="10">
        <v>30</v>
      </c>
      <c r="B31" s="9">
        <v>201901</v>
      </c>
      <c r="C31" s="11">
        <v>9527</v>
      </c>
      <c r="D31" s="9" t="s">
        <v>99</v>
      </c>
      <c r="E31" s="9" t="str">
        <f>VLOOKUP(C31,[1]MP!A34:O3802,12,0)</f>
        <v>CV B01</v>
      </c>
      <c r="F31" s="9" t="str">
        <f>VLOOKUP(C31,[1]MP!A35:O3815,13,0)</f>
        <v>CHECKER</v>
      </c>
      <c r="G31" s="9" t="s">
        <v>35</v>
      </c>
      <c r="H31" s="9" t="s">
        <v>35</v>
      </c>
      <c r="I31" s="9" t="s">
        <v>87</v>
      </c>
      <c r="J31" s="9" t="s">
        <v>37</v>
      </c>
      <c r="K31" s="12">
        <v>43468</v>
      </c>
    </row>
    <row r="32" spans="1:11">
      <c r="A32" s="10">
        <v>31</v>
      </c>
      <c r="B32" s="9">
        <v>201901</v>
      </c>
      <c r="C32" s="11">
        <v>9511</v>
      </c>
      <c r="D32" s="9" t="s">
        <v>100</v>
      </c>
      <c r="E32" s="9" t="str">
        <f>VLOOKUP(C32,[1]MP!A35:O3803,12,0)</f>
        <v>BUFFER MP SAMI</v>
      </c>
      <c r="F32" s="9" t="str">
        <f>VLOOKUP(C32,[1]MP!A36:O3816,13,0)</f>
        <v>BUFFER MP</v>
      </c>
      <c r="G32" s="9" t="s">
        <v>35</v>
      </c>
      <c r="H32" s="9" t="s">
        <v>35</v>
      </c>
      <c r="I32" s="9" t="s">
        <v>87</v>
      </c>
      <c r="J32" s="9" t="s">
        <v>37</v>
      </c>
      <c r="K32" s="12">
        <v>43468</v>
      </c>
    </row>
    <row r="33" spans="1:11">
      <c r="A33" s="10">
        <v>32</v>
      </c>
      <c r="B33" s="9">
        <v>201901</v>
      </c>
      <c r="C33" s="11">
        <v>9486</v>
      </c>
      <c r="D33" s="9" t="s">
        <v>101</v>
      </c>
      <c r="E33" s="9" t="str">
        <f>VLOOKUP(C33,[1]MP!A36:O3804,12,0)</f>
        <v>PREGNANT LINE</v>
      </c>
      <c r="F33" s="9" t="str">
        <f>VLOOKUP(C33,[1]MP!A37:O3817,13,0)</f>
        <v>INSERT PLUG</v>
      </c>
      <c r="G33" s="9" t="s">
        <v>35</v>
      </c>
      <c r="H33" s="9" t="s">
        <v>35</v>
      </c>
      <c r="I33" s="9" t="s">
        <v>87</v>
      </c>
      <c r="J33" s="9" t="s">
        <v>37</v>
      </c>
      <c r="K33" s="12">
        <v>43468</v>
      </c>
    </row>
    <row r="34" spans="1:11">
      <c r="A34" s="10">
        <v>33</v>
      </c>
      <c r="B34" s="9">
        <v>201901</v>
      </c>
      <c r="C34" s="11">
        <v>9478</v>
      </c>
      <c r="D34" s="9" t="s">
        <v>102</v>
      </c>
      <c r="E34" s="9" t="str">
        <f>VLOOKUP(C34,[1]MP!A37:O3805,12,0)</f>
        <v>CV 16</v>
      </c>
      <c r="F34" s="9" t="str">
        <f>VLOOKUP(C34,[1]MP!A38:O3818,13,0)</f>
        <v>VISUAL</v>
      </c>
      <c r="G34" s="9" t="s">
        <v>35</v>
      </c>
      <c r="H34" s="9" t="s">
        <v>35</v>
      </c>
      <c r="I34" s="9" t="s">
        <v>87</v>
      </c>
      <c r="J34" s="9" t="s">
        <v>37</v>
      </c>
      <c r="K34" s="12">
        <v>43468</v>
      </c>
    </row>
    <row r="35" spans="1:11">
      <c r="A35" s="10">
        <v>34</v>
      </c>
      <c r="B35" s="9">
        <v>201901</v>
      </c>
      <c r="C35" s="11">
        <v>9436</v>
      </c>
      <c r="D35" s="9" t="s">
        <v>103</v>
      </c>
      <c r="E35" s="9" t="str">
        <f>VLOOKUP(C35,[1]MP!A38:O3806,12,0)</f>
        <v>CV 14</v>
      </c>
      <c r="F35" s="9" t="str">
        <f>VLOOKUP(C35,[1]MP!A39:O3819,13,0)</f>
        <v>FINAL INSPECTION</v>
      </c>
      <c r="G35" s="9" t="s">
        <v>35</v>
      </c>
      <c r="H35" s="9" t="s">
        <v>35</v>
      </c>
      <c r="I35" s="9" t="s">
        <v>87</v>
      </c>
      <c r="J35" s="9" t="s">
        <v>37</v>
      </c>
      <c r="K35" s="12">
        <v>43468</v>
      </c>
    </row>
    <row r="36" spans="1:11">
      <c r="A36" s="10">
        <v>35</v>
      </c>
      <c r="B36" s="9">
        <v>201901</v>
      </c>
      <c r="C36" s="11">
        <v>939</v>
      </c>
      <c r="D36" s="9" t="s">
        <v>104</v>
      </c>
      <c r="E36" s="9" t="str">
        <f>VLOOKUP(C36,[1]MP!A39:O3807,12,0)</f>
        <v>CUTTING SUZUKI YW0</v>
      </c>
      <c r="F36" s="9" t="str">
        <f>VLOOKUP(C36,[1]MP!A40:O3820,13,0)</f>
        <v>AC90-SZK-01</v>
      </c>
      <c r="G36" s="9" t="s">
        <v>35</v>
      </c>
      <c r="H36" s="9" t="s">
        <v>35</v>
      </c>
      <c r="I36" s="9" t="s">
        <v>53</v>
      </c>
      <c r="J36" s="9" t="s">
        <v>37</v>
      </c>
      <c r="K36" s="12">
        <v>43468</v>
      </c>
    </row>
    <row r="37" spans="1:11">
      <c r="A37" s="10">
        <v>36</v>
      </c>
      <c r="B37" s="9">
        <v>201901</v>
      </c>
      <c r="C37" s="11">
        <v>9320</v>
      </c>
      <c r="D37" s="9" t="s">
        <v>105</v>
      </c>
      <c r="E37" s="9" t="str">
        <f>VLOOKUP(C37,[1]MP!A41:O3809,12,0)</f>
        <v>PRE ASSY HONDA EXPORT 2</v>
      </c>
      <c r="F37" s="9" t="str">
        <f>VLOOKUP(C37,[1]MP!A42:O3822,13,0)</f>
        <v>MC1-HAD-39, 55</v>
      </c>
      <c r="G37" s="9" t="s">
        <v>35</v>
      </c>
      <c r="H37" s="9" t="s">
        <v>35</v>
      </c>
      <c r="I37" s="9" t="s">
        <v>53</v>
      </c>
      <c r="J37" s="9" t="s">
        <v>37</v>
      </c>
      <c r="K37" s="12">
        <v>43468</v>
      </c>
    </row>
    <row r="38" spans="1:11">
      <c r="A38" s="10">
        <v>37</v>
      </c>
      <c r="B38" s="9">
        <v>201901</v>
      </c>
      <c r="C38" s="11">
        <v>9175</v>
      </c>
      <c r="D38" s="9" t="s">
        <v>106</v>
      </c>
      <c r="E38" s="9" t="str">
        <f>VLOOKUP(C38,[1]MP!A43:O3811,12,0)</f>
        <v>BUFFER MP SAMI</v>
      </c>
      <c r="F38" s="9" t="str">
        <f>VLOOKUP(C38,[1]MP!A44:O3824,13,0)</f>
        <v>BUFFER MP</v>
      </c>
      <c r="G38" s="9" t="s">
        <v>35</v>
      </c>
      <c r="H38" s="9" t="s">
        <v>35</v>
      </c>
      <c r="I38" s="9" t="s">
        <v>53</v>
      </c>
      <c r="J38" s="9" t="s">
        <v>37</v>
      </c>
      <c r="K38" s="12">
        <v>43468</v>
      </c>
    </row>
    <row r="39" spans="1:11">
      <c r="A39" s="10">
        <v>38</v>
      </c>
      <c r="B39" s="9">
        <v>201901</v>
      </c>
      <c r="C39" s="11">
        <v>9157</v>
      </c>
      <c r="D39" s="9" t="s">
        <v>107</v>
      </c>
      <c r="E39" s="9" t="str">
        <f>VLOOKUP(C39,[1]MP!A44:O3812,12,0)</f>
        <v>AT HOME</v>
      </c>
      <c r="F39" s="9" t="str">
        <f>VLOOKUP(C39,[1]MP!A45:O3825,13,0)</f>
        <v>CUTI HAMIL</v>
      </c>
      <c r="G39" s="9" t="s">
        <v>35</v>
      </c>
      <c r="H39" s="9" t="s">
        <v>35</v>
      </c>
      <c r="I39" s="9" t="s">
        <v>53</v>
      </c>
      <c r="J39" s="9" t="s">
        <v>37</v>
      </c>
      <c r="K39" s="12">
        <v>43468</v>
      </c>
    </row>
    <row r="40" spans="1:11">
      <c r="A40" s="10">
        <v>39</v>
      </c>
      <c r="B40" s="9">
        <v>201901</v>
      </c>
      <c r="C40" s="11">
        <v>9132</v>
      </c>
      <c r="D40" s="9" t="s">
        <v>108</v>
      </c>
      <c r="E40" s="9" t="str">
        <f>VLOOKUP(C40,[1]MP!A45:O3813,12,0)</f>
        <v>CV 16</v>
      </c>
      <c r="F40" s="9" t="str">
        <f>VLOOKUP(C40,[1]MP!A46:O3826,13,0)</f>
        <v>FINISHING</v>
      </c>
      <c r="G40" s="9" t="s">
        <v>35</v>
      </c>
      <c r="H40" s="9" t="s">
        <v>35</v>
      </c>
      <c r="I40" s="9" t="s">
        <v>87</v>
      </c>
      <c r="J40" s="9" t="s">
        <v>37</v>
      </c>
      <c r="K40" s="12">
        <v>43468</v>
      </c>
    </row>
    <row r="41" spans="1:11">
      <c r="A41" s="10">
        <v>40</v>
      </c>
      <c r="B41" s="9">
        <v>201901</v>
      </c>
      <c r="C41" s="11">
        <v>9095</v>
      </c>
      <c r="D41" s="9" t="s">
        <v>109</v>
      </c>
      <c r="E41" s="9" t="str">
        <f>VLOOKUP(C41,[1]MP!A46:O3814,12,0)</f>
        <v>WHS</v>
      </c>
      <c r="F41" s="9" t="str">
        <f>VLOOKUP(C41,[1]MP!A47:O3827,13,0)</f>
        <v>-</v>
      </c>
      <c r="G41" s="9" t="s">
        <v>35</v>
      </c>
      <c r="H41" s="9" t="s">
        <v>35</v>
      </c>
      <c r="J41" s="9" t="s">
        <v>37</v>
      </c>
      <c r="K41" s="12">
        <v>43468</v>
      </c>
    </row>
    <row r="42" spans="1:11">
      <c r="A42" s="10">
        <v>41</v>
      </c>
      <c r="B42" s="9">
        <v>201901</v>
      </c>
      <c r="C42" s="11">
        <v>9020</v>
      </c>
      <c r="D42" s="9" t="s">
        <v>110</v>
      </c>
      <c r="E42" s="9" t="str">
        <f>VLOOKUP(C42,[1]MP!A47:O3815,12,0)</f>
        <v>CV HV 05</v>
      </c>
      <c r="F42" s="9" t="str">
        <f>VLOOKUP(C42,[1]MP!A48:O3828,13,0)</f>
        <v>CM66</v>
      </c>
      <c r="G42" s="9" t="s">
        <v>35</v>
      </c>
      <c r="H42" s="9" t="s">
        <v>35</v>
      </c>
      <c r="I42" s="9" t="s">
        <v>111</v>
      </c>
      <c r="J42" s="9" t="s">
        <v>37</v>
      </c>
      <c r="K42" s="12">
        <v>43468</v>
      </c>
    </row>
    <row r="43" spans="1:11">
      <c r="A43" s="10">
        <v>42</v>
      </c>
      <c r="B43" s="9">
        <v>201901</v>
      </c>
      <c r="C43" s="11">
        <v>9005</v>
      </c>
      <c r="D43" s="9" t="s">
        <v>112</v>
      </c>
      <c r="E43" s="9" t="str">
        <f>VLOOKUP(C43,[1]MP!A48:O3816,12,0)</f>
        <v>CV 13</v>
      </c>
      <c r="F43" s="9" t="str">
        <f>VLOOKUP(C43,[1]MP!A49:O3829,13,0)</f>
        <v>BATERAY CABLE</v>
      </c>
      <c r="G43" s="9" t="s">
        <v>35</v>
      </c>
      <c r="H43" s="9" t="s">
        <v>35</v>
      </c>
      <c r="I43" s="9" t="s">
        <v>87</v>
      </c>
      <c r="J43" s="9" t="s">
        <v>37</v>
      </c>
      <c r="K43" s="12">
        <v>43468</v>
      </c>
    </row>
    <row r="44" spans="1:11">
      <c r="A44" s="10">
        <v>43</v>
      </c>
      <c r="B44" s="9">
        <v>201901</v>
      </c>
      <c r="C44" s="11">
        <v>900</v>
      </c>
      <c r="D44" s="9" t="s">
        <v>113</v>
      </c>
      <c r="E44" s="9" t="str">
        <f>VLOOKUP(C44,[1]MP!A49:O3817,12,0)</f>
        <v>BUFFER MP SAMI</v>
      </c>
      <c r="F44" s="9" t="str">
        <f>VLOOKUP(C44,[1]MP!A50:O3830,13,0)</f>
        <v>BUFFER MP</v>
      </c>
      <c r="G44" s="9" t="s">
        <v>35</v>
      </c>
      <c r="H44" s="9" t="s">
        <v>35</v>
      </c>
      <c r="I44" s="9" t="s">
        <v>87</v>
      </c>
      <c r="J44" s="9" t="s">
        <v>37</v>
      </c>
      <c r="K44" s="12">
        <v>43468</v>
      </c>
    </row>
    <row r="45" spans="1:11">
      <c r="A45" s="10">
        <v>44</v>
      </c>
      <c r="B45" s="9">
        <v>201901</v>
      </c>
      <c r="C45" s="11">
        <v>8992</v>
      </c>
      <c r="D45" s="9" t="s">
        <v>114</v>
      </c>
      <c r="E45" s="9" t="str">
        <f>VLOOKUP(C45,[1]MP!A50:O3818,12,0)</f>
        <v>BUFFER MP SAMI</v>
      </c>
      <c r="F45" s="9" t="str">
        <f>VLOOKUP(C45,[1]MP!A51:O3831,13,0)</f>
        <v>BUFFER MP</v>
      </c>
      <c r="G45" s="9" t="s">
        <v>35</v>
      </c>
      <c r="H45" s="9" t="s">
        <v>35</v>
      </c>
      <c r="I45" s="9" t="s">
        <v>115</v>
      </c>
      <c r="J45" s="9" t="s">
        <v>37</v>
      </c>
      <c r="K45" s="12">
        <v>43468</v>
      </c>
    </row>
    <row r="46" spans="1:11">
      <c r="A46" s="10">
        <v>45</v>
      </c>
      <c r="B46" s="9">
        <v>201901</v>
      </c>
      <c r="C46" s="11">
        <v>8939</v>
      </c>
      <c r="D46" s="9" t="s">
        <v>116</v>
      </c>
      <c r="E46" s="9" t="str">
        <f>VLOOKUP(C46,[1]MP!A52:O3820,12,0)</f>
        <v>BUFFER MP SAMI</v>
      </c>
      <c r="F46" s="9" t="str">
        <f>VLOOKUP(C46,[1]MP!A53:O3833,13,0)</f>
        <v>BUFFER MP</v>
      </c>
      <c r="G46" s="9" t="s">
        <v>35</v>
      </c>
      <c r="H46" s="9" t="s">
        <v>35</v>
      </c>
      <c r="I46" s="9" t="s">
        <v>53</v>
      </c>
      <c r="J46" s="9" t="s">
        <v>37</v>
      </c>
      <c r="K46" s="12">
        <v>43468</v>
      </c>
    </row>
    <row r="47" spans="1:11">
      <c r="A47" s="10">
        <v>46</v>
      </c>
      <c r="B47" s="9">
        <v>201901</v>
      </c>
      <c r="C47" s="11">
        <v>884</v>
      </c>
      <c r="D47" s="9" t="s">
        <v>117</v>
      </c>
      <c r="E47" s="9" t="str">
        <f>VLOOKUP(C47,[1]MP!A53:O3821,12,0)</f>
        <v>BUFFER MP SAMI</v>
      </c>
      <c r="F47" s="9" t="str">
        <f>VLOOKUP(C47,[1]MP!A54:O3834,13,0)</f>
        <v>BUFFER MP</v>
      </c>
      <c r="G47" s="9" t="s">
        <v>35</v>
      </c>
      <c r="H47" s="9" t="s">
        <v>35</v>
      </c>
      <c r="I47" s="9" t="s">
        <v>53</v>
      </c>
      <c r="J47" s="9" t="s">
        <v>37</v>
      </c>
      <c r="K47" s="12">
        <v>43468</v>
      </c>
    </row>
    <row r="48" spans="1:11">
      <c r="A48" s="10">
        <v>47</v>
      </c>
      <c r="B48" s="9">
        <v>201901</v>
      </c>
      <c r="C48" s="11">
        <v>8834</v>
      </c>
      <c r="D48" s="9" t="s">
        <v>118</v>
      </c>
      <c r="E48" s="9" t="str">
        <f>VLOOKUP(C48,[1]MP!A54:O3822,12,0)</f>
        <v>BUFFER MP SAMI</v>
      </c>
      <c r="F48" s="9" t="str">
        <f>VLOOKUP(C48,[1]MP!A55:O3835,13,0)</f>
        <v>BUFFER MP</v>
      </c>
      <c r="G48" s="9" t="s">
        <v>35</v>
      </c>
      <c r="H48" s="9" t="s">
        <v>35</v>
      </c>
      <c r="I48" s="9" t="s">
        <v>119</v>
      </c>
      <c r="J48" s="9" t="s">
        <v>37</v>
      </c>
      <c r="K48" s="12">
        <v>43481</v>
      </c>
    </row>
    <row r="49" spans="1:11">
      <c r="A49" s="10">
        <v>48</v>
      </c>
      <c r="B49" s="9">
        <v>201901</v>
      </c>
      <c r="C49" s="11">
        <v>8821</v>
      </c>
      <c r="D49" s="9" t="s">
        <v>120</v>
      </c>
      <c r="E49" s="9" t="str">
        <f>VLOOKUP(C49,[1]MP!A55:O3823,12,0)</f>
        <v>BUFFER MP SAMI</v>
      </c>
      <c r="F49" s="9" t="str">
        <f>VLOOKUP(C49,[1]MP!A56:O3836,13,0)</f>
        <v>BUFFER MP</v>
      </c>
      <c r="G49" s="9" t="s">
        <v>35</v>
      </c>
      <c r="H49" s="9" t="s">
        <v>35</v>
      </c>
      <c r="I49" s="9" t="s">
        <v>121</v>
      </c>
      <c r="J49" s="9" t="s">
        <v>37</v>
      </c>
      <c r="K49" s="12">
        <v>43481</v>
      </c>
    </row>
    <row r="50" spans="1:11">
      <c r="A50" s="10">
        <v>49</v>
      </c>
      <c r="B50" s="9">
        <v>201901</v>
      </c>
      <c r="C50" s="11">
        <v>8731</v>
      </c>
      <c r="D50" s="9" t="s">
        <v>122</v>
      </c>
      <c r="E50" s="9" t="str">
        <f>VLOOKUP(C50,[1]MP!A56:O3824,12,0)</f>
        <v>BUFFER MP SAMI</v>
      </c>
      <c r="F50" s="9" t="str">
        <f>VLOOKUP(C50,[1]MP!A57:O3837,13,0)</f>
        <v>BUFFER MP</v>
      </c>
      <c r="G50" s="9" t="s">
        <v>35</v>
      </c>
      <c r="H50" s="9" t="s">
        <v>35</v>
      </c>
      <c r="I50" s="9" t="s">
        <v>123</v>
      </c>
      <c r="J50" s="9" t="s">
        <v>37</v>
      </c>
      <c r="K50" s="12">
        <v>43481</v>
      </c>
    </row>
    <row r="51" spans="1:11">
      <c r="A51" s="10">
        <v>50</v>
      </c>
      <c r="B51" s="9">
        <v>201901</v>
      </c>
      <c r="C51" s="11">
        <v>8727</v>
      </c>
      <c r="D51" s="9" t="s">
        <v>124</v>
      </c>
      <c r="E51" s="9" t="str">
        <f>VLOOKUP(C51,[1]MP!A57:O3825,12,0)</f>
        <v>BUFFER MP SAMI</v>
      </c>
      <c r="F51" s="9" t="str">
        <f>VLOOKUP(C51,[1]MP!A58:O3838,13,0)</f>
        <v>BUFFER MP</v>
      </c>
      <c r="G51" s="9" t="s">
        <v>35</v>
      </c>
      <c r="H51" s="9" t="s">
        <v>35</v>
      </c>
      <c r="I51" s="9" t="s">
        <v>53</v>
      </c>
      <c r="J51" s="9" t="s">
        <v>37</v>
      </c>
      <c r="K51" s="12">
        <v>43468</v>
      </c>
    </row>
    <row r="52" spans="1:11">
      <c r="A52" s="10">
        <v>51</v>
      </c>
      <c r="B52" s="9">
        <v>201901</v>
      </c>
      <c r="C52" s="11">
        <v>8726</v>
      </c>
      <c r="D52" s="9" t="s">
        <v>125</v>
      </c>
      <c r="E52" s="9" t="str">
        <f>VLOOKUP(C52,[1]MP!A58:O3826,12,0)</f>
        <v>CV 14</v>
      </c>
      <c r="F52" s="9" t="str">
        <f>VLOOKUP(C52,[1]MP!A59:O3839,13,0)</f>
        <v>VISUAL</v>
      </c>
      <c r="G52" s="9" t="s">
        <v>35</v>
      </c>
      <c r="H52" s="9" t="s">
        <v>35</v>
      </c>
      <c r="I52" s="9" t="s">
        <v>87</v>
      </c>
      <c r="J52" s="9" t="s">
        <v>37</v>
      </c>
      <c r="K52" s="12">
        <v>43468</v>
      </c>
    </row>
    <row r="53" spans="1:11">
      <c r="A53" s="10">
        <v>52</v>
      </c>
      <c r="B53" s="9">
        <v>201901</v>
      </c>
      <c r="C53" s="11">
        <v>8665</v>
      </c>
      <c r="D53" s="9" t="s">
        <v>126</v>
      </c>
      <c r="E53" s="9" t="str">
        <f>VLOOKUP(C53,[1]MP!A60:O3828,12,0)</f>
        <v>CV 14</v>
      </c>
      <c r="F53" s="9" t="str">
        <f>VLOOKUP(C53,[1]MP!A61:O3841,13,0)</f>
        <v>VISUAL</v>
      </c>
      <c r="G53" s="9" t="s">
        <v>35</v>
      </c>
      <c r="H53" s="9" t="s">
        <v>35</v>
      </c>
      <c r="I53" s="9" t="s">
        <v>87</v>
      </c>
      <c r="J53" s="9" t="s">
        <v>37</v>
      </c>
      <c r="K53" s="12">
        <v>43468</v>
      </c>
    </row>
    <row r="54" spans="1:11">
      <c r="A54" s="10">
        <v>53</v>
      </c>
      <c r="B54" s="9">
        <v>201901</v>
      </c>
      <c r="C54" s="11">
        <v>8663</v>
      </c>
      <c r="D54" s="9" t="s">
        <v>127</v>
      </c>
      <c r="E54" s="9" t="str">
        <f>VLOOKUP(C54,[1]MP!A61:O3829,12,0)</f>
        <v>CV 29A</v>
      </c>
      <c r="F54" s="9" t="str">
        <f>VLOOKUP(C54,[1]MP!A62:O3842,13,0)</f>
        <v>SUB LINE CHO</v>
      </c>
      <c r="G54" s="9" t="s">
        <v>35</v>
      </c>
      <c r="H54" s="9" t="s">
        <v>35</v>
      </c>
      <c r="I54" s="9" t="s">
        <v>128</v>
      </c>
      <c r="J54" s="9" t="s">
        <v>37</v>
      </c>
      <c r="K54" s="12">
        <v>43468</v>
      </c>
    </row>
    <row r="55" spans="1:11">
      <c r="A55" s="10">
        <v>54</v>
      </c>
      <c r="B55" s="9">
        <v>201901</v>
      </c>
      <c r="C55" s="11">
        <v>815</v>
      </c>
      <c r="D55" s="9" t="s">
        <v>129</v>
      </c>
      <c r="E55" s="9" t="str">
        <f>VLOOKUP(C55,[1]MP!A62:O3830,12,0)</f>
        <v>AT HOME</v>
      </c>
      <c r="F55" s="9" t="str">
        <f>VLOOKUP(C55,[1]MP!A63:O3843,13,0)</f>
        <v>CUTI HAMIL</v>
      </c>
      <c r="G55" s="9" t="s">
        <v>35</v>
      </c>
      <c r="H55" s="9" t="s">
        <v>35</v>
      </c>
      <c r="I55" s="9" t="s">
        <v>53</v>
      </c>
      <c r="J55" s="9" t="s">
        <v>37</v>
      </c>
      <c r="K55" s="12">
        <v>43468</v>
      </c>
    </row>
    <row r="56" spans="1:11">
      <c r="A56" s="10">
        <v>55</v>
      </c>
      <c r="B56" s="9">
        <v>201901</v>
      </c>
      <c r="C56" s="11">
        <v>8043</v>
      </c>
      <c r="D56" s="9" t="s">
        <v>130</v>
      </c>
      <c r="E56" s="9" t="str">
        <f>VLOOKUP(C56,[1]MP!A63:O3831,12,0)</f>
        <v>MTC</v>
      </c>
      <c r="F56" s="9" t="str">
        <f>VLOOKUP(C56,[1]MP!A64:O3844,13,0)</f>
        <v>BREAKDOWN</v>
      </c>
      <c r="G56" s="9" t="s">
        <v>35</v>
      </c>
      <c r="H56" s="9" t="s">
        <v>35</v>
      </c>
      <c r="I56" s="9" t="s">
        <v>87</v>
      </c>
      <c r="J56" s="9" t="s">
        <v>37</v>
      </c>
      <c r="K56" s="12">
        <v>43468</v>
      </c>
    </row>
    <row r="57" spans="1:11">
      <c r="A57" s="10">
        <v>56</v>
      </c>
      <c r="B57" s="9">
        <v>201901</v>
      </c>
      <c r="C57" s="11">
        <v>802</v>
      </c>
      <c r="D57" s="9" t="s">
        <v>131</v>
      </c>
      <c r="E57" s="9" t="str">
        <f>VLOOKUP(C57,[1]MP!A64:O3832,12,0)</f>
        <v>CV A04</v>
      </c>
      <c r="F57" s="9" t="str">
        <f>VLOOKUP(C57,[1]MP!A65:O3845,13,0)</f>
        <v>BFT</v>
      </c>
      <c r="G57" s="9" t="s">
        <v>35</v>
      </c>
      <c r="H57" s="9" t="s">
        <v>35</v>
      </c>
      <c r="I57" s="9" t="s">
        <v>87</v>
      </c>
      <c r="J57" s="9" t="s">
        <v>37</v>
      </c>
      <c r="K57" s="12">
        <v>43468</v>
      </c>
    </row>
    <row r="58" spans="1:11">
      <c r="A58" s="10">
        <v>57</v>
      </c>
      <c r="B58" s="9">
        <v>201901</v>
      </c>
      <c r="C58" s="11">
        <v>790</v>
      </c>
      <c r="D58" s="9" t="s">
        <v>132</v>
      </c>
      <c r="E58" s="9" t="str">
        <f>VLOOKUP(C58,[1]MP!A65:O3833,12,0)</f>
        <v>MTC</v>
      </c>
      <c r="F58" s="9" t="str">
        <f>VLOOKUP(C58,[1]MP!A66:O3846,13,0)</f>
        <v>PREPARATION, OVER HOUL, IMPROVEMENT</v>
      </c>
      <c r="G58" s="9" t="s">
        <v>35</v>
      </c>
      <c r="H58" s="9" t="s">
        <v>35</v>
      </c>
      <c r="I58" s="9" t="s">
        <v>87</v>
      </c>
      <c r="J58" s="9" t="s">
        <v>37</v>
      </c>
      <c r="K58" s="12">
        <v>43468</v>
      </c>
    </row>
    <row r="59" spans="1:11">
      <c r="A59" s="10">
        <v>58</v>
      </c>
      <c r="B59" s="9">
        <v>201901</v>
      </c>
      <c r="C59" s="11">
        <v>788</v>
      </c>
      <c r="D59" s="9" t="s">
        <v>133</v>
      </c>
      <c r="E59" s="9" t="str">
        <f>VLOOKUP(C59,[1]MP!A66:O3834,12,0)</f>
        <v>MTC</v>
      </c>
      <c r="F59" s="9" t="str">
        <f>VLOOKUP(C59,[1]MP!A67:O3847,13,0)</f>
        <v>LEADER MTC BREAKDOWN</v>
      </c>
      <c r="G59" s="9" t="s">
        <v>35</v>
      </c>
      <c r="H59" s="9" t="s">
        <v>35</v>
      </c>
      <c r="I59" s="9" t="s">
        <v>87</v>
      </c>
      <c r="J59" s="9" t="s">
        <v>37</v>
      </c>
      <c r="K59" s="12">
        <v>43468</v>
      </c>
    </row>
    <row r="60" spans="1:11">
      <c r="A60" s="10">
        <v>59</v>
      </c>
      <c r="B60" s="9">
        <v>201901</v>
      </c>
      <c r="C60" s="11">
        <v>7788</v>
      </c>
      <c r="D60" s="9" t="s">
        <v>134</v>
      </c>
      <c r="E60" s="9" t="str">
        <f>VLOOKUP(C60,[1]MP!A67:O3835,12,0)</f>
        <v>MTC</v>
      </c>
      <c r="F60" s="9" t="str">
        <f>VLOOKUP(C60,[1]MP!A68:O3848,13,0)</f>
        <v>BREAKDOWN</v>
      </c>
      <c r="G60" s="9" t="s">
        <v>35</v>
      </c>
      <c r="H60" s="9" t="s">
        <v>35</v>
      </c>
      <c r="I60" s="9" t="s">
        <v>135</v>
      </c>
      <c r="J60" s="9" t="s">
        <v>37</v>
      </c>
      <c r="K60" s="12">
        <v>43468</v>
      </c>
    </row>
    <row r="61" spans="1:11">
      <c r="A61" s="10">
        <v>60</v>
      </c>
      <c r="B61" s="9">
        <v>201901</v>
      </c>
      <c r="C61" s="11">
        <v>7558</v>
      </c>
      <c r="D61" s="9" t="s">
        <v>136</v>
      </c>
      <c r="E61" s="9" t="str">
        <f>VLOOKUP(C61,[1]MP!A69:O3837,12,0)</f>
        <v>MTC</v>
      </c>
      <c r="F61" s="9" t="str">
        <f>VLOOKUP(C61,[1]MP!A70:O3850,13,0)</f>
        <v>BREAKDOWN</v>
      </c>
      <c r="G61" s="9" t="s">
        <v>35</v>
      </c>
      <c r="H61" s="9" t="s">
        <v>35</v>
      </c>
      <c r="I61" s="9" t="s">
        <v>87</v>
      </c>
      <c r="J61" s="9" t="s">
        <v>37</v>
      </c>
      <c r="K61" s="12">
        <v>43468</v>
      </c>
    </row>
    <row r="62" spans="1:11">
      <c r="A62" s="10">
        <v>61</v>
      </c>
      <c r="B62" s="9">
        <v>201901</v>
      </c>
      <c r="C62" s="11">
        <v>7260</v>
      </c>
      <c r="D62" s="9" t="s">
        <v>137</v>
      </c>
      <c r="E62" s="9" t="str">
        <f>VLOOKUP(C62,[1]MP!A70:O3838,12,0)</f>
        <v>MTC</v>
      </c>
      <c r="F62" s="9" t="str">
        <f>VLOOKUP(C62,[1]MP!A71:O3851,13,0)</f>
        <v>BREAKDOWN</v>
      </c>
      <c r="G62" s="9" t="s">
        <v>35</v>
      </c>
      <c r="H62" s="9" t="s">
        <v>35</v>
      </c>
      <c r="I62" s="9" t="s">
        <v>87</v>
      </c>
      <c r="J62" s="9" t="s">
        <v>37</v>
      </c>
      <c r="K62" s="12">
        <v>43468</v>
      </c>
    </row>
    <row r="63" spans="1:11">
      <c r="A63" s="10">
        <v>62</v>
      </c>
      <c r="B63" s="9">
        <v>201901</v>
      </c>
      <c r="C63" s="11">
        <v>7079</v>
      </c>
      <c r="D63" s="9" t="s">
        <v>138</v>
      </c>
      <c r="E63" s="9" t="str">
        <f>VLOOKUP(C63,[1]MP!A71:O3839,12,0)</f>
        <v>JCN</v>
      </c>
      <c r="F63" s="9" t="str">
        <f>VLOOKUP(C63,[1]MP!A72:O3852,13,0)</f>
        <v>BREAKDOWN FA</v>
      </c>
      <c r="G63" s="9" t="s">
        <v>35</v>
      </c>
      <c r="H63" s="9" t="s">
        <v>35</v>
      </c>
      <c r="I63" s="9" t="s">
        <v>87</v>
      </c>
      <c r="J63" s="9" t="s">
        <v>37</v>
      </c>
      <c r="K63" s="12">
        <v>43468</v>
      </c>
    </row>
    <row r="64" spans="1:11">
      <c r="A64" s="10">
        <v>63</v>
      </c>
      <c r="B64" s="9">
        <v>201901</v>
      </c>
      <c r="C64" s="11">
        <v>7078</v>
      </c>
      <c r="D64" s="9" t="s">
        <v>139</v>
      </c>
      <c r="E64" s="9" t="str">
        <f>VLOOKUP(C64,[1]MP!A72:O3840,12,0)</f>
        <v>JBP</v>
      </c>
      <c r="F64" s="9" t="str">
        <f>VLOOKUP(C64,[1]MP!A73:O3853,13,0)</f>
        <v>JIG BOARD FABRICATION</v>
      </c>
      <c r="G64" s="9" t="s">
        <v>35</v>
      </c>
      <c r="H64" s="9" t="s">
        <v>35</v>
      </c>
      <c r="J64" s="9" t="s">
        <v>37</v>
      </c>
      <c r="K64" s="12">
        <v>43468</v>
      </c>
    </row>
    <row r="65" spans="1:11">
      <c r="A65" s="10">
        <v>64</v>
      </c>
      <c r="B65" s="9">
        <v>201901</v>
      </c>
      <c r="C65" s="11">
        <v>649</v>
      </c>
      <c r="D65" s="9" t="s">
        <v>140</v>
      </c>
      <c r="E65" s="9" t="str">
        <f>VLOOKUP(C65,[1]MP!A73:O3841,12,0)</f>
        <v>BUFFER MP SAMI</v>
      </c>
      <c r="F65" s="9" t="str">
        <f>VLOOKUP(C65,[1]MP!A74:O3854,13,0)</f>
        <v>BUFFER MP</v>
      </c>
      <c r="G65" s="9" t="s">
        <v>35</v>
      </c>
      <c r="H65" s="9" t="s">
        <v>35</v>
      </c>
      <c r="I65" s="9" t="s">
        <v>141</v>
      </c>
      <c r="J65" s="9" t="s">
        <v>37</v>
      </c>
      <c r="K65" s="12">
        <v>43468</v>
      </c>
    </row>
    <row r="66" spans="1:11">
      <c r="A66" s="10">
        <v>65</v>
      </c>
      <c r="B66" s="9">
        <v>201901</v>
      </c>
      <c r="C66" s="11">
        <v>638</v>
      </c>
      <c r="D66" s="9" t="s">
        <v>142</v>
      </c>
      <c r="E66" s="9" t="str">
        <f>VLOOKUP(C66,[1]MP!A74:O3842,12,0)</f>
        <v>PRE ASSY HINO DYNA</v>
      </c>
      <c r="F66" s="9" t="str">
        <f>VLOOKUP(C66,[1]MP!A75:O3855,13,0)</f>
        <v>BM1-HIN-01</v>
      </c>
      <c r="G66" s="9" t="s">
        <v>35</v>
      </c>
      <c r="H66" s="9" t="s">
        <v>35</v>
      </c>
      <c r="I66" s="9" t="s">
        <v>111</v>
      </c>
      <c r="J66" s="9" t="s">
        <v>37</v>
      </c>
      <c r="K66" s="12">
        <v>43468</v>
      </c>
    </row>
    <row r="67" spans="1:11">
      <c r="A67" s="10">
        <v>66</v>
      </c>
      <c r="B67" s="9">
        <v>201901</v>
      </c>
      <c r="C67" s="11">
        <v>6364</v>
      </c>
      <c r="D67" s="9" t="s">
        <v>143</v>
      </c>
      <c r="E67" s="9" t="str">
        <f>VLOOKUP(C67,[1]MP!A75:O3843,12,0)</f>
        <v>PRE ASSY TOYOTA HV</v>
      </c>
      <c r="F67" s="9" t="str">
        <f>VLOOKUP(C67,[1]MP!A76:O3856,13,0)</f>
        <v>BM3-T-01, US-T-01, ARR-T-01</v>
      </c>
      <c r="G67" s="9" t="s">
        <v>35</v>
      </c>
      <c r="H67" s="9" t="s">
        <v>35</v>
      </c>
      <c r="I67" s="9" t="s">
        <v>87</v>
      </c>
      <c r="J67" s="9" t="s">
        <v>37</v>
      </c>
      <c r="K67" s="12">
        <v>43468</v>
      </c>
    </row>
    <row r="68" spans="1:11">
      <c r="A68" s="10">
        <v>67</v>
      </c>
      <c r="B68" s="9">
        <v>201901</v>
      </c>
      <c r="C68" s="11">
        <v>6196</v>
      </c>
      <c r="D68" s="9" t="s">
        <v>144</v>
      </c>
      <c r="E68" s="9" t="str">
        <f>VLOOKUP(C68,[1]MP!A76:O3844,12,0)</f>
        <v>CV HV 05</v>
      </c>
      <c r="F68" s="9" t="str">
        <f>VLOOKUP(C68,[1]MP!A77:O3857,13,0)</f>
        <v>PEMBERSIH MIXER NOZZLE</v>
      </c>
      <c r="G68" s="9" t="s">
        <v>35</v>
      </c>
      <c r="H68" s="9" t="s">
        <v>35</v>
      </c>
      <c r="I68" s="9" t="s">
        <v>145</v>
      </c>
      <c r="J68" s="9" t="s">
        <v>37</v>
      </c>
      <c r="K68" s="12">
        <v>43468</v>
      </c>
    </row>
    <row r="69" spans="1:11">
      <c r="A69" s="10">
        <v>68</v>
      </c>
      <c r="B69" s="9">
        <v>201901</v>
      </c>
      <c r="C69" s="11">
        <v>6193</v>
      </c>
      <c r="D69" s="9" t="s">
        <v>146</v>
      </c>
      <c r="E69" s="9" t="str">
        <f>VLOOKUP(C69,[1]MP!A77:O3845,12,0)</f>
        <v>WORKSHOP</v>
      </c>
      <c r="F69" s="9" t="str">
        <f>VLOOKUP(C69,[1]MP!A78:O3858,13,0)</f>
        <v>Production Request ( PPW )</v>
      </c>
      <c r="G69" s="9" t="s">
        <v>35</v>
      </c>
      <c r="H69" s="9" t="s">
        <v>35</v>
      </c>
      <c r="I69" s="9" t="s">
        <v>87</v>
      </c>
      <c r="J69" s="9" t="s">
        <v>37</v>
      </c>
      <c r="K69" s="12">
        <v>43468</v>
      </c>
    </row>
    <row r="70" spans="1:11">
      <c r="A70" s="10">
        <v>69</v>
      </c>
      <c r="B70" s="9">
        <v>201901</v>
      </c>
      <c r="C70" s="11">
        <v>6181</v>
      </c>
      <c r="D70" s="9" t="s">
        <v>147</v>
      </c>
      <c r="E70" s="9" t="str">
        <f>VLOOKUP(C70,[1]MP!A78:O3846,12,0)</f>
        <v>WHS</v>
      </c>
      <c r="F70" s="9" t="str">
        <f>VLOOKUP(C70,[1]MP!A79:O3859,13,0)</f>
        <v>UNLOADING</v>
      </c>
      <c r="G70" s="9" t="s">
        <v>35</v>
      </c>
      <c r="H70" s="9" t="s">
        <v>35</v>
      </c>
      <c r="J70" s="9" t="s">
        <v>37</v>
      </c>
      <c r="K70" s="12">
        <v>43468</v>
      </c>
    </row>
    <row r="71" spans="1:11">
      <c r="A71" s="10">
        <v>70</v>
      </c>
      <c r="B71" s="9">
        <v>201901</v>
      </c>
      <c r="C71" s="11">
        <v>6180</v>
      </c>
      <c r="D71" s="9" t="s">
        <v>148</v>
      </c>
      <c r="E71" s="9" t="str">
        <f>VLOOKUP(C71,[1]MP!A79:O3847,12,0)</f>
        <v>CV HV 05</v>
      </c>
      <c r="F71" s="9" t="str">
        <f>VLOOKUP(C71,[1]MP!A80:O3860,13,0)</f>
        <v>LQC</v>
      </c>
      <c r="G71" s="9" t="s">
        <v>35</v>
      </c>
      <c r="H71" s="9" t="s">
        <v>35</v>
      </c>
      <c r="I71" s="9" t="s">
        <v>87</v>
      </c>
      <c r="J71" s="9" t="s">
        <v>37</v>
      </c>
      <c r="K71" s="12">
        <v>43468</v>
      </c>
    </row>
    <row r="72" spans="1:11">
      <c r="A72" s="10">
        <v>71</v>
      </c>
      <c r="B72" s="9">
        <v>201901</v>
      </c>
      <c r="C72" s="11">
        <v>6177</v>
      </c>
      <c r="D72" s="9" t="s">
        <v>149</v>
      </c>
      <c r="E72" s="9" t="str">
        <f>VLOOKUP(C72,[1]MP!A80:O3848,12,0)</f>
        <v>L. DOCK</v>
      </c>
      <c r="F72" s="9" t="str">
        <f>VLOOKUP(C72,[1]MP!A81:O3861,13,0)</f>
        <v>GL</v>
      </c>
      <c r="G72" s="9" t="s">
        <v>35</v>
      </c>
      <c r="H72" s="9" t="s">
        <v>35</v>
      </c>
      <c r="I72" s="9" t="s">
        <v>150</v>
      </c>
      <c r="J72" s="9" t="s">
        <v>37</v>
      </c>
      <c r="K72" s="12">
        <v>43468</v>
      </c>
    </row>
    <row r="73" spans="1:11">
      <c r="A73" s="10">
        <v>72</v>
      </c>
      <c r="B73" s="9">
        <v>201901</v>
      </c>
      <c r="C73" s="11">
        <v>6150</v>
      </c>
      <c r="D73" s="9" t="s">
        <v>151</v>
      </c>
      <c r="E73" s="9" t="str">
        <f>VLOOKUP(C73,[1]MP!A82:O3850,12,0)</f>
        <v>PROTOTYPE-3</v>
      </c>
      <c r="F73" s="9" t="str">
        <f>VLOOKUP(C73,[1]MP!A83:O3863,13,0)</f>
        <v>GL INSP.</v>
      </c>
      <c r="G73" s="9" t="s">
        <v>35</v>
      </c>
      <c r="H73" s="9" t="s">
        <v>35</v>
      </c>
      <c r="I73" s="9" t="s">
        <v>53</v>
      </c>
      <c r="J73" s="9" t="s">
        <v>37</v>
      </c>
      <c r="K73" s="12">
        <v>43468</v>
      </c>
    </row>
    <row r="74" spans="1:11">
      <c r="A74" s="10">
        <v>73</v>
      </c>
      <c r="B74" s="9">
        <v>201901</v>
      </c>
      <c r="C74" s="11">
        <v>6118</v>
      </c>
      <c r="D74" s="9" t="s">
        <v>152</v>
      </c>
      <c r="E74" s="9" t="str">
        <f>VLOOKUP(C74,[1]MP!A83:O3851,12,0)</f>
        <v>MTC</v>
      </c>
      <c r="F74" s="9" t="str">
        <f>VLOOKUP(C74,[1]MP!A84:O3864,13,0)</f>
        <v>LEADER CONTROL PREVENTIV PC</v>
      </c>
      <c r="G74" s="9" t="s">
        <v>35</v>
      </c>
      <c r="H74" s="9" t="s">
        <v>35</v>
      </c>
      <c r="J74" s="9" t="s">
        <v>37</v>
      </c>
      <c r="K74" s="12">
        <v>43468</v>
      </c>
    </row>
    <row r="75" spans="1:11">
      <c r="A75" s="10">
        <v>74</v>
      </c>
      <c r="B75" s="9">
        <v>201901</v>
      </c>
      <c r="C75" s="11">
        <v>6116</v>
      </c>
      <c r="D75" s="9" t="s">
        <v>134</v>
      </c>
      <c r="E75" s="9" t="str">
        <f>VLOOKUP(C75,[1]MP!A84:O3852,12,0)</f>
        <v>WORKSHOP</v>
      </c>
      <c r="F75" s="9" t="str">
        <f>VLOOKUP(C75,[1]MP!A85:O3865,13,0)</f>
        <v>-</v>
      </c>
      <c r="G75" s="9" t="s">
        <v>35</v>
      </c>
      <c r="H75" s="9" t="s">
        <v>35</v>
      </c>
      <c r="J75" s="9" t="s">
        <v>37</v>
      </c>
      <c r="K75" s="12">
        <v>43468</v>
      </c>
    </row>
    <row r="76" spans="1:11">
      <c r="A76" s="10">
        <v>75</v>
      </c>
      <c r="B76" s="9">
        <v>201901</v>
      </c>
      <c r="C76" s="11">
        <v>6110</v>
      </c>
      <c r="D76" s="9" t="s">
        <v>153</v>
      </c>
      <c r="E76" s="9" t="str">
        <f>VLOOKUP(C76,[1]MP!A2:O3910,12,0)</f>
        <v>SHE</v>
      </c>
      <c r="F76" s="9" t="str">
        <f>VLOOKUP(C76,[1]MP!A2:O3769,13,0)</f>
        <v>BUILDING MAINTENANCE</v>
      </c>
      <c r="G76" s="9" t="s">
        <v>35</v>
      </c>
      <c r="H76" s="9" t="s">
        <v>35</v>
      </c>
      <c r="I76" s="9" t="s">
        <v>87</v>
      </c>
      <c r="J76" s="9" t="s">
        <v>37</v>
      </c>
      <c r="K76" s="12">
        <v>43468</v>
      </c>
    </row>
    <row r="77" spans="1:11">
      <c r="A77" s="10">
        <v>76</v>
      </c>
      <c r="B77" s="9">
        <v>201901</v>
      </c>
      <c r="C77" s="11">
        <v>610</v>
      </c>
      <c r="D77" s="9" t="s">
        <v>154</v>
      </c>
      <c r="E77" s="9" t="str">
        <f>VLOOKUP(C77,[1]MP!A4:O3912,12,0)</f>
        <v>BUFFER MP SAMI</v>
      </c>
      <c r="F77" s="9" t="str">
        <f>VLOOKUP(C77,[1]MP!A4:O3771,13,0)</f>
        <v>BUFFER MP</v>
      </c>
      <c r="G77" s="9" t="s">
        <v>35</v>
      </c>
      <c r="H77" s="9" t="s">
        <v>35</v>
      </c>
      <c r="I77" s="9" t="s">
        <v>53</v>
      </c>
      <c r="J77" s="9" t="s">
        <v>37</v>
      </c>
      <c r="K77" s="12">
        <v>43468</v>
      </c>
    </row>
    <row r="78" spans="1:11">
      <c r="A78" s="10">
        <v>77</v>
      </c>
      <c r="B78" s="9">
        <v>201901</v>
      </c>
      <c r="C78" s="11">
        <v>6096</v>
      </c>
      <c r="D78" s="9" t="s">
        <v>155</v>
      </c>
      <c r="E78" s="9" t="str">
        <f>VLOOKUP(C78,[1]MP!A6:O3914,12,0)</f>
        <v>GA</v>
      </c>
      <c r="F78" s="9" t="str">
        <f>VLOOKUP(C78,[1]MP!A6:O3773,13,0)</f>
        <v>BUILDING MAINTENANCE</v>
      </c>
      <c r="G78" s="9" t="s">
        <v>35</v>
      </c>
      <c r="H78" s="9" t="s">
        <v>35</v>
      </c>
      <c r="J78" s="9" t="s">
        <v>37</v>
      </c>
      <c r="K78" s="12">
        <v>43468</v>
      </c>
    </row>
    <row r="79" spans="1:11">
      <c r="A79" s="10">
        <v>78</v>
      </c>
      <c r="B79" s="9">
        <v>201901</v>
      </c>
      <c r="C79" s="11">
        <v>6088</v>
      </c>
      <c r="D79" s="9" t="s">
        <v>156</v>
      </c>
      <c r="E79" s="9" t="str">
        <f>VLOOKUP(C79,[1]MP!A7:O3915,12,0)</f>
        <v>CV 19</v>
      </c>
      <c r="F79" s="9" t="str">
        <f>VLOOKUP(C79,[1]MP!A7:O3774,13,0)</f>
        <v>FINAL INSPECTION</v>
      </c>
      <c r="G79" s="9" t="s">
        <v>35</v>
      </c>
      <c r="H79" s="9" t="s">
        <v>35</v>
      </c>
      <c r="I79" s="9" t="s">
        <v>87</v>
      </c>
      <c r="J79" s="9" t="s">
        <v>37</v>
      </c>
      <c r="K79" s="12">
        <v>43468</v>
      </c>
    </row>
    <row r="80" spans="1:11">
      <c r="A80" s="10">
        <v>79</v>
      </c>
      <c r="B80" s="9">
        <v>201901</v>
      </c>
      <c r="C80" s="11">
        <v>6072</v>
      </c>
      <c r="D80" s="9" t="s">
        <v>157</v>
      </c>
      <c r="E80" s="9" t="str">
        <f>VLOOKUP(C80,[1]MP!A9:O3917,12,0)</f>
        <v>WHS</v>
      </c>
      <c r="F80" s="9" t="str">
        <f>VLOOKUP(C80,[1]MP!A9:O3776,13,0)</f>
        <v>GL WHS</v>
      </c>
      <c r="G80" s="9" t="s">
        <v>35</v>
      </c>
      <c r="H80" s="9" t="s">
        <v>35</v>
      </c>
      <c r="J80" s="9" t="s">
        <v>37</v>
      </c>
      <c r="K80" s="12">
        <v>43468</v>
      </c>
    </row>
    <row r="81" spans="1:11">
      <c r="A81" s="10">
        <v>80</v>
      </c>
      <c r="B81" s="9">
        <v>201901</v>
      </c>
      <c r="C81" s="11">
        <v>6047</v>
      </c>
      <c r="D81" s="9" t="s">
        <v>158</v>
      </c>
      <c r="E81" s="9" t="str">
        <f>VLOOKUP(C81,[1]MP!A10:O3918,12,0)</f>
        <v>BUFFER MP SAMI</v>
      </c>
      <c r="F81" s="9" t="str">
        <f>VLOOKUP(C81,[1]MP!A10:O3777,13,0)</f>
        <v>BUFFER MP</v>
      </c>
      <c r="G81" s="9" t="s">
        <v>35</v>
      </c>
      <c r="H81" s="9" t="s">
        <v>35</v>
      </c>
      <c r="I81" s="9" t="s">
        <v>159</v>
      </c>
      <c r="J81" s="9" t="s">
        <v>37</v>
      </c>
      <c r="K81" s="12">
        <v>43468</v>
      </c>
    </row>
    <row r="82" spans="1:11">
      <c r="A82" s="10">
        <v>81</v>
      </c>
      <c r="B82" s="9">
        <v>201901</v>
      </c>
      <c r="C82" s="11">
        <v>6029</v>
      </c>
      <c r="D82" s="9" t="s">
        <v>160</v>
      </c>
      <c r="E82" s="9" t="str">
        <f>VLOOKUP(C82,[1]MP!A11:O3919,12,0)</f>
        <v>WHS</v>
      </c>
      <c r="F82" s="9" t="str">
        <f>VLOOKUP(C82,[1]MP!A11:O3778,13,0)</f>
        <v>GL WHS</v>
      </c>
      <c r="G82" s="9" t="s">
        <v>35</v>
      </c>
      <c r="H82" s="9" t="s">
        <v>35</v>
      </c>
      <c r="J82" s="9" t="s">
        <v>37</v>
      </c>
      <c r="K82" s="12">
        <v>43468</v>
      </c>
    </row>
    <row r="83" spans="1:11">
      <c r="A83" s="10">
        <v>82</v>
      </c>
      <c r="B83" s="9">
        <v>201901</v>
      </c>
      <c r="C83" s="11">
        <v>5972</v>
      </c>
      <c r="D83" s="9" t="s">
        <v>161</v>
      </c>
      <c r="E83" s="9" t="str">
        <f>VLOOKUP(C83,[1]MP!A12:O3920,12,0)</f>
        <v>MTC</v>
      </c>
      <c r="F83" s="9" t="str">
        <f>VLOOKUP(C83,[1]MP!A12:O3779,13,0)</f>
        <v>BREAKDOWN</v>
      </c>
      <c r="G83" s="9" t="s">
        <v>35</v>
      </c>
      <c r="H83" s="9" t="s">
        <v>35</v>
      </c>
      <c r="I83" s="9" t="s">
        <v>87</v>
      </c>
      <c r="J83" s="9" t="s">
        <v>37</v>
      </c>
      <c r="K83" s="12">
        <v>43468</v>
      </c>
    </row>
    <row r="84" spans="1:11">
      <c r="A84" s="10">
        <v>83</v>
      </c>
      <c r="B84" s="9">
        <v>201901</v>
      </c>
      <c r="C84" s="11">
        <v>5967</v>
      </c>
      <c r="D84" s="9" t="s">
        <v>162</v>
      </c>
      <c r="E84" s="9" t="str">
        <f>VLOOKUP(C84,[1]MP!A13:O3921,12,0)</f>
        <v>MTC</v>
      </c>
      <c r="F84" s="9" t="str">
        <f>VLOOKUP(C84,[1]MP!A13:O3780,13,0)</f>
        <v>BREAKDOWN</v>
      </c>
      <c r="G84" s="9" t="s">
        <v>35</v>
      </c>
      <c r="H84" s="9" t="s">
        <v>35</v>
      </c>
      <c r="I84" s="9" t="s">
        <v>87</v>
      </c>
      <c r="J84" s="9" t="s">
        <v>37</v>
      </c>
      <c r="K84" s="12">
        <v>43468</v>
      </c>
    </row>
    <row r="85" spans="1:11">
      <c r="A85" s="10">
        <v>84</v>
      </c>
      <c r="B85" s="9">
        <v>201901</v>
      </c>
      <c r="C85" s="11">
        <v>5965</v>
      </c>
      <c r="D85" s="9" t="s">
        <v>163</v>
      </c>
      <c r="E85" s="9" t="str">
        <f>VLOOKUP(C85,[1]MP!A14:O3922,12,0)</f>
        <v>CV A04</v>
      </c>
      <c r="F85" s="9" t="str">
        <f>VLOOKUP(C85,[1]MP!A14:O3781,13,0)</f>
        <v>VISUAL 3</v>
      </c>
      <c r="G85" s="9" t="s">
        <v>35</v>
      </c>
      <c r="H85" s="9" t="s">
        <v>35</v>
      </c>
      <c r="I85" s="9" t="s">
        <v>87</v>
      </c>
      <c r="J85" s="9" t="s">
        <v>37</v>
      </c>
      <c r="K85" s="12">
        <v>43468</v>
      </c>
    </row>
    <row r="86" spans="1:11">
      <c r="A86" s="10">
        <v>85</v>
      </c>
      <c r="B86" s="9">
        <v>201901</v>
      </c>
      <c r="C86" s="11">
        <v>5940</v>
      </c>
      <c r="D86" s="9" t="s">
        <v>164</v>
      </c>
      <c r="E86" s="9" t="str">
        <f>VLOOKUP(C86,[1]MP!A15:O3923,12,0)</f>
        <v>OTHERS ( TRAINER )</v>
      </c>
      <c r="F86" s="9" t="str">
        <f>VLOOKUP(C86,[1]MP!A15:O3782,13,0)</f>
        <v>OTHERS ( TRAINER )</v>
      </c>
      <c r="G86" s="9" t="s">
        <v>35</v>
      </c>
      <c r="H86" s="9" t="s">
        <v>35</v>
      </c>
      <c r="I86" s="9" t="s">
        <v>53</v>
      </c>
      <c r="J86" s="9" t="s">
        <v>37</v>
      </c>
      <c r="K86" s="12">
        <v>43468</v>
      </c>
    </row>
    <row r="87" spans="1:11">
      <c r="A87" s="10">
        <v>86</v>
      </c>
      <c r="B87" s="9">
        <v>201901</v>
      </c>
      <c r="C87" s="11">
        <v>5905</v>
      </c>
      <c r="D87" s="9" t="s">
        <v>165</v>
      </c>
      <c r="E87" s="9" t="str">
        <f>VLOOKUP(C87,[1]MP!A17:O3925,12,0)</f>
        <v>WHS</v>
      </c>
      <c r="F87" s="9" t="str">
        <f>VLOOKUP(C87,[1]MP!A17:O3784,13,0)</f>
        <v>-</v>
      </c>
      <c r="G87" s="9" t="s">
        <v>35</v>
      </c>
      <c r="H87" s="9" t="s">
        <v>35</v>
      </c>
      <c r="J87" s="9" t="s">
        <v>37</v>
      </c>
      <c r="K87" s="12">
        <v>43468</v>
      </c>
    </row>
    <row r="88" spans="1:11">
      <c r="A88" s="10">
        <v>87</v>
      </c>
      <c r="B88" s="9">
        <v>201901</v>
      </c>
      <c r="C88" s="11">
        <v>5887</v>
      </c>
      <c r="D88" s="9" t="s">
        <v>166</v>
      </c>
      <c r="E88" s="9" t="str">
        <f>VLOOKUP(C88,[1]MP!A18:O3926,12,0)</f>
        <v>PROTOTYPE-3</v>
      </c>
      <c r="F88" s="9" t="str">
        <f>VLOOKUP(C88,[1]MP!A18:O3785,13,0)</f>
        <v>GL ASSEMBLY</v>
      </c>
      <c r="G88" s="9" t="s">
        <v>35</v>
      </c>
      <c r="H88" s="9" t="s">
        <v>35</v>
      </c>
      <c r="I88" s="9" t="s">
        <v>53</v>
      </c>
      <c r="J88" s="9" t="s">
        <v>37</v>
      </c>
      <c r="K88" s="12">
        <v>43468</v>
      </c>
    </row>
    <row r="89" spans="1:11">
      <c r="A89" s="10">
        <v>88</v>
      </c>
      <c r="B89" s="9">
        <v>201901</v>
      </c>
      <c r="C89" s="11">
        <v>585</v>
      </c>
      <c r="D89" s="9" t="s">
        <v>167</v>
      </c>
      <c r="E89" s="9" t="str">
        <f>VLOOKUP(C89,[1]MP!A19:O3927,12,0)</f>
        <v>L. DOCK</v>
      </c>
      <c r="F89" s="9" t="str">
        <f>VLOOKUP(C89,[1]MP!A19:O3786,13,0)</f>
        <v>L. DOCK</v>
      </c>
      <c r="G89" s="9" t="s">
        <v>35</v>
      </c>
      <c r="H89" s="9" t="s">
        <v>35</v>
      </c>
      <c r="I89" s="9" t="s">
        <v>150</v>
      </c>
      <c r="J89" s="9" t="s">
        <v>37</v>
      </c>
      <c r="K89" s="12">
        <v>43468</v>
      </c>
    </row>
    <row r="90" spans="1:11">
      <c r="A90" s="10">
        <v>89</v>
      </c>
      <c r="B90" s="9">
        <v>201901</v>
      </c>
      <c r="C90" s="11">
        <v>5801</v>
      </c>
      <c r="D90" s="9" t="s">
        <v>168</v>
      </c>
      <c r="E90" s="9" t="str">
        <f>VLOOKUP(C90,[1]MP!A20:O3928,12,0)</f>
        <v>BUFFER MP SAMI</v>
      </c>
      <c r="F90" s="9" t="str">
        <f>VLOOKUP(C90,[1]MP!A20:O3787,13,0)</f>
        <v>BUFFER MP</v>
      </c>
      <c r="G90" s="9" t="s">
        <v>35</v>
      </c>
      <c r="H90" s="9" t="s">
        <v>35</v>
      </c>
      <c r="I90" s="9" t="s">
        <v>169</v>
      </c>
      <c r="J90" s="9" t="s">
        <v>37</v>
      </c>
      <c r="K90" s="12">
        <v>43468</v>
      </c>
    </row>
    <row r="91" spans="1:11">
      <c r="A91" s="10">
        <v>90</v>
      </c>
      <c r="B91" s="9">
        <v>201901</v>
      </c>
      <c r="C91" s="11">
        <v>5754</v>
      </c>
      <c r="D91" s="9" t="s">
        <v>170</v>
      </c>
      <c r="E91" s="9" t="str">
        <f>VLOOKUP(C91,[1]MP!A21:O3929,12,0)</f>
        <v>NIP</v>
      </c>
      <c r="F91" s="9" t="str">
        <f>VLOOKUP(C91,[1]MP!A21:O3788,13,0)</f>
        <v>Inspection Board (Fabr,Programer,Prev,Breakdown)</v>
      </c>
      <c r="G91" s="9" t="s">
        <v>35</v>
      </c>
      <c r="H91" s="9" t="s">
        <v>35</v>
      </c>
      <c r="J91" s="9" t="s">
        <v>37</v>
      </c>
      <c r="K91" s="12">
        <v>43468</v>
      </c>
    </row>
    <row r="92" spans="1:11">
      <c r="A92" s="10">
        <v>91</v>
      </c>
      <c r="B92" s="9">
        <v>201901</v>
      </c>
      <c r="C92" s="11">
        <v>5743</v>
      </c>
      <c r="D92" s="9" t="s">
        <v>171</v>
      </c>
      <c r="E92" s="9" t="str">
        <f>VLOOKUP(C92,[1]MP!A22:O3930,12,0)</f>
        <v>WHS</v>
      </c>
      <c r="F92" s="9" t="str">
        <f>VLOOKUP(C92,[1]MP!A22:O3789,13,0)</f>
        <v>ADM C/M AS SAMI</v>
      </c>
      <c r="G92" s="9" t="s">
        <v>35</v>
      </c>
      <c r="H92" s="9" t="s">
        <v>35</v>
      </c>
      <c r="J92" s="9" t="s">
        <v>37</v>
      </c>
      <c r="K92" s="12">
        <v>43468</v>
      </c>
    </row>
    <row r="93" spans="1:11">
      <c r="A93" s="10">
        <v>92</v>
      </c>
      <c r="B93" s="9">
        <v>201901</v>
      </c>
      <c r="C93" s="11">
        <v>5742</v>
      </c>
      <c r="D93" s="9" t="s">
        <v>172</v>
      </c>
      <c r="E93" s="9" t="str">
        <f>VLOOKUP(C93,[1]MP!A23:O3931,12,0)</f>
        <v>BUFFER MP SAMI</v>
      </c>
      <c r="F93" s="9" t="str">
        <f>VLOOKUP(C93,[1]MP!A23:O3790,13,0)</f>
        <v>BUFFER MP</v>
      </c>
      <c r="G93" s="9" t="s">
        <v>35</v>
      </c>
      <c r="H93" s="9" t="s">
        <v>35</v>
      </c>
      <c r="I93" s="9" t="s">
        <v>173</v>
      </c>
      <c r="J93" s="9" t="s">
        <v>37</v>
      </c>
      <c r="K93" s="12">
        <v>43468</v>
      </c>
    </row>
    <row r="94" spans="1:11">
      <c r="A94" s="10">
        <v>93</v>
      </c>
      <c r="B94" s="9">
        <v>201901</v>
      </c>
      <c r="C94" s="11">
        <v>5738</v>
      </c>
      <c r="D94" s="9" t="s">
        <v>174</v>
      </c>
      <c r="E94" s="9" t="str">
        <f>VLOOKUP(C94,[1]MP!A25:O3933,12,0)</f>
        <v>OTHERS ( CUTTING PROJECT )</v>
      </c>
      <c r="F94" s="9" t="str">
        <f>VLOOKUP(C94,[1]MP!A25:O3792,13,0)</f>
        <v>CUTTING IMPROVEMENT &amp; ANALISA WIRE LOSS</v>
      </c>
      <c r="G94" s="9" t="s">
        <v>35</v>
      </c>
      <c r="H94" s="9" t="s">
        <v>35</v>
      </c>
      <c r="I94" s="9" t="s">
        <v>53</v>
      </c>
      <c r="J94" s="9" t="s">
        <v>37</v>
      </c>
      <c r="K94" s="12">
        <v>43468</v>
      </c>
    </row>
    <row r="95" spans="1:11">
      <c r="A95" s="10">
        <v>94</v>
      </c>
      <c r="B95" s="9">
        <v>201901</v>
      </c>
      <c r="C95" s="11">
        <v>5713</v>
      </c>
      <c r="D95" s="9" t="s">
        <v>175</v>
      </c>
      <c r="E95" s="9" t="str">
        <f>VLOOKUP(C95,[1]MP!A26:O3934,12,0)</f>
        <v>CV B09</v>
      </c>
      <c r="F95" s="9" t="str">
        <f>VLOOKUP(C95,[1]MP!A26:O3793,13,0)</f>
        <v>BATERAY CABLE</v>
      </c>
      <c r="G95" s="9" t="s">
        <v>35</v>
      </c>
      <c r="H95" s="9" t="s">
        <v>35</v>
      </c>
      <c r="I95" s="9" t="s">
        <v>53</v>
      </c>
      <c r="J95" s="9" t="s">
        <v>37</v>
      </c>
      <c r="K95" s="12">
        <v>43468</v>
      </c>
    </row>
    <row r="96" spans="1:11">
      <c r="A96" s="10">
        <v>95</v>
      </c>
      <c r="B96" s="9">
        <v>201901</v>
      </c>
      <c r="C96" s="11">
        <v>5706</v>
      </c>
      <c r="D96" s="9" t="s">
        <v>176</v>
      </c>
      <c r="E96" s="9" t="str">
        <f>VLOOKUP(C96,[1]MP!A27:O3935,12,0)</f>
        <v>CV 17</v>
      </c>
      <c r="F96" s="9" t="str">
        <f>VLOOKUP(C96,[1]MP!A27:O3794,13,0)</f>
        <v>FINAL INSPECTION</v>
      </c>
      <c r="G96" s="9" t="s">
        <v>35</v>
      </c>
      <c r="H96" s="9" t="s">
        <v>35</v>
      </c>
      <c r="I96" s="9" t="s">
        <v>87</v>
      </c>
      <c r="J96" s="9" t="s">
        <v>37</v>
      </c>
      <c r="K96" s="12">
        <v>43468</v>
      </c>
    </row>
    <row r="97" spans="1:11">
      <c r="A97" s="10">
        <v>96</v>
      </c>
      <c r="B97" s="9">
        <v>201901</v>
      </c>
      <c r="C97" s="11">
        <v>5703</v>
      </c>
      <c r="D97" s="9" t="s">
        <v>177</v>
      </c>
      <c r="E97" s="9" t="str">
        <f>VLOOKUP(C97,[1]MP!A28:O3936,12,0)</f>
        <v>NIP</v>
      </c>
      <c r="F97" s="9" t="str">
        <f>VLOOKUP(C97,[1]MP!A28:O3795,13,0)</f>
        <v>Inspection Board (Fabr,Programer,Prev,Breakdown)</v>
      </c>
      <c r="G97" s="9" t="s">
        <v>35</v>
      </c>
      <c r="H97" s="9" t="s">
        <v>35</v>
      </c>
      <c r="J97" s="9" t="s">
        <v>37</v>
      </c>
      <c r="K97" s="12">
        <v>43468</v>
      </c>
    </row>
    <row r="98" spans="1:11">
      <c r="A98" s="10">
        <v>97</v>
      </c>
      <c r="B98" s="9">
        <v>201901</v>
      </c>
      <c r="C98" s="11">
        <v>5699</v>
      </c>
      <c r="D98" s="9" t="s">
        <v>178</v>
      </c>
      <c r="E98" s="9" t="str">
        <f>VLOOKUP(C98,[1]MP!A29:O3937,12,0)</f>
        <v>PRE ASSY HINO DYNA</v>
      </c>
      <c r="F98" s="9" t="str">
        <f>VLOOKUP(C98,[1]MP!A29:O3796,13,0)</f>
        <v>BM1-HIN-01</v>
      </c>
      <c r="G98" s="9" t="s">
        <v>35</v>
      </c>
      <c r="H98" s="9" t="s">
        <v>35</v>
      </c>
      <c r="I98" s="9" t="s">
        <v>111</v>
      </c>
      <c r="J98" s="9" t="s">
        <v>37</v>
      </c>
      <c r="K98" s="12">
        <v>43468</v>
      </c>
    </row>
    <row r="99" spans="1:11">
      <c r="A99" s="10">
        <v>98</v>
      </c>
      <c r="B99" s="9">
        <v>201901</v>
      </c>
      <c r="C99" s="11">
        <v>5692</v>
      </c>
      <c r="D99" s="9" t="s">
        <v>179</v>
      </c>
      <c r="E99" s="9" t="str">
        <f>VLOOKUP(C99,[1]MP!A30:O3938,12,0)</f>
        <v>WORKSHOP</v>
      </c>
      <c r="F99" s="9" t="str">
        <f>VLOOKUP(C99,[1]MP!A30:O3797,13,0)</f>
        <v xml:space="preserve">EQUIPMENT FABRICATION </v>
      </c>
      <c r="G99" s="9" t="s">
        <v>35</v>
      </c>
      <c r="H99" s="9" t="s">
        <v>35</v>
      </c>
      <c r="I99" s="9" t="s">
        <v>87</v>
      </c>
      <c r="J99" s="9" t="s">
        <v>37</v>
      </c>
      <c r="K99" s="12">
        <v>43468</v>
      </c>
    </row>
    <row r="100" spans="1:11">
      <c r="A100" s="10">
        <v>99</v>
      </c>
      <c r="B100" s="9">
        <v>201901</v>
      </c>
      <c r="C100" s="11">
        <v>5561</v>
      </c>
      <c r="D100" s="9" t="s">
        <v>180</v>
      </c>
      <c r="E100" s="9" t="str">
        <f>VLOOKUP(C100,[1]MP!A32:O3940,12,0)</f>
        <v>MTC</v>
      </c>
      <c r="F100" s="9" t="str">
        <f>VLOOKUP(C100,[1]MP!A32:O3799,13,0)</f>
        <v>LEADER ANALISIS DOWNTIME</v>
      </c>
      <c r="G100" s="9" t="s">
        <v>35</v>
      </c>
      <c r="H100" s="9" t="s">
        <v>35</v>
      </c>
      <c r="I100" s="9" t="s">
        <v>87</v>
      </c>
      <c r="J100" s="9" t="s">
        <v>37</v>
      </c>
      <c r="K100" s="12">
        <v>43468</v>
      </c>
    </row>
    <row r="101" spans="1:11">
      <c r="A101" s="10">
        <v>100</v>
      </c>
      <c r="B101" s="9">
        <v>201901</v>
      </c>
      <c r="C101" s="11">
        <v>5558</v>
      </c>
      <c r="D101" s="9" t="s">
        <v>181</v>
      </c>
      <c r="E101" s="9" t="str">
        <f>VLOOKUP(C101,[1]MP!A33:O3941,12,0)</f>
        <v>MTC</v>
      </c>
      <c r="F101" s="9" t="str">
        <f>VLOOKUP(C101,[1]MP!A33:O3800,13,0)</f>
        <v>BREAKDOWN</v>
      </c>
      <c r="G101" s="9" t="s">
        <v>35</v>
      </c>
      <c r="H101" s="9" t="s">
        <v>35</v>
      </c>
      <c r="I101" s="9" t="s">
        <v>87</v>
      </c>
      <c r="J101" s="9" t="s">
        <v>37</v>
      </c>
      <c r="K101" s="12">
        <v>43468</v>
      </c>
    </row>
    <row r="102" spans="1:11">
      <c r="A102" s="10">
        <v>101</v>
      </c>
      <c r="B102" s="9">
        <v>201901</v>
      </c>
      <c r="C102" s="11">
        <v>5556</v>
      </c>
      <c r="D102" s="9" t="s">
        <v>182</v>
      </c>
      <c r="E102" s="9" t="str">
        <f>VLOOKUP(C102,[1]MP!A34:O3942,12,0)</f>
        <v>SHE</v>
      </c>
      <c r="F102" s="9" t="str">
        <f>VLOOKUP(C102,[1]MP!A34:O3801,13,0)</f>
        <v>BUILDING MAINTENANCE</v>
      </c>
      <c r="G102" s="9" t="s">
        <v>35</v>
      </c>
      <c r="H102" s="9" t="s">
        <v>35</v>
      </c>
      <c r="I102" s="9" t="s">
        <v>87</v>
      </c>
      <c r="J102" s="9" t="s">
        <v>37</v>
      </c>
      <c r="K102" s="12">
        <v>43468</v>
      </c>
    </row>
    <row r="103" spans="1:11">
      <c r="A103" s="10">
        <v>102</v>
      </c>
      <c r="B103" s="9">
        <v>201901</v>
      </c>
      <c r="C103" s="11">
        <v>5555</v>
      </c>
      <c r="D103" s="9" t="s">
        <v>183</v>
      </c>
      <c r="E103" s="9" t="str">
        <f>VLOOKUP(C103,[1]MP!A35:O3943,12,0)</f>
        <v>MTC</v>
      </c>
      <c r="F103" s="9" t="str">
        <f>VLOOKUP(C103,[1]MP!A35:O3802,13,0)</f>
        <v>BREAKDOWN</v>
      </c>
      <c r="G103" s="9" t="s">
        <v>35</v>
      </c>
      <c r="H103" s="9" t="s">
        <v>35</v>
      </c>
      <c r="I103" s="9" t="s">
        <v>87</v>
      </c>
      <c r="J103" s="9" t="s">
        <v>37</v>
      </c>
      <c r="K103" s="12">
        <v>43468</v>
      </c>
    </row>
    <row r="104" spans="1:11">
      <c r="A104" s="10">
        <v>103</v>
      </c>
      <c r="B104" s="9">
        <v>201901</v>
      </c>
      <c r="C104" s="11">
        <v>5549</v>
      </c>
      <c r="D104" s="9" t="s">
        <v>184</v>
      </c>
      <c r="E104" s="9" t="str">
        <f>VLOOKUP(C104,[1]MP!A36:O3944,12,0)</f>
        <v>WHS</v>
      </c>
      <c r="F104" s="9" t="str">
        <f>VLOOKUP(C104,[1]MP!A36:O3803,13,0)</f>
        <v>UNLOADING</v>
      </c>
      <c r="G104" s="9" t="s">
        <v>35</v>
      </c>
      <c r="H104" s="9" t="s">
        <v>35</v>
      </c>
      <c r="J104" s="9" t="s">
        <v>37</v>
      </c>
      <c r="K104" s="12">
        <v>43468</v>
      </c>
    </row>
    <row r="105" spans="1:11">
      <c r="A105" s="10">
        <v>104</v>
      </c>
      <c r="B105" s="9">
        <v>201901</v>
      </c>
      <c r="C105" s="11">
        <v>5537</v>
      </c>
      <c r="D105" s="9" t="s">
        <v>185</v>
      </c>
      <c r="E105" s="9" t="str">
        <f>VLOOKUP(C105,[1]MP!A37:O3945,12,0)</f>
        <v>L. DOCK</v>
      </c>
      <c r="F105" s="9" t="str">
        <f>VLOOKUP(C105,[1]MP!A37:O3804,13,0)</f>
        <v>L. DOCK</v>
      </c>
      <c r="G105" s="9" t="s">
        <v>35</v>
      </c>
      <c r="H105" s="9" t="s">
        <v>35</v>
      </c>
      <c r="I105" s="9" t="s">
        <v>150</v>
      </c>
      <c r="J105" s="9" t="s">
        <v>37</v>
      </c>
      <c r="K105" s="12">
        <v>43468</v>
      </c>
    </row>
    <row r="106" spans="1:11">
      <c r="A106" s="10">
        <v>105</v>
      </c>
      <c r="B106" s="9">
        <v>201901</v>
      </c>
      <c r="C106" s="11">
        <v>5522</v>
      </c>
      <c r="D106" s="9" t="s">
        <v>186</v>
      </c>
      <c r="E106" s="9" t="str">
        <f>VLOOKUP(C106,[1]MP!A38:O3946,12,0)</f>
        <v>BUFFER MP SAMI</v>
      </c>
      <c r="F106" s="9" t="str">
        <f>VLOOKUP(C106,[1]MP!A38:O3805,13,0)</f>
        <v>BUFFER MP</v>
      </c>
      <c r="G106" s="9" t="s">
        <v>35</v>
      </c>
      <c r="H106" s="9" t="s">
        <v>35</v>
      </c>
      <c r="I106" s="9" t="s">
        <v>187</v>
      </c>
      <c r="J106" s="9" t="s">
        <v>37</v>
      </c>
      <c r="K106" s="12">
        <v>43468</v>
      </c>
    </row>
    <row r="107" spans="1:11">
      <c r="A107" s="10">
        <v>106</v>
      </c>
      <c r="B107" s="9">
        <v>201901</v>
      </c>
      <c r="C107" s="11">
        <v>552</v>
      </c>
      <c r="D107" s="9" t="s">
        <v>188</v>
      </c>
      <c r="E107" s="9" t="str">
        <f>VLOOKUP(C107,[1]MP!A39:O3947,12,0)</f>
        <v>NIP</v>
      </c>
      <c r="F107" s="9" t="str">
        <f>VLOOKUP(C107,[1]MP!A39:O3806,13,0)</f>
        <v>Inspection Board (Fabr,Programer,Prev,Breakdown)</v>
      </c>
      <c r="G107" s="9" t="s">
        <v>35</v>
      </c>
      <c r="H107" s="9" t="s">
        <v>35</v>
      </c>
      <c r="J107" s="9" t="s">
        <v>37</v>
      </c>
      <c r="K107" s="12">
        <v>43468</v>
      </c>
    </row>
    <row r="108" spans="1:11">
      <c r="A108" s="10">
        <v>107</v>
      </c>
      <c r="B108" s="9">
        <v>201901</v>
      </c>
      <c r="C108" s="11">
        <v>5483</v>
      </c>
      <c r="D108" s="9" t="s">
        <v>189</v>
      </c>
      <c r="E108" s="9" t="str">
        <f>VLOOKUP(C108,[1]MP!A40:O3948,12,0)</f>
        <v>JCN</v>
      </c>
      <c r="F108" s="9" t="str">
        <f>VLOOKUP(C108,[1]MP!A40:O3807,13,0)</f>
        <v>BREAKDOWN FA</v>
      </c>
      <c r="G108" s="9" t="s">
        <v>35</v>
      </c>
      <c r="H108" s="9" t="s">
        <v>35</v>
      </c>
      <c r="I108" s="9" t="s">
        <v>87</v>
      </c>
      <c r="J108" s="9" t="s">
        <v>37</v>
      </c>
      <c r="K108" s="12">
        <v>43468</v>
      </c>
    </row>
    <row r="109" spans="1:11">
      <c r="A109" s="10">
        <v>108</v>
      </c>
      <c r="B109" s="9">
        <v>201901</v>
      </c>
      <c r="C109" s="11">
        <v>5459</v>
      </c>
      <c r="D109" s="9" t="s">
        <v>190</v>
      </c>
      <c r="E109" s="9" t="str">
        <f>VLOOKUP(C109,[1]MP!A41:O3949,12,0)</f>
        <v>WHS</v>
      </c>
      <c r="F109" s="9" t="str">
        <f>VLOOKUP(C109,[1]MP!A41:O3808,13,0)</f>
        <v>-</v>
      </c>
      <c r="G109" s="9" t="s">
        <v>35</v>
      </c>
      <c r="H109" s="9" t="s">
        <v>35</v>
      </c>
      <c r="J109" s="9" t="s">
        <v>37</v>
      </c>
      <c r="K109" s="12">
        <v>43468</v>
      </c>
    </row>
    <row r="110" spans="1:11">
      <c r="A110" s="10">
        <v>109</v>
      </c>
      <c r="B110" s="9">
        <v>201901</v>
      </c>
      <c r="C110" s="11">
        <v>5443</v>
      </c>
      <c r="D110" s="9" t="s">
        <v>191</v>
      </c>
      <c r="E110" s="9" t="str">
        <f>VLOOKUP(C110,[1]MP!A42:O3950,12,0)</f>
        <v>CV 1</v>
      </c>
      <c r="F110" s="9" t="str">
        <f>VLOOKUP(C110,[1]MP!A42:O3809,13,0)</f>
        <v>PRD LINE CHO</v>
      </c>
      <c r="G110" s="9" t="s">
        <v>35</v>
      </c>
      <c r="H110" s="9" t="s">
        <v>35</v>
      </c>
      <c r="I110" s="9" t="s">
        <v>53</v>
      </c>
      <c r="J110" s="9" t="s">
        <v>37</v>
      </c>
      <c r="K110" s="12">
        <v>43468</v>
      </c>
    </row>
    <row r="111" spans="1:11">
      <c r="A111" s="10">
        <v>110</v>
      </c>
      <c r="B111" s="9">
        <v>201901</v>
      </c>
      <c r="C111" s="11">
        <v>5433</v>
      </c>
      <c r="D111" s="9" t="s">
        <v>192</v>
      </c>
      <c r="E111" s="9" t="str">
        <f>VLOOKUP(C111,[1]MP!A43:O3951,12,0)</f>
        <v>CV 16</v>
      </c>
      <c r="F111" s="9" t="str">
        <f>VLOOKUP(C111,[1]MP!A43:O3810,13,0)</f>
        <v>FINISHING</v>
      </c>
      <c r="G111" s="9" t="s">
        <v>35</v>
      </c>
      <c r="H111" s="9" t="s">
        <v>35</v>
      </c>
      <c r="I111" s="9" t="s">
        <v>87</v>
      </c>
      <c r="J111" s="9" t="s">
        <v>37</v>
      </c>
      <c r="K111" s="12">
        <v>43468</v>
      </c>
    </row>
    <row r="112" spans="1:11">
      <c r="A112" s="10">
        <v>111</v>
      </c>
      <c r="B112" s="9">
        <v>201901</v>
      </c>
      <c r="C112" s="11">
        <v>5245</v>
      </c>
      <c r="D112" s="9" t="s">
        <v>193</v>
      </c>
      <c r="E112" s="9" t="str">
        <f>VLOOKUP(C112,[1]MP!A44:O3952,12,0)</f>
        <v>PRE ASSY MAZDA ATENZA</v>
      </c>
      <c r="F112" s="9" t="str">
        <f>VLOOKUP(C112,[1]MP!A44:O3811,13,0)</f>
        <v>RYC-MZD-02</v>
      </c>
      <c r="G112" s="9" t="s">
        <v>35</v>
      </c>
      <c r="H112" s="9" t="s">
        <v>35</v>
      </c>
      <c r="I112" s="9" t="s">
        <v>111</v>
      </c>
      <c r="J112" s="9" t="s">
        <v>37</v>
      </c>
      <c r="K112" s="12">
        <v>43468</v>
      </c>
    </row>
    <row r="113" spans="1:11">
      <c r="A113" s="10">
        <v>112</v>
      </c>
      <c r="B113" s="9">
        <v>201901</v>
      </c>
      <c r="C113" s="11">
        <v>5233</v>
      </c>
      <c r="D113" s="9" t="s">
        <v>194</v>
      </c>
      <c r="E113" s="9" t="str">
        <f>VLOOKUP(C113,[1]MP!A45:O3953,12,0)</f>
        <v>CUTTING MAZDA ATENZA</v>
      </c>
      <c r="F113" s="9" t="str">
        <f>VLOOKUP(C113,[1]MP!A45:O3812,13,0)</f>
        <v>INSP CUTTING</v>
      </c>
      <c r="G113" s="9" t="s">
        <v>35</v>
      </c>
      <c r="H113" s="9" t="s">
        <v>35</v>
      </c>
      <c r="I113" s="9" t="s">
        <v>87</v>
      </c>
      <c r="J113" s="9" t="s">
        <v>37</v>
      </c>
      <c r="K113" s="12">
        <v>43468</v>
      </c>
    </row>
    <row r="114" spans="1:11">
      <c r="A114" s="10">
        <v>113</v>
      </c>
      <c r="B114" s="9">
        <v>201901</v>
      </c>
      <c r="C114" s="11">
        <v>5227</v>
      </c>
      <c r="D114" s="9" t="s">
        <v>195</v>
      </c>
      <c r="E114" s="9" t="str">
        <f>VLOOKUP(C114,[1]MP!A46:O3954,12,0)</f>
        <v>WHS</v>
      </c>
      <c r="F114" s="9" t="str">
        <f>VLOOKUP(C114,[1]MP!A46:O3813,13,0)</f>
        <v>UNLOADING</v>
      </c>
      <c r="G114" s="9" t="s">
        <v>35</v>
      </c>
      <c r="H114" s="9" t="s">
        <v>35</v>
      </c>
      <c r="J114" s="9" t="s">
        <v>37</v>
      </c>
      <c r="K114" s="12">
        <v>43468</v>
      </c>
    </row>
    <row r="115" spans="1:11">
      <c r="A115" s="10">
        <v>114</v>
      </c>
      <c r="B115" s="9">
        <v>201901</v>
      </c>
      <c r="C115" s="11">
        <v>5222</v>
      </c>
      <c r="D115" s="9" t="s">
        <v>196</v>
      </c>
      <c r="E115" s="9" t="str">
        <f>VLOOKUP(C115,[1]MP!A47:O3955,12,0)</f>
        <v>MTC</v>
      </c>
      <c r="F115" s="9" t="str">
        <f>VLOOKUP(C115,[1]MP!A47:O3814,13,0)</f>
        <v>BREAKDOWN</v>
      </c>
      <c r="G115" s="9" t="s">
        <v>35</v>
      </c>
      <c r="H115" s="9" t="s">
        <v>35</v>
      </c>
      <c r="J115" s="9" t="s">
        <v>37</v>
      </c>
      <c r="K115" s="12">
        <v>43468</v>
      </c>
    </row>
    <row r="116" spans="1:11">
      <c r="A116" s="10">
        <v>115</v>
      </c>
      <c r="B116" s="9">
        <v>201901</v>
      </c>
      <c r="C116" s="11">
        <v>5220</v>
      </c>
      <c r="D116" s="9" t="s">
        <v>197</v>
      </c>
      <c r="E116" s="9" t="str">
        <f>VLOOKUP(C116,[1]MP!A48:O3956,12,0)</f>
        <v>CT</v>
      </c>
      <c r="F116" s="9" t="str">
        <f>VLOOKUP(C116,[1]MP!A48:O3815,13,0)</f>
        <v>PREPARATION CT &amp; MODIF APPL</v>
      </c>
      <c r="G116" s="9" t="s">
        <v>35</v>
      </c>
      <c r="H116" s="9" t="s">
        <v>35</v>
      </c>
      <c r="J116" s="9" t="s">
        <v>37</v>
      </c>
      <c r="K116" s="12">
        <v>43468</v>
      </c>
    </row>
    <row r="117" spans="1:11">
      <c r="A117" s="10">
        <v>116</v>
      </c>
      <c r="B117" s="9">
        <v>201901</v>
      </c>
      <c r="C117" s="11">
        <v>509</v>
      </c>
      <c r="D117" s="9" t="s">
        <v>198</v>
      </c>
      <c r="E117" s="9" t="str">
        <f>VLOOKUP(C117,[1]MP!A49:O3957,12,0)</f>
        <v>WHS</v>
      </c>
      <c r="F117" s="9" t="str">
        <f>VLOOKUP(C117,[1]MP!A49:O3816,13,0)</f>
        <v>UNLOADING</v>
      </c>
      <c r="G117" s="9" t="s">
        <v>35</v>
      </c>
      <c r="H117" s="9" t="s">
        <v>35</v>
      </c>
      <c r="J117" s="9" t="s">
        <v>37</v>
      </c>
      <c r="K117" s="12">
        <v>43468</v>
      </c>
    </row>
    <row r="118" spans="1:11">
      <c r="A118" s="10">
        <v>117</v>
      </c>
      <c r="B118" s="9">
        <v>201901</v>
      </c>
      <c r="C118" s="11">
        <v>508</v>
      </c>
      <c r="D118" s="9" t="s">
        <v>199</v>
      </c>
      <c r="E118" s="9" t="str">
        <f>VLOOKUP(C118,[1]MP!A50:O3958,12,0)</f>
        <v>L. DOCK</v>
      </c>
      <c r="F118" s="9" t="str">
        <f>VLOOKUP(C118,[1]MP!A50:O3817,13,0)</f>
        <v>GL</v>
      </c>
      <c r="G118" s="9" t="s">
        <v>35</v>
      </c>
      <c r="H118" s="9" t="s">
        <v>35</v>
      </c>
      <c r="I118" s="9" t="s">
        <v>150</v>
      </c>
      <c r="J118" s="9" t="s">
        <v>37</v>
      </c>
      <c r="K118" s="12">
        <v>43468</v>
      </c>
    </row>
    <row r="119" spans="1:11">
      <c r="A119" s="10">
        <v>118</v>
      </c>
      <c r="B119" s="9">
        <v>201901</v>
      </c>
      <c r="C119" s="11">
        <v>4855</v>
      </c>
      <c r="D119" s="9" t="s">
        <v>200</v>
      </c>
      <c r="E119" s="9" t="str">
        <f>VLOOKUP(C119,[1]MP!A51:O3959,12,0)</f>
        <v>BUFFER MP SAMI</v>
      </c>
      <c r="F119" s="9" t="str">
        <f>VLOOKUP(C119,[1]MP!A51:O3818,13,0)</f>
        <v>BUFFER MP</v>
      </c>
      <c r="G119" s="9" t="s">
        <v>35</v>
      </c>
      <c r="H119" s="9" t="s">
        <v>35</v>
      </c>
      <c r="I119" s="9" t="s">
        <v>53</v>
      </c>
      <c r="J119" s="9" t="s">
        <v>37</v>
      </c>
      <c r="K119" s="12">
        <v>43468</v>
      </c>
    </row>
    <row r="120" spans="1:11">
      <c r="A120" s="10">
        <v>119</v>
      </c>
      <c r="B120" s="9">
        <v>201901</v>
      </c>
      <c r="C120" s="11">
        <v>48</v>
      </c>
      <c r="D120" s="9" t="s">
        <v>201</v>
      </c>
      <c r="E120" s="9" t="str">
        <f>VLOOKUP(C120,[1]MP!A52:O3960,12,0)</f>
        <v>MTP</v>
      </c>
      <c r="F120" s="9" t="str">
        <f>VLOOKUP(C120,[1]MP!A52:O3819,13,0)</f>
        <v>WEAR &amp; TEAR STOCK CONTROL</v>
      </c>
      <c r="G120" s="9" t="s">
        <v>35</v>
      </c>
      <c r="H120" s="9" t="s">
        <v>35</v>
      </c>
      <c r="I120" s="9" t="s">
        <v>87</v>
      </c>
      <c r="J120" s="9" t="s">
        <v>37</v>
      </c>
      <c r="K120" s="12">
        <v>43468</v>
      </c>
    </row>
    <row r="121" spans="1:11">
      <c r="A121" s="10">
        <v>120</v>
      </c>
      <c r="B121" s="9">
        <v>201901</v>
      </c>
      <c r="C121" s="11">
        <v>4657</v>
      </c>
      <c r="D121" s="9" t="s">
        <v>202</v>
      </c>
      <c r="E121" s="9" t="str">
        <f>VLOOKUP(C121,[1]MP!A53:O3961,12,0)</f>
        <v>JCN</v>
      </c>
      <c r="F121" s="9" t="str">
        <f>VLOOKUP(C121,[1]MP!A53:O3820,13,0)</f>
        <v>CNC &amp; MILLING</v>
      </c>
      <c r="G121" s="9" t="s">
        <v>35</v>
      </c>
      <c r="H121" s="9" t="s">
        <v>35</v>
      </c>
      <c r="I121" s="9" t="s">
        <v>87</v>
      </c>
      <c r="J121" s="9" t="s">
        <v>37</v>
      </c>
      <c r="K121" s="12">
        <v>43468</v>
      </c>
    </row>
    <row r="122" spans="1:11">
      <c r="A122" s="10">
        <v>121</v>
      </c>
      <c r="B122" s="9">
        <v>201901</v>
      </c>
      <c r="C122" s="11">
        <v>453</v>
      </c>
      <c r="D122" s="9" t="s">
        <v>203</v>
      </c>
      <c r="E122" s="9" t="str">
        <f>VLOOKUP(C122,[1]MP!A54:O3962,12,0)</f>
        <v>CV HV 05</v>
      </c>
      <c r="F122" s="9" t="str">
        <f>VLOOKUP(C122,[1]MP!A54:O3821,13,0)</f>
        <v>AP30-02, HS-01</v>
      </c>
      <c r="G122" s="9" t="s">
        <v>35</v>
      </c>
      <c r="H122" s="9" t="s">
        <v>35</v>
      </c>
      <c r="I122" s="9" t="s">
        <v>87</v>
      </c>
      <c r="J122" s="9" t="s">
        <v>37</v>
      </c>
      <c r="K122" s="12">
        <v>43468</v>
      </c>
    </row>
    <row r="123" spans="1:11">
      <c r="A123" s="10">
        <v>122</v>
      </c>
      <c r="B123" s="9">
        <v>201901</v>
      </c>
      <c r="C123" s="11">
        <v>4041</v>
      </c>
      <c r="D123" s="9" t="s">
        <v>204</v>
      </c>
      <c r="E123" s="9" t="str">
        <f>VLOOKUP(C123,[1]MP!A55:O3963,12,0)</f>
        <v>MTC</v>
      </c>
      <c r="F123" s="9" t="str">
        <f>VLOOKUP(C123,[1]MP!A55:O3822,13,0)</f>
        <v>BREAKDOWN</v>
      </c>
      <c r="G123" s="9" t="s">
        <v>35</v>
      </c>
      <c r="H123" s="9" t="s">
        <v>35</v>
      </c>
      <c r="I123" s="9" t="s">
        <v>87</v>
      </c>
      <c r="J123" s="9" t="s">
        <v>37</v>
      </c>
      <c r="K123" s="12">
        <v>43468</v>
      </c>
    </row>
    <row r="124" spans="1:11">
      <c r="A124" s="10">
        <v>123</v>
      </c>
      <c r="B124" s="9">
        <v>201901</v>
      </c>
      <c r="C124" s="11">
        <v>3725</v>
      </c>
      <c r="D124" s="9" t="s">
        <v>205</v>
      </c>
      <c r="E124" s="9" t="str">
        <f>VLOOKUP(C124,[1]MP!A56:O3964,12,0)</f>
        <v>PPAP</v>
      </c>
      <c r="F124" s="9" t="str">
        <f>VLOOKUP(C124,[1]MP!A56:O3823,13,0)</f>
        <v>HDR - ES TEST</v>
      </c>
      <c r="G124" s="9" t="s">
        <v>35</v>
      </c>
      <c r="H124" s="9" t="s">
        <v>35</v>
      </c>
      <c r="I124" s="9" t="s">
        <v>53</v>
      </c>
      <c r="J124" s="9" t="s">
        <v>37</v>
      </c>
      <c r="K124" s="12">
        <v>43468</v>
      </c>
    </row>
    <row r="125" spans="1:11">
      <c r="A125" s="10">
        <v>124</v>
      </c>
      <c r="B125" s="9">
        <v>201901</v>
      </c>
      <c r="C125" s="11">
        <v>328</v>
      </c>
      <c r="D125" s="9" t="s">
        <v>206</v>
      </c>
      <c r="E125" s="9" t="str">
        <f>VLOOKUP(C125,[1]MP!A58:O3966,12,0)</f>
        <v>CUTTING TOYOTA HV</v>
      </c>
      <c r="F125" s="9" t="str">
        <f>VLOOKUP(C125,[1]MP!A58:O3825,13,0)</f>
        <v>INSP CUTTING</v>
      </c>
      <c r="G125" s="9" t="s">
        <v>35</v>
      </c>
      <c r="H125" s="9" t="s">
        <v>35</v>
      </c>
      <c r="I125" s="9" t="s">
        <v>87</v>
      </c>
      <c r="J125" s="9" t="s">
        <v>37</v>
      </c>
      <c r="K125" s="12">
        <v>43468</v>
      </c>
    </row>
    <row r="126" spans="1:11">
      <c r="A126" s="10">
        <v>125</v>
      </c>
      <c r="B126" s="9">
        <v>201901</v>
      </c>
      <c r="C126" s="11">
        <v>324</v>
      </c>
      <c r="D126" s="9" t="s">
        <v>174</v>
      </c>
      <c r="E126" s="9" t="str">
        <f>VLOOKUP(C126,[1]MP!A59:O3967,12,0)</f>
        <v>BUFFER MP SAMI</v>
      </c>
      <c r="F126" s="9" t="str">
        <f>VLOOKUP(C126,[1]MP!A59:O3826,13,0)</f>
        <v>AFTER CUTI HAMIL</v>
      </c>
      <c r="G126" s="9" t="s">
        <v>35</v>
      </c>
      <c r="H126" s="9" t="s">
        <v>35</v>
      </c>
      <c r="I126" s="9" t="s">
        <v>207</v>
      </c>
      <c r="J126" s="9" t="s">
        <v>37</v>
      </c>
      <c r="K126" s="12">
        <v>43468</v>
      </c>
    </row>
    <row r="127" spans="1:11">
      <c r="A127" s="10">
        <v>126</v>
      </c>
      <c r="B127" s="9">
        <v>201901</v>
      </c>
      <c r="C127" s="11">
        <v>303</v>
      </c>
      <c r="D127" s="9" t="s">
        <v>208</v>
      </c>
      <c r="E127" s="9" t="str">
        <f>VLOOKUP(C127,[1]MP!A61:O3969,12,0)</f>
        <v>CV 14</v>
      </c>
      <c r="F127" s="9" t="str">
        <f>VLOOKUP(C127,[1]MP!A61:O3828,13,0)</f>
        <v>FINAL INSPECTION</v>
      </c>
      <c r="G127" s="9" t="s">
        <v>35</v>
      </c>
      <c r="H127" s="9" t="s">
        <v>35</v>
      </c>
      <c r="I127" s="9" t="s">
        <v>87</v>
      </c>
      <c r="J127" s="9" t="s">
        <v>37</v>
      </c>
      <c r="K127" s="12">
        <v>43468</v>
      </c>
    </row>
    <row r="128" spans="1:11">
      <c r="A128" s="10">
        <v>127</v>
      </c>
      <c r="B128" s="9">
        <v>201901</v>
      </c>
      <c r="C128" s="11">
        <v>294</v>
      </c>
      <c r="D128" s="9" t="s">
        <v>209</v>
      </c>
      <c r="E128" s="9" t="str">
        <f>VLOOKUP(C128,[1]MP!A62:O3970,12,0)</f>
        <v>BUFFER MP SAMI</v>
      </c>
      <c r="F128" s="9" t="str">
        <f>VLOOKUP(C128,[1]MP!A62:O3829,13,0)</f>
        <v>BUFFER MP</v>
      </c>
      <c r="G128" s="9" t="s">
        <v>35</v>
      </c>
      <c r="H128" s="9" t="s">
        <v>35</v>
      </c>
      <c r="I128" s="9" t="s">
        <v>210</v>
      </c>
      <c r="J128" s="9" t="s">
        <v>37</v>
      </c>
      <c r="K128" s="12">
        <v>43468</v>
      </c>
    </row>
    <row r="129" spans="1:11">
      <c r="A129" s="10">
        <v>128</v>
      </c>
      <c r="B129" s="9">
        <v>201901</v>
      </c>
      <c r="C129" s="11">
        <v>245</v>
      </c>
      <c r="D129" s="9" t="s">
        <v>211</v>
      </c>
      <c r="E129" s="9" t="str">
        <f>VLOOKUP(C129,[1]MP!A63:O3971,12,0)</f>
        <v>WHS</v>
      </c>
      <c r="F129" s="9" t="str">
        <f>VLOOKUP(C129,[1]MP!A63:O3830,13,0)</f>
        <v>GL WHS</v>
      </c>
      <c r="G129" s="9" t="s">
        <v>35</v>
      </c>
      <c r="H129" s="9" t="s">
        <v>35</v>
      </c>
      <c r="J129" s="9" t="s">
        <v>37</v>
      </c>
      <c r="K129" s="12">
        <v>43468</v>
      </c>
    </row>
    <row r="130" spans="1:11">
      <c r="A130" s="10">
        <v>129</v>
      </c>
      <c r="B130" s="9">
        <v>201901</v>
      </c>
      <c r="C130" s="11">
        <v>23340</v>
      </c>
      <c r="D130" s="9" t="s">
        <v>212</v>
      </c>
      <c r="E130" s="9" t="str">
        <f>VLOOKUP(C130,[1]MP!A64:O3972,12,0)</f>
        <v>PRE ASSY HONDA EXPORT 1</v>
      </c>
      <c r="F130" s="9" t="str">
        <f>VLOOKUP(C130,[1]MP!A64:O3831,13,0)</f>
        <v>OJT WK -13</v>
      </c>
      <c r="G130" s="9" t="s">
        <v>35</v>
      </c>
      <c r="H130" s="9" t="s">
        <v>35</v>
      </c>
      <c r="I130" s="9" t="s">
        <v>213</v>
      </c>
      <c r="J130" s="9" t="s">
        <v>37</v>
      </c>
      <c r="K130" s="12">
        <v>43479</v>
      </c>
    </row>
    <row r="131" spans="1:11">
      <c r="A131" s="10">
        <v>130</v>
      </c>
      <c r="B131" s="9">
        <v>201901</v>
      </c>
      <c r="C131" s="11">
        <v>23225</v>
      </c>
      <c r="D131" s="9" t="s">
        <v>214</v>
      </c>
      <c r="E131" s="9" t="str">
        <f>VLOOKUP(C131,[1]MP!A65:O3973,12,0)</f>
        <v>BATTERY CABLE NEW</v>
      </c>
      <c r="F131" s="9" t="str">
        <f>VLOOKUP(C131,[1]MP!A65:O3832,13,0)</f>
        <v>P-BC-02</v>
      </c>
      <c r="G131" s="9" t="s">
        <v>35</v>
      </c>
      <c r="H131" s="9" t="s">
        <v>35</v>
      </c>
      <c r="I131" s="9" t="s">
        <v>87</v>
      </c>
      <c r="J131" s="9" t="s">
        <v>37</v>
      </c>
      <c r="K131" s="12">
        <v>43474</v>
      </c>
    </row>
    <row r="132" spans="1:11">
      <c r="A132" s="10">
        <v>131</v>
      </c>
      <c r="B132" s="9">
        <v>201901</v>
      </c>
      <c r="C132" s="11">
        <v>23095</v>
      </c>
      <c r="D132" s="9" t="s">
        <v>215</v>
      </c>
      <c r="E132" s="9" t="str">
        <f>VLOOKUP(C132,[1]MP!A66:O3974,12,0)</f>
        <v>QS</v>
      </c>
      <c r="F132" s="9" t="str">
        <f>VLOOKUP(C132,[1]MP!A66:O3833,13,0)</f>
        <v>ADMINISTRATION</v>
      </c>
      <c r="G132" s="9" t="s">
        <v>35</v>
      </c>
      <c r="H132" s="9" t="s">
        <v>35</v>
      </c>
      <c r="I132" s="9" t="s">
        <v>216</v>
      </c>
      <c r="J132" s="9" t="s">
        <v>37</v>
      </c>
      <c r="K132" s="12">
        <v>43468</v>
      </c>
    </row>
    <row r="133" spans="1:11">
      <c r="A133" s="10">
        <v>132</v>
      </c>
      <c r="B133" s="9">
        <v>201901</v>
      </c>
      <c r="C133" s="11">
        <v>23015</v>
      </c>
      <c r="D133" s="9" t="s">
        <v>217</v>
      </c>
      <c r="E133" s="9" t="str">
        <f>VLOOKUP(C133,[1]MP!A67:O3975,12,0)</f>
        <v>PRE ASSY MAZDA ATENZA</v>
      </c>
      <c r="F133" s="9" t="str">
        <f>VLOOKUP(C133,[1]MP!A67:O3834,13,0)</f>
        <v>DRY-MZD-01</v>
      </c>
      <c r="G133" s="9" t="s">
        <v>35</v>
      </c>
      <c r="H133" s="9" t="s">
        <v>35</v>
      </c>
      <c r="I133" s="9" t="s">
        <v>111</v>
      </c>
      <c r="J133" s="9" t="s">
        <v>37</v>
      </c>
      <c r="K133" s="12">
        <v>43468</v>
      </c>
    </row>
    <row r="134" spans="1:11">
      <c r="A134" s="10">
        <v>133</v>
      </c>
      <c r="B134" s="9">
        <v>201901</v>
      </c>
      <c r="C134" s="11">
        <v>22991</v>
      </c>
      <c r="D134" s="9" t="s">
        <v>218</v>
      </c>
      <c r="E134" s="9" t="str">
        <f>VLOOKUP(C134,[1]MP!A68:O3976,12,0)</f>
        <v>CV A09</v>
      </c>
      <c r="F134" s="9" t="str">
        <f>VLOOKUP(C134,[1]MP!A68:O3835,13,0)</f>
        <v>S/A 2</v>
      </c>
      <c r="G134" s="9" t="s">
        <v>35</v>
      </c>
      <c r="H134" s="9" t="s">
        <v>35</v>
      </c>
      <c r="I134" s="9" t="s">
        <v>219</v>
      </c>
      <c r="J134" s="9" t="s">
        <v>37</v>
      </c>
      <c r="K134" s="12">
        <v>43468</v>
      </c>
    </row>
    <row r="135" spans="1:11">
      <c r="A135" s="10">
        <v>134</v>
      </c>
      <c r="B135" s="9">
        <v>201901</v>
      </c>
      <c r="C135" s="11">
        <v>22961</v>
      </c>
      <c r="D135" s="9" t="s">
        <v>220</v>
      </c>
      <c r="E135" s="9" t="str">
        <f>VLOOKUP(C135,[1]MP!A69:O3977,12,0)</f>
        <v>CV HV 05</v>
      </c>
      <c r="F135" s="9" t="str">
        <f>VLOOKUP(C135,[1]MP!A69:O3836,13,0)</f>
        <v>HS-N-02, N-03</v>
      </c>
      <c r="G135" s="9" t="s">
        <v>35</v>
      </c>
      <c r="H135" s="9" t="s">
        <v>35</v>
      </c>
      <c r="I135" s="9" t="s">
        <v>60</v>
      </c>
      <c r="J135" s="9" t="s">
        <v>37</v>
      </c>
      <c r="K135" s="12">
        <v>43468</v>
      </c>
    </row>
    <row r="136" spans="1:11">
      <c r="A136" s="10">
        <v>135</v>
      </c>
      <c r="B136" s="9">
        <v>201901</v>
      </c>
      <c r="C136" s="11">
        <v>22843</v>
      </c>
      <c r="D136" s="9" t="s">
        <v>221</v>
      </c>
      <c r="E136" s="9" t="str">
        <f>VLOOKUP(C136,[1]MP!A70:O3978,12,0)</f>
        <v>CV A10</v>
      </c>
      <c r="F136" s="9" t="str">
        <f>VLOOKUP(C136,[1]MP!A70:O3837,13,0)</f>
        <v>S/A 2.1B</v>
      </c>
      <c r="G136" s="9" t="s">
        <v>35</v>
      </c>
      <c r="H136" s="9" t="s">
        <v>35</v>
      </c>
      <c r="I136" s="9" t="s">
        <v>219</v>
      </c>
      <c r="J136" s="9" t="s">
        <v>37</v>
      </c>
      <c r="K136" s="12">
        <v>43468</v>
      </c>
    </row>
    <row r="137" spans="1:11">
      <c r="A137" s="10">
        <v>136</v>
      </c>
      <c r="B137" s="9">
        <v>201901</v>
      </c>
      <c r="C137" s="11">
        <v>22830</v>
      </c>
      <c r="D137" s="9" t="s">
        <v>222</v>
      </c>
      <c r="E137" s="9" t="str">
        <f>VLOOKUP(C137,[1]MP!A71:O3979,12,0)</f>
        <v>PRE ASSY SUZUKI YW0</v>
      </c>
      <c r="F137" s="9" t="str">
        <f>VLOOKUP(C137,[1]MP!A71:O3838,13,0)</f>
        <v>RYC-SZK-01,02</v>
      </c>
      <c r="G137" s="9" t="s">
        <v>35</v>
      </c>
      <c r="H137" s="9" t="s">
        <v>35</v>
      </c>
      <c r="I137" s="9" t="s">
        <v>223</v>
      </c>
      <c r="J137" s="9" t="s">
        <v>37</v>
      </c>
      <c r="K137" s="12">
        <v>43468</v>
      </c>
    </row>
    <row r="138" spans="1:11">
      <c r="A138" s="10">
        <v>137</v>
      </c>
      <c r="B138" s="9">
        <v>201901</v>
      </c>
      <c r="C138" s="11">
        <v>228</v>
      </c>
      <c r="D138" s="9" t="s">
        <v>224</v>
      </c>
      <c r="E138" s="9" t="str">
        <f>VLOOKUP(C138,[1]MP!A72:O3980,12,0)</f>
        <v>QA LL</v>
      </c>
      <c r="F138" s="9" t="str">
        <f>VLOOKUP(C138,[1]MP!A72:O3839,13,0)</f>
        <v>LEADER</v>
      </c>
      <c r="G138" s="9" t="s">
        <v>35</v>
      </c>
      <c r="H138" s="9" t="s">
        <v>35</v>
      </c>
      <c r="I138" s="9" t="s">
        <v>53</v>
      </c>
      <c r="J138" s="9" t="s">
        <v>37</v>
      </c>
      <c r="K138" s="12">
        <v>43468</v>
      </c>
    </row>
    <row r="139" spans="1:11">
      <c r="A139" s="10">
        <v>138</v>
      </c>
      <c r="B139" s="9">
        <v>201901</v>
      </c>
      <c r="C139" s="11">
        <v>22793</v>
      </c>
      <c r="D139" s="9" t="s">
        <v>225</v>
      </c>
      <c r="E139" s="9" t="str">
        <f>VLOOKUP(C139,[1]MP!A73:O3981,12,0)</f>
        <v>BATTERY CABLE NEW</v>
      </c>
      <c r="F139" s="9" t="str">
        <f>VLOOKUP(C139,[1]MP!A73:O3840,13,0)</f>
        <v>P-BC-01</v>
      </c>
      <c r="G139" s="9" t="s">
        <v>35</v>
      </c>
      <c r="H139" s="9" t="s">
        <v>35</v>
      </c>
      <c r="J139" s="9" t="s">
        <v>37</v>
      </c>
      <c r="K139" s="12">
        <v>43468</v>
      </c>
    </row>
    <row r="140" spans="1:11">
      <c r="A140" s="10">
        <v>139</v>
      </c>
      <c r="B140" s="9">
        <v>201901</v>
      </c>
      <c r="C140" s="11">
        <v>22780</v>
      </c>
      <c r="D140" s="9" t="s">
        <v>226</v>
      </c>
      <c r="E140" s="9" t="str">
        <f>VLOOKUP(C140,[1]MP!A74:O3982,12,0)</f>
        <v>ITE</v>
      </c>
      <c r="F140" s="9" t="str">
        <f>VLOOKUP(C140,[1]MP!A74:O3841,13,0)</f>
        <v>-</v>
      </c>
      <c r="G140" s="9" t="s">
        <v>35</v>
      </c>
      <c r="H140" s="9" t="s">
        <v>35</v>
      </c>
      <c r="I140" s="9" t="s">
        <v>227</v>
      </c>
      <c r="J140" s="9" t="s">
        <v>37</v>
      </c>
      <c r="K140" s="12">
        <v>43468</v>
      </c>
    </row>
    <row r="141" spans="1:11">
      <c r="A141" s="10">
        <v>140</v>
      </c>
      <c r="B141" s="9">
        <v>201901</v>
      </c>
      <c r="C141" s="11">
        <v>22718</v>
      </c>
      <c r="D141" s="9" t="s">
        <v>228</v>
      </c>
      <c r="E141" s="9" t="str">
        <f>VLOOKUP(C141,[1]MP!A3:O3803,12,0)</f>
        <v>PRE ASSY MAZDA ATENZA</v>
      </c>
      <c r="F141" s="9" t="str">
        <f>VLOOKUP(C141,[1]MP!A76:O3843,13,0)</f>
        <v>MC1-MZD-05</v>
      </c>
      <c r="G141" s="9" t="s">
        <v>35</v>
      </c>
      <c r="H141" s="9" t="s">
        <v>35</v>
      </c>
      <c r="J141" s="9" t="s">
        <v>229</v>
      </c>
      <c r="K141" s="12">
        <v>43468</v>
      </c>
    </row>
    <row r="142" spans="1:11">
      <c r="A142" s="10">
        <v>141</v>
      </c>
      <c r="B142" s="9">
        <v>201901</v>
      </c>
      <c r="C142" s="11">
        <v>22666</v>
      </c>
      <c r="D142" s="9" t="s">
        <v>230</v>
      </c>
      <c r="E142" s="9" t="str">
        <f>VLOOKUP(C142,[1]MP!A4:O3804,12,0)</f>
        <v>PRE ASSY MAZDA ATENZA CX-5</v>
      </c>
      <c r="F142" s="9" t="str">
        <f>VLOOKUP(C142,[1]MP!A77:O3844,13,0)</f>
        <v>RYC-MZD-02</v>
      </c>
      <c r="G142" s="9" t="s">
        <v>35</v>
      </c>
      <c r="H142" s="9" t="s">
        <v>35</v>
      </c>
      <c r="I142" s="9" t="s">
        <v>223</v>
      </c>
      <c r="J142" s="9" t="s">
        <v>37</v>
      </c>
      <c r="K142" s="12">
        <v>43468</v>
      </c>
    </row>
    <row r="143" spans="1:11">
      <c r="A143" s="10">
        <v>142</v>
      </c>
      <c r="B143" s="9">
        <v>201901</v>
      </c>
      <c r="C143" s="11">
        <v>22640</v>
      </c>
      <c r="D143" s="9" t="s">
        <v>231</v>
      </c>
      <c r="E143" s="9" t="str">
        <f>VLOOKUP(C143,[1]MP!A5:O3805,12,0)</f>
        <v>WORKSHOP</v>
      </c>
      <c r="F143" s="9" t="str">
        <f>VLOOKUP(C143,[1]MP!A78:O3845,13,0)</f>
        <v>Tool and Part Control</v>
      </c>
      <c r="G143" s="9" t="s">
        <v>35</v>
      </c>
      <c r="H143" s="9" t="s">
        <v>35</v>
      </c>
      <c r="I143" s="9" t="s">
        <v>232</v>
      </c>
      <c r="J143" s="9" t="s">
        <v>37</v>
      </c>
      <c r="K143" s="12">
        <v>43468</v>
      </c>
    </row>
    <row r="144" spans="1:11">
      <c r="A144" s="10">
        <v>143</v>
      </c>
      <c r="B144" s="9">
        <v>201901</v>
      </c>
      <c r="C144" s="11">
        <v>22598</v>
      </c>
      <c r="D144" s="9" t="s">
        <v>233</v>
      </c>
      <c r="E144" s="9" t="str">
        <f>VLOOKUP(C144,[1]MP!A7:O3807,12,0)</f>
        <v>PRE ASSY SUZUKI YW0</v>
      </c>
      <c r="F144" s="9" t="str">
        <f>VLOOKUP(C144,[1]MP!A3:O3765,13,0)</f>
        <v>ARR-SZK-01</v>
      </c>
      <c r="G144" s="9" t="s">
        <v>35</v>
      </c>
      <c r="H144" s="9" t="s">
        <v>35</v>
      </c>
      <c r="I144" s="9" t="s">
        <v>111</v>
      </c>
      <c r="J144" s="9" t="s">
        <v>229</v>
      </c>
      <c r="K144" s="12">
        <v>43468</v>
      </c>
    </row>
    <row r="145" spans="1:11">
      <c r="A145" s="10">
        <v>144</v>
      </c>
      <c r="B145" s="9">
        <v>201901</v>
      </c>
      <c r="C145" s="11">
        <v>22475</v>
      </c>
      <c r="D145" s="9" t="s">
        <v>234</v>
      </c>
      <c r="E145" s="9" t="str">
        <f>VLOOKUP(C145,[1]MP!A9:O3809,12,0)</f>
        <v>JCN</v>
      </c>
      <c r="F145" s="9" t="str">
        <f>VLOOKUP(C145,[1]MP!A4:O3766,13,0)</f>
        <v>BREAKDOWN FA</v>
      </c>
      <c r="G145" s="9" t="s">
        <v>35</v>
      </c>
      <c r="H145" s="9" t="s">
        <v>35</v>
      </c>
      <c r="I145" s="9" t="s">
        <v>235</v>
      </c>
      <c r="J145" s="9" t="s">
        <v>37</v>
      </c>
      <c r="K145" s="12">
        <v>43468</v>
      </c>
    </row>
    <row r="146" spans="1:11">
      <c r="A146" s="10">
        <v>145</v>
      </c>
      <c r="B146" s="9">
        <v>201901</v>
      </c>
      <c r="C146" s="11">
        <v>22444</v>
      </c>
      <c r="D146" s="9" t="s">
        <v>236</v>
      </c>
      <c r="E146" s="9" t="str">
        <f>VLOOKUP(C146,[1]MP!A10:O3810,12,0)</f>
        <v>PRE ASSY HONDA CRV</v>
      </c>
      <c r="F146" s="9" t="str">
        <f>VLOOKUP(C146,[1]MP!A5:O3767,13,0)</f>
        <v>JM2-CRV-01</v>
      </c>
      <c r="G146" s="9" t="s">
        <v>35</v>
      </c>
      <c r="H146" s="9" t="s">
        <v>35</v>
      </c>
      <c r="I146" s="9" t="s">
        <v>60</v>
      </c>
      <c r="J146" s="9" t="s">
        <v>37</v>
      </c>
      <c r="K146" s="12">
        <v>43468</v>
      </c>
    </row>
    <row r="147" spans="1:11">
      <c r="A147" s="10">
        <v>146</v>
      </c>
      <c r="B147" s="9">
        <v>201901</v>
      </c>
      <c r="C147" s="11">
        <v>22439</v>
      </c>
      <c r="D147" s="9" t="s">
        <v>237</v>
      </c>
      <c r="E147" s="9" t="str">
        <f>VLOOKUP(C147,[1]MP!A11:O3811,12,0)</f>
        <v>JCN</v>
      </c>
      <c r="F147" s="9" t="str">
        <f>VLOOKUP(C147,[1]MP!A6:O3768,13,0)</f>
        <v>BREAKDOWN FA</v>
      </c>
      <c r="G147" s="9" t="s">
        <v>35</v>
      </c>
      <c r="H147" s="9" t="s">
        <v>35</v>
      </c>
      <c r="I147" s="9" t="s">
        <v>238</v>
      </c>
      <c r="J147" s="9" t="s">
        <v>37</v>
      </c>
      <c r="K147" s="12">
        <v>43468</v>
      </c>
    </row>
    <row r="148" spans="1:11">
      <c r="A148" s="10">
        <v>147</v>
      </c>
      <c r="B148" s="9">
        <v>201901</v>
      </c>
      <c r="C148" s="11">
        <v>22390</v>
      </c>
      <c r="D148" s="9" t="s">
        <v>239</v>
      </c>
      <c r="E148" s="9" t="str">
        <f>VLOOKUP(C148,[1]MP!A12:O3812,12,0)</f>
        <v>BUFFER MP SAMI</v>
      </c>
      <c r="F148" s="9" t="str">
        <f>VLOOKUP(C148,[1]MP!A7:O3769,13,0)</f>
        <v>BUFFER MP</v>
      </c>
      <c r="G148" s="9" t="s">
        <v>35</v>
      </c>
      <c r="H148" s="9" t="s">
        <v>35</v>
      </c>
      <c r="I148" s="9" t="s">
        <v>240</v>
      </c>
      <c r="J148" s="9" t="s">
        <v>37</v>
      </c>
      <c r="K148" s="12">
        <v>43468</v>
      </c>
    </row>
    <row r="149" spans="1:11">
      <c r="A149" s="10">
        <v>148</v>
      </c>
      <c r="B149" s="9">
        <v>201901</v>
      </c>
      <c r="C149" s="11">
        <v>22360</v>
      </c>
      <c r="D149" s="9" t="s">
        <v>241</v>
      </c>
      <c r="E149" s="9" t="str">
        <f>VLOOKUP(C149,[1]MP!A13:O3813,12,0)</f>
        <v>JCN</v>
      </c>
      <c r="F149" s="9" t="str">
        <f>VLOOKUP(C149,[1]MP!A8:O3770,13,0)</f>
        <v>BREAKDOWN FA</v>
      </c>
      <c r="G149" s="9" t="s">
        <v>35</v>
      </c>
      <c r="H149" s="9" t="s">
        <v>35</v>
      </c>
      <c r="I149" s="9" t="s">
        <v>242</v>
      </c>
      <c r="J149" s="9" t="s">
        <v>37</v>
      </c>
      <c r="K149" s="12">
        <v>43468</v>
      </c>
    </row>
    <row r="150" spans="1:11">
      <c r="A150" s="10">
        <v>149</v>
      </c>
      <c r="B150" s="9">
        <v>201901</v>
      </c>
      <c r="C150" s="11">
        <v>22352</v>
      </c>
      <c r="D150" s="9" t="s">
        <v>243</v>
      </c>
      <c r="E150" s="9" t="str">
        <f>VLOOKUP(C150,[1]MP!A14:O3814,12,0)</f>
        <v>PRE ASSY SUZUKI Y0C</v>
      </c>
      <c r="F150" s="9" t="str">
        <f>VLOOKUP(C150,[1]MP!A9:O3771,13,0)</f>
        <v>BM2-SZK-01</v>
      </c>
      <c r="G150" s="9" t="s">
        <v>35</v>
      </c>
      <c r="H150" s="9" t="s">
        <v>35</v>
      </c>
      <c r="I150" s="9" t="s">
        <v>111</v>
      </c>
      <c r="J150" s="9" t="s">
        <v>37</v>
      </c>
      <c r="K150" s="12">
        <v>43468</v>
      </c>
    </row>
    <row r="151" spans="1:11">
      <c r="A151" s="10">
        <v>150</v>
      </c>
      <c r="B151" s="9">
        <v>201901</v>
      </c>
      <c r="C151" s="11">
        <v>22328</v>
      </c>
      <c r="D151" s="9" t="s">
        <v>244</v>
      </c>
      <c r="E151" s="9" t="str">
        <f>VLOOKUP(C151,[1]MP!A15:O3815,12,0)</f>
        <v>CV A09</v>
      </c>
      <c r="F151" s="9" t="str">
        <f>VLOOKUP(C151,[1]MP!A10:O3772,13,0)</f>
        <v>S/A 1</v>
      </c>
      <c r="G151" s="9" t="s">
        <v>35</v>
      </c>
      <c r="H151" s="9" t="s">
        <v>35</v>
      </c>
      <c r="I151" s="9" t="s">
        <v>219</v>
      </c>
      <c r="J151" s="9" t="s">
        <v>37</v>
      </c>
      <c r="K151" s="12">
        <v>43468</v>
      </c>
    </row>
    <row r="152" spans="1:11">
      <c r="A152" s="10">
        <v>151</v>
      </c>
      <c r="B152" s="9">
        <v>201901</v>
      </c>
      <c r="C152" s="11">
        <v>22323</v>
      </c>
      <c r="D152" s="9" t="s">
        <v>245</v>
      </c>
      <c r="E152" s="9" t="str">
        <f>VLOOKUP(C152,[1]MP!A16:O3816,12,0)</f>
        <v>CBP</v>
      </c>
      <c r="F152" s="9" t="str">
        <f>VLOOKUP(C152,[1]MP!A11:O3773,13,0)</f>
        <v>CHECKER BOARD FABRICATION</v>
      </c>
      <c r="G152" s="9" t="s">
        <v>35</v>
      </c>
      <c r="H152" s="9" t="s">
        <v>35</v>
      </c>
      <c r="I152" s="9" t="s">
        <v>246</v>
      </c>
      <c r="J152" s="9" t="s">
        <v>37</v>
      </c>
      <c r="K152" s="12">
        <v>43468</v>
      </c>
    </row>
    <row r="153" spans="1:11">
      <c r="A153" s="10">
        <v>152</v>
      </c>
      <c r="B153" s="9">
        <v>201901</v>
      </c>
      <c r="C153" s="11">
        <v>22298</v>
      </c>
      <c r="D153" s="9" t="s">
        <v>247</v>
      </c>
      <c r="E153" s="9" t="str">
        <f>VLOOKUP(C153,[1]MP!A17:O3817,12,0)</f>
        <v>PRE ASSY HONDA HV</v>
      </c>
      <c r="F153" s="9" t="str">
        <f>VLOOKUP(C153,[1]MP!A12:O3774,13,0)</f>
        <v>INTERMEDIATE 01</v>
      </c>
      <c r="G153" s="9" t="s">
        <v>35</v>
      </c>
      <c r="H153" s="9" t="s">
        <v>35</v>
      </c>
      <c r="I153" s="9" t="s">
        <v>223</v>
      </c>
      <c r="J153" s="9" t="s">
        <v>37</v>
      </c>
      <c r="K153" s="12">
        <v>43468</v>
      </c>
    </row>
    <row r="154" spans="1:11">
      <c r="A154" s="10">
        <v>153</v>
      </c>
      <c r="B154" s="9">
        <v>201901</v>
      </c>
      <c r="C154" s="11">
        <v>22276</v>
      </c>
      <c r="D154" s="9" t="s">
        <v>248</v>
      </c>
      <c r="E154" s="9" t="str">
        <f>VLOOKUP(C154,[1]MP!A18:O3818,12,0)</f>
        <v>WHS</v>
      </c>
      <c r="F154" s="9" t="str">
        <f>VLOOKUP(C154,[1]MP!A13:O3775,13,0)</f>
        <v>-</v>
      </c>
      <c r="G154" s="9" t="s">
        <v>35</v>
      </c>
      <c r="H154" s="9" t="s">
        <v>35</v>
      </c>
      <c r="I154" s="12">
        <v>43364</v>
      </c>
      <c r="J154" s="9" t="s">
        <v>37</v>
      </c>
      <c r="K154" s="12">
        <v>43468</v>
      </c>
    </row>
    <row r="155" spans="1:11">
      <c r="A155" s="10">
        <v>154</v>
      </c>
      <c r="B155" s="9">
        <v>201901</v>
      </c>
      <c r="C155" s="11">
        <v>22264</v>
      </c>
      <c r="D155" s="9" t="s">
        <v>249</v>
      </c>
      <c r="E155" s="9" t="str">
        <f>VLOOKUP(C155,[1]MP!A19:O3819,12,0)</f>
        <v>MTC</v>
      </c>
      <c r="F155" s="9" t="str">
        <f>VLOOKUP(C155,[1]MP!A14:O3776,13,0)</f>
        <v>BREAKDOWN FA</v>
      </c>
      <c r="G155" s="9" t="s">
        <v>35</v>
      </c>
      <c r="H155" s="9" t="s">
        <v>35</v>
      </c>
      <c r="I155" s="9" t="s">
        <v>250</v>
      </c>
      <c r="J155" s="9" t="s">
        <v>37</v>
      </c>
      <c r="K155" s="12">
        <v>43468</v>
      </c>
    </row>
    <row r="156" spans="1:11">
      <c r="A156" s="10">
        <v>155</v>
      </c>
      <c r="B156" s="9">
        <v>201901</v>
      </c>
      <c r="C156" s="11">
        <v>22252</v>
      </c>
      <c r="D156" s="9" t="s">
        <v>251</v>
      </c>
      <c r="E156" s="9" t="str">
        <f>VLOOKUP(C156,[1]MP!A20:O3820,12,0)</f>
        <v>CV HV 05</v>
      </c>
      <c r="F156" s="9" t="str">
        <f>VLOOKUP(C156,[1]MP!A15:O3777,13,0)</f>
        <v>AP3-N-02, HS-N-01</v>
      </c>
      <c r="G156" s="9" t="s">
        <v>35</v>
      </c>
      <c r="H156" s="9" t="s">
        <v>35</v>
      </c>
      <c r="I156" s="9" t="s">
        <v>60</v>
      </c>
      <c r="J156" s="9" t="s">
        <v>37</v>
      </c>
      <c r="K156" s="12">
        <v>43468</v>
      </c>
    </row>
    <row r="157" spans="1:11">
      <c r="A157" s="10">
        <v>156</v>
      </c>
      <c r="B157" s="9">
        <v>201901</v>
      </c>
      <c r="C157" s="11">
        <v>22216</v>
      </c>
      <c r="D157" s="9" t="s">
        <v>252</v>
      </c>
      <c r="E157" s="9" t="str">
        <f>VLOOKUP(C157,[1]MP!A21:O3821,12,0)</f>
        <v>PRE ASSY HONDA EXPORT</v>
      </c>
      <c r="F157" s="9" t="str">
        <f>VLOOKUP(C157,[1]MP!A16:O3778,13,0)</f>
        <v>WK-13</v>
      </c>
      <c r="G157" s="9" t="s">
        <v>35</v>
      </c>
      <c r="H157" s="9" t="s">
        <v>35</v>
      </c>
      <c r="I157" s="9" t="s">
        <v>253</v>
      </c>
      <c r="J157" s="9" t="s">
        <v>37</v>
      </c>
      <c r="K157" s="12">
        <v>43468</v>
      </c>
    </row>
    <row r="158" spans="1:11">
      <c r="A158" s="10">
        <v>157</v>
      </c>
      <c r="B158" s="9">
        <v>201901</v>
      </c>
      <c r="C158" s="11">
        <v>22181</v>
      </c>
      <c r="D158" s="9" t="s">
        <v>254</v>
      </c>
      <c r="E158" s="9" t="str">
        <f>VLOOKUP(C158,[1]MP!A22:O3822,12,0)</f>
        <v>CV HV 05</v>
      </c>
      <c r="F158" s="9" t="str">
        <f>VLOOKUP(C158,[1]MP!A17:O3779,13,0)</f>
        <v>S/A 2, TP GEN</v>
      </c>
      <c r="G158" s="9" t="s">
        <v>35</v>
      </c>
      <c r="H158" s="9" t="s">
        <v>35</v>
      </c>
      <c r="I158" s="9" t="s">
        <v>255</v>
      </c>
      <c r="J158" s="9" t="s">
        <v>37</v>
      </c>
      <c r="K158" s="12">
        <v>43468</v>
      </c>
    </row>
    <row r="159" spans="1:11">
      <c r="A159" s="10">
        <v>158</v>
      </c>
      <c r="B159" s="9">
        <v>201901</v>
      </c>
      <c r="C159" s="11">
        <v>22168</v>
      </c>
      <c r="D159" s="9" t="s">
        <v>256</v>
      </c>
      <c r="E159" s="9" t="str">
        <f>VLOOKUP(C159,[1]MP!A23:O3823,12,0)</f>
        <v>PRE ASSY SUZUKI YW0</v>
      </c>
      <c r="F159" s="9" t="str">
        <f>VLOOKUP(C159,[1]MP!A18:O3780,13,0)</f>
        <v>MSU-SZK-01, MSY-SZK-01, SS70, DRY-SZK-01</v>
      </c>
      <c r="G159" s="9" t="s">
        <v>35</v>
      </c>
      <c r="H159" s="9" t="s">
        <v>35</v>
      </c>
      <c r="I159" s="9" t="s">
        <v>60</v>
      </c>
      <c r="J159" s="9" t="s">
        <v>37</v>
      </c>
      <c r="K159" s="12">
        <v>43468</v>
      </c>
    </row>
    <row r="160" spans="1:11">
      <c r="A160" s="10">
        <v>159</v>
      </c>
      <c r="B160" s="9">
        <v>201901</v>
      </c>
      <c r="C160" s="11">
        <v>22134</v>
      </c>
      <c r="D160" s="9" t="s">
        <v>257</v>
      </c>
      <c r="E160" s="9" t="str">
        <f>VLOOKUP(C160,[1]MP!A24:O3824,12,0)</f>
        <v>BATTERY CABLE NEW</v>
      </c>
      <c r="F160" s="9" t="str">
        <f>VLOOKUP(C160,[1]MP!A19:O3781,13,0)</f>
        <v>P-BC-04</v>
      </c>
      <c r="G160" s="9" t="s">
        <v>35</v>
      </c>
      <c r="H160" s="9" t="s">
        <v>35</v>
      </c>
      <c r="J160" s="9" t="s">
        <v>37</v>
      </c>
      <c r="K160" s="12">
        <v>43468</v>
      </c>
    </row>
    <row r="161" spans="1:11">
      <c r="A161" s="10">
        <v>160</v>
      </c>
      <c r="B161" s="9">
        <v>201901</v>
      </c>
      <c r="C161" s="11">
        <v>21982</v>
      </c>
      <c r="D161" s="9" t="s">
        <v>258</v>
      </c>
      <c r="E161" s="9" t="str">
        <f>VLOOKUP(C161,[1]MP!A27:O3827,12,0)</f>
        <v>WHS</v>
      </c>
      <c r="F161" s="9" t="str">
        <f>VLOOKUP(C161,[1]MP!A20:O3782,13,0)</f>
        <v>-</v>
      </c>
      <c r="G161" s="9" t="s">
        <v>35</v>
      </c>
      <c r="H161" s="9" t="s">
        <v>35</v>
      </c>
      <c r="I161" s="12">
        <v>43364</v>
      </c>
      <c r="J161" s="9" t="s">
        <v>37</v>
      </c>
      <c r="K161" s="12">
        <v>43468</v>
      </c>
    </row>
    <row r="162" spans="1:11">
      <c r="A162" s="10">
        <v>161</v>
      </c>
      <c r="B162" s="9">
        <v>201901</v>
      </c>
      <c r="C162" s="11">
        <v>21981</v>
      </c>
      <c r="D162" s="9" t="s">
        <v>259</v>
      </c>
      <c r="E162" s="9" t="str">
        <f>VLOOKUP(C162,[1]MP!A28:O3828,12,0)</f>
        <v>JBP</v>
      </c>
      <c r="F162" s="9" t="str">
        <f>VLOOKUP(C162,[1]MP!A21:O3783,13,0)</f>
        <v>VALIDASI JIG BOARD</v>
      </c>
      <c r="G162" s="9" t="s">
        <v>35</v>
      </c>
      <c r="H162" s="9" t="s">
        <v>35</v>
      </c>
      <c r="I162" s="9" t="s">
        <v>260</v>
      </c>
      <c r="J162" s="9" t="s">
        <v>37</v>
      </c>
      <c r="K162" s="12">
        <v>43468</v>
      </c>
    </row>
    <row r="163" spans="1:11">
      <c r="A163" s="10">
        <v>162</v>
      </c>
      <c r="B163" s="9">
        <v>201901</v>
      </c>
      <c r="C163" s="11">
        <v>21974</v>
      </c>
      <c r="D163" s="9" t="s">
        <v>261</v>
      </c>
      <c r="E163" s="9" t="str">
        <f>VLOOKUP(C163,[1]MP!A29:O3829,12,0)</f>
        <v>BATTERY CABLE NEW</v>
      </c>
      <c r="F163" s="9" t="str">
        <f>VLOOKUP(C163,[1]MP!A22:O3784,13,0)</f>
        <v>AI-01, DRY-BC-01</v>
      </c>
      <c r="G163" s="9" t="s">
        <v>35</v>
      </c>
      <c r="H163" s="9" t="s">
        <v>35</v>
      </c>
      <c r="I163" s="9" t="s">
        <v>60</v>
      </c>
      <c r="J163" s="9" t="s">
        <v>37</v>
      </c>
      <c r="K163" s="12">
        <v>43468</v>
      </c>
    </row>
    <row r="164" spans="1:11">
      <c r="A164" s="10">
        <v>163</v>
      </c>
      <c r="B164" s="9">
        <v>201901</v>
      </c>
      <c r="C164" s="11">
        <v>21955</v>
      </c>
      <c r="D164" s="9" t="s">
        <v>262</v>
      </c>
      <c r="E164" s="9" t="str">
        <f>VLOOKUP(C164,[1]MP!A30:O3830,12,0)</f>
        <v>CV 13B</v>
      </c>
      <c r="F164" s="9" t="str">
        <f>VLOOKUP(C164,[1]MP!A23:O3785,13,0)</f>
        <v>MATERIAL SUPPLY</v>
      </c>
      <c r="G164" s="9" t="s">
        <v>35</v>
      </c>
      <c r="H164" s="9" t="s">
        <v>35</v>
      </c>
      <c r="I164" s="9" t="s">
        <v>60</v>
      </c>
      <c r="J164" s="9" t="s">
        <v>37</v>
      </c>
      <c r="K164" s="12">
        <v>43468</v>
      </c>
    </row>
    <row r="165" spans="1:11">
      <c r="A165" s="10">
        <v>164</v>
      </c>
      <c r="B165" s="9">
        <v>201901</v>
      </c>
      <c r="C165" s="11">
        <v>21912</v>
      </c>
      <c r="D165" s="9" t="s">
        <v>263</v>
      </c>
      <c r="E165" s="9" t="str">
        <f>VLOOKUP(C165,[1]MP!A31:O3831,12,0)</f>
        <v>CBP</v>
      </c>
      <c r="F165" s="9" t="str">
        <f>VLOOKUP(C165,[1]MP!A24:O3786,13,0)</f>
        <v>CHECKER BOARD FABRICATION</v>
      </c>
      <c r="G165" s="9" t="s">
        <v>35</v>
      </c>
      <c r="H165" s="9" t="s">
        <v>35</v>
      </c>
      <c r="I165" s="12">
        <v>43185</v>
      </c>
      <c r="J165" s="9" t="s">
        <v>37</v>
      </c>
      <c r="K165" s="12">
        <v>43468</v>
      </c>
    </row>
    <row r="166" spans="1:11">
      <c r="A166" s="10">
        <v>165</v>
      </c>
      <c r="B166" s="9">
        <v>201901</v>
      </c>
      <c r="C166" s="11">
        <v>21865</v>
      </c>
      <c r="D166" s="9" t="s">
        <v>264</v>
      </c>
      <c r="E166" s="9" t="str">
        <f>VLOOKUP(C166,[1]MP!A32:O3832,12,0)</f>
        <v>JBP</v>
      </c>
      <c r="F166" s="9" t="str">
        <f>VLOOKUP(C166,[1]MP!A25:O3787,13,0)</f>
        <v>VALIDASI JIG BOARD</v>
      </c>
      <c r="G166" s="9" t="s">
        <v>35</v>
      </c>
      <c r="H166" s="9" t="s">
        <v>35</v>
      </c>
      <c r="I166" s="12">
        <v>43132</v>
      </c>
      <c r="J166" s="9" t="s">
        <v>37</v>
      </c>
      <c r="K166" s="12">
        <v>43468</v>
      </c>
    </row>
    <row r="167" spans="1:11">
      <c r="A167" s="10">
        <v>166</v>
      </c>
      <c r="B167" s="9">
        <v>201901</v>
      </c>
      <c r="C167" s="11">
        <v>21856</v>
      </c>
      <c r="D167" s="9" t="s">
        <v>265</v>
      </c>
      <c r="E167" s="9" t="str">
        <f>VLOOKUP(C167,[1]MP!A33:O3833,12,0)</f>
        <v>PRE ASSY SUZUKI YW0</v>
      </c>
      <c r="F167" s="9" t="str">
        <f>VLOOKUP(C167,[1]MP!A26:O3788,13,0)</f>
        <v>MSU,MSY,SS70-SZK-01</v>
      </c>
      <c r="G167" s="9" t="s">
        <v>35</v>
      </c>
      <c r="H167" s="9" t="s">
        <v>35</v>
      </c>
      <c r="I167" s="9" t="s">
        <v>111</v>
      </c>
      <c r="J167" s="9" t="s">
        <v>37</v>
      </c>
      <c r="K167" s="12">
        <v>43468</v>
      </c>
    </row>
    <row r="168" spans="1:11">
      <c r="A168" s="10">
        <v>167</v>
      </c>
      <c r="B168" s="9">
        <v>201901</v>
      </c>
      <c r="C168" s="11">
        <v>21804</v>
      </c>
      <c r="D168" s="9" t="s">
        <v>266</v>
      </c>
      <c r="E168" s="9" t="str">
        <f>VLOOKUP(C168,[1]MP!A35:O3835,12,0)</f>
        <v>BATTERY CABLE NEW</v>
      </c>
      <c r="F168" s="9" t="str">
        <f>VLOOKUP(C168,[1]MP!A27:O3789,13,0)</f>
        <v>MC3-BC-03</v>
      </c>
      <c r="G168" s="9" t="s">
        <v>35</v>
      </c>
      <c r="H168" s="9" t="s">
        <v>35</v>
      </c>
      <c r="J168" s="9" t="s">
        <v>37</v>
      </c>
      <c r="K168" s="12">
        <v>43468</v>
      </c>
    </row>
    <row r="169" spans="1:11">
      <c r="A169" s="10">
        <v>168</v>
      </c>
      <c r="B169" s="9">
        <v>201901</v>
      </c>
      <c r="C169" s="11">
        <v>21798</v>
      </c>
      <c r="D169" s="9" t="s">
        <v>267</v>
      </c>
      <c r="E169" s="9" t="str">
        <f>VLOOKUP(C169,[1]MP!A36:O3836,12,0)</f>
        <v>PRE ASSY TOYOTA HV</v>
      </c>
      <c r="F169" s="9" t="str">
        <f>VLOOKUP(C169,[1]MP!A28:O3790,13,0)</f>
        <v>RYC-TAC-01</v>
      </c>
      <c r="G169" s="9" t="s">
        <v>35</v>
      </c>
      <c r="H169" s="9" t="s">
        <v>35</v>
      </c>
      <c r="J169" s="9" t="s">
        <v>37</v>
      </c>
      <c r="K169" s="12">
        <v>43468</v>
      </c>
    </row>
    <row r="170" spans="1:11">
      <c r="A170" s="10">
        <v>169</v>
      </c>
      <c r="B170" s="9">
        <v>201901</v>
      </c>
      <c r="C170" s="11">
        <v>21747</v>
      </c>
      <c r="D170" s="9" t="s">
        <v>174</v>
      </c>
      <c r="E170" s="9" t="str">
        <f>VLOOKUP(C170,[1]MP!A37:O3837,12,0)</f>
        <v>PRE ASSY HONDA CRV</v>
      </c>
      <c r="F170" s="9" t="str">
        <f>VLOOKUP(C170,[1]MP!A29:O3791,13,0)</f>
        <v>DRY-CRV-02</v>
      </c>
      <c r="G170" s="9" t="s">
        <v>35</v>
      </c>
      <c r="H170" s="9" t="s">
        <v>35</v>
      </c>
      <c r="I170" s="9" t="s">
        <v>60</v>
      </c>
      <c r="J170" s="9" t="s">
        <v>37</v>
      </c>
      <c r="K170" s="12">
        <v>43468</v>
      </c>
    </row>
    <row r="171" spans="1:11">
      <c r="A171" s="10">
        <v>170</v>
      </c>
      <c r="B171" s="9">
        <v>201901</v>
      </c>
      <c r="C171" s="11">
        <v>21706</v>
      </c>
      <c r="D171" s="9" t="s">
        <v>268</v>
      </c>
      <c r="E171" s="9" t="str">
        <f>VLOOKUP(C171,[1]MP!A39:O3839,12,0)</f>
        <v>BATTERY CABLE NEW</v>
      </c>
      <c r="F171" s="9" t="str">
        <f>VLOOKUP(C171,[1]MP!A30:O3792,13,0)</f>
        <v>P-BC-03</v>
      </c>
      <c r="G171" s="9" t="s">
        <v>35</v>
      </c>
      <c r="H171" s="9" t="s">
        <v>35</v>
      </c>
      <c r="I171" s="9" t="s">
        <v>269</v>
      </c>
      <c r="J171" s="9" t="s">
        <v>37</v>
      </c>
      <c r="K171" s="12">
        <v>43468</v>
      </c>
    </row>
    <row r="172" spans="1:11">
      <c r="A172" s="10">
        <v>171</v>
      </c>
      <c r="B172" s="9">
        <v>201901</v>
      </c>
      <c r="C172" s="11">
        <v>21700</v>
      </c>
      <c r="D172" s="9" t="s">
        <v>270</v>
      </c>
      <c r="E172" s="9" t="str">
        <f>VLOOKUP(C172,[1]MP!A40:O3840,12,0)</f>
        <v>BATTERY CABLE NEW</v>
      </c>
      <c r="F172" s="9" t="str">
        <f>VLOOKUP(C172,[1]MP!A31:O3793,13,0)</f>
        <v>JC3-BC-01</v>
      </c>
      <c r="G172" s="9" t="s">
        <v>35</v>
      </c>
      <c r="H172" s="9" t="s">
        <v>35</v>
      </c>
      <c r="I172" s="9" t="s">
        <v>60</v>
      </c>
      <c r="J172" s="9" t="s">
        <v>37</v>
      </c>
      <c r="K172" s="12">
        <v>43468</v>
      </c>
    </row>
    <row r="173" spans="1:11">
      <c r="A173" s="10">
        <v>172</v>
      </c>
      <c r="B173" s="9">
        <v>201901</v>
      </c>
      <c r="C173" s="11">
        <v>21693</v>
      </c>
      <c r="D173" s="9" t="s">
        <v>271</v>
      </c>
      <c r="E173" s="9" t="str">
        <f>VLOOKUP(C173,[1]MP!A41:O3841,12,0)</f>
        <v>WHS</v>
      </c>
      <c r="F173" s="9" t="str">
        <f>VLOOKUP(C173,[1]MP!A32:O3794,13,0)</f>
        <v>-</v>
      </c>
      <c r="G173" s="9" t="s">
        <v>35</v>
      </c>
      <c r="H173" s="9" t="s">
        <v>35</v>
      </c>
      <c r="J173" s="9" t="s">
        <v>37</v>
      </c>
      <c r="K173" s="12">
        <v>43468</v>
      </c>
    </row>
    <row r="174" spans="1:11">
      <c r="A174" s="10">
        <v>173</v>
      </c>
      <c r="B174" s="9">
        <v>201901</v>
      </c>
      <c r="C174" s="11">
        <v>21684</v>
      </c>
      <c r="D174" s="9" t="s">
        <v>272</v>
      </c>
      <c r="E174" s="9" t="str">
        <f>VLOOKUP(C174,[1]MP!A42:O3842,12,0)</f>
        <v>WHS</v>
      </c>
      <c r="F174" s="9" t="str">
        <f>VLOOKUP(C174,[1]MP!A33:O3795,13,0)</f>
        <v>-</v>
      </c>
      <c r="G174" s="9" t="s">
        <v>35</v>
      </c>
      <c r="H174" s="9" t="s">
        <v>35</v>
      </c>
      <c r="I174" s="9" t="s">
        <v>273</v>
      </c>
      <c r="J174" s="9" t="s">
        <v>37</v>
      </c>
      <c r="K174" s="12">
        <v>43468</v>
      </c>
    </row>
    <row r="175" spans="1:11">
      <c r="A175" s="10">
        <v>174</v>
      </c>
      <c r="B175" s="9">
        <v>201901</v>
      </c>
      <c r="C175" s="11">
        <v>21669</v>
      </c>
      <c r="D175" s="9" t="s">
        <v>274</v>
      </c>
      <c r="E175" s="9" t="str">
        <f>VLOOKUP(C175,[1]MP!A43:O3843,12,0)</f>
        <v>WHS</v>
      </c>
      <c r="F175" s="9" t="str">
        <f>VLOOKUP(C175,[1]MP!A34:O3796,13,0)</f>
        <v>-</v>
      </c>
      <c r="G175" s="9" t="s">
        <v>35</v>
      </c>
      <c r="H175" s="9" t="s">
        <v>35</v>
      </c>
      <c r="I175" s="9" t="s">
        <v>275</v>
      </c>
      <c r="J175" s="9" t="s">
        <v>37</v>
      </c>
      <c r="K175" s="12">
        <v>43468</v>
      </c>
    </row>
    <row r="176" spans="1:11">
      <c r="A176" s="10">
        <v>175</v>
      </c>
      <c r="B176" s="9">
        <v>201901</v>
      </c>
      <c r="C176" s="11">
        <v>21656</v>
      </c>
      <c r="D176" s="9" t="s">
        <v>276</v>
      </c>
      <c r="E176" s="9" t="str">
        <f>VLOOKUP(C176,[1]MP!A44:O3844,12,0)</f>
        <v>WHS</v>
      </c>
      <c r="F176" s="9" t="str">
        <f>VLOOKUP(C176,[1]MP!A35:O3797,13,0)</f>
        <v>-</v>
      </c>
      <c r="G176" s="9" t="s">
        <v>35</v>
      </c>
      <c r="H176" s="9" t="s">
        <v>35</v>
      </c>
      <c r="I176" s="12">
        <v>43185</v>
      </c>
      <c r="J176" s="9" t="s">
        <v>37</v>
      </c>
      <c r="K176" s="12">
        <v>43468</v>
      </c>
    </row>
    <row r="177" spans="1:11">
      <c r="A177" s="10">
        <v>176</v>
      </c>
      <c r="B177" s="9">
        <v>201901</v>
      </c>
      <c r="C177" s="11">
        <v>21635</v>
      </c>
      <c r="D177" s="9" t="s">
        <v>277</v>
      </c>
      <c r="E177" s="9" t="str">
        <f>VLOOKUP(C177,[1]MP!A45:O3845,12,0)</f>
        <v>WHS</v>
      </c>
      <c r="F177" s="9" t="str">
        <f>VLOOKUP(C177,[1]MP!A36:O3798,13,0)</f>
        <v>-</v>
      </c>
      <c r="G177" s="9" t="s">
        <v>35</v>
      </c>
      <c r="H177" s="9" t="s">
        <v>35</v>
      </c>
      <c r="J177" s="9" t="s">
        <v>37</v>
      </c>
      <c r="K177" s="12">
        <v>43468</v>
      </c>
    </row>
    <row r="178" spans="1:11">
      <c r="A178" s="10">
        <v>177</v>
      </c>
      <c r="B178" s="9">
        <v>201901</v>
      </c>
      <c r="C178" s="11">
        <v>21597</v>
      </c>
      <c r="D178" s="9" t="s">
        <v>278</v>
      </c>
      <c r="E178" s="9" t="str">
        <f>VLOOKUP(C178,[1]MP!A47:O3847,12,0)</f>
        <v>PRE ASSY HONDA CRV</v>
      </c>
      <c r="F178" s="9" t="str">
        <f>VLOOKUP(C178,[1]MP!A37:O3799,13,0)</f>
        <v>DRY-CRV-01</v>
      </c>
      <c r="G178" s="9" t="s">
        <v>35</v>
      </c>
      <c r="H178" s="9" t="s">
        <v>35</v>
      </c>
      <c r="I178" s="9" t="s">
        <v>60</v>
      </c>
      <c r="J178" s="9" t="s">
        <v>37</v>
      </c>
      <c r="K178" s="12">
        <v>43468</v>
      </c>
    </row>
    <row r="179" spans="1:11">
      <c r="A179" s="10">
        <v>178</v>
      </c>
      <c r="B179" s="9">
        <v>201901</v>
      </c>
      <c r="C179" s="11">
        <v>21591</v>
      </c>
      <c r="D179" s="9" t="s">
        <v>279</v>
      </c>
      <c r="E179" s="9" t="str">
        <f>VLOOKUP(C179,[1]MP!A48:O3848,12,0)</f>
        <v>BATTERY CABLE NEW</v>
      </c>
      <c r="F179" s="9" t="str">
        <f>VLOOKUP(C179,[1]MP!A38:O3800,13,0)</f>
        <v>P-BC-04</v>
      </c>
      <c r="G179" s="9" t="s">
        <v>35</v>
      </c>
      <c r="H179" s="9" t="s">
        <v>35</v>
      </c>
      <c r="J179" s="9" t="s">
        <v>37</v>
      </c>
      <c r="K179" s="12">
        <v>43468</v>
      </c>
    </row>
    <row r="180" spans="1:11">
      <c r="A180" s="10">
        <v>179</v>
      </c>
      <c r="B180" s="9">
        <v>201901</v>
      </c>
      <c r="C180" s="11">
        <v>21510</v>
      </c>
      <c r="D180" s="9" t="s">
        <v>280</v>
      </c>
      <c r="E180" s="9" t="str">
        <f>VLOOKUP(C180,[1]MP!A51:O3851,12,0)</f>
        <v>NIP</v>
      </c>
      <c r="F180" s="9" t="str">
        <f>VLOOKUP(C180,[1]MP!A39:O3801,13,0)</f>
        <v>NAVIGATION SYSTEM FABRICATION</v>
      </c>
      <c r="G180" s="9" t="s">
        <v>35</v>
      </c>
      <c r="H180" s="9" t="s">
        <v>35</v>
      </c>
      <c r="I180" s="12">
        <v>43193</v>
      </c>
      <c r="J180" s="9" t="s">
        <v>37</v>
      </c>
      <c r="K180" s="12">
        <v>43468</v>
      </c>
    </row>
    <row r="181" spans="1:11">
      <c r="A181" s="10">
        <v>180</v>
      </c>
      <c r="B181" s="9">
        <v>201901</v>
      </c>
      <c r="C181" s="11">
        <v>21509</v>
      </c>
      <c r="D181" s="9" t="s">
        <v>281</v>
      </c>
      <c r="E181" s="9" t="str">
        <f>VLOOKUP(C181,[1]MP!A52:O3852,12,0)</f>
        <v>NIP</v>
      </c>
      <c r="F181" s="9" t="str">
        <f>VLOOKUP(C181,[1]MP!A40:O3802,13,0)</f>
        <v>NAVIGATION SYSTEM FABRICATION</v>
      </c>
      <c r="G181" s="9" t="s">
        <v>35</v>
      </c>
      <c r="H181" s="9" t="s">
        <v>35</v>
      </c>
      <c r="I181" s="12">
        <v>43193</v>
      </c>
      <c r="J181" s="9" t="s">
        <v>37</v>
      </c>
      <c r="K181" s="12">
        <v>43468</v>
      </c>
    </row>
    <row r="182" spans="1:11">
      <c r="A182" s="10">
        <v>181</v>
      </c>
      <c r="B182" s="9">
        <v>201901</v>
      </c>
      <c r="C182" s="11">
        <v>21508</v>
      </c>
      <c r="D182" s="9" t="s">
        <v>282</v>
      </c>
      <c r="E182" s="9" t="str">
        <f>VLOOKUP(C182,[1]MP!A53:O3853,12,0)</f>
        <v>CBP</v>
      </c>
      <c r="F182" s="9" t="str">
        <f>VLOOKUP(C182,[1]MP!A41:O3803,13,0)</f>
        <v>CHECKER BOARD FABRICATION</v>
      </c>
      <c r="G182" s="9" t="s">
        <v>35</v>
      </c>
      <c r="H182" s="9" t="s">
        <v>35</v>
      </c>
      <c r="I182" s="9" t="s">
        <v>283</v>
      </c>
      <c r="J182" s="9" t="s">
        <v>37</v>
      </c>
      <c r="K182" s="12">
        <v>43468</v>
      </c>
    </row>
    <row r="183" spans="1:11">
      <c r="A183" s="10">
        <v>182</v>
      </c>
      <c r="B183" s="9">
        <v>201901</v>
      </c>
      <c r="C183" s="11">
        <v>21468</v>
      </c>
      <c r="D183" s="9" t="s">
        <v>284</v>
      </c>
      <c r="E183" s="9" t="str">
        <f>VLOOKUP(C183,[1]MP!A54:O3854,12,0)</f>
        <v>PRE ASSY SUZUKI YW0</v>
      </c>
      <c r="F183" s="9" t="str">
        <f>VLOOKUP(C183,[1]MP!A42:O3804,13,0)</f>
        <v>RYC-SZK-01,02</v>
      </c>
      <c r="G183" s="9" t="s">
        <v>35</v>
      </c>
      <c r="H183" s="9" t="s">
        <v>35</v>
      </c>
      <c r="I183" s="9" t="s">
        <v>223</v>
      </c>
      <c r="J183" s="9" t="s">
        <v>37</v>
      </c>
      <c r="K183" s="12">
        <v>43468</v>
      </c>
    </row>
    <row r="184" spans="1:11">
      <c r="A184" s="10">
        <v>183</v>
      </c>
      <c r="B184" s="9">
        <v>201901</v>
      </c>
      <c r="C184" s="11">
        <v>21457</v>
      </c>
      <c r="D184" s="9" t="s">
        <v>285</v>
      </c>
      <c r="E184" s="9" t="str">
        <f>VLOOKUP(C184,[1]MP!A55:O3855,12,0)</f>
        <v>CV HV 05</v>
      </c>
      <c r="F184" s="9" t="str">
        <f>VLOOKUP(C184,[1]MP!A43:O3805,13,0)</f>
        <v>S1-N-01, INSP S1</v>
      </c>
      <c r="G184" s="9" t="s">
        <v>35</v>
      </c>
      <c r="H184" s="9" t="s">
        <v>35</v>
      </c>
      <c r="I184" s="9" t="s">
        <v>253</v>
      </c>
      <c r="J184" s="9" t="s">
        <v>37</v>
      </c>
      <c r="K184" s="12">
        <v>43468</v>
      </c>
    </row>
    <row r="185" spans="1:11">
      <c r="A185" s="10">
        <v>184</v>
      </c>
      <c r="B185" s="9">
        <v>201901</v>
      </c>
      <c r="C185" s="11">
        <v>21426</v>
      </c>
      <c r="D185" s="9" t="s">
        <v>286</v>
      </c>
      <c r="E185" s="9" t="str">
        <f>VLOOKUP(C185,[1]MP!A56:O3856,12,0)</f>
        <v>CV A09</v>
      </c>
      <c r="F185" s="9" t="str">
        <f>VLOOKUP(C185,[1]MP!A44:O3806,13,0)</f>
        <v>S/A 2</v>
      </c>
      <c r="G185" s="9" t="s">
        <v>35</v>
      </c>
      <c r="H185" s="9" t="s">
        <v>35</v>
      </c>
      <c r="I185" s="9" t="s">
        <v>219</v>
      </c>
      <c r="J185" s="9" t="s">
        <v>37</v>
      </c>
      <c r="K185" s="12">
        <v>43468</v>
      </c>
    </row>
    <row r="186" spans="1:11">
      <c r="A186" s="10">
        <v>185</v>
      </c>
      <c r="B186" s="9">
        <v>201901</v>
      </c>
      <c r="C186" s="11">
        <v>21368</v>
      </c>
      <c r="D186" s="9" t="s">
        <v>287</v>
      </c>
      <c r="E186" s="9" t="str">
        <f>VLOOKUP(C186,[1]MP!A57:O3857,12,0)</f>
        <v>CV A10</v>
      </c>
      <c r="F186" s="9" t="str">
        <f>VLOOKUP(C186,[1]MP!A45:O3807,13,0)</f>
        <v>S/A 2.1A</v>
      </c>
      <c r="G186" s="9" t="s">
        <v>35</v>
      </c>
      <c r="H186" s="9" t="s">
        <v>35</v>
      </c>
      <c r="I186" s="9" t="s">
        <v>219</v>
      </c>
      <c r="J186" s="9" t="s">
        <v>37</v>
      </c>
      <c r="K186" s="12">
        <v>43468</v>
      </c>
    </row>
    <row r="187" spans="1:11">
      <c r="A187" s="10">
        <v>186</v>
      </c>
      <c r="B187" s="9">
        <v>201901</v>
      </c>
      <c r="C187" s="11">
        <v>21336</v>
      </c>
      <c r="D187" s="9" t="s">
        <v>288</v>
      </c>
      <c r="E187" s="9" t="str">
        <f>VLOOKUP(C187,[1]MP!A59:O3859,12,0)</f>
        <v>CV A10</v>
      </c>
      <c r="F187" s="9" t="str">
        <f>VLOOKUP(C187,[1]MP!A46:O3808,13,0)</f>
        <v>S/A 2.2B</v>
      </c>
      <c r="G187" s="9" t="s">
        <v>35</v>
      </c>
      <c r="H187" s="9" t="s">
        <v>35</v>
      </c>
      <c r="I187" s="9" t="s">
        <v>219</v>
      </c>
      <c r="J187" s="9" t="s">
        <v>37</v>
      </c>
      <c r="K187" s="12">
        <v>43468</v>
      </c>
    </row>
    <row r="188" spans="1:11">
      <c r="A188" s="10">
        <v>187</v>
      </c>
      <c r="B188" s="9">
        <v>201901</v>
      </c>
      <c r="C188" s="11">
        <v>21293</v>
      </c>
      <c r="D188" s="9" t="s">
        <v>289</v>
      </c>
      <c r="E188" s="9" t="str">
        <f>VLOOKUP(C188,[1]MP!A60:O3860,12,0)</f>
        <v>PRE ASSY SUZUKI YW0</v>
      </c>
      <c r="F188" s="9" t="str">
        <f>VLOOKUP(C188,[1]MP!A47:O3809,13,0)</f>
        <v>BM3-SZK-01,02</v>
      </c>
      <c r="G188" s="9" t="s">
        <v>35</v>
      </c>
      <c r="H188" s="9" t="s">
        <v>35</v>
      </c>
      <c r="I188" s="9" t="s">
        <v>111</v>
      </c>
      <c r="J188" s="9" t="s">
        <v>37</v>
      </c>
      <c r="K188" s="12">
        <v>43468</v>
      </c>
    </row>
    <row r="189" spans="1:11">
      <c r="A189" s="10">
        <v>188</v>
      </c>
      <c r="B189" s="9">
        <v>201901</v>
      </c>
      <c r="C189" s="11">
        <v>21275</v>
      </c>
      <c r="D189" s="9" t="s">
        <v>290</v>
      </c>
      <c r="E189" s="9" t="str">
        <f>VLOOKUP(C189,[1]MP!A61:O3861,12,0)</f>
        <v>PRE ASSY MAZDA ATENZA</v>
      </c>
      <c r="F189" s="9" t="str">
        <f>VLOOKUP(C189,[1]MP!A48:O3810,13,0)</f>
        <v>TWS-MZD-01</v>
      </c>
      <c r="G189" s="9" t="s">
        <v>35</v>
      </c>
      <c r="H189" s="9" t="s">
        <v>35</v>
      </c>
      <c r="I189" s="9" t="s">
        <v>60</v>
      </c>
      <c r="J189" s="9" t="s">
        <v>37</v>
      </c>
      <c r="K189" s="12">
        <v>43468</v>
      </c>
    </row>
    <row r="190" spans="1:11">
      <c r="A190" s="10">
        <v>189</v>
      </c>
      <c r="B190" s="9">
        <v>201901</v>
      </c>
      <c r="C190" s="11">
        <v>21189</v>
      </c>
      <c r="D190" s="9" t="s">
        <v>291</v>
      </c>
      <c r="E190" s="9" t="str">
        <f>VLOOKUP(C190,[1]MP!A63:O3863,12,0)</f>
        <v>CV A10</v>
      </c>
      <c r="F190" s="9" t="str">
        <f>VLOOKUP(C190,[1]MP!A49:O3811,13,0)</f>
        <v>S/A 2.2A</v>
      </c>
      <c r="G190" s="9" t="s">
        <v>35</v>
      </c>
      <c r="H190" s="9" t="s">
        <v>35</v>
      </c>
      <c r="I190" s="9" t="s">
        <v>219</v>
      </c>
      <c r="J190" s="9" t="s">
        <v>37</v>
      </c>
      <c r="K190" s="12">
        <v>43468</v>
      </c>
    </row>
    <row r="191" spans="1:11">
      <c r="A191" s="10">
        <v>190</v>
      </c>
      <c r="B191" s="9">
        <v>201901</v>
      </c>
      <c r="C191" s="11">
        <v>21181</v>
      </c>
      <c r="D191" s="9" t="s">
        <v>292</v>
      </c>
      <c r="E191" s="9" t="str">
        <f>VLOOKUP(C191,[1]MP!A64:O3864,12,0)</f>
        <v>PRE ASSY MAZDA ATENZA CX-5</v>
      </c>
      <c r="F191" s="9" t="str">
        <f>VLOOKUP(C191,[1]MP!A50:O3812,13,0)</f>
        <v>RYC-MZD-01</v>
      </c>
      <c r="G191" s="9" t="s">
        <v>35</v>
      </c>
      <c r="H191" s="9" t="s">
        <v>35</v>
      </c>
      <c r="I191" s="9" t="s">
        <v>223</v>
      </c>
      <c r="J191" s="9" t="s">
        <v>37</v>
      </c>
      <c r="K191" s="12">
        <v>43468</v>
      </c>
    </row>
    <row r="192" spans="1:11">
      <c r="A192" s="10">
        <v>191</v>
      </c>
      <c r="B192" s="9">
        <v>201901</v>
      </c>
      <c r="C192" s="11">
        <v>21152</v>
      </c>
      <c r="D192" s="9" t="s">
        <v>293</v>
      </c>
      <c r="E192" s="9" t="str">
        <f>VLOOKUP(C192,[1]MP!A65:O3865,12,0)</f>
        <v>CV A10</v>
      </c>
      <c r="F192" s="9" t="str">
        <f>VLOOKUP(C192,[1]MP!A51:O3813,13,0)</f>
        <v>S/A 2.1B</v>
      </c>
      <c r="G192" s="9" t="s">
        <v>35</v>
      </c>
      <c r="H192" s="9" t="s">
        <v>35</v>
      </c>
      <c r="I192" s="9" t="s">
        <v>219</v>
      </c>
      <c r="J192" s="9" t="s">
        <v>37</v>
      </c>
      <c r="K192" s="12">
        <v>43468</v>
      </c>
    </row>
    <row r="193" spans="1:11">
      <c r="A193" s="10">
        <v>192</v>
      </c>
      <c r="B193" s="9">
        <v>201901</v>
      </c>
      <c r="C193" s="11">
        <v>21145</v>
      </c>
      <c r="D193" s="9" t="s">
        <v>294</v>
      </c>
      <c r="E193" s="9" t="str">
        <f>VLOOKUP(C193,[1]MP!A66:O3866,12,0)</f>
        <v>CV A10</v>
      </c>
      <c r="F193" s="9" t="str">
        <f>VLOOKUP(C193,[1]MP!A52:O3814,13,0)</f>
        <v>S/A 2.2A</v>
      </c>
      <c r="G193" s="9" t="s">
        <v>35</v>
      </c>
      <c r="H193" s="9" t="s">
        <v>35</v>
      </c>
      <c r="I193" s="9" t="s">
        <v>53</v>
      </c>
      <c r="J193" s="9" t="s">
        <v>37</v>
      </c>
      <c r="K193" s="12">
        <v>43468</v>
      </c>
    </row>
    <row r="194" spans="1:11">
      <c r="A194" s="10">
        <v>193</v>
      </c>
      <c r="B194" s="9">
        <v>201901</v>
      </c>
      <c r="C194" s="11">
        <v>21088</v>
      </c>
      <c r="D194" s="9" t="s">
        <v>295</v>
      </c>
      <c r="E194" s="9" t="str">
        <f>VLOOKUP(C194,[1]MP!A67:O3867,12,0)</f>
        <v>CV HV 10A</v>
      </c>
      <c r="F194" s="9" t="str">
        <f>VLOOKUP(C194,[1]MP!A53:O3815,13,0)</f>
        <v>HV TESTER&amp;VISUAL-1</v>
      </c>
      <c r="G194" s="9" t="s">
        <v>35</v>
      </c>
      <c r="H194" s="9" t="s">
        <v>35</v>
      </c>
      <c r="J194" s="9" t="s">
        <v>37</v>
      </c>
      <c r="K194" s="12">
        <v>43474</v>
      </c>
    </row>
    <row r="195" spans="1:11">
      <c r="A195" s="10">
        <v>194</v>
      </c>
      <c r="B195" s="9">
        <v>201901</v>
      </c>
      <c r="C195" s="11">
        <v>21005</v>
      </c>
      <c r="D195" s="9" t="s">
        <v>296</v>
      </c>
      <c r="E195" s="9" t="str">
        <f>VLOOKUP(C195,[1]MP!A68:O3868,12,0)</f>
        <v>WHS</v>
      </c>
      <c r="F195" s="9" t="str">
        <f>VLOOKUP(C195,[1]MP!A54:O3816,13,0)</f>
        <v>-</v>
      </c>
      <c r="G195" s="9" t="s">
        <v>35</v>
      </c>
      <c r="H195" s="9" t="s">
        <v>35</v>
      </c>
      <c r="I195" s="9" t="s">
        <v>297</v>
      </c>
      <c r="J195" s="9" t="s">
        <v>37</v>
      </c>
      <c r="K195" s="12">
        <v>43468</v>
      </c>
    </row>
    <row r="196" spans="1:11">
      <c r="A196" s="10">
        <v>195</v>
      </c>
      <c r="B196" s="9">
        <v>201901</v>
      </c>
      <c r="C196" s="11">
        <v>20989</v>
      </c>
      <c r="D196" s="9" t="s">
        <v>298</v>
      </c>
      <c r="E196" s="9" t="str">
        <f>VLOOKUP(C196,[1]MP!A69:O3869,12,0)</f>
        <v>CUTTING HONDA EXPORT 1</v>
      </c>
      <c r="F196" s="9" t="str">
        <f>VLOOKUP(C196,[1]MP!A55:O3817,13,0)</f>
        <v>INSP CUTTING</v>
      </c>
      <c r="G196" s="9" t="s">
        <v>35</v>
      </c>
      <c r="H196" s="9" t="s">
        <v>35</v>
      </c>
      <c r="I196" s="9" t="s">
        <v>87</v>
      </c>
      <c r="J196" s="9" t="s">
        <v>37</v>
      </c>
      <c r="K196" s="12">
        <v>43468</v>
      </c>
    </row>
    <row r="197" spans="1:11">
      <c r="A197" s="10">
        <v>196</v>
      </c>
      <c r="B197" s="9">
        <v>201901</v>
      </c>
      <c r="C197" s="11">
        <v>20955</v>
      </c>
      <c r="D197" s="9" t="s">
        <v>299</v>
      </c>
      <c r="E197" s="9" t="str">
        <f>VLOOKUP(C197,[1]MP!A70:O3870,12,0)</f>
        <v>WHS</v>
      </c>
      <c r="F197" s="9" t="str">
        <f>VLOOKUP(C197,[1]MP!A56:O3818,13,0)</f>
        <v>-</v>
      </c>
      <c r="G197" s="9" t="s">
        <v>35</v>
      </c>
      <c r="H197" s="9" t="s">
        <v>35</v>
      </c>
      <c r="I197" s="12">
        <v>43185</v>
      </c>
      <c r="J197" s="9" t="s">
        <v>37</v>
      </c>
      <c r="K197" s="12">
        <v>43468</v>
      </c>
    </row>
    <row r="198" spans="1:11">
      <c r="A198" s="10">
        <v>197</v>
      </c>
      <c r="B198" s="9">
        <v>201901</v>
      </c>
      <c r="C198" s="11">
        <v>20923</v>
      </c>
      <c r="D198" s="9" t="s">
        <v>300</v>
      </c>
      <c r="E198" s="9" t="str">
        <f>VLOOKUP(C198,[1]MP!A71:O3871,12,0)</f>
        <v>JCN</v>
      </c>
      <c r="F198" s="9" t="str">
        <f>VLOOKUP(C198,[1]MP!A57:O3819,13,0)</f>
        <v>BREAKDOWN FA</v>
      </c>
      <c r="G198" s="9" t="s">
        <v>35</v>
      </c>
      <c r="H198" s="9" t="s">
        <v>35</v>
      </c>
      <c r="I198" s="9" t="s">
        <v>301</v>
      </c>
      <c r="J198" s="9" t="s">
        <v>37</v>
      </c>
      <c r="K198" s="12">
        <v>43468</v>
      </c>
    </row>
    <row r="199" spans="1:11">
      <c r="A199" s="10">
        <v>198</v>
      </c>
      <c r="B199" s="9">
        <v>201901</v>
      </c>
      <c r="C199" s="11">
        <v>20922</v>
      </c>
      <c r="D199" s="9" t="s">
        <v>302</v>
      </c>
      <c r="E199" s="9" t="str">
        <f>VLOOKUP(C199,[1]MP!A72:O3872,12,0)</f>
        <v>JCN</v>
      </c>
      <c r="F199" s="9" t="str">
        <f>VLOOKUP(C199,[1]MP!A58:O3820,13,0)</f>
        <v>BREAKDOWN FA</v>
      </c>
      <c r="G199" s="9" t="s">
        <v>35</v>
      </c>
      <c r="H199" s="9" t="s">
        <v>35</v>
      </c>
      <c r="J199" s="9" t="s">
        <v>37</v>
      </c>
      <c r="K199" s="12">
        <v>43468</v>
      </c>
    </row>
    <row r="200" spans="1:11">
      <c r="A200" s="10">
        <v>199</v>
      </c>
      <c r="B200" s="9">
        <v>201901</v>
      </c>
      <c r="C200" s="11">
        <v>20895</v>
      </c>
      <c r="D200" s="9" t="s">
        <v>303</v>
      </c>
      <c r="E200" s="9" t="str">
        <f>VLOOKUP(C200,[1]MP!A73:O3873,12,0)</f>
        <v>BUFFER MP SAMI</v>
      </c>
      <c r="F200" s="9" t="str">
        <f>VLOOKUP(C200,[1]MP!A59:O3821,13,0)</f>
        <v>BUFFER MP</v>
      </c>
      <c r="G200" s="9" t="s">
        <v>35</v>
      </c>
      <c r="H200" s="9" t="s">
        <v>35</v>
      </c>
      <c r="I200" s="9" t="s">
        <v>304</v>
      </c>
      <c r="J200" s="9" t="s">
        <v>37</v>
      </c>
      <c r="K200" s="12">
        <v>43468</v>
      </c>
    </row>
    <row r="201" spans="1:11">
      <c r="A201" s="10">
        <v>200</v>
      </c>
      <c r="B201" s="9">
        <v>201901</v>
      </c>
      <c r="C201" s="11">
        <v>20881</v>
      </c>
      <c r="D201" s="9" t="s">
        <v>305</v>
      </c>
      <c r="E201" s="9" t="str">
        <f>VLOOKUP(C201,[1]MP!A74:O3874,12,0)</f>
        <v>CV HV 05</v>
      </c>
      <c r="F201" s="9" t="str">
        <f>VLOOKUP(C201,[1]MP!A60:O3822,13,0)</f>
        <v>HVT 01</v>
      </c>
      <c r="G201" s="9" t="s">
        <v>35</v>
      </c>
      <c r="H201" s="9" t="s">
        <v>35</v>
      </c>
      <c r="I201" s="9" t="s">
        <v>255</v>
      </c>
      <c r="J201" s="9" t="s">
        <v>37</v>
      </c>
      <c r="K201" s="12">
        <v>43468</v>
      </c>
    </row>
    <row r="202" spans="1:11">
      <c r="A202" s="10">
        <v>201</v>
      </c>
      <c r="B202" s="9">
        <v>201901</v>
      </c>
      <c r="C202" s="11">
        <v>20857</v>
      </c>
      <c r="D202" s="9" t="s">
        <v>306</v>
      </c>
      <c r="E202" s="9" t="str">
        <f>VLOOKUP(C202,[1]MP!A75:O3875,12,0)</f>
        <v>CV A10</v>
      </c>
      <c r="F202" s="9" t="str">
        <f>VLOOKUP(C202,[1]MP!A61:O3823,13,0)</f>
        <v>S/A 2.2B</v>
      </c>
      <c r="G202" s="9" t="s">
        <v>35</v>
      </c>
      <c r="H202" s="9" t="s">
        <v>35</v>
      </c>
      <c r="I202" s="9" t="s">
        <v>87</v>
      </c>
      <c r="J202" s="9" t="s">
        <v>37</v>
      </c>
      <c r="K202" s="12">
        <v>43468</v>
      </c>
    </row>
    <row r="203" spans="1:11">
      <c r="A203" s="10">
        <v>202</v>
      </c>
      <c r="B203" s="9">
        <v>201901</v>
      </c>
      <c r="C203" s="11">
        <v>20855</v>
      </c>
      <c r="D203" s="9" t="s">
        <v>307</v>
      </c>
      <c r="E203" s="9" t="str">
        <f>VLOOKUP(C203,[1]MP!A76:O3876,12,0)</f>
        <v>CV HV 10B</v>
      </c>
      <c r="F203" s="9" t="str">
        <f>VLOOKUP(C203,[1]MP!A62:O3824,13,0)</f>
        <v>HV TESTER + VISUAL 01</v>
      </c>
      <c r="G203" s="9" t="s">
        <v>35</v>
      </c>
      <c r="H203" s="9" t="s">
        <v>35</v>
      </c>
      <c r="I203" s="9" t="s">
        <v>255</v>
      </c>
      <c r="J203" s="9" t="s">
        <v>37</v>
      </c>
      <c r="K203" s="12">
        <v>43468</v>
      </c>
    </row>
    <row r="204" spans="1:11">
      <c r="A204" s="10">
        <v>203</v>
      </c>
      <c r="B204" s="9">
        <v>201901</v>
      </c>
      <c r="C204" s="11">
        <v>20837</v>
      </c>
      <c r="D204" s="9" t="s">
        <v>308</v>
      </c>
      <c r="E204" s="9" t="str">
        <f>VLOOKUP(C204,[1]MP!A77:O3877,12,0)</f>
        <v>BUFFER MP SAMI</v>
      </c>
      <c r="F204" s="9" t="str">
        <f>VLOOKUP(C204,[1]MP!A63:O3825,13,0)</f>
        <v>BUFFER MP</v>
      </c>
      <c r="G204" s="9" t="s">
        <v>35</v>
      </c>
      <c r="H204" s="9" t="s">
        <v>35</v>
      </c>
      <c r="I204" s="9" t="s">
        <v>53</v>
      </c>
      <c r="J204" s="9" t="s">
        <v>37</v>
      </c>
      <c r="K204" s="12">
        <v>43468</v>
      </c>
    </row>
    <row r="205" spans="1:11">
      <c r="A205" s="10">
        <v>204</v>
      </c>
      <c r="B205" s="9">
        <v>201901</v>
      </c>
      <c r="C205" s="11">
        <v>20819</v>
      </c>
      <c r="D205" s="9" t="s">
        <v>309</v>
      </c>
      <c r="E205" s="9" t="str">
        <f>VLOOKUP(C205,[1]MP!A78:O3878,12,0)</f>
        <v>PRE ASSY HONDA EXPORT 4</v>
      </c>
      <c r="F205" s="9" t="str">
        <f>VLOOKUP(C205,[1]MP!A64:O3826,13,0)</f>
        <v>DRY-HDA-01</v>
      </c>
      <c r="G205" s="9" t="s">
        <v>35</v>
      </c>
      <c r="H205" s="9" t="s">
        <v>35</v>
      </c>
      <c r="I205" s="9" t="s">
        <v>87</v>
      </c>
      <c r="J205" s="9" t="s">
        <v>37</v>
      </c>
      <c r="K205" s="12">
        <v>43468</v>
      </c>
    </row>
    <row r="206" spans="1:11">
      <c r="A206" s="10">
        <v>205</v>
      </c>
      <c r="B206" s="9">
        <v>201901</v>
      </c>
      <c r="C206" s="11">
        <v>20776</v>
      </c>
      <c r="D206" s="9" t="s">
        <v>310</v>
      </c>
      <c r="E206" s="9" t="str">
        <f>VLOOKUP(C206,[1]MP!A79:O3879,12,0)</f>
        <v>BATTERY CABLE NEW</v>
      </c>
      <c r="F206" s="9" t="str">
        <f>VLOOKUP(C206,[1]MP!A65:O3827,13,0)</f>
        <v>ASM-BC-01</v>
      </c>
      <c r="G206" s="9" t="s">
        <v>35</v>
      </c>
      <c r="H206" s="9" t="s">
        <v>35</v>
      </c>
      <c r="I206" s="9" t="s">
        <v>87</v>
      </c>
      <c r="J206" s="9" t="s">
        <v>37</v>
      </c>
      <c r="K206" s="12">
        <v>43468</v>
      </c>
    </row>
    <row r="207" spans="1:11">
      <c r="A207" s="10">
        <v>206</v>
      </c>
      <c r="B207" s="9">
        <v>201901</v>
      </c>
      <c r="C207" s="11">
        <v>20741</v>
      </c>
      <c r="D207" s="9" t="s">
        <v>311</v>
      </c>
      <c r="E207" s="9" t="str">
        <f>VLOOKUP(C207,[1]MP!A80:O3880,12,0)</f>
        <v>BUFFER MP SAMI</v>
      </c>
      <c r="F207" s="9" t="str">
        <f>VLOOKUP(C207,[1]MP!A66:O3828,13,0)</f>
        <v>BUFFER MP</v>
      </c>
      <c r="G207" s="9" t="s">
        <v>35</v>
      </c>
      <c r="H207" s="9" t="s">
        <v>35</v>
      </c>
      <c r="I207" s="9" t="s">
        <v>312</v>
      </c>
      <c r="J207" s="9" t="s">
        <v>37</v>
      </c>
      <c r="K207" s="12">
        <v>43481</v>
      </c>
    </row>
    <row r="208" spans="1:11">
      <c r="A208" s="10">
        <v>207</v>
      </c>
      <c r="B208" s="9">
        <v>201901</v>
      </c>
      <c r="C208" s="11">
        <v>20689</v>
      </c>
      <c r="D208" s="9" t="s">
        <v>313</v>
      </c>
      <c r="E208" s="9" t="str">
        <f>VLOOKUP(C208,[1]MP!A81:O3881,12,0)</f>
        <v>CV A09</v>
      </c>
      <c r="F208" s="9" t="str">
        <f>VLOOKUP(C208,[1]MP!A67:O3829,13,0)</f>
        <v>S/A 1</v>
      </c>
      <c r="G208" s="9" t="s">
        <v>35</v>
      </c>
      <c r="H208" s="9" t="s">
        <v>35</v>
      </c>
      <c r="I208" s="9" t="s">
        <v>219</v>
      </c>
      <c r="J208" s="9" t="s">
        <v>37</v>
      </c>
      <c r="K208" s="12">
        <v>43468</v>
      </c>
    </row>
    <row r="209" spans="1:11">
      <c r="A209" s="10">
        <v>208</v>
      </c>
      <c r="B209" s="9">
        <v>201901</v>
      </c>
      <c r="C209" s="11">
        <v>20668</v>
      </c>
      <c r="D209" s="9" t="s">
        <v>314</v>
      </c>
      <c r="E209" s="9" t="str">
        <f>VLOOKUP(C209,[1]MP!A82:O3882,12,0)</f>
        <v>BUFFER MP SAMI</v>
      </c>
      <c r="F209" s="9" t="str">
        <f>VLOOKUP(C209,[1]MP!A68:O3830,13,0)</f>
        <v>BUFFER MP</v>
      </c>
      <c r="G209" s="9" t="s">
        <v>35</v>
      </c>
      <c r="H209" s="9" t="s">
        <v>35</v>
      </c>
      <c r="I209" s="9" t="s">
        <v>315</v>
      </c>
      <c r="J209" s="9" t="s">
        <v>37</v>
      </c>
      <c r="K209" s="12">
        <v>43468</v>
      </c>
    </row>
    <row r="210" spans="1:11">
      <c r="A210" s="10">
        <v>209</v>
      </c>
      <c r="B210" s="9">
        <v>201901</v>
      </c>
      <c r="C210" s="11">
        <v>20659</v>
      </c>
      <c r="D210" s="9" t="s">
        <v>172</v>
      </c>
      <c r="E210" s="9" t="str">
        <f>VLOOKUP(C210,[1]MP!A83:O3883,12,0)</f>
        <v>BUFFER MP SAMI</v>
      </c>
      <c r="F210" s="9" t="str">
        <f>VLOOKUP(C210,[1]MP!A69:O3831,13,0)</f>
        <v>BUFFER MP</v>
      </c>
      <c r="G210" s="9" t="s">
        <v>35</v>
      </c>
      <c r="H210" s="9" t="s">
        <v>35</v>
      </c>
      <c r="I210" s="9" t="s">
        <v>316</v>
      </c>
      <c r="J210" s="9" t="s">
        <v>37</v>
      </c>
      <c r="K210" s="12">
        <v>43468</v>
      </c>
    </row>
    <row r="211" spans="1:11">
      <c r="A211" s="10">
        <v>210</v>
      </c>
      <c r="B211" s="9">
        <v>201901</v>
      </c>
      <c r="C211" s="11">
        <v>20656</v>
      </c>
      <c r="D211" s="9" t="s">
        <v>317</v>
      </c>
      <c r="E211" s="9" t="str">
        <f>VLOOKUP(C211,[1]MP!A84:O3884,12,0)</f>
        <v>BATTERY CABLE NEW</v>
      </c>
      <c r="F211" s="9" t="str">
        <f>VLOOKUP(C211,[1]MP!A70:O3832,13,0)</f>
        <v>RYC-BC-01, DRY-BC-01</v>
      </c>
      <c r="G211" s="9" t="s">
        <v>35</v>
      </c>
      <c r="H211" s="9" t="s">
        <v>35</v>
      </c>
      <c r="I211" s="9" t="s">
        <v>87</v>
      </c>
      <c r="J211" s="9" t="s">
        <v>37</v>
      </c>
      <c r="K211" s="12">
        <v>43468</v>
      </c>
    </row>
    <row r="212" spans="1:11">
      <c r="A212" s="10">
        <v>211</v>
      </c>
      <c r="B212" s="9">
        <v>201901</v>
      </c>
      <c r="C212" s="11">
        <v>20614</v>
      </c>
      <c r="D212" s="9" t="s">
        <v>318</v>
      </c>
      <c r="E212" s="9" t="str">
        <f>VLOOKUP(C212,[1]MP!A86:O3886,12,0)</f>
        <v>BATTERY CABLE NEW</v>
      </c>
      <c r="F212" s="9" t="str">
        <f>VLOOKUP(C212,[1]MP!A71:O3833,13,0)</f>
        <v>ASM</v>
      </c>
      <c r="G212" s="9" t="s">
        <v>35</v>
      </c>
      <c r="H212" s="9" t="s">
        <v>35</v>
      </c>
      <c r="J212" s="9" t="s">
        <v>37</v>
      </c>
      <c r="K212" s="12">
        <v>43468</v>
      </c>
    </row>
    <row r="213" spans="1:11">
      <c r="A213" s="10">
        <v>212</v>
      </c>
      <c r="B213" s="9">
        <v>201901</v>
      </c>
      <c r="C213" s="11">
        <v>20610</v>
      </c>
      <c r="D213" s="9" t="s">
        <v>319</v>
      </c>
      <c r="E213" s="9" t="str">
        <f>VLOOKUP(C213,[1]MP!A87:O3887,12,0)</f>
        <v>CV HV 05</v>
      </c>
      <c r="F213" s="9" t="str">
        <f>VLOOKUP(C213,[1]MP!A72:O3834,13,0)</f>
        <v>STMAC-01, AP30-01</v>
      </c>
      <c r="G213" s="9" t="s">
        <v>35</v>
      </c>
      <c r="H213" s="9" t="s">
        <v>35</v>
      </c>
      <c r="J213" s="9" t="s">
        <v>37</v>
      </c>
      <c r="K213" s="12">
        <v>43468</v>
      </c>
    </row>
    <row r="214" spans="1:11">
      <c r="A214" s="10">
        <v>213</v>
      </c>
      <c r="B214" s="9">
        <v>201901</v>
      </c>
      <c r="C214" s="11">
        <v>20593</v>
      </c>
      <c r="D214" s="9" t="s">
        <v>320</v>
      </c>
      <c r="E214" s="9" t="str">
        <f>VLOOKUP(C214,[1]MP!A88:O3888,12,0)</f>
        <v>CUTTING HINO DYNA</v>
      </c>
      <c r="F214" s="9" t="str">
        <f>VLOOKUP(C214,[1]MP!A73:O3835,13,0)</f>
        <v>AC90-HIN-04</v>
      </c>
      <c r="G214" s="9" t="s">
        <v>35</v>
      </c>
      <c r="H214" s="9" t="s">
        <v>35</v>
      </c>
      <c r="I214" s="9" t="s">
        <v>60</v>
      </c>
      <c r="J214" s="9" t="s">
        <v>37</v>
      </c>
      <c r="K214" s="12">
        <v>43468</v>
      </c>
    </row>
    <row r="215" spans="1:11">
      <c r="A215" s="10">
        <v>214</v>
      </c>
      <c r="B215" s="9">
        <v>201901</v>
      </c>
      <c r="C215" s="11">
        <v>20577</v>
      </c>
      <c r="D215" s="9" t="s">
        <v>321</v>
      </c>
      <c r="E215" s="9" t="str">
        <f>VLOOKUP(C215,[1]MP!A89:O3889,12,0)</f>
        <v>CUTTING HONDA 36 CELL</v>
      </c>
      <c r="F215" s="9" t="str">
        <f>VLOOKUP(C215,[1]MP!A74:O3836,13,0)</f>
        <v>AC90-H-01</v>
      </c>
      <c r="G215" s="9" t="s">
        <v>35</v>
      </c>
      <c r="H215" s="9" t="s">
        <v>35</v>
      </c>
      <c r="I215" s="9" t="s">
        <v>223</v>
      </c>
      <c r="J215" s="9" t="s">
        <v>37</v>
      </c>
      <c r="K215" s="12">
        <v>43468</v>
      </c>
    </row>
    <row r="216" spans="1:11">
      <c r="A216" s="10">
        <v>215</v>
      </c>
      <c r="B216" s="9">
        <v>201901</v>
      </c>
      <c r="C216" s="11">
        <v>20063</v>
      </c>
      <c r="D216" s="9" t="s">
        <v>322</v>
      </c>
      <c r="E216" s="9" t="str">
        <f>VLOOKUP(C216,[1]MP!A95:O3895,12,0)</f>
        <v>WHS</v>
      </c>
      <c r="F216" s="9" t="str">
        <f>VLOOKUP(C216,[1]MP!A75:O3837,13,0)</f>
        <v>-</v>
      </c>
      <c r="G216" s="9" t="s">
        <v>35</v>
      </c>
      <c r="H216" s="9" t="s">
        <v>35</v>
      </c>
      <c r="J216" s="9" t="s">
        <v>37</v>
      </c>
      <c r="K216" s="12">
        <v>43468</v>
      </c>
    </row>
    <row r="217" spans="1:11">
      <c r="A217" s="10">
        <v>216</v>
      </c>
      <c r="B217" s="9">
        <v>201901</v>
      </c>
      <c r="C217" s="11">
        <v>199</v>
      </c>
      <c r="D217" s="9" t="s">
        <v>323</v>
      </c>
      <c r="E217" s="9" t="str">
        <f>VLOOKUP(C217,[1]MP!A96:O3896,12,0)</f>
        <v>CT</v>
      </c>
      <c r="F217" s="9" t="str">
        <f>VLOOKUP(C217,[1]MP!A76:O3838,13,0)</f>
        <v>LEADER PREPARATION CT</v>
      </c>
      <c r="G217" s="9" t="s">
        <v>35</v>
      </c>
      <c r="H217" s="9" t="s">
        <v>35</v>
      </c>
      <c r="I217" s="9" t="s">
        <v>87</v>
      </c>
      <c r="J217" s="9" t="s">
        <v>37</v>
      </c>
      <c r="K217" s="12">
        <v>43468</v>
      </c>
    </row>
    <row r="218" spans="1:11">
      <c r="A218" s="10">
        <v>217</v>
      </c>
      <c r="B218" s="9">
        <v>201901</v>
      </c>
      <c r="C218" s="11">
        <v>197</v>
      </c>
      <c r="D218" s="9" t="s">
        <v>324</v>
      </c>
      <c r="E218" s="9" t="str">
        <f>VLOOKUP(C218,[1]MP!A97:O3897,12,0)</f>
        <v>MTC</v>
      </c>
      <c r="F218" s="9" t="str">
        <f>VLOOKUP(C218,[1]MP!A77:O3839,13,0)</f>
        <v>LEADER PREPARATION &amp; IMPROVEMENT</v>
      </c>
      <c r="G218" s="9" t="s">
        <v>35</v>
      </c>
      <c r="H218" s="9" t="s">
        <v>35</v>
      </c>
      <c r="I218" s="9" t="s">
        <v>87</v>
      </c>
      <c r="J218" s="9" t="s">
        <v>37</v>
      </c>
      <c r="K218" s="12">
        <v>43468</v>
      </c>
    </row>
    <row r="219" spans="1:11">
      <c r="A219" s="10">
        <v>218</v>
      </c>
      <c r="B219" s="9">
        <v>201901</v>
      </c>
      <c r="C219" s="11">
        <v>19586</v>
      </c>
      <c r="D219" s="9" t="s">
        <v>325</v>
      </c>
      <c r="E219" s="9" t="str">
        <f>VLOOKUP(C219,[1]MP!A98:O3898,12,0)</f>
        <v>CV HV 05</v>
      </c>
      <c r="F219" s="9" t="str">
        <f>VLOOKUP(C219,[1]MP!A78:O3840,13,0)</f>
        <v>MSN, MS</v>
      </c>
      <c r="G219" s="9" t="s">
        <v>35</v>
      </c>
      <c r="H219" s="9" t="s">
        <v>35</v>
      </c>
      <c r="I219" s="9" t="s">
        <v>326</v>
      </c>
      <c r="J219" s="9" t="s">
        <v>37</v>
      </c>
      <c r="K219" s="12">
        <v>43468</v>
      </c>
    </row>
    <row r="220" spans="1:11">
      <c r="A220" s="10">
        <v>219</v>
      </c>
      <c r="B220" s="9">
        <v>201901</v>
      </c>
      <c r="C220" s="11">
        <v>19454</v>
      </c>
      <c r="D220" s="9" t="s">
        <v>327</v>
      </c>
      <c r="E220" s="9" t="str">
        <f>VLOOKUP(C220,[1]MP!A99:O3899,12,0)</f>
        <v>WHS</v>
      </c>
      <c r="F220" s="9" t="str">
        <f>VLOOKUP(C220,[1]MP!A79:O3841,13,0)</f>
        <v>-</v>
      </c>
      <c r="G220" s="9" t="s">
        <v>35</v>
      </c>
      <c r="H220" s="9" t="s">
        <v>35</v>
      </c>
      <c r="J220" s="9" t="s">
        <v>37</v>
      </c>
      <c r="K220" s="12">
        <v>43468</v>
      </c>
    </row>
    <row r="221" spans="1:11">
      <c r="A221" s="10">
        <v>220</v>
      </c>
      <c r="B221" s="9">
        <v>201901</v>
      </c>
      <c r="C221" s="11">
        <v>19443</v>
      </c>
      <c r="D221" s="9" t="s">
        <v>328</v>
      </c>
      <c r="E221" s="9" t="str">
        <f>VLOOKUP(C221,[1]MP!A100:O3900,12,0)</f>
        <v>WHS</v>
      </c>
      <c r="F221" s="9" t="str">
        <f>VLOOKUP(C221,[1]MP!A80:O3842,13,0)</f>
        <v>-</v>
      </c>
      <c r="G221" s="9" t="s">
        <v>35</v>
      </c>
      <c r="H221" s="9" t="s">
        <v>35</v>
      </c>
      <c r="I221" s="12">
        <v>43185</v>
      </c>
      <c r="J221" s="9" t="s">
        <v>37</v>
      </c>
      <c r="K221" s="12">
        <v>43468</v>
      </c>
    </row>
    <row r="222" spans="1:11">
      <c r="A222" s="10">
        <v>221</v>
      </c>
      <c r="B222" s="9">
        <v>201901</v>
      </c>
      <c r="C222" s="11">
        <v>19438</v>
      </c>
      <c r="D222" s="9" t="s">
        <v>329</v>
      </c>
      <c r="E222" s="9" t="str">
        <f>VLOOKUP(C222,[1]MP!A101:O3901,12,0)</f>
        <v>WHS</v>
      </c>
      <c r="F222" s="9" t="str">
        <f>VLOOKUP(C222,[1]MP!A81:O3843,13,0)</f>
        <v>-</v>
      </c>
      <c r="G222" s="9" t="s">
        <v>35</v>
      </c>
      <c r="H222" s="9" t="s">
        <v>35</v>
      </c>
      <c r="J222" s="9" t="s">
        <v>37</v>
      </c>
      <c r="K222" s="12">
        <v>43468</v>
      </c>
    </row>
    <row r="223" spans="1:11">
      <c r="A223" s="10">
        <v>222</v>
      </c>
      <c r="B223" s="9">
        <v>201901</v>
      </c>
      <c r="C223" s="11">
        <v>19433</v>
      </c>
      <c r="D223" s="9" t="s">
        <v>330</v>
      </c>
      <c r="E223" s="9" t="str">
        <f>VLOOKUP(C223,[1]MP!A102:O3902,12,0)</f>
        <v>PRD IMP</v>
      </c>
      <c r="F223" s="9" t="str">
        <f>VLOOKUP(C223,[1]MP!A82:O3844,13,0)</f>
        <v xml:space="preserve">EQUIPMENT FABRICATION </v>
      </c>
      <c r="G223" s="9" t="s">
        <v>35</v>
      </c>
      <c r="H223" s="9" t="s">
        <v>35</v>
      </c>
      <c r="I223" s="9" t="s">
        <v>87</v>
      </c>
      <c r="J223" s="9" t="s">
        <v>37</v>
      </c>
      <c r="K223" s="12">
        <v>43468</v>
      </c>
    </row>
    <row r="224" spans="1:11">
      <c r="A224" s="10">
        <v>223</v>
      </c>
      <c r="B224" s="9">
        <v>201901</v>
      </c>
      <c r="C224" s="11">
        <v>19255</v>
      </c>
      <c r="D224" s="9" t="s">
        <v>331</v>
      </c>
      <c r="E224" s="9" t="str">
        <f>VLOOKUP(C224,[1]MP!A103:O3903,12,0)</f>
        <v>WHS</v>
      </c>
      <c r="F224" s="9" t="str">
        <f>VLOOKUP(C224,[1]MP!A83:O3845,13,0)</f>
        <v>-</v>
      </c>
      <c r="G224" s="9" t="s">
        <v>35</v>
      </c>
      <c r="H224" s="9" t="s">
        <v>35</v>
      </c>
      <c r="J224" s="9" t="s">
        <v>37</v>
      </c>
      <c r="K224" s="12">
        <v>43468</v>
      </c>
    </row>
    <row r="225" spans="1:11">
      <c r="A225" s="10">
        <v>224</v>
      </c>
      <c r="B225" s="9">
        <v>201901</v>
      </c>
      <c r="C225" s="11">
        <v>19243</v>
      </c>
      <c r="D225" s="9" t="s">
        <v>332</v>
      </c>
      <c r="E225" s="9" t="str">
        <f>VLOOKUP(C225,[1]MP!A104:O3904,12,0)</f>
        <v>WHS</v>
      </c>
      <c r="F225" s="9" t="str">
        <f>VLOOKUP(C225,[1]MP!A84:O3846,13,0)</f>
        <v>-</v>
      </c>
      <c r="G225" s="9" t="s">
        <v>35</v>
      </c>
      <c r="H225" s="9" t="s">
        <v>35</v>
      </c>
      <c r="I225" s="12">
        <v>43185</v>
      </c>
      <c r="J225" s="9" t="s">
        <v>37</v>
      </c>
      <c r="K225" s="12">
        <v>43468</v>
      </c>
    </row>
    <row r="226" spans="1:11">
      <c r="A226" s="10">
        <v>225</v>
      </c>
      <c r="B226" s="9">
        <v>201901</v>
      </c>
      <c r="C226" s="11">
        <v>19241</v>
      </c>
      <c r="D226" s="9" t="s">
        <v>333</v>
      </c>
      <c r="E226" s="9" t="str">
        <f>VLOOKUP(C226,[1]MP!A105:O3905,12,0)</f>
        <v>L. DOCK</v>
      </c>
      <c r="F226" s="9" t="str">
        <f>VLOOKUP(C226,[1]MP!A85:O3847,13,0)</f>
        <v>L. DOCK</v>
      </c>
      <c r="G226" s="9" t="s">
        <v>35</v>
      </c>
      <c r="H226" s="9" t="s">
        <v>35</v>
      </c>
      <c r="J226" s="9" t="s">
        <v>37</v>
      </c>
      <c r="K226" s="12">
        <v>43468</v>
      </c>
    </row>
    <row r="227" spans="1:11">
      <c r="A227" s="10">
        <v>226</v>
      </c>
      <c r="B227" s="9">
        <v>201901</v>
      </c>
      <c r="C227" s="11">
        <v>19137</v>
      </c>
      <c r="D227" s="9" t="s">
        <v>334</v>
      </c>
      <c r="E227" s="9" t="str">
        <f>VLOOKUP(C227,[1]MP!A106:O3906,12,0)</f>
        <v>BATTERY CABLE NEW</v>
      </c>
      <c r="F227" s="9" t="str">
        <f>VLOOKUP(C227,[1]MP!A86:O3848,13,0)</f>
        <v>P-BC-01</v>
      </c>
      <c r="G227" s="9" t="s">
        <v>35</v>
      </c>
      <c r="H227" s="9" t="s">
        <v>35</v>
      </c>
      <c r="I227" s="9" t="s">
        <v>87</v>
      </c>
      <c r="J227" s="9" t="s">
        <v>37</v>
      </c>
      <c r="K227" s="12">
        <v>43468</v>
      </c>
    </row>
    <row r="228" spans="1:11">
      <c r="A228" s="10">
        <v>227</v>
      </c>
      <c r="B228" s="9">
        <v>201901</v>
      </c>
      <c r="C228" s="11">
        <v>19108</v>
      </c>
      <c r="D228" s="9" t="s">
        <v>335</v>
      </c>
      <c r="E228" s="9" t="str">
        <f>VLOOKUP(C228,[1]MP!A107:O3907,12,0)</f>
        <v>BUFFER MP SAMI</v>
      </c>
      <c r="F228" s="9" t="str">
        <f>VLOOKUP(C228,[1]MP!A87:O3849,13,0)</f>
        <v>BUFFER MP</v>
      </c>
      <c r="G228" s="9" t="s">
        <v>35</v>
      </c>
      <c r="H228" s="9" t="s">
        <v>35</v>
      </c>
      <c r="I228" s="9" t="s">
        <v>336</v>
      </c>
      <c r="J228" s="9" t="s">
        <v>37</v>
      </c>
      <c r="K228" s="12">
        <v>43468</v>
      </c>
    </row>
    <row r="229" spans="1:11">
      <c r="A229" s="10">
        <v>228</v>
      </c>
      <c r="B229" s="9">
        <v>201901</v>
      </c>
      <c r="C229" s="11">
        <v>19100</v>
      </c>
      <c r="D229" s="9" t="s">
        <v>337</v>
      </c>
      <c r="E229" s="9" t="str">
        <f>VLOOKUP(C229,[1]MP!A108:O3908,12,0)</f>
        <v>PRE ASSY SUZUKI YW0</v>
      </c>
      <c r="F229" s="9" t="str">
        <f>VLOOKUP(C229,[1]MP!A88:O3850,13,0)</f>
        <v>ARR-01,02</v>
      </c>
      <c r="G229" s="9" t="s">
        <v>35</v>
      </c>
      <c r="H229" s="9" t="s">
        <v>35</v>
      </c>
      <c r="I229" s="9" t="s">
        <v>36</v>
      </c>
      <c r="J229" s="9" t="s">
        <v>37</v>
      </c>
      <c r="K229" s="12">
        <v>43468</v>
      </c>
    </row>
    <row r="230" spans="1:11">
      <c r="A230" s="10">
        <v>229</v>
      </c>
      <c r="B230" s="9">
        <v>201901</v>
      </c>
      <c r="C230" s="11">
        <v>19063</v>
      </c>
      <c r="D230" s="9" t="s">
        <v>338</v>
      </c>
      <c r="E230" s="9" t="str">
        <f>VLOOKUP(C230,[1]MP!A109:O3909,12,0)</f>
        <v>BATTERY CABLE NEW</v>
      </c>
      <c r="F230" s="9" t="str">
        <f>VLOOKUP(C230,[1]MP!A89:O3851,13,0)</f>
        <v>P-BC-02</v>
      </c>
      <c r="G230" s="9" t="s">
        <v>35</v>
      </c>
      <c r="H230" s="9" t="s">
        <v>35</v>
      </c>
      <c r="I230" s="9" t="s">
        <v>87</v>
      </c>
      <c r="J230" s="9" t="s">
        <v>37</v>
      </c>
      <c r="K230" s="12">
        <v>43468</v>
      </c>
    </row>
    <row r="231" spans="1:11">
      <c r="A231" s="10">
        <v>230</v>
      </c>
      <c r="B231" s="9">
        <v>201901</v>
      </c>
      <c r="C231" s="11">
        <v>18808</v>
      </c>
      <c r="D231" s="9" t="s">
        <v>339</v>
      </c>
      <c r="E231" s="9" t="str">
        <f>VLOOKUP(C231,[1]MP!A110:O3910,12,0)</f>
        <v>NIP</v>
      </c>
      <c r="F231" s="9" t="str">
        <f>VLOOKUP(C231,[1]MP!A90:O3852,13,0)</f>
        <v>NAVIGATION SYSTEM FABRICATION</v>
      </c>
      <c r="G231" s="9" t="s">
        <v>35</v>
      </c>
      <c r="H231" s="9" t="s">
        <v>35</v>
      </c>
      <c r="I231" s="9" t="s">
        <v>87</v>
      </c>
      <c r="J231" s="9" t="s">
        <v>37</v>
      </c>
      <c r="K231" s="12">
        <v>43468</v>
      </c>
    </row>
    <row r="232" spans="1:11">
      <c r="A232" s="10">
        <v>231</v>
      </c>
      <c r="B232" s="9">
        <v>201901</v>
      </c>
      <c r="C232" s="11">
        <v>18740</v>
      </c>
      <c r="D232" s="9" t="s">
        <v>340</v>
      </c>
      <c r="E232" s="9" t="str">
        <f>VLOOKUP(C232,[1]MP!A111:O3911,12,0)</f>
        <v>MTP</v>
      </c>
      <c r="F232" s="9" t="str">
        <f>VLOOKUP(C232,[1]MP!A91:O3853,13,0)</f>
        <v>-</v>
      </c>
      <c r="G232" s="9" t="s">
        <v>35</v>
      </c>
      <c r="H232" s="9" t="s">
        <v>35</v>
      </c>
      <c r="I232" s="9" t="s">
        <v>87</v>
      </c>
      <c r="J232" s="9" t="s">
        <v>37</v>
      </c>
      <c r="K232" s="12">
        <v>43468</v>
      </c>
    </row>
    <row r="233" spans="1:11">
      <c r="A233" s="10">
        <v>232</v>
      </c>
      <c r="B233" s="9">
        <v>201901</v>
      </c>
      <c r="C233" s="11">
        <v>17884</v>
      </c>
      <c r="D233" s="9" t="s">
        <v>341</v>
      </c>
      <c r="E233" s="9" t="str">
        <f>VLOOKUP(C233,[1]MP!A112:O3912,12,0)</f>
        <v>MTC</v>
      </c>
      <c r="F233" s="9" t="str">
        <f>VLOOKUP(C233,[1]MP!A92:O3854,13,0)</f>
        <v>PREPARATION, OVER HOUL, IMPROVEMENT</v>
      </c>
      <c r="G233" s="9" t="s">
        <v>35</v>
      </c>
      <c r="H233" s="9" t="s">
        <v>35</v>
      </c>
      <c r="I233" s="9" t="s">
        <v>87</v>
      </c>
      <c r="J233" s="9" t="s">
        <v>37</v>
      </c>
      <c r="K233" s="12">
        <v>43468</v>
      </c>
    </row>
    <row r="234" spans="1:11">
      <c r="A234" s="10">
        <v>233</v>
      </c>
      <c r="B234" s="9">
        <v>201901</v>
      </c>
      <c r="C234" s="11">
        <v>17278</v>
      </c>
      <c r="D234" s="9" t="s">
        <v>342</v>
      </c>
      <c r="E234" s="9" t="str">
        <f>VLOOKUP(C234,[1]MP!A2:O3764,12,0)</f>
        <v>SHE</v>
      </c>
      <c r="F234" s="9" t="str">
        <f>VLOOKUP(C234,[1]MP!A2:O3765,13,0)</f>
        <v>BUILDING MAINTENANCE</v>
      </c>
      <c r="G234" s="9" t="s">
        <v>35</v>
      </c>
      <c r="H234" s="9" t="s">
        <v>35</v>
      </c>
      <c r="I234" s="9" t="s">
        <v>87</v>
      </c>
      <c r="J234" s="9" t="s">
        <v>37</v>
      </c>
      <c r="K234" s="12">
        <v>43468</v>
      </c>
    </row>
    <row r="235" spans="1:11">
      <c r="A235" s="10">
        <v>234</v>
      </c>
      <c r="B235" s="9">
        <v>201901</v>
      </c>
      <c r="C235" s="11">
        <v>17017</v>
      </c>
      <c r="D235" s="9" t="s">
        <v>343</v>
      </c>
      <c r="E235" s="9" t="str">
        <f>VLOOKUP(C235,[1]MP!A3:O3765,12,0)</f>
        <v>BUFFER MP SAMI</v>
      </c>
      <c r="F235" s="9" t="str">
        <f>VLOOKUP(C235,[1]MP!A3:O3766,13,0)</f>
        <v>BUFFER MP</v>
      </c>
      <c r="G235" s="9" t="s">
        <v>35</v>
      </c>
      <c r="H235" s="9" t="s">
        <v>35</v>
      </c>
      <c r="I235" s="9" t="s">
        <v>344</v>
      </c>
      <c r="J235" s="9" t="s">
        <v>37</v>
      </c>
      <c r="K235" s="12">
        <v>43468</v>
      </c>
    </row>
    <row r="236" spans="1:11">
      <c r="A236" s="10">
        <v>235</v>
      </c>
      <c r="B236" s="9">
        <v>201901</v>
      </c>
      <c r="C236" s="11">
        <v>16978</v>
      </c>
      <c r="D236" s="9" t="s">
        <v>345</v>
      </c>
      <c r="E236" s="9" t="str">
        <f>VLOOKUP(C236,[1]MP!A4:O3766,12,0)</f>
        <v>BATTERY CABLE NEW</v>
      </c>
      <c r="F236" s="9" t="str">
        <f>VLOOKUP(C236,[1]MP!A4:O3767,13,0)</f>
        <v>P-BC-03</v>
      </c>
      <c r="G236" s="9" t="s">
        <v>35</v>
      </c>
      <c r="H236" s="9" t="s">
        <v>35</v>
      </c>
      <c r="I236" s="9" t="s">
        <v>87</v>
      </c>
      <c r="J236" s="9" t="s">
        <v>37</v>
      </c>
      <c r="K236" s="12">
        <v>43468</v>
      </c>
    </row>
    <row r="237" spans="1:11">
      <c r="A237" s="10">
        <v>236</v>
      </c>
      <c r="B237" s="9">
        <v>201901</v>
      </c>
      <c r="C237" s="11">
        <v>16738</v>
      </c>
      <c r="D237" s="9" t="s">
        <v>346</v>
      </c>
      <c r="E237" s="9" t="str">
        <f>VLOOKUP(C237,[1]MP!A5:O3767,12,0)</f>
        <v>BUFFER MP SAMI</v>
      </c>
      <c r="F237" s="9" t="str">
        <f>VLOOKUP(C237,[1]MP!A5:O3768,13,0)</f>
        <v>BUFFER MP</v>
      </c>
      <c r="G237" s="9" t="s">
        <v>35</v>
      </c>
      <c r="H237" s="9" t="s">
        <v>35</v>
      </c>
      <c r="I237" s="9" t="s">
        <v>347</v>
      </c>
      <c r="J237" s="9" t="s">
        <v>37</v>
      </c>
      <c r="K237" s="12">
        <v>43468</v>
      </c>
    </row>
    <row r="238" spans="1:11">
      <c r="A238" s="10">
        <v>237</v>
      </c>
      <c r="B238" s="9">
        <v>201901</v>
      </c>
      <c r="C238" s="11">
        <v>1575</v>
      </c>
      <c r="D238" s="9" t="s">
        <v>348</v>
      </c>
      <c r="E238" s="9" t="str">
        <f>VLOOKUP(C238,[1]MP!A6:O3768,12,0)</f>
        <v>L. DOCK</v>
      </c>
      <c r="F238" s="9" t="str">
        <f>VLOOKUP(C238,[1]MP!A6:O3769,13,0)</f>
        <v>L. DOCK</v>
      </c>
      <c r="G238" s="9" t="s">
        <v>35</v>
      </c>
      <c r="H238" s="9" t="s">
        <v>35</v>
      </c>
      <c r="I238" s="9" t="s">
        <v>150</v>
      </c>
      <c r="J238" s="9" t="s">
        <v>37</v>
      </c>
      <c r="K238" s="12">
        <v>43468</v>
      </c>
    </row>
    <row r="239" spans="1:11">
      <c r="A239" s="10">
        <v>238</v>
      </c>
      <c r="B239" s="9">
        <v>201901</v>
      </c>
      <c r="C239" s="11">
        <v>15618</v>
      </c>
      <c r="D239" s="9" t="s">
        <v>349</v>
      </c>
      <c r="E239" s="9" t="str">
        <f>VLOOKUP(C239,[1]MP!A7:O3769,12,0)</f>
        <v>BUFFER MP SAMI</v>
      </c>
      <c r="F239" s="9" t="str">
        <f>VLOOKUP(C239,[1]MP!A7:O3770,13,0)</f>
        <v>BUFFER MP</v>
      </c>
      <c r="G239" s="9" t="s">
        <v>35</v>
      </c>
      <c r="H239" s="9" t="s">
        <v>35</v>
      </c>
      <c r="I239" s="9" t="s">
        <v>240</v>
      </c>
      <c r="J239" s="9" t="s">
        <v>37</v>
      </c>
      <c r="K239" s="12">
        <v>43468</v>
      </c>
    </row>
    <row r="240" spans="1:11">
      <c r="A240" s="10">
        <v>239</v>
      </c>
      <c r="B240" s="9">
        <v>201901</v>
      </c>
      <c r="C240" s="11">
        <v>15487</v>
      </c>
      <c r="D240" s="9" t="s">
        <v>350</v>
      </c>
      <c r="E240" s="9" t="str">
        <f>VLOOKUP(C240,[1]MP!A8:O3770,12,0)</f>
        <v>JBP</v>
      </c>
      <c r="F240" s="9" t="str">
        <f>VLOOKUP(C240,[1]MP!A8:O3771,13,0)</f>
        <v>VALIDASI JIG BOARD</v>
      </c>
      <c r="G240" s="9" t="s">
        <v>35</v>
      </c>
      <c r="H240" s="9" t="s">
        <v>35</v>
      </c>
      <c r="I240" s="9" t="s">
        <v>351</v>
      </c>
      <c r="J240" s="9" t="s">
        <v>37</v>
      </c>
      <c r="K240" s="12">
        <v>43468</v>
      </c>
    </row>
    <row r="241" spans="1:11">
      <c r="A241" s="10">
        <v>240</v>
      </c>
      <c r="B241" s="9">
        <v>201901</v>
      </c>
      <c r="C241" s="11">
        <v>15483</v>
      </c>
      <c r="D241" s="9" t="s">
        <v>352</v>
      </c>
      <c r="E241" s="9" t="str">
        <f>VLOOKUP(C241,[1]MP!A9:O3771,12,0)</f>
        <v>JBP</v>
      </c>
      <c r="F241" s="9" t="str">
        <f>VLOOKUP(C241,[1]MP!A9:O3772,13,0)</f>
        <v>JIG BOARD FABRICATION</v>
      </c>
      <c r="G241" s="9" t="s">
        <v>35</v>
      </c>
      <c r="H241" s="9" t="s">
        <v>35</v>
      </c>
      <c r="I241" s="9" t="s">
        <v>351</v>
      </c>
      <c r="J241" s="9" t="s">
        <v>37</v>
      </c>
      <c r="K241" s="12">
        <v>43468</v>
      </c>
    </row>
    <row r="242" spans="1:11">
      <c r="A242" s="10">
        <v>241</v>
      </c>
      <c r="B242" s="9">
        <v>201901</v>
      </c>
      <c r="C242" s="11">
        <v>15479</v>
      </c>
      <c r="D242" s="9" t="s">
        <v>353</v>
      </c>
      <c r="E242" s="9" t="str">
        <f>VLOOKUP(C242,[1]MP!A10:O3772,12,0)</f>
        <v>JBP</v>
      </c>
      <c r="F242" s="9" t="str">
        <f>VLOOKUP(C242,[1]MP!A10:O3773,13,0)</f>
        <v>JIG BOARD FABRICATION</v>
      </c>
      <c r="G242" s="9" t="s">
        <v>35</v>
      </c>
      <c r="H242" s="9" t="s">
        <v>35</v>
      </c>
      <c r="I242" s="9" t="s">
        <v>351</v>
      </c>
      <c r="J242" s="9" t="s">
        <v>37</v>
      </c>
      <c r="K242" s="12">
        <v>43468</v>
      </c>
    </row>
    <row r="243" spans="1:11">
      <c r="A243" s="10">
        <v>242</v>
      </c>
      <c r="B243" s="9">
        <v>201901</v>
      </c>
      <c r="C243" s="11">
        <v>15260</v>
      </c>
      <c r="D243" s="9" t="s">
        <v>354</v>
      </c>
      <c r="E243" s="9" t="str">
        <f>VLOOKUP(C243,[1]MP!A11:O3773,12,0)</f>
        <v>WHS</v>
      </c>
      <c r="F243" s="9" t="str">
        <f>VLOOKUP(C243,[1]MP!A11:O3774,13,0)</f>
        <v>-</v>
      </c>
      <c r="G243" s="9" t="s">
        <v>35</v>
      </c>
      <c r="H243" s="9" t="s">
        <v>35</v>
      </c>
      <c r="J243" s="9" t="s">
        <v>37</v>
      </c>
      <c r="K243" s="12">
        <v>43468</v>
      </c>
    </row>
    <row r="244" spans="1:11">
      <c r="A244" s="10">
        <v>243</v>
      </c>
      <c r="B244" s="9">
        <v>201901</v>
      </c>
      <c r="C244" s="11">
        <v>15247</v>
      </c>
      <c r="D244" s="9" t="s">
        <v>355</v>
      </c>
      <c r="E244" s="9" t="str">
        <f>VLOOKUP(C244,[1]MP!A12:O3774,12,0)</f>
        <v>WHS</v>
      </c>
      <c r="F244" s="9" t="str">
        <f>VLOOKUP(C244,[1]MP!A12:O3775,13,0)</f>
        <v>-</v>
      </c>
      <c r="G244" s="9" t="s">
        <v>35</v>
      </c>
      <c r="H244" s="9" t="s">
        <v>35</v>
      </c>
      <c r="J244" s="9" t="s">
        <v>37</v>
      </c>
      <c r="K244" s="12">
        <v>43468</v>
      </c>
    </row>
    <row r="245" spans="1:11">
      <c r="A245" s="10">
        <v>244</v>
      </c>
      <c r="B245" s="9">
        <v>201901</v>
      </c>
      <c r="C245" s="11">
        <v>14675</v>
      </c>
      <c r="D245" s="9" t="s">
        <v>356</v>
      </c>
      <c r="E245" s="9" t="str">
        <f>VLOOKUP(C245,[1]MP!A13:O3775,12,0)</f>
        <v>L. DOCK</v>
      </c>
      <c r="F245" s="9" t="str">
        <f>VLOOKUP(C245,[1]MP!A13:O3776,13,0)</f>
        <v>L. DOCK</v>
      </c>
      <c r="G245" s="9" t="s">
        <v>35</v>
      </c>
      <c r="H245" s="9" t="s">
        <v>35</v>
      </c>
      <c r="J245" s="9" t="s">
        <v>37</v>
      </c>
      <c r="K245" s="12">
        <v>43468</v>
      </c>
    </row>
    <row r="246" spans="1:11">
      <c r="A246" s="10">
        <v>245</v>
      </c>
      <c r="B246" s="9">
        <v>201901</v>
      </c>
      <c r="C246" s="11">
        <v>14418</v>
      </c>
      <c r="D246" s="9" t="s">
        <v>357</v>
      </c>
      <c r="E246" s="9" t="str">
        <f>VLOOKUP(C246,[1]MP!A14:O3776,12,0)</f>
        <v>BUFFER MP SAMI</v>
      </c>
      <c r="F246" s="9" t="str">
        <f>VLOOKUP(C246,[1]MP!A14:O3777,13,0)</f>
        <v>BUFFER MP</v>
      </c>
      <c r="G246" s="9" t="s">
        <v>35</v>
      </c>
      <c r="H246" s="9" t="s">
        <v>35</v>
      </c>
      <c r="I246" s="9" t="s">
        <v>358</v>
      </c>
      <c r="J246" s="9" t="s">
        <v>37</v>
      </c>
      <c r="K246" s="12">
        <v>43468</v>
      </c>
    </row>
    <row r="247" spans="1:11">
      <c r="A247" s="10">
        <v>246</v>
      </c>
      <c r="B247" s="9">
        <v>201901</v>
      </c>
      <c r="C247" s="11">
        <v>1436</v>
      </c>
      <c r="D247" s="9" t="s">
        <v>359</v>
      </c>
      <c r="E247" s="9" t="str">
        <f>VLOOKUP(C247,[1]MP!A15:O3777,12,0)</f>
        <v>PRE ASSY MAZDA ATENZA</v>
      </c>
      <c r="F247" s="9" t="str">
        <f>VLOOKUP(C247,[1]MP!A15:O3778,13,0)</f>
        <v>BM4-MZD-01</v>
      </c>
      <c r="G247" s="9" t="s">
        <v>35</v>
      </c>
      <c r="H247" s="9" t="s">
        <v>35</v>
      </c>
      <c r="I247" s="9" t="s">
        <v>111</v>
      </c>
      <c r="J247" s="9" t="s">
        <v>37</v>
      </c>
      <c r="K247" s="12">
        <v>43468</v>
      </c>
    </row>
    <row r="248" spans="1:11">
      <c r="A248" s="10">
        <v>247</v>
      </c>
      <c r="B248" s="9">
        <v>201901</v>
      </c>
      <c r="C248" s="11">
        <v>14149</v>
      </c>
      <c r="D248" s="9" t="s">
        <v>360</v>
      </c>
      <c r="E248" s="9" t="str">
        <f>VLOOKUP(C248,[1]MP!A16:O3778,12,0)</f>
        <v>WORKSHOP</v>
      </c>
      <c r="F248" s="9" t="str">
        <f>VLOOKUP(C248,[1]MP!A16:O3779,13,0)</f>
        <v>EQUIPMENT NEW PROJECT FINAL ASSY</v>
      </c>
      <c r="G248" s="9" t="s">
        <v>35</v>
      </c>
      <c r="H248" s="9" t="s">
        <v>35</v>
      </c>
      <c r="J248" s="9" t="s">
        <v>37</v>
      </c>
      <c r="K248" s="12">
        <v>43468</v>
      </c>
    </row>
    <row r="249" spans="1:11">
      <c r="A249" s="10">
        <v>248</v>
      </c>
      <c r="B249" s="9">
        <v>201901</v>
      </c>
      <c r="C249" s="11">
        <v>14144</v>
      </c>
      <c r="D249" s="9" t="s">
        <v>361</v>
      </c>
      <c r="E249" s="9" t="str">
        <f>VLOOKUP(C249,[1]MP!A17:O3779,12,0)</f>
        <v>WORKSHOP</v>
      </c>
      <c r="F249" s="9" t="str">
        <f>VLOOKUP(C249,[1]MP!A17:O3780,13,0)</f>
        <v>EQUIPMENT NEW PROJECT CUTTING PRE ASSY</v>
      </c>
      <c r="G249" s="9" t="s">
        <v>35</v>
      </c>
      <c r="H249" s="9" t="s">
        <v>35</v>
      </c>
      <c r="J249" s="9" t="s">
        <v>37</v>
      </c>
      <c r="K249" s="12">
        <v>43468</v>
      </c>
    </row>
    <row r="250" spans="1:11">
      <c r="A250" s="10">
        <v>249</v>
      </c>
      <c r="B250" s="9">
        <v>201901</v>
      </c>
      <c r="C250" s="11">
        <v>14143</v>
      </c>
      <c r="D250" s="9" t="s">
        <v>362</v>
      </c>
      <c r="E250" s="9" t="str">
        <f>VLOOKUP(C250,[1]MP!A18:O3780,12,0)</f>
        <v>WORKSHOP</v>
      </c>
      <c r="F250" s="9" t="str">
        <f>VLOOKUP(C250,[1]MP!A18:O3781,13,0)</f>
        <v>Improvent Workshop</v>
      </c>
      <c r="G250" s="9" t="s">
        <v>35</v>
      </c>
      <c r="H250" s="9" t="s">
        <v>35</v>
      </c>
      <c r="I250" s="9" t="s">
        <v>87</v>
      </c>
      <c r="J250" s="9" t="s">
        <v>37</v>
      </c>
      <c r="K250" s="12">
        <v>43468</v>
      </c>
    </row>
    <row r="251" spans="1:11">
      <c r="A251" s="10">
        <v>250</v>
      </c>
      <c r="B251" s="9">
        <v>201901</v>
      </c>
      <c r="C251" s="11">
        <v>14141</v>
      </c>
      <c r="D251" s="9" t="s">
        <v>363</v>
      </c>
      <c r="E251" s="9" t="str">
        <f>VLOOKUP(C251,[1]MP!A19:O3781,12,0)</f>
        <v>PRD IMP</v>
      </c>
      <c r="F251" s="9" t="str">
        <f>VLOOKUP(C251,[1]MP!A19:O3782,13,0)</f>
        <v>GL</v>
      </c>
      <c r="G251" s="9" t="s">
        <v>35</v>
      </c>
      <c r="H251" s="9" t="s">
        <v>35</v>
      </c>
      <c r="J251" s="9" t="s">
        <v>37</v>
      </c>
      <c r="K251" s="12">
        <v>43468</v>
      </c>
    </row>
    <row r="252" spans="1:11">
      <c r="A252" s="10">
        <v>251</v>
      </c>
      <c r="B252" s="9">
        <v>201901</v>
      </c>
      <c r="C252" s="11">
        <v>14135</v>
      </c>
      <c r="D252" s="9" t="s">
        <v>364</v>
      </c>
      <c r="E252" s="9" t="str">
        <f>VLOOKUP(C252,[1]MP!A20:O3782,12,0)</f>
        <v>SHE</v>
      </c>
      <c r="F252" s="9" t="str">
        <f>VLOOKUP(C252,[1]MP!A20:O3783,13,0)</f>
        <v>BUILDING MAINTENANCE</v>
      </c>
      <c r="G252" s="9" t="s">
        <v>35</v>
      </c>
      <c r="H252" s="9" t="s">
        <v>35</v>
      </c>
      <c r="I252" s="9" t="s">
        <v>87</v>
      </c>
      <c r="J252" s="9" t="s">
        <v>37</v>
      </c>
      <c r="K252" s="12">
        <v>43468</v>
      </c>
    </row>
    <row r="253" spans="1:11">
      <c r="A253" s="10">
        <v>252</v>
      </c>
      <c r="B253" s="9">
        <v>201901</v>
      </c>
      <c r="C253" s="11">
        <v>14129</v>
      </c>
      <c r="D253" s="9" t="s">
        <v>365</v>
      </c>
      <c r="E253" s="9" t="str">
        <f>VLOOKUP(C253,[1]MP!A21:O3783,12,0)</f>
        <v>JBP</v>
      </c>
      <c r="F253" s="9" t="str">
        <f>VLOOKUP(C253,[1]MP!A21:O3784,13,0)</f>
        <v>VALIDASI JIG BOARD</v>
      </c>
      <c r="G253" s="9" t="s">
        <v>35</v>
      </c>
      <c r="H253" s="9" t="s">
        <v>35</v>
      </c>
      <c r="J253" s="9" t="s">
        <v>37</v>
      </c>
      <c r="K253" s="12">
        <v>43468</v>
      </c>
    </row>
    <row r="254" spans="1:11">
      <c r="A254" s="10">
        <v>253</v>
      </c>
      <c r="B254" s="9">
        <v>201901</v>
      </c>
      <c r="C254" s="11">
        <v>14125</v>
      </c>
      <c r="D254" s="9" t="s">
        <v>366</v>
      </c>
      <c r="E254" s="9" t="str">
        <f>VLOOKUP(C254,[1]MP!A22:O3784,12,0)</f>
        <v>WORKSHOP</v>
      </c>
      <c r="F254" s="9" t="str">
        <f>VLOOKUP(C254,[1]MP!A22:O3785,13,0)</f>
        <v>-</v>
      </c>
      <c r="G254" s="9" t="s">
        <v>35</v>
      </c>
      <c r="H254" s="9" t="s">
        <v>35</v>
      </c>
      <c r="J254" s="9" t="s">
        <v>37</v>
      </c>
      <c r="K254" s="12">
        <v>43468</v>
      </c>
    </row>
    <row r="255" spans="1:11">
      <c r="A255" s="10">
        <v>254</v>
      </c>
      <c r="B255" s="9">
        <v>201901</v>
      </c>
      <c r="C255" s="11">
        <v>14110</v>
      </c>
      <c r="D255" s="9" t="s">
        <v>367</v>
      </c>
      <c r="E255" s="9" t="str">
        <f>VLOOKUP(C255,[1]MP!A23:O3785,12,0)</f>
        <v>CBP</v>
      </c>
      <c r="F255" s="9" t="str">
        <f>VLOOKUP(C255,[1]MP!A23:O3786,13,0)</f>
        <v>CHECKER BOARD VALIDATION</v>
      </c>
      <c r="G255" s="9" t="s">
        <v>35</v>
      </c>
      <c r="H255" s="9" t="s">
        <v>35</v>
      </c>
      <c r="I255" s="9" t="s">
        <v>87</v>
      </c>
      <c r="J255" s="9" t="s">
        <v>37</v>
      </c>
      <c r="K255" s="12">
        <v>43468</v>
      </c>
    </row>
    <row r="256" spans="1:11">
      <c r="A256" s="10">
        <v>255</v>
      </c>
      <c r="B256" s="9">
        <v>201901</v>
      </c>
      <c r="C256" s="11">
        <v>14107</v>
      </c>
      <c r="D256" s="9" t="s">
        <v>368</v>
      </c>
      <c r="E256" s="9" t="str">
        <f>VLOOKUP(C256,[1]MP!A24:O3786,12,0)</f>
        <v>JCN</v>
      </c>
      <c r="F256" s="9" t="str">
        <f>VLOOKUP(C256,[1]MP!A24:O3787,13,0)</f>
        <v>BREAKDOWN &amp; PREVENTIVE CONVEYOR</v>
      </c>
      <c r="G256" s="9" t="s">
        <v>35</v>
      </c>
      <c r="H256" s="9" t="s">
        <v>35</v>
      </c>
      <c r="I256" s="9" t="s">
        <v>87</v>
      </c>
      <c r="J256" s="9" t="s">
        <v>37</v>
      </c>
      <c r="K256" s="12">
        <v>43468</v>
      </c>
    </row>
    <row r="257" spans="1:11">
      <c r="A257" s="10">
        <v>256</v>
      </c>
      <c r="B257" s="9">
        <v>201901</v>
      </c>
      <c r="C257" s="11">
        <v>14105</v>
      </c>
      <c r="D257" s="9" t="s">
        <v>369</v>
      </c>
      <c r="E257" s="9" t="str">
        <f>VLOOKUP(C257,[1]MP!A25:O3787,12,0)</f>
        <v>MTC</v>
      </c>
      <c r="F257" s="9" t="str">
        <f>VLOOKUP(C257,[1]MP!A25:O3788,13,0)</f>
        <v>INPUT DOWNTIME</v>
      </c>
      <c r="G257" s="9" t="s">
        <v>35</v>
      </c>
      <c r="H257" s="9" t="s">
        <v>35</v>
      </c>
      <c r="J257" s="9" t="s">
        <v>37</v>
      </c>
      <c r="K257" s="12">
        <v>43468</v>
      </c>
    </row>
    <row r="258" spans="1:11">
      <c r="A258" s="10">
        <v>257</v>
      </c>
      <c r="B258" s="9">
        <v>201901</v>
      </c>
      <c r="C258" s="11">
        <v>14103</v>
      </c>
      <c r="D258" s="9" t="s">
        <v>370</v>
      </c>
      <c r="E258" s="9" t="str">
        <f>VLOOKUP(C258,[1]MP!A26:O3788,12,0)</f>
        <v>JCP</v>
      </c>
      <c r="F258" s="9" t="str">
        <f>VLOOKUP(C258,[1]MP!A26:O3789,13,0)</f>
        <v xml:space="preserve">PREPARE ORDERING PART AND CONTROL STOCK MATERIAL JIG BOARD </v>
      </c>
      <c r="G258" s="9" t="s">
        <v>35</v>
      </c>
      <c r="H258" s="9" t="s">
        <v>35</v>
      </c>
      <c r="I258" s="9" t="s">
        <v>87</v>
      </c>
      <c r="J258" s="9" t="s">
        <v>37</v>
      </c>
      <c r="K258" s="12">
        <v>43468</v>
      </c>
    </row>
    <row r="259" spans="1:11">
      <c r="A259" s="10">
        <v>258</v>
      </c>
      <c r="B259" s="9">
        <v>201901</v>
      </c>
      <c r="C259" s="11">
        <v>14100</v>
      </c>
      <c r="D259" s="9" t="s">
        <v>371</v>
      </c>
      <c r="E259" s="9" t="str">
        <f>VLOOKUP(C259,[1]MP!A27:O3789,12,0)</f>
        <v>JCN</v>
      </c>
      <c r="F259" s="9" t="str">
        <f>VLOOKUP(C259,[1]MP!A27:O3790,13,0)</f>
        <v>CNC &amp; MILLING MATTING PART DESIGN &amp; FABRICATION</v>
      </c>
      <c r="G259" s="9" t="s">
        <v>35</v>
      </c>
      <c r="H259" s="9" t="s">
        <v>35</v>
      </c>
      <c r="I259" s="9" t="s">
        <v>87</v>
      </c>
      <c r="J259" s="9" t="s">
        <v>37</v>
      </c>
      <c r="K259" s="12">
        <v>43468</v>
      </c>
    </row>
    <row r="260" spans="1:11">
      <c r="A260" s="10">
        <v>259</v>
      </c>
      <c r="B260" s="9">
        <v>201901</v>
      </c>
      <c r="C260" s="11">
        <v>14094</v>
      </c>
      <c r="D260" s="9" t="s">
        <v>372</v>
      </c>
      <c r="E260" s="9" t="str">
        <f>VLOOKUP(C260,[1]MP!A28:O3790,12,0)</f>
        <v>CBP</v>
      </c>
      <c r="F260" s="9" t="str">
        <f>VLOOKUP(C260,[1]MP!A28:O3791,13,0)</f>
        <v>CHECKER BOARD FABRICATION</v>
      </c>
      <c r="G260" s="9" t="s">
        <v>35</v>
      </c>
      <c r="H260" s="9" t="s">
        <v>35</v>
      </c>
      <c r="I260" s="9" t="s">
        <v>87</v>
      </c>
      <c r="J260" s="9" t="s">
        <v>37</v>
      </c>
      <c r="K260" s="12">
        <v>43468</v>
      </c>
    </row>
    <row r="261" spans="1:11">
      <c r="A261" s="10">
        <v>260</v>
      </c>
      <c r="B261" s="9">
        <v>201901</v>
      </c>
      <c r="C261" s="11">
        <v>14093</v>
      </c>
      <c r="D261" s="9" t="s">
        <v>373</v>
      </c>
      <c r="E261" s="9" t="str">
        <f>VLOOKUP(C261,[1]MP!A29:O3791,12,0)</f>
        <v>CT</v>
      </c>
      <c r="F261" s="9" t="str">
        <f>VLOOKUP(C261,[1]MP!A29:O3792,13,0)</f>
        <v>CS &amp; BS + IPS &amp; ORDERING</v>
      </c>
      <c r="G261" s="9" t="s">
        <v>35</v>
      </c>
      <c r="H261" s="9" t="s">
        <v>35</v>
      </c>
      <c r="J261" s="9" t="s">
        <v>37</v>
      </c>
      <c r="K261" s="12">
        <v>43468</v>
      </c>
    </row>
    <row r="262" spans="1:11">
      <c r="A262" s="10">
        <v>261</v>
      </c>
      <c r="B262" s="9">
        <v>201901</v>
      </c>
      <c r="C262" s="11">
        <v>14092</v>
      </c>
      <c r="D262" s="9" t="s">
        <v>374</v>
      </c>
      <c r="E262" s="9" t="str">
        <f>VLOOKUP(C262,[1]MP!A30:O3792,12,0)</f>
        <v>L. DOCK</v>
      </c>
      <c r="F262" s="9" t="str">
        <f>VLOOKUP(C262,[1]MP!A30:O3793,13,0)</f>
        <v>L. DOCK</v>
      </c>
      <c r="G262" s="9" t="s">
        <v>35</v>
      </c>
      <c r="H262" s="9" t="s">
        <v>35</v>
      </c>
      <c r="J262" s="9" t="s">
        <v>37</v>
      </c>
      <c r="K262" s="12">
        <v>43468</v>
      </c>
    </row>
    <row r="263" spans="1:11">
      <c r="A263" s="10">
        <v>262</v>
      </c>
      <c r="B263" s="9">
        <v>201901</v>
      </c>
      <c r="C263" s="11">
        <v>14091</v>
      </c>
      <c r="D263" s="9" t="s">
        <v>375</v>
      </c>
      <c r="E263" s="9" t="str">
        <f>VLOOKUP(C263,[1]MP!A31:O3793,12,0)</f>
        <v>WORKSHOP</v>
      </c>
      <c r="F263" s="9" t="str">
        <f>VLOOKUP(C263,[1]MP!A31:O3794,13,0)</f>
        <v>-</v>
      </c>
      <c r="G263" s="9" t="s">
        <v>35</v>
      </c>
      <c r="H263" s="9" t="s">
        <v>35</v>
      </c>
      <c r="I263" s="9" t="s">
        <v>87</v>
      </c>
      <c r="J263" s="9" t="s">
        <v>37</v>
      </c>
      <c r="K263" s="12">
        <v>43468</v>
      </c>
    </row>
    <row r="264" spans="1:11">
      <c r="A264" s="10">
        <v>263</v>
      </c>
      <c r="B264" s="9">
        <v>201901</v>
      </c>
      <c r="C264" s="11">
        <v>14039</v>
      </c>
      <c r="D264" s="9" t="s">
        <v>376</v>
      </c>
      <c r="E264" s="9" t="str">
        <f>VLOOKUP(C264,[1]MP!A32:O3794,12,0)</f>
        <v>PP-3</v>
      </c>
      <c r="F264" s="9" t="str">
        <f>VLOOKUP(C264,[1]MP!A32:O3795,13,0)</f>
        <v>EQUIPMENT</v>
      </c>
      <c r="G264" s="9" t="s">
        <v>35</v>
      </c>
      <c r="H264" s="9" t="s">
        <v>35</v>
      </c>
      <c r="I264" s="9" t="s">
        <v>87</v>
      </c>
      <c r="J264" s="9" t="s">
        <v>37</v>
      </c>
      <c r="K264" s="12">
        <v>43468</v>
      </c>
    </row>
    <row r="265" spans="1:11">
      <c r="A265" s="10">
        <v>264</v>
      </c>
      <c r="B265" s="9">
        <v>201901</v>
      </c>
      <c r="C265" s="11">
        <v>14038</v>
      </c>
      <c r="D265" s="9" t="s">
        <v>377</v>
      </c>
      <c r="E265" s="9" t="str">
        <f>VLOOKUP(C265,[1]MP!A33:O3795,12,0)</f>
        <v>WORKSHOP</v>
      </c>
      <c r="F265" s="9" t="str">
        <f>VLOOKUP(C265,[1]MP!A33:O3796,13,0)</f>
        <v>Improvent Workshop</v>
      </c>
      <c r="G265" s="9" t="s">
        <v>35</v>
      </c>
      <c r="H265" s="9" t="s">
        <v>35</v>
      </c>
      <c r="I265" s="9" t="s">
        <v>87</v>
      </c>
      <c r="J265" s="9" t="s">
        <v>37</v>
      </c>
      <c r="K265" s="12">
        <v>43468</v>
      </c>
    </row>
    <row r="266" spans="1:11">
      <c r="A266" s="10">
        <v>265</v>
      </c>
      <c r="B266" s="9">
        <v>201901</v>
      </c>
      <c r="C266" s="11">
        <v>13630</v>
      </c>
      <c r="D266" s="9" t="s">
        <v>378</v>
      </c>
      <c r="E266" s="9" t="str">
        <f>VLOOKUP(C266,[1]MP!A34:O3796,12,0)</f>
        <v>MTC</v>
      </c>
      <c r="F266" s="9" t="str">
        <f>VLOOKUP(C266,[1]MP!A34:O3797,13,0)</f>
        <v>BREAKDOWN</v>
      </c>
      <c r="G266" s="9" t="s">
        <v>35</v>
      </c>
      <c r="H266" s="9" t="s">
        <v>35</v>
      </c>
      <c r="I266" s="9" t="s">
        <v>87</v>
      </c>
      <c r="J266" s="9" t="s">
        <v>37</v>
      </c>
      <c r="K266" s="12">
        <v>43468</v>
      </c>
    </row>
    <row r="267" spans="1:11">
      <c r="A267" s="10">
        <v>266</v>
      </c>
      <c r="B267" s="9">
        <v>201901</v>
      </c>
      <c r="C267" s="11">
        <v>13627</v>
      </c>
      <c r="D267" s="9" t="s">
        <v>379</v>
      </c>
      <c r="E267" s="9" t="str">
        <f>VLOOKUP(C267,[1]MP!A35:O3797,12,0)</f>
        <v>MTC</v>
      </c>
      <c r="F267" s="9" t="str">
        <f>VLOOKUP(C267,[1]MP!A35:O3798,13,0)</f>
        <v>BREAKDOWN</v>
      </c>
      <c r="G267" s="9" t="s">
        <v>35</v>
      </c>
      <c r="H267" s="9" t="s">
        <v>35</v>
      </c>
      <c r="I267" s="9" t="s">
        <v>87</v>
      </c>
      <c r="J267" s="9" t="s">
        <v>37</v>
      </c>
      <c r="K267" s="12">
        <v>43468</v>
      </c>
    </row>
    <row r="268" spans="1:11">
      <c r="A268" s="10">
        <v>267</v>
      </c>
      <c r="B268" s="9">
        <v>201901</v>
      </c>
      <c r="C268" s="11">
        <v>13604</v>
      </c>
      <c r="D268" s="9" t="s">
        <v>380</v>
      </c>
      <c r="E268" s="9" t="str">
        <f>VLOOKUP(C268,[1]MP!A36:O3798,12,0)</f>
        <v>QS</v>
      </c>
      <c r="F268" s="9" t="str">
        <f>VLOOKUP(C268,[1]MP!A36:O3799,13,0)</f>
        <v>ADMINISTRATION</v>
      </c>
      <c r="G268" s="9" t="s">
        <v>35</v>
      </c>
      <c r="H268" s="9" t="s">
        <v>35</v>
      </c>
      <c r="I268" s="9" t="s">
        <v>87</v>
      </c>
      <c r="J268" s="9" t="s">
        <v>37</v>
      </c>
      <c r="K268" s="12">
        <v>43468</v>
      </c>
    </row>
    <row r="269" spans="1:11">
      <c r="A269" s="10">
        <v>268</v>
      </c>
      <c r="B269" s="9">
        <v>201901</v>
      </c>
      <c r="C269" s="11">
        <v>13523</v>
      </c>
      <c r="D269" s="9" t="s">
        <v>381</v>
      </c>
      <c r="E269" s="9" t="str">
        <f>VLOOKUP(C269,[1]MP!A37:O3799,12,0)</f>
        <v>CBP</v>
      </c>
      <c r="F269" s="9" t="str">
        <f>VLOOKUP(C269,[1]MP!A37:O3800,13,0)</f>
        <v>PROGRAMER CHECKER BOARD</v>
      </c>
      <c r="G269" s="9" t="s">
        <v>35</v>
      </c>
      <c r="H269" s="9" t="s">
        <v>35</v>
      </c>
      <c r="I269" s="9" t="s">
        <v>87</v>
      </c>
      <c r="J269" s="9" t="s">
        <v>37</v>
      </c>
      <c r="K269" s="12">
        <v>43468</v>
      </c>
    </row>
    <row r="270" spans="1:11">
      <c r="A270" s="10">
        <v>269</v>
      </c>
      <c r="B270" s="9">
        <v>201901</v>
      </c>
      <c r="C270" s="11">
        <v>13437</v>
      </c>
      <c r="D270" s="9" t="s">
        <v>382</v>
      </c>
      <c r="E270" s="9" t="str">
        <f>VLOOKUP(C270,[1]MP!A38:O3800,12,0)</f>
        <v>DESIGN LAYOUT</v>
      </c>
      <c r="F270" s="9" t="str">
        <f>VLOOKUP(C270,[1]MP!A38:O3801,13,0)</f>
        <v>-</v>
      </c>
      <c r="G270" s="9" t="s">
        <v>35</v>
      </c>
      <c r="H270" s="9" t="s">
        <v>35</v>
      </c>
      <c r="J270" s="9" t="s">
        <v>37</v>
      </c>
      <c r="K270" s="12">
        <v>43468</v>
      </c>
    </row>
    <row r="271" spans="1:11">
      <c r="A271" s="10">
        <v>270</v>
      </c>
      <c r="B271" s="9">
        <v>201901</v>
      </c>
      <c r="C271" s="11">
        <v>13429</v>
      </c>
      <c r="D271" s="9" t="s">
        <v>383</v>
      </c>
      <c r="E271" s="9" t="str">
        <f>VLOOKUP(C271,[1]MP!A39:O3801,12,0)</f>
        <v>DESIGN LAYOUT</v>
      </c>
      <c r="F271" s="9" t="str">
        <f>VLOOKUP(C271,[1]MP!A39:O3802,13,0)</f>
        <v>-</v>
      </c>
      <c r="G271" s="9" t="s">
        <v>35</v>
      </c>
      <c r="H271" s="9" t="s">
        <v>35</v>
      </c>
      <c r="J271" s="9" t="s">
        <v>37</v>
      </c>
      <c r="K271" s="12">
        <v>43468</v>
      </c>
    </row>
    <row r="272" spans="1:11">
      <c r="A272" s="10">
        <v>271</v>
      </c>
      <c r="B272" s="9">
        <v>201901</v>
      </c>
      <c r="C272" s="11">
        <v>13425</v>
      </c>
      <c r="D272" s="9" t="s">
        <v>384</v>
      </c>
      <c r="E272" s="9" t="str">
        <f>VLOOKUP(C272,[1]MP!A40:O3802,12,0)</f>
        <v>MTC</v>
      </c>
      <c r="F272" s="9" t="str">
        <f>VLOOKUP(C272,[1]MP!A40:O3803,13,0)</f>
        <v>PREPARATION, OVER HOUL, IMPROVEMENT</v>
      </c>
      <c r="G272" s="9" t="s">
        <v>35</v>
      </c>
      <c r="H272" s="9" t="s">
        <v>35</v>
      </c>
      <c r="I272" s="9" t="s">
        <v>87</v>
      </c>
      <c r="J272" s="9" t="s">
        <v>37</v>
      </c>
      <c r="K272" s="12">
        <v>43468</v>
      </c>
    </row>
    <row r="273" spans="1:11">
      <c r="A273" s="10">
        <v>272</v>
      </c>
      <c r="B273" s="9">
        <v>201901</v>
      </c>
      <c r="C273" s="11">
        <v>13424</v>
      </c>
      <c r="D273" s="9" t="s">
        <v>385</v>
      </c>
      <c r="E273" s="9" t="str">
        <f>VLOOKUP(C273,[1]MP!A41:O3803,12,0)</f>
        <v>MTC</v>
      </c>
      <c r="F273" s="9" t="str">
        <f>VLOOKUP(C273,[1]MP!A41:O3804,13,0)</f>
        <v>BREAKDOWN</v>
      </c>
      <c r="G273" s="9" t="s">
        <v>35</v>
      </c>
      <c r="H273" s="9" t="s">
        <v>35</v>
      </c>
      <c r="J273" s="9" t="s">
        <v>37</v>
      </c>
      <c r="K273" s="12">
        <v>43468</v>
      </c>
    </row>
    <row r="274" spans="1:11">
      <c r="A274" s="10">
        <v>273</v>
      </c>
      <c r="B274" s="9">
        <v>201901</v>
      </c>
      <c r="C274" s="11">
        <v>13423</v>
      </c>
      <c r="D274" s="9" t="s">
        <v>386</v>
      </c>
      <c r="E274" s="9" t="str">
        <f>VLOOKUP(C274,[1]MP!A42:O3804,12,0)</f>
        <v>MTC</v>
      </c>
      <c r="F274" s="9" t="str">
        <f>VLOOKUP(C274,[1]MP!A42:O3805,13,0)</f>
        <v>BREAKDOWN</v>
      </c>
      <c r="G274" s="9" t="s">
        <v>35</v>
      </c>
      <c r="H274" s="9" t="s">
        <v>35</v>
      </c>
      <c r="I274" s="9" t="s">
        <v>87</v>
      </c>
      <c r="J274" s="9" t="s">
        <v>37</v>
      </c>
      <c r="K274" s="12">
        <v>43468</v>
      </c>
    </row>
    <row r="275" spans="1:11">
      <c r="A275" s="10">
        <v>274</v>
      </c>
      <c r="B275" s="9">
        <v>201901</v>
      </c>
      <c r="C275" s="11">
        <v>13418</v>
      </c>
      <c r="D275" s="9" t="s">
        <v>387</v>
      </c>
      <c r="E275" s="9" t="str">
        <f>VLOOKUP(C275,[1]MP!A43:O3805,12,0)</f>
        <v>MTC</v>
      </c>
      <c r="F275" s="9" t="str">
        <f>VLOOKUP(C275,[1]MP!A43:O3806,13,0)</f>
        <v>BREAKDOWN</v>
      </c>
      <c r="G275" s="9" t="s">
        <v>35</v>
      </c>
      <c r="H275" s="9" t="s">
        <v>35</v>
      </c>
      <c r="I275" s="9" t="s">
        <v>87</v>
      </c>
      <c r="J275" s="9" t="s">
        <v>37</v>
      </c>
      <c r="K275" s="12">
        <v>43468</v>
      </c>
    </row>
    <row r="276" spans="1:11">
      <c r="A276" s="10">
        <v>275</v>
      </c>
      <c r="B276" s="9">
        <v>201901</v>
      </c>
      <c r="C276" s="11">
        <v>13369</v>
      </c>
      <c r="D276" s="9" t="s">
        <v>388</v>
      </c>
      <c r="E276" s="9" t="str">
        <f>VLOOKUP(C276,[1]MP!A44:O3806,12,0)</f>
        <v>HSPO FA</v>
      </c>
      <c r="F276" s="9" t="str">
        <f>VLOOKUP(C276,[1]MP!A44:O3807,13,0)</f>
        <v>T/P</v>
      </c>
      <c r="G276" s="9" t="s">
        <v>35</v>
      </c>
      <c r="H276" s="9" t="s">
        <v>35</v>
      </c>
      <c r="I276" s="9" t="s">
        <v>53</v>
      </c>
      <c r="J276" s="9" t="s">
        <v>37</v>
      </c>
      <c r="K276" s="12">
        <v>43468</v>
      </c>
    </row>
    <row r="277" spans="1:11">
      <c r="A277" s="10">
        <v>276</v>
      </c>
      <c r="B277" s="9">
        <v>201901</v>
      </c>
      <c r="C277" s="11">
        <v>13353</v>
      </c>
      <c r="D277" s="9" t="s">
        <v>389</v>
      </c>
      <c r="E277" s="9" t="str">
        <f>VLOOKUP(C277,[1]MP!A45:O3807,12,0)</f>
        <v>SHE</v>
      </c>
      <c r="F277" s="9" t="str">
        <f>VLOOKUP(C277,[1]MP!A45:O3808,13,0)</f>
        <v>BUILDING MAINTENANCE</v>
      </c>
      <c r="G277" s="9" t="s">
        <v>35</v>
      </c>
      <c r="H277" s="9" t="s">
        <v>35</v>
      </c>
      <c r="I277" s="9" t="s">
        <v>87</v>
      </c>
      <c r="J277" s="9" t="s">
        <v>37</v>
      </c>
      <c r="K277" s="12">
        <v>43468</v>
      </c>
    </row>
    <row r="278" spans="1:11">
      <c r="A278" s="10">
        <v>277</v>
      </c>
      <c r="B278" s="9">
        <v>201901</v>
      </c>
      <c r="C278" s="11">
        <v>13349</v>
      </c>
      <c r="D278" s="9" t="s">
        <v>390</v>
      </c>
      <c r="E278" s="9" t="str">
        <f>VLOOKUP(C278,[1]MP!A46:O3808,12,0)</f>
        <v>MTP</v>
      </c>
      <c r="F278" s="9" t="str">
        <f>VLOOKUP(C278,[1]MP!A46:O3809,13,0)</f>
        <v>WEAR &amp; TEAR STOCK CONTROL</v>
      </c>
      <c r="G278" s="9" t="s">
        <v>35</v>
      </c>
      <c r="H278" s="9" t="s">
        <v>35</v>
      </c>
      <c r="I278" s="9" t="s">
        <v>87</v>
      </c>
      <c r="J278" s="9" t="s">
        <v>37</v>
      </c>
      <c r="K278" s="12">
        <v>43468</v>
      </c>
    </row>
    <row r="279" spans="1:11">
      <c r="A279" s="10">
        <v>278</v>
      </c>
      <c r="B279" s="9">
        <v>201901</v>
      </c>
      <c r="C279" s="11">
        <v>13346</v>
      </c>
      <c r="D279" s="9" t="s">
        <v>391</v>
      </c>
      <c r="E279" s="9" t="str">
        <f>VLOOKUP(C279,[1]MP!A47:O3809,12,0)</f>
        <v>CBP</v>
      </c>
      <c r="F279" s="9" t="str">
        <f>VLOOKUP(C279,[1]MP!A47:O3810,13,0)</f>
        <v>LL (MAGANG)</v>
      </c>
      <c r="G279" s="9" t="s">
        <v>35</v>
      </c>
      <c r="H279" s="9" t="s">
        <v>35</v>
      </c>
      <c r="I279" s="9" t="s">
        <v>87</v>
      </c>
      <c r="J279" s="9" t="s">
        <v>37</v>
      </c>
      <c r="K279" s="12">
        <v>43468</v>
      </c>
    </row>
    <row r="280" spans="1:11">
      <c r="A280" s="10">
        <v>279</v>
      </c>
      <c r="B280" s="9">
        <v>201901</v>
      </c>
      <c r="C280" s="11">
        <v>13344</v>
      </c>
      <c r="D280" s="9" t="s">
        <v>392</v>
      </c>
      <c r="E280" s="9" t="str">
        <f>VLOOKUP(C280,[1]MP!A48:O3810,12,0)</f>
        <v>WORKSHOP</v>
      </c>
      <c r="F280" s="9" t="str">
        <f>VLOOKUP(C280,[1]MP!A48:O3811,13,0)</f>
        <v>-</v>
      </c>
      <c r="G280" s="9" t="s">
        <v>35</v>
      </c>
      <c r="H280" s="9" t="s">
        <v>35</v>
      </c>
      <c r="I280" s="9" t="s">
        <v>87</v>
      </c>
      <c r="J280" s="9" t="s">
        <v>37</v>
      </c>
      <c r="K280" s="12">
        <v>43468</v>
      </c>
    </row>
    <row r="281" spans="1:11">
      <c r="A281" s="10">
        <v>280</v>
      </c>
      <c r="B281" s="9">
        <v>201901</v>
      </c>
      <c r="C281" s="11">
        <v>13341</v>
      </c>
      <c r="D281" s="9" t="s">
        <v>393</v>
      </c>
      <c r="E281" s="9" t="str">
        <f>VLOOKUP(C281,[1]MP!A49:O3811,12,0)</f>
        <v>JCN</v>
      </c>
      <c r="F281" s="9" t="str">
        <f>VLOOKUP(C281,[1]MP!A49:O3812,13,0)</f>
        <v>BREAKDOWN FA</v>
      </c>
      <c r="G281" s="9" t="s">
        <v>35</v>
      </c>
      <c r="H281" s="9" t="s">
        <v>35</v>
      </c>
      <c r="I281" s="9" t="s">
        <v>87</v>
      </c>
      <c r="J281" s="9" t="s">
        <v>37</v>
      </c>
      <c r="K281" s="12">
        <v>43468</v>
      </c>
    </row>
    <row r="282" spans="1:11">
      <c r="A282" s="10">
        <v>281</v>
      </c>
      <c r="B282" s="9">
        <v>201901</v>
      </c>
      <c r="C282" s="11">
        <v>13338</v>
      </c>
      <c r="D282" s="9" t="s">
        <v>394</v>
      </c>
      <c r="E282" s="9" t="str">
        <f>VLOOKUP(C282,[1]MP!A50:O3812,12,0)</f>
        <v>NIP</v>
      </c>
      <c r="F282" s="9" t="str">
        <f>VLOOKUP(C282,[1]MP!A50:O3813,13,0)</f>
        <v>NAVIGATION SYSTEM FABRICATION</v>
      </c>
      <c r="G282" s="9" t="s">
        <v>35</v>
      </c>
      <c r="H282" s="9" t="s">
        <v>35</v>
      </c>
      <c r="I282" s="9" t="s">
        <v>87</v>
      </c>
      <c r="J282" s="9" t="s">
        <v>37</v>
      </c>
      <c r="K282" s="12">
        <v>43468</v>
      </c>
    </row>
    <row r="283" spans="1:11">
      <c r="A283" s="10">
        <v>282</v>
      </c>
      <c r="B283" s="9">
        <v>201901</v>
      </c>
      <c r="C283" s="11">
        <v>13331</v>
      </c>
      <c r="D283" s="9" t="s">
        <v>395</v>
      </c>
      <c r="E283" s="9" t="str">
        <f>VLOOKUP(C283,[1]MP!A51:O3813,12,0)</f>
        <v>NIP</v>
      </c>
      <c r="F283" s="9" t="str">
        <f>VLOOKUP(C283,[1]MP!A51:O3814,13,0)</f>
        <v>NAVIGATION SYSTEM FABRICATION</v>
      </c>
      <c r="G283" s="9" t="s">
        <v>35</v>
      </c>
      <c r="H283" s="9" t="s">
        <v>35</v>
      </c>
      <c r="J283" s="9" t="s">
        <v>37</v>
      </c>
      <c r="K283" s="12">
        <v>43468</v>
      </c>
    </row>
    <row r="284" spans="1:11">
      <c r="A284" s="10">
        <v>283</v>
      </c>
      <c r="B284" s="9">
        <v>201901</v>
      </c>
      <c r="C284" s="11">
        <v>13330</v>
      </c>
      <c r="D284" s="9" t="s">
        <v>396</v>
      </c>
      <c r="E284" s="9" t="str">
        <f>VLOOKUP(C284,[1]MP!A52:O3814,12,0)</f>
        <v>JCN</v>
      </c>
      <c r="F284" s="9" t="str">
        <f>VLOOKUP(C284,[1]MP!A52:O3815,13,0)</f>
        <v>JIG BOARD PREVENTIF</v>
      </c>
      <c r="G284" s="9" t="s">
        <v>35</v>
      </c>
      <c r="H284" s="9" t="s">
        <v>35</v>
      </c>
      <c r="I284" s="9" t="s">
        <v>87</v>
      </c>
      <c r="J284" s="9" t="s">
        <v>37</v>
      </c>
      <c r="K284" s="12">
        <v>43468</v>
      </c>
    </row>
    <row r="285" spans="1:11">
      <c r="A285" s="10">
        <v>284</v>
      </c>
      <c r="B285" s="9">
        <v>201901</v>
      </c>
      <c r="C285" s="11">
        <v>13138</v>
      </c>
      <c r="D285" s="9" t="s">
        <v>397</v>
      </c>
      <c r="E285" s="9" t="str">
        <f>VLOOKUP(C285,[1]MP!A2:O3773,12,0)</f>
        <v>SHE</v>
      </c>
      <c r="F285" s="9" t="str">
        <f>VLOOKUP(C285,[1]MP!A2:O3783,13,0)</f>
        <v>BUILDING MAINTENANCE</v>
      </c>
      <c r="G285" s="9" t="s">
        <v>35</v>
      </c>
      <c r="H285" s="9" t="s">
        <v>35</v>
      </c>
      <c r="I285" s="9" t="s">
        <v>87</v>
      </c>
      <c r="J285" s="9" t="s">
        <v>37</v>
      </c>
      <c r="K285" s="12">
        <v>43468</v>
      </c>
    </row>
    <row r="286" spans="1:11">
      <c r="A286" s="10">
        <v>285</v>
      </c>
      <c r="B286" s="9">
        <v>201901</v>
      </c>
      <c r="C286" s="11">
        <v>13065</v>
      </c>
      <c r="D286" s="9" t="s">
        <v>398</v>
      </c>
      <c r="E286" s="9" t="str">
        <f>VLOOKUP(C286,[1]MP!A56:O3818,12,0)</f>
        <v>PROTOTYPE-2</v>
      </c>
      <c r="F286" s="9" t="str">
        <f>VLOOKUP(C286,[1]MP!A56:O3819,13,0)</f>
        <v>INSPECTION</v>
      </c>
      <c r="G286" s="9" t="s">
        <v>35</v>
      </c>
      <c r="H286" s="9" t="s">
        <v>35</v>
      </c>
      <c r="I286" s="9" t="s">
        <v>53</v>
      </c>
      <c r="J286" s="9" t="s">
        <v>37</v>
      </c>
      <c r="K286" s="12">
        <v>43468</v>
      </c>
    </row>
    <row r="287" spans="1:11">
      <c r="A287" s="10">
        <v>286</v>
      </c>
      <c r="B287" s="9">
        <v>201901</v>
      </c>
      <c r="C287" s="11">
        <v>13063</v>
      </c>
      <c r="D287" s="9" t="s">
        <v>399</v>
      </c>
      <c r="E287" s="9" t="str">
        <f>VLOOKUP(C287,[1]MP!A57:O3819,12,0)</f>
        <v>MTP</v>
      </c>
      <c r="F287" s="9" t="str">
        <f>VLOOKUP(C287,[1]MP!A57:O3820,13,0)</f>
        <v>-</v>
      </c>
      <c r="G287" s="9" t="s">
        <v>35</v>
      </c>
      <c r="H287" s="9" t="s">
        <v>35</v>
      </c>
      <c r="J287" s="9" t="s">
        <v>37</v>
      </c>
      <c r="K287" s="12">
        <v>43468</v>
      </c>
    </row>
    <row r="288" spans="1:11">
      <c r="A288" s="10">
        <v>287</v>
      </c>
      <c r="B288" s="9">
        <v>201901</v>
      </c>
      <c r="C288" s="11">
        <v>1305</v>
      </c>
      <c r="D288" s="9" t="s">
        <v>400</v>
      </c>
      <c r="E288" s="9" t="str">
        <f>VLOOKUP(C288,[1]MP!A59:O3821,12,0)</f>
        <v>PRE ASSY MAZDA ATENZA CX-5</v>
      </c>
      <c r="F288" s="9" t="str">
        <f>VLOOKUP(C288,[1]MP!A59:O3822,13,0)</f>
        <v>BM4-MZD-03</v>
      </c>
      <c r="G288" s="9" t="s">
        <v>35</v>
      </c>
      <c r="H288" s="9" t="s">
        <v>35</v>
      </c>
      <c r="I288" s="9" t="s">
        <v>111</v>
      </c>
      <c r="J288" s="9" t="s">
        <v>37</v>
      </c>
      <c r="K288" s="12">
        <v>43468</v>
      </c>
    </row>
    <row r="289" spans="1:11">
      <c r="A289" s="10">
        <v>288</v>
      </c>
      <c r="B289" s="9">
        <v>201901</v>
      </c>
      <c r="C289" s="11">
        <v>13005</v>
      </c>
      <c r="D289" s="9" t="s">
        <v>401</v>
      </c>
      <c r="E289" s="9" t="str">
        <f>VLOOKUP(C289,[1]MP!A60:O3822,12,0)</f>
        <v>BUFFER MP SAMI</v>
      </c>
      <c r="F289" s="9" t="str">
        <f>VLOOKUP(C289,[1]MP!A60:O3823,13,0)</f>
        <v>BUFFER MP</v>
      </c>
      <c r="G289" s="9" t="s">
        <v>35</v>
      </c>
      <c r="H289" s="9" t="s">
        <v>35</v>
      </c>
      <c r="I289" s="9" t="s">
        <v>53</v>
      </c>
      <c r="J289" s="9" t="s">
        <v>37</v>
      </c>
      <c r="K289" s="12">
        <v>43468</v>
      </c>
    </row>
    <row r="290" spans="1:11">
      <c r="A290" s="10">
        <v>289</v>
      </c>
      <c r="B290" s="9">
        <v>201901</v>
      </c>
      <c r="C290" s="11">
        <v>12936</v>
      </c>
      <c r="D290" s="9" t="s">
        <v>402</v>
      </c>
      <c r="E290" s="9" t="str">
        <f>VLOOKUP(C290,[1]MP!A61:O3823,12,0)</f>
        <v>BUFFER MP SAMI</v>
      </c>
      <c r="F290" s="9" t="str">
        <f>VLOOKUP(C290,[1]MP!A61:O3824,13,0)</f>
        <v>BUFFER MP</v>
      </c>
      <c r="G290" s="9" t="s">
        <v>35</v>
      </c>
      <c r="H290" s="9" t="s">
        <v>35</v>
      </c>
      <c r="I290" s="9" t="s">
        <v>403</v>
      </c>
      <c r="J290" s="9" t="s">
        <v>37</v>
      </c>
      <c r="K290" s="12">
        <v>43468</v>
      </c>
    </row>
    <row r="291" spans="1:11">
      <c r="A291" s="10">
        <v>290</v>
      </c>
      <c r="B291" s="9">
        <v>201901</v>
      </c>
      <c r="C291" s="11">
        <v>12859</v>
      </c>
      <c r="D291" s="9" t="s">
        <v>404</v>
      </c>
      <c r="E291" s="9" t="str">
        <f>VLOOKUP(C291,[1]MP!A63:O3825,12,0)</f>
        <v>PRE ASSY HONDA HV</v>
      </c>
      <c r="F291" s="9" t="str">
        <f>VLOOKUP(C291,[1]MP!A63:O3826,13,0)</f>
        <v>CROSS SECTION</v>
      </c>
      <c r="G291" s="9" t="s">
        <v>35</v>
      </c>
      <c r="H291" s="9" t="s">
        <v>35</v>
      </c>
      <c r="I291" s="9" t="s">
        <v>87</v>
      </c>
      <c r="J291" s="9" t="s">
        <v>37</v>
      </c>
      <c r="K291" s="12">
        <v>43468</v>
      </c>
    </row>
    <row r="292" spans="1:11">
      <c r="A292" s="10">
        <v>291</v>
      </c>
      <c r="B292" s="9">
        <v>201901</v>
      </c>
      <c r="C292" s="11">
        <v>12699</v>
      </c>
      <c r="D292" s="9" t="s">
        <v>405</v>
      </c>
      <c r="E292" s="9" t="str">
        <f>VLOOKUP(C292,[1]MP!A64:O3826,12,0)</f>
        <v>CV A04</v>
      </c>
      <c r="F292" s="9" t="str">
        <f>VLOOKUP(C292,[1]MP!A64:O3827,13,0)</f>
        <v>OJT S/A 6</v>
      </c>
      <c r="G292" s="9" t="s">
        <v>35</v>
      </c>
      <c r="H292" s="9" t="s">
        <v>35</v>
      </c>
      <c r="I292" s="9" t="s">
        <v>53</v>
      </c>
      <c r="J292" s="9" t="s">
        <v>37</v>
      </c>
      <c r="K292" s="12">
        <v>43468</v>
      </c>
    </row>
    <row r="293" spans="1:11">
      <c r="A293" s="10">
        <v>292</v>
      </c>
      <c r="B293" s="9">
        <v>201901</v>
      </c>
      <c r="C293" s="11">
        <v>1267</v>
      </c>
      <c r="D293" s="9" t="s">
        <v>406</v>
      </c>
      <c r="E293" s="9" t="str">
        <f>VLOOKUP(C293,[1]MP!A65:O3827,12,0)</f>
        <v>CV HV 05</v>
      </c>
      <c r="F293" s="9" t="str">
        <f>VLOOKUP(C293,[1]MP!A65:O3828,13,0)</f>
        <v>HS 03, CM66</v>
      </c>
      <c r="G293" s="9" t="s">
        <v>35</v>
      </c>
      <c r="H293" s="9" t="s">
        <v>35</v>
      </c>
      <c r="I293" s="9" t="s">
        <v>87</v>
      </c>
      <c r="J293" s="9" t="s">
        <v>37</v>
      </c>
      <c r="K293" s="12">
        <v>43468</v>
      </c>
    </row>
    <row r="294" spans="1:11">
      <c r="A294" s="10">
        <v>293</v>
      </c>
      <c r="B294" s="9">
        <v>201901</v>
      </c>
      <c r="C294" s="11">
        <v>12564</v>
      </c>
      <c r="D294" s="9" t="s">
        <v>407</v>
      </c>
      <c r="E294" s="9" t="str">
        <f>VLOOKUP(C294,[1]MP!A67:O3829,12,0)</f>
        <v>BUFFER MP SAMI</v>
      </c>
      <c r="F294" s="9" t="str">
        <f>VLOOKUP(C294,[1]MP!A67:O3830,13,0)</f>
        <v>BUFFER MP</v>
      </c>
      <c r="G294" s="9" t="s">
        <v>35</v>
      </c>
      <c r="H294" s="9" t="s">
        <v>35</v>
      </c>
      <c r="I294" s="9" t="s">
        <v>408</v>
      </c>
      <c r="J294" s="9" t="s">
        <v>37</v>
      </c>
      <c r="K294" s="12">
        <v>43481</v>
      </c>
    </row>
    <row r="295" spans="1:11">
      <c r="A295" s="10">
        <v>294</v>
      </c>
      <c r="B295" s="9">
        <v>201901</v>
      </c>
      <c r="C295" s="11">
        <v>12508</v>
      </c>
      <c r="D295" s="9" t="s">
        <v>409</v>
      </c>
      <c r="E295" s="9" t="str">
        <f>VLOOKUP(C295,[1]MP!A70:O3832,12,0)</f>
        <v>BUFFER MP SAMI</v>
      </c>
      <c r="F295" s="9" t="str">
        <f>VLOOKUP(C295,[1]MP!A70:O3833,13,0)</f>
        <v>BUFFER MP</v>
      </c>
      <c r="G295" s="9" t="s">
        <v>35</v>
      </c>
      <c r="H295" s="9" t="s">
        <v>35</v>
      </c>
      <c r="I295" s="9" t="s">
        <v>410</v>
      </c>
      <c r="J295" s="9" t="s">
        <v>37</v>
      </c>
      <c r="K295" s="12">
        <v>43468</v>
      </c>
    </row>
    <row r="296" spans="1:11">
      <c r="A296" s="10">
        <v>295</v>
      </c>
      <c r="B296" s="9">
        <v>201901</v>
      </c>
      <c r="C296" s="11">
        <v>12500</v>
      </c>
      <c r="D296" s="9" t="s">
        <v>411</v>
      </c>
      <c r="E296" s="9" t="str">
        <f>VLOOKUP(C296,[1]MP!A71:O3833,12,0)</f>
        <v>HSPO CPA</v>
      </c>
      <c r="F296" s="9" t="str">
        <f>VLOOKUP(C296,[1]MP!A71:O3834,13,0)</f>
        <v>BONDER , DRYER</v>
      </c>
      <c r="G296" s="9" t="s">
        <v>35</v>
      </c>
      <c r="H296" s="9" t="s">
        <v>35</v>
      </c>
      <c r="I296" s="9" t="s">
        <v>111</v>
      </c>
      <c r="J296" s="9" t="s">
        <v>37</v>
      </c>
      <c r="K296" s="12">
        <v>43468</v>
      </c>
    </row>
    <row r="297" spans="1:11">
      <c r="A297" s="10">
        <v>296</v>
      </c>
      <c r="B297" s="9">
        <v>201901</v>
      </c>
      <c r="C297" s="11">
        <v>12483</v>
      </c>
      <c r="D297" s="9" t="s">
        <v>412</v>
      </c>
      <c r="E297" s="9" t="str">
        <f>VLOOKUP(C297,[1]MP!A72:O3834,12,0)</f>
        <v>CV 14</v>
      </c>
      <c r="F297" s="9" t="str">
        <f>VLOOKUP(C297,[1]MP!A72:O3835,13,0)</f>
        <v>VISUAL</v>
      </c>
      <c r="G297" s="9" t="s">
        <v>35</v>
      </c>
      <c r="H297" s="9" t="s">
        <v>35</v>
      </c>
      <c r="I297" s="9" t="s">
        <v>87</v>
      </c>
      <c r="J297" s="9" t="s">
        <v>37</v>
      </c>
      <c r="K297" s="12">
        <v>43468</v>
      </c>
    </row>
    <row r="298" spans="1:11">
      <c r="A298" s="10">
        <v>297</v>
      </c>
      <c r="B298" s="9">
        <v>201901</v>
      </c>
      <c r="C298" s="11">
        <v>12368</v>
      </c>
      <c r="D298" s="9" t="s">
        <v>413</v>
      </c>
      <c r="E298" s="9" t="str">
        <f>VLOOKUP(C298,[1]MP!A74:O3836,12,0)</f>
        <v>CV HV 07A</v>
      </c>
      <c r="F298" s="9" t="str">
        <f>VLOOKUP(C298,[1]MP!A74:O3837,13,0)</f>
        <v>FINAL T0</v>
      </c>
      <c r="G298" s="9" t="s">
        <v>35</v>
      </c>
      <c r="H298" s="9" t="s">
        <v>35</v>
      </c>
      <c r="I298" s="9" t="s">
        <v>87</v>
      </c>
      <c r="J298" s="9" t="s">
        <v>37</v>
      </c>
      <c r="K298" s="12">
        <v>43468</v>
      </c>
    </row>
    <row r="299" spans="1:11">
      <c r="A299" s="10">
        <v>298</v>
      </c>
      <c r="B299" s="9">
        <v>201901</v>
      </c>
      <c r="C299" s="11">
        <v>12336</v>
      </c>
      <c r="D299" s="9" t="s">
        <v>414</v>
      </c>
      <c r="E299" s="9" t="str">
        <f>VLOOKUP(C299,[1]MP!A75:O3837,12,0)</f>
        <v>CV A04</v>
      </c>
      <c r="F299" s="9" t="str">
        <f>VLOOKUP(C299,[1]MP!A75:O3838,13,0)</f>
        <v>OJT CAMERA FUSE</v>
      </c>
      <c r="G299" s="9" t="s">
        <v>35</v>
      </c>
      <c r="H299" s="9" t="s">
        <v>35</v>
      </c>
      <c r="I299" s="9" t="s">
        <v>53</v>
      </c>
      <c r="J299" s="9" t="s">
        <v>37</v>
      </c>
      <c r="K299" s="12">
        <v>43468</v>
      </c>
    </row>
    <row r="300" spans="1:11">
      <c r="A300" s="10">
        <v>299</v>
      </c>
      <c r="B300" s="9">
        <v>201901</v>
      </c>
      <c r="C300" s="11">
        <v>12274</v>
      </c>
      <c r="D300" s="9" t="s">
        <v>415</v>
      </c>
      <c r="E300" s="9" t="str">
        <f>VLOOKUP(C300,[1]MP!A76:O3838,12,0)</f>
        <v>BUFFER MP SAMI</v>
      </c>
      <c r="F300" s="9" t="str">
        <f>VLOOKUP(C300,[1]MP!A76:O3839,13,0)</f>
        <v>BUFFER MP</v>
      </c>
      <c r="G300" s="9" t="s">
        <v>35</v>
      </c>
      <c r="H300" s="9" t="s">
        <v>35</v>
      </c>
      <c r="I300" s="9" t="s">
        <v>53</v>
      </c>
      <c r="J300" s="9" t="s">
        <v>37</v>
      </c>
      <c r="K300" s="12">
        <v>43468</v>
      </c>
    </row>
    <row r="301" spans="1:11">
      <c r="A301" s="10">
        <v>300</v>
      </c>
      <c r="B301" s="9">
        <v>201901</v>
      </c>
      <c r="C301" s="11">
        <v>1226</v>
      </c>
      <c r="D301" s="9" t="s">
        <v>416</v>
      </c>
      <c r="E301" s="9" t="str">
        <f>VLOOKUP(C301,[1]MP!A77:O3839,12,0)</f>
        <v>CUTTING MAZDA ATENZA</v>
      </c>
      <c r="F301" s="9" t="str">
        <f>VLOOKUP(C301,[1]MP!A77:O3840,13,0)</f>
        <v>AC90-MZD-08</v>
      </c>
      <c r="G301" s="9" t="s">
        <v>35</v>
      </c>
      <c r="H301" s="9" t="s">
        <v>35</v>
      </c>
      <c r="I301" s="9" t="s">
        <v>53</v>
      </c>
      <c r="J301" s="9" t="s">
        <v>37</v>
      </c>
      <c r="K301" s="12">
        <v>43468</v>
      </c>
    </row>
    <row r="302" spans="1:11">
      <c r="A302" s="10">
        <v>301</v>
      </c>
      <c r="B302" s="9">
        <v>201901</v>
      </c>
      <c r="C302" s="11">
        <v>12254</v>
      </c>
      <c r="D302" s="9" t="s">
        <v>417</v>
      </c>
      <c r="E302" s="9" t="str">
        <f>VLOOKUP(C302,[1]MP!A78:O3840,12,0)</f>
        <v>CV 1</v>
      </c>
      <c r="F302" s="9" t="str">
        <f>VLOOKUP(C302,[1]MP!A78:O3841,13,0)</f>
        <v>DC</v>
      </c>
      <c r="G302" s="9" t="s">
        <v>35</v>
      </c>
      <c r="H302" s="9" t="s">
        <v>35</v>
      </c>
      <c r="I302" s="9" t="s">
        <v>53</v>
      </c>
      <c r="J302" s="9" t="s">
        <v>37</v>
      </c>
      <c r="K302" s="12">
        <v>43468</v>
      </c>
    </row>
    <row r="303" spans="1:11">
      <c r="A303" s="10">
        <v>302</v>
      </c>
      <c r="B303" s="9">
        <v>201901</v>
      </c>
      <c r="C303" s="11">
        <v>12230</v>
      </c>
      <c r="D303" s="9" t="s">
        <v>418</v>
      </c>
      <c r="E303" s="9" t="str">
        <f>VLOOKUP(C303,[1]MP!A79:O3841,12,0)</f>
        <v>WORKSHOP</v>
      </c>
      <c r="F303" s="9" t="str">
        <f>VLOOKUP(C303,[1]MP!A79:O3842,13,0)</f>
        <v>-</v>
      </c>
      <c r="G303" s="9" t="s">
        <v>35</v>
      </c>
      <c r="H303" s="9" t="s">
        <v>35</v>
      </c>
      <c r="J303" s="9" t="s">
        <v>37</v>
      </c>
      <c r="K303" s="12">
        <v>43468</v>
      </c>
    </row>
    <row r="304" spans="1:11">
      <c r="A304" s="10">
        <v>303</v>
      </c>
      <c r="B304" s="9">
        <v>201901</v>
      </c>
      <c r="C304" s="11">
        <v>12204</v>
      </c>
      <c r="D304" s="9" t="s">
        <v>419</v>
      </c>
      <c r="E304" s="9" t="str">
        <f>VLOOKUP(C304,[1]MP!A80:O3842,12,0)</f>
        <v>CV HV 09</v>
      </c>
      <c r="F304" s="9" t="str">
        <f>VLOOKUP(C304,[1]MP!A80:O3843,13,0)</f>
        <v>SUB LINE CHO</v>
      </c>
      <c r="G304" s="9" t="s">
        <v>35</v>
      </c>
      <c r="H304" s="9" t="s">
        <v>35</v>
      </c>
      <c r="I304" s="9" t="s">
        <v>53</v>
      </c>
      <c r="J304" s="9" t="s">
        <v>37</v>
      </c>
      <c r="K304" s="12">
        <v>43468</v>
      </c>
    </row>
    <row r="305" spans="1:11">
      <c r="A305" s="10">
        <v>304</v>
      </c>
      <c r="B305" s="9">
        <v>201901</v>
      </c>
      <c r="C305" s="11">
        <v>12201</v>
      </c>
      <c r="D305" s="9" t="s">
        <v>420</v>
      </c>
      <c r="E305" s="9" t="str">
        <f>VLOOKUP(C305,[1]MP!A81:O3843,12,0)</f>
        <v>CV A11</v>
      </c>
      <c r="F305" s="9" t="str">
        <f>VLOOKUP(C305,[1]MP!A81:O3844,13,0)</f>
        <v>OJT PJK</v>
      </c>
      <c r="G305" s="9" t="s">
        <v>35</v>
      </c>
      <c r="H305" s="9" t="s">
        <v>35</v>
      </c>
      <c r="I305" s="9" t="s">
        <v>53</v>
      </c>
      <c r="J305" s="9" t="s">
        <v>37</v>
      </c>
      <c r="K305" s="12">
        <v>43468</v>
      </c>
    </row>
    <row r="306" spans="1:11">
      <c r="A306" s="10">
        <v>305</v>
      </c>
      <c r="B306" s="9">
        <v>201901</v>
      </c>
      <c r="C306" s="11">
        <v>12138</v>
      </c>
      <c r="D306" s="9" t="s">
        <v>421</v>
      </c>
      <c r="E306" s="9" t="str">
        <f>VLOOKUP(C306,[1]MP!A82:O3844,12,0)</f>
        <v>PP-3</v>
      </c>
      <c r="F306" s="9" t="str">
        <f>VLOOKUP(C306,[1]MP!A82:O3845,13,0)</f>
        <v>ANALISYS</v>
      </c>
      <c r="G306" s="9" t="s">
        <v>35</v>
      </c>
      <c r="H306" s="9" t="s">
        <v>35</v>
      </c>
      <c r="I306" s="9" t="s">
        <v>53</v>
      </c>
      <c r="J306" s="9" t="s">
        <v>37</v>
      </c>
      <c r="K306" s="12">
        <v>43468</v>
      </c>
    </row>
    <row r="307" spans="1:11">
      <c r="A307" s="10">
        <v>306</v>
      </c>
      <c r="B307" s="9">
        <v>201901</v>
      </c>
      <c r="C307" s="11">
        <v>121</v>
      </c>
      <c r="D307" s="9" t="s">
        <v>172</v>
      </c>
      <c r="E307" s="9" t="str">
        <f>VLOOKUP(C307,[1]MP!A83:O3845,12,0)</f>
        <v>CPA SUZUKI</v>
      </c>
      <c r="F307" s="9" t="str">
        <f>VLOOKUP(C307,[1]MP!A83:O3846,13,0)</f>
        <v>PRD LINE CHO</v>
      </c>
      <c r="G307" s="9" t="s">
        <v>35</v>
      </c>
      <c r="H307" s="9" t="s">
        <v>35</v>
      </c>
      <c r="I307" s="9" t="s">
        <v>53</v>
      </c>
      <c r="J307" s="9" t="s">
        <v>37</v>
      </c>
      <c r="K307" s="12">
        <v>43468</v>
      </c>
    </row>
    <row r="308" spans="1:11">
      <c r="A308" s="10">
        <v>307</v>
      </c>
      <c r="B308" s="9">
        <v>201901</v>
      </c>
      <c r="C308" s="11">
        <v>12066</v>
      </c>
      <c r="D308" s="9" t="s">
        <v>422</v>
      </c>
      <c r="E308" s="9" t="str">
        <f>VLOOKUP(C308,[1]MP!A85:O3847,12,0)</f>
        <v>MTC</v>
      </c>
      <c r="F308" s="9" t="str">
        <f>VLOOKUP(C308,[1]MP!A85:O3848,13,0)</f>
        <v>BREAKDOWN</v>
      </c>
      <c r="G308" s="9" t="s">
        <v>35</v>
      </c>
      <c r="H308" s="9" t="s">
        <v>35</v>
      </c>
      <c r="I308" s="9" t="s">
        <v>87</v>
      </c>
      <c r="J308" s="9" t="s">
        <v>37</v>
      </c>
      <c r="K308" s="12">
        <v>43468</v>
      </c>
    </row>
    <row r="309" spans="1:11">
      <c r="A309" s="10">
        <v>308</v>
      </c>
      <c r="B309" s="9">
        <v>201901</v>
      </c>
      <c r="C309" s="11">
        <v>1204</v>
      </c>
      <c r="D309" s="9" t="s">
        <v>423</v>
      </c>
      <c r="E309" s="9" t="str">
        <f>VLOOKUP(C309,[1]MP!A86:O3848,12,0)</f>
        <v>JBP</v>
      </c>
      <c r="F309" s="9" t="str">
        <f>VLOOKUP(C309,[1]MP!A86:O3849,13,0)</f>
        <v>JIG BOARD FABRICATION</v>
      </c>
      <c r="G309" s="9" t="s">
        <v>35</v>
      </c>
      <c r="H309" s="9" t="s">
        <v>35</v>
      </c>
      <c r="J309" s="9" t="s">
        <v>37</v>
      </c>
      <c r="K309" s="12">
        <v>43468</v>
      </c>
    </row>
    <row r="310" spans="1:11">
      <c r="A310" s="10">
        <v>309</v>
      </c>
      <c r="B310" s="9">
        <v>201901</v>
      </c>
      <c r="C310" s="11">
        <v>1203</v>
      </c>
      <c r="D310" s="9" t="s">
        <v>424</v>
      </c>
      <c r="E310" s="9" t="str">
        <f>VLOOKUP(C310,[1]MP!A87:O3849,12,0)</f>
        <v>CT</v>
      </c>
      <c r="F310" s="9" t="str">
        <f>VLOOKUP(C310,[1]MP!A87:O3850,13,0)</f>
        <v>CS &amp; BS + IPS</v>
      </c>
      <c r="G310" s="9" t="s">
        <v>35</v>
      </c>
      <c r="H310" s="9" t="s">
        <v>35</v>
      </c>
      <c r="I310" s="9" t="s">
        <v>87</v>
      </c>
      <c r="J310" s="9" t="s">
        <v>37</v>
      </c>
      <c r="K310" s="12">
        <v>43468</v>
      </c>
    </row>
    <row r="311" spans="1:11">
      <c r="A311" s="10">
        <v>310</v>
      </c>
      <c r="B311" s="9">
        <v>201901</v>
      </c>
      <c r="C311" s="11">
        <v>11984</v>
      </c>
      <c r="D311" s="9" t="s">
        <v>425</v>
      </c>
      <c r="E311" s="9" t="str">
        <f>VLOOKUP(C311,[1]MP!A88:O3850,12,0)</f>
        <v>CV 4</v>
      </c>
      <c r="F311" s="9" t="str">
        <f>VLOOKUP(C311,[1]MP!A88:O3851,13,0)</f>
        <v>FINAL INSPECTION</v>
      </c>
      <c r="G311" s="9" t="s">
        <v>35</v>
      </c>
      <c r="H311" s="9" t="s">
        <v>35</v>
      </c>
      <c r="I311" s="9" t="s">
        <v>87</v>
      </c>
      <c r="J311" s="9" t="s">
        <v>37</v>
      </c>
      <c r="K311" s="12">
        <v>43468</v>
      </c>
    </row>
    <row r="312" spans="1:11">
      <c r="A312" s="10">
        <v>311</v>
      </c>
      <c r="B312" s="9">
        <v>201901</v>
      </c>
      <c r="C312" s="11">
        <v>11976</v>
      </c>
      <c r="D312" s="9" t="s">
        <v>426</v>
      </c>
      <c r="E312" s="9" t="str">
        <f>VLOOKUP(C312,[1]MP!A89:O3851,12,0)</f>
        <v>CV 14</v>
      </c>
      <c r="F312" s="9" t="str">
        <f>VLOOKUP(C312,[1]MP!A89:O3852,13,0)</f>
        <v>VISUAL</v>
      </c>
      <c r="G312" s="9" t="s">
        <v>35</v>
      </c>
      <c r="H312" s="9" t="s">
        <v>35</v>
      </c>
      <c r="I312" s="9" t="s">
        <v>87</v>
      </c>
      <c r="J312" s="9" t="s">
        <v>37</v>
      </c>
      <c r="K312" s="12">
        <v>43468</v>
      </c>
    </row>
    <row r="313" spans="1:11">
      <c r="A313" s="10">
        <v>312</v>
      </c>
      <c r="B313" s="9">
        <v>201901</v>
      </c>
      <c r="C313" s="11">
        <v>11947</v>
      </c>
      <c r="D313" s="9" t="s">
        <v>427</v>
      </c>
      <c r="E313" s="9" t="str">
        <f>VLOOKUP(C313,[1]MP!A91:O3853,12,0)</f>
        <v>CUTTING MAZDA ATENZA</v>
      </c>
      <c r="F313" s="9" t="str">
        <f>VLOOKUP(C313,[1]MP!A91:O3854,13,0)</f>
        <v>AC90-MZD-08</v>
      </c>
      <c r="G313" s="9" t="s">
        <v>35</v>
      </c>
      <c r="H313" s="9" t="s">
        <v>35</v>
      </c>
      <c r="I313" s="9" t="s">
        <v>428</v>
      </c>
      <c r="J313" s="9" t="s">
        <v>37</v>
      </c>
      <c r="K313" s="12">
        <v>43468</v>
      </c>
    </row>
    <row r="314" spans="1:11">
      <c r="A314" s="10">
        <v>313</v>
      </c>
      <c r="B314" s="9">
        <v>201901</v>
      </c>
      <c r="C314" s="11">
        <v>11903</v>
      </c>
      <c r="D314" s="9" t="s">
        <v>429</v>
      </c>
      <c r="E314" s="9" t="str">
        <f>VLOOKUP(C314,[1]MP!A93:O3855,12,0)</f>
        <v>PREGNANT LINE</v>
      </c>
      <c r="F314" s="9" t="str">
        <f>VLOOKUP(C314,[1]MP!A93:O3856,13,0)</f>
        <v>INSERT PLUG</v>
      </c>
      <c r="G314" s="9" t="s">
        <v>35</v>
      </c>
      <c r="H314" s="9" t="s">
        <v>35</v>
      </c>
      <c r="I314" s="9" t="s">
        <v>53</v>
      </c>
      <c r="J314" s="9" t="s">
        <v>37</v>
      </c>
      <c r="K314" s="12">
        <v>43468</v>
      </c>
    </row>
    <row r="315" spans="1:11">
      <c r="A315" s="10">
        <v>314</v>
      </c>
      <c r="B315" s="9">
        <v>201901</v>
      </c>
      <c r="C315" s="11">
        <v>11863</v>
      </c>
      <c r="D315" s="9" t="s">
        <v>430</v>
      </c>
      <c r="E315" s="9" t="str">
        <f>VLOOKUP(C315,[1]MP!A94:O3856,12,0)</f>
        <v>SWCT</v>
      </c>
      <c r="F315" s="9" t="str">
        <f>VLOOKUP(C315,[1]MP!A94:O3857,13,0)</f>
        <v>ANALISYS</v>
      </c>
      <c r="G315" s="9" t="s">
        <v>35</v>
      </c>
      <c r="H315" s="9" t="s">
        <v>35</v>
      </c>
      <c r="I315" s="9" t="s">
        <v>53</v>
      </c>
      <c r="J315" s="9" t="s">
        <v>37</v>
      </c>
      <c r="K315" s="12">
        <v>43468</v>
      </c>
    </row>
    <row r="316" spans="1:11">
      <c r="A316" s="10">
        <v>315</v>
      </c>
      <c r="B316" s="9">
        <v>201901</v>
      </c>
      <c r="C316" s="11">
        <v>11841</v>
      </c>
      <c r="D316" s="9" t="s">
        <v>431</v>
      </c>
      <c r="E316" s="9" t="str">
        <f>VLOOKUP(C316,[1]MP!A95:O3857,12,0)</f>
        <v>BUFFER MP SAMI</v>
      </c>
      <c r="F316" s="9" t="str">
        <f>VLOOKUP(C316,[1]MP!A95:O3858,13,0)</f>
        <v>BUFFER MP</v>
      </c>
      <c r="G316" s="9" t="s">
        <v>35</v>
      </c>
      <c r="H316" s="9" t="s">
        <v>35</v>
      </c>
      <c r="I316" s="9" t="s">
        <v>432</v>
      </c>
      <c r="J316" s="9" t="s">
        <v>37</v>
      </c>
      <c r="K316" s="12">
        <v>43468</v>
      </c>
    </row>
    <row r="317" spans="1:11">
      <c r="A317" s="10">
        <v>316</v>
      </c>
      <c r="B317" s="9">
        <v>201901</v>
      </c>
      <c r="C317" s="11">
        <v>11820</v>
      </c>
      <c r="D317" s="9" t="s">
        <v>433</v>
      </c>
      <c r="E317" s="9" t="str">
        <f>VLOOKUP(C317,[1]MP!A97:O3859,12,0)</f>
        <v>PREGNANT LINE</v>
      </c>
      <c r="F317" s="9" t="str">
        <f>VLOOKUP(C317,[1]MP!A97:O3860,13,0)</f>
        <v>WIRE SAMPLE</v>
      </c>
      <c r="G317" s="9" t="s">
        <v>35</v>
      </c>
      <c r="H317" s="9" t="s">
        <v>35</v>
      </c>
      <c r="I317" s="9" t="s">
        <v>53</v>
      </c>
      <c r="J317" s="9" t="s">
        <v>37</v>
      </c>
      <c r="K317" s="12">
        <v>43468</v>
      </c>
    </row>
    <row r="318" spans="1:11">
      <c r="A318" s="10">
        <v>317</v>
      </c>
      <c r="B318" s="9">
        <v>201901</v>
      </c>
      <c r="C318" s="11">
        <v>11791</v>
      </c>
      <c r="D318" s="9" t="s">
        <v>434</v>
      </c>
      <c r="E318" s="9" t="str">
        <f>VLOOKUP(C318,[1]MP!A98:O3860,12,0)</f>
        <v>BUFFER MP SAMI</v>
      </c>
      <c r="F318" s="9" t="str">
        <f>VLOOKUP(C318,[1]MP!A98:O3861,13,0)</f>
        <v>BUFFER MP</v>
      </c>
      <c r="G318" s="9" t="s">
        <v>35</v>
      </c>
      <c r="H318" s="9" t="s">
        <v>35</v>
      </c>
      <c r="I318" s="9" t="s">
        <v>435</v>
      </c>
      <c r="J318" s="9" t="s">
        <v>37</v>
      </c>
      <c r="K318" s="12">
        <v>43468</v>
      </c>
    </row>
    <row r="319" spans="1:11">
      <c r="A319" s="10">
        <v>318</v>
      </c>
      <c r="B319" s="9">
        <v>201901</v>
      </c>
      <c r="C319" s="11">
        <v>11787</v>
      </c>
      <c r="D319" s="9" t="s">
        <v>436</v>
      </c>
      <c r="E319" s="9" t="str">
        <f>VLOOKUP(C319,[1]MP!A99:O3861,12,0)</f>
        <v>PREGNANT LINE</v>
      </c>
      <c r="F319" s="9" t="str">
        <f>VLOOKUP(C319,[1]MP!A99:O3862,13,0)</f>
        <v>INSERT PLUG</v>
      </c>
      <c r="G319" s="9" t="s">
        <v>35</v>
      </c>
      <c r="H319" s="9" t="s">
        <v>35</v>
      </c>
      <c r="I319" s="9" t="s">
        <v>53</v>
      </c>
      <c r="J319" s="9" t="s">
        <v>37</v>
      </c>
      <c r="K319" s="12">
        <v>43468</v>
      </c>
    </row>
    <row r="320" spans="1:11">
      <c r="A320" s="10">
        <v>319</v>
      </c>
      <c r="B320" s="9">
        <v>201901</v>
      </c>
      <c r="C320" s="11">
        <v>11743</v>
      </c>
      <c r="D320" s="9" t="s">
        <v>437</v>
      </c>
      <c r="E320" s="9" t="str">
        <f>VLOOKUP(C320,[1]MP!A100:O3862,12,0)</f>
        <v>PREGNANT LINE</v>
      </c>
      <c r="F320" s="9" t="str">
        <f>VLOOKUP(C320,[1]MP!A100:O3863,13,0)</f>
        <v>WIRE SAMPLE</v>
      </c>
      <c r="G320" s="9" t="s">
        <v>35</v>
      </c>
      <c r="H320" s="9" t="s">
        <v>35</v>
      </c>
      <c r="I320" s="9" t="s">
        <v>53</v>
      </c>
      <c r="J320" s="9" t="s">
        <v>37</v>
      </c>
      <c r="K320" s="12">
        <v>43468</v>
      </c>
    </row>
    <row r="321" spans="1:11">
      <c r="A321" s="10">
        <v>320</v>
      </c>
      <c r="B321" s="9">
        <v>201901</v>
      </c>
      <c r="C321" s="11">
        <v>11726</v>
      </c>
      <c r="D321" s="9" t="s">
        <v>438</v>
      </c>
      <c r="E321" s="9" t="str">
        <f>VLOOKUP(C321,[1]MP!A102:O3864,12,0)</f>
        <v>BUFFER MP SAMI</v>
      </c>
      <c r="F321" s="9" t="str">
        <f>VLOOKUP(C321,[1]MP!A102:O3865,13,0)</f>
        <v>BUFFER MP</v>
      </c>
      <c r="G321" s="9" t="s">
        <v>35</v>
      </c>
      <c r="H321" s="9" t="s">
        <v>35</v>
      </c>
      <c r="I321" s="9" t="s">
        <v>53</v>
      </c>
      <c r="J321" s="9" t="s">
        <v>37</v>
      </c>
      <c r="K321" s="12">
        <v>43468</v>
      </c>
    </row>
    <row r="322" spans="1:11">
      <c r="A322" s="10">
        <v>321</v>
      </c>
      <c r="B322" s="9">
        <v>201901</v>
      </c>
      <c r="C322" s="11">
        <v>11711</v>
      </c>
      <c r="D322" s="9" t="s">
        <v>439</v>
      </c>
      <c r="E322" s="9" t="str">
        <f>VLOOKUP(C322,[1]MP!A103:O3865,12,0)</f>
        <v>CV 16</v>
      </c>
      <c r="F322" s="9" t="str">
        <f>VLOOKUP(C322,[1]MP!A103:O3866,13,0)</f>
        <v>FINAL INSPECTION</v>
      </c>
      <c r="G322" s="9" t="s">
        <v>35</v>
      </c>
      <c r="H322" s="9" t="s">
        <v>35</v>
      </c>
      <c r="I322" s="9" t="s">
        <v>87</v>
      </c>
      <c r="J322" s="9" t="s">
        <v>37</v>
      </c>
      <c r="K322" s="12">
        <v>43468</v>
      </c>
    </row>
    <row r="323" spans="1:11">
      <c r="A323" s="10">
        <v>322</v>
      </c>
      <c r="B323" s="9">
        <v>201901</v>
      </c>
      <c r="C323" s="11">
        <v>11661</v>
      </c>
      <c r="D323" s="9" t="s">
        <v>440</v>
      </c>
      <c r="E323" s="9" t="str">
        <f>VLOOKUP(C323,[1]MP!A104:O3866,12,0)</f>
        <v>BUFFER MP SAMI</v>
      </c>
      <c r="F323" s="9" t="str">
        <f>VLOOKUP(C323,[1]MP!A104:O3867,13,0)</f>
        <v>BUFFER MP</v>
      </c>
      <c r="G323" s="9" t="s">
        <v>35</v>
      </c>
      <c r="H323" s="9" t="s">
        <v>35</v>
      </c>
      <c r="I323" s="9" t="s">
        <v>53</v>
      </c>
      <c r="J323" s="9" t="s">
        <v>37</v>
      </c>
      <c r="K323" s="12">
        <v>43468</v>
      </c>
    </row>
    <row r="324" spans="1:11">
      <c r="A324" s="10">
        <v>323</v>
      </c>
      <c r="B324" s="9">
        <v>201901</v>
      </c>
      <c r="C324" s="11">
        <v>11656</v>
      </c>
      <c r="D324" s="9" t="s">
        <v>441</v>
      </c>
      <c r="E324" s="9" t="str">
        <f>VLOOKUP(C324,[1]MP!A106:O3868,12,0)</f>
        <v>PREGNANT LINE</v>
      </c>
      <c r="F324" s="9" t="str">
        <f>VLOOKUP(C324,[1]MP!A106:O3869,13,0)</f>
        <v>INSERT PLUG</v>
      </c>
      <c r="G324" s="9" t="s">
        <v>35</v>
      </c>
      <c r="H324" s="9" t="s">
        <v>35</v>
      </c>
      <c r="I324" s="9" t="s">
        <v>442</v>
      </c>
      <c r="J324" s="9" t="s">
        <v>37</v>
      </c>
      <c r="K324" s="12">
        <v>43469</v>
      </c>
    </row>
    <row r="325" spans="1:11">
      <c r="A325" s="10">
        <v>324</v>
      </c>
      <c r="B325" s="9">
        <v>201901</v>
      </c>
      <c r="C325" s="11">
        <v>11648</v>
      </c>
      <c r="D325" s="9" t="s">
        <v>443</v>
      </c>
      <c r="E325" s="9" t="str">
        <f>VLOOKUP(C325,[1]MP!A107:O3869,12,0)</f>
        <v>MTC</v>
      </c>
      <c r="F325" s="9" t="str">
        <f>VLOOKUP(C325,[1]MP!A107:O3870,13,0)</f>
        <v>BREAKDOWN</v>
      </c>
      <c r="G325" s="9" t="s">
        <v>35</v>
      </c>
      <c r="H325" s="9" t="s">
        <v>35</v>
      </c>
      <c r="I325" s="9" t="s">
        <v>87</v>
      </c>
      <c r="J325" s="9" t="s">
        <v>37</v>
      </c>
      <c r="K325" s="12">
        <v>43468</v>
      </c>
    </row>
    <row r="326" spans="1:11">
      <c r="A326" s="10">
        <v>325</v>
      </c>
      <c r="B326" s="9">
        <v>201901</v>
      </c>
      <c r="C326" s="11">
        <v>11627</v>
      </c>
      <c r="D326" s="9" t="s">
        <v>284</v>
      </c>
      <c r="E326" s="9" t="str">
        <f>VLOOKUP(C326,[1]MP!A108:O3870,12,0)</f>
        <v>PRE ASSY MAZDA ATENZA</v>
      </c>
      <c r="F326" s="9" t="str">
        <f>VLOOKUP(C326,[1]MP!A108:O3871,13,0)</f>
        <v>CROSS SECTION</v>
      </c>
      <c r="G326" s="9" t="s">
        <v>35</v>
      </c>
      <c r="H326" s="9" t="s">
        <v>35</v>
      </c>
      <c r="I326" s="9" t="s">
        <v>80</v>
      </c>
      <c r="J326" s="9" t="s">
        <v>37</v>
      </c>
      <c r="K326" s="12">
        <v>43468</v>
      </c>
    </row>
    <row r="327" spans="1:11">
      <c r="A327" s="10">
        <v>326</v>
      </c>
      <c r="B327" s="9">
        <v>201901</v>
      </c>
      <c r="C327" s="11">
        <v>11550</v>
      </c>
      <c r="D327" s="9" t="s">
        <v>444</v>
      </c>
      <c r="E327" s="9" t="str">
        <f>VLOOKUP(C327,[1]MP!A109:O3871,12,0)</f>
        <v>CV HV 04</v>
      </c>
      <c r="F327" s="9" t="str">
        <f>VLOOKUP(C327,[1]MP!A109:O3872,13,0)</f>
        <v>FINAL INSPECTION</v>
      </c>
      <c r="G327" s="9" t="s">
        <v>35</v>
      </c>
      <c r="H327" s="9" t="s">
        <v>35</v>
      </c>
      <c r="I327" s="9" t="s">
        <v>87</v>
      </c>
      <c r="J327" s="9" t="s">
        <v>37</v>
      </c>
      <c r="K327" s="12">
        <v>43468</v>
      </c>
    </row>
    <row r="328" spans="1:11">
      <c r="A328" s="10">
        <v>327</v>
      </c>
      <c r="B328" s="9">
        <v>201901</v>
      </c>
      <c r="C328" s="11">
        <v>11483</v>
      </c>
      <c r="D328" s="9" t="s">
        <v>445</v>
      </c>
      <c r="E328" s="9" t="str">
        <f>VLOOKUP(C328,[1]MP!A110:O3872,12,0)</f>
        <v>PREGNANT LINE</v>
      </c>
      <c r="F328" s="9" t="str">
        <f>VLOOKUP(C328,[1]MP!A110:O3873,13,0)</f>
        <v>INSERT PLUG</v>
      </c>
      <c r="G328" s="9" t="s">
        <v>35</v>
      </c>
      <c r="H328" s="9" t="s">
        <v>35</v>
      </c>
      <c r="I328" s="9" t="s">
        <v>43</v>
      </c>
      <c r="J328" s="9" t="s">
        <v>37</v>
      </c>
      <c r="K328" s="12">
        <v>43468</v>
      </c>
    </row>
    <row r="329" spans="1:11">
      <c r="A329" s="10">
        <v>328</v>
      </c>
      <c r="B329" s="9">
        <v>201901</v>
      </c>
      <c r="C329" s="11">
        <v>11448</v>
      </c>
      <c r="D329" s="9" t="s">
        <v>446</v>
      </c>
      <c r="E329" s="9" t="str">
        <f>VLOOKUP(C329,[1]MP!A111:O3873,12,0)</f>
        <v>CV 14</v>
      </c>
      <c r="F329" s="9" t="str">
        <f>VLOOKUP(C329,[1]MP!A111:O3874,13,0)</f>
        <v>VISUAL</v>
      </c>
      <c r="G329" s="9" t="s">
        <v>35</v>
      </c>
      <c r="H329" s="9" t="s">
        <v>35</v>
      </c>
      <c r="I329" s="9" t="s">
        <v>87</v>
      </c>
      <c r="J329" s="9" t="s">
        <v>37</v>
      </c>
      <c r="K329" s="12">
        <v>43468</v>
      </c>
    </row>
    <row r="330" spans="1:11">
      <c r="A330" s="10">
        <v>329</v>
      </c>
      <c r="B330" s="9">
        <v>201901</v>
      </c>
      <c r="C330" s="11">
        <v>11419</v>
      </c>
      <c r="D330" s="9" t="s">
        <v>447</v>
      </c>
      <c r="E330" s="9" t="str">
        <f>VLOOKUP(C330,[1]MP!A112:O3874,12,0)</f>
        <v>BUFFER MP SAMI</v>
      </c>
      <c r="F330" s="9" t="str">
        <f>VLOOKUP(C330,[1]MP!A112:O3875,13,0)</f>
        <v>BUFFER MP</v>
      </c>
      <c r="G330" s="9" t="s">
        <v>35</v>
      </c>
      <c r="H330" s="9" t="s">
        <v>35</v>
      </c>
      <c r="I330" s="9" t="s">
        <v>448</v>
      </c>
      <c r="J330" s="9" t="s">
        <v>37</v>
      </c>
      <c r="K330" s="12">
        <v>43468</v>
      </c>
    </row>
    <row r="331" spans="1:11">
      <c r="A331" s="10">
        <v>330</v>
      </c>
      <c r="B331" s="9">
        <v>201901</v>
      </c>
      <c r="C331" s="11">
        <v>11416</v>
      </c>
      <c r="D331" s="9" t="s">
        <v>449</v>
      </c>
      <c r="E331" s="9" t="str">
        <f>VLOOKUP(C331,[1]MP!A113:O3875,12,0)</f>
        <v>CV 14</v>
      </c>
      <c r="F331" s="9" t="str">
        <f>VLOOKUP(C331,[1]MP!A113:O3876,13,0)</f>
        <v>PROTOTYPE</v>
      </c>
      <c r="G331" s="9" t="s">
        <v>35</v>
      </c>
      <c r="H331" s="9" t="s">
        <v>35</v>
      </c>
      <c r="I331" s="9" t="s">
        <v>53</v>
      </c>
      <c r="J331" s="9" t="s">
        <v>37</v>
      </c>
      <c r="K331" s="12">
        <v>43468</v>
      </c>
    </row>
    <row r="332" spans="1:11">
      <c r="A332" s="10">
        <v>331</v>
      </c>
      <c r="B332" s="9">
        <v>201901</v>
      </c>
      <c r="C332" s="11">
        <v>11372</v>
      </c>
      <c r="D332" s="9" t="s">
        <v>450</v>
      </c>
      <c r="E332" s="9" t="str">
        <f>VLOOKUP(C332,[1]MP!A115:O3877,12,0)</f>
        <v>CUTTING HINO DYNA</v>
      </c>
      <c r="F332" s="9" t="str">
        <f>VLOOKUP(C332,[1]MP!A115:O3878,13,0)</f>
        <v>AC 8-HIN-1</v>
      </c>
      <c r="G332" s="9" t="s">
        <v>35</v>
      </c>
      <c r="H332" s="9" t="s">
        <v>35</v>
      </c>
      <c r="I332" s="9" t="s">
        <v>53</v>
      </c>
      <c r="J332" s="9" t="s">
        <v>37</v>
      </c>
      <c r="K332" s="12">
        <v>43468</v>
      </c>
    </row>
    <row r="333" spans="1:11">
      <c r="A333" s="10">
        <v>332</v>
      </c>
      <c r="B333" s="9">
        <v>201901</v>
      </c>
      <c r="C333" s="11">
        <v>1133</v>
      </c>
      <c r="D333" s="9" t="s">
        <v>451</v>
      </c>
      <c r="E333" s="9" t="str">
        <f>VLOOKUP(C333,[1]MP!A116:O3878,12,0)</f>
        <v>CV 13</v>
      </c>
      <c r="F333" s="9" t="str">
        <f>VLOOKUP(C333,[1]MP!A116:O3879,13,0)</f>
        <v>SCANNER</v>
      </c>
      <c r="G333" s="9" t="s">
        <v>35</v>
      </c>
      <c r="H333" s="9" t="s">
        <v>35</v>
      </c>
      <c r="I333" s="9" t="s">
        <v>87</v>
      </c>
      <c r="J333" s="9" t="s">
        <v>37</v>
      </c>
      <c r="K333" s="12">
        <v>43468</v>
      </c>
    </row>
    <row r="334" spans="1:11">
      <c r="A334" s="10">
        <v>333</v>
      </c>
      <c r="B334" s="9">
        <v>201901</v>
      </c>
      <c r="C334" s="11">
        <v>11321</v>
      </c>
      <c r="D334" s="9" t="s">
        <v>452</v>
      </c>
      <c r="E334" s="9" t="str">
        <f>VLOOKUP(C334,[1]MP!A117:O3879,12,0)</f>
        <v>BUFFER MP SAMI</v>
      </c>
      <c r="F334" s="9" t="str">
        <f>VLOOKUP(C334,[1]MP!A117:O3880,13,0)</f>
        <v>BUFFER MP</v>
      </c>
      <c r="G334" s="9" t="s">
        <v>35</v>
      </c>
      <c r="H334" s="9" t="s">
        <v>35</v>
      </c>
      <c r="I334" s="9" t="s">
        <v>53</v>
      </c>
      <c r="J334" s="9" t="s">
        <v>37</v>
      </c>
      <c r="K334" s="12">
        <v>43468</v>
      </c>
    </row>
    <row r="335" spans="1:11">
      <c r="A335" s="10">
        <v>334</v>
      </c>
      <c r="B335" s="9">
        <v>201901</v>
      </c>
      <c r="C335" s="11">
        <v>11301</v>
      </c>
      <c r="D335" s="9" t="s">
        <v>453</v>
      </c>
      <c r="E335" s="9" t="str">
        <f>VLOOKUP(C335,[1]MP!A118:O3880,12,0)</f>
        <v>BUFFER MP SAMI</v>
      </c>
      <c r="F335" s="9" t="str">
        <f>VLOOKUP(C335,[1]MP!A118:O3881,13,0)</f>
        <v>BUFFER MP</v>
      </c>
      <c r="G335" s="9" t="s">
        <v>35</v>
      </c>
      <c r="H335" s="9" t="s">
        <v>35</v>
      </c>
      <c r="I335" s="9" t="s">
        <v>454</v>
      </c>
      <c r="J335" s="9" t="s">
        <v>37</v>
      </c>
      <c r="K335" s="12">
        <v>43481</v>
      </c>
    </row>
    <row r="336" spans="1:11">
      <c r="A336" s="10">
        <v>335</v>
      </c>
      <c r="B336" s="9">
        <v>201901</v>
      </c>
      <c r="C336" s="11">
        <v>11293</v>
      </c>
      <c r="D336" s="9" t="s">
        <v>455</v>
      </c>
      <c r="E336" s="9" t="str">
        <f>VLOOKUP(C336,[1]MP!A119:O3881,12,0)</f>
        <v>PP-2</v>
      </c>
      <c r="F336" s="9" t="str">
        <f>VLOOKUP(C336,[1]MP!A119:O3882,13,0)</f>
        <v>EQUIPMENT</v>
      </c>
      <c r="G336" s="9" t="s">
        <v>35</v>
      </c>
      <c r="H336" s="9" t="s">
        <v>35</v>
      </c>
      <c r="J336" s="9" t="s">
        <v>37</v>
      </c>
      <c r="K336" s="12">
        <v>43468</v>
      </c>
    </row>
    <row r="337" spans="1:11">
      <c r="A337" s="10">
        <v>336</v>
      </c>
      <c r="B337" s="9">
        <v>201901</v>
      </c>
      <c r="C337" s="11">
        <v>11292</v>
      </c>
      <c r="D337" s="9" t="s">
        <v>456</v>
      </c>
      <c r="E337" s="9" t="str">
        <f>VLOOKUP(C337,[1]MP!A120:O3882,12,0)</f>
        <v>WORKSHOP</v>
      </c>
      <c r="F337" s="9" t="str">
        <f>VLOOKUP(C337,[1]MP!A120:O3883,13,0)</f>
        <v>Equipment New Project Final Assy</v>
      </c>
      <c r="G337" s="9" t="s">
        <v>35</v>
      </c>
      <c r="H337" s="9" t="s">
        <v>35</v>
      </c>
      <c r="I337" s="9" t="s">
        <v>87</v>
      </c>
      <c r="J337" s="9" t="s">
        <v>37</v>
      </c>
      <c r="K337" s="12">
        <v>43468</v>
      </c>
    </row>
    <row r="338" spans="1:11">
      <c r="A338" s="10">
        <v>337</v>
      </c>
      <c r="B338" s="9">
        <v>201901</v>
      </c>
      <c r="C338" s="11">
        <v>11286</v>
      </c>
      <c r="D338" s="9" t="s">
        <v>457</v>
      </c>
      <c r="E338" s="9" t="str">
        <f>VLOOKUP(C338,[1]MP!A121:O3883,12,0)</f>
        <v>BUFFER MP SAMI</v>
      </c>
      <c r="F338" s="9" t="str">
        <f>VLOOKUP(C338,[1]MP!A121:O3884,13,0)</f>
        <v>BUFFER MP</v>
      </c>
      <c r="G338" s="9" t="s">
        <v>35</v>
      </c>
      <c r="H338" s="9" t="s">
        <v>35</v>
      </c>
      <c r="I338" s="9" t="s">
        <v>458</v>
      </c>
      <c r="J338" s="9" t="s">
        <v>37</v>
      </c>
      <c r="K338" s="12">
        <v>43468</v>
      </c>
    </row>
    <row r="339" spans="1:11">
      <c r="A339" s="10">
        <v>338</v>
      </c>
      <c r="B339" s="9">
        <v>201901</v>
      </c>
      <c r="C339" s="11">
        <v>11267</v>
      </c>
      <c r="D339" s="9" t="s">
        <v>459</v>
      </c>
      <c r="E339" s="9" t="str">
        <f>VLOOKUP(C339,[1]MP!A122:O3884,12,0)</f>
        <v>BUFFER MP SAMI</v>
      </c>
      <c r="F339" s="9" t="str">
        <f>VLOOKUP(C339,[1]MP!A122:O3885,13,0)</f>
        <v>AFTER CUTI HAMIL</v>
      </c>
      <c r="G339" s="9" t="s">
        <v>35</v>
      </c>
      <c r="H339" s="9" t="s">
        <v>35</v>
      </c>
      <c r="I339" s="9" t="s">
        <v>53</v>
      </c>
      <c r="J339" s="9" t="s">
        <v>37</v>
      </c>
      <c r="K339" s="12">
        <v>43468</v>
      </c>
    </row>
    <row r="340" spans="1:11">
      <c r="A340" s="10">
        <v>339</v>
      </c>
      <c r="B340" s="9">
        <v>201901</v>
      </c>
      <c r="C340" s="11">
        <v>11259</v>
      </c>
      <c r="D340" s="9" t="s">
        <v>460</v>
      </c>
      <c r="E340" s="9" t="str">
        <f>VLOOKUP(C340,[1]MP!A123:O3885,12,0)</f>
        <v>JBP</v>
      </c>
      <c r="F340" s="9" t="str">
        <f>VLOOKUP(C340,[1]MP!A123:O3886,13,0)</f>
        <v>VALIDASI JIG BOARD</v>
      </c>
      <c r="G340" s="9" t="s">
        <v>35</v>
      </c>
      <c r="H340" s="9" t="s">
        <v>35</v>
      </c>
      <c r="J340" s="9" t="s">
        <v>37</v>
      </c>
      <c r="K340" s="12">
        <v>43468</v>
      </c>
    </row>
    <row r="341" spans="1:11">
      <c r="A341" s="10">
        <v>340</v>
      </c>
      <c r="B341" s="9">
        <v>201901</v>
      </c>
      <c r="C341" s="11">
        <v>1107</v>
      </c>
      <c r="D341" s="9" t="s">
        <v>461</v>
      </c>
      <c r="E341" s="9" t="str">
        <f>VLOOKUP(C341,[1]MP!A125:O3887,12,0)</f>
        <v>HSPO CPA</v>
      </c>
      <c r="F341" s="9" t="str">
        <f>VLOOKUP(C341,[1]MP!A125:O3888,13,0)</f>
        <v>CUTTING</v>
      </c>
      <c r="G341" s="9" t="s">
        <v>35</v>
      </c>
      <c r="H341" s="9" t="s">
        <v>35</v>
      </c>
      <c r="I341" s="9" t="s">
        <v>60</v>
      </c>
      <c r="J341" s="9" t="s">
        <v>37</v>
      </c>
      <c r="K341" s="12">
        <v>43468</v>
      </c>
    </row>
    <row r="342" spans="1:11">
      <c r="A342" s="10">
        <v>341</v>
      </c>
      <c r="B342" s="9">
        <v>201901</v>
      </c>
      <c r="C342" s="11">
        <v>11006</v>
      </c>
      <c r="D342" s="9" t="s">
        <v>462</v>
      </c>
      <c r="E342" s="9" t="str">
        <f>VLOOKUP(C342,[1]MP!A126:O3888,12,0)</f>
        <v>PRE ASSY TOYOTA HV</v>
      </c>
      <c r="F342" s="9" t="str">
        <f>VLOOKUP(C342,[1]MP!A126:O3889,13,0)</f>
        <v>BM3-T-01, ARR-T-01, TWS-T-01</v>
      </c>
      <c r="G342" s="9" t="s">
        <v>35</v>
      </c>
      <c r="H342" s="9" t="s">
        <v>35</v>
      </c>
      <c r="I342" s="9" t="s">
        <v>111</v>
      </c>
      <c r="J342" s="9" t="s">
        <v>37</v>
      </c>
      <c r="K342" s="12">
        <v>43468</v>
      </c>
    </row>
    <row r="343" spans="1:11">
      <c r="A343" s="10">
        <v>342</v>
      </c>
      <c r="B343" s="9">
        <v>201901</v>
      </c>
      <c r="C343" s="11">
        <v>10949</v>
      </c>
      <c r="D343" s="9" t="s">
        <v>463</v>
      </c>
      <c r="E343" s="9" t="str">
        <f>VLOOKUP(C343,[1]MP!A129:O3891,12,0)</f>
        <v>CV A06</v>
      </c>
      <c r="F343" s="9" t="str">
        <f>VLOOKUP(C343,[1]MP!A129:O3892,13,0)</f>
        <v>VISUAL 1</v>
      </c>
      <c r="G343" s="9" t="s">
        <v>35</v>
      </c>
      <c r="H343" s="9" t="s">
        <v>35</v>
      </c>
      <c r="I343" s="9" t="s">
        <v>87</v>
      </c>
      <c r="J343" s="9" t="s">
        <v>37</v>
      </c>
      <c r="K343" s="12">
        <v>43468</v>
      </c>
    </row>
    <row r="344" spans="1:11">
      <c r="A344" s="10">
        <v>343</v>
      </c>
      <c r="B344" s="9">
        <v>201901</v>
      </c>
      <c r="C344" s="11">
        <v>10946</v>
      </c>
      <c r="D344" s="9" t="s">
        <v>464</v>
      </c>
      <c r="E344" s="9" t="str">
        <f>VLOOKUP(C344,[1]MP!A130:O3892,12,0)</f>
        <v>PRE ASSY HINO DYNA</v>
      </c>
      <c r="F344" s="9" t="str">
        <f>VLOOKUP(C344,[1]MP!A130:O3893,13,0)</f>
        <v>CROSS SECTION</v>
      </c>
      <c r="G344" s="9" t="s">
        <v>35</v>
      </c>
      <c r="H344" s="9" t="s">
        <v>35</v>
      </c>
      <c r="I344" s="9" t="s">
        <v>87</v>
      </c>
      <c r="J344" s="9" t="s">
        <v>37</v>
      </c>
      <c r="K344" s="12">
        <v>43468</v>
      </c>
    </row>
    <row r="345" spans="1:11">
      <c r="A345" s="10">
        <v>344</v>
      </c>
      <c r="B345" s="9">
        <v>201901</v>
      </c>
      <c r="C345" s="11">
        <v>10933</v>
      </c>
      <c r="D345" s="9" t="s">
        <v>465</v>
      </c>
      <c r="E345" s="9" t="str">
        <f>VLOOKUP(C345,[1]MP!A131:O3893,12,0)</f>
        <v>BUFFER MP SAMI</v>
      </c>
      <c r="F345" s="9" t="str">
        <f>VLOOKUP(C345,[1]MP!A131:O3894,13,0)</f>
        <v>BUFFER MP</v>
      </c>
      <c r="G345" s="9" t="s">
        <v>35</v>
      </c>
      <c r="H345" s="9" t="s">
        <v>35</v>
      </c>
      <c r="I345" s="9" t="s">
        <v>466</v>
      </c>
      <c r="J345" s="9" t="s">
        <v>37</v>
      </c>
      <c r="K345" s="12">
        <v>43468</v>
      </c>
    </row>
    <row r="346" spans="1:11">
      <c r="A346" s="10">
        <v>345</v>
      </c>
      <c r="B346" s="9">
        <v>201901</v>
      </c>
      <c r="C346" s="11">
        <v>10909</v>
      </c>
      <c r="D346" s="9" t="s">
        <v>467</v>
      </c>
      <c r="E346" s="9" t="str">
        <f>VLOOKUP(C346,[1]MP!A132:O3894,12,0)</f>
        <v>BUFFER MP SAMI</v>
      </c>
      <c r="F346" s="9" t="str">
        <f>VLOOKUP(C346,[1]MP!A132:O3895,13,0)</f>
        <v>BUFFER MP</v>
      </c>
      <c r="G346" s="9" t="s">
        <v>35</v>
      </c>
      <c r="H346" s="9" t="s">
        <v>35</v>
      </c>
      <c r="I346" s="9" t="s">
        <v>111</v>
      </c>
      <c r="J346" s="9" t="s">
        <v>37</v>
      </c>
      <c r="K346" s="12">
        <v>43468</v>
      </c>
    </row>
    <row r="347" spans="1:11">
      <c r="A347" s="10">
        <v>346</v>
      </c>
      <c r="B347" s="9">
        <v>201901</v>
      </c>
      <c r="C347" s="11">
        <v>10908</v>
      </c>
      <c r="D347" s="9" t="s">
        <v>468</v>
      </c>
      <c r="E347" s="9" t="str">
        <f>VLOOKUP(C347,[1]MP!A133:O3895,12,0)</f>
        <v>BUFFER MP SAMI</v>
      </c>
      <c r="F347" s="9" t="str">
        <f>VLOOKUP(C347,[1]MP!A133:O3896,13,0)</f>
        <v>BUFFER MP</v>
      </c>
      <c r="G347" s="9" t="s">
        <v>35</v>
      </c>
      <c r="H347" s="9" t="s">
        <v>35</v>
      </c>
      <c r="I347" s="9" t="s">
        <v>469</v>
      </c>
      <c r="J347" s="9" t="s">
        <v>37</v>
      </c>
      <c r="K347" s="12">
        <v>43468</v>
      </c>
    </row>
    <row r="348" spans="1:11">
      <c r="A348" s="10">
        <v>347</v>
      </c>
      <c r="B348" s="9">
        <v>201901</v>
      </c>
      <c r="C348" s="11">
        <v>10853</v>
      </c>
      <c r="D348" s="9" t="s">
        <v>470</v>
      </c>
      <c r="E348" s="9" t="str">
        <f>VLOOKUP(C348,[1]MP!A134:O3896,12,0)</f>
        <v>CV A06</v>
      </c>
      <c r="F348" s="9" t="str">
        <f>VLOOKUP(C348,[1]MP!A134:O3897,13,0)</f>
        <v>FINAL INSPECTION</v>
      </c>
      <c r="G348" s="9" t="s">
        <v>35</v>
      </c>
      <c r="H348" s="9" t="s">
        <v>35</v>
      </c>
      <c r="I348" s="9" t="s">
        <v>87</v>
      </c>
      <c r="J348" s="9" t="s">
        <v>37</v>
      </c>
      <c r="K348" s="12">
        <v>43468</v>
      </c>
    </row>
    <row r="349" spans="1:11">
      <c r="A349" s="10">
        <v>348</v>
      </c>
      <c r="B349" s="9">
        <v>201901</v>
      </c>
      <c r="C349" s="11">
        <v>10845</v>
      </c>
      <c r="D349" s="9" t="s">
        <v>471</v>
      </c>
      <c r="E349" s="9" t="str">
        <f>VLOOKUP(C349,[1]MP!A135:O3897,12,0)</f>
        <v>OTHERS ( PRODUCTION IMPROVMENT )</v>
      </c>
      <c r="F349" s="9" t="str">
        <f>VLOOKUP(C349,[1]MP!A135:O3898,13,0)</f>
        <v>PATROLI SOOP &amp; 5 WHY ANALISIS</v>
      </c>
      <c r="G349" s="9" t="s">
        <v>35</v>
      </c>
      <c r="H349" s="9" t="s">
        <v>35</v>
      </c>
      <c r="I349" s="9" t="s">
        <v>53</v>
      </c>
      <c r="J349" s="9" t="s">
        <v>37</v>
      </c>
      <c r="K349" s="12">
        <v>43468</v>
      </c>
    </row>
    <row r="350" spans="1:11">
      <c r="A350" s="10">
        <v>349</v>
      </c>
      <c r="B350" s="9">
        <v>201901</v>
      </c>
      <c r="C350" s="11">
        <v>10823</v>
      </c>
      <c r="D350" s="9" t="s">
        <v>472</v>
      </c>
      <c r="E350" s="9" t="str">
        <f>VLOOKUP(C350,[1]MP!A136:O3898,12,0)</f>
        <v>CV HV 05</v>
      </c>
      <c r="F350" s="9" t="str">
        <f>VLOOKUP(C350,[1]MP!A136:O3899,13,0)</f>
        <v>LQC</v>
      </c>
      <c r="G350" s="9" t="s">
        <v>35</v>
      </c>
      <c r="H350" s="9" t="s">
        <v>35</v>
      </c>
      <c r="I350" s="9" t="s">
        <v>87</v>
      </c>
      <c r="J350" s="9" t="s">
        <v>37</v>
      </c>
      <c r="K350" s="12">
        <v>43468</v>
      </c>
    </row>
    <row r="351" spans="1:11">
      <c r="A351" s="10">
        <v>350</v>
      </c>
      <c r="B351" s="9">
        <v>201901</v>
      </c>
      <c r="C351" s="11">
        <v>10820</v>
      </c>
      <c r="D351" s="9" t="s">
        <v>473</v>
      </c>
      <c r="E351" s="9" t="str">
        <f>VLOOKUP(C351,[1]MP!A137:O3899,12,0)</f>
        <v>BUFFER MP SAMI</v>
      </c>
      <c r="F351" s="9" t="str">
        <f>VLOOKUP(C351,[1]MP!A137:O3900,13,0)</f>
        <v>BUFFER MP</v>
      </c>
      <c r="G351" s="9" t="s">
        <v>35</v>
      </c>
      <c r="H351" s="9" t="s">
        <v>35</v>
      </c>
      <c r="I351" s="9" t="s">
        <v>474</v>
      </c>
      <c r="J351" s="9" t="s">
        <v>37</v>
      </c>
      <c r="K351" s="12">
        <v>43468</v>
      </c>
    </row>
    <row r="352" spans="1:11">
      <c r="A352" s="10">
        <v>351</v>
      </c>
      <c r="B352" s="9">
        <v>201901</v>
      </c>
      <c r="C352" s="11">
        <v>10738</v>
      </c>
      <c r="D352" s="9" t="s">
        <v>475</v>
      </c>
      <c r="E352" s="9" t="str">
        <f>VLOOKUP(C352,[1]MP!A139:O3901,12,0)</f>
        <v>PREGNANT LINE</v>
      </c>
      <c r="F352" s="9" t="str">
        <f>VLOOKUP(C352,[1]MP!A139:O3902,13,0)</f>
        <v>INSERT PLUG</v>
      </c>
      <c r="G352" s="9" t="s">
        <v>35</v>
      </c>
      <c r="H352" s="9" t="s">
        <v>35</v>
      </c>
      <c r="I352" s="9" t="s">
        <v>476</v>
      </c>
      <c r="J352" s="9" t="s">
        <v>37</v>
      </c>
      <c r="K352" s="12">
        <v>43481</v>
      </c>
    </row>
    <row r="353" spans="1:11">
      <c r="A353" s="10">
        <v>352</v>
      </c>
      <c r="B353" s="9">
        <v>201901</v>
      </c>
      <c r="C353" s="11">
        <v>10732</v>
      </c>
      <c r="D353" s="9" t="s">
        <v>477</v>
      </c>
      <c r="E353" s="9" t="str">
        <f>VLOOKUP(C353,[1]MP!A2:O3863,12,0)</f>
        <v>BUFFER MP SAMI</v>
      </c>
      <c r="F353" s="9" t="str">
        <f>VLOOKUP(C353,[1]MP!A2:O3764,13,0)</f>
        <v>BUFFER MP</v>
      </c>
      <c r="G353" s="9" t="s">
        <v>35</v>
      </c>
      <c r="H353" s="9" t="s">
        <v>35</v>
      </c>
      <c r="I353" s="9" t="s">
        <v>53</v>
      </c>
      <c r="J353" s="9" t="s">
        <v>37</v>
      </c>
      <c r="K353" s="12">
        <v>43468</v>
      </c>
    </row>
    <row r="354" spans="1:11">
      <c r="A354" s="10">
        <v>353</v>
      </c>
      <c r="B354" s="9">
        <v>201901</v>
      </c>
      <c r="C354" s="11">
        <v>10629</v>
      </c>
      <c r="D354" s="9" t="s">
        <v>478</v>
      </c>
      <c r="E354" s="9" t="str">
        <f>VLOOKUP(C354,[1]MP!A3:O3864,12,0)</f>
        <v>CV HV 05</v>
      </c>
      <c r="F354" s="9" t="str">
        <f>VLOOKUP(C354,[1]MP!A3:O3765,13,0)</f>
        <v>SILICON</v>
      </c>
      <c r="G354" s="9" t="s">
        <v>35</v>
      </c>
      <c r="H354" s="9" t="s">
        <v>35</v>
      </c>
      <c r="I354" s="9" t="s">
        <v>87</v>
      </c>
      <c r="J354" s="9" t="s">
        <v>37</v>
      </c>
      <c r="K354" s="12">
        <v>43468</v>
      </c>
    </row>
    <row r="355" spans="1:11">
      <c r="A355" s="10">
        <v>354</v>
      </c>
      <c r="B355" s="9">
        <v>201901</v>
      </c>
      <c r="C355" s="11">
        <v>10619</v>
      </c>
      <c r="D355" s="9" t="s">
        <v>479</v>
      </c>
      <c r="E355" s="9" t="str">
        <f>VLOOKUP(C355,[1]MP!A4:O3865,12,0)</f>
        <v>CV 4</v>
      </c>
      <c r="F355" s="9" t="str">
        <f>VLOOKUP(C355,[1]MP!A4:O3766,13,0)</f>
        <v>DC</v>
      </c>
      <c r="G355" s="9" t="s">
        <v>35</v>
      </c>
      <c r="H355" s="9" t="s">
        <v>35</v>
      </c>
      <c r="I355" s="9" t="s">
        <v>87</v>
      </c>
      <c r="J355" s="9" t="s">
        <v>37</v>
      </c>
      <c r="K355" s="12">
        <v>43468</v>
      </c>
    </row>
    <row r="356" spans="1:11">
      <c r="A356" s="10">
        <v>355</v>
      </c>
      <c r="B356" s="9">
        <v>201901</v>
      </c>
      <c r="C356" s="11">
        <v>10532</v>
      </c>
      <c r="D356" s="9" t="s">
        <v>480</v>
      </c>
      <c r="E356" s="9" t="str">
        <f>VLOOKUP(C356,[1]MP!A5:O3866,12,0)</f>
        <v>PRE ASSY SUZUKI YW0</v>
      </c>
      <c r="F356" s="9" t="str">
        <f>VLOOKUP(C356,[1]MP!A5:O3767,13,0)</f>
        <v>INSP PRE ASSY</v>
      </c>
      <c r="G356" s="9" t="s">
        <v>35</v>
      </c>
      <c r="H356" s="9" t="s">
        <v>35</v>
      </c>
      <c r="I356" s="9" t="s">
        <v>111</v>
      </c>
      <c r="J356" s="9" t="s">
        <v>37</v>
      </c>
      <c r="K356" s="12">
        <v>43468</v>
      </c>
    </row>
    <row r="357" spans="1:11">
      <c r="A357" s="10">
        <v>356</v>
      </c>
      <c r="B357" s="9">
        <v>201901</v>
      </c>
      <c r="C357" s="11">
        <v>10513</v>
      </c>
      <c r="D357" s="9" t="s">
        <v>481</v>
      </c>
      <c r="E357" s="9" t="str">
        <f>VLOOKUP(C357,[1]MP!A6:O3867,12,0)</f>
        <v>PRE ASSY MAZDA ATENZA CX-5</v>
      </c>
      <c r="F357" s="9" t="str">
        <f>VLOOKUP(C357,[1]MP!A6:O3768,13,0)</f>
        <v>BM4-MZD-02</v>
      </c>
      <c r="G357" s="9" t="s">
        <v>35</v>
      </c>
      <c r="H357" s="9" t="s">
        <v>35</v>
      </c>
      <c r="I357" s="9" t="s">
        <v>223</v>
      </c>
      <c r="J357" s="9" t="s">
        <v>37</v>
      </c>
      <c r="K357" s="12">
        <v>43468</v>
      </c>
    </row>
    <row r="358" spans="1:11">
      <c r="A358" s="10">
        <v>357</v>
      </c>
      <c r="B358" s="9">
        <v>201901</v>
      </c>
      <c r="C358" s="11">
        <v>10464</v>
      </c>
      <c r="D358" s="9" t="s">
        <v>482</v>
      </c>
      <c r="E358" s="9" t="str">
        <f>VLOOKUP(C358,[1]MP!A7:O3868,12,0)</f>
        <v>CV 17</v>
      </c>
      <c r="F358" s="9" t="str">
        <f>VLOOKUP(C358,[1]MP!A7:O3769,13,0)</f>
        <v>CAMERA FUSE</v>
      </c>
      <c r="G358" s="9" t="s">
        <v>35</v>
      </c>
      <c r="H358" s="9" t="s">
        <v>35</v>
      </c>
      <c r="I358" s="9" t="s">
        <v>87</v>
      </c>
      <c r="J358" s="9" t="s">
        <v>37</v>
      </c>
      <c r="K358" s="12">
        <v>43468</v>
      </c>
    </row>
    <row r="359" spans="1:11">
      <c r="A359" s="10">
        <v>358</v>
      </c>
      <c r="B359" s="9">
        <v>201901</v>
      </c>
      <c r="C359" s="11">
        <v>10376</v>
      </c>
      <c r="D359" s="9" t="s">
        <v>483</v>
      </c>
      <c r="E359" s="9" t="str">
        <f>VLOOKUP(C359,[1]MP!A8:O3869,12,0)</f>
        <v>SWCT</v>
      </c>
      <c r="F359" s="9" t="str">
        <f>VLOOKUP(C359,[1]MP!A8:O3770,13,0)</f>
        <v>ADM, DOKUMEN</v>
      </c>
      <c r="G359" s="9" t="s">
        <v>35</v>
      </c>
      <c r="H359" s="9" t="s">
        <v>35</v>
      </c>
      <c r="I359" s="9" t="s">
        <v>53</v>
      </c>
      <c r="J359" s="9" t="s">
        <v>37</v>
      </c>
      <c r="K359" s="12">
        <v>43468</v>
      </c>
    </row>
    <row r="360" spans="1:11">
      <c r="A360" s="10">
        <v>359</v>
      </c>
      <c r="B360" s="9">
        <v>201901</v>
      </c>
      <c r="C360" s="11">
        <v>10338</v>
      </c>
      <c r="D360" s="9" t="s">
        <v>484</v>
      </c>
      <c r="E360" s="9" t="str">
        <f>VLOOKUP(C360,[1]MP!A9:O3870,12,0)</f>
        <v>PROTOTYPE-3</v>
      </c>
      <c r="F360" s="9" t="str">
        <f>VLOOKUP(C360,[1]MP!A9:O3771,13,0)</f>
        <v>INSPECTION</v>
      </c>
      <c r="G360" s="9" t="s">
        <v>35</v>
      </c>
      <c r="H360" s="9" t="s">
        <v>35</v>
      </c>
      <c r="I360" s="9" t="s">
        <v>485</v>
      </c>
      <c r="J360" s="9" t="s">
        <v>37</v>
      </c>
      <c r="K360" s="12">
        <v>43483</v>
      </c>
    </row>
    <row r="361" spans="1:11">
      <c r="A361" s="10">
        <v>360</v>
      </c>
      <c r="B361" s="9">
        <v>201901</v>
      </c>
      <c r="C361" s="11">
        <v>10229</v>
      </c>
      <c r="D361" s="9" t="s">
        <v>486</v>
      </c>
      <c r="E361" s="9" t="str">
        <f>VLOOKUP(C361,[1]MP!A11:O3872,12,0)</f>
        <v>PRE ASSY MAZDA ATENZA</v>
      </c>
      <c r="F361" s="9" t="str">
        <f>VLOOKUP(C361,[1]MP!A11:O3773,13,0)</f>
        <v>BM1-MZD-01</v>
      </c>
      <c r="G361" s="9" t="s">
        <v>35</v>
      </c>
      <c r="H361" s="9" t="s">
        <v>35</v>
      </c>
      <c r="I361" s="9" t="s">
        <v>111</v>
      </c>
      <c r="J361" s="9" t="s">
        <v>37</v>
      </c>
      <c r="K361" s="12">
        <v>43468</v>
      </c>
    </row>
    <row r="362" spans="1:11">
      <c r="A362" s="10">
        <v>361</v>
      </c>
      <c r="B362" s="9">
        <v>201901</v>
      </c>
      <c r="C362" s="11">
        <v>10194</v>
      </c>
      <c r="D362" s="9" t="s">
        <v>487</v>
      </c>
      <c r="E362" s="9" t="str">
        <f>VLOOKUP(C362,[1]MP!A12:O3873,12,0)</f>
        <v>PRE ASSY HONDA HV</v>
      </c>
      <c r="F362" s="9" t="str">
        <f>VLOOKUP(C362,[1]MP!A12:O3774,13,0)</f>
        <v>CROSS SECTION</v>
      </c>
      <c r="G362" s="9" t="s">
        <v>35</v>
      </c>
      <c r="H362" s="9" t="s">
        <v>35</v>
      </c>
      <c r="I362" s="9" t="s">
        <v>87</v>
      </c>
      <c r="J362" s="9" t="s">
        <v>37</v>
      </c>
      <c r="K362" s="12">
        <v>43468</v>
      </c>
    </row>
    <row r="363" spans="1:11">
      <c r="A363" s="10">
        <v>362</v>
      </c>
      <c r="B363" s="9">
        <v>201901</v>
      </c>
      <c r="C363" s="11">
        <v>10192</v>
      </c>
      <c r="D363" s="9" t="s">
        <v>488</v>
      </c>
      <c r="E363" s="9" t="str">
        <f>VLOOKUP(C363,[1]MP!A13:O3874,12,0)</f>
        <v>CUTTING HONDA HV</v>
      </c>
      <c r="F363" s="9" t="str">
        <f>VLOOKUP(C363,[1]MP!A13:O3775,13,0)</f>
        <v>AC81-H-02, MC2-H-01, 02</v>
      </c>
      <c r="G363" s="9" t="s">
        <v>35</v>
      </c>
      <c r="H363" s="9" t="s">
        <v>35</v>
      </c>
      <c r="I363" s="9" t="s">
        <v>223</v>
      </c>
      <c r="J363" s="9" t="s">
        <v>37</v>
      </c>
      <c r="K363" s="12">
        <v>43468</v>
      </c>
    </row>
    <row r="364" spans="1:11">
      <c r="A364" s="10">
        <v>363</v>
      </c>
      <c r="B364" s="9">
        <v>201901</v>
      </c>
      <c r="C364" s="11">
        <v>10184</v>
      </c>
      <c r="D364" s="9" t="s">
        <v>489</v>
      </c>
      <c r="E364" s="9" t="str">
        <f>VLOOKUP(C364,[1]MP!A14:O3875,12,0)</f>
        <v>BUFFER MP SAMI</v>
      </c>
      <c r="F364" s="9" t="str">
        <f>VLOOKUP(C364,[1]MP!A14:O3776,13,0)</f>
        <v>BUFFER MP</v>
      </c>
      <c r="G364" s="9" t="s">
        <v>35</v>
      </c>
      <c r="H364" s="9" t="s">
        <v>35</v>
      </c>
      <c r="I364" s="9" t="s">
        <v>53</v>
      </c>
      <c r="J364" s="9" t="s">
        <v>37</v>
      </c>
      <c r="K364" s="12">
        <v>43468</v>
      </c>
    </row>
    <row r="365" spans="1:11">
      <c r="A365" s="10">
        <v>364</v>
      </c>
      <c r="B365" s="9">
        <v>201901</v>
      </c>
      <c r="C365" s="11">
        <v>10175</v>
      </c>
      <c r="D365" s="9" t="s">
        <v>490</v>
      </c>
      <c r="E365" s="9" t="str">
        <f>VLOOKUP(C365,[1]MP!A15:O3876,12,0)</f>
        <v>BUFFER MP SAMI</v>
      </c>
      <c r="F365" s="9" t="str">
        <f>VLOOKUP(C365,[1]MP!A15:O3777,13,0)</f>
        <v>BUFFER MP</v>
      </c>
      <c r="G365" s="9" t="s">
        <v>35</v>
      </c>
      <c r="H365" s="9" t="s">
        <v>35</v>
      </c>
      <c r="I365" s="9" t="s">
        <v>491</v>
      </c>
      <c r="J365" s="9" t="s">
        <v>37</v>
      </c>
      <c r="K365" s="12">
        <v>43468</v>
      </c>
    </row>
    <row r="366" spans="1:11">
      <c r="A366" s="10">
        <v>365</v>
      </c>
      <c r="B366" s="9">
        <v>201901</v>
      </c>
      <c r="C366" s="11">
        <v>10161</v>
      </c>
      <c r="D366" s="9" t="s">
        <v>492</v>
      </c>
      <c r="E366" s="9" t="str">
        <f>VLOOKUP(C366,[1]MP!A16:O3877,12,0)</f>
        <v>MTC</v>
      </c>
      <c r="F366" s="9" t="str">
        <f>VLOOKUP(C366,[1]MP!A16:O3778,13,0)</f>
        <v>BREAKDOWN</v>
      </c>
      <c r="G366" s="9" t="s">
        <v>35</v>
      </c>
      <c r="H366" s="9" t="s">
        <v>35</v>
      </c>
      <c r="I366" s="9" t="s">
        <v>87</v>
      </c>
      <c r="J366" s="9" t="s">
        <v>37</v>
      </c>
      <c r="K366" s="12">
        <v>43468</v>
      </c>
    </row>
    <row r="367" spans="1:11">
      <c r="A367" s="10">
        <v>366</v>
      </c>
      <c r="B367" s="9">
        <v>201901</v>
      </c>
      <c r="C367" s="11">
        <v>10160</v>
      </c>
      <c r="D367" s="9" t="s">
        <v>493</v>
      </c>
      <c r="E367" s="9" t="str">
        <f>VLOOKUP(C367,[1]MP!A17:O3878,12,0)</f>
        <v>JCN</v>
      </c>
      <c r="F367" s="9" t="str">
        <f>VLOOKUP(C367,[1]MP!A17:O3779,13,0)</f>
        <v>BREAKDOWN FA</v>
      </c>
      <c r="G367" s="9" t="s">
        <v>35</v>
      </c>
      <c r="H367" s="9" t="s">
        <v>35</v>
      </c>
      <c r="I367" s="9" t="s">
        <v>87</v>
      </c>
      <c r="J367" s="9" t="s">
        <v>37</v>
      </c>
      <c r="K367" s="12">
        <v>43468</v>
      </c>
    </row>
    <row r="368" spans="1:11">
      <c r="A368" s="10">
        <v>367</v>
      </c>
      <c r="B368" s="9">
        <v>201901</v>
      </c>
      <c r="C368" s="11">
        <v>1016</v>
      </c>
      <c r="D368" s="9" t="s">
        <v>494</v>
      </c>
      <c r="E368" s="9" t="str">
        <f>VLOOKUP(C368,[1]MP!A18:O3879,12,0)</f>
        <v>WORKSHOP</v>
      </c>
      <c r="F368" s="9" t="str">
        <f>VLOOKUP(C368,[1]MP!A18:O3780,13,0)</f>
        <v>Production Request ( PPW )</v>
      </c>
      <c r="G368" s="9" t="s">
        <v>35</v>
      </c>
      <c r="H368" s="9" t="s">
        <v>35</v>
      </c>
      <c r="I368" s="9" t="s">
        <v>87</v>
      </c>
      <c r="J368" s="9" t="s">
        <v>37</v>
      </c>
      <c r="K368" s="12">
        <v>43468</v>
      </c>
    </row>
    <row r="369" spans="1:11">
      <c r="A369" s="10">
        <v>368</v>
      </c>
      <c r="B369" s="9">
        <v>201901</v>
      </c>
      <c r="C369" s="11">
        <v>1013</v>
      </c>
      <c r="D369" s="9" t="s">
        <v>495</v>
      </c>
      <c r="E369" s="9" t="str">
        <f>VLOOKUP(C369,[1]MP!A19:O3880,12,0)</f>
        <v>MTC</v>
      </c>
      <c r="F369" s="9" t="str">
        <f>VLOOKUP(C369,[1]MP!A19:O3781,13,0)</f>
        <v>LEADER MTC BREAKDOWN</v>
      </c>
      <c r="G369" s="9" t="s">
        <v>35</v>
      </c>
      <c r="H369" s="9" t="s">
        <v>35</v>
      </c>
      <c r="I369" s="9" t="s">
        <v>87</v>
      </c>
      <c r="J369" s="9" t="s">
        <v>37</v>
      </c>
      <c r="K369" s="12">
        <v>43468</v>
      </c>
    </row>
    <row r="370" spans="1:11">
      <c r="A370" s="10">
        <v>369</v>
      </c>
      <c r="B370" s="9">
        <v>201901</v>
      </c>
      <c r="C370" s="11">
        <v>10128</v>
      </c>
      <c r="D370" s="9" t="s">
        <v>496</v>
      </c>
      <c r="E370" s="9" t="str">
        <f>VLOOKUP(C370,[1]MP!A20:O3881,12,0)</f>
        <v>CV 13</v>
      </c>
      <c r="F370" s="9" t="str">
        <f>VLOOKUP(C370,[1]MP!A20:O3782,13,0)</f>
        <v>FINAL INSPECTION</v>
      </c>
      <c r="G370" s="9" t="s">
        <v>35</v>
      </c>
      <c r="H370" s="9" t="s">
        <v>35</v>
      </c>
      <c r="I370" s="9" t="s">
        <v>87</v>
      </c>
      <c r="J370" s="9" t="s">
        <v>37</v>
      </c>
      <c r="K370" s="12">
        <v>43468</v>
      </c>
    </row>
    <row r="371" spans="1:11">
      <c r="A371" s="10">
        <v>370</v>
      </c>
      <c r="B371" s="9">
        <v>201901</v>
      </c>
      <c r="C371" s="11">
        <v>10127</v>
      </c>
      <c r="D371" s="9" t="s">
        <v>497</v>
      </c>
      <c r="E371" s="9" t="str">
        <f>VLOOKUP(C371,[1]MP!A21:O3882,12,0)</f>
        <v>ALL</v>
      </c>
      <c r="F371" s="9" t="str">
        <f>VLOOKUP(C371,[1]MP!A21:O3783,13,0)</f>
        <v>PJK INSP</v>
      </c>
      <c r="G371" s="9" t="s">
        <v>35</v>
      </c>
      <c r="H371" s="9" t="s">
        <v>35</v>
      </c>
      <c r="I371" s="9" t="s">
        <v>87</v>
      </c>
      <c r="J371" s="9" t="s">
        <v>37</v>
      </c>
      <c r="K371" s="12">
        <v>43468</v>
      </c>
    </row>
    <row r="372" spans="1:11">
      <c r="A372" s="10">
        <v>371</v>
      </c>
      <c r="B372" s="9">
        <v>201901</v>
      </c>
      <c r="C372" s="11">
        <v>1012</v>
      </c>
      <c r="D372" s="9" t="s">
        <v>498</v>
      </c>
      <c r="E372" s="9" t="str">
        <f>VLOOKUP(C372,[1]MP!A22:O3883,12,0)</f>
        <v>ITE</v>
      </c>
      <c r="F372" s="9" t="str">
        <f>VLOOKUP(C372,[1]MP!A22:O3784,13,0)</f>
        <v>LL (MAGANG)</v>
      </c>
      <c r="G372" s="9" t="s">
        <v>35</v>
      </c>
      <c r="H372" s="9" t="s">
        <v>35</v>
      </c>
      <c r="I372" s="9" t="s">
        <v>499</v>
      </c>
      <c r="J372" s="9" t="s">
        <v>37</v>
      </c>
      <c r="K372" s="12">
        <v>43468</v>
      </c>
    </row>
    <row r="373" spans="1:11">
      <c r="A373" s="10">
        <v>372</v>
      </c>
      <c r="B373" s="9">
        <v>201901</v>
      </c>
      <c r="C373" s="11">
        <v>10117</v>
      </c>
      <c r="D373" s="9" t="s">
        <v>500</v>
      </c>
      <c r="E373" s="9" t="str">
        <f>VLOOKUP(C373,[1]MP!A23:O3884,12,0)</f>
        <v>BUFFER MP SAMI</v>
      </c>
      <c r="F373" s="9" t="str">
        <f>VLOOKUP(C373,[1]MP!A23:O3785,13,0)</f>
        <v>BUFFER MP</v>
      </c>
      <c r="G373" s="9" t="s">
        <v>35</v>
      </c>
      <c r="H373" s="9" t="s">
        <v>35</v>
      </c>
      <c r="I373" s="9" t="s">
        <v>501</v>
      </c>
      <c r="J373" s="9" t="s">
        <v>37</v>
      </c>
      <c r="K373" s="12">
        <v>43468</v>
      </c>
    </row>
    <row r="374" spans="1:11">
      <c r="A374" s="10">
        <v>373</v>
      </c>
      <c r="B374" s="9">
        <v>201901</v>
      </c>
      <c r="C374" s="11">
        <v>10104</v>
      </c>
      <c r="D374" s="9" t="s">
        <v>502</v>
      </c>
      <c r="E374" s="9" t="str">
        <f>VLOOKUP(C374,[1]MP!A24:O3885,12,0)</f>
        <v>BUFFER MP SAMI</v>
      </c>
      <c r="F374" s="9" t="str">
        <f>VLOOKUP(C374,[1]MP!A24:O3786,13,0)</f>
        <v>BUFFER MP</v>
      </c>
      <c r="G374" s="9" t="s">
        <v>35</v>
      </c>
      <c r="H374" s="9" t="s">
        <v>35</v>
      </c>
      <c r="I374" s="9" t="s">
        <v>503</v>
      </c>
      <c r="J374" s="9" t="s">
        <v>37</v>
      </c>
      <c r="K374" s="12">
        <v>43468</v>
      </c>
    </row>
    <row r="375" spans="1:11">
      <c r="A375" s="10">
        <v>374</v>
      </c>
      <c r="B375" s="9">
        <v>201901</v>
      </c>
      <c r="C375" s="11">
        <v>10100</v>
      </c>
      <c r="D375" s="9" t="s">
        <v>504</v>
      </c>
      <c r="E375" s="9" t="str">
        <f>VLOOKUP(C375,[1]MP!A25:O3886,12,0)</f>
        <v>PRE ASSY MAZDA ATENZA CX-5</v>
      </c>
      <c r="F375" s="9" t="str">
        <f>VLOOKUP(C375,[1]MP!A25:O3787,13,0)</f>
        <v>BM1-MZD-01</v>
      </c>
      <c r="G375" s="9" t="s">
        <v>35</v>
      </c>
      <c r="H375" s="9" t="s">
        <v>35</v>
      </c>
      <c r="I375" s="9" t="s">
        <v>111</v>
      </c>
      <c r="J375" s="9" t="s">
        <v>37</v>
      </c>
      <c r="K375" s="12">
        <v>43468</v>
      </c>
    </row>
    <row r="376" spans="1:11">
      <c r="A376" s="10">
        <v>375</v>
      </c>
      <c r="B376" s="9">
        <v>201901</v>
      </c>
      <c r="C376" s="11">
        <v>10090</v>
      </c>
      <c r="D376" s="9" t="s">
        <v>505</v>
      </c>
      <c r="E376" s="9" t="str">
        <f>VLOOKUP(C376,[1]MP!A26:O3887,12,0)</f>
        <v>BUFFER MP SAMI</v>
      </c>
      <c r="F376" s="9" t="str">
        <f>VLOOKUP(C376,[1]MP!A26:O3788,13,0)</f>
        <v>BUFFER MP</v>
      </c>
      <c r="G376" s="9" t="s">
        <v>35</v>
      </c>
      <c r="H376" s="9" t="s">
        <v>35</v>
      </c>
      <c r="I376" s="9" t="s">
        <v>506</v>
      </c>
      <c r="J376" s="9" t="s">
        <v>37</v>
      </c>
      <c r="K376" s="12">
        <v>43481</v>
      </c>
    </row>
    <row r="377" spans="1:11">
      <c r="A377" s="10">
        <v>376</v>
      </c>
      <c r="B377" s="9">
        <v>201901</v>
      </c>
      <c r="C377" s="11">
        <v>1004</v>
      </c>
      <c r="D377" s="9" t="s">
        <v>507</v>
      </c>
      <c r="E377" s="9" t="str">
        <f>VLOOKUP(C377,[1]MP!A27:O3888,12,0)</f>
        <v>PREGNANT LINE</v>
      </c>
      <c r="F377" s="9" t="str">
        <f>VLOOKUP(C377,[1]MP!A27:O3789,13,0)</f>
        <v>INSERT PLUG</v>
      </c>
      <c r="G377" s="9" t="s">
        <v>35</v>
      </c>
      <c r="H377" s="9" t="s">
        <v>35</v>
      </c>
      <c r="I377" s="9" t="s">
        <v>87</v>
      </c>
      <c r="J377" s="9" t="s">
        <v>37</v>
      </c>
      <c r="K377" s="12">
        <v>43468</v>
      </c>
    </row>
    <row r="378" spans="1:11">
      <c r="A378" s="10">
        <v>377</v>
      </c>
      <c r="B378" s="9">
        <v>201901</v>
      </c>
      <c r="C378" s="11">
        <v>10007</v>
      </c>
      <c r="D378" s="9" t="s">
        <v>508</v>
      </c>
      <c r="E378" s="9" t="str">
        <f>VLOOKUP(C378,[1]MP!A28:O3889,12,0)</f>
        <v>CV HV 13A</v>
      </c>
      <c r="F378" s="9" t="str">
        <f>VLOOKUP(C378,[1]MP!A28:O3790,13,0)</f>
        <v>SUB LINE CHO</v>
      </c>
      <c r="G378" s="9" t="s">
        <v>35</v>
      </c>
      <c r="H378" s="9" t="s">
        <v>35</v>
      </c>
      <c r="I378" s="9" t="s">
        <v>53</v>
      </c>
      <c r="J378" s="9" t="s">
        <v>37</v>
      </c>
      <c r="K378" s="12">
        <v>43468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SUMMARY</vt:lpstr>
      <vt:lpstr>JUL 2020</vt:lpstr>
      <vt:lpstr>SUSU AGUST 20</vt:lpstr>
      <vt:lpstr>SUSU SEPT 20</vt:lpstr>
      <vt:lpstr>082020</vt:lpstr>
      <vt:lpstr>082020 (2)</vt:lpstr>
      <vt:lpstr>JUL 2020 (2)</vt:lpstr>
      <vt:lpstr>Agust 20</vt:lpstr>
      <vt:lpstr>MP</vt:lpstr>
      <vt:lpstr>mp susu januari 2019</vt:lpstr>
      <vt:lpstr>'082020'!Print_Area</vt:lpstr>
      <vt:lpstr>'082020 (2)'!Print_Area</vt:lpstr>
      <vt:lpstr>'Agust 20'!Print_Area</vt:lpstr>
      <vt:lpstr>'JUL 2020 (2)'!Print_Area</vt:lpstr>
      <vt:lpstr>SUMMARY!Print_Area</vt:lpstr>
      <vt:lpstr>'SUSU SEPT 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ga-03</cp:lastModifiedBy>
  <cp:lastPrinted>2020-08-15T01:05:55Z</cp:lastPrinted>
  <dcterms:created xsi:type="dcterms:W3CDTF">2018-09-26T08:30:14Z</dcterms:created>
  <dcterms:modified xsi:type="dcterms:W3CDTF">2020-08-15T01:06:17Z</dcterms:modified>
</cp:coreProperties>
</file>