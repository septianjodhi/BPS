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defaultThemeVersion="124226"/>
  <mc:AlternateContent xmlns:mc="http://schemas.openxmlformats.org/markup-compatibility/2006">
    <mc:Choice Requires="x15">
      <x15ac:absPath xmlns:x15ac="http://schemas.microsoft.com/office/spreadsheetml/2010/11/ac" url="P:\GA\GA-03- MIKI\2. PERJALANAN DINAS\DOMESTIC\1. PERHITUNGAN SPD\24.08 Agustus\"/>
    </mc:Choice>
  </mc:AlternateContent>
  <xr:revisionPtr revIDLastSave="0" documentId="13_ncr:1_{FB4AA097-EB1B-4574-B619-F69F4D0DD55F}" xr6:coauthVersionLast="47" xr6:coauthVersionMax="47" xr10:uidLastSave="{00000000-0000-0000-0000-000000000000}"/>
  <bookViews>
    <workbookView xWindow="-120" yWindow="-120" windowWidth="29040" windowHeight="15720" tabRatio="761" activeTab="2" xr2:uid="{00000000-000D-0000-FFFF-FFFF00000000}"/>
  </bookViews>
  <sheets>
    <sheet name="TAHAP 1" sheetId="5" r:id="rId1"/>
    <sheet name="TAPAH 2.2 (Rincian)" sheetId="15" r:id="rId2"/>
    <sheet name="TAHAP 2.1 (SPD)" sheetId="16" r:id="rId3"/>
  </sheets>
  <definedNames>
    <definedName name="_xlnm.Print_Area" localSheetId="0">'TAHAP 1'!$A$1:$V$86</definedName>
    <definedName name="_xlnm.Print_Area" localSheetId="2">'TAHAP 2.1 (SPD)'!$A$1:$W$62</definedName>
    <definedName name="_xlnm.Print_Area" localSheetId="1">'TAPAH 2.2 (Rincian)'!$A$1:$O$98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1" i="16" l="1"/>
  <c r="O36" i="16"/>
  <c r="S40" i="16"/>
  <c r="S36" i="16"/>
  <c r="F84" i="15"/>
  <c r="S29" i="16"/>
  <c r="G89" i="15" l="1"/>
  <c r="G88" i="15"/>
  <c r="G87" i="15"/>
  <c r="D87" i="15"/>
  <c r="I35" i="15" l="1"/>
  <c r="I37" i="15"/>
  <c r="I36" i="15"/>
  <c r="B35" i="15"/>
  <c r="B36" i="15" s="1"/>
  <c r="B37" i="15" s="1"/>
  <c r="H34" i="15"/>
  <c r="G34" i="15"/>
  <c r="F34" i="15"/>
  <c r="E34" i="15"/>
  <c r="R70" i="5"/>
  <c r="G62" i="15"/>
  <c r="E23" i="15"/>
  <c r="I38" i="15" l="1"/>
  <c r="G45" i="15" s="1"/>
  <c r="D90" i="15"/>
  <c r="D89" i="15"/>
  <c r="G39" i="16"/>
  <c r="G38" i="16"/>
  <c r="M22" i="16"/>
  <c r="AB22" i="16" s="1"/>
  <c r="K22" i="16"/>
  <c r="AA22" i="16" s="1"/>
  <c r="I22" i="16"/>
  <c r="Z22" i="16" s="1"/>
  <c r="G22" i="16"/>
  <c r="Y22" i="16" s="1"/>
  <c r="M21" i="16"/>
  <c r="AB21" i="16" s="1"/>
  <c r="K21" i="16"/>
  <c r="AA21" i="16" s="1"/>
  <c r="I21" i="16"/>
  <c r="Z21" i="16" s="1"/>
  <c r="G21" i="16"/>
  <c r="Y21" i="16" s="1"/>
  <c r="H89" i="15" l="1"/>
  <c r="S38" i="16" s="1"/>
  <c r="H31" i="15"/>
  <c r="H30" i="15"/>
  <c r="H29" i="15"/>
  <c r="G29" i="15"/>
  <c r="E31" i="15"/>
  <c r="E30" i="15"/>
  <c r="E29" i="15"/>
  <c r="B29" i="15"/>
  <c r="B30" i="15" s="1"/>
  <c r="B31" i="15" s="1"/>
  <c r="H28" i="15"/>
  <c r="G28" i="15"/>
  <c r="F28" i="15"/>
  <c r="E28" i="15"/>
  <c r="I30" i="15" l="1"/>
  <c r="I31" i="15"/>
  <c r="I29" i="15"/>
  <c r="H69" i="15"/>
  <c r="B45" i="15"/>
  <c r="B90" i="15" s="1"/>
  <c r="B44" i="15"/>
  <c r="B89" i="15" s="1"/>
  <c r="B43" i="15"/>
  <c r="B88" i="15" s="1"/>
  <c r="B42" i="15"/>
  <c r="G23" i="15"/>
  <c r="H23" i="15"/>
  <c r="F28" i="5"/>
  <c r="C28" i="5"/>
  <c r="F16" i="5"/>
  <c r="F22" i="16" s="1"/>
  <c r="C16" i="5"/>
  <c r="C22" i="16" s="1"/>
  <c r="F15" i="5"/>
  <c r="F21" i="16" s="1"/>
  <c r="C15" i="5"/>
  <c r="C21" i="16" s="1"/>
  <c r="K20" i="16"/>
  <c r="K19" i="16"/>
  <c r="I32" i="15" l="1"/>
  <c r="I23" i="15"/>
  <c r="C36" i="16"/>
  <c r="B87" i="15"/>
  <c r="C39" i="16"/>
  <c r="C38" i="16"/>
  <c r="C37" i="16"/>
  <c r="M20" i="16"/>
  <c r="I20" i="16"/>
  <c r="G20" i="16"/>
  <c r="D88" i="15"/>
  <c r="F14" i="5"/>
  <c r="F20" i="16" s="1"/>
  <c r="C14" i="5"/>
  <c r="C20" i="16" s="1"/>
  <c r="G44" i="15" l="1"/>
  <c r="G43" i="15"/>
  <c r="L37" i="16" s="1"/>
  <c r="H25" i="15"/>
  <c r="E25" i="15"/>
  <c r="I25" i="15" s="1"/>
  <c r="AA20" i="16" l="1"/>
  <c r="B36" i="16" l="1"/>
  <c r="G37" i="16"/>
  <c r="F19" i="16"/>
  <c r="C19" i="16"/>
  <c r="AB20" i="16"/>
  <c r="Z20" i="16"/>
  <c r="Y20" i="16"/>
  <c r="G73" i="15" l="1"/>
  <c r="H24" i="15" l="1"/>
  <c r="R73" i="5" l="1"/>
  <c r="H87" i="15" l="1"/>
  <c r="E24" i="15"/>
  <c r="I24" i="15" s="1"/>
  <c r="I26" i="15" s="1"/>
  <c r="L39" i="16" l="1"/>
  <c r="G42" i="15"/>
  <c r="B23" i="15" l="1"/>
  <c r="B24" i="15" s="1"/>
  <c r="B25" i="15" s="1"/>
  <c r="B82" i="15" l="1"/>
  <c r="D82" i="15"/>
  <c r="L38" i="16" l="1"/>
  <c r="L36" i="16"/>
  <c r="H88" i="15"/>
  <c r="S37" i="16" s="1"/>
  <c r="L40" i="16" l="1"/>
  <c r="I10" i="16"/>
  <c r="G36" i="16" l="1"/>
  <c r="I9" i="16" l="1"/>
  <c r="H67" i="15" l="1"/>
  <c r="H68" i="15"/>
  <c r="H71" i="15"/>
  <c r="H72" i="15"/>
  <c r="H74" i="15"/>
  <c r="H63" i="15"/>
  <c r="H70" i="15"/>
  <c r="H22" i="15"/>
  <c r="G22" i="15"/>
  <c r="F22" i="15"/>
  <c r="E22" i="15"/>
  <c r="M19" i="16"/>
  <c r="AB19" i="16" s="1"/>
  <c r="AA19" i="16"/>
  <c r="I19" i="16"/>
  <c r="Z19" i="16" s="1"/>
  <c r="G19" i="16"/>
  <c r="Y19" i="16" s="1"/>
  <c r="H75" i="15" l="1"/>
  <c r="H77" i="15" s="1"/>
  <c r="Q40" i="16"/>
  <c r="R78" i="5"/>
  <c r="R77" i="5"/>
  <c r="R76" i="5"/>
  <c r="R75" i="5"/>
  <c r="R72" i="5"/>
  <c r="R71" i="5"/>
  <c r="O40" i="16" l="1"/>
  <c r="G46" i="15"/>
  <c r="T58" i="16"/>
  <c r="E8" i="15"/>
  <c r="N95"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FA-05</author>
  </authors>
  <commentList>
    <comment ref="L53" authorId="0" shapeId="0" xr:uid="{EC6EBBCE-BEFA-4F90-99FC-BDE8C51D6A44}">
      <text>
        <r>
          <rPr>
            <b/>
            <sz val="9"/>
            <color indexed="81"/>
            <rFont val="Tahoma"/>
            <charset val="1"/>
          </rPr>
          <t>FA-05:
Smooking room 1 saja</t>
        </r>
      </text>
    </comment>
  </commentList>
</comments>
</file>

<file path=xl/sharedStrings.xml><?xml version="1.0" encoding="utf-8"?>
<sst xmlns="http://schemas.openxmlformats.org/spreadsheetml/2006/main" count="519" uniqueCount="261">
  <si>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</si>
  <si>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</si>
  <si>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</si>
  <si>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</si>
  <si>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</si>
  <si>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</si>
  <si>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</si>
  <si>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</si>
  <si>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</si>
  <si>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</si>
  <si>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</si>
  <si>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</si>
  <si>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</si>
  <si>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</si>
  <si>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</si>
  <si>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</si>
  <si>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</si>
  <si>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</si>
  <si>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</si>
  <si>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</si>
  <si>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</si>
  <si>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</si>
  <si>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</si>
  <si>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</si>
  <si>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</si>
  <si>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</si>
  <si>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</si>
  <si>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</si>
  <si>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</si>
  <si>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</si>
  <si>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</si>
  <si>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</si>
  <si>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</si>
  <si>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</si>
  <si>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</si>
  <si>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</si>
  <si>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</si>
  <si>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</si>
  <si>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</si>
  <si>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</si>
  <si>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</si>
  <si>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</si>
  <si>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</si>
  <si>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</si>
  <si>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</si>
  <si>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</si>
  <si>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</si>
  <si>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</si>
  <si>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</si>
  <si>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</si>
  <si>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</si>
  <si>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</si>
  <si>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</si>
  <si>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</si>
  <si>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</si>
  <si>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</si>
  <si>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</si>
  <si>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</si>
  <si>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</si>
  <si>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</si>
  <si>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</si>
  <si>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</si>
  <si>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</si>
  <si>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</si>
  <si>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</si>
  <si>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</si>
  <si>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</si>
  <si>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</si>
  <si>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</si>
  <si>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</si>
  <si>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</si>
  <si>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</si>
  <si>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</si>
  <si>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</si>
  <si>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</si>
  <si>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</si>
  <si>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</si>
  <si>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</si>
  <si>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</si>
  <si>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</si>
  <si>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</si>
  <si>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</si>
  <si>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</si>
  <si>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</si>
  <si>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</si>
  <si>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</si>
  <si>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</si>
  <si>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</si>
  <si>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</si>
  <si>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</si>
  <si>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</si>
  <si>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</si>
  <si>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</si>
  <si>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</si>
  <si>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</si>
  <si>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</si>
  <si>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</si>
  <si>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</si>
  <si>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</si>
  <si>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</si>
  <si>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</si>
  <si>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</si>
  <si>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</si>
  <si>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</si>
  <si>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</si>
  <si>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</si>
  <si>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</si>
  <si>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</si>
  <si>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</si>
  <si>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</si>
  <si>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</si>
  <si>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</si>
  <si>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</si>
  <si>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</si>
  <si>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</si>
  <si>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</si>
  <si>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</si>
  <si>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</si>
  <si>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</si>
  <si>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</si>
  <si>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</si>
  <si>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</si>
  <si>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</si>
  <si>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</si>
  <si>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</si>
  <si>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</si>
  <si>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</si>
  <si>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</si>
  <si>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</si>
  <si>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</si>
  <si>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</si>
  <si>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</si>
  <si>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</si>
  <si>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</si>
  <si>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</si>
  <si>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</si>
  <si>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</si>
  <si>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</si>
  <si>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</si>
  <si>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</si>
  <si>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</si>
  <si>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</si>
  <si>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</si>
  <si>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</si>
  <si>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</si>
  <si>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</si>
  <si>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</si>
  <si>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</si>
  <si>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</si>
  <si>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</si>
  <si>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</si>
  <si>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</si>
  <si>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</si>
  <si>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</si>
  <si>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</si>
  <si>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</si>
  <si>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</si>
  <si>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</si>
  <si>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</si>
  <si>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</si>
  <si>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</si>
  <si>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</si>
  <si>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</si>
  <si>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</si>
  <si>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</si>
  <si>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</si>
  <si>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</si>
  <si>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</si>
  <si>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</si>
  <si>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</si>
  <si>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</si>
  <si>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</si>
  <si>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</si>
  <si>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</si>
  <si>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</si>
  <si>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</si>
  <si>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</si>
  <si>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</si>
  <si>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</si>
  <si>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</si>
  <si>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</si>
  <si>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</si>
  <si>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</si>
  <si>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</si>
  <si>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</si>
  <si>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</si>
  <si>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</si>
  <si>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</si>
  <si>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</si>
  <si>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</si>
  <si>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</si>
  <si>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</si>
  <si>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</si>
  <si>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</si>
  <si>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</si>
  <si>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</si>
  <si>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</si>
  <si>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</si>
  <si>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</si>
  <si>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</si>
  <si>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</si>
  <si>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</si>
  <si>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</si>
  <si>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</si>
  <si>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</si>
  <si>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</si>
  <si>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</si>
  <si>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</si>
  <si>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</si>
  <si>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</si>
  <si>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</si>
  <si>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</si>
  <si>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</si>
  <si>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</si>
  <si>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</si>
  <si>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</si>
  <si>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</si>
  <si>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BERANGKAT</t>
  </si>
  <si>
    <t>PULANG</t>
  </si>
  <si>
    <t>QTY</t>
  </si>
  <si>
    <t>di Hotel</t>
  </si>
  <si>
    <t>Yes</t>
  </si>
  <si>
    <t>2.2 MOBIL / LOCAL TRANSPORT</t>
  </si>
  <si>
    <t>di JAI</t>
  </si>
  <si>
    <t>di Rumah</t>
  </si>
  <si>
    <t>: BENCHMARK</t>
  </si>
  <si>
    <t>KERETA</t>
  </si>
  <si>
    <t>Deluxe</t>
  </si>
  <si>
    <t>NKA</t>
  </si>
  <si>
    <t>SCHEDULE</t>
  </si>
  <si>
    <t>UANG CADANGAN</t>
  </si>
  <si>
    <t>: SAI - JAI</t>
  </si>
  <si>
    <t>SAMI TF</t>
  </si>
  <si>
    <t>MIS</t>
  </si>
  <si>
    <t>FA</t>
  </si>
  <si>
    <t>GM</t>
  </si>
  <si>
    <t>CSPV</t>
  </si>
  <si>
    <t>ES</t>
  </si>
  <si>
    <t>AMALIA PUJI RAHAYUNINGSIH</t>
  </si>
  <si>
    <t>MAULVI BARUL MUHITH</t>
  </si>
  <si>
    <t>8381</t>
  </si>
  <si>
    <t>21229</t>
  </si>
  <si>
    <t>BAMBANG RIANTO</t>
  </si>
  <si>
    <t>AYU INDRASARI SAPUTRI</t>
  </si>
  <si>
    <t>Jl. Kahuripan Raya No.14, Entalsewu, Kec. Buduran, Kabupaten Sidoarjo, Jawa Timur 61252</t>
  </si>
  <si>
    <t>09.00 WIB</t>
  </si>
  <si>
    <t>X</t>
  </si>
  <si>
    <t>di SAI</t>
  </si>
  <si>
    <t>(INNOVA BRI)</t>
  </si>
  <si>
    <t xml:space="preserve">  </t>
  </si>
  <si>
    <r>
      <t xml:space="preserve">Aston Sidoarjo City Hotel and Conference Center
</t>
    </r>
    <r>
      <rPr>
        <sz val="12"/>
        <color rgb="FF0000CC"/>
        <rFont val="Calibri"/>
        <family val="2"/>
        <scheme val="minor"/>
      </rPr>
      <t>Jalan Kahuripan Raya Kav. 14 Sidoarjo, Kahuripan, Sidoarjo, 61252, Indonesia. 
CI/CO : 21 - 23 Aug (02 Malam)
Deluxe : IDR 670.000/room/night include breakfast
Executive : IDR 950.000/room/night include breakfast</t>
    </r>
  </si>
  <si>
    <t>Executive</t>
  </si>
  <si>
    <t>MBM</t>
  </si>
  <si>
    <t>APR</t>
  </si>
  <si>
    <t>Ayu Indrasari S.</t>
  </si>
  <si>
    <t>MRU</t>
  </si>
  <si>
    <t>1360004976962</t>
  </si>
  <si>
    <t>1420007122673</t>
  </si>
  <si>
    <t>1360018024973</t>
  </si>
  <si>
    <t>BY : CAR</t>
  </si>
  <si>
    <t>Car : BRI
Driver : Operational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</si>
</sst>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_);_(* \(#,##0\);_(* &quot;-&quot;_);_(@_)"/>
    <numFmt numFmtId="165" formatCode="_(* #,##0.00_);_(* \(#,##0.00\);_(* &quot;-&quot;??_);_(@_)"/>
    <numFmt numFmtId="166" formatCode="[$-13809]dd\ mmmm\ yyyy;@"/>
    <numFmt numFmtId="167" formatCode="_(* #,##0_);_(* \(#,##0\);_(* &quot;-&quot;??_);_(@_)"/>
    <numFmt numFmtId="168" formatCode="[$-F800]dddd\,\ mmmm\ dd\,\ yyyy"/>
    <numFmt numFmtId="169" formatCode="[$-13809]d\ mmm\ yyyy;@"/>
    <numFmt numFmtId="170" formatCode="[$-409]d\-mmm;@"/>
    <numFmt numFmtId="171" formatCode="_-[$Rp-421]* #,##0_-;\-[$Rp-421]* #,##0_-;_-[$Rp-421]* &quot;-&quot;??_-;_-@_-"/>
    <numFmt numFmtId="172" formatCode="[$-409]dd\-mmm\-yy;@"/>
    <numFmt numFmtId="173" formatCode="[$-409]d\-mmm\-yy;@"/>
    <numFmt numFmtId="174" formatCode="_-[$Rp-421]* #,##0_-;\-[$Rp-421]* #,##0_-;_-[$Rp-421]* &quot;-&quot;_-;_-@_-"/>
  </numFmts>
  <fonts count="69"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b/>
      <u/>
      <sz val="20"/>
      <color theme="1"/>
      <name val="Times New Roman"/>
      <family val="1"/>
    </font>
    <font>
      <sz val="14"/>
      <color rgb="FF0000CC"/>
      <name val="Times New Roman"/>
      <family val="1"/>
    </font>
    <font>
      <sz val="16"/>
      <color theme="1"/>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4"/>
      <name val="Times New Roman"/>
      <family val="1"/>
    </font>
    <font>
      <b/>
      <sz val="12"/>
      <color rgb="FF0000CC"/>
      <name val="Calibri"/>
      <family val="2"/>
      <scheme val="minor"/>
    </font>
    <font>
      <sz val="14"/>
      <name val="Calibri"/>
      <family val="2"/>
      <scheme val="minor"/>
    </font>
    <font>
      <b/>
      <sz val="9"/>
      <color indexed="81"/>
      <name val="Tahoma"/>
      <charset val="1"/>
    </font>
    <font>
      <b/>
      <sz val="16"/>
      <name val="Times New Roman"/>
      <family val="1"/>
    </font>
    <font>
      <b/>
      <sz val="20"/>
      <name val="Times New Roman"/>
      <family val="1"/>
    </font>
    <font>
      <sz val="14"/>
      <color rgb="FF0070C0"/>
      <name val="Times New Roman"/>
      <family val="1"/>
    </font>
    <font>
      <sz val="16"/>
      <color rgb="FF0070C0"/>
      <name val="Times New Roman"/>
      <family val="1"/>
    </font>
    <font>
      <b/>
      <sz val="14"/>
      <color rgb="FF0070C0"/>
      <name val="Times New Roman"/>
      <family val="1"/>
    </font>
    <font>
      <b/>
      <sz val="12"/>
      <color rgb="FF0070C0"/>
      <name val="Times New Roman"/>
      <family val="1"/>
    </font>
    <font>
      <b/>
      <sz val="16"/>
      <color rgb="FF0070C0"/>
      <name val="Times New Roman"/>
      <family val="1"/>
    </font>
    <font>
      <b/>
      <sz val="20"/>
      <color rgb="FF0070C0"/>
      <name val="Times New Roman"/>
      <family val="1"/>
    </font>
    <font>
      <sz val="10"/>
      <color rgb="FF0070C0"/>
      <name val="Times New Roman"/>
      <family val="1"/>
    </font>
    <font>
      <i/>
      <sz val="14"/>
      <color rgb="FF0070C0"/>
      <name val="Times New Roman"/>
      <family val="1"/>
    </font>
    <font>
      <sz val="12"/>
      <color rgb="FF0070C0"/>
      <name val="Times New Roman"/>
      <family val="1"/>
    </font>
  </fonts>
  <fills count="10">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thin">
        <color indexed="64"/>
      </top>
      <bottom style="double">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0" fontId="1" fillId="0" borderId="0"/>
  </cellStyleXfs>
  <cellXfs count="789">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vertical="center"/>
    </xf>
    <xf numFmtId="0" fontId="10" fillId="3" borderId="1" xfId="0" applyFont="1" applyFill="1" applyBorder="1" applyAlignment="1">
      <alignment horizontal="center"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5" fillId="0" borderId="13" xfId="0" applyFont="1" applyBorder="1" applyAlignment="1">
      <alignment horizontal="center" vertical="top"/>
    </xf>
    <xf numFmtId="0" fontId="4" fillId="0" borderId="6" xfId="0" applyFont="1" applyBorder="1" applyAlignment="1">
      <alignment horizontal="center" vertical="center"/>
    </xf>
    <xf numFmtId="0" fontId="10" fillId="2" borderId="1" xfId="0" applyFont="1" applyFill="1" applyBorder="1" applyAlignment="1">
      <alignment horizontal="center" vertical="top"/>
    </xf>
    <xf numFmtId="0" fontId="6" fillId="5" borderId="1" xfId="0" applyFont="1" applyFill="1" applyBorder="1" applyAlignment="1">
      <alignment horizontal="center" vertical="center" wrapText="1"/>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3" fillId="0" borderId="25" xfId="0" applyFont="1" applyBorder="1" applyAlignment="1">
      <alignment horizontal="left" vertical="center"/>
    </xf>
    <xf numFmtId="0" fontId="15" fillId="0" borderId="25" xfId="0" applyFont="1" applyBorder="1" applyAlignment="1">
      <alignment horizontal="left" vertical="top"/>
    </xf>
    <xf numFmtId="0" fontId="15" fillId="0" borderId="25" xfId="0" applyFont="1" applyBorder="1" applyAlignment="1">
      <alignment horizontal="center" vertical="top"/>
    </xf>
    <xf numFmtId="0" fontId="15" fillId="0" borderId="25" xfId="0" applyFont="1" applyBorder="1" applyAlignment="1">
      <alignment vertical="center"/>
    </xf>
    <xf numFmtId="0" fontId="12" fillId="0" borderId="13" xfId="0" applyFont="1" applyBorder="1" applyAlignment="1">
      <alignment vertical="center"/>
    </xf>
    <xf numFmtId="0" fontId="5" fillId="0" borderId="34" xfId="0" applyFont="1" applyBorder="1" applyAlignment="1">
      <alignment vertical="center"/>
    </xf>
    <xf numFmtId="0" fontId="5" fillId="0" borderId="29"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6" xfId="0" applyBorder="1" applyAlignment="1">
      <alignment vertical="center"/>
    </xf>
    <xf numFmtId="0" fontId="0" fillId="0" borderId="27"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15"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33"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4" xfId="0" applyFont="1" applyBorder="1" applyAlignment="1">
      <alignment vertical="center"/>
    </xf>
    <xf numFmtId="0" fontId="4" fillId="0" borderId="24"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6" xfId="0" applyFont="1" applyBorder="1" applyAlignment="1">
      <alignment vertical="center"/>
    </xf>
    <xf numFmtId="0" fontId="3" fillId="0" borderId="27" xfId="0" applyFont="1" applyBorder="1" applyAlignment="1">
      <alignment vertical="center"/>
    </xf>
    <xf numFmtId="0" fontId="3" fillId="0" borderId="28" xfId="0" applyFont="1" applyBorder="1" applyAlignment="1">
      <alignment vertical="center"/>
    </xf>
    <xf numFmtId="0" fontId="3" fillId="0" borderId="29" xfId="0" applyFont="1" applyBorder="1" applyAlignment="1">
      <alignment vertical="center"/>
    </xf>
    <xf numFmtId="0" fontId="3" fillId="0" borderId="15"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33" xfId="0" applyFont="1" applyBorder="1" applyAlignment="1">
      <alignment vertical="center"/>
    </xf>
    <xf numFmtId="0" fontId="9" fillId="0" borderId="0" xfId="0" applyFont="1" applyAlignment="1">
      <alignment horizontal="center" vertical="center"/>
    </xf>
    <xf numFmtId="172" fontId="0" fillId="0" borderId="1" xfId="0" applyNumberFormat="1" applyBorder="1" applyAlignment="1">
      <alignment horizontal="center" vertical="center"/>
    </xf>
    <xf numFmtId="0" fontId="0" fillId="0" borderId="6" xfId="0" applyBorder="1" applyAlignment="1">
      <alignment horizontal="center" vertical="center"/>
    </xf>
    <xf numFmtId="172"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0" xfId="0" applyFont="1" applyBorder="1" applyAlignment="1">
      <alignment vertical="center"/>
    </xf>
    <xf numFmtId="0" fontId="3" fillId="0" borderId="41" xfId="0" applyFont="1" applyBorder="1" applyAlignment="1">
      <alignment vertical="center"/>
    </xf>
    <xf numFmtId="0" fontId="0" fillId="0" borderId="5" xfId="0" applyBorder="1" applyAlignment="1">
      <alignment horizontal="center" vertical="center"/>
    </xf>
    <xf numFmtId="0" fontId="27" fillId="0" borderId="42" xfId="0" applyFont="1" applyBorder="1" applyAlignment="1">
      <alignment vertical="center"/>
    </xf>
    <xf numFmtId="0" fontId="0" fillId="0" borderId="24" xfId="0" applyBorder="1" applyAlignment="1">
      <alignment horizontal="center" vertical="center"/>
    </xf>
    <xf numFmtId="0" fontId="0" fillId="0" borderId="24" xfId="0" applyBorder="1" applyAlignment="1">
      <alignment vertical="center"/>
    </xf>
    <xf numFmtId="0" fontId="0" fillId="0" borderId="43" xfId="0" applyBorder="1" applyAlignment="1">
      <alignment vertical="center"/>
    </xf>
    <xf numFmtId="0" fontId="5" fillId="6" borderId="0" xfId="0" applyFont="1" applyFill="1" applyAlignment="1">
      <alignment horizontal="left" vertical="center"/>
    </xf>
    <xf numFmtId="0" fontId="23" fillId="0" borderId="0" xfId="0" applyFont="1" applyAlignment="1">
      <alignment vertical="center"/>
    </xf>
    <xf numFmtId="0" fontId="23" fillId="0" borderId="16" xfId="0" applyFont="1" applyBorder="1" applyAlignment="1">
      <alignment vertical="center"/>
    </xf>
    <xf numFmtId="171"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5" fillId="0" borderId="42" xfId="0" applyFont="1" applyBorder="1" applyAlignment="1">
      <alignment horizontal="left" vertical="center"/>
    </xf>
    <xf numFmtId="0" fontId="5" fillId="0" borderId="24"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2" fontId="1" fillId="0" borderId="6" xfId="3" applyNumberFormat="1" applyBorder="1" applyAlignment="1">
      <alignment horizontal="center" vertical="center"/>
    </xf>
    <xf numFmtId="172"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7" borderId="1" xfId="0" applyFont="1" applyFill="1" applyBorder="1" applyAlignment="1">
      <alignment horizontal="center" vertical="center"/>
    </xf>
    <xf numFmtId="0" fontId="5" fillId="0" borderId="16" xfId="0" applyFont="1" applyBorder="1" applyAlignment="1">
      <alignment horizontal="center" vertical="center"/>
    </xf>
    <xf numFmtId="0" fontId="23" fillId="0" borderId="0" xfId="0" applyFont="1" applyAlignment="1">
      <alignment horizontal="center" vertical="center"/>
    </xf>
    <xf numFmtId="171" fontId="5" fillId="0" borderId="0" xfId="0" applyNumberFormat="1" applyFont="1" applyAlignment="1">
      <alignment horizontal="center" vertical="center"/>
    </xf>
    <xf numFmtId="0" fontId="5" fillId="0" borderId="24" xfId="0" applyFont="1" applyBorder="1" applyAlignment="1">
      <alignment horizontal="center" vertical="center"/>
    </xf>
    <xf numFmtId="167" fontId="5" fillId="0" borderId="24" xfId="0" applyNumberFormat="1" applyFont="1" applyBorder="1" applyAlignment="1">
      <alignment horizontal="center" vertical="center"/>
    </xf>
    <xf numFmtId="0" fontId="23" fillId="0" borderId="24" xfId="0" applyFont="1" applyBorder="1" applyAlignment="1">
      <alignment vertical="center"/>
    </xf>
    <xf numFmtId="0" fontId="27" fillId="6" borderId="13" xfId="0" applyFont="1" applyFill="1" applyBorder="1" applyAlignment="1">
      <alignment horizontal="left" vertical="center"/>
    </xf>
    <xf numFmtId="0" fontId="5" fillId="7" borderId="4" xfId="0" applyFont="1" applyFill="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7" fontId="5" fillId="0" borderId="0" xfId="0" applyNumberFormat="1" applyFont="1" applyAlignment="1">
      <alignment vertical="center"/>
    </xf>
    <xf numFmtId="0" fontId="31"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4" fillId="0" borderId="13" xfId="0" applyFont="1" applyBorder="1" applyAlignment="1">
      <alignment horizontal="center" vertical="center"/>
    </xf>
    <xf numFmtId="0" fontId="0" fillId="0" borderId="0" xfId="0" applyAlignment="1">
      <alignment horizontal="center" vertical="center" wrapText="1"/>
    </xf>
    <xf numFmtId="167" fontId="4" fillId="0" borderId="0" xfId="1" applyNumberFormat="1" applyFont="1" applyBorder="1" applyAlignment="1">
      <alignment horizontal="center"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7" fontId="5" fillId="4" borderId="2" xfId="0" applyNumberFormat="1" applyFont="1" applyFill="1" applyBorder="1" applyAlignment="1">
      <alignment horizontal="center" vertical="center"/>
    </xf>
    <xf numFmtId="0" fontId="32" fillId="0" borderId="13" xfId="0" quotePrefix="1" applyFont="1" applyBorder="1" applyAlignment="1">
      <alignment horizontal="left" vertical="center"/>
    </xf>
    <xf numFmtId="166" fontId="24" fillId="0" borderId="10" xfId="0" applyNumberFormat="1" applyFont="1" applyBorder="1" applyAlignment="1">
      <alignment horizontal="center" vertical="center"/>
    </xf>
    <xf numFmtId="166"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166" fontId="24" fillId="0" borderId="3" xfId="0" applyNumberFormat="1" applyFont="1" applyBorder="1" applyAlignment="1">
      <alignment horizontal="center" vertical="center"/>
    </xf>
    <xf numFmtId="166" fontId="24" fillId="0" borderId="2"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70" fontId="3" fillId="0" borderId="2" xfId="0" applyNumberFormat="1" applyFont="1" applyBorder="1" applyAlignment="1">
      <alignment horizontal="left" vertical="center"/>
    </xf>
    <xf numFmtId="0" fontId="5" fillId="0" borderId="13" xfId="0" applyFont="1" applyBorder="1" applyAlignment="1">
      <alignment horizontal="center" vertical="center"/>
    </xf>
    <xf numFmtId="0" fontId="23" fillId="0" borderId="0" xfId="0" applyFont="1" applyAlignment="1">
      <alignment horizontal="center" vertical="center" wrapText="1"/>
    </xf>
    <xf numFmtId="0" fontId="30" fillId="0" borderId="13" xfId="0" applyFont="1" applyBorder="1"/>
    <xf numFmtId="0" fontId="34" fillId="3" borderId="3" xfId="0" applyFont="1" applyFill="1" applyBorder="1" applyAlignment="1">
      <alignment vertical="center"/>
    </xf>
    <xf numFmtId="0" fontId="34" fillId="3" borderId="2" xfId="0" applyFont="1" applyFill="1" applyBorder="1" applyAlignment="1">
      <alignment vertical="center"/>
    </xf>
    <xf numFmtId="0" fontId="34" fillId="3" borderId="4" xfId="0" applyFont="1" applyFill="1" applyBorder="1" applyAlignment="1">
      <alignment vertical="center"/>
    </xf>
    <xf numFmtId="0" fontId="34" fillId="3" borderId="1" xfId="0" applyFont="1" applyFill="1" applyBorder="1" applyAlignment="1">
      <alignment horizontal="center" vertical="center"/>
    </xf>
    <xf numFmtId="0" fontId="34"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7" fontId="30" fillId="2" borderId="1" xfId="1" applyNumberFormat="1" applyFont="1" applyFill="1" applyBorder="1" applyAlignment="1">
      <alignment horizontal="center" vertical="center"/>
    </xf>
    <xf numFmtId="167" fontId="30" fillId="2" borderId="3" xfId="1" applyNumberFormat="1" applyFont="1" applyFill="1" applyBorder="1" applyAlignment="1">
      <alignment horizontal="center" vertical="center"/>
    </xf>
    <xf numFmtId="171" fontId="35" fillId="0" borderId="0" xfId="0" applyNumberFormat="1" applyFont="1" applyAlignment="1">
      <alignment horizontal="center" vertical="center"/>
    </xf>
    <xf numFmtId="0" fontId="5" fillId="9" borderId="1" xfId="0" applyFont="1" applyFill="1" applyBorder="1" applyAlignment="1">
      <alignment horizontal="center" vertical="center"/>
    </xf>
    <xf numFmtId="0" fontId="23" fillId="0" borderId="0" xfId="0" applyFont="1" applyAlignment="1">
      <alignment horizontal="left" vertical="center"/>
    </xf>
    <xf numFmtId="167" fontId="23" fillId="0" borderId="13" xfId="1" applyNumberFormat="1" applyFont="1" applyFill="1" applyBorder="1" applyAlignment="1">
      <alignment vertical="center"/>
    </xf>
    <xf numFmtId="0" fontId="23" fillId="0" borderId="13" xfId="0" applyFont="1" applyBorder="1" applyAlignment="1">
      <alignment horizontal="center" vertical="center"/>
    </xf>
    <xf numFmtId="173" fontId="23" fillId="0" borderId="0" xfId="0" applyNumberFormat="1" applyFont="1" applyAlignment="1">
      <alignment horizontal="center" vertical="center"/>
    </xf>
    <xf numFmtId="167" fontId="23" fillId="0" borderId="0" xfId="1" applyNumberFormat="1" applyFont="1" applyBorder="1" applyAlignment="1">
      <alignment horizontal="center" vertical="center"/>
    </xf>
    <xf numFmtId="167" fontId="23" fillId="0" borderId="0" xfId="1" applyNumberFormat="1" applyFont="1" applyFill="1" applyBorder="1" applyAlignment="1">
      <alignment horizontal="center" vertical="center"/>
    </xf>
    <xf numFmtId="167"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7" fontId="5" fillId="0" borderId="0" xfId="1" applyNumberFormat="1" applyFont="1" applyFill="1" applyBorder="1" applyAlignment="1">
      <alignment vertical="center"/>
    </xf>
    <xf numFmtId="167" fontId="5" fillId="0" borderId="16" xfId="1" applyNumberFormat="1" applyFont="1" applyFill="1" applyBorder="1" applyAlignment="1">
      <alignment vertical="center"/>
    </xf>
    <xf numFmtId="167" fontId="36" fillId="0" borderId="1" xfId="1" applyNumberFormat="1" applyFont="1" applyBorder="1" applyAlignment="1">
      <alignment vertical="center"/>
    </xf>
    <xf numFmtId="167" fontId="36" fillId="0" borderId="3" xfId="1" applyNumberFormat="1" applyFont="1" applyBorder="1" applyAlignment="1">
      <alignment vertical="center"/>
    </xf>
    <xf numFmtId="167" fontId="37" fillId="0" borderId="4" xfId="0" applyNumberFormat="1" applyFont="1" applyBorder="1" applyAlignment="1">
      <alignment vertical="center"/>
    </xf>
    <xf numFmtId="0" fontId="36" fillId="0" borderId="1" xfId="0" applyFont="1" applyBorder="1" applyAlignment="1">
      <alignment horizontal="center" vertical="center"/>
    </xf>
    <xf numFmtId="167" fontId="37" fillId="0" borderId="39" xfId="0" applyNumberFormat="1" applyFont="1" applyBorder="1" applyAlignment="1">
      <alignment vertical="center"/>
    </xf>
    <xf numFmtId="167" fontId="37" fillId="0" borderId="6" xfId="1" applyNumberFormat="1" applyFont="1" applyBorder="1" applyAlignment="1">
      <alignment vertical="center"/>
    </xf>
    <xf numFmtId="167" fontId="36" fillId="0" borderId="1" xfId="1" applyNumberFormat="1" applyFont="1" applyFill="1" applyBorder="1" applyAlignment="1">
      <alignment horizontal="center" vertical="center"/>
    </xf>
    <xf numFmtId="167" fontId="4" fillId="0" borderId="0" xfId="1" applyNumberFormat="1" applyFont="1" applyFill="1" applyBorder="1" applyAlignment="1">
      <alignment vertical="center"/>
    </xf>
    <xf numFmtId="0" fontId="4" fillId="0" borderId="0" xfId="0" applyFont="1" applyAlignment="1">
      <alignment horizontal="left" vertical="center"/>
    </xf>
    <xf numFmtId="16" fontId="4" fillId="0" borderId="24" xfId="0" applyNumberFormat="1" applyFont="1" applyBorder="1" applyAlignment="1">
      <alignment horizontal="left" vertical="center"/>
    </xf>
    <xf numFmtId="16" fontId="23" fillId="0" borderId="43" xfId="0" applyNumberFormat="1" applyFont="1" applyBorder="1" applyAlignment="1">
      <alignment horizontal="left" vertical="center"/>
    </xf>
    <xf numFmtId="0" fontId="36" fillId="0" borderId="1" xfId="0" applyFont="1" applyBorder="1" applyAlignment="1">
      <alignment horizontal="center" vertical="center" wrapText="1"/>
    </xf>
    <xf numFmtId="0" fontId="5" fillId="0" borderId="38" xfId="0" applyFont="1" applyBorder="1" applyAlignment="1">
      <alignment vertical="center"/>
    </xf>
    <xf numFmtId="0" fontId="23" fillId="0" borderId="10" xfId="0" applyFont="1" applyBorder="1" applyAlignment="1">
      <alignment horizontal="center" vertical="center"/>
    </xf>
    <xf numFmtId="0" fontId="23" fillId="0" borderId="11" xfId="0" applyFont="1" applyBorder="1" applyAlignment="1">
      <alignment vertical="center"/>
    </xf>
    <xf numFmtId="167" fontId="36" fillId="0" borderId="11" xfId="1" applyNumberFormat="1" applyFont="1" applyBorder="1" applyAlignment="1">
      <alignment vertical="center"/>
    </xf>
    <xf numFmtId="167" fontId="36"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7" fontId="36" fillId="0" borderId="8" xfId="1" applyNumberFormat="1" applyFont="1" applyBorder="1" applyAlignment="1">
      <alignment vertical="center"/>
    </xf>
    <xf numFmtId="167" fontId="36" fillId="0" borderId="8" xfId="1" applyNumberFormat="1" applyFont="1" applyBorder="1" applyAlignment="1">
      <alignment horizontal="center" vertical="center"/>
    </xf>
    <xf numFmtId="167" fontId="37" fillId="0" borderId="3" xfId="0" applyNumberFormat="1" applyFont="1" applyBorder="1" applyAlignment="1">
      <alignment vertical="center"/>
    </xf>
    <xf numFmtId="0" fontId="38" fillId="0" borderId="13" xfId="0" applyFont="1" applyBorder="1"/>
    <xf numFmtId="0" fontId="38" fillId="0" borderId="0" xfId="0" applyFont="1"/>
    <xf numFmtId="0" fontId="38" fillId="0" borderId="8" xfId="0" applyFont="1" applyBorder="1"/>
    <xf numFmtId="0" fontId="39" fillId="0" borderId="0" xfId="0" applyFont="1" applyAlignment="1">
      <alignment vertical="center"/>
    </xf>
    <xf numFmtId="0" fontId="39" fillId="0" borderId="16" xfId="0" applyFont="1" applyBorder="1" applyAlignment="1">
      <alignment vertical="center"/>
    </xf>
    <xf numFmtId="0" fontId="40" fillId="0" borderId="13" xfId="0" applyFont="1" applyBorder="1"/>
    <xf numFmtId="0" fontId="40" fillId="0" borderId="14" xfId="0" applyFont="1" applyBorder="1"/>
    <xf numFmtId="0" fontId="41" fillId="0" borderId="0" xfId="0" applyFont="1" applyAlignment="1">
      <alignment vertical="center"/>
    </xf>
    <xf numFmtId="0" fontId="40" fillId="0" borderId="16" xfId="0" applyFont="1" applyBorder="1" applyAlignment="1">
      <alignment vertical="center"/>
    </xf>
    <xf numFmtId="0" fontId="40" fillId="0" borderId="0" xfId="0" applyFont="1" applyAlignment="1">
      <alignment vertical="center"/>
    </xf>
    <xf numFmtId="0" fontId="40" fillId="0" borderId="15" xfId="0" applyFont="1" applyBorder="1"/>
    <xf numFmtId="0" fontId="42" fillId="0" borderId="13" xfId="0" applyFont="1" applyBorder="1" applyAlignment="1">
      <alignment vertical="center"/>
    </xf>
    <xf numFmtId="0" fontId="42" fillId="0" borderId="0" xfId="0" applyFont="1" applyAlignment="1">
      <alignment horizontal="center" vertical="center"/>
    </xf>
    <xf numFmtId="0" fontId="42" fillId="0" borderId="0" xfId="0" applyFont="1" applyAlignment="1">
      <alignment vertical="center"/>
    </xf>
    <xf numFmtId="0" fontId="43" fillId="0" borderId="0" xfId="0" applyFont="1" applyAlignment="1">
      <alignment vertical="center"/>
    </xf>
    <xf numFmtId="0" fontId="42" fillId="0" borderId="16" xfId="0" applyFont="1" applyBorder="1" applyAlignment="1">
      <alignment vertical="center"/>
    </xf>
    <xf numFmtId="0" fontId="40" fillId="0" borderId="13" xfId="0" applyFont="1" applyBorder="1" applyAlignment="1">
      <alignment vertical="center"/>
    </xf>
    <xf numFmtId="0" fontId="43" fillId="0" borderId="0" xfId="0" applyFont="1" applyAlignment="1">
      <alignment horizontal="center" vertical="center"/>
    </xf>
    <xf numFmtId="0" fontId="43" fillId="0" borderId="16" xfId="0" applyFont="1" applyBorder="1" applyAlignment="1">
      <alignment vertical="center"/>
    </xf>
    <xf numFmtId="0" fontId="38" fillId="7" borderId="1" xfId="0" applyFont="1" applyFill="1" applyBorder="1" applyAlignment="1">
      <alignment horizontal="center" vertical="top"/>
    </xf>
    <xf numFmtId="0" fontId="39" fillId="0" borderId="0" xfId="0" applyFont="1" applyAlignment="1">
      <alignment vertical="center" wrapText="1"/>
    </xf>
    <xf numFmtId="0" fontId="44" fillId="0" borderId="0" xfId="0" applyFont="1" applyAlignment="1">
      <alignment horizontal="center" vertical="top"/>
    </xf>
    <xf numFmtId="0" fontId="46" fillId="0" borderId="0" xfId="0" applyFont="1" applyAlignment="1">
      <alignment vertical="center"/>
    </xf>
    <xf numFmtId="0" fontId="39" fillId="0" borderId="16" xfId="0" applyFont="1" applyBorder="1" applyAlignment="1">
      <alignment horizontal="center" vertical="center"/>
    </xf>
    <xf numFmtId="0" fontId="46" fillId="0" borderId="0" xfId="0" applyFont="1" applyAlignment="1">
      <alignment horizontal="left" vertical="center"/>
    </xf>
    <xf numFmtId="0" fontId="44" fillId="0" borderId="16" xfId="0" applyFont="1" applyBorder="1" applyAlignment="1">
      <alignment vertical="center"/>
    </xf>
    <xf numFmtId="0" fontId="49" fillId="0" borderId="0" xfId="0" applyFont="1" applyAlignment="1">
      <alignment horizontal="center" vertical="center"/>
    </xf>
    <xf numFmtId="0" fontId="38" fillId="0" borderId="16" xfId="0" applyFont="1" applyBorder="1" applyAlignment="1">
      <alignment vertical="center"/>
    </xf>
    <xf numFmtId="0" fontId="39" fillId="0" borderId="0" xfId="0" quotePrefix="1" applyFont="1" applyAlignment="1">
      <alignment vertical="center" wrapText="1"/>
    </xf>
    <xf numFmtId="0" fontId="50" fillId="0" borderId="16" xfId="0" applyFont="1" applyBorder="1" applyAlignment="1">
      <alignment horizontal="center" vertical="center"/>
    </xf>
    <xf numFmtId="0" fontId="43" fillId="0" borderId="13" xfId="0" applyFont="1" applyBorder="1" applyAlignment="1">
      <alignment vertical="center"/>
    </xf>
    <xf numFmtId="0" fontId="44" fillId="0" borderId="0" xfId="0" quotePrefix="1" applyFont="1" applyAlignment="1">
      <alignment vertical="center" wrapText="1"/>
    </xf>
    <xf numFmtId="0" fontId="50" fillId="0" borderId="0" xfId="0" applyFont="1" applyAlignment="1">
      <alignment horizontal="left" vertical="center"/>
    </xf>
    <xf numFmtId="0" fontId="50" fillId="0" borderId="16" xfId="0" applyFont="1" applyBorder="1" applyAlignment="1">
      <alignment horizontal="left" vertical="center"/>
    </xf>
    <xf numFmtId="0" fontId="43" fillId="0" borderId="19" xfId="0" applyFont="1" applyBorder="1" applyAlignment="1">
      <alignment vertical="center"/>
    </xf>
    <xf numFmtId="0" fontId="43" fillId="0" borderId="25" xfId="0" applyFont="1" applyBorder="1" applyAlignment="1">
      <alignment horizontal="center" vertical="center"/>
    </xf>
    <xf numFmtId="0" fontId="43" fillId="0" borderId="25" xfId="0" applyFont="1" applyBorder="1" applyAlignment="1">
      <alignment horizontal="left" vertical="center"/>
    </xf>
    <xf numFmtId="0" fontId="43" fillId="0" borderId="25" xfId="0" applyFont="1" applyBorder="1" applyAlignment="1">
      <alignment vertical="center"/>
    </xf>
    <xf numFmtId="16" fontId="50" fillId="0" borderId="25" xfId="0" applyNumberFormat="1" applyFont="1" applyBorder="1" applyAlignment="1">
      <alignment horizontal="left" vertical="center"/>
    </xf>
    <xf numFmtId="16" fontId="50" fillId="0" borderId="20" xfId="0" applyNumberFormat="1" applyFont="1" applyBorder="1" applyAlignment="1">
      <alignment horizontal="left" vertical="center"/>
    </xf>
    <xf numFmtId="0" fontId="40" fillId="0" borderId="29" xfId="0" applyFont="1" applyBorder="1"/>
    <xf numFmtId="0" fontId="5" fillId="0" borderId="11" xfId="0" applyFont="1" applyBorder="1" applyAlignment="1">
      <alignment horizontal="left" vertical="center"/>
    </xf>
    <xf numFmtId="0" fontId="53" fillId="0" borderId="0" xfId="0" applyFont="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0" fontId="23" fillId="0" borderId="6" xfId="0" applyFont="1" applyBorder="1" applyAlignment="1">
      <alignment horizontal="center" vertical="center"/>
    </xf>
    <xf numFmtId="167" fontId="36" fillId="0" borderId="18" xfId="1" applyNumberFormat="1" applyFont="1" applyBorder="1" applyAlignment="1">
      <alignment vertical="center"/>
    </xf>
    <xf numFmtId="167" fontId="36" fillId="0" borderId="19" xfId="1" applyNumberFormat="1" applyFont="1" applyBorder="1" applyAlignment="1">
      <alignment horizontal="center" vertical="center"/>
    </xf>
    <xf numFmtId="167" fontId="36" fillId="0" borderId="20" xfId="1" applyNumberFormat="1" applyFont="1" applyBorder="1" applyAlignment="1">
      <alignment horizontal="center" vertical="center"/>
    </xf>
    <xf numFmtId="0" fontId="5" fillId="7" borderId="5" xfId="0" applyFont="1" applyFill="1" applyBorder="1" applyAlignment="1">
      <alignment horizontal="center" vertical="center"/>
    </xf>
    <xf numFmtId="0" fontId="5" fillId="0" borderId="1" xfId="0" applyFont="1" applyBorder="1" applyAlignment="1">
      <alignment horizontal="center" vertical="center"/>
    </xf>
    <xf numFmtId="0" fontId="38" fillId="7" borderId="13" xfId="0" applyFont="1" applyFill="1" applyBorder="1" applyAlignment="1">
      <alignment vertical="top" wrapText="1"/>
    </xf>
    <xf numFmtId="0" fontId="38" fillId="7" borderId="16" xfId="0" applyFont="1" applyFill="1" applyBorder="1" applyAlignment="1">
      <alignment vertical="top" wrapText="1"/>
    </xf>
    <xf numFmtId="0" fontId="38" fillId="7" borderId="10" xfId="0" applyFont="1" applyFill="1" applyBorder="1" applyAlignment="1">
      <alignment vertical="top" wrapText="1"/>
    </xf>
    <xf numFmtId="0" fontId="38" fillId="7" borderId="11" xfId="0" applyFont="1" applyFill="1" applyBorder="1" applyAlignment="1">
      <alignment vertical="top" wrapText="1"/>
    </xf>
    <xf numFmtId="0" fontId="38" fillId="7" borderId="12" xfId="0" applyFont="1" applyFill="1" applyBorder="1" applyAlignment="1">
      <alignment vertical="top" wrapText="1"/>
    </xf>
    <xf numFmtId="167" fontId="36" fillId="0" borderId="1" xfId="1" applyNumberFormat="1" applyFont="1" applyBorder="1" applyAlignment="1">
      <alignment horizontal="center" vertical="center"/>
    </xf>
    <xf numFmtId="20" fontId="23" fillId="0" borderId="0" xfId="0" applyNumberFormat="1" applyFont="1" applyAlignment="1">
      <alignment vertical="center"/>
    </xf>
    <xf numFmtId="168" fontId="48" fillId="7" borderId="13" xfId="0" applyNumberFormat="1" applyFont="1" applyFill="1" applyBorder="1" applyAlignment="1">
      <alignment horizontal="right" vertical="top" wrapText="1"/>
    </xf>
    <xf numFmtId="168" fontId="48" fillId="7" borderId="16" xfId="0" applyNumberFormat="1" applyFont="1" applyFill="1" applyBorder="1" applyAlignment="1">
      <alignment horizontal="left" vertical="top" wrapText="1"/>
    </xf>
    <xf numFmtId="167" fontId="37" fillId="0" borderId="4" xfId="0" applyNumberFormat="1" applyFont="1" applyBorder="1" applyAlignment="1">
      <alignment horizontal="left" vertical="center"/>
    </xf>
    <xf numFmtId="167" fontId="5" fillId="0" borderId="0" xfId="0" applyNumberFormat="1" applyFont="1" applyAlignment="1">
      <alignment horizontal="left" vertical="center"/>
    </xf>
    <xf numFmtId="0" fontId="23" fillId="6" borderId="0" xfId="0" applyFont="1" applyFill="1" applyAlignment="1">
      <alignment horizontal="center" vertical="center"/>
    </xf>
    <xf numFmtId="0" fontId="38" fillId="7" borderId="0" xfId="0" applyFont="1" applyFill="1" applyAlignment="1">
      <alignment vertical="top" wrapText="1"/>
    </xf>
    <xf numFmtId="0" fontId="44" fillId="7" borderId="5" xfId="0" applyFont="1" applyFill="1" applyBorder="1" applyAlignment="1">
      <alignment horizontal="center" vertical="top" wrapText="1"/>
    </xf>
    <xf numFmtId="0" fontId="48" fillId="7" borderId="13" xfId="0" applyFont="1" applyFill="1" applyBorder="1" applyAlignment="1">
      <alignment vertical="top" wrapText="1"/>
    </xf>
    <xf numFmtId="0" fontId="48" fillId="7" borderId="0" xfId="0" applyFont="1" applyFill="1" applyAlignment="1">
      <alignment vertical="top" wrapText="1"/>
    </xf>
    <xf numFmtId="0" fontId="48" fillId="7" borderId="16" xfId="0" applyFont="1" applyFill="1" applyBorder="1" applyAlignment="1">
      <alignment vertical="top" wrapText="1"/>
    </xf>
    <xf numFmtId="0" fontId="48" fillId="7" borderId="10" xfId="0" applyFont="1" applyFill="1" applyBorder="1" applyAlignment="1">
      <alignment vertical="top" wrapText="1"/>
    </xf>
    <xf numFmtId="0" fontId="48" fillId="7" borderId="11" xfId="0" applyFont="1" applyFill="1" applyBorder="1" applyAlignment="1">
      <alignment vertical="top" wrapText="1"/>
    </xf>
    <xf numFmtId="0" fontId="48" fillId="7" borderId="12" xfId="0" applyFont="1" applyFill="1" applyBorder="1" applyAlignment="1">
      <alignment vertical="top" wrapText="1"/>
    </xf>
    <xf numFmtId="0" fontId="38" fillId="7" borderId="13" xfId="0" applyFont="1" applyFill="1" applyBorder="1" applyAlignment="1">
      <alignment horizontal="center" vertical="top" wrapText="1"/>
    </xf>
    <xf numFmtId="0" fontId="38" fillId="7" borderId="16" xfId="0" applyFont="1" applyFill="1" applyBorder="1" applyAlignment="1">
      <alignment horizontal="center" vertical="top" wrapText="1"/>
    </xf>
    <xf numFmtId="0" fontId="38" fillId="7" borderId="0" xfId="0" applyFont="1" applyFill="1" applyAlignment="1">
      <alignment horizontal="center" vertical="top" wrapText="1"/>
    </xf>
    <xf numFmtId="0" fontId="39" fillId="7" borderId="13" xfId="0" applyFont="1" applyFill="1" applyBorder="1" applyAlignment="1">
      <alignment vertical="top" wrapText="1"/>
    </xf>
    <xf numFmtId="0" fontId="39" fillId="7" borderId="16" xfId="0" applyFont="1" applyFill="1" applyBorder="1" applyAlignment="1">
      <alignment vertical="top" wrapText="1"/>
    </xf>
    <xf numFmtId="0" fontId="39" fillId="7" borderId="10" xfId="0" applyFont="1" applyFill="1" applyBorder="1" applyAlignment="1">
      <alignment vertical="top" wrapText="1"/>
    </xf>
    <xf numFmtId="0" fontId="39" fillId="7" borderId="12" xfId="0" applyFont="1" applyFill="1" applyBorder="1" applyAlignment="1">
      <alignment vertical="top" wrapText="1"/>
    </xf>
    <xf numFmtId="0" fontId="6" fillId="5" borderId="23"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6" fillId="5" borderId="23" xfId="0" applyFont="1" applyFill="1" applyBorder="1" applyAlignment="1">
      <alignment horizontal="center" vertical="center"/>
    </xf>
    <xf numFmtId="20" fontId="4" fillId="0" borderId="1" xfId="0" applyNumberFormat="1" applyFont="1" applyBorder="1" applyAlignment="1">
      <alignment horizontal="center" vertical="center"/>
    </xf>
    <xf numFmtId="20" fontId="4" fillId="0" borderId="3" xfId="0" applyNumberFormat="1" applyFont="1" applyBorder="1" applyAlignment="1">
      <alignment horizontal="center" vertical="center"/>
    </xf>
    <xf numFmtId="0" fontId="36" fillId="0" borderId="3" xfId="0" applyFont="1" applyBorder="1" applyAlignment="1">
      <alignment vertical="center"/>
    </xf>
    <xf numFmtId="0" fontId="36" fillId="0" borderId="2" xfId="0" applyFont="1" applyBorder="1" applyAlignment="1">
      <alignment vertical="center"/>
    </xf>
    <xf numFmtId="0" fontId="36" fillId="0" borderId="4" xfId="0" applyFont="1" applyBorder="1" applyAlignment="1">
      <alignment vertical="center"/>
    </xf>
    <xf numFmtId="0" fontId="36" fillId="0" borderId="21" xfId="0" applyFont="1" applyBorder="1" applyAlignment="1">
      <alignment vertical="center"/>
    </xf>
    <xf numFmtId="0" fontId="36" fillId="0" borderId="44" xfId="0" applyFont="1" applyBorder="1" applyAlignment="1">
      <alignment vertical="center"/>
    </xf>
    <xf numFmtId="0" fontId="36" fillId="0" borderId="22" xfId="0" applyFont="1" applyBorder="1" applyAlignment="1">
      <alignment vertical="center"/>
    </xf>
    <xf numFmtId="167" fontId="56" fillId="0" borderId="3" xfId="1" applyNumberFormat="1" applyFont="1" applyBorder="1" applyAlignment="1">
      <alignment horizontal="center" vertical="center"/>
    </xf>
    <xf numFmtId="167" fontId="56" fillId="0" borderId="4" xfId="1" applyNumberFormat="1" applyFont="1" applyBorder="1" applyAlignment="1">
      <alignment horizontal="center" vertical="center"/>
    </xf>
    <xf numFmtId="167" fontId="56" fillId="0" borderId="1" xfId="1" applyNumberFormat="1" applyFont="1" applyBorder="1" applyAlignment="1">
      <alignment vertical="center"/>
    </xf>
    <xf numFmtId="167" fontId="56" fillId="0" borderId="3" xfId="1" applyNumberFormat="1" applyFont="1" applyBorder="1" applyAlignment="1">
      <alignment vertical="center"/>
    </xf>
    <xf numFmtId="167" fontId="56" fillId="0" borderId="1" xfId="1" applyNumberFormat="1" applyFont="1" applyFill="1" applyBorder="1" applyAlignment="1">
      <alignment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7" borderId="1" xfId="0" applyFont="1" applyFill="1" applyBorder="1" applyAlignment="1">
      <alignment horizontal="center" vertical="center"/>
    </xf>
    <xf numFmtId="0" fontId="44" fillId="7" borderId="1" xfId="0" applyFont="1" applyFill="1" applyBorder="1" applyAlignment="1">
      <alignment horizontal="center" vertical="top" wrapText="1"/>
    </xf>
    <xf numFmtId="0" fontId="38" fillId="7" borderId="1" xfId="0" applyFont="1" applyFill="1" applyBorder="1" applyAlignment="1">
      <alignment horizontal="center" vertical="top" wrapText="1"/>
    </xf>
    <xf numFmtId="0" fontId="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24" fillId="0" borderId="3" xfId="0" quotePrefix="1"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8" fillId="0" borderId="1" xfId="0" applyFont="1" applyBorder="1" applyAlignment="1">
      <alignment horizontal="center" vertical="center"/>
    </xf>
    <xf numFmtId="0" fontId="10" fillId="2" borderId="1" xfId="0" applyFont="1" applyFill="1" applyBorder="1" applyAlignment="1">
      <alignment horizontal="center" vertical="top"/>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0" xfId="0" applyFont="1" applyFill="1" applyBorder="1" applyAlignment="1">
      <alignment horizontal="center" vertical="center"/>
    </xf>
    <xf numFmtId="0" fontId="6" fillId="5" borderId="17" xfId="0" applyFont="1" applyFill="1" applyBorder="1" applyAlignment="1">
      <alignment horizontal="center" vertical="center"/>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10" fillId="2" borderId="1" xfId="0" applyFont="1" applyFill="1" applyBorder="1" applyAlignment="1">
      <alignment horizontal="left" vertical="top"/>
    </xf>
    <xf numFmtId="166" fontId="24" fillId="0" borderId="1" xfId="0" applyNumberFormat="1" applyFont="1" applyBorder="1" applyAlignment="1">
      <alignment horizontal="center" vertical="center"/>
    </xf>
    <xf numFmtId="0" fontId="22" fillId="3" borderId="1" xfId="0" applyFont="1" applyFill="1" applyBorder="1" applyAlignment="1">
      <alignment horizontal="center" vertical="center"/>
    </xf>
    <xf numFmtId="0" fontId="22" fillId="3" borderId="36" xfId="0" applyFont="1" applyFill="1" applyBorder="1" applyAlignment="1">
      <alignment horizontal="center" vertical="center"/>
    </xf>
    <xf numFmtId="0" fontId="22" fillId="3" borderId="35" xfId="0" applyFont="1" applyFill="1" applyBorder="1" applyAlignment="1">
      <alignment horizontal="center" vertical="center"/>
    </xf>
    <xf numFmtId="0" fontId="22" fillId="3" borderId="37" xfId="0" applyFont="1" applyFill="1" applyBorder="1" applyAlignment="1">
      <alignment horizontal="center" vertical="center"/>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33" fillId="0" borderId="6" xfId="0" applyFont="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4" fillId="0" borderId="3" xfId="0" applyFont="1" applyBorder="1" applyAlignment="1">
      <alignment horizontal="center" vertical="center"/>
    </xf>
    <xf numFmtId="0" fontId="24" fillId="0" borderId="1" xfId="0" applyFont="1" applyBorder="1" applyAlignment="1">
      <alignment horizontal="center" vertical="center"/>
    </xf>
    <xf numFmtId="166" fontId="24" fillId="4" borderId="1" xfId="0" applyNumberFormat="1" applyFont="1" applyFill="1" applyBorder="1" applyAlignment="1">
      <alignment horizontal="center" vertical="center"/>
    </xf>
    <xf numFmtId="0" fontId="10" fillId="3" borderId="1" xfId="0" applyFont="1" applyFill="1" applyBorder="1" applyAlignment="1">
      <alignment horizontal="center" vertical="center"/>
    </xf>
    <xf numFmtId="0" fontId="17" fillId="2" borderId="1" xfId="0" applyFont="1" applyFill="1" applyBorder="1" applyAlignment="1">
      <alignment horizontal="left" vertical="center"/>
    </xf>
    <xf numFmtId="0" fontId="17" fillId="2" borderId="1" xfId="0" applyFont="1" applyFill="1" applyBorder="1" applyAlignment="1">
      <alignment horizontal="left" vertical="top"/>
    </xf>
    <xf numFmtId="0" fontId="24" fillId="0" borderId="6" xfId="0" applyFont="1" applyBorder="1" applyAlignment="1">
      <alignment horizontal="left" vertical="center"/>
    </xf>
    <xf numFmtId="0" fontId="10" fillId="3" borderId="1" xfId="0" applyFont="1" applyFill="1" applyBorder="1" applyAlignment="1">
      <alignment horizontal="center" vertical="top"/>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7" fillId="5" borderId="1" xfId="0" applyFont="1" applyFill="1" applyBorder="1" applyAlignment="1">
      <alignment horizontal="center" vertical="center"/>
    </xf>
    <xf numFmtId="0" fontId="24" fillId="0" borderId="6" xfId="0" applyFont="1" applyBorder="1" applyAlignment="1">
      <alignment vertical="center" wrapText="1"/>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 fillId="0" borderId="36" xfId="0" applyFont="1" applyBorder="1" applyAlignment="1">
      <alignment horizontal="left" vertical="center"/>
    </xf>
    <xf numFmtId="0" fontId="5" fillId="0" borderId="35"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16" fontId="3" fillId="0" borderId="3" xfId="0" applyNumberFormat="1"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10" fillId="3" borderId="2" xfId="0" applyFont="1" applyFill="1" applyBorder="1" applyAlignment="1">
      <alignment horizontal="center" vertical="center"/>
    </xf>
    <xf numFmtId="0" fontId="3" fillId="0" borderId="5" xfId="0" applyFont="1" applyBorder="1" applyAlignment="1">
      <alignment horizontal="center" vertical="top"/>
    </xf>
    <xf numFmtId="0" fontId="3" fillId="0" borderId="23" xfId="0" applyFont="1" applyBorder="1" applyAlignment="1">
      <alignment horizontal="center" vertical="top"/>
    </xf>
    <xf numFmtId="0" fontId="3" fillId="0" borderId="6" xfId="0" applyFont="1" applyBorder="1" applyAlignment="1">
      <alignment horizontal="center" vertical="top"/>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9" fillId="0" borderId="2" xfId="0" applyFont="1" applyBorder="1" applyAlignment="1">
      <alignment horizontal="center" vertical="center"/>
    </xf>
    <xf numFmtId="0" fontId="3" fillId="0" borderId="2" xfId="0" applyFont="1" applyBorder="1" applyAlignment="1">
      <alignment horizontal="center" vertical="center"/>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6" fillId="2" borderId="1" xfId="0" applyFont="1" applyFill="1" applyBorder="1" applyAlignment="1">
      <alignment horizontal="center" vertical="top"/>
    </xf>
    <xf numFmtId="0" fontId="16" fillId="2" borderId="1" xfId="0" applyFont="1" applyFill="1" applyBorder="1" applyAlignment="1">
      <alignment horizontal="center" vertical="top" wrapText="1"/>
    </xf>
    <xf numFmtId="0" fontId="4" fillId="0" borderId="4" xfId="0" applyFont="1" applyBorder="1" applyAlignment="1">
      <alignment horizontal="center" vertical="center"/>
    </xf>
    <xf numFmtId="20" fontId="4" fillId="0" borderId="3" xfId="0" applyNumberFormat="1" applyFont="1" applyBorder="1" applyAlignment="1">
      <alignment horizontal="center" vertical="center"/>
    </xf>
    <xf numFmtId="20" fontId="4" fillId="0" borderId="4" xfId="0" applyNumberFormat="1" applyFont="1" applyBorder="1" applyAlignment="1">
      <alignment horizontal="center" vertical="center"/>
    </xf>
    <xf numFmtId="0" fontId="6" fillId="5" borderId="3" xfId="0" applyFont="1" applyFill="1" applyBorder="1" applyAlignment="1">
      <alignment horizontal="center" vertical="center" wrapText="1"/>
    </xf>
    <xf numFmtId="0" fontId="6" fillId="5" borderId="2" xfId="0" applyFont="1" applyFill="1" applyBorder="1" applyAlignment="1">
      <alignment horizontal="center" vertical="center" wrapText="1"/>
    </xf>
    <xf numFmtId="172" fontId="4" fillId="0" borderId="3" xfId="0" applyNumberFormat="1" applyFont="1" applyBorder="1" applyAlignment="1">
      <alignment horizontal="center" vertical="center"/>
    </xf>
    <xf numFmtId="172" fontId="4" fillId="0" borderId="4" xfId="0" applyNumberFormat="1" applyFont="1" applyBorder="1" applyAlignment="1">
      <alignment horizontal="center" vertical="center"/>
    </xf>
    <xf numFmtId="0" fontId="6" fillId="5" borderId="4" xfId="0" applyFont="1" applyFill="1" applyBorder="1" applyAlignment="1">
      <alignment horizontal="center" vertical="center" wrapText="1"/>
    </xf>
    <xf numFmtId="20" fontId="24" fillId="0" borderId="10" xfId="0" applyNumberFormat="1" applyFont="1" applyBorder="1" applyAlignment="1">
      <alignment horizontal="center" vertical="center"/>
    </xf>
    <xf numFmtId="20" fontId="24" fillId="0" borderId="12" xfId="0" applyNumberFormat="1" applyFont="1" applyBorder="1" applyAlignment="1">
      <alignment horizontal="center" vertical="center"/>
    </xf>
    <xf numFmtId="0" fontId="6" fillId="5" borderId="5"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4" fillId="0" borderId="45" xfId="0" applyFont="1" applyBorder="1" applyAlignment="1">
      <alignment horizontal="center" vertical="center"/>
    </xf>
    <xf numFmtId="0" fontId="10" fillId="2" borderId="1" xfId="0" applyFont="1" applyFill="1" applyBorder="1" applyAlignment="1">
      <alignment horizontal="left" vertical="top" wrapText="1"/>
    </xf>
    <xf numFmtId="0" fontId="24" fillId="0" borderId="10" xfId="0" applyFont="1" applyBorder="1" applyAlignment="1">
      <alignment horizontal="center" vertical="center"/>
    </xf>
    <xf numFmtId="0" fontId="24" fillId="0" borderId="12" xfId="0" applyFont="1" applyBorder="1" applyAlignment="1">
      <alignment horizontal="center" vertical="center"/>
    </xf>
    <xf numFmtId="0" fontId="6" fillId="0" borderId="0" xfId="0" applyFont="1" applyAlignment="1">
      <alignment horizontal="center" vertical="top"/>
    </xf>
    <xf numFmtId="166" fontId="4" fillId="0" borderId="3" xfId="0" applyNumberFormat="1" applyFont="1" applyBorder="1" applyAlignment="1">
      <alignment horizontal="center" vertical="center"/>
    </xf>
    <xf numFmtId="166" fontId="4" fillId="0" borderId="4" xfId="0" applyNumberFormat="1" applyFont="1" applyBorder="1" applyAlignment="1">
      <alignment horizontal="center" vertical="center"/>
    </xf>
    <xf numFmtId="0" fontId="24" fillId="0" borderId="6" xfId="0" applyFont="1" applyBorder="1" applyAlignment="1">
      <alignment horizontal="center" vertical="center"/>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0" fontId="6" fillId="5" borderId="49" xfId="0" applyFont="1" applyFill="1" applyBorder="1" applyAlignment="1">
      <alignment horizontal="center" vertical="center"/>
    </xf>
    <xf numFmtId="0" fontId="6" fillId="5" borderId="7"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23"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36" xfId="0" applyFont="1" applyFill="1" applyBorder="1" applyAlignment="1">
      <alignment horizontal="center" vertical="center"/>
    </xf>
    <xf numFmtId="0" fontId="6" fillId="5" borderId="37" xfId="0" applyFont="1" applyFill="1" applyBorder="1" applyAlignment="1">
      <alignment horizontal="center" vertical="center"/>
    </xf>
    <xf numFmtId="0" fontId="6" fillId="5" borderId="8" xfId="0" applyFont="1" applyFill="1" applyBorder="1" applyAlignment="1">
      <alignment horizontal="center" vertical="center" wrapText="1"/>
    </xf>
    <xf numFmtId="0" fontId="5" fillId="7" borderId="1" xfId="0" applyFont="1" applyFill="1" applyBorder="1" applyAlignment="1">
      <alignment horizontal="center" vertical="center"/>
    </xf>
    <xf numFmtId="168" fontId="23" fillId="0" borderId="1" xfId="0" applyNumberFormat="1" applyFont="1" applyBorder="1" applyAlignment="1">
      <alignment horizontal="left" vertical="center"/>
    </xf>
    <xf numFmtId="0" fontId="5" fillId="0" borderId="6" xfId="0" applyFont="1" applyBorder="1" applyAlignment="1">
      <alignment horizontal="center" vertical="center"/>
    </xf>
    <xf numFmtId="167" fontId="36" fillId="0" borderId="3" xfId="0" applyNumberFormat="1" applyFont="1" applyBorder="1" applyAlignment="1">
      <alignment horizontal="center" vertical="center"/>
    </xf>
    <xf numFmtId="167" fontId="36" fillId="0" borderId="2" xfId="0" applyNumberFormat="1" applyFont="1" applyBorder="1" applyAlignment="1">
      <alignment horizontal="center" vertical="center"/>
    </xf>
    <xf numFmtId="167" fontId="36" fillId="0" borderId="4" xfId="0" applyNumberFormat="1" applyFont="1" applyBorder="1" applyAlignment="1">
      <alignment horizontal="center" vertical="center"/>
    </xf>
    <xf numFmtId="167" fontId="5" fillId="0" borderId="5" xfId="0" applyNumberFormat="1" applyFont="1" applyBorder="1" applyAlignment="1">
      <alignment horizontal="center" vertical="center"/>
    </xf>
    <xf numFmtId="167" fontId="5" fillId="0" borderId="6" xfId="0" applyNumberFormat="1" applyFont="1" applyBorder="1" applyAlignment="1">
      <alignment horizontal="center" vertical="center"/>
    </xf>
    <xf numFmtId="0" fontId="5" fillId="0" borderId="38" xfId="0" applyFont="1" applyBorder="1" applyAlignment="1">
      <alignment horizontal="left" vertical="center"/>
    </xf>
    <xf numFmtId="0" fontId="5" fillId="0" borderId="45" xfId="0" applyFont="1" applyBorder="1" applyAlignment="1">
      <alignment horizontal="left" vertical="center"/>
    </xf>
    <xf numFmtId="0" fontId="5" fillId="0" borderId="39" xfId="0" applyFont="1" applyBorder="1" applyAlignment="1">
      <alignment horizontal="left" vertical="center"/>
    </xf>
    <xf numFmtId="0" fontId="5" fillId="9" borderId="3"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4" xfId="0" applyFont="1" applyFill="1" applyBorder="1" applyAlignment="1">
      <alignment horizontal="center" vertical="center"/>
    </xf>
    <xf numFmtId="167" fontId="37" fillId="0" borderId="4" xfId="0" applyNumberFormat="1" applyFont="1" applyBorder="1" applyAlignment="1">
      <alignment horizontal="left" vertical="center"/>
    </xf>
    <xf numFmtId="0" fontId="23" fillId="0" borderId="19" xfId="0" applyFont="1" applyBorder="1" applyAlignment="1">
      <alignment vertical="center"/>
    </xf>
    <xf numFmtId="0" fontId="23" fillId="0" borderId="25" xfId="0" applyFont="1" applyBorder="1" applyAlignment="1">
      <alignment vertical="center"/>
    </xf>
    <xf numFmtId="0" fontId="23" fillId="0" borderId="20" xfId="0" applyFont="1" applyBorder="1" applyAlignment="1">
      <alignmen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23" fillId="0" borderId="1" xfId="0" applyFont="1" applyBorder="1" applyAlignment="1">
      <alignment vertical="center"/>
    </xf>
    <xf numFmtId="167" fontId="56" fillId="0" borderId="3" xfId="1" applyNumberFormat="1" applyFont="1" applyBorder="1" applyAlignment="1">
      <alignment horizontal="center" vertical="center"/>
    </xf>
    <xf numFmtId="167" fontId="56" fillId="0" borderId="4" xfId="1" applyNumberFormat="1" applyFont="1" applyBorder="1" applyAlignment="1">
      <alignment horizontal="center" vertical="center"/>
    </xf>
    <xf numFmtId="0" fontId="5" fillId="0" borderId="38" xfId="0" applyFont="1" applyBorder="1" applyAlignment="1">
      <alignment horizontal="center" vertical="center"/>
    </xf>
    <xf numFmtId="0" fontId="5" fillId="0" borderId="45" xfId="0" applyFont="1" applyBorder="1" applyAlignment="1">
      <alignment horizontal="center" vertical="center"/>
    </xf>
    <xf numFmtId="0" fontId="5" fillId="0" borderId="39" xfId="0" applyFont="1" applyBorder="1" applyAlignment="1">
      <alignment horizontal="center" vertical="center"/>
    </xf>
    <xf numFmtId="0" fontId="27" fillId="4" borderId="46" xfId="0" applyFont="1" applyFill="1" applyBorder="1" applyAlignment="1">
      <alignment horizontal="left" vertical="center" wrapText="1"/>
    </xf>
    <xf numFmtId="0" fontId="27" fillId="4" borderId="47" xfId="0" applyFont="1" applyFill="1" applyBorder="1" applyAlignment="1">
      <alignment horizontal="left" vertical="center" wrapText="1"/>
    </xf>
    <xf numFmtId="0" fontId="27" fillId="4" borderId="48"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67" fontId="23" fillId="0" borderId="5" xfId="0" applyNumberFormat="1" applyFont="1" applyBorder="1" applyAlignment="1">
      <alignment horizontal="center" vertical="center"/>
    </xf>
    <xf numFmtId="167" fontId="23" fillId="0" borderId="6" xfId="0" applyNumberFormat="1" applyFont="1" applyBorder="1" applyAlignment="1">
      <alignment horizontal="center" vertical="center"/>
    </xf>
    <xf numFmtId="0" fontId="27" fillId="4" borderId="46" xfId="0" applyFont="1" applyFill="1" applyBorder="1" applyAlignment="1">
      <alignment horizontal="left" vertical="center"/>
    </xf>
    <xf numFmtId="0" fontId="27" fillId="4" borderId="47"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1" fontId="36" fillId="0" borderId="1" xfId="0" applyNumberFormat="1" applyFont="1" applyBorder="1" applyAlignment="1">
      <alignment horizontal="left" vertical="center"/>
    </xf>
    <xf numFmtId="167" fontId="36" fillId="0" borderId="5" xfId="1" applyNumberFormat="1" applyFont="1" applyFill="1" applyBorder="1" applyAlignment="1">
      <alignment horizontal="center" vertical="center"/>
    </xf>
    <xf numFmtId="167" fontId="36" fillId="0" borderId="6" xfId="1" applyNumberFormat="1" applyFont="1" applyFill="1" applyBorder="1" applyAlignment="1">
      <alignment horizontal="center"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173" fontId="6" fillId="9" borderId="7" xfId="0" applyNumberFormat="1" applyFont="1" applyFill="1" applyBorder="1" applyAlignment="1">
      <alignment horizontal="center" vertical="center"/>
    </xf>
    <xf numFmtId="173" fontId="6" fillId="9" borderId="9" xfId="0" applyNumberFormat="1" applyFont="1" applyFill="1" applyBorder="1" applyAlignment="1">
      <alignment horizontal="center" vertical="center"/>
    </xf>
    <xf numFmtId="173" fontId="6" fillId="9" borderId="10" xfId="0" applyNumberFormat="1" applyFont="1" applyFill="1" applyBorder="1" applyAlignment="1">
      <alignment horizontal="center" vertical="center"/>
    </xf>
    <xf numFmtId="173" fontId="6" fillId="9" borderId="12" xfId="0" applyNumberFormat="1" applyFont="1" applyFill="1" applyBorder="1" applyAlignment="1">
      <alignment horizontal="center" vertical="center"/>
    </xf>
    <xf numFmtId="173" fontId="6" fillId="9" borderId="5" xfId="0" applyNumberFormat="1" applyFont="1" applyFill="1" applyBorder="1" applyAlignment="1">
      <alignment horizontal="center" vertical="center"/>
    </xf>
    <xf numFmtId="173" fontId="6" fillId="9" borderId="6" xfId="0" applyNumberFormat="1" applyFont="1" applyFill="1" applyBorder="1" applyAlignment="1">
      <alignment horizontal="center"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5" fillId="7" borderId="7" xfId="0" applyFont="1" applyFill="1" applyBorder="1" applyAlignment="1">
      <alignment horizontal="center" vertical="top"/>
    </xf>
    <xf numFmtId="0" fontId="5" fillId="7" borderId="8"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0" xfId="0" applyFont="1" applyFill="1" applyBorder="1" applyAlignment="1">
      <alignment horizontal="center" vertical="top"/>
    </xf>
    <xf numFmtId="0" fontId="6" fillId="9" borderId="7" xfId="0" applyFont="1" applyFill="1" applyBorder="1" applyAlignment="1">
      <alignment horizontal="center" vertical="center" wrapText="1"/>
    </xf>
    <xf numFmtId="0" fontId="6" fillId="9" borderId="10" xfId="0" applyFont="1" applyFill="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5"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167" fontId="36" fillId="0" borderId="21" xfId="1" applyNumberFormat="1" applyFont="1" applyBorder="1" applyAlignment="1">
      <alignment horizontal="center" vertical="center"/>
    </xf>
    <xf numFmtId="167" fontId="36" fillId="0" borderId="22" xfId="1" applyNumberFormat="1" applyFont="1" applyBorder="1" applyAlignment="1">
      <alignment horizontal="center" vertical="center"/>
    </xf>
    <xf numFmtId="0" fontId="36" fillId="0" borderId="5" xfId="0" applyFont="1" applyBorder="1" applyAlignment="1">
      <alignment horizontal="center" vertical="center"/>
    </xf>
    <xf numFmtId="0" fontId="36" fillId="0" borderId="6" xfId="0" applyFont="1" applyBorder="1" applyAlignment="1">
      <alignment horizontal="center" vertical="center"/>
    </xf>
    <xf numFmtId="0" fontId="6" fillId="9" borderId="1" xfId="0" applyFont="1" applyFill="1" applyBorder="1" applyAlignment="1">
      <alignment horizontal="center" vertical="center" wrapTex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38" fillId="7" borderId="7" xfId="0" applyFont="1" applyFill="1" applyBorder="1" applyAlignment="1">
      <alignment horizontal="center" vertical="top"/>
    </xf>
    <xf numFmtId="0" fontId="38" fillId="7" borderId="8" xfId="0" applyFont="1" applyFill="1" applyBorder="1" applyAlignment="1">
      <alignment horizontal="center" vertical="top"/>
    </xf>
    <xf numFmtId="0" fontId="38" fillId="7" borderId="9" xfId="0" applyFont="1" applyFill="1" applyBorder="1" applyAlignment="1">
      <alignment horizontal="center" vertical="top"/>
    </xf>
    <xf numFmtId="0" fontId="38" fillId="7" borderId="13" xfId="0" applyFont="1" applyFill="1" applyBorder="1" applyAlignment="1">
      <alignment horizontal="center" vertical="top"/>
    </xf>
    <xf numFmtId="0" fontId="38" fillId="7" borderId="0" xfId="0" applyFont="1" applyFill="1" applyAlignment="1">
      <alignment horizontal="center" vertical="top"/>
    </xf>
    <xf numFmtId="0" fontId="38" fillId="7" borderId="16" xfId="0" applyFont="1" applyFill="1" applyBorder="1" applyAlignment="1">
      <alignment horizontal="center" vertical="top"/>
    </xf>
    <xf numFmtId="0" fontId="38" fillId="7" borderId="10" xfId="0" applyFont="1" applyFill="1" applyBorder="1" applyAlignment="1">
      <alignment horizontal="center" vertical="top"/>
    </xf>
    <xf numFmtId="0" fontId="38" fillId="7" borderId="11" xfId="0" applyFont="1" applyFill="1" applyBorder="1" applyAlignment="1">
      <alignment horizontal="center" vertical="top"/>
    </xf>
    <xf numFmtId="0" fontId="38" fillId="7" borderId="12" xfId="0" applyFont="1" applyFill="1" applyBorder="1" applyAlignment="1">
      <alignment horizontal="center" vertical="top"/>
    </xf>
    <xf numFmtId="0" fontId="38" fillId="7" borderId="5" xfId="0" applyFont="1" applyFill="1" applyBorder="1" applyAlignment="1">
      <alignment horizontal="center" vertical="top" wrapText="1"/>
    </xf>
    <xf numFmtId="0" fontId="38" fillId="7" borderId="23" xfId="0" applyFont="1" applyFill="1" applyBorder="1" applyAlignment="1">
      <alignment horizontal="center" vertical="top" wrapText="1"/>
    </xf>
    <xf numFmtId="0" fontId="38" fillId="7" borderId="6" xfId="0" applyFont="1" applyFill="1" applyBorder="1" applyAlignment="1">
      <alignment horizontal="center" vertical="top" wrapText="1"/>
    </xf>
    <xf numFmtId="0" fontId="38" fillId="7" borderId="7" xfId="0" applyFont="1" applyFill="1" applyBorder="1" applyAlignment="1">
      <alignment horizontal="center" vertical="top" wrapText="1"/>
    </xf>
    <xf numFmtId="0" fontId="38" fillId="7" borderId="8" xfId="0" applyFont="1" applyFill="1" applyBorder="1" applyAlignment="1">
      <alignment horizontal="center" vertical="top" wrapText="1"/>
    </xf>
    <xf numFmtId="0" fontId="38" fillId="7" borderId="9" xfId="0" applyFont="1" applyFill="1" applyBorder="1" applyAlignment="1">
      <alignment horizontal="center" vertical="top" wrapText="1"/>
    </xf>
    <xf numFmtId="0" fontId="38" fillId="7" borderId="13" xfId="0" applyFont="1" applyFill="1" applyBorder="1" applyAlignment="1">
      <alignment horizontal="center" vertical="top" wrapText="1"/>
    </xf>
    <xf numFmtId="0" fontId="38" fillId="7" borderId="0" xfId="0" applyFont="1" applyFill="1" applyAlignment="1">
      <alignment horizontal="center" vertical="top" wrapText="1"/>
    </xf>
    <xf numFmtId="0" fontId="38" fillId="7" borderId="16" xfId="0" applyFont="1" applyFill="1" applyBorder="1" applyAlignment="1">
      <alignment horizontal="center" vertical="top" wrapText="1"/>
    </xf>
    <xf numFmtId="0" fontId="38" fillId="7" borderId="10" xfId="0" applyFont="1" applyFill="1" applyBorder="1" applyAlignment="1">
      <alignment horizontal="center" vertical="top" wrapText="1"/>
    </xf>
    <xf numFmtId="0" fontId="38" fillId="7" borderId="11" xfId="0" applyFont="1" applyFill="1" applyBorder="1" applyAlignment="1">
      <alignment horizontal="center" vertical="top" wrapText="1"/>
    </xf>
    <xf numFmtId="0" fontId="38" fillId="7" borderId="12" xfId="0" applyFont="1" applyFill="1" applyBorder="1" applyAlignment="1">
      <alignment horizontal="center" vertical="top" wrapText="1"/>
    </xf>
    <xf numFmtId="0" fontId="39" fillId="7" borderId="7" xfId="0" applyFont="1" applyFill="1" applyBorder="1" applyAlignment="1">
      <alignment horizontal="center" vertical="top" wrapText="1"/>
    </xf>
    <xf numFmtId="0" fontId="39" fillId="7" borderId="9" xfId="0" applyFont="1" applyFill="1" applyBorder="1" applyAlignment="1">
      <alignment horizontal="center" vertical="top" wrapText="1"/>
    </xf>
    <xf numFmtId="0" fontId="44" fillId="0" borderId="16" xfId="0" applyFont="1" applyBorder="1" applyAlignment="1">
      <alignment horizontal="center" vertical="center" wrapText="1"/>
    </xf>
    <xf numFmtId="0" fontId="38" fillId="7" borderId="3" xfId="0" applyFont="1" applyFill="1" applyBorder="1" applyAlignment="1">
      <alignment horizontal="center" vertical="top"/>
    </xf>
    <xf numFmtId="0" fontId="38" fillId="7" borderId="4" xfId="0" applyFont="1" applyFill="1" applyBorder="1" applyAlignment="1">
      <alignment horizontal="center" vertical="top"/>
    </xf>
    <xf numFmtId="0" fontId="51" fillId="0" borderId="7" xfId="0" quotePrefix="1" applyFont="1" applyBorder="1" applyAlignment="1">
      <alignment horizontal="left" vertical="center" wrapText="1"/>
    </xf>
    <xf numFmtId="0" fontId="39" fillId="0" borderId="8" xfId="0" quotePrefix="1" applyFont="1" applyBorder="1" applyAlignment="1">
      <alignment horizontal="left" vertical="center" wrapText="1"/>
    </xf>
    <xf numFmtId="0" fontId="39" fillId="0" borderId="9" xfId="0" quotePrefix="1" applyFont="1" applyBorder="1" applyAlignment="1">
      <alignment horizontal="left" vertical="center" wrapText="1"/>
    </xf>
    <xf numFmtId="0" fontId="39" fillId="0" borderId="13" xfId="0" quotePrefix="1" applyFont="1" applyBorder="1" applyAlignment="1">
      <alignment horizontal="left" vertical="center" wrapText="1"/>
    </xf>
    <xf numFmtId="0" fontId="39" fillId="0" borderId="0" xfId="0" quotePrefix="1" applyFont="1" applyAlignment="1">
      <alignment horizontal="left" vertical="center" wrapText="1"/>
    </xf>
    <xf numFmtId="0" fontId="39" fillId="0" borderId="16" xfId="0" quotePrefix="1" applyFont="1" applyBorder="1" applyAlignment="1">
      <alignment horizontal="left" vertical="center" wrapText="1"/>
    </xf>
    <xf numFmtId="0" fontId="39" fillId="0" borderId="10" xfId="0" quotePrefix="1" applyFont="1" applyBorder="1" applyAlignment="1">
      <alignment horizontal="left" vertical="center" wrapText="1"/>
    </xf>
    <xf numFmtId="0" fontId="39" fillId="0" borderId="11" xfId="0" quotePrefix="1" applyFont="1" applyBorder="1" applyAlignment="1">
      <alignment horizontal="left" vertical="center" wrapText="1"/>
    </xf>
    <xf numFmtId="0" fontId="39" fillId="0" borderId="12" xfId="0" quotePrefix="1" applyFont="1" applyBorder="1" applyAlignment="1">
      <alignment horizontal="left" vertical="center" wrapText="1"/>
    </xf>
    <xf numFmtId="0" fontId="39" fillId="7" borderId="7" xfId="0" applyFont="1" applyFill="1" applyBorder="1" applyAlignment="1">
      <alignment horizontal="center" vertical="center" wrapText="1"/>
    </xf>
    <xf numFmtId="0" fontId="39" fillId="7" borderId="8" xfId="0" applyFont="1" applyFill="1" applyBorder="1" applyAlignment="1">
      <alignment horizontal="center" vertical="center" wrapText="1"/>
    </xf>
    <xf numFmtId="0" fontId="39" fillId="7" borderId="9" xfId="0" applyFont="1" applyFill="1" applyBorder="1" applyAlignment="1">
      <alignment horizontal="center" vertical="center" wrapText="1"/>
    </xf>
    <xf numFmtId="0" fontId="39" fillId="7" borderId="13" xfId="0" applyFont="1" applyFill="1" applyBorder="1" applyAlignment="1">
      <alignment horizontal="center" vertical="center" wrapText="1"/>
    </xf>
    <xf numFmtId="0" fontId="39" fillId="7" borderId="0" xfId="0" applyFont="1" applyFill="1" applyAlignment="1">
      <alignment horizontal="center" vertical="center" wrapText="1"/>
    </xf>
    <xf numFmtId="0" fontId="39" fillId="7" borderId="16" xfId="0" applyFont="1" applyFill="1" applyBorder="1" applyAlignment="1">
      <alignment horizontal="center" vertical="center" wrapText="1"/>
    </xf>
    <xf numFmtId="0" fontId="39" fillId="7" borderId="10" xfId="0" applyFont="1" applyFill="1" applyBorder="1" applyAlignment="1">
      <alignment horizontal="center" vertical="center" wrapText="1"/>
    </xf>
    <xf numFmtId="0" fontId="39" fillId="7" borderId="11" xfId="0" applyFont="1" applyFill="1" applyBorder="1" applyAlignment="1">
      <alignment horizontal="center" vertical="center" wrapText="1"/>
    </xf>
    <xf numFmtId="0" fontId="39" fillId="7" borderId="12" xfId="0" applyFont="1" applyFill="1" applyBorder="1" applyAlignment="1">
      <alignment horizontal="center" vertical="center" wrapText="1"/>
    </xf>
    <xf numFmtId="0" fontId="38" fillId="7" borderId="1" xfId="0" applyFont="1" applyFill="1" applyBorder="1" applyAlignment="1">
      <alignment horizontal="center" vertical="top" wrapText="1"/>
    </xf>
    <xf numFmtId="0" fontId="38" fillId="7" borderId="3" xfId="0" applyFont="1" applyFill="1" applyBorder="1" applyAlignment="1">
      <alignment horizontal="center" vertical="top" wrapText="1"/>
    </xf>
    <xf numFmtId="0" fontId="38" fillId="7" borderId="2" xfId="0" applyFont="1" applyFill="1" applyBorder="1" applyAlignment="1">
      <alignment horizontal="center" vertical="top" wrapText="1"/>
    </xf>
    <xf numFmtId="0" fontId="38" fillId="7" borderId="4" xfId="0" applyFont="1" applyFill="1" applyBorder="1" applyAlignment="1">
      <alignment horizontal="center" vertical="top" wrapText="1"/>
    </xf>
    <xf numFmtId="0" fontId="45" fillId="7" borderId="5" xfId="0" applyFont="1" applyFill="1" applyBorder="1" applyAlignment="1">
      <alignment horizontal="center" vertical="top" wrapText="1"/>
    </xf>
    <xf numFmtId="0" fontId="45" fillId="7" borderId="23" xfId="0" applyFont="1" applyFill="1" applyBorder="1" applyAlignment="1">
      <alignment horizontal="center" vertical="top" wrapText="1"/>
    </xf>
    <xf numFmtId="0" fontId="45" fillId="7" borderId="6" xfId="0" applyFont="1" applyFill="1" applyBorder="1" applyAlignment="1">
      <alignment horizontal="center" vertical="top" wrapText="1"/>
    </xf>
    <xf numFmtId="0" fontId="39" fillId="7" borderId="7" xfId="0" applyFont="1" applyFill="1" applyBorder="1" applyAlignment="1">
      <alignment horizontal="center" vertical="top"/>
    </xf>
    <xf numFmtId="0" fontId="39" fillId="7" borderId="9" xfId="0" applyFont="1" applyFill="1" applyBorder="1" applyAlignment="1">
      <alignment horizontal="center" vertical="top"/>
    </xf>
    <xf numFmtId="0" fontId="39" fillId="7" borderId="13" xfId="0" applyFont="1" applyFill="1" applyBorder="1" applyAlignment="1">
      <alignment horizontal="center" vertical="top"/>
    </xf>
    <xf numFmtId="0" fontId="39" fillId="7" borderId="16" xfId="0" applyFont="1" applyFill="1" applyBorder="1" applyAlignment="1">
      <alignment horizontal="center" vertical="top"/>
    </xf>
    <xf numFmtId="0" fontId="39" fillId="7" borderId="10" xfId="0" applyFont="1" applyFill="1" applyBorder="1" applyAlignment="1">
      <alignment horizontal="center" vertical="top"/>
    </xf>
    <xf numFmtId="0" fontId="39" fillId="7" borderId="12" xfId="0" applyFont="1" applyFill="1" applyBorder="1" applyAlignment="1">
      <alignment horizontal="center" vertical="top"/>
    </xf>
    <xf numFmtId="0" fontId="39" fillId="7" borderId="5" xfId="0" applyFont="1" applyFill="1" applyBorder="1" applyAlignment="1">
      <alignment horizontal="center" vertical="top"/>
    </xf>
    <xf numFmtId="0" fontId="39" fillId="7" borderId="23" xfId="0" applyFont="1" applyFill="1" applyBorder="1" applyAlignment="1">
      <alignment horizontal="center" vertical="top"/>
    </xf>
    <xf numFmtId="0" fontId="39" fillId="7" borderId="6" xfId="0" applyFont="1" applyFill="1" applyBorder="1" applyAlignment="1">
      <alignment horizontal="center" vertical="top"/>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2" fontId="0" fillId="0" borderId="38" xfId="0" applyNumberFormat="1" applyBorder="1" applyAlignment="1">
      <alignment horizontal="center" vertical="center"/>
    </xf>
    <xf numFmtId="172" fontId="0" fillId="0" borderId="45" xfId="0" applyNumberFormat="1" applyBorder="1" applyAlignment="1">
      <alignment horizontal="center" vertical="center"/>
    </xf>
    <xf numFmtId="172" fontId="0" fillId="0" borderId="39" xfId="0" applyNumberFormat="1" applyBorder="1" applyAlignment="1">
      <alignment horizontal="center" vertical="center"/>
    </xf>
    <xf numFmtId="172" fontId="0" fillId="0" borderId="3" xfId="0" applyNumberFormat="1" applyBorder="1" applyAlignment="1">
      <alignment horizontal="center" vertical="center"/>
    </xf>
    <xf numFmtId="172" fontId="0" fillId="0" borderId="2" xfId="0" applyNumberFormat="1" applyBorder="1" applyAlignment="1">
      <alignment horizontal="center" vertical="center"/>
    </xf>
    <xf numFmtId="172" fontId="0" fillId="0" borderId="4" xfId="0" applyNumberFormat="1" applyBorder="1" applyAlignment="1">
      <alignment horizontal="center" vertical="center"/>
    </xf>
    <xf numFmtId="168" fontId="54" fillId="7" borderId="13" xfId="0" applyNumberFormat="1" applyFont="1" applyFill="1" applyBorder="1" applyAlignment="1">
      <alignment horizontal="center" vertical="top" wrapText="1"/>
    </xf>
    <xf numFmtId="168" fontId="54" fillId="7" borderId="16" xfId="0" applyNumberFormat="1" applyFont="1" applyFill="1" applyBorder="1" applyAlignment="1">
      <alignment horizontal="center" vertical="top" wrapText="1"/>
    </xf>
    <xf numFmtId="0" fontId="54" fillId="7" borderId="10" xfId="0" applyFont="1" applyFill="1" applyBorder="1" applyAlignment="1">
      <alignment horizontal="center" vertical="top" wrapText="1"/>
    </xf>
    <xf numFmtId="0" fontId="54" fillId="7" borderId="12" xfId="0" applyFont="1" applyFill="1" applyBorder="1" applyAlignment="1">
      <alignment horizontal="center" vertical="top" wrapText="1"/>
    </xf>
    <xf numFmtId="0" fontId="47" fillId="0" borderId="13" xfId="0" applyFont="1" applyBorder="1" applyAlignment="1">
      <alignment horizontal="left" vertical="top"/>
    </xf>
    <xf numFmtId="0" fontId="47" fillId="0" borderId="0" xfId="0" applyFont="1" applyAlignment="1">
      <alignment horizontal="left" vertical="top"/>
    </xf>
    <xf numFmtId="0" fontId="47" fillId="0" borderId="16" xfId="0" applyFont="1" applyBorder="1" applyAlignment="1">
      <alignment horizontal="left" vertical="top"/>
    </xf>
    <xf numFmtId="0" fontId="47" fillId="0" borderId="10" xfId="0" applyFont="1" applyBorder="1" applyAlignment="1">
      <alignment horizontal="left" vertical="top"/>
    </xf>
    <xf numFmtId="0" fontId="47" fillId="0" borderId="11" xfId="0" applyFont="1" applyBorder="1" applyAlignment="1">
      <alignment horizontal="left" vertical="top"/>
    </xf>
    <xf numFmtId="0" fontId="47" fillId="0" borderId="12" xfId="0" applyFont="1" applyBorder="1" applyAlignment="1">
      <alignment horizontal="left" vertical="top"/>
    </xf>
    <xf numFmtId="0" fontId="38" fillId="7" borderId="2" xfId="0" applyFont="1" applyFill="1" applyBorder="1" applyAlignment="1">
      <alignment horizontal="center" vertical="top"/>
    </xf>
    <xf numFmtId="0" fontId="44" fillId="7" borderId="7" xfId="0" applyFont="1" applyFill="1" applyBorder="1" applyAlignment="1">
      <alignment horizontal="center" vertical="top" wrapText="1"/>
    </xf>
    <xf numFmtId="0" fontId="44" fillId="7" borderId="9" xfId="0" applyFont="1" applyFill="1" applyBorder="1" applyAlignment="1">
      <alignment horizontal="center" vertical="top" wrapText="1"/>
    </xf>
    <xf numFmtId="0" fontId="44" fillId="7" borderId="1" xfId="0" applyFont="1" applyFill="1" applyBorder="1" applyAlignment="1">
      <alignment horizontal="center" vertical="top" wrapText="1"/>
    </xf>
    <xf numFmtId="167" fontId="36" fillId="0" borderId="0" xfId="0" applyNumberFormat="1" applyFont="1" applyBorder="1" applyAlignment="1">
      <alignment horizontal="center" vertical="center"/>
    </xf>
    <xf numFmtId="167" fontId="37" fillId="0" borderId="0" xfId="1" applyNumberFormat="1" applyFont="1" applyBorder="1" applyAlignment="1">
      <alignment vertical="center"/>
    </xf>
    <xf numFmtId="0" fontId="27" fillId="7" borderId="13" xfId="0" applyFont="1" applyFill="1" applyBorder="1" applyAlignment="1">
      <alignment horizontal="left" vertical="center"/>
    </xf>
    <xf numFmtId="0" fontId="5" fillId="7" borderId="0" xfId="0" applyFont="1" applyFill="1" applyAlignment="1">
      <alignment horizontal="left" vertical="center"/>
    </xf>
    <xf numFmtId="0" fontId="5" fillId="7" borderId="23" xfId="0" applyFont="1" applyFill="1" applyBorder="1" applyAlignment="1">
      <alignment horizontal="center" vertical="top"/>
    </xf>
    <xf numFmtId="0" fontId="5" fillId="7" borderId="13" xfId="0" applyFont="1" applyFill="1" applyBorder="1" applyAlignment="1">
      <alignment horizontal="center" vertical="top"/>
    </xf>
    <xf numFmtId="0" fontId="5" fillId="7" borderId="0" xfId="0" applyFont="1" applyFill="1" applyBorder="1" applyAlignment="1">
      <alignment horizontal="center" vertical="top"/>
    </xf>
    <xf numFmtId="0" fontId="5" fillId="7" borderId="16" xfId="0" applyFont="1" applyFill="1" applyBorder="1" applyAlignment="1">
      <alignment horizontal="center" vertical="top"/>
    </xf>
    <xf numFmtId="0" fontId="36" fillId="0" borderId="1" xfId="0" applyFont="1" applyBorder="1" applyAlignment="1">
      <alignment horizontal="center" vertical="center"/>
    </xf>
    <xf numFmtId="173" fontId="36" fillId="0" borderId="1" xfId="0" applyNumberFormat="1" applyFont="1" applyBorder="1" applyAlignment="1">
      <alignment horizontal="center" vertical="center"/>
    </xf>
    <xf numFmtId="0" fontId="55" fillId="0" borderId="1" xfId="0" applyFont="1" applyBorder="1" applyAlignment="1">
      <alignment horizontal="center" vertical="center" wrapText="1"/>
    </xf>
    <xf numFmtId="0" fontId="55" fillId="0" borderId="3" xfId="0" applyFont="1" applyBorder="1" applyAlignment="1">
      <alignment horizontal="center" vertical="center" wrapText="1"/>
    </xf>
    <xf numFmtId="0" fontId="36" fillId="0" borderId="35" xfId="0" applyFont="1" applyBorder="1" applyAlignment="1">
      <alignment horizontal="center" vertical="center" wrapText="1"/>
    </xf>
    <xf numFmtId="167" fontId="36" fillId="0" borderId="36" xfId="1" applyNumberFormat="1" applyFont="1" applyBorder="1" applyAlignment="1">
      <alignment horizontal="center" vertical="center"/>
    </xf>
    <xf numFmtId="167" fontId="36" fillId="0" borderId="37" xfId="1" applyNumberFormat="1" applyFont="1" applyBorder="1" applyAlignment="1">
      <alignment horizontal="center" vertical="center"/>
    </xf>
    <xf numFmtId="0" fontId="36" fillId="0" borderId="1" xfId="0" applyFont="1" applyBorder="1" applyAlignment="1">
      <alignment horizontal="center" vertical="center" wrapText="1"/>
    </xf>
    <xf numFmtId="167" fontId="36" fillId="0" borderId="1" xfId="1" applyNumberFormat="1" applyFont="1" applyBorder="1" applyAlignment="1">
      <alignment horizontal="center" vertical="center"/>
    </xf>
    <xf numFmtId="173" fontId="24" fillId="0" borderId="0" xfId="0" applyNumberFormat="1" applyFont="1" applyAlignment="1">
      <alignment horizontal="center" vertical="center"/>
    </xf>
    <xf numFmtId="0" fontId="24" fillId="0" borderId="0" xfId="0" applyFont="1" applyAlignment="1">
      <alignment horizontal="center" vertical="center" wrapText="1"/>
    </xf>
    <xf numFmtId="167" fontId="36" fillId="0" borderId="0" xfId="0" applyNumberFormat="1" applyFont="1" applyAlignment="1">
      <alignment horizontal="center" vertical="center" wrapText="1"/>
    </xf>
    <xf numFmtId="0" fontId="66" fillId="7" borderId="7" xfId="0" applyFont="1" applyFill="1" applyBorder="1" applyAlignment="1">
      <alignment horizontal="center" vertical="center" wrapText="1"/>
    </xf>
    <xf numFmtId="0" fontId="66" fillId="7" borderId="8" xfId="0" applyFont="1" applyFill="1" applyBorder="1" applyAlignment="1">
      <alignment horizontal="center" vertical="center" wrapText="1"/>
    </xf>
    <xf numFmtId="0" fontId="66" fillId="7" borderId="9" xfId="0" applyFont="1" applyFill="1" applyBorder="1" applyAlignment="1">
      <alignment horizontal="center" vertical="center" wrapText="1"/>
    </xf>
    <xf numFmtId="0" fontId="66" fillId="7" borderId="13" xfId="0" applyFont="1" applyFill="1" applyBorder="1" applyAlignment="1">
      <alignment horizontal="center" vertical="center" wrapText="1"/>
    </xf>
    <xf numFmtId="0" fontId="66" fillId="7" borderId="0" xfId="0" applyFont="1" applyFill="1" applyAlignment="1">
      <alignment horizontal="center" vertical="center" wrapText="1"/>
    </xf>
    <xf numFmtId="0" fontId="66" fillId="7" borderId="16" xfId="0" applyFont="1" applyFill="1" applyBorder="1" applyAlignment="1">
      <alignment horizontal="center" vertical="center" wrapText="1"/>
    </xf>
    <xf numFmtId="0" fontId="60" fillId="7" borderId="13" xfId="0" applyFont="1" applyFill="1" applyBorder="1" applyAlignment="1">
      <alignment horizontal="center" vertical="top" wrapText="1"/>
    </xf>
    <xf numFmtId="0" fontId="60" fillId="7" borderId="16" xfId="0" applyFont="1" applyFill="1" applyBorder="1" applyAlignment="1">
      <alignment horizontal="center" vertical="top" wrapText="1"/>
    </xf>
    <xf numFmtId="0" fontId="64" fillId="0" borderId="1" xfId="0" applyFont="1" applyBorder="1" applyAlignment="1">
      <alignment horizontal="center" vertical="center"/>
    </xf>
    <xf numFmtId="169" fontId="62" fillId="0" borderId="3" xfId="0" applyNumberFormat="1" applyFont="1" applyBorder="1" applyAlignment="1">
      <alignment horizontal="center" vertical="center"/>
    </xf>
    <xf numFmtId="0" fontId="67" fillId="0" borderId="8" xfId="0" applyFont="1" applyBorder="1" applyAlignment="1">
      <alignment horizontal="center" vertical="center"/>
    </xf>
    <xf numFmtId="173" fontId="62" fillId="0" borderId="8" xfId="0" applyNumberFormat="1" applyFont="1" applyBorder="1" applyAlignment="1">
      <alignment horizontal="center" vertical="center"/>
    </xf>
    <xf numFmtId="0" fontId="64" fillId="0" borderId="7" xfId="0" applyFont="1" applyBorder="1" applyAlignment="1">
      <alignment horizontal="center" vertical="center"/>
    </xf>
    <xf numFmtId="0" fontId="64" fillId="0" borderId="9" xfId="0" applyFont="1" applyBorder="1" applyAlignment="1">
      <alignment horizontal="center" vertical="center"/>
    </xf>
    <xf numFmtId="0" fontId="64" fillId="0" borderId="7" xfId="0" applyFont="1" applyBorder="1" applyAlignment="1">
      <alignment horizontal="left" vertical="center" wrapText="1"/>
    </xf>
    <xf numFmtId="0" fontId="64" fillId="0" borderId="8" xfId="0" applyFont="1" applyBorder="1" applyAlignment="1">
      <alignment horizontal="left" vertical="center" wrapText="1"/>
    </xf>
    <xf numFmtId="0" fontId="64" fillId="0" borderId="9" xfId="0" applyFont="1" applyBorder="1" applyAlignment="1">
      <alignment horizontal="left" vertical="center" wrapText="1"/>
    </xf>
    <xf numFmtId="0" fontId="68" fillId="8" borderId="1" xfId="0" applyFont="1" applyFill="1" applyBorder="1" applyAlignment="1">
      <alignment horizontal="center"/>
    </xf>
    <xf numFmtId="0" fontId="68" fillId="8" borderId="7" xfId="0" applyFont="1" applyFill="1" applyBorder="1" applyAlignment="1">
      <alignment horizontal="center"/>
    </xf>
    <xf numFmtId="0" fontId="68" fillId="8" borderId="9" xfId="0" applyFont="1" applyFill="1" applyBorder="1" applyAlignment="1">
      <alignment horizontal="center"/>
    </xf>
    <xf numFmtId="0" fontId="67" fillId="0" borderId="2" xfId="0" applyFont="1" applyBorder="1" applyAlignment="1">
      <alignment horizontal="center" vertical="center"/>
    </xf>
    <xf numFmtId="173" fontId="62" fillId="0" borderId="2" xfId="0" applyNumberFormat="1" applyFont="1" applyBorder="1" applyAlignment="1">
      <alignment horizontal="center" vertical="center"/>
    </xf>
    <xf numFmtId="0" fontId="64" fillId="0" borderId="3" xfId="0" applyFont="1" applyBorder="1" applyAlignment="1">
      <alignment horizontal="center" vertical="center"/>
    </xf>
    <xf numFmtId="0" fontId="64" fillId="0" borderId="4" xfId="0" applyFont="1" applyBorder="1" applyAlignment="1">
      <alignment horizontal="center" vertical="center"/>
    </xf>
    <xf numFmtId="0" fontId="64" fillId="0" borderId="3" xfId="0" applyFont="1" applyBorder="1" applyAlignment="1">
      <alignment horizontal="left" vertical="center" wrapText="1"/>
    </xf>
    <xf numFmtId="0" fontId="64" fillId="0" borderId="2" xfId="0" applyFont="1" applyBorder="1" applyAlignment="1">
      <alignment horizontal="left" vertical="center" wrapText="1"/>
    </xf>
    <xf numFmtId="0" fontId="64" fillId="0" borderId="4" xfId="0" applyFont="1" applyBorder="1" applyAlignment="1">
      <alignment horizontal="left" vertical="center" wrapText="1"/>
    </xf>
    <xf numFmtId="0" fontId="68" fillId="8" borderId="5" xfId="0" applyFont="1" applyFill="1" applyBorder="1" applyAlignment="1">
      <alignment horizontal="center"/>
    </xf>
    <xf numFmtId="0" fontId="68" fillId="8" borderId="13" xfId="0" applyFont="1" applyFill="1" applyBorder="1" applyAlignment="1">
      <alignment horizontal="center"/>
    </xf>
    <xf numFmtId="0" fontId="68" fillId="8" borderId="16" xfId="0" applyFont="1" applyFill="1" applyBorder="1" applyAlignment="1">
      <alignment horizontal="center"/>
    </xf>
    <xf numFmtId="0" fontId="68" fillId="8" borderId="23" xfId="0" applyFont="1" applyFill="1" applyBorder="1" applyAlignment="1">
      <alignment horizontal="center"/>
    </xf>
    <xf numFmtId="0" fontId="68" fillId="8" borderId="6" xfId="0" applyFont="1" applyFill="1" applyBorder="1" applyAlignment="1">
      <alignment horizontal="center"/>
    </xf>
    <xf numFmtId="0" fontId="68" fillId="8" borderId="10" xfId="0" applyFont="1" applyFill="1" applyBorder="1" applyAlignment="1">
      <alignment horizontal="center"/>
    </xf>
    <xf numFmtId="0" fontId="68" fillId="8" borderId="12" xfId="0" applyFont="1" applyFill="1" applyBorder="1" applyAlignment="1">
      <alignment horizontal="center"/>
    </xf>
    <xf numFmtId="0" fontId="65" fillId="0" borderId="14" xfId="0" applyFont="1" applyBorder="1"/>
    <xf numFmtId="0" fontId="68" fillId="8" borderId="8" xfId="0" applyFont="1" applyFill="1" applyBorder="1" applyAlignment="1">
      <alignment horizontal="center"/>
    </xf>
    <xf numFmtId="0" fontId="68" fillId="8" borderId="0" xfId="0" applyFont="1" applyFill="1" applyAlignment="1">
      <alignment horizontal="center"/>
    </xf>
    <xf numFmtId="0" fontId="68" fillId="8" borderId="11" xfId="0" applyFont="1" applyFill="1" applyBorder="1" applyAlignment="1">
      <alignment horizontal="center"/>
    </xf>
    <xf numFmtId="0" fontId="39" fillId="7" borderId="7" xfId="0" applyFont="1" applyFill="1" applyBorder="1" applyAlignment="1">
      <alignment horizontal="center" vertical="top" shrinkToFit="1"/>
    </xf>
    <xf numFmtId="0" fontId="39" fillId="7" borderId="9" xfId="0" applyFont="1" applyFill="1" applyBorder="1" applyAlignment="1">
      <alignment horizontal="center" vertical="top" shrinkToFit="1"/>
    </xf>
    <xf numFmtId="0" fontId="39" fillId="7" borderId="13" xfId="0" applyFont="1" applyFill="1" applyBorder="1" applyAlignment="1">
      <alignment horizontal="center" vertical="top" shrinkToFit="1"/>
    </xf>
    <xf numFmtId="0" fontId="39" fillId="7" borderId="16" xfId="0" applyFont="1" applyFill="1" applyBorder="1" applyAlignment="1">
      <alignment horizontal="center" vertical="top" shrinkToFit="1"/>
    </xf>
    <xf numFmtId="0" fontId="39" fillId="7" borderId="10" xfId="0" applyFont="1" applyFill="1" applyBorder="1" applyAlignment="1">
      <alignment horizontal="center" vertical="top" shrinkToFit="1"/>
    </xf>
    <xf numFmtId="0" fontId="39" fillId="7" borderId="12" xfId="0" applyFont="1" applyFill="1" applyBorder="1" applyAlignment="1">
      <alignment horizontal="center" vertical="top" shrinkToFit="1"/>
    </xf>
    <xf numFmtId="0" fontId="60" fillId="0" borderId="1" xfId="0" applyFont="1" applyBorder="1" applyAlignment="1">
      <alignment horizontal="center" vertical="top" wrapText="1"/>
    </xf>
    <xf numFmtId="0" fontId="60" fillId="0" borderId="3" xfId="0" applyFont="1" applyBorder="1" applyAlignment="1">
      <alignment vertical="top" wrapText="1"/>
    </xf>
    <xf numFmtId="0" fontId="60" fillId="0" borderId="2" xfId="0" applyFont="1" applyBorder="1" applyAlignment="1">
      <alignment vertical="top" wrapText="1"/>
    </xf>
    <xf numFmtId="0" fontId="60" fillId="0" borderId="4" xfId="0" applyFont="1" applyBorder="1" applyAlignment="1">
      <alignment vertical="top" wrapText="1"/>
    </xf>
    <xf numFmtId="0" fontId="61" fillId="8" borderId="3" xfId="0" quotePrefix="1" applyFont="1" applyFill="1" applyBorder="1" applyAlignment="1">
      <alignment horizontal="center" vertical="top" wrapText="1"/>
    </xf>
    <xf numFmtId="0" fontId="61" fillId="8" borderId="2" xfId="0" applyFont="1" applyFill="1" applyBorder="1" applyAlignment="1">
      <alignment horizontal="center" vertical="top" wrapText="1"/>
    </xf>
    <xf numFmtId="0" fontId="61" fillId="8" borderId="4" xfId="0" applyFont="1" applyFill="1" applyBorder="1" applyAlignment="1">
      <alignment horizontal="center" vertical="top" wrapText="1"/>
    </xf>
    <xf numFmtId="171" fontId="62" fillId="0" borderId="3" xfId="0" applyNumberFormat="1" applyFont="1" applyBorder="1" applyAlignment="1">
      <alignment horizontal="center" vertical="top" wrapText="1"/>
    </xf>
    <xf numFmtId="171" fontId="62" fillId="0" borderId="4" xfId="0" applyNumberFormat="1" applyFont="1" applyBorder="1" applyAlignment="1">
      <alignment horizontal="center" vertical="top" wrapText="1"/>
    </xf>
    <xf numFmtId="16" fontId="60" fillId="8" borderId="1" xfId="0" applyNumberFormat="1" applyFont="1" applyFill="1" applyBorder="1" applyAlignment="1">
      <alignment horizontal="center" vertical="top" wrapText="1"/>
    </xf>
    <xf numFmtId="174" fontId="63" fillId="0" borderId="5" xfId="0" applyNumberFormat="1" applyFont="1" applyBorder="1" applyAlignment="1">
      <alignment horizontal="center" vertical="top" wrapText="1"/>
    </xf>
    <xf numFmtId="0" fontId="60" fillId="8" borderId="5" xfId="0" applyFont="1" applyFill="1" applyBorder="1" applyAlignment="1">
      <alignment horizontal="center" vertical="top" wrapText="1"/>
    </xf>
    <xf numFmtId="171" fontId="63" fillId="0" borderId="1" xfId="0" applyNumberFormat="1" applyFont="1" applyBorder="1" applyAlignment="1">
      <alignment vertical="top" wrapText="1"/>
    </xf>
    <xf numFmtId="0" fontId="60" fillId="8" borderId="1" xfId="0" applyFont="1" applyFill="1" applyBorder="1" applyAlignment="1">
      <alignment vertical="top" wrapText="1"/>
    </xf>
    <xf numFmtId="0" fontId="60" fillId="8" borderId="1" xfId="0" applyFont="1" applyFill="1" applyBorder="1" applyAlignment="1">
      <alignment horizontal="center" vertical="top" wrapText="1"/>
    </xf>
    <xf numFmtId="0" fontId="61" fillId="8" borderId="2" xfId="0" quotePrefix="1" applyFont="1" applyFill="1" applyBorder="1" applyAlignment="1">
      <alignment horizontal="center" vertical="top" wrapText="1"/>
    </xf>
    <xf numFmtId="0" fontId="61" fillId="8" borderId="4" xfId="0" quotePrefix="1" applyFont="1" applyFill="1" applyBorder="1" applyAlignment="1">
      <alignment horizontal="center" vertical="top" wrapText="1"/>
    </xf>
    <xf numFmtId="0" fontId="60" fillId="8" borderId="1" xfId="0" applyFont="1" applyFill="1" applyBorder="1" applyAlignment="1">
      <alignment horizontal="center" vertical="top" wrapText="1"/>
    </xf>
    <xf numFmtId="174" fontId="63" fillId="0" borderId="23" xfId="0" applyNumberFormat="1" applyFont="1" applyBorder="1" applyAlignment="1">
      <alignment horizontal="center" vertical="top" wrapText="1"/>
    </xf>
    <xf numFmtId="0" fontId="60" fillId="8" borderId="23" xfId="0" applyFont="1" applyFill="1" applyBorder="1" applyAlignment="1">
      <alignment horizontal="center" vertical="top" wrapText="1"/>
    </xf>
    <xf numFmtId="0" fontId="60" fillId="8" borderId="3" xfId="0" applyFont="1" applyFill="1" applyBorder="1" applyAlignment="1">
      <alignment horizontal="center" vertical="top" wrapText="1"/>
    </xf>
    <xf numFmtId="0" fontId="60" fillId="8" borderId="2" xfId="0" applyFont="1" applyFill="1" applyBorder="1" applyAlignment="1">
      <alignment horizontal="center" vertical="top" wrapText="1"/>
    </xf>
    <xf numFmtId="0" fontId="60" fillId="8" borderId="4" xfId="0" applyFont="1" applyFill="1" applyBorder="1" applyAlignment="1">
      <alignment horizontal="center" vertical="top" wrapText="1"/>
    </xf>
    <xf numFmtId="171" fontId="63" fillId="0" borderId="5" xfId="0" applyNumberFormat="1" applyFont="1" applyBorder="1" applyAlignment="1">
      <alignment horizontal="center" vertical="top" wrapText="1"/>
    </xf>
    <xf numFmtId="0" fontId="60" fillId="0" borderId="17" xfId="0" applyFont="1" applyBorder="1" applyAlignment="1">
      <alignment horizontal="center" vertical="top" wrapText="1"/>
    </xf>
    <xf numFmtId="0" fontId="60" fillId="0" borderId="21" xfId="0" applyFont="1" applyBorder="1" applyAlignment="1">
      <alignment vertical="top" wrapText="1"/>
    </xf>
    <xf numFmtId="0" fontId="60" fillId="0" borderId="44" xfId="0" applyFont="1" applyBorder="1" applyAlignment="1">
      <alignment vertical="top" wrapText="1"/>
    </xf>
    <xf numFmtId="0" fontId="60" fillId="0" borderId="22" xfId="0" applyFont="1" applyBorder="1" applyAlignment="1">
      <alignment vertical="top" wrapText="1"/>
    </xf>
    <xf numFmtId="0" fontId="61" fillId="8" borderId="21" xfId="0" quotePrefix="1" applyFont="1" applyFill="1" applyBorder="1" applyAlignment="1">
      <alignment horizontal="center" vertical="top" wrapText="1"/>
    </xf>
    <xf numFmtId="0" fontId="61" fillId="8" borderId="44" xfId="0" quotePrefix="1" applyFont="1" applyFill="1" applyBorder="1" applyAlignment="1">
      <alignment horizontal="center" vertical="top" wrapText="1"/>
    </xf>
    <xf numFmtId="0" fontId="61" fillId="8" borderId="22" xfId="0" quotePrefix="1" applyFont="1" applyFill="1" applyBorder="1" applyAlignment="1">
      <alignment horizontal="center" vertical="top" wrapText="1"/>
    </xf>
    <xf numFmtId="171" fontId="62" fillId="0" borderId="21" xfId="0" applyNumberFormat="1" applyFont="1" applyBorder="1" applyAlignment="1">
      <alignment horizontal="center" vertical="top" wrapText="1"/>
    </xf>
    <xf numFmtId="171" fontId="62" fillId="0" borderId="22" xfId="0" applyNumberFormat="1" applyFont="1" applyBorder="1" applyAlignment="1">
      <alignment horizontal="center" vertical="top" wrapText="1"/>
    </xf>
    <xf numFmtId="0" fontId="60" fillId="8" borderId="17" xfId="0" applyFont="1" applyFill="1" applyBorder="1" applyAlignment="1">
      <alignment horizontal="center" vertical="top" wrapText="1"/>
    </xf>
    <xf numFmtId="174" fontId="63" fillId="0" borderId="18" xfId="0" applyNumberFormat="1" applyFont="1" applyBorder="1" applyAlignment="1">
      <alignment horizontal="center" vertical="top" wrapText="1"/>
    </xf>
    <xf numFmtId="0" fontId="60" fillId="8" borderId="18" xfId="0" applyFont="1" applyFill="1" applyBorder="1" applyAlignment="1">
      <alignment horizontal="center" vertical="top" wrapText="1"/>
    </xf>
    <xf numFmtId="171" fontId="63" fillId="0" borderId="17" xfId="0" applyNumberFormat="1" applyFont="1" applyBorder="1" applyAlignment="1">
      <alignment vertical="top" wrapText="1"/>
    </xf>
    <xf numFmtId="0" fontId="60" fillId="8" borderId="17" xfId="0" applyFont="1" applyFill="1" applyBorder="1" applyAlignment="1">
      <alignment vertical="top" wrapText="1"/>
    </xf>
    <xf numFmtId="171" fontId="63" fillId="0" borderId="18" xfId="0" applyNumberFormat="1" applyFont="1" applyBorder="1" applyAlignment="1">
      <alignment horizontal="center" vertical="top" wrapText="1"/>
    </xf>
    <xf numFmtId="0" fontId="60" fillId="8" borderId="21" xfId="0" applyFont="1" applyFill="1" applyBorder="1" applyAlignment="1">
      <alignment horizontal="center" vertical="top" wrapText="1"/>
    </xf>
    <xf numFmtId="0" fontId="60" fillId="8" borderId="44" xfId="0" applyFont="1" applyFill="1" applyBorder="1" applyAlignment="1">
      <alignment horizontal="center" vertical="top" wrapText="1"/>
    </xf>
    <xf numFmtId="0" fontId="60" fillId="8" borderId="22" xfId="0" applyFont="1" applyFill="1" applyBorder="1" applyAlignment="1">
      <alignment horizontal="center" vertical="top" wrapText="1"/>
    </xf>
    <xf numFmtId="0" fontId="58" fillId="0" borderId="6" xfId="0" applyFont="1" applyBorder="1" applyAlignment="1">
      <alignment horizontal="left" vertical="top" wrapText="1"/>
    </xf>
    <xf numFmtId="171" fontId="64" fillId="0" borderId="6" xfId="0" applyNumberFormat="1" applyFont="1" applyBorder="1" applyAlignment="1">
      <alignment horizontal="center" vertical="top" wrapText="1"/>
    </xf>
    <xf numFmtId="0" fontId="59" fillId="0" borderId="1" xfId="0" applyFont="1" applyBorder="1" applyAlignment="1">
      <alignment horizontal="left" vertical="top" wrapText="1"/>
    </xf>
    <xf numFmtId="171" fontId="65" fillId="0" borderId="1" xfId="0" applyNumberFormat="1" applyFont="1" applyBorder="1" applyAlignment="1">
      <alignment horizontal="center" vertical="top" wrapText="1"/>
    </xf>
  </cellXfs>
  <cellStyles count="4">
    <cellStyle name="Comma" xfId="1" builtinId="3"/>
    <cellStyle name="Comma [0] 2" xfId="2" xr:uid="{00000000-0005-0000-0000-000001000000}"/>
    <cellStyle name="Normal" xfId="0" builtinId="0"/>
    <cellStyle name="Normal 2" xfId="3" xr:uid="{00000000-0005-0000-0000-000003000000}"/>
  </cellStyles>
  <dxfs count="0"/>
  <tableStyles count="0" defaultTableStyle="TableStyleMedium2" defaultPivotStyle="PivotStyleLight16"/>
  <colors>
    <mruColors>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79</xdr:row>
      <xdr:rowOff>126999</xdr:rowOff>
    </xdr:from>
    <xdr:to>
      <xdr:col>6</xdr:col>
      <xdr:colOff>952500</xdr:colOff>
      <xdr:row>84</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5</xdr:col>
      <xdr:colOff>102099</xdr:colOff>
      <xdr:row>92</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56</xdr:row>
      <xdr:rowOff>14552</xdr:rowOff>
    </xdr:from>
    <xdr:to>
      <xdr:col>7</xdr:col>
      <xdr:colOff>293688</xdr:colOff>
      <xdr:row>59</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pageSetUpPr fitToPage="1"/>
  </sheetPr>
  <dimension ref="B1:Z91"/>
  <sheetViews>
    <sheetView showGridLines="0" zoomScale="90" zoomScaleNormal="90" workbookViewId="0">
      <selection activeCell="C53" sqref="C53:F53"/>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5" t="s">
        <v>119</v>
      </c>
    </row>
    <row r="2" spans="2:26" ht="15" customHeight="1" x14ac:dyDescent="0.25">
      <c r="B2" s="75" t="s">
        <v>0</v>
      </c>
      <c r="C2" s="19"/>
      <c r="D2" s="19"/>
      <c r="E2" s="19"/>
      <c r="F2" s="19"/>
      <c r="G2" s="76"/>
      <c r="H2" s="77" t="s">
        <v>61</v>
      </c>
      <c r="I2" s="66" t="s">
        <v>62</v>
      </c>
      <c r="J2" s="67" t="s">
        <v>157</v>
      </c>
      <c r="K2" s="67"/>
      <c r="L2" s="67"/>
      <c r="M2" s="68"/>
      <c r="N2" s="446" t="s">
        <v>67</v>
      </c>
      <c r="O2" s="447"/>
      <c r="P2" s="446" t="s">
        <v>66</v>
      </c>
      <c r="Q2" s="447"/>
      <c r="R2" s="446" t="s">
        <v>54</v>
      </c>
      <c r="S2" s="447"/>
      <c r="T2" s="446" t="s">
        <v>53</v>
      </c>
      <c r="U2" s="447"/>
    </row>
    <row r="3" spans="2:26" ht="15" customHeight="1" x14ac:dyDescent="0.25">
      <c r="B3" s="463" t="s">
        <v>58</v>
      </c>
      <c r="C3" s="464"/>
      <c r="D3" s="464"/>
      <c r="E3" s="464"/>
      <c r="F3" s="464"/>
      <c r="G3" s="464"/>
      <c r="H3" s="465"/>
      <c r="I3" s="69" t="s">
        <v>63</v>
      </c>
      <c r="J3" s="70" t="s">
        <v>69</v>
      </c>
      <c r="K3" s="70"/>
      <c r="L3" s="70"/>
      <c r="M3" s="71"/>
      <c r="N3" s="454" t="s">
        <v>161</v>
      </c>
      <c r="O3" s="455"/>
      <c r="P3" s="455"/>
      <c r="Q3" s="455"/>
      <c r="R3" s="455"/>
      <c r="S3" s="455"/>
      <c r="T3" s="455"/>
      <c r="U3" s="456"/>
    </row>
    <row r="4" spans="2:26" ht="15" customHeight="1" x14ac:dyDescent="0.25">
      <c r="B4" s="466"/>
      <c r="C4" s="467"/>
      <c r="D4" s="467"/>
      <c r="E4" s="467"/>
      <c r="F4" s="467"/>
      <c r="G4" s="467"/>
      <c r="H4" s="468"/>
      <c r="I4" s="69" t="s">
        <v>5</v>
      </c>
      <c r="J4" s="70" t="s">
        <v>70</v>
      </c>
      <c r="K4" s="70"/>
      <c r="L4" s="70"/>
      <c r="M4" s="71"/>
      <c r="N4" s="457"/>
      <c r="O4" s="458"/>
      <c r="P4" s="458"/>
      <c r="Q4" s="458"/>
      <c r="R4" s="458"/>
      <c r="S4" s="458"/>
      <c r="T4" s="458"/>
      <c r="U4" s="459"/>
    </row>
    <row r="5" spans="2:26" ht="15" customHeight="1" x14ac:dyDescent="0.25">
      <c r="B5" s="466"/>
      <c r="C5" s="467"/>
      <c r="D5" s="467"/>
      <c r="E5" s="467"/>
      <c r="F5" s="467"/>
      <c r="G5" s="467"/>
      <c r="H5" s="468"/>
      <c r="I5" s="69" t="s">
        <v>64</v>
      </c>
      <c r="J5" s="70" t="s">
        <v>71</v>
      </c>
      <c r="K5" s="70"/>
      <c r="L5" s="70"/>
      <c r="M5" s="71"/>
      <c r="N5" s="460"/>
      <c r="O5" s="461"/>
      <c r="P5" s="461"/>
      <c r="Q5" s="461"/>
      <c r="R5" s="461"/>
      <c r="S5" s="461"/>
      <c r="T5" s="461"/>
      <c r="U5" s="462"/>
    </row>
    <row r="6" spans="2:26" ht="15" customHeight="1" x14ac:dyDescent="0.25">
      <c r="B6" s="469"/>
      <c r="C6" s="470"/>
      <c r="D6" s="470"/>
      <c r="E6" s="470"/>
      <c r="F6" s="470"/>
      <c r="G6" s="470"/>
      <c r="H6" s="471"/>
      <c r="I6" s="72" t="s">
        <v>65</v>
      </c>
      <c r="J6" s="73" t="s">
        <v>175</v>
      </c>
      <c r="K6" s="73"/>
      <c r="L6" s="73"/>
      <c r="M6" s="74"/>
      <c r="N6" s="446" t="s">
        <v>68</v>
      </c>
      <c r="O6" s="447"/>
      <c r="P6" s="446" t="s">
        <v>57</v>
      </c>
      <c r="Q6" s="447"/>
      <c r="R6" s="446" t="s">
        <v>56</v>
      </c>
      <c r="S6" s="447"/>
      <c r="T6" s="446" t="s">
        <v>55</v>
      </c>
      <c r="U6" s="447"/>
    </row>
    <row r="7" spans="2:26" ht="15" customHeight="1" x14ac:dyDescent="0.25">
      <c r="B7" s="49"/>
      <c r="U7" s="20"/>
    </row>
    <row r="8" spans="2:26" s="5" customFormat="1" ht="21.95" customHeight="1" x14ac:dyDescent="0.25">
      <c r="B8" s="50" t="s">
        <v>8</v>
      </c>
      <c r="C8" s="41"/>
      <c r="D8" s="41"/>
      <c r="E8" s="41"/>
      <c r="F8" s="41"/>
      <c r="G8" s="43" t="s">
        <v>231</v>
      </c>
      <c r="H8" s="6"/>
      <c r="I8" s="6"/>
      <c r="J8" s="6"/>
      <c r="U8" s="22"/>
    </row>
    <row r="9" spans="2:26" s="5" customFormat="1" ht="21.95" customHeight="1" x14ac:dyDescent="0.25">
      <c r="B9" s="51" t="s">
        <v>9</v>
      </c>
      <c r="C9" s="42"/>
      <c r="D9" s="42"/>
      <c r="E9" s="42"/>
      <c r="F9" s="42"/>
      <c r="G9" s="44" t="s">
        <v>225</v>
      </c>
      <c r="H9" s="7"/>
      <c r="I9" s="7"/>
      <c r="J9" s="7"/>
      <c r="U9" s="22"/>
    </row>
    <row r="10" spans="2:26" s="5" customFormat="1" ht="15" customHeight="1" x14ac:dyDescent="0.25">
      <c r="B10" s="21"/>
      <c r="C10" s="27"/>
      <c r="D10" s="27"/>
      <c r="E10" s="27"/>
      <c r="F10" s="27"/>
      <c r="G10" s="13"/>
      <c r="U10" s="22"/>
    </row>
    <row r="11" spans="2:26" ht="24.95" customHeight="1" x14ac:dyDescent="0.25">
      <c r="B11" s="52" t="s">
        <v>72</v>
      </c>
      <c r="U11" s="20"/>
    </row>
    <row r="12" spans="2:26" s="8" customFormat="1" ht="24.95" customHeight="1" x14ac:dyDescent="0.25">
      <c r="B12" s="40" t="s">
        <v>1</v>
      </c>
      <c r="C12" s="442" t="s">
        <v>5</v>
      </c>
      <c r="D12" s="476"/>
      <c r="E12" s="476"/>
      <c r="F12" s="443"/>
      <c r="G12" s="420" t="s">
        <v>4</v>
      </c>
      <c r="H12" s="424"/>
      <c r="I12" s="420" t="s">
        <v>60</v>
      </c>
      <c r="J12" s="421"/>
      <c r="K12" s="420" t="s">
        <v>2</v>
      </c>
      <c r="L12" s="424"/>
      <c r="M12" s="427" t="s">
        <v>3</v>
      </c>
      <c r="N12" s="427"/>
      <c r="O12" s="427"/>
      <c r="P12" s="427"/>
      <c r="Q12" s="427"/>
      <c r="R12" s="17"/>
      <c r="S12" s="17"/>
      <c r="T12" s="17"/>
      <c r="U12" s="23"/>
      <c r="V12" s="17"/>
      <c r="W12" s="17"/>
      <c r="X12" s="17"/>
      <c r="Y12" s="435"/>
      <c r="Z12" s="435"/>
    </row>
    <row r="13" spans="2:26" ht="24.95" customHeight="1" x14ac:dyDescent="0.25">
      <c r="B13" s="16">
        <v>1</v>
      </c>
      <c r="C13" s="159">
        <v>45525</v>
      </c>
      <c r="D13" s="316" t="s">
        <v>6</v>
      </c>
      <c r="E13" s="316"/>
      <c r="F13" s="160">
        <v>45527</v>
      </c>
      <c r="G13" s="317" t="s">
        <v>234</v>
      </c>
      <c r="H13" s="318"/>
      <c r="I13" s="317" t="s">
        <v>235</v>
      </c>
      <c r="J13" s="318"/>
      <c r="K13" s="319">
        <v>18663</v>
      </c>
      <c r="L13" s="318"/>
      <c r="M13" s="161" t="s">
        <v>242</v>
      </c>
      <c r="N13" s="162"/>
      <c r="O13" s="162"/>
      <c r="P13" s="162"/>
      <c r="Q13" s="163"/>
      <c r="U13" s="20"/>
    </row>
    <row r="14" spans="2:26" ht="24.95" customHeight="1" x14ac:dyDescent="0.25">
      <c r="B14" s="16">
        <v>2</v>
      </c>
      <c r="C14" s="159">
        <f>+C13</f>
        <v>45525</v>
      </c>
      <c r="D14" s="316" t="s">
        <v>6</v>
      </c>
      <c r="E14" s="316"/>
      <c r="F14" s="160">
        <f>+F13</f>
        <v>45527</v>
      </c>
      <c r="G14" s="317" t="s">
        <v>234</v>
      </c>
      <c r="H14" s="318"/>
      <c r="I14" s="317" t="s">
        <v>236</v>
      </c>
      <c r="J14" s="318"/>
      <c r="K14" s="319" t="s">
        <v>240</v>
      </c>
      <c r="L14" s="318"/>
      <c r="M14" s="161" t="s">
        <v>239</v>
      </c>
      <c r="N14" s="162"/>
      <c r="O14" s="162"/>
      <c r="P14" s="162"/>
      <c r="Q14" s="163"/>
      <c r="U14" s="20"/>
    </row>
    <row r="15" spans="2:26" ht="24.95" customHeight="1" x14ac:dyDescent="0.25">
      <c r="B15" s="16">
        <v>3</v>
      </c>
      <c r="C15" s="159">
        <f>C13</f>
        <v>45525</v>
      </c>
      <c r="D15" s="316" t="s">
        <v>6</v>
      </c>
      <c r="E15" s="316"/>
      <c r="F15" s="160">
        <f>F13</f>
        <v>45527</v>
      </c>
      <c r="G15" s="317" t="s">
        <v>234</v>
      </c>
      <c r="H15" s="318"/>
      <c r="I15" s="317" t="s">
        <v>194</v>
      </c>
      <c r="J15" s="318"/>
      <c r="K15" s="319" t="s">
        <v>241</v>
      </c>
      <c r="L15" s="318"/>
      <c r="M15" s="161" t="s">
        <v>238</v>
      </c>
      <c r="N15" s="162"/>
      <c r="O15" s="162"/>
      <c r="P15" s="162"/>
      <c r="Q15" s="163"/>
      <c r="U15" s="20"/>
    </row>
    <row r="16" spans="2:26" ht="24.95" customHeight="1" x14ac:dyDescent="0.25">
      <c r="B16" s="16">
        <v>4</v>
      </c>
      <c r="C16" s="159">
        <f>C13</f>
        <v>45525</v>
      </c>
      <c r="D16" s="316" t="s">
        <v>6</v>
      </c>
      <c r="E16" s="316"/>
      <c r="F16" s="160">
        <f>F13</f>
        <v>45527</v>
      </c>
      <c r="G16" s="317" t="s">
        <v>234</v>
      </c>
      <c r="H16" s="318"/>
      <c r="I16" s="317" t="s">
        <v>237</v>
      </c>
      <c r="J16" s="318"/>
      <c r="K16" s="319">
        <v>24995</v>
      </c>
      <c r="L16" s="318"/>
      <c r="M16" s="161" t="s">
        <v>243</v>
      </c>
      <c r="N16" s="162"/>
      <c r="O16" s="162"/>
      <c r="P16" s="162"/>
      <c r="Q16" s="163"/>
      <c r="U16" s="20"/>
    </row>
    <row r="17" spans="2:23" ht="15" customHeight="1" x14ac:dyDescent="0.25">
      <c r="B17" s="11"/>
      <c r="U17" s="20"/>
    </row>
    <row r="18" spans="2:23" ht="20.100000000000001" customHeight="1" x14ac:dyDescent="0.25">
      <c r="B18" s="52" t="s">
        <v>106</v>
      </c>
      <c r="U18" s="20"/>
    </row>
    <row r="19" spans="2:23" ht="20.100000000000001" customHeight="1" x14ac:dyDescent="0.25">
      <c r="B19" s="53" t="s">
        <v>76</v>
      </c>
      <c r="K19" s="24" t="s">
        <v>77</v>
      </c>
      <c r="L19" s="24"/>
      <c r="U19" s="20"/>
    </row>
    <row r="20" spans="2:23" s="3" customFormat="1" ht="20.100000000000001" customHeight="1" thickBot="1" x14ac:dyDescent="0.3">
      <c r="B20" s="330" t="s">
        <v>1</v>
      </c>
      <c r="C20" s="472" t="s">
        <v>5</v>
      </c>
      <c r="D20" s="473"/>
      <c r="E20" s="420" t="s">
        <v>153</v>
      </c>
      <c r="F20" s="421"/>
      <c r="G20" s="424"/>
      <c r="H20" s="420" t="s">
        <v>59</v>
      </c>
      <c r="I20" s="424"/>
      <c r="J20" s="5"/>
      <c r="K20" s="349" t="s">
        <v>1</v>
      </c>
      <c r="L20" s="324" t="s">
        <v>5</v>
      </c>
      <c r="M20" s="326"/>
      <c r="N20" s="448" t="s">
        <v>13</v>
      </c>
      <c r="O20" s="449"/>
      <c r="P20" s="449"/>
      <c r="Q20" s="450"/>
      <c r="R20" s="448" t="s">
        <v>59</v>
      </c>
      <c r="S20" s="449"/>
      <c r="T20" s="449"/>
      <c r="U20" s="450"/>
      <c r="V20" s="9"/>
      <c r="W20" s="9"/>
    </row>
    <row r="21" spans="2:23" s="3" customFormat="1" ht="20.100000000000001" customHeight="1" thickTop="1" x14ac:dyDescent="0.25">
      <c r="B21" s="441"/>
      <c r="C21" s="474"/>
      <c r="D21" s="475"/>
      <c r="E21" s="442" t="s">
        <v>35</v>
      </c>
      <c r="F21" s="443"/>
      <c r="G21" s="293" t="s">
        <v>36</v>
      </c>
      <c r="H21" s="294" t="s">
        <v>35</v>
      </c>
      <c r="I21" s="295" t="s">
        <v>36</v>
      </c>
      <c r="J21" s="5"/>
      <c r="K21" s="453"/>
      <c r="L21" s="451"/>
      <c r="M21" s="452"/>
      <c r="N21" s="324" t="s">
        <v>35</v>
      </c>
      <c r="O21" s="326"/>
      <c r="P21" s="324" t="s">
        <v>36</v>
      </c>
      <c r="Q21" s="326"/>
      <c r="R21" s="324" t="s">
        <v>35</v>
      </c>
      <c r="S21" s="326"/>
      <c r="T21" s="324" t="s">
        <v>36</v>
      </c>
      <c r="U21" s="326"/>
      <c r="V21" s="9"/>
      <c r="W21" s="9"/>
    </row>
    <row r="22" spans="2:23" ht="24.95" customHeight="1" x14ac:dyDescent="0.25">
      <c r="B22" s="16">
        <v>1</v>
      </c>
      <c r="C22" s="436"/>
      <c r="D22" s="437"/>
      <c r="E22" s="351"/>
      <c r="F22" s="417"/>
      <c r="G22" s="296"/>
      <c r="H22" s="297"/>
      <c r="I22" s="16"/>
      <c r="J22" s="13"/>
      <c r="K22" s="16">
        <v>1</v>
      </c>
      <c r="L22" s="422"/>
      <c r="M22" s="423"/>
      <c r="N22" s="418"/>
      <c r="O22" s="417"/>
      <c r="P22" s="418"/>
      <c r="Q22" s="419"/>
      <c r="R22" s="418"/>
      <c r="S22" s="419"/>
      <c r="T22" s="418"/>
      <c r="U22" s="419"/>
      <c r="V22" s="9"/>
      <c r="W22" s="9"/>
    </row>
    <row r="23" spans="2:23" ht="24.95" customHeight="1" x14ac:dyDescent="0.25">
      <c r="B23" s="16">
        <v>2</v>
      </c>
      <c r="C23" s="436"/>
      <c r="D23" s="437"/>
      <c r="E23" s="351"/>
      <c r="F23" s="417"/>
      <c r="G23" s="296"/>
      <c r="H23" s="297"/>
      <c r="I23" s="296"/>
      <c r="J23" s="13"/>
      <c r="K23" s="16">
        <v>2</v>
      </c>
      <c r="L23" s="422"/>
      <c r="M23" s="423"/>
      <c r="N23" s="418"/>
      <c r="O23" s="419"/>
      <c r="P23" s="351"/>
      <c r="Q23" s="417"/>
      <c r="R23" s="351"/>
      <c r="S23" s="417"/>
      <c r="T23" s="351"/>
      <c r="U23" s="417"/>
    </row>
    <row r="24" spans="2:23" ht="15" customHeight="1" x14ac:dyDescent="0.25">
      <c r="B24" s="11"/>
      <c r="U24" s="20"/>
    </row>
    <row r="25" spans="2:23" ht="20.100000000000001" customHeight="1" x14ac:dyDescent="0.25">
      <c r="B25" s="21" t="s">
        <v>78</v>
      </c>
      <c r="C25" s="14"/>
      <c r="D25" s="14"/>
      <c r="E25" s="14"/>
      <c r="F25" s="14"/>
      <c r="G25" s="13"/>
      <c r="H25" s="13"/>
      <c r="I25" s="13"/>
      <c r="J25" s="13"/>
      <c r="K25" s="13"/>
      <c r="L25" s="13"/>
      <c r="M25" s="13"/>
      <c r="N25" s="13"/>
      <c r="O25" s="13"/>
      <c r="P25" s="13"/>
      <c r="Q25" s="13"/>
      <c r="R25" s="13"/>
      <c r="S25" s="13"/>
      <c r="T25" s="13"/>
      <c r="U25" s="54"/>
    </row>
    <row r="26" spans="2:23" s="3" customFormat="1" ht="20.100000000000001" customHeight="1" x14ac:dyDescent="0.25">
      <c r="B26" s="349" t="s">
        <v>1</v>
      </c>
      <c r="C26" s="324" t="s">
        <v>5</v>
      </c>
      <c r="D26" s="325"/>
      <c r="E26" s="325"/>
      <c r="F26" s="326"/>
      <c r="G26" s="442" t="s">
        <v>14</v>
      </c>
      <c r="H26" s="443"/>
      <c r="I26" s="427" t="s">
        <v>74</v>
      </c>
      <c r="J26" s="420" t="s">
        <v>15</v>
      </c>
      <c r="K26" s="421"/>
      <c r="L26" s="421"/>
      <c r="M26" s="424"/>
      <c r="N26" s="439" t="s">
        <v>73</v>
      </c>
      <c r="O26" s="439"/>
      <c r="P26" s="439"/>
      <c r="Q26" s="439"/>
      <c r="R26" s="439"/>
      <c r="S26" s="439"/>
      <c r="T26" s="439"/>
      <c r="U26" s="439"/>
      <c r="V26" s="9"/>
      <c r="W26" s="9"/>
    </row>
    <row r="27" spans="2:23" s="3" customFormat="1" ht="20.100000000000001" customHeight="1" thickBot="1" x14ac:dyDescent="0.3">
      <c r="B27" s="350"/>
      <c r="C27" s="327"/>
      <c r="D27" s="328"/>
      <c r="E27" s="328"/>
      <c r="F27" s="329"/>
      <c r="G27" s="444"/>
      <c r="H27" s="445"/>
      <c r="I27" s="428"/>
      <c r="J27" s="429" t="s">
        <v>17</v>
      </c>
      <c r="K27" s="430"/>
      <c r="L27" s="429" t="s">
        <v>16</v>
      </c>
      <c r="M27" s="430"/>
      <c r="N27" s="440"/>
      <c r="O27" s="440"/>
      <c r="P27" s="440"/>
      <c r="Q27" s="440"/>
      <c r="R27" s="440"/>
      <c r="S27" s="440"/>
      <c r="T27" s="440"/>
      <c r="U27" s="440"/>
      <c r="V27" s="9"/>
      <c r="W27" s="9"/>
    </row>
    <row r="28" spans="2:23" ht="50.1" customHeight="1" thickTop="1" x14ac:dyDescent="0.25">
      <c r="B28" s="38">
        <v>1</v>
      </c>
      <c r="C28" s="156">
        <f>C13</f>
        <v>45525</v>
      </c>
      <c r="D28" s="431" t="s">
        <v>6</v>
      </c>
      <c r="E28" s="431"/>
      <c r="F28" s="157">
        <f>F13</f>
        <v>45527</v>
      </c>
      <c r="G28" s="433"/>
      <c r="H28" s="434"/>
      <c r="I28" s="158">
        <v>4</v>
      </c>
      <c r="J28" s="425" t="s">
        <v>232</v>
      </c>
      <c r="K28" s="426"/>
      <c r="L28" s="425" t="s">
        <v>245</v>
      </c>
      <c r="M28" s="434"/>
      <c r="N28" s="438"/>
      <c r="O28" s="438"/>
      <c r="P28" s="438"/>
      <c r="Q28" s="438"/>
      <c r="R28" s="438"/>
      <c r="S28" s="438"/>
      <c r="T28" s="438"/>
      <c r="U28" s="438"/>
      <c r="V28" s="9"/>
      <c r="W28" s="9"/>
    </row>
    <row r="29" spans="2:23" ht="24.95" customHeight="1" x14ac:dyDescent="0.25">
      <c r="B29" s="55" t="s">
        <v>105</v>
      </c>
      <c r="C29" s="14"/>
      <c r="D29" s="14"/>
      <c r="E29" s="14"/>
      <c r="F29" s="14"/>
      <c r="G29" s="13"/>
      <c r="H29" s="13"/>
      <c r="I29" s="13"/>
      <c r="J29" s="13"/>
      <c r="K29" s="13"/>
      <c r="L29" s="13"/>
      <c r="M29" s="13"/>
      <c r="N29" s="13"/>
      <c r="O29" s="13"/>
      <c r="U29" s="20"/>
    </row>
    <row r="30" spans="2:23" s="10" customFormat="1" ht="20.100000000000001" customHeight="1" x14ac:dyDescent="0.25">
      <c r="B30" s="29" t="s">
        <v>82</v>
      </c>
      <c r="C30" s="354" t="s">
        <v>127</v>
      </c>
      <c r="D30" s="354"/>
      <c r="E30" s="354"/>
      <c r="F30" s="354"/>
      <c r="G30" s="354"/>
      <c r="H30" s="354"/>
      <c r="I30" s="354"/>
      <c r="J30" s="373" t="s">
        <v>83</v>
      </c>
      <c r="K30" s="400"/>
      <c r="L30" s="374"/>
      <c r="M30" s="373" t="s">
        <v>84</v>
      </c>
      <c r="N30" s="400"/>
      <c r="O30" s="374"/>
      <c r="P30" s="354" t="s">
        <v>33</v>
      </c>
      <c r="Q30" s="354"/>
      <c r="R30" s="354"/>
      <c r="U30" s="25"/>
    </row>
    <row r="31" spans="2:23" s="28" customFormat="1" ht="17.100000000000001" customHeight="1" x14ac:dyDescent="0.25">
      <c r="B31" s="39">
        <v>1</v>
      </c>
      <c r="C31" s="334" t="s">
        <v>18</v>
      </c>
      <c r="D31" s="334"/>
      <c r="E31" s="334"/>
      <c r="F31" s="334"/>
      <c r="G31" s="334"/>
      <c r="H31" s="334"/>
      <c r="I31" s="334"/>
      <c r="J31" s="412" t="s">
        <v>30</v>
      </c>
      <c r="K31" s="413"/>
      <c r="L31" s="414"/>
      <c r="M31" s="412" t="s">
        <v>30</v>
      </c>
      <c r="N31" s="413"/>
      <c r="O31" s="414"/>
      <c r="P31" s="415" t="s">
        <v>30</v>
      </c>
      <c r="Q31" s="415"/>
      <c r="R31" s="415"/>
      <c r="U31" s="56"/>
    </row>
    <row r="32" spans="2:23" s="28" customFormat="1" ht="17.100000000000001" customHeight="1" x14ac:dyDescent="0.25">
      <c r="B32" s="39">
        <v>2</v>
      </c>
      <c r="C32" s="334" t="s">
        <v>19</v>
      </c>
      <c r="D32" s="334"/>
      <c r="E32" s="334"/>
      <c r="F32" s="334"/>
      <c r="G32" s="334"/>
      <c r="H32" s="334"/>
      <c r="I32" s="334"/>
      <c r="J32" s="412" t="s">
        <v>30</v>
      </c>
      <c r="K32" s="413"/>
      <c r="L32" s="414"/>
      <c r="M32" s="412" t="s">
        <v>30</v>
      </c>
      <c r="N32" s="413"/>
      <c r="O32" s="414"/>
      <c r="P32" s="415" t="s">
        <v>30</v>
      </c>
      <c r="Q32" s="415"/>
      <c r="R32" s="415"/>
      <c r="U32" s="56"/>
    </row>
    <row r="33" spans="2:21" s="28" customFormat="1" ht="17.100000000000001" customHeight="1" x14ac:dyDescent="0.25">
      <c r="B33" s="39">
        <v>3</v>
      </c>
      <c r="C33" s="432" t="s">
        <v>122</v>
      </c>
      <c r="D33" s="432"/>
      <c r="E33" s="432"/>
      <c r="F33" s="432"/>
      <c r="G33" s="432"/>
      <c r="H33" s="432"/>
      <c r="I33" s="432"/>
      <c r="J33" s="412" t="s">
        <v>30</v>
      </c>
      <c r="K33" s="413"/>
      <c r="L33" s="414"/>
      <c r="M33" s="412" t="s">
        <v>30</v>
      </c>
      <c r="N33" s="413"/>
      <c r="O33" s="414"/>
      <c r="P33" s="415" t="s">
        <v>30</v>
      </c>
      <c r="Q33" s="415"/>
      <c r="R33" s="415"/>
      <c r="U33" s="56"/>
    </row>
    <row r="34" spans="2:21" s="28" customFormat="1" ht="17.100000000000001" customHeight="1" x14ac:dyDescent="0.25">
      <c r="B34" s="39">
        <v>4</v>
      </c>
      <c r="C34" s="334" t="s">
        <v>20</v>
      </c>
      <c r="D34" s="334"/>
      <c r="E34" s="334"/>
      <c r="F34" s="334"/>
      <c r="G34" s="334"/>
      <c r="H34" s="334"/>
      <c r="I34" s="334"/>
      <c r="J34" s="412" t="s">
        <v>30</v>
      </c>
      <c r="K34" s="413"/>
      <c r="L34" s="414"/>
      <c r="M34" s="412" t="s">
        <v>30</v>
      </c>
      <c r="N34" s="413"/>
      <c r="O34" s="414"/>
      <c r="P34" s="415" t="s">
        <v>30</v>
      </c>
      <c r="Q34" s="415"/>
      <c r="R34" s="415"/>
      <c r="U34" s="56"/>
    </row>
    <row r="35" spans="2:21" s="28" customFormat="1" ht="17.100000000000001" customHeight="1" x14ac:dyDescent="0.25">
      <c r="B35" s="39">
        <v>5</v>
      </c>
      <c r="C35" s="334" t="s">
        <v>21</v>
      </c>
      <c r="D35" s="334"/>
      <c r="E35" s="334"/>
      <c r="F35" s="334"/>
      <c r="G35" s="334"/>
      <c r="H35" s="334"/>
      <c r="I35" s="334"/>
      <c r="J35" s="412" t="s">
        <v>30</v>
      </c>
      <c r="K35" s="413"/>
      <c r="L35" s="414"/>
      <c r="M35" s="412" t="s">
        <v>30</v>
      </c>
      <c r="N35" s="413"/>
      <c r="O35" s="414"/>
      <c r="P35" s="415" t="s">
        <v>30</v>
      </c>
      <c r="Q35" s="415"/>
      <c r="R35" s="415"/>
      <c r="U35" s="56"/>
    </row>
    <row r="36" spans="2:21" s="28" customFormat="1" ht="17.100000000000001" customHeight="1" x14ac:dyDescent="0.25">
      <c r="B36" s="39">
        <v>6</v>
      </c>
      <c r="C36" s="432" t="s">
        <v>123</v>
      </c>
      <c r="D36" s="432"/>
      <c r="E36" s="432"/>
      <c r="F36" s="432"/>
      <c r="G36" s="432"/>
      <c r="H36" s="432"/>
      <c r="I36" s="432"/>
      <c r="J36" s="412" t="s">
        <v>30</v>
      </c>
      <c r="K36" s="413"/>
      <c r="L36" s="414"/>
      <c r="M36" s="412" t="s">
        <v>30</v>
      </c>
      <c r="N36" s="413"/>
      <c r="O36" s="414"/>
      <c r="P36" s="415" t="s">
        <v>30</v>
      </c>
      <c r="Q36" s="415"/>
      <c r="R36" s="415"/>
      <c r="U36" s="56"/>
    </row>
    <row r="37" spans="2:21" s="28" customFormat="1" ht="35.1" customHeight="1" x14ac:dyDescent="0.25">
      <c r="B37" s="39">
        <v>7</v>
      </c>
      <c r="C37" s="334" t="s">
        <v>22</v>
      </c>
      <c r="D37" s="334"/>
      <c r="E37" s="334"/>
      <c r="F37" s="334"/>
      <c r="G37" s="334"/>
      <c r="H37" s="334"/>
      <c r="I37" s="334"/>
      <c r="J37" s="359" t="s">
        <v>124</v>
      </c>
      <c r="K37" s="360"/>
      <c r="L37" s="361"/>
      <c r="M37" s="359" t="s">
        <v>125</v>
      </c>
      <c r="N37" s="360"/>
      <c r="O37" s="361"/>
      <c r="P37" s="416" t="s">
        <v>125</v>
      </c>
      <c r="Q37" s="416"/>
      <c r="R37" s="416"/>
      <c r="U37" s="56"/>
    </row>
    <row r="38" spans="2:21" s="28" customFormat="1" ht="35.1" customHeight="1" x14ac:dyDescent="0.25">
      <c r="B38" s="39">
        <v>8</v>
      </c>
      <c r="C38" s="334" t="s">
        <v>23</v>
      </c>
      <c r="D38" s="334"/>
      <c r="E38" s="334"/>
      <c r="F38" s="334"/>
      <c r="G38" s="334"/>
      <c r="H38" s="334"/>
      <c r="I38" s="334"/>
      <c r="J38" s="331" t="s">
        <v>31</v>
      </c>
      <c r="K38" s="332"/>
      <c r="L38" s="333"/>
      <c r="M38" s="359" t="s">
        <v>126</v>
      </c>
      <c r="N38" s="360"/>
      <c r="O38" s="361"/>
      <c r="P38" s="416" t="s">
        <v>126</v>
      </c>
      <c r="Q38" s="416"/>
      <c r="R38" s="416"/>
      <c r="U38" s="56"/>
    </row>
    <row r="39" spans="2:21" s="28" customFormat="1" ht="17.100000000000001" customHeight="1" x14ac:dyDescent="0.25">
      <c r="B39" s="39">
        <v>9</v>
      </c>
      <c r="C39" s="334" t="s">
        <v>24</v>
      </c>
      <c r="D39" s="334"/>
      <c r="E39" s="334"/>
      <c r="F39" s="334"/>
      <c r="G39" s="334"/>
      <c r="H39" s="334"/>
      <c r="I39" s="334"/>
      <c r="J39" s="331" t="s">
        <v>31</v>
      </c>
      <c r="K39" s="332"/>
      <c r="L39" s="333"/>
      <c r="M39" s="331" t="s">
        <v>31</v>
      </c>
      <c r="N39" s="332"/>
      <c r="O39" s="333"/>
      <c r="P39" s="323" t="s">
        <v>31</v>
      </c>
      <c r="Q39" s="323"/>
      <c r="R39" s="323"/>
      <c r="U39" s="56"/>
    </row>
    <row r="40" spans="2:21" s="28" customFormat="1" ht="17.100000000000001" customHeight="1" x14ac:dyDescent="0.25">
      <c r="B40" s="39">
        <v>10</v>
      </c>
      <c r="C40" s="334" t="s">
        <v>25</v>
      </c>
      <c r="D40" s="334"/>
      <c r="E40" s="334"/>
      <c r="F40" s="334"/>
      <c r="G40" s="334"/>
      <c r="H40" s="334"/>
      <c r="I40" s="334"/>
      <c r="J40" s="331" t="s">
        <v>31</v>
      </c>
      <c r="K40" s="332"/>
      <c r="L40" s="333"/>
      <c r="M40" s="331" t="s">
        <v>31</v>
      </c>
      <c r="N40" s="332"/>
      <c r="O40" s="333"/>
      <c r="P40" s="323" t="s">
        <v>31</v>
      </c>
      <c r="Q40" s="323"/>
      <c r="R40" s="323"/>
      <c r="U40" s="56"/>
    </row>
    <row r="41" spans="2:21" s="28" customFormat="1" ht="17.100000000000001" customHeight="1" x14ac:dyDescent="0.25">
      <c r="B41" s="39">
        <v>11</v>
      </c>
      <c r="C41" s="334" t="s">
        <v>26</v>
      </c>
      <c r="D41" s="334"/>
      <c r="E41" s="334"/>
      <c r="F41" s="334"/>
      <c r="G41" s="334"/>
      <c r="H41" s="334"/>
      <c r="I41" s="334"/>
      <c r="J41" s="331" t="s">
        <v>31</v>
      </c>
      <c r="K41" s="332"/>
      <c r="L41" s="333"/>
      <c r="M41" s="331" t="s">
        <v>31</v>
      </c>
      <c r="N41" s="332"/>
      <c r="O41" s="333"/>
      <c r="P41" s="323" t="s">
        <v>31</v>
      </c>
      <c r="Q41" s="323"/>
      <c r="R41" s="323"/>
      <c r="U41" s="56"/>
    </row>
    <row r="42" spans="2:21" s="28" customFormat="1" ht="17.100000000000001" customHeight="1" x14ac:dyDescent="0.25">
      <c r="B42" s="39">
        <v>12</v>
      </c>
      <c r="C42" s="334" t="s">
        <v>27</v>
      </c>
      <c r="D42" s="334"/>
      <c r="E42" s="334"/>
      <c r="F42" s="334"/>
      <c r="G42" s="334"/>
      <c r="H42" s="334"/>
      <c r="I42" s="334"/>
      <c r="J42" s="331" t="s">
        <v>31</v>
      </c>
      <c r="K42" s="332"/>
      <c r="L42" s="333"/>
      <c r="M42" s="331" t="s">
        <v>31</v>
      </c>
      <c r="N42" s="332"/>
      <c r="O42" s="333"/>
      <c r="P42" s="323" t="s">
        <v>31</v>
      </c>
      <c r="Q42" s="323"/>
      <c r="R42" s="323"/>
      <c r="U42" s="56"/>
    </row>
    <row r="43" spans="2:21" s="28" customFormat="1" ht="17.100000000000001" customHeight="1" x14ac:dyDescent="0.25">
      <c r="B43" s="39">
        <v>13</v>
      </c>
      <c r="C43" s="334" t="s">
        <v>28</v>
      </c>
      <c r="D43" s="334"/>
      <c r="E43" s="334"/>
      <c r="F43" s="334"/>
      <c r="G43" s="334"/>
      <c r="H43" s="334"/>
      <c r="I43" s="334"/>
      <c r="J43" s="331" t="s">
        <v>32</v>
      </c>
      <c r="K43" s="332"/>
      <c r="L43" s="333"/>
      <c r="M43" s="331" t="s">
        <v>32</v>
      </c>
      <c r="N43" s="332"/>
      <c r="O43" s="333"/>
      <c r="P43" s="323" t="s">
        <v>32</v>
      </c>
      <c r="Q43" s="323"/>
      <c r="R43" s="323"/>
      <c r="U43" s="56"/>
    </row>
    <row r="44" spans="2:21" s="28" customFormat="1" ht="17.100000000000001" customHeight="1" x14ac:dyDescent="0.25">
      <c r="B44" s="39">
        <v>14</v>
      </c>
      <c r="C44" s="334" t="s">
        <v>29</v>
      </c>
      <c r="D44" s="334"/>
      <c r="E44" s="334"/>
      <c r="F44" s="334"/>
      <c r="G44" s="334"/>
      <c r="H44" s="334"/>
      <c r="I44" s="334"/>
      <c r="J44" s="331" t="s">
        <v>31</v>
      </c>
      <c r="K44" s="332"/>
      <c r="L44" s="333"/>
      <c r="M44" s="331" t="s">
        <v>31</v>
      </c>
      <c r="N44" s="332"/>
      <c r="O44" s="333"/>
      <c r="P44" s="323" t="s">
        <v>31</v>
      </c>
      <c r="Q44" s="323"/>
      <c r="R44" s="323"/>
      <c r="U44" s="56"/>
    </row>
    <row r="45" spans="2:21" ht="24.95" customHeight="1" x14ac:dyDescent="0.25">
      <c r="B45" s="55" t="s">
        <v>154</v>
      </c>
      <c r="C45" s="14"/>
      <c r="D45" s="14"/>
      <c r="E45" s="14"/>
      <c r="F45" s="14"/>
      <c r="G45" s="13"/>
      <c r="H45" s="13"/>
      <c r="I45" s="13"/>
      <c r="J45" s="13"/>
      <c r="K45" s="13"/>
      <c r="L45" s="13"/>
      <c r="M45" s="13"/>
      <c r="N45" s="13"/>
      <c r="O45" s="13"/>
      <c r="U45" s="20"/>
    </row>
    <row r="46" spans="2:21" s="32" customFormat="1" ht="17.100000000000001" customHeight="1" x14ac:dyDescent="0.25">
      <c r="B46" s="354" t="s">
        <v>50</v>
      </c>
      <c r="C46" s="354"/>
      <c r="D46" s="354" t="s">
        <v>97</v>
      </c>
      <c r="E46" s="354"/>
      <c r="F46" s="354"/>
      <c r="G46" s="354"/>
      <c r="H46" s="358" t="s">
        <v>102</v>
      </c>
      <c r="I46" s="358"/>
      <c r="J46" s="358"/>
      <c r="K46" s="358" t="s">
        <v>103</v>
      </c>
      <c r="L46" s="358"/>
      <c r="M46" s="358"/>
      <c r="N46" s="358"/>
      <c r="O46" s="358"/>
      <c r="U46" s="57"/>
    </row>
    <row r="47" spans="2:21" s="12" customFormat="1" ht="17.100000000000001" customHeight="1" x14ac:dyDescent="0.25">
      <c r="B47" s="355" t="s">
        <v>98</v>
      </c>
      <c r="C47" s="355"/>
      <c r="D47" s="355" t="s">
        <v>100</v>
      </c>
      <c r="E47" s="355"/>
      <c r="F47" s="355"/>
      <c r="G47" s="355"/>
      <c r="H47" s="356" t="s">
        <v>100</v>
      </c>
      <c r="I47" s="356"/>
      <c r="J47" s="356"/>
      <c r="K47" s="356" t="s">
        <v>104</v>
      </c>
      <c r="L47" s="356"/>
      <c r="M47" s="356"/>
      <c r="N47" s="356"/>
      <c r="O47" s="356"/>
      <c r="U47" s="58"/>
    </row>
    <row r="48" spans="2:21" s="12" customFormat="1" ht="17.100000000000001" customHeight="1" x14ac:dyDescent="0.25">
      <c r="B48" s="355" t="s">
        <v>99</v>
      </c>
      <c r="C48" s="355"/>
      <c r="D48" s="355" t="s">
        <v>101</v>
      </c>
      <c r="E48" s="355"/>
      <c r="F48" s="355"/>
      <c r="G48" s="355"/>
      <c r="H48" s="356" t="s">
        <v>100</v>
      </c>
      <c r="I48" s="356"/>
      <c r="J48" s="356"/>
      <c r="K48" s="356" t="s">
        <v>100</v>
      </c>
      <c r="L48" s="356"/>
      <c r="M48" s="356"/>
      <c r="N48" s="356"/>
      <c r="O48" s="356"/>
      <c r="U48" s="58"/>
    </row>
    <row r="49" spans="2:21" s="28" customFormat="1" ht="15" customHeight="1" x14ac:dyDescent="0.25">
      <c r="B49" s="37"/>
      <c r="C49" s="31"/>
      <c r="D49" s="31"/>
      <c r="E49" s="31"/>
      <c r="F49" s="31"/>
      <c r="G49" s="31"/>
      <c r="H49" s="31"/>
      <c r="I49" s="31"/>
      <c r="J49" s="30"/>
      <c r="K49" s="30"/>
      <c r="L49" s="30"/>
      <c r="M49" s="30"/>
      <c r="N49" s="30"/>
      <c r="O49" s="30"/>
      <c r="U49" s="56"/>
    </row>
    <row r="50" spans="2:21" ht="20.100000000000001" customHeight="1" x14ac:dyDescent="0.25">
      <c r="B50" s="52" t="s">
        <v>75</v>
      </c>
      <c r="U50" s="20"/>
    </row>
    <row r="51" spans="2:21" s="27" customFormat="1" ht="20.100000000000001" customHeight="1" x14ac:dyDescent="0.25">
      <c r="B51" s="349" t="s">
        <v>1</v>
      </c>
      <c r="C51" s="324" t="s">
        <v>51</v>
      </c>
      <c r="D51" s="325"/>
      <c r="E51" s="325"/>
      <c r="F51" s="326"/>
      <c r="G51" s="324" t="s">
        <v>52</v>
      </c>
      <c r="H51" s="325"/>
      <c r="I51" s="325"/>
      <c r="J51" s="325"/>
      <c r="K51" s="326"/>
      <c r="L51" s="362" t="s">
        <v>121</v>
      </c>
      <c r="M51" s="362"/>
      <c r="N51" s="362"/>
      <c r="O51" s="362"/>
      <c r="P51" s="362"/>
      <c r="Q51" s="362"/>
      <c r="R51" s="362"/>
      <c r="S51" s="362"/>
      <c r="U51" s="59"/>
    </row>
    <row r="52" spans="2:21" s="27" customFormat="1" ht="20.100000000000001" customHeight="1" thickBot="1" x14ac:dyDescent="0.3">
      <c r="B52" s="350"/>
      <c r="C52" s="327"/>
      <c r="D52" s="328"/>
      <c r="E52" s="328"/>
      <c r="F52" s="329"/>
      <c r="G52" s="327"/>
      <c r="H52" s="328"/>
      <c r="I52" s="328"/>
      <c r="J52" s="328"/>
      <c r="K52" s="329"/>
      <c r="L52" s="330" t="s">
        <v>79</v>
      </c>
      <c r="M52" s="330"/>
      <c r="N52" s="330" t="s">
        <v>80</v>
      </c>
      <c r="O52" s="330"/>
      <c r="P52" s="330" t="s">
        <v>81</v>
      </c>
      <c r="Q52" s="330"/>
      <c r="R52" s="330" t="s">
        <v>116</v>
      </c>
      <c r="S52" s="330"/>
      <c r="U52" s="59"/>
    </row>
    <row r="53" spans="2:21" ht="34.5" customHeight="1" thickTop="1" x14ac:dyDescent="0.25">
      <c r="B53" s="38">
        <v>1</v>
      </c>
      <c r="C53" s="357" t="s">
        <v>249</v>
      </c>
      <c r="D53" s="357"/>
      <c r="E53" s="357"/>
      <c r="F53" s="357"/>
      <c r="G53" s="363" t="s">
        <v>244</v>
      </c>
      <c r="H53" s="363"/>
      <c r="I53" s="363"/>
      <c r="J53" s="363"/>
      <c r="K53" s="363"/>
      <c r="L53" s="348" t="s">
        <v>246</v>
      </c>
      <c r="M53" s="348"/>
      <c r="N53" s="348" t="s">
        <v>91</v>
      </c>
      <c r="O53" s="348"/>
      <c r="P53" s="348"/>
      <c r="Q53" s="348"/>
      <c r="R53" s="348"/>
      <c r="S53" s="348"/>
      <c r="U53" s="20"/>
    </row>
    <row r="54" spans="2:21" ht="24.95" customHeight="1" x14ac:dyDescent="0.25">
      <c r="B54" s="16">
        <v>2</v>
      </c>
      <c r="C54" s="320"/>
      <c r="D54" s="320"/>
      <c r="E54" s="320"/>
      <c r="F54" s="320"/>
      <c r="G54" s="321"/>
      <c r="H54" s="321"/>
      <c r="I54" s="321"/>
      <c r="J54" s="321"/>
      <c r="K54" s="321"/>
      <c r="L54" s="322"/>
      <c r="M54" s="322"/>
      <c r="N54" s="322"/>
      <c r="O54" s="322"/>
      <c r="P54" s="322"/>
      <c r="Q54" s="322"/>
      <c r="R54" s="322"/>
      <c r="S54" s="322"/>
      <c r="U54" s="20"/>
    </row>
    <row r="55" spans="2:21" ht="24.95" customHeight="1" x14ac:dyDescent="0.25">
      <c r="B55" s="16">
        <v>3</v>
      </c>
      <c r="C55" s="320"/>
      <c r="D55" s="320"/>
      <c r="E55" s="320"/>
      <c r="F55" s="320"/>
      <c r="G55" s="321"/>
      <c r="H55" s="321"/>
      <c r="I55" s="321"/>
      <c r="J55" s="321"/>
      <c r="K55" s="321"/>
      <c r="L55" s="322"/>
      <c r="M55" s="322"/>
      <c r="N55" s="322"/>
      <c r="O55" s="322"/>
      <c r="P55" s="322"/>
      <c r="Q55" s="322"/>
      <c r="R55" s="322"/>
      <c r="S55" s="322"/>
      <c r="U55" s="20"/>
    </row>
    <row r="56" spans="2:21" ht="24.95" customHeight="1" x14ac:dyDescent="0.25">
      <c r="B56" s="16">
        <v>4</v>
      </c>
      <c r="C56" s="320"/>
      <c r="D56" s="320"/>
      <c r="E56" s="320"/>
      <c r="F56" s="320"/>
      <c r="G56" s="321"/>
      <c r="H56" s="321"/>
      <c r="I56" s="321"/>
      <c r="J56" s="321"/>
      <c r="K56" s="321"/>
      <c r="L56" s="322"/>
      <c r="M56" s="322"/>
      <c r="N56" s="322"/>
      <c r="O56" s="322"/>
      <c r="P56" s="322"/>
      <c r="Q56" s="322"/>
      <c r="R56" s="322"/>
      <c r="S56" s="322"/>
      <c r="U56" s="20"/>
    </row>
    <row r="57" spans="2:21" ht="24.95" customHeight="1" x14ac:dyDescent="0.25">
      <c r="B57" s="55" t="s">
        <v>155</v>
      </c>
      <c r="U57" s="20"/>
    </row>
    <row r="58" spans="2:21" s="28" customFormat="1" ht="20.100000000000001" customHeight="1" x14ac:dyDescent="0.25">
      <c r="B58" s="373" t="s">
        <v>86</v>
      </c>
      <c r="C58" s="374"/>
      <c r="D58" s="373" t="s">
        <v>85</v>
      </c>
      <c r="E58" s="400"/>
      <c r="F58" s="400"/>
      <c r="G58" s="374"/>
      <c r="H58" s="354" t="s">
        <v>115</v>
      </c>
      <c r="I58" s="354"/>
      <c r="J58" s="354"/>
      <c r="K58" s="354"/>
      <c r="L58" s="30"/>
      <c r="M58" s="30"/>
      <c r="N58" s="30"/>
      <c r="O58" s="30"/>
      <c r="P58" s="30"/>
      <c r="Q58" s="30"/>
      <c r="U58" s="56"/>
    </row>
    <row r="59" spans="2:21" s="28" customFormat="1" ht="17.100000000000001" customHeight="1" x14ac:dyDescent="0.25">
      <c r="B59" s="346" t="s">
        <v>87</v>
      </c>
      <c r="C59" s="347"/>
      <c r="D59" s="343" t="s">
        <v>94</v>
      </c>
      <c r="E59" s="344"/>
      <c r="F59" s="344"/>
      <c r="G59" s="345"/>
      <c r="H59" s="393" t="s">
        <v>120</v>
      </c>
      <c r="I59" s="393"/>
      <c r="J59" s="393"/>
      <c r="K59" s="393"/>
      <c r="L59" s="30"/>
      <c r="M59" s="30"/>
      <c r="N59" s="30"/>
      <c r="O59" s="394" t="s">
        <v>118</v>
      </c>
      <c r="P59" s="395"/>
      <c r="Q59" s="396"/>
      <c r="U59" s="56"/>
    </row>
    <row r="60" spans="2:21" s="28" customFormat="1" ht="17.100000000000001" customHeight="1" x14ac:dyDescent="0.2">
      <c r="B60" s="346" t="s">
        <v>88</v>
      </c>
      <c r="C60" s="347"/>
      <c r="D60" s="343" t="s">
        <v>94</v>
      </c>
      <c r="E60" s="344"/>
      <c r="F60" s="344"/>
      <c r="G60" s="345"/>
      <c r="H60" s="393"/>
      <c r="I60" s="393"/>
      <c r="J60" s="393"/>
      <c r="K60" s="393"/>
      <c r="L60" s="30"/>
      <c r="M60" s="30"/>
      <c r="N60" s="30"/>
      <c r="O60" s="397"/>
      <c r="P60" s="398"/>
      <c r="Q60" s="399"/>
      <c r="U60" s="56"/>
    </row>
    <row r="61" spans="2:21" s="28" customFormat="1" ht="17.100000000000001" customHeight="1" x14ac:dyDescent="0.25">
      <c r="B61" s="346" t="s">
        <v>89</v>
      </c>
      <c r="C61" s="347"/>
      <c r="D61" s="343" t="s">
        <v>94</v>
      </c>
      <c r="E61" s="344"/>
      <c r="F61" s="344"/>
      <c r="G61" s="345"/>
      <c r="H61" s="393"/>
      <c r="I61" s="393"/>
      <c r="J61" s="393"/>
      <c r="K61" s="393"/>
      <c r="L61" s="30"/>
      <c r="M61" s="30"/>
      <c r="N61" s="30"/>
      <c r="O61" s="387"/>
      <c r="P61" s="388"/>
      <c r="Q61" s="389"/>
      <c r="U61" s="56"/>
    </row>
    <row r="62" spans="2:21" s="28" customFormat="1" ht="17.100000000000001" customHeight="1" x14ac:dyDescent="0.2">
      <c r="B62" s="346" t="s">
        <v>90</v>
      </c>
      <c r="C62" s="347"/>
      <c r="D62" s="343" t="s">
        <v>95</v>
      </c>
      <c r="E62" s="344"/>
      <c r="F62" s="344"/>
      <c r="G62" s="345"/>
      <c r="H62" s="393"/>
      <c r="I62" s="393"/>
      <c r="J62" s="393"/>
      <c r="K62" s="393"/>
      <c r="L62" s="30"/>
      <c r="M62" s="30"/>
      <c r="N62" s="30"/>
      <c r="O62" s="390"/>
      <c r="P62" s="391"/>
      <c r="Q62" s="392"/>
      <c r="U62" s="56"/>
    </row>
    <row r="63" spans="2:21" s="28" customFormat="1" ht="17.100000000000001" customHeight="1" x14ac:dyDescent="0.25">
      <c r="B63" s="346" t="s">
        <v>91</v>
      </c>
      <c r="C63" s="347"/>
      <c r="D63" s="343" t="s">
        <v>95</v>
      </c>
      <c r="E63" s="344"/>
      <c r="F63" s="344"/>
      <c r="G63" s="345"/>
      <c r="H63" s="393"/>
      <c r="I63" s="393"/>
      <c r="J63" s="393"/>
      <c r="K63" s="393"/>
      <c r="L63" s="30"/>
      <c r="M63" s="30"/>
      <c r="N63" s="30"/>
      <c r="O63" s="79" t="s">
        <v>117</v>
      </c>
      <c r="P63" s="106"/>
      <c r="Q63" s="80"/>
      <c r="U63" s="56"/>
    </row>
    <row r="64" spans="2:21" s="28" customFormat="1" ht="17.100000000000001" customHeight="1" x14ac:dyDescent="0.25">
      <c r="B64" s="346" t="s">
        <v>92</v>
      </c>
      <c r="C64" s="347"/>
      <c r="D64" s="343" t="s">
        <v>96</v>
      </c>
      <c r="E64" s="344"/>
      <c r="F64" s="344"/>
      <c r="G64" s="345"/>
      <c r="H64" s="393"/>
      <c r="I64" s="393"/>
      <c r="J64" s="393"/>
      <c r="K64" s="393"/>
      <c r="L64" s="30"/>
      <c r="M64" s="30"/>
      <c r="N64" s="30"/>
      <c r="O64" s="79" t="s">
        <v>158</v>
      </c>
      <c r="P64" s="164"/>
      <c r="Q64" s="105"/>
      <c r="U64" s="56"/>
    </row>
    <row r="65" spans="2:21" s="28" customFormat="1" ht="17.100000000000001" customHeight="1" x14ac:dyDescent="0.25">
      <c r="B65" s="346" t="s">
        <v>93</v>
      </c>
      <c r="C65" s="347"/>
      <c r="D65" s="343" t="s">
        <v>96</v>
      </c>
      <c r="E65" s="344"/>
      <c r="F65" s="344"/>
      <c r="G65" s="345"/>
      <c r="H65" s="393"/>
      <c r="I65" s="393"/>
      <c r="J65" s="393"/>
      <c r="K65" s="393"/>
      <c r="L65" s="30"/>
      <c r="M65" s="30"/>
      <c r="N65" s="30"/>
      <c r="O65" s="30"/>
      <c r="P65" s="30"/>
      <c r="U65" s="56"/>
    </row>
    <row r="66" spans="2:21" s="28" customFormat="1" ht="9.9499999999999993" customHeight="1" thickBot="1" x14ac:dyDescent="0.3">
      <c r="B66" s="60"/>
      <c r="C66" s="45"/>
      <c r="D66" s="45"/>
      <c r="E66" s="45"/>
      <c r="F66" s="45"/>
      <c r="G66" s="46"/>
      <c r="H66" s="46"/>
      <c r="I66" s="46"/>
      <c r="J66" s="46"/>
      <c r="K66" s="46"/>
      <c r="L66" s="47"/>
      <c r="M66" s="47"/>
      <c r="N66" s="47"/>
      <c r="O66" s="47"/>
      <c r="P66" s="47"/>
      <c r="Q66" s="47"/>
      <c r="R66" s="48"/>
      <c r="S66" s="48"/>
      <c r="T66" s="48"/>
      <c r="U66" s="61"/>
    </row>
    <row r="67" spans="2:21" s="13" customFormat="1" ht="17.100000000000001" customHeight="1" thickTop="1" x14ac:dyDescent="0.25">
      <c r="B67" s="369" t="s">
        <v>140</v>
      </c>
      <c r="C67" s="370"/>
      <c r="D67" s="370"/>
      <c r="E67" s="370"/>
      <c r="F67" s="370"/>
      <c r="G67" s="370"/>
      <c r="H67" s="370"/>
      <c r="I67" s="370"/>
      <c r="J67" s="62"/>
      <c r="K67" s="62"/>
      <c r="L67" s="63"/>
      <c r="M67" s="63"/>
      <c r="N67" s="63"/>
      <c r="O67" s="63"/>
      <c r="P67" s="63"/>
      <c r="Q67" s="63"/>
      <c r="R67" s="337" t="s">
        <v>149</v>
      </c>
      <c r="S67" s="338"/>
      <c r="T67" s="338"/>
      <c r="U67" s="339"/>
    </row>
    <row r="68" spans="2:21" s="13" customFormat="1" ht="17.100000000000001" customHeight="1" x14ac:dyDescent="0.25">
      <c r="B68" s="371"/>
      <c r="C68" s="372"/>
      <c r="D68" s="372"/>
      <c r="E68" s="372"/>
      <c r="F68" s="372"/>
      <c r="G68" s="372"/>
      <c r="H68" s="372"/>
      <c r="I68" s="372"/>
      <c r="J68" s="62"/>
      <c r="K68" s="62"/>
      <c r="L68" s="63"/>
      <c r="M68" s="63"/>
      <c r="N68" s="63"/>
      <c r="O68" s="63"/>
      <c r="P68" s="63"/>
      <c r="Q68" s="63"/>
      <c r="R68" s="336" t="s">
        <v>141</v>
      </c>
      <c r="S68" s="336"/>
      <c r="T68" s="336"/>
      <c r="U68" s="336"/>
    </row>
    <row r="69" spans="2:21" s="27" customFormat="1" ht="17.100000000000001" customHeight="1" x14ac:dyDescent="0.25">
      <c r="B69" s="65" t="s">
        <v>128</v>
      </c>
      <c r="C69" s="364" t="s">
        <v>129</v>
      </c>
      <c r="D69" s="365"/>
      <c r="E69" s="365"/>
      <c r="F69" s="365"/>
      <c r="G69" s="365"/>
      <c r="H69" s="365"/>
      <c r="I69" s="365"/>
      <c r="J69" s="365"/>
      <c r="K69" s="366"/>
      <c r="L69" s="65" t="s">
        <v>136</v>
      </c>
      <c r="M69" s="364" t="s">
        <v>142</v>
      </c>
      <c r="N69" s="365"/>
      <c r="O69" s="365"/>
      <c r="P69" s="365"/>
      <c r="Q69" s="366"/>
      <c r="R69" s="336" t="s">
        <v>151</v>
      </c>
      <c r="S69" s="336"/>
      <c r="T69" s="336" t="s">
        <v>152</v>
      </c>
      <c r="U69" s="336"/>
    </row>
    <row r="70" spans="2:21" s="13" customFormat="1" ht="17.100000000000001" customHeight="1" x14ac:dyDescent="0.25">
      <c r="B70" s="16">
        <v>1</v>
      </c>
      <c r="C70" s="340" t="s">
        <v>130</v>
      </c>
      <c r="D70" s="341"/>
      <c r="E70" s="341"/>
      <c r="F70" s="341"/>
      <c r="G70" s="341"/>
      <c r="H70" s="341"/>
      <c r="I70" s="341"/>
      <c r="J70" s="341"/>
      <c r="K70" s="342"/>
      <c r="L70" s="16" t="s">
        <v>137</v>
      </c>
      <c r="M70" s="351" t="s">
        <v>145</v>
      </c>
      <c r="N70" s="316"/>
      <c r="O70" s="316"/>
      <c r="P70" s="316"/>
      <c r="Q70" s="316"/>
      <c r="R70" s="335">
        <f>+C13-15</f>
        <v>45510</v>
      </c>
      <c r="S70" s="352"/>
      <c r="T70" s="335"/>
      <c r="U70" s="335"/>
    </row>
    <row r="71" spans="2:21" s="13" customFormat="1" ht="17.100000000000001" customHeight="1" x14ac:dyDescent="0.25">
      <c r="B71" s="16">
        <v>2</v>
      </c>
      <c r="C71" s="340" t="s">
        <v>131</v>
      </c>
      <c r="D71" s="341"/>
      <c r="E71" s="341"/>
      <c r="F71" s="341"/>
      <c r="G71" s="341"/>
      <c r="H71" s="341"/>
      <c r="I71" s="341"/>
      <c r="J71" s="341"/>
      <c r="K71" s="342"/>
      <c r="L71" s="16" t="s">
        <v>138</v>
      </c>
      <c r="M71" s="351" t="s">
        <v>144</v>
      </c>
      <c r="N71" s="316"/>
      <c r="O71" s="316"/>
      <c r="P71" s="316"/>
      <c r="Q71" s="316"/>
      <c r="R71" s="335">
        <f>+C13-13</f>
        <v>45512</v>
      </c>
      <c r="S71" s="352"/>
      <c r="T71" s="335"/>
      <c r="U71" s="335"/>
    </row>
    <row r="72" spans="2:21" s="13" customFormat="1" ht="17.100000000000001" customHeight="1" x14ac:dyDescent="0.25">
      <c r="B72" s="16">
        <v>3</v>
      </c>
      <c r="C72" s="340" t="s">
        <v>156</v>
      </c>
      <c r="D72" s="341"/>
      <c r="E72" s="341"/>
      <c r="F72" s="341"/>
      <c r="G72" s="341"/>
      <c r="H72" s="341"/>
      <c r="I72" s="341"/>
      <c r="J72" s="341"/>
      <c r="K72" s="342"/>
      <c r="L72" s="16" t="s">
        <v>137</v>
      </c>
      <c r="M72" s="351" t="s">
        <v>143</v>
      </c>
      <c r="N72" s="316"/>
      <c r="O72" s="316"/>
      <c r="P72" s="316"/>
      <c r="Q72" s="316"/>
      <c r="R72" s="335">
        <f>+C13-10</f>
        <v>45515</v>
      </c>
      <c r="S72" s="352"/>
      <c r="T72" s="335"/>
      <c r="U72" s="335"/>
    </row>
    <row r="73" spans="2:21" s="13" customFormat="1" ht="17.100000000000001" customHeight="1" x14ac:dyDescent="0.25">
      <c r="B73" s="16">
        <v>4</v>
      </c>
      <c r="C73" s="340" t="s">
        <v>132</v>
      </c>
      <c r="D73" s="341"/>
      <c r="E73" s="341"/>
      <c r="F73" s="341"/>
      <c r="G73" s="341"/>
      <c r="H73" s="341"/>
      <c r="I73" s="341"/>
      <c r="J73" s="341"/>
      <c r="K73" s="342"/>
      <c r="L73" s="16" t="s">
        <v>138</v>
      </c>
      <c r="M73" s="351" t="s">
        <v>148</v>
      </c>
      <c r="N73" s="316"/>
      <c r="O73" s="316"/>
      <c r="P73" s="316"/>
      <c r="Q73" s="316"/>
      <c r="R73" s="335">
        <f>+C13-8</f>
        <v>45517</v>
      </c>
      <c r="S73" s="352"/>
      <c r="T73" s="335"/>
      <c r="U73" s="335"/>
    </row>
    <row r="74" spans="2:21" s="13" customFormat="1" ht="17.100000000000001" customHeight="1" x14ac:dyDescent="0.25">
      <c r="B74" s="16">
        <v>5</v>
      </c>
      <c r="C74" s="340" t="s">
        <v>133</v>
      </c>
      <c r="D74" s="341"/>
      <c r="E74" s="341"/>
      <c r="F74" s="341"/>
      <c r="G74" s="341"/>
      <c r="H74" s="341"/>
      <c r="I74" s="341"/>
      <c r="J74" s="341"/>
      <c r="K74" s="342"/>
      <c r="L74" s="16" t="s">
        <v>137</v>
      </c>
      <c r="M74" s="351" t="s">
        <v>188</v>
      </c>
      <c r="N74" s="316"/>
      <c r="O74" s="316"/>
      <c r="P74" s="316"/>
      <c r="Q74" s="316"/>
      <c r="R74" s="353">
        <v>45495</v>
      </c>
      <c r="S74" s="353"/>
      <c r="T74" s="335"/>
      <c r="U74" s="335"/>
    </row>
    <row r="75" spans="2:21" s="13" customFormat="1" ht="17.100000000000001" customHeight="1" x14ac:dyDescent="0.25">
      <c r="B75" s="16">
        <v>6</v>
      </c>
      <c r="C75" s="340" t="s">
        <v>134</v>
      </c>
      <c r="D75" s="341"/>
      <c r="E75" s="341"/>
      <c r="F75" s="341"/>
      <c r="G75" s="341"/>
      <c r="H75" s="341"/>
      <c r="I75" s="341"/>
      <c r="J75" s="341"/>
      <c r="K75" s="342"/>
      <c r="L75" s="16" t="s">
        <v>137</v>
      </c>
      <c r="M75" s="351" t="s">
        <v>159</v>
      </c>
      <c r="N75" s="316"/>
      <c r="O75" s="316"/>
      <c r="P75" s="316"/>
      <c r="Q75" s="316"/>
      <c r="R75" s="335">
        <f>+R73+7</f>
        <v>45524</v>
      </c>
      <c r="S75" s="352"/>
      <c r="T75" s="335"/>
      <c r="U75" s="335"/>
    </row>
    <row r="76" spans="2:21" s="13" customFormat="1" ht="17.100000000000001" customHeight="1" x14ac:dyDescent="0.25">
      <c r="B76" s="16">
        <v>7</v>
      </c>
      <c r="C76" s="340" t="s">
        <v>139</v>
      </c>
      <c r="D76" s="341"/>
      <c r="E76" s="341"/>
      <c r="F76" s="341"/>
      <c r="G76" s="341"/>
      <c r="H76" s="341"/>
      <c r="I76" s="341"/>
      <c r="J76" s="341"/>
      <c r="K76" s="342"/>
      <c r="L76" s="16" t="s">
        <v>138</v>
      </c>
      <c r="M76" s="351" t="s">
        <v>147</v>
      </c>
      <c r="N76" s="316"/>
      <c r="O76" s="316"/>
      <c r="P76" s="316"/>
      <c r="Q76" s="316"/>
      <c r="R76" s="335">
        <f>+C13-7</f>
        <v>45518</v>
      </c>
      <c r="S76" s="352"/>
      <c r="T76" s="335"/>
      <c r="U76" s="335"/>
    </row>
    <row r="77" spans="2:21" s="13" customFormat="1" ht="17.100000000000001" customHeight="1" x14ac:dyDescent="0.25">
      <c r="B77" s="16">
        <v>8</v>
      </c>
      <c r="C77" s="340" t="s">
        <v>135</v>
      </c>
      <c r="D77" s="341"/>
      <c r="E77" s="341"/>
      <c r="F77" s="341"/>
      <c r="G77" s="341"/>
      <c r="H77" s="341"/>
      <c r="I77" s="341"/>
      <c r="J77" s="341"/>
      <c r="K77" s="342"/>
      <c r="L77" s="16" t="s">
        <v>138</v>
      </c>
      <c r="M77" s="351" t="s">
        <v>146</v>
      </c>
      <c r="N77" s="316"/>
      <c r="O77" s="316"/>
      <c r="P77" s="316"/>
      <c r="Q77" s="316"/>
      <c r="R77" s="335">
        <f>+C13-1</f>
        <v>45524</v>
      </c>
      <c r="S77" s="352"/>
      <c r="T77" s="335"/>
      <c r="U77" s="335"/>
    </row>
    <row r="78" spans="2:21" s="13" customFormat="1" ht="17.100000000000001" customHeight="1" x14ac:dyDescent="0.25">
      <c r="B78" s="16">
        <v>9</v>
      </c>
      <c r="C78" s="340" t="s">
        <v>150</v>
      </c>
      <c r="D78" s="341"/>
      <c r="E78" s="341"/>
      <c r="F78" s="341"/>
      <c r="G78" s="341"/>
      <c r="H78" s="341"/>
      <c r="I78" s="341"/>
      <c r="J78" s="341"/>
      <c r="K78" s="342"/>
      <c r="L78" s="16" t="s">
        <v>138</v>
      </c>
      <c r="M78" s="351" t="s">
        <v>146</v>
      </c>
      <c r="N78" s="316"/>
      <c r="O78" s="316"/>
      <c r="P78" s="316"/>
      <c r="Q78" s="316"/>
      <c r="R78" s="335">
        <f>+C13-1</f>
        <v>45524</v>
      </c>
      <c r="S78" s="352"/>
      <c r="T78" s="335"/>
      <c r="U78" s="335"/>
    </row>
    <row r="79" spans="2:21" s="13" customFormat="1" ht="17.100000000000001" customHeight="1" x14ac:dyDescent="0.25">
      <c r="B79" s="64"/>
      <c r="C79" s="62"/>
      <c r="D79" s="62"/>
      <c r="E79" s="62"/>
      <c r="F79" s="62"/>
      <c r="G79" s="62"/>
      <c r="H79" s="62"/>
      <c r="I79" s="62"/>
      <c r="J79" s="62"/>
      <c r="K79" s="62"/>
      <c r="L79" s="63"/>
      <c r="M79" s="63"/>
      <c r="N79" s="63"/>
      <c r="O79" s="63"/>
      <c r="P79" s="63"/>
      <c r="Q79" s="63"/>
      <c r="U79" s="54"/>
    </row>
    <row r="80" spans="2:21" s="12" customFormat="1" ht="15" customHeight="1" x14ac:dyDescent="0.25">
      <c r="B80" s="375" t="s">
        <v>113</v>
      </c>
      <c r="C80" s="376"/>
      <c r="D80" s="376"/>
      <c r="E80" s="376"/>
      <c r="F80" s="377"/>
      <c r="G80" s="401"/>
      <c r="H80" s="404" t="s">
        <v>114</v>
      </c>
      <c r="I80" s="405"/>
      <c r="J80" s="26"/>
      <c r="K80" s="367"/>
      <c r="L80" s="411"/>
      <c r="M80" s="411"/>
      <c r="N80" s="368"/>
      <c r="O80" s="367"/>
      <c r="P80" s="368"/>
      <c r="Q80" s="26"/>
      <c r="R80" s="26"/>
      <c r="S80" s="367"/>
      <c r="T80" s="368"/>
      <c r="U80" s="26"/>
    </row>
    <row r="81" spans="2:21" s="12" customFormat="1" ht="15" customHeight="1" x14ac:dyDescent="0.25">
      <c r="B81" s="378"/>
      <c r="C81" s="379"/>
      <c r="D81" s="379"/>
      <c r="E81" s="379"/>
      <c r="F81" s="380"/>
      <c r="G81" s="402"/>
      <c r="H81" s="406"/>
      <c r="I81" s="407"/>
      <c r="J81" s="26"/>
      <c r="K81" s="367"/>
      <c r="L81" s="411"/>
      <c r="M81" s="411"/>
      <c r="N81" s="368"/>
      <c r="O81" s="367"/>
      <c r="P81" s="368"/>
      <c r="Q81" s="26"/>
      <c r="R81" s="26"/>
      <c r="S81" s="367"/>
      <c r="T81" s="368"/>
      <c r="U81" s="26"/>
    </row>
    <row r="82" spans="2:21" s="12" customFormat="1" ht="15" customHeight="1" x14ac:dyDescent="0.25">
      <c r="B82" s="378"/>
      <c r="C82" s="379"/>
      <c r="D82" s="379"/>
      <c r="E82" s="379"/>
      <c r="F82" s="380"/>
      <c r="G82" s="402"/>
      <c r="H82" s="406"/>
      <c r="I82" s="407"/>
      <c r="J82" s="26"/>
      <c r="K82" s="34"/>
      <c r="L82" s="35"/>
      <c r="M82" s="35"/>
      <c r="N82" s="36"/>
      <c r="O82" s="34"/>
      <c r="P82" s="36"/>
      <c r="Q82" s="26"/>
      <c r="R82" s="26"/>
      <c r="S82" s="34"/>
      <c r="T82" s="36"/>
      <c r="U82" s="26"/>
    </row>
    <row r="83" spans="2:21" s="12" customFormat="1" ht="15" customHeight="1" x14ac:dyDescent="0.25">
      <c r="B83" s="378"/>
      <c r="C83" s="379"/>
      <c r="D83" s="379"/>
      <c r="E83" s="379"/>
      <c r="F83" s="380"/>
      <c r="G83" s="402"/>
      <c r="H83" s="406"/>
      <c r="I83" s="407"/>
      <c r="J83" s="26"/>
      <c r="K83" s="367"/>
      <c r="L83" s="411"/>
      <c r="M83" s="411"/>
      <c r="N83" s="368"/>
      <c r="O83" s="367"/>
      <c r="P83" s="368"/>
      <c r="Q83" s="26"/>
      <c r="R83" s="26"/>
      <c r="S83" s="367"/>
      <c r="T83" s="368"/>
      <c r="U83" s="26"/>
    </row>
    <row r="84" spans="2:21" s="12" customFormat="1" ht="15" customHeight="1" x14ac:dyDescent="0.25">
      <c r="B84" s="378"/>
      <c r="C84" s="379"/>
      <c r="D84" s="379"/>
      <c r="E84" s="379"/>
      <c r="F84" s="380"/>
      <c r="G84" s="402"/>
      <c r="H84" s="406"/>
      <c r="I84" s="407"/>
      <c r="J84" s="26">
        <v>0</v>
      </c>
      <c r="K84" s="367" t="s">
        <v>112</v>
      </c>
      <c r="L84" s="411"/>
      <c r="M84" s="411"/>
      <c r="N84" s="368"/>
      <c r="O84" s="384">
        <v>45112</v>
      </c>
      <c r="P84" s="368"/>
      <c r="Q84" s="26" t="s">
        <v>55</v>
      </c>
      <c r="R84" s="26" t="s">
        <v>7</v>
      </c>
      <c r="S84" s="367" t="s">
        <v>7</v>
      </c>
      <c r="T84" s="368"/>
      <c r="U84" s="26" t="s">
        <v>7</v>
      </c>
    </row>
    <row r="85" spans="2:21" s="3" customFormat="1" ht="15" customHeight="1" x14ac:dyDescent="0.25">
      <c r="B85" s="381"/>
      <c r="C85" s="382"/>
      <c r="D85" s="382"/>
      <c r="E85" s="382"/>
      <c r="F85" s="383"/>
      <c r="G85" s="403"/>
      <c r="H85" s="408"/>
      <c r="I85" s="409"/>
      <c r="J85" s="33" t="s">
        <v>111</v>
      </c>
      <c r="K85" s="385" t="s">
        <v>110</v>
      </c>
      <c r="L85" s="410"/>
      <c r="M85" s="410"/>
      <c r="N85" s="386"/>
      <c r="O85" s="385" t="s">
        <v>5</v>
      </c>
      <c r="P85" s="386"/>
      <c r="Q85" s="33" t="s">
        <v>107</v>
      </c>
      <c r="R85" s="33" t="s">
        <v>108</v>
      </c>
      <c r="S85" s="385" t="s">
        <v>109</v>
      </c>
      <c r="T85" s="386"/>
      <c r="U85" s="33" t="s">
        <v>107</v>
      </c>
    </row>
    <row r="86" spans="2:21" ht="20.100000000000001" customHeight="1" x14ac:dyDescent="0.25"/>
    <row r="87" spans="2:21" ht="20.100000000000001" customHeight="1" x14ac:dyDescent="0.25"/>
    <row r="88" spans="2:21" ht="20.100000000000001" customHeight="1" x14ac:dyDescent="0.25"/>
    <row r="89" spans="2:21" ht="20.100000000000001" customHeight="1" x14ac:dyDescent="0.25"/>
    <row r="90" spans="2:21" ht="20.100000000000001" customHeight="1" x14ac:dyDescent="0.25"/>
    <row r="91" spans="2:21" ht="20.100000000000001" customHeight="1" x14ac:dyDescent="0.25"/>
  </sheetData>
  <mergeCells count="259">
    <mergeCell ref="T2:U2"/>
    <mergeCell ref="R6:S6"/>
    <mergeCell ref="R2:S2"/>
    <mergeCell ref="P6:Q6"/>
    <mergeCell ref="P2:Q2"/>
    <mergeCell ref="E22:F22"/>
    <mergeCell ref="N6:O6"/>
    <mergeCell ref="R21:S21"/>
    <mergeCell ref="R20:U20"/>
    <mergeCell ref="P21:Q21"/>
    <mergeCell ref="L20:M21"/>
    <mergeCell ref="K20:K21"/>
    <mergeCell ref="T6:U6"/>
    <mergeCell ref="N3:U5"/>
    <mergeCell ref="N2:O2"/>
    <mergeCell ref="N21:O21"/>
    <mergeCell ref="N20:Q20"/>
    <mergeCell ref="N22:O22"/>
    <mergeCell ref="B3:H6"/>
    <mergeCell ref="G12:H12"/>
    <mergeCell ref="C20:D21"/>
    <mergeCell ref="D13:E13"/>
    <mergeCell ref="C12:F12"/>
    <mergeCell ref="T22:U22"/>
    <mergeCell ref="B26:B27"/>
    <mergeCell ref="C26:F27"/>
    <mergeCell ref="Y12:Z12"/>
    <mergeCell ref="C23:D23"/>
    <mergeCell ref="E23:F23"/>
    <mergeCell ref="C22:D22"/>
    <mergeCell ref="L28:M28"/>
    <mergeCell ref="N28:U28"/>
    <mergeCell ref="L27:M27"/>
    <mergeCell ref="N26:U27"/>
    <mergeCell ref="L23:M23"/>
    <mergeCell ref="B20:B21"/>
    <mergeCell ref="E21:F21"/>
    <mergeCell ref="E20:G20"/>
    <mergeCell ref="H20:I20"/>
    <mergeCell ref="G13:H13"/>
    <mergeCell ref="T23:U23"/>
    <mergeCell ref="R23:S23"/>
    <mergeCell ref="K12:L12"/>
    <mergeCell ref="M12:Q12"/>
    <mergeCell ref="I13:J13"/>
    <mergeCell ref="T21:U21"/>
    <mergeCell ref="G26:H27"/>
    <mergeCell ref="R22:S22"/>
    <mergeCell ref="P38:R38"/>
    <mergeCell ref="C34:I34"/>
    <mergeCell ref="C35:I35"/>
    <mergeCell ref="J31:L31"/>
    <mergeCell ref="J32:L32"/>
    <mergeCell ref="P30:R30"/>
    <mergeCell ref="J35:L35"/>
    <mergeCell ref="P35:R35"/>
    <mergeCell ref="D28:E28"/>
    <mergeCell ref="C38:I38"/>
    <mergeCell ref="J33:L33"/>
    <mergeCell ref="J34:L34"/>
    <mergeCell ref="C30:I30"/>
    <mergeCell ref="C31:I31"/>
    <mergeCell ref="C32:I32"/>
    <mergeCell ref="C33:I33"/>
    <mergeCell ref="J36:L36"/>
    <mergeCell ref="J37:L37"/>
    <mergeCell ref="J38:L38"/>
    <mergeCell ref="M36:O36"/>
    <mergeCell ref="M37:O37"/>
    <mergeCell ref="C36:I36"/>
    <mergeCell ref="C37:I37"/>
    <mergeCell ref="G28:H28"/>
    <mergeCell ref="M34:O34"/>
    <mergeCell ref="M35:O35"/>
    <mergeCell ref="J30:L30"/>
    <mergeCell ref="P36:R36"/>
    <mergeCell ref="P37:R37"/>
    <mergeCell ref="P23:Q23"/>
    <mergeCell ref="P22:Q22"/>
    <mergeCell ref="I12:J12"/>
    <mergeCell ref="P31:R31"/>
    <mergeCell ref="P32:R32"/>
    <mergeCell ref="P33:R33"/>
    <mergeCell ref="P34:R34"/>
    <mergeCell ref="L22:M22"/>
    <mergeCell ref="J26:M26"/>
    <mergeCell ref="J28:K28"/>
    <mergeCell ref="N23:O23"/>
    <mergeCell ref="M30:O30"/>
    <mergeCell ref="M31:O31"/>
    <mergeCell ref="M32:O32"/>
    <mergeCell ref="M33:O33"/>
    <mergeCell ref="I26:I27"/>
    <mergeCell ref="J27:K27"/>
    <mergeCell ref="K13:L13"/>
    <mergeCell ref="S80:T80"/>
    <mergeCell ref="S81:T81"/>
    <mergeCell ref="S83:T83"/>
    <mergeCell ref="S84:T84"/>
    <mergeCell ref="G80:G85"/>
    <mergeCell ref="C78:K78"/>
    <mergeCell ref="H80:I85"/>
    <mergeCell ref="S85:T85"/>
    <mergeCell ref="T78:U78"/>
    <mergeCell ref="R78:S78"/>
    <mergeCell ref="M78:Q78"/>
    <mergeCell ref="K85:N85"/>
    <mergeCell ref="K80:N80"/>
    <mergeCell ref="K81:N81"/>
    <mergeCell ref="K83:N83"/>
    <mergeCell ref="K84:N84"/>
    <mergeCell ref="C77:K77"/>
    <mergeCell ref="C69:K69"/>
    <mergeCell ref="O81:P81"/>
    <mergeCell ref="C74:K74"/>
    <mergeCell ref="D62:G62"/>
    <mergeCell ref="B67:I68"/>
    <mergeCell ref="C71:K71"/>
    <mergeCell ref="B58:C58"/>
    <mergeCell ref="B59:C59"/>
    <mergeCell ref="B60:C60"/>
    <mergeCell ref="B61:C61"/>
    <mergeCell ref="B62:C62"/>
    <mergeCell ref="B80:F85"/>
    <mergeCell ref="O83:P83"/>
    <mergeCell ref="O84:P84"/>
    <mergeCell ref="O85:P85"/>
    <mergeCell ref="O80:P80"/>
    <mergeCell ref="O61:Q61"/>
    <mergeCell ref="O62:Q62"/>
    <mergeCell ref="H59:K65"/>
    <mergeCell ref="B65:C65"/>
    <mergeCell ref="O59:Q59"/>
    <mergeCell ref="O60:Q60"/>
    <mergeCell ref="D58:G58"/>
    <mergeCell ref="M41:O41"/>
    <mergeCell ref="K46:O46"/>
    <mergeCell ref="J42:L42"/>
    <mergeCell ref="B47:C47"/>
    <mergeCell ref="B48:C48"/>
    <mergeCell ref="D46:G46"/>
    <mergeCell ref="C75:K75"/>
    <mergeCell ref="C76:K76"/>
    <mergeCell ref="C72:K72"/>
    <mergeCell ref="C73:K73"/>
    <mergeCell ref="M69:Q69"/>
    <mergeCell ref="M72:Q72"/>
    <mergeCell ref="M73:Q73"/>
    <mergeCell ref="D63:G63"/>
    <mergeCell ref="D64:G64"/>
    <mergeCell ref="D65:G65"/>
    <mergeCell ref="R55:S55"/>
    <mergeCell ref="C56:F56"/>
    <mergeCell ref="G56:K56"/>
    <mergeCell ref="L56:M56"/>
    <mergeCell ref="N56:O56"/>
    <mergeCell ref="P56:Q56"/>
    <mergeCell ref="R56:S56"/>
    <mergeCell ref="M38:O38"/>
    <mergeCell ref="J39:L39"/>
    <mergeCell ref="J40:L40"/>
    <mergeCell ref="C39:I39"/>
    <mergeCell ref="C40:I40"/>
    <mergeCell ref="M44:O44"/>
    <mergeCell ref="C42:I42"/>
    <mergeCell ref="L51:S51"/>
    <mergeCell ref="L53:M53"/>
    <mergeCell ref="L54:M54"/>
    <mergeCell ref="N53:O53"/>
    <mergeCell ref="N54:O54"/>
    <mergeCell ref="C54:F54"/>
    <mergeCell ref="K48:O48"/>
    <mergeCell ref="G53:K53"/>
    <mergeCell ref="M39:O39"/>
    <mergeCell ref="M40:O40"/>
    <mergeCell ref="B63:C63"/>
    <mergeCell ref="B46:C46"/>
    <mergeCell ref="D61:G61"/>
    <mergeCell ref="D47:G47"/>
    <mergeCell ref="D48:G48"/>
    <mergeCell ref="G54:K54"/>
    <mergeCell ref="C43:I43"/>
    <mergeCell ref="K47:O47"/>
    <mergeCell ref="C53:F53"/>
    <mergeCell ref="H46:J46"/>
    <mergeCell ref="H47:J47"/>
    <mergeCell ref="H48:J48"/>
    <mergeCell ref="J43:L43"/>
    <mergeCell ref="J44:L44"/>
    <mergeCell ref="H58:K58"/>
    <mergeCell ref="T77:U77"/>
    <mergeCell ref="M75:Q75"/>
    <mergeCell ref="M76:Q76"/>
    <mergeCell ref="M77:Q77"/>
    <mergeCell ref="R70:S70"/>
    <mergeCell ref="R71:S71"/>
    <mergeCell ref="R72:S72"/>
    <mergeCell ref="R73:S73"/>
    <mergeCell ref="M70:Q70"/>
    <mergeCell ref="M71:Q71"/>
    <mergeCell ref="R74:S74"/>
    <mergeCell ref="R75:S75"/>
    <mergeCell ref="R76:S76"/>
    <mergeCell ref="R77:S77"/>
    <mergeCell ref="M74:Q74"/>
    <mergeCell ref="T70:U70"/>
    <mergeCell ref="T71:U71"/>
    <mergeCell ref="T72:U72"/>
    <mergeCell ref="T73:U73"/>
    <mergeCell ref="T74:U74"/>
    <mergeCell ref="T75:U75"/>
    <mergeCell ref="D14:E14"/>
    <mergeCell ref="G14:H14"/>
    <mergeCell ref="I14:J14"/>
    <mergeCell ref="K14:L14"/>
    <mergeCell ref="T76:U76"/>
    <mergeCell ref="R68:U68"/>
    <mergeCell ref="R67:U67"/>
    <mergeCell ref="C70:K70"/>
    <mergeCell ref="R69:S69"/>
    <mergeCell ref="T69:U69"/>
    <mergeCell ref="P52:Q52"/>
    <mergeCell ref="D59:G59"/>
    <mergeCell ref="D60:G60"/>
    <mergeCell ref="B64:C64"/>
    <mergeCell ref="P53:Q53"/>
    <mergeCell ref="P54:Q54"/>
    <mergeCell ref="R52:S52"/>
    <mergeCell ref="R53:S53"/>
    <mergeCell ref="R54:S54"/>
    <mergeCell ref="B51:B52"/>
    <mergeCell ref="P40:R40"/>
    <mergeCell ref="P41:R41"/>
    <mergeCell ref="P42:R42"/>
    <mergeCell ref="P43:R43"/>
    <mergeCell ref="D15:E15"/>
    <mergeCell ref="G15:H15"/>
    <mergeCell ref="I15:J15"/>
    <mergeCell ref="K15:L15"/>
    <mergeCell ref="C55:F55"/>
    <mergeCell ref="G55:K55"/>
    <mergeCell ref="L55:M55"/>
    <mergeCell ref="N55:O55"/>
    <mergeCell ref="P55:Q55"/>
    <mergeCell ref="D16:E16"/>
    <mergeCell ref="G16:H16"/>
    <mergeCell ref="I16:J16"/>
    <mergeCell ref="K16:L16"/>
    <mergeCell ref="P44:R44"/>
    <mergeCell ref="C51:F52"/>
    <mergeCell ref="G51:K52"/>
    <mergeCell ref="L52:M52"/>
    <mergeCell ref="N52:O52"/>
    <mergeCell ref="M42:O42"/>
    <mergeCell ref="C41:I41"/>
    <mergeCell ref="J41:L41"/>
    <mergeCell ref="M43:O43"/>
    <mergeCell ref="C44:I44"/>
    <mergeCell ref="P39:R39"/>
  </mergeCells>
  <printOptions horizontalCentered="1" verticalCentered="1"/>
  <pageMargins left="0" right="0" top="0" bottom="0" header="0" footer="0"/>
  <pageSetup paperSize="9" scale="4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1:S98"/>
  <sheetViews>
    <sheetView showGridLines="0" view="pageBreakPreview" topLeftCell="A72" zoomScale="85" zoomScaleNormal="85" zoomScaleSheetLayoutView="85" workbookViewId="0">
      <selection activeCell="M69" sqref="M69"/>
    </sheetView>
  </sheetViews>
  <sheetFormatPr defaultRowHeight="15" x14ac:dyDescent="0.25"/>
  <cols>
    <col min="1" max="1" width="5.7109375" style="1" customWidth="1"/>
    <col min="2" max="5" width="14.7109375" style="2" customWidth="1"/>
    <col min="6" max="15" width="14.7109375" style="1" customWidth="1"/>
    <col min="16" max="16" width="1.7109375" style="1" customWidth="1"/>
    <col min="17" max="46" width="15.7109375" style="1" customWidth="1"/>
    <col min="47" max="16384" width="9.140625" style="1"/>
  </cols>
  <sheetData>
    <row r="1" spans="1:15" x14ac:dyDescent="0.25">
      <c r="O1" s="97" t="s">
        <v>119</v>
      </c>
    </row>
    <row r="2" spans="1:15" ht="15" customHeight="1" x14ac:dyDescent="0.25">
      <c r="A2" s="85" t="s">
        <v>38</v>
      </c>
      <c r="B2" s="78"/>
      <c r="C2" s="78"/>
      <c r="D2" s="78"/>
      <c r="E2" s="78"/>
      <c r="F2" s="86"/>
      <c r="G2" s="86"/>
      <c r="H2" s="87" t="s">
        <v>61</v>
      </c>
      <c r="I2" s="89" t="s">
        <v>62</v>
      </c>
      <c r="J2" s="89" t="s">
        <v>167</v>
      </c>
      <c r="K2" s="90"/>
      <c r="L2" s="4" t="s">
        <v>67</v>
      </c>
      <c r="M2" s="4" t="s">
        <v>66</v>
      </c>
      <c r="N2" s="4" t="s">
        <v>54</v>
      </c>
      <c r="O2" s="4" t="s">
        <v>53</v>
      </c>
    </row>
    <row r="3" spans="1:15" ht="15" customHeight="1" x14ac:dyDescent="0.25">
      <c r="A3" s="526" t="s">
        <v>168</v>
      </c>
      <c r="B3" s="527"/>
      <c r="C3" s="527"/>
      <c r="D3" s="527"/>
      <c r="E3" s="527"/>
      <c r="F3" s="527"/>
      <c r="G3" s="527"/>
      <c r="H3" s="528"/>
      <c r="I3" s="92" t="s">
        <v>5</v>
      </c>
      <c r="J3" s="92" t="s">
        <v>189</v>
      </c>
      <c r="K3" s="93"/>
      <c r="L3" s="454" t="s">
        <v>161</v>
      </c>
      <c r="M3" s="455"/>
      <c r="N3" s="455"/>
      <c r="O3" s="456"/>
    </row>
    <row r="4" spans="1:15" ht="15" customHeight="1" x14ac:dyDescent="0.25">
      <c r="A4" s="529"/>
      <c r="B4" s="530"/>
      <c r="C4" s="530"/>
      <c r="D4" s="530"/>
      <c r="E4" s="530"/>
      <c r="F4" s="530"/>
      <c r="G4" s="530"/>
      <c r="H4" s="531"/>
      <c r="I4" s="92" t="s">
        <v>63</v>
      </c>
      <c r="J4" s="92" t="s">
        <v>166</v>
      </c>
      <c r="K4" s="93"/>
      <c r="L4" s="457"/>
      <c r="M4" s="458"/>
      <c r="N4" s="458"/>
      <c r="O4" s="459"/>
    </row>
    <row r="5" spans="1:15" ht="15" customHeight="1" x14ac:dyDescent="0.25">
      <c r="A5" s="529"/>
      <c r="B5" s="530"/>
      <c r="C5" s="530"/>
      <c r="D5" s="530"/>
      <c r="E5" s="530"/>
      <c r="F5" s="530"/>
      <c r="G5" s="530"/>
      <c r="H5" s="531"/>
      <c r="I5" s="92" t="s">
        <v>162</v>
      </c>
      <c r="J5" s="92" t="s">
        <v>205</v>
      </c>
      <c r="K5" s="93"/>
      <c r="L5" s="460"/>
      <c r="M5" s="461"/>
      <c r="N5" s="461"/>
      <c r="O5" s="462"/>
    </row>
    <row r="6" spans="1:15" ht="15" customHeight="1" x14ac:dyDescent="0.25">
      <c r="A6" s="529"/>
      <c r="B6" s="530"/>
      <c r="C6" s="530"/>
      <c r="D6" s="530"/>
      <c r="E6" s="530"/>
      <c r="F6" s="530"/>
      <c r="G6" s="530"/>
      <c r="H6" s="531"/>
      <c r="I6" s="107" t="s">
        <v>65</v>
      </c>
      <c r="J6" s="107" t="s">
        <v>190</v>
      </c>
      <c r="K6" s="108"/>
      <c r="L6" s="109" t="s">
        <v>68</v>
      </c>
      <c r="M6" s="109" t="s">
        <v>57</v>
      </c>
      <c r="N6" s="109" t="s">
        <v>56</v>
      </c>
      <c r="O6" s="109" t="s">
        <v>176</v>
      </c>
    </row>
    <row r="7" spans="1:15" ht="9.9499999999999993" customHeight="1" x14ac:dyDescent="0.25">
      <c r="A7" s="101"/>
      <c r="B7" s="19"/>
      <c r="C7" s="19"/>
      <c r="D7" s="19"/>
      <c r="E7" s="19"/>
      <c r="F7" s="76"/>
      <c r="G7" s="76"/>
      <c r="H7" s="76"/>
      <c r="I7" s="76"/>
      <c r="J7" s="76"/>
      <c r="K7" s="76"/>
      <c r="L7" s="76"/>
      <c r="M7" s="76"/>
      <c r="N7" s="76"/>
      <c r="O7" s="81"/>
    </row>
    <row r="8" spans="1:15" ht="24.95" customHeight="1" x14ac:dyDescent="0.25">
      <c r="A8" s="104" t="s">
        <v>177</v>
      </c>
      <c r="E8" s="2" t="str">
        <f>+'TAHAP 1'!G9</f>
        <v>: BENCHMARK</v>
      </c>
      <c r="O8" s="20"/>
    </row>
    <row r="9" spans="1:15" ht="9.9499999999999993" customHeight="1" thickBot="1" x14ac:dyDescent="0.3">
      <c r="A9" s="110"/>
      <c r="B9" s="111"/>
      <c r="C9" s="111"/>
      <c r="D9" s="111"/>
      <c r="E9" s="111"/>
      <c r="F9" s="112"/>
      <c r="G9" s="112"/>
      <c r="H9" s="112"/>
      <c r="I9" s="112"/>
      <c r="J9" s="112"/>
      <c r="K9" s="112"/>
      <c r="L9" s="112"/>
      <c r="M9" s="112"/>
      <c r="N9" s="112"/>
      <c r="O9" s="113"/>
    </row>
    <row r="10" spans="1:15" ht="24.95" customHeight="1" thickTop="1" x14ac:dyDescent="0.25">
      <c r="A10" s="519" t="s">
        <v>192</v>
      </c>
      <c r="B10" s="520"/>
      <c r="C10" s="520"/>
      <c r="L10" s="521"/>
      <c r="M10" s="521"/>
      <c r="N10" s="521"/>
      <c r="O10" s="522"/>
    </row>
    <row r="11" spans="1:15" s="115" customFormat="1" ht="20.100000000000001" customHeight="1" x14ac:dyDescent="0.3">
      <c r="A11" s="167" t="s">
        <v>164</v>
      </c>
      <c r="B11" s="129"/>
      <c r="C11" s="129"/>
      <c r="D11" s="129"/>
      <c r="E11" s="129"/>
      <c r="L11" s="145"/>
      <c r="M11" s="145"/>
      <c r="O11" s="116"/>
    </row>
    <row r="12" spans="1:15" s="115" customFormat="1" ht="15" customHeight="1" x14ac:dyDescent="0.25">
      <c r="A12" s="168" t="s">
        <v>86</v>
      </c>
      <c r="B12" s="169"/>
      <c r="C12" s="169"/>
      <c r="D12" s="170"/>
      <c r="E12" s="171" t="s">
        <v>11</v>
      </c>
      <c r="F12" s="172" t="s">
        <v>80</v>
      </c>
      <c r="G12" s="172" t="s">
        <v>197</v>
      </c>
      <c r="H12" s="171" t="s">
        <v>198</v>
      </c>
      <c r="L12" s="145"/>
      <c r="M12" s="145"/>
      <c r="O12" s="116"/>
    </row>
    <row r="13" spans="1:15" s="115" customFormat="1" ht="15" customHeight="1" x14ac:dyDescent="0.25">
      <c r="A13" s="173" t="s">
        <v>87</v>
      </c>
      <c r="B13" s="174"/>
      <c r="C13" s="174"/>
      <c r="D13" s="175"/>
      <c r="E13" s="176">
        <v>30000</v>
      </c>
      <c r="F13" s="177">
        <v>12500</v>
      </c>
      <c r="G13" s="177">
        <v>20000</v>
      </c>
      <c r="H13" s="176">
        <v>20000</v>
      </c>
      <c r="L13" s="145"/>
      <c r="M13" s="145"/>
      <c r="O13" s="116"/>
    </row>
    <row r="14" spans="1:15" s="115" customFormat="1" ht="15" customHeight="1" x14ac:dyDescent="0.25">
      <c r="A14" s="173" t="s">
        <v>88</v>
      </c>
      <c r="B14" s="174"/>
      <c r="C14" s="174"/>
      <c r="D14" s="175"/>
      <c r="E14" s="176">
        <v>30000</v>
      </c>
      <c r="F14" s="177">
        <v>12500</v>
      </c>
      <c r="G14" s="177">
        <v>20000</v>
      </c>
      <c r="H14" s="176">
        <v>20000</v>
      </c>
      <c r="O14" s="116"/>
    </row>
    <row r="15" spans="1:15" s="115" customFormat="1" ht="15" customHeight="1" x14ac:dyDescent="0.25">
      <c r="A15" s="173" t="s">
        <v>89</v>
      </c>
      <c r="B15" s="174"/>
      <c r="C15" s="174"/>
      <c r="D15" s="175"/>
      <c r="E15" s="176">
        <v>35000</v>
      </c>
      <c r="F15" s="177">
        <v>12500</v>
      </c>
      <c r="G15" s="177">
        <v>20000</v>
      </c>
      <c r="H15" s="176">
        <v>20000</v>
      </c>
      <c r="O15" s="116"/>
    </row>
    <row r="16" spans="1:15" s="115" customFormat="1" ht="15" customHeight="1" x14ac:dyDescent="0.25">
      <c r="A16" s="173" t="s">
        <v>90</v>
      </c>
      <c r="B16" s="174"/>
      <c r="C16" s="174"/>
      <c r="D16" s="175"/>
      <c r="E16" s="176">
        <v>40000</v>
      </c>
      <c r="F16" s="177">
        <v>12500</v>
      </c>
      <c r="G16" s="177">
        <v>27500</v>
      </c>
      <c r="H16" s="176">
        <v>27500</v>
      </c>
      <c r="O16" s="116"/>
    </row>
    <row r="17" spans="1:15" s="115" customFormat="1" ht="15" customHeight="1" x14ac:dyDescent="0.25">
      <c r="A17" s="173" t="s">
        <v>91</v>
      </c>
      <c r="B17" s="174"/>
      <c r="C17" s="174"/>
      <c r="D17" s="175"/>
      <c r="E17" s="176">
        <v>50000</v>
      </c>
      <c r="F17" s="177">
        <v>22500</v>
      </c>
      <c r="G17" s="177">
        <v>30000</v>
      </c>
      <c r="H17" s="176">
        <v>30000</v>
      </c>
      <c r="O17" s="116"/>
    </row>
    <row r="18" spans="1:15" s="115" customFormat="1" ht="15" customHeight="1" x14ac:dyDescent="0.25">
      <c r="A18" s="173" t="s">
        <v>92</v>
      </c>
      <c r="B18" s="174"/>
      <c r="C18" s="174"/>
      <c r="D18" s="175"/>
      <c r="E18" s="176">
        <v>60000</v>
      </c>
      <c r="F18" s="177">
        <v>22500</v>
      </c>
      <c r="G18" s="177">
        <v>50000</v>
      </c>
      <c r="H18" s="176">
        <v>50000</v>
      </c>
      <c r="O18" s="116"/>
    </row>
    <row r="19" spans="1:15" s="115" customFormat="1" ht="15" customHeight="1" x14ac:dyDescent="0.25">
      <c r="A19" s="173" t="s">
        <v>93</v>
      </c>
      <c r="B19" s="174"/>
      <c r="C19" s="174"/>
      <c r="D19" s="175"/>
      <c r="E19" s="176">
        <v>70000</v>
      </c>
      <c r="F19" s="177">
        <v>22500</v>
      </c>
      <c r="G19" s="177">
        <v>60000</v>
      </c>
      <c r="H19" s="176">
        <v>60000</v>
      </c>
      <c r="O19" s="116"/>
    </row>
    <row r="20" spans="1:15" s="115" customFormat="1" ht="20.100000000000001" customHeight="1" x14ac:dyDescent="0.25">
      <c r="A20" s="256"/>
      <c r="B20" s="257"/>
      <c r="C20" s="257"/>
      <c r="D20" s="258"/>
      <c r="E20" s="129"/>
      <c r="O20" s="116"/>
    </row>
    <row r="21" spans="1:15" s="115" customFormat="1" ht="20.100000000000001" customHeight="1" x14ac:dyDescent="0.25">
      <c r="A21" s="136"/>
      <c r="B21" s="138" t="s">
        <v>196</v>
      </c>
      <c r="C21" s="137" t="s">
        <v>10</v>
      </c>
      <c r="D21" s="137" t="s">
        <v>91</v>
      </c>
      <c r="E21" s="137"/>
      <c r="F21" s="137"/>
      <c r="G21" s="137"/>
      <c r="H21" s="137"/>
      <c r="I21" s="137"/>
      <c r="O21" s="116"/>
    </row>
    <row r="22" spans="1:15" s="123" customFormat="1" ht="17.100000000000001" customHeight="1" x14ac:dyDescent="0.25">
      <c r="A22" s="127" t="s">
        <v>34</v>
      </c>
      <c r="B22" s="477" t="s">
        <v>5</v>
      </c>
      <c r="C22" s="477"/>
      <c r="D22" s="477"/>
      <c r="E22" s="127" t="str">
        <f>+$E$12</f>
        <v>UANG SAKU</v>
      </c>
      <c r="F22" s="127" t="str">
        <f>+$F$12</f>
        <v>BREAKFAST</v>
      </c>
      <c r="G22" s="127" t="str">
        <f>+$G$12</f>
        <v>LUNCH</v>
      </c>
      <c r="H22" s="127" t="str">
        <f>+$H$12</f>
        <v>DINNER</v>
      </c>
      <c r="I22" s="127" t="s">
        <v>41</v>
      </c>
      <c r="O22" s="128"/>
    </row>
    <row r="23" spans="1:15" s="115" customFormat="1" ht="17.100000000000001" customHeight="1" x14ac:dyDescent="0.25">
      <c r="A23" s="122">
        <v>1</v>
      </c>
      <c r="B23" s="478">
        <f>+'TAHAP 1'!$C$13</f>
        <v>45525</v>
      </c>
      <c r="C23" s="478"/>
      <c r="D23" s="478"/>
      <c r="E23" s="271">
        <f>VLOOKUP($D$21,A12:$H$19,5,0)</f>
        <v>50000</v>
      </c>
      <c r="F23" s="271" t="s">
        <v>224</v>
      </c>
      <c r="G23" s="271">
        <f>VLOOKUP($D$21,A12:$H$19,8,0)</f>
        <v>30000</v>
      </c>
      <c r="H23" s="271">
        <f>VLOOKUP($D$21,A12:$H$19,8,0)</f>
        <v>30000</v>
      </c>
      <c r="I23" s="191">
        <f>SUM(E23:H23)</f>
        <v>110000</v>
      </c>
      <c r="K23" s="272"/>
      <c r="O23" s="116"/>
    </row>
    <row r="24" spans="1:15" s="115" customFormat="1" ht="17.100000000000001" customHeight="1" x14ac:dyDescent="0.25">
      <c r="A24" s="122">
        <v>2</v>
      </c>
      <c r="B24" s="478">
        <f>+B23+1</f>
        <v>45526</v>
      </c>
      <c r="C24" s="478"/>
      <c r="D24" s="478"/>
      <c r="E24" s="271">
        <f>VLOOKUP($D$21,A13:$H$19,5,0)</f>
        <v>50000</v>
      </c>
      <c r="F24" s="271" t="s">
        <v>220</v>
      </c>
      <c r="G24" s="271" t="s">
        <v>247</v>
      </c>
      <c r="H24" s="271">
        <f>VLOOKUP($D$21,A13:$H$19,8,0)</f>
        <v>30000</v>
      </c>
      <c r="I24" s="191">
        <f>SUM(E24:H24)</f>
        <v>80000</v>
      </c>
      <c r="O24" s="116"/>
    </row>
    <row r="25" spans="1:15" s="115" customFormat="1" ht="17.100000000000001" customHeight="1" x14ac:dyDescent="0.25">
      <c r="A25" s="122">
        <v>3</v>
      </c>
      <c r="B25" s="478">
        <f>+B24+1</f>
        <v>45527</v>
      </c>
      <c r="C25" s="478"/>
      <c r="D25" s="478"/>
      <c r="E25" s="271">
        <f>VLOOKUP($D$21,A14:$H$19,5,0)</f>
        <v>50000</v>
      </c>
      <c r="F25" s="271" t="s">
        <v>220</v>
      </c>
      <c r="G25" s="271" t="s">
        <v>223</v>
      </c>
      <c r="H25" s="271">
        <f>VLOOKUP($D$21,A14:$H$19,8,0)</f>
        <v>30000</v>
      </c>
      <c r="I25" s="191">
        <f>SUM(E25:H25)</f>
        <v>80000</v>
      </c>
      <c r="O25" s="116"/>
    </row>
    <row r="26" spans="1:15" s="115" customFormat="1" ht="16.5" customHeight="1" x14ac:dyDescent="0.25">
      <c r="A26" s="479" t="s">
        <v>12</v>
      </c>
      <c r="B26" s="479"/>
      <c r="C26" s="479"/>
      <c r="D26" s="479"/>
      <c r="E26" s="480"/>
      <c r="F26" s="481"/>
      <c r="G26" s="481"/>
      <c r="H26" s="482"/>
      <c r="I26" s="196">
        <f>SUM(I23:I25)</f>
        <v>270000</v>
      </c>
      <c r="O26" s="116"/>
    </row>
    <row r="27" spans="1:15" s="115" customFormat="1" ht="20.100000000000001" customHeight="1" x14ac:dyDescent="0.25">
      <c r="A27" s="136"/>
      <c r="B27" s="138" t="s">
        <v>196</v>
      </c>
      <c r="C27" s="137" t="s">
        <v>10</v>
      </c>
      <c r="D27" s="137" t="s">
        <v>90</v>
      </c>
      <c r="E27" s="137"/>
      <c r="F27" s="137"/>
      <c r="G27" s="137"/>
      <c r="H27" s="137"/>
      <c r="I27" s="137"/>
      <c r="O27" s="116"/>
    </row>
    <row r="28" spans="1:15" s="123" customFormat="1" ht="17.100000000000001" customHeight="1" x14ac:dyDescent="0.25">
      <c r="A28" s="127" t="s">
        <v>34</v>
      </c>
      <c r="B28" s="477" t="s">
        <v>5</v>
      </c>
      <c r="C28" s="477"/>
      <c r="D28" s="477"/>
      <c r="E28" s="127" t="str">
        <f>+$E$12</f>
        <v>UANG SAKU</v>
      </c>
      <c r="F28" s="127" t="str">
        <f>+$F$12</f>
        <v>BREAKFAST</v>
      </c>
      <c r="G28" s="127" t="str">
        <f>+$G$12</f>
        <v>LUNCH</v>
      </c>
      <c r="H28" s="127" t="str">
        <f>+$H$12</f>
        <v>DINNER</v>
      </c>
      <c r="I28" s="127" t="s">
        <v>41</v>
      </c>
      <c r="O28" s="128"/>
    </row>
    <row r="29" spans="1:15" s="115" customFormat="1" ht="17.100000000000001" customHeight="1" x14ac:dyDescent="0.25">
      <c r="A29" s="122">
        <v>1</v>
      </c>
      <c r="B29" s="478">
        <f>+'TAHAP 1'!$C$13</f>
        <v>45525</v>
      </c>
      <c r="C29" s="478"/>
      <c r="D29" s="478"/>
      <c r="E29" s="271">
        <f>VLOOKUP($D$27,A12:$H$19,5,0)</f>
        <v>40000</v>
      </c>
      <c r="F29" s="271" t="s">
        <v>224</v>
      </c>
      <c r="G29" s="271">
        <f>VLOOKUP($D$27,A12:$H$19,8,0)</f>
        <v>27500</v>
      </c>
      <c r="H29" s="271">
        <f>VLOOKUP($D$27,A12:$H$19,8,0)</f>
        <v>27500</v>
      </c>
      <c r="I29" s="191">
        <f>SUM(E29:H29)</f>
        <v>95000</v>
      </c>
      <c r="K29" s="272"/>
      <c r="O29" s="116"/>
    </row>
    <row r="30" spans="1:15" s="115" customFormat="1" ht="17.100000000000001" customHeight="1" x14ac:dyDescent="0.25">
      <c r="A30" s="122">
        <v>2</v>
      </c>
      <c r="B30" s="478">
        <f>+B29+1</f>
        <v>45526</v>
      </c>
      <c r="C30" s="478"/>
      <c r="D30" s="478"/>
      <c r="E30" s="271">
        <f>VLOOKUP($D$27,A$12:$H19,5,0)</f>
        <v>40000</v>
      </c>
      <c r="F30" s="271" t="s">
        <v>220</v>
      </c>
      <c r="G30" s="271" t="s">
        <v>247</v>
      </c>
      <c r="H30" s="271">
        <f>VLOOKUP($D$27,A$12:$H19,8,0)</f>
        <v>27500</v>
      </c>
      <c r="I30" s="191">
        <f>SUM(E30:H30)</f>
        <v>67500</v>
      </c>
      <c r="O30" s="116"/>
    </row>
    <row r="31" spans="1:15" s="115" customFormat="1" ht="17.100000000000001" customHeight="1" x14ac:dyDescent="0.25">
      <c r="A31" s="122">
        <v>3</v>
      </c>
      <c r="B31" s="478">
        <f>+B30+1</f>
        <v>45527</v>
      </c>
      <c r="C31" s="478"/>
      <c r="D31" s="478"/>
      <c r="E31" s="271">
        <f>VLOOKUP($D$27,A$12:$H19,5,0)</f>
        <v>40000</v>
      </c>
      <c r="F31" s="271" t="s">
        <v>220</v>
      </c>
      <c r="G31" s="271" t="s">
        <v>223</v>
      </c>
      <c r="H31" s="271">
        <f>VLOOKUP($D$27,A$12:$H19,8,0)</f>
        <v>27500</v>
      </c>
      <c r="I31" s="191">
        <f>SUM(E31:H31)</f>
        <v>67500</v>
      </c>
      <c r="O31" s="116"/>
    </row>
    <row r="32" spans="1:15" s="115" customFormat="1" ht="16.5" customHeight="1" x14ac:dyDescent="0.25">
      <c r="A32" s="479" t="s">
        <v>12</v>
      </c>
      <c r="B32" s="479"/>
      <c r="C32" s="479"/>
      <c r="D32" s="479"/>
      <c r="E32" s="480"/>
      <c r="F32" s="481"/>
      <c r="G32" s="481"/>
      <c r="H32" s="482"/>
      <c r="I32" s="196">
        <f>SUM(I29:I31)</f>
        <v>230000</v>
      </c>
      <c r="O32" s="116"/>
    </row>
    <row r="33" spans="1:15" s="115" customFormat="1" ht="20.100000000000001" customHeight="1" x14ac:dyDescent="0.25">
      <c r="A33" s="136"/>
      <c r="B33" s="138" t="s">
        <v>196</v>
      </c>
      <c r="C33" s="137" t="s">
        <v>10</v>
      </c>
      <c r="D33" s="137" t="s">
        <v>89</v>
      </c>
      <c r="E33" s="137"/>
      <c r="F33" s="137"/>
      <c r="G33" s="137"/>
      <c r="H33" s="137"/>
      <c r="I33" s="137"/>
      <c r="O33" s="116"/>
    </row>
    <row r="34" spans="1:15" s="311" customFormat="1" ht="17.100000000000001" customHeight="1" x14ac:dyDescent="0.25">
      <c r="A34" s="313" t="s">
        <v>34</v>
      </c>
      <c r="B34" s="477" t="s">
        <v>5</v>
      </c>
      <c r="C34" s="477"/>
      <c r="D34" s="477"/>
      <c r="E34" s="313" t="str">
        <f>+$E$12</f>
        <v>UANG SAKU</v>
      </c>
      <c r="F34" s="313" t="str">
        <f>+$F$12</f>
        <v>BREAKFAST</v>
      </c>
      <c r="G34" s="313" t="str">
        <f>+$G$12</f>
        <v>LUNCH</v>
      </c>
      <c r="H34" s="313" t="str">
        <f>+$H$12</f>
        <v>DINNER</v>
      </c>
      <c r="I34" s="313" t="s">
        <v>41</v>
      </c>
      <c r="O34" s="312"/>
    </row>
    <row r="35" spans="1:15" s="115" customFormat="1" ht="17.100000000000001" customHeight="1" x14ac:dyDescent="0.25">
      <c r="A35" s="122">
        <v>1</v>
      </c>
      <c r="B35" s="478">
        <f>+'TAHAP 1'!$C$13</f>
        <v>45525</v>
      </c>
      <c r="C35" s="478"/>
      <c r="D35" s="478"/>
      <c r="E35" s="271">
        <v>35000</v>
      </c>
      <c r="F35" s="271" t="s">
        <v>224</v>
      </c>
      <c r="G35" s="271">
        <v>20000</v>
      </c>
      <c r="H35" s="271">
        <v>20000</v>
      </c>
      <c r="I35" s="191">
        <f>SUM(E35:H35)</f>
        <v>75000</v>
      </c>
      <c r="K35" s="272"/>
      <c r="O35" s="116"/>
    </row>
    <row r="36" spans="1:15" s="115" customFormat="1" ht="17.100000000000001" customHeight="1" x14ac:dyDescent="0.25">
      <c r="A36" s="122">
        <v>2</v>
      </c>
      <c r="B36" s="478">
        <f>+B35+1</f>
        <v>45526</v>
      </c>
      <c r="C36" s="478"/>
      <c r="D36" s="478"/>
      <c r="E36" s="271">
        <v>35000</v>
      </c>
      <c r="F36" s="271" t="s">
        <v>220</v>
      </c>
      <c r="G36" s="271" t="s">
        <v>247</v>
      </c>
      <c r="H36" s="271">
        <v>20000</v>
      </c>
      <c r="I36" s="191">
        <f>SUM(E36:H36)</f>
        <v>55000</v>
      </c>
      <c r="O36" s="116"/>
    </row>
    <row r="37" spans="1:15" s="115" customFormat="1" ht="17.100000000000001" customHeight="1" x14ac:dyDescent="0.25">
      <c r="A37" s="122">
        <v>3</v>
      </c>
      <c r="B37" s="478">
        <f>+B36+1</f>
        <v>45527</v>
      </c>
      <c r="C37" s="478"/>
      <c r="D37" s="478"/>
      <c r="E37" s="271">
        <v>35000</v>
      </c>
      <c r="F37" s="271" t="s">
        <v>220</v>
      </c>
      <c r="G37" s="271" t="s">
        <v>223</v>
      </c>
      <c r="H37" s="271">
        <v>20000</v>
      </c>
      <c r="I37" s="191">
        <f>SUM(E37:H37)</f>
        <v>55000</v>
      </c>
      <c r="O37" s="116"/>
    </row>
    <row r="38" spans="1:15" s="115" customFormat="1" ht="16.5" customHeight="1" x14ac:dyDescent="0.25">
      <c r="A38" s="479" t="s">
        <v>12</v>
      </c>
      <c r="B38" s="479"/>
      <c r="C38" s="479"/>
      <c r="D38" s="479"/>
      <c r="E38" s="480"/>
      <c r="F38" s="481"/>
      <c r="G38" s="481"/>
      <c r="H38" s="482"/>
      <c r="I38" s="196">
        <f>SUM(I35:I37)</f>
        <v>185000</v>
      </c>
      <c r="O38" s="116"/>
    </row>
    <row r="39" spans="1:15" s="115" customFormat="1" ht="16.5" customHeight="1" x14ac:dyDescent="0.25">
      <c r="A39" s="309"/>
      <c r="B39" s="310"/>
      <c r="C39" s="310"/>
      <c r="D39" s="310"/>
      <c r="E39" s="679"/>
      <c r="F39" s="679"/>
      <c r="G39" s="679"/>
      <c r="H39" s="679"/>
      <c r="I39" s="680"/>
      <c r="O39" s="116"/>
    </row>
    <row r="40" spans="1:15" s="13" customFormat="1" ht="20.100000000000001" customHeight="1" x14ac:dyDescent="0.25">
      <c r="A40" s="259" t="s">
        <v>185</v>
      </c>
      <c r="B40" s="254"/>
      <c r="C40" s="254"/>
      <c r="D40" s="254"/>
      <c r="E40" s="103"/>
      <c r="F40" s="103"/>
      <c r="G40" s="103"/>
      <c r="H40" s="103"/>
      <c r="I40" s="103"/>
      <c r="J40" s="117"/>
      <c r="K40" s="118"/>
      <c r="L40" s="118"/>
      <c r="M40" s="118"/>
      <c r="N40" s="118"/>
      <c r="O40" s="119"/>
    </row>
    <row r="41" spans="1:15" s="115" customFormat="1" ht="24.95" customHeight="1" x14ac:dyDescent="0.25">
      <c r="A41" s="179" t="s">
        <v>34</v>
      </c>
      <c r="B41" s="488" t="s">
        <v>3</v>
      </c>
      <c r="C41" s="489"/>
      <c r="D41" s="489"/>
      <c r="E41" s="490"/>
      <c r="F41" s="179" t="s">
        <v>178</v>
      </c>
      <c r="G41" s="490" t="s">
        <v>185</v>
      </c>
      <c r="H41" s="103"/>
      <c r="I41" s="103"/>
      <c r="J41" s="130"/>
      <c r="K41" s="123"/>
      <c r="L41" s="123"/>
      <c r="O41" s="128"/>
    </row>
    <row r="42" spans="1:15" s="115" customFormat="1" ht="20.100000000000001" customHeight="1" x14ac:dyDescent="0.25">
      <c r="A42" s="122">
        <v>1</v>
      </c>
      <c r="B42" s="298" t="str">
        <f>'TAHAP 1'!M13</f>
        <v>BAMBANG RIANTO</v>
      </c>
      <c r="C42" s="299"/>
      <c r="D42" s="299"/>
      <c r="E42" s="300"/>
      <c r="F42" s="194" t="s">
        <v>91</v>
      </c>
      <c r="G42" s="491">
        <f>+I26</f>
        <v>270000</v>
      </c>
      <c r="H42" s="103"/>
      <c r="I42" s="103"/>
      <c r="J42" s="178"/>
      <c r="K42" s="123"/>
      <c r="L42" s="123"/>
      <c r="O42" s="128"/>
    </row>
    <row r="43" spans="1:15" s="115" customFormat="1" ht="20.100000000000001" customHeight="1" x14ac:dyDescent="0.25">
      <c r="A43" s="122">
        <v>2</v>
      </c>
      <c r="B43" s="298" t="str">
        <f>'TAHAP 1'!M14</f>
        <v>MAULVI BARUL MUHITH</v>
      </c>
      <c r="C43" s="299"/>
      <c r="D43" s="299"/>
      <c r="E43" s="300"/>
      <c r="F43" s="194" t="s">
        <v>90</v>
      </c>
      <c r="G43" s="275">
        <f>+I32</f>
        <v>230000</v>
      </c>
      <c r="H43" s="103"/>
      <c r="I43" s="103"/>
      <c r="J43" s="178"/>
      <c r="K43" s="123"/>
      <c r="L43" s="123"/>
      <c r="O43" s="128"/>
    </row>
    <row r="44" spans="1:15" s="115" customFormat="1" ht="20.100000000000001" customHeight="1" x14ac:dyDescent="0.25">
      <c r="A44" s="122">
        <v>3</v>
      </c>
      <c r="B44" s="298" t="str">
        <f>'TAHAP 1'!M15</f>
        <v>AMALIA PUJI RAHAYUNINGSIH</v>
      </c>
      <c r="C44" s="299"/>
      <c r="D44" s="299"/>
      <c r="E44" s="300"/>
      <c r="F44" s="194" t="s">
        <v>90</v>
      </c>
      <c r="G44" s="275">
        <f>+I32</f>
        <v>230000</v>
      </c>
      <c r="H44" s="103"/>
      <c r="I44" s="103"/>
      <c r="J44" s="178"/>
      <c r="K44" s="123"/>
      <c r="L44" s="123"/>
      <c r="O44" s="128"/>
    </row>
    <row r="45" spans="1:15" s="115" customFormat="1" ht="20.100000000000001" customHeight="1" thickBot="1" x14ac:dyDescent="0.3">
      <c r="A45" s="122">
        <v>4</v>
      </c>
      <c r="B45" s="301" t="str">
        <f>'TAHAP 1'!M16</f>
        <v>AYU INDRASARI SAPUTRI</v>
      </c>
      <c r="C45" s="302"/>
      <c r="D45" s="302"/>
      <c r="E45" s="303"/>
      <c r="F45" s="194" t="s">
        <v>89</v>
      </c>
      <c r="G45" s="275">
        <f>+I38</f>
        <v>185000</v>
      </c>
      <c r="H45" s="103"/>
      <c r="I45" s="103"/>
      <c r="J45" s="178"/>
      <c r="K45" s="123"/>
      <c r="L45" s="123"/>
      <c r="O45" s="128"/>
    </row>
    <row r="46" spans="1:15" s="115" customFormat="1" ht="24.95" customHeight="1" thickTop="1" x14ac:dyDescent="0.25">
      <c r="A46" s="503" t="s">
        <v>12</v>
      </c>
      <c r="B46" s="504"/>
      <c r="C46" s="504"/>
      <c r="D46" s="504"/>
      <c r="E46" s="504"/>
      <c r="F46" s="505"/>
      <c r="G46" s="195">
        <f>SUM(G42:G45)</f>
        <v>915000</v>
      </c>
      <c r="H46" s="103"/>
      <c r="I46" s="103"/>
      <c r="J46" s="130"/>
      <c r="K46" s="123"/>
      <c r="L46" s="123"/>
      <c r="O46" s="128"/>
    </row>
    <row r="47" spans="1:15" s="115" customFormat="1" ht="24.95" customHeight="1" thickBot="1" x14ac:dyDescent="0.3">
      <c r="A47" s="165"/>
      <c r="B47" s="123"/>
      <c r="C47" s="123"/>
      <c r="D47" s="123"/>
      <c r="E47" s="123"/>
      <c r="F47" s="123"/>
      <c r="G47" s="142"/>
      <c r="H47" s="103"/>
      <c r="I47" s="103"/>
      <c r="J47" s="130"/>
      <c r="K47" s="123"/>
      <c r="L47" s="123"/>
      <c r="O47" s="128"/>
    </row>
    <row r="48" spans="1:15" s="115" customFormat="1" ht="20.100000000000001" customHeight="1" thickTop="1" x14ac:dyDescent="0.25">
      <c r="A48" s="506" t="s">
        <v>193</v>
      </c>
      <c r="B48" s="507"/>
      <c r="C48" s="507"/>
      <c r="D48" s="507"/>
      <c r="E48" s="507"/>
      <c r="F48" s="507"/>
      <c r="G48" s="507"/>
      <c r="H48" s="507"/>
      <c r="I48" s="507"/>
      <c r="J48" s="507"/>
      <c r="K48" s="507"/>
      <c r="L48" s="507"/>
      <c r="M48" s="507"/>
      <c r="N48" s="507"/>
      <c r="O48" s="508"/>
    </row>
    <row r="49" spans="1:15" s="115" customFormat="1" ht="20.100000000000001" customHeight="1" x14ac:dyDescent="0.25">
      <c r="A49" s="509"/>
      <c r="B49" s="510"/>
      <c r="C49" s="510"/>
      <c r="D49" s="510"/>
      <c r="E49" s="510"/>
      <c r="F49" s="510"/>
      <c r="G49" s="510"/>
      <c r="H49" s="510"/>
      <c r="I49" s="510"/>
      <c r="J49" s="510"/>
      <c r="K49" s="510"/>
      <c r="L49" s="510"/>
      <c r="M49" s="510"/>
      <c r="N49" s="510"/>
      <c r="O49" s="511"/>
    </row>
    <row r="50" spans="1:15" s="115" customFormat="1" ht="24.95" hidden="1" customHeight="1" x14ac:dyDescent="0.25">
      <c r="A50" s="681" t="s">
        <v>216</v>
      </c>
      <c r="B50" s="682" t="s">
        <v>226</v>
      </c>
      <c r="C50" s="682"/>
      <c r="D50" s="129"/>
      <c r="E50" s="129"/>
      <c r="O50" s="116"/>
    </row>
    <row r="51" spans="1:15" s="115" customFormat="1" ht="20.100000000000001" hidden="1" customHeight="1" x14ac:dyDescent="0.25">
      <c r="A51" s="264" t="s">
        <v>34</v>
      </c>
      <c r="B51" s="477" t="s">
        <v>50</v>
      </c>
      <c r="C51" s="477"/>
      <c r="D51" s="477" t="s">
        <v>229</v>
      </c>
      <c r="E51" s="477"/>
      <c r="F51" s="477"/>
      <c r="G51" s="477"/>
      <c r="H51" s="477"/>
      <c r="I51" s="477"/>
      <c r="J51" s="135" t="s">
        <v>186</v>
      </c>
      <c r="K51" s="127" t="s">
        <v>219</v>
      </c>
      <c r="L51" s="127" t="s">
        <v>41</v>
      </c>
      <c r="M51" s="127" t="s">
        <v>12</v>
      </c>
      <c r="O51" s="116"/>
    </row>
    <row r="52" spans="1:15" s="115" customFormat="1" ht="20.100000000000001" hidden="1" customHeight="1" x14ac:dyDescent="0.25">
      <c r="A52" s="265">
        <v>1</v>
      </c>
      <c r="B52" s="515" t="s">
        <v>217</v>
      </c>
      <c r="C52" s="516"/>
      <c r="D52" s="320" t="s">
        <v>246</v>
      </c>
      <c r="E52" s="320"/>
      <c r="F52" s="320"/>
      <c r="G52" s="320"/>
      <c r="H52" s="320"/>
      <c r="I52" s="320"/>
      <c r="J52" s="517"/>
      <c r="K52" s="517"/>
      <c r="L52" s="517"/>
      <c r="M52" s="483"/>
      <c r="O52" s="116"/>
    </row>
    <row r="53" spans="1:15" s="115" customFormat="1" ht="20.100000000000001" hidden="1" customHeight="1" x14ac:dyDescent="0.25">
      <c r="A53" s="265">
        <v>2</v>
      </c>
      <c r="B53" s="515" t="s">
        <v>218</v>
      </c>
      <c r="C53" s="516"/>
      <c r="D53" s="320" t="s">
        <v>246</v>
      </c>
      <c r="E53" s="320"/>
      <c r="F53" s="320"/>
      <c r="G53" s="320"/>
      <c r="H53" s="320"/>
      <c r="I53" s="320"/>
      <c r="J53" s="518"/>
      <c r="K53" s="518"/>
      <c r="L53" s="518"/>
      <c r="M53" s="484"/>
      <c r="O53" s="116"/>
    </row>
    <row r="54" spans="1:15" s="115" customFormat="1" ht="20.100000000000001" hidden="1" customHeight="1" x14ac:dyDescent="0.25">
      <c r="A54" s="102"/>
      <c r="B54" s="103"/>
      <c r="C54" s="103"/>
      <c r="D54" s="103"/>
      <c r="E54" s="103"/>
      <c r="F54" s="103"/>
      <c r="G54" s="24"/>
      <c r="H54" s="142"/>
      <c r="I54" s="103"/>
      <c r="J54" s="130"/>
      <c r="K54" s="123"/>
      <c r="L54" s="123"/>
      <c r="O54" s="116"/>
    </row>
    <row r="55" spans="1:15" s="115" customFormat="1" ht="20.100000000000001" hidden="1" customHeight="1" x14ac:dyDescent="0.25">
      <c r="A55" s="102"/>
      <c r="B55" s="103"/>
      <c r="C55" s="103"/>
      <c r="D55" s="103"/>
      <c r="E55" s="103"/>
      <c r="F55" s="103"/>
      <c r="G55" s="24"/>
      <c r="H55" s="142"/>
      <c r="I55" s="103"/>
      <c r="J55" s="130"/>
      <c r="K55" s="123"/>
      <c r="L55" s="123"/>
      <c r="O55" s="116"/>
    </row>
    <row r="56" spans="1:15" s="115" customFormat="1" ht="24.95" customHeight="1" x14ac:dyDescent="0.25">
      <c r="A56" s="134" t="s">
        <v>222</v>
      </c>
      <c r="B56" s="114"/>
      <c r="C56" s="114"/>
      <c r="D56" s="277"/>
      <c r="E56" s="277"/>
      <c r="O56" s="116"/>
    </row>
    <row r="57" spans="1:15" s="115" customFormat="1" ht="24.95" hidden="1" customHeight="1" x14ac:dyDescent="0.25">
      <c r="A57" s="143"/>
      <c r="B57" s="103"/>
      <c r="C57" s="103"/>
      <c r="D57" s="129"/>
      <c r="E57" s="129"/>
      <c r="O57" s="116"/>
    </row>
    <row r="58" spans="1:15" s="115" customFormat="1" ht="20.100000000000001" hidden="1" customHeight="1" x14ac:dyDescent="0.25">
      <c r="A58" s="155"/>
      <c r="B58" s="103"/>
      <c r="C58" s="103"/>
      <c r="D58" s="129"/>
      <c r="E58" s="129"/>
      <c r="O58" s="116"/>
    </row>
    <row r="59" spans="1:15" s="115" customFormat="1" ht="20.100000000000001" hidden="1" customHeight="1" x14ac:dyDescent="0.25">
      <c r="A59" s="155"/>
      <c r="B59" s="103"/>
      <c r="C59" s="103"/>
      <c r="D59" s="129"/>
      <c r="E59" s="129"/>
      <c r="O59" s="116"/>
    </row>
    <row r="60" spans="1:15" s="115" customFormat="1" ht="9.9499999999999993" customHeight="1" x14ac:dyDescent="0.25">
      <c r="A60" s="102"/>
      <c r="B60" s="129"/>
      <c r="C60" s="129"/>
      <c r="D60" s="129"/>
      <c r="E60" s="129"/>
      <c r="O60" s="116"/>
    </row>
    <row r="61" spans="1:15" s="24" customFormat="1" ht="24.95" customHeight="1" x14ac:dyDescent="0.25">
      <c r="A61" s="127" t="s">
        <v>34</v>
      </c>
      <c r="B61" s="512" t="s">
        <v>48</v>
      </c>
      <c r="C61" s="513"/>
      <c r="D61" s="514"/>
      <c r="E61" s="135" t="s">
        <v>39</v>
      </c>
      <c r="F61" s="127" t="s">
        <v>40</v>
      </c>
      <c r="G61" s="498" t="s">
        <v>199</v>
      </c>
      <c r="H61" s="499"/>
      <c r="O61" s="84"/>
    </row>
    <row r="62" spans="1:15" s="115" customFormat="1" ht="17.100000000000001" customHeight="1" thickBot="1" x14ac:dyDescent="0.3">
      <c r="A62" s="122">
        <v>1</v>
      </c>
      <c r="B62" s="495" t="s">
        <v>248</v>
      </c>
      <c r="C62" s="496"/>
      <c r="D62" s="497"/>
      <c r="E62" s="191">
        <v>0</v>
      </c>
      <c r="F62" s="192">
        <v>0</v>
      </c>
      <c r="G62" s="568">
        <f>E62*F62</f>
        <v>0</v>
      </c>
      <c r="H62" s="569"/>
      <c r="O62" s="116"/>
    </row>
    <row r="63" spans="1:15" s="115" customFormat="1" ht="24.95" customHeight="1" thickTop="1" x14ac:dyDescent="0.25">
      <c r="A63" s="485" t="s">
        <v>210</v>
      </c>
      <c r="B63" s="486"/>
      <c r="C63" s="486"/>
      <c r="D63" s="486"/>
      <c r="E63" s="486"/>
      <c r="F63" s="487"/>
      <c r="G63" s="203"/>
      <c r="H63" s="195">
        <f>SUM(H56:H62)</f>
        <v>0</v>
      </c>
      <c r="N63" s="24"/>
      <c r="O63" s="84"/>
    </row>
    <row r="64" spans="1:15" s="115" customFormat="1" ht="17.100000000000001" customHeight="1" x14ac:dyDescent="0.25">
      <c r="A64" s="208"/>
      <c r="B64" s="209"/>
      <c r="C64" s="209"/>
      <c r="D64" s="209"/>
      <c r="E64" s="210"/>
      <c r="F64" s="210"/>
      <c r="G64" s="211"/>
      <c r="H64" s="211"/>
      <c r="O64" s="116"/>
    </row>
    <row r="65" spans="1:16" s="115" customFormat="1" ht="17.100000000000001" customHeight="1" x14ac:dyDescent="0.25">
      <c r="A65" s="204"/>
      <c r="B65" s="205"/>
      <c r="C65" s="205"/>
      <c r="D65" s="205"/>
      <c r="E65" s="206"/>
      <c r="F65" s="206"/>
      <c r="G65" s="207"/>
      <c r="H65" s="207"/>
      <c r="O65" s="116"/>
    </row>
    <row r="66" spans="1:16" s="24" customFormat="1" ht="24.95" customHeight="1" x14ac:dyDescent="0.25">
      <c r="A66" s="127" t="s">
        <v>34</v>
      </c>
      <c r="B66" s="512" t="s">
        <v>48</v>
      </c>
      <c r="C66" s="513"/>
      <c r="D66" s="514"/>
      <c r="E66" s="135" t="s">
        <v>39</v>
      </c>
      <c r="F66" s="127" t="s">
        <v>40</v>
      </c>
      <c r="G66" s="498" t="s">
        <v>199</v>
      </c>
      <c r="H66" s="499"/>
      <c r="O66" s="84"/>
    </row>
    <row r="67" spans="1:16" s="115" customFormat="1" ht="17.100000000000001" customHeight="1" x14ac:dyDescent="0.25">
      <c r="A67" s="122">
        <v>1</v>
      </c>
      <c r="B67" s="495" t="s">
        <v>49</v>
      </c>
      <c r="C67" s="496"/>
      <c r="D67" s="497"/>
      <c r="E67" s="306"/>
      <c r="F67" s="307"/>
      <c r="G67" s="304"/>
      <c r="H67" s="305">
        <f t="shared" ref="H67:H74" si="0">+E67*F67</f>
        <v>0</v>
      </c>
      <c r="O67" s="116"/>
    </row>
    <row r="68" spans="1:16" s="115" customFormat="1" ht="17.100000000000001" customHeight="1" x14ac:dyDescent="0.25">
      <c r="A68" s="122">
        <v>2</v>
      </c>
      <c r="B68" s="139" t="s">
        <v>46</v>
      </c>
      <c r="C68" s="140"/>
      <c r="D68" s="141"/>
      <c r="E68" s="308">
        <v>3</v>
      </c>
      <c r="F68" s="307">
        <v>100000</v>
      </c>
      <c r="G68" s="304"/>
      <c r="H68" s="305">
        <f t="shared" si="0"/>
        <v>300000</v>
      </c>
      <c r="O68" s="116"/>
    </row>
    <row r="69" spans="1:16" s="115" customFormat="1" ht="17.100000000000001" customHeight="1" x14ac:dyDescent="0.25">
      <c r="A69" s="122">
        <v>3</v>
      </c>
      <c r="B69" s="139" t="s">
        <v>47</v>
      </c>
      <c r="C69" s="140"/>
      <c r="D69" s="141"/>
      <c r="E69" s="308">
        <v>2</v>
      </c>
      <c r="F69" s="307">
        <v>150000</v>
      </c>
      <c r="G69" s="304"/>
      <c r="H69" s="305">
        <f>+E69*F69</f>
        <v>300000</v>
      </c>
      <c r="O69" s="116"/>
    </row>
    <row r="70" spans="1:16" s="115" customFormat="1" ht="17.100000000000001" customHeight="1" x14ac:dyDescent="0.25">
      <c r="A70" s="122">
        <v>4</v>
      </c>
      <c r="B70" s="139" t="s">
        <v>45</v>
      </c>
      <c r="C70" s="140"/>
      <c r="D70" s="141"/>
      <c r="E70" s="308">
        <v>3</v>
      </c>
      <c r="F70" s="307">
        <v>300000</v>
      </c>
      <c r="G70" s="304"/>
      <c r="H70" s="305">
        <f t="shared" si="0"/>
        <v>900000</v>
      </c>
      <c r="O70" s="116"/>
    </row>
    <row r="71" spans="1:16" s="115" customFormat="1" ht="17.100000000000001" customHeight="1" x14ac:dyDescent="0.25">
      <c r="A71" s="122">
        <v>5</v>
      </c>
      <c r="B71" s="495" t="s">
        <v>42</v>
      </c>
      <c r="C71" s="496"/>
      <c r="D71" s="497"/>
      <c r="E71" s="308">
        <v>1</v>
      </c>
      <c r="F71" s="307">
        <v>1000000</v>
      </c>
      <c r="G71" s="304"/>
      <c r="H71" s="305">
        <f t="shared" si="0"/>
        <v>1000000</v>
      </c>
      <c r="O71" s="116"/>
    </row>
    <row r="72" spans="1:16" s="115" customFormat="1" ht="17.100000000000001" customHeight="1" x14ac:dyDescent="0.25">
      <c r="A72" s="122">
        <v>6</v>
      </c>
      <c r="B72" s="495" t="s">
        <v>43</v>
      </c>
      <c r="C72" s="496"/>
      <c r="D72" s="497"/>
      <c r="E72" s="308">
        <v>1</v>
      </c>
      <c r="F72" s="307">
        <v>900000</v>
      </c>
      <c r="G72" s="304"/>
      <c r="H72" s="305">
        <f t="shared" si="0"/>
        <v>900000</v>
      </c>
      <c r="O72" s="116"/>
    </row>
    <row r="73" spans="1:16" s="115" customFormat="1" ht="17.100000000000001" customHeight="1" x14ac:dyDescent="0.25">
      <c r="A73" s="122">
        <v>7</v>
      </c>
      <c r="B73" s="500" t="s">
        <v>44</v>
      </c>
      <c r="C73" s="500"/>
      <c r="D73" s="500"/>
      <c r="E73" s="308">
        <v>1</v>
      </c>
      <c r="F73" s="306">
        <v>100000</v>
      </c>
      <c r="G73" s="501">
        <f>+E73*F73</f>
        <v>100000</v>
      </c>
      <c r="H73" s="502"/>
      <c r="O73" s="116"/>
    </row>
    <row r="74" spans="1:16" s="115" customFormat="1" ht="17.100000000000001" customHeight="1" thickBot="1" x14ac:dyDescent="0.3">
      <c r="A74" s="260">
        <v>8</v>
      </c>
      <c r="B74" s="492" t="s">
        <v>215</v>
      </c>
      <c r="C74" s="493"/>
      <c r="D74" s="494"/>
      <c r="E74" s="261">
        <v>0</v>
      </c>
      <c r="F74" s="191">
        <v>0</v>
      </c>
      <c r="G74" s="262"/>
      <c r="H74" s="263">
        <f t="shared" si="0"/>
        <v>0</v>
      </c>
      <c r="O74" s="116"/>
    </row>
    <row r="75" spans="1:16" s="115" customFormat="1" ht="24.95" customHeight="1" thickTop="1" x14ac:dyDescent="0.25">
      <c r="A75" s="485" t="s">
        <v>211</v>
      </c>
      <c r="B75" s="486"/>
      <c r="C75" s="486"/>
      <c r="D75" s="486"/>
      <c r="E75" s="486"/>
      <c r="F75" s="487"/>
      <c r="G75" s="203"/>
      <c r="H75" s="195">
        <f>SUM(G67:H74)</f>
        <v>3500000</v>
      </c>
      <c r="N75" s="24"/>
      <c r="O75" s="84"/>
    </row>
    <row r="76" spans="1:16" s="115" customFormat="1" ht="20.100000000000001" customHeight="1" x14ac:dyDescent="0.25">
      <c r="A76" s="102"/>
      <c r="B76" s="103"/>
      <c r="C76" s="103"/>
      <c r="D76" s="103"/>
      <c r="E76" s="103"/>
      <c r="F76" s="103"/>
      <c r="G76" s="24"/>
      <c r="H76" s="142"/>
      <c r="I76" s="103"/>
      <c r="J76" s="130"/>
      <c r="K76" s="123"/>
      <c r="L76" s="123"/>
      <c r="O76" s="116"/>
    </row>
    <row r="77" spans="1:16" s="115" customFormat="1" ht="20.100000000000001" customHeight="1" x14ac:dyDescent="0.25">
      <c r="A77" s="102"/>
      <c r="B77" s="103"/>
      <c r="C77" s="103"/>
      <c r="D77" s="103"/>
      <c r="E77" s="103"/>
      <c r="F77" s="103"/>
      <c r="G77" s="212"/>
      <c r="H77" s="193">
        <f>+H75+H63</f>
        <v>3500000</v>
      </c>
      <c r="I77" s="276"/>
      <c r="J77" s="130"/>
      <c r="K77" s="123"/>
      <c r="L77" s="123"/>
      <c r="O77" s="116"/>
    </row>
    <row r="78" spans="1:16" s="115" customFormat="1" ht="20.100000000000001" customHeight="1" x14ac:dyDescent="0.25">
      <c r="A78" s="102"/>
      <c r="B78" s="103"/>
      <c r="C78" s="103"/>
      <c r="D78" s="103"/>
      <c r="E78" s="103"/>
      <c r="F78" s="103"/>
      <c r="I78" s="103"/>
      <c r="J78" s="130"/>
      <c r="K78" s="123"/>
      <c r="L78" s="123"/>
      <c r="N78" s="180"/>
      <c r="O78" s="150"/>
    </row>
    <row r="79" spans="1:16" s="115" customFormat="1" ht="24.95" customHeight="1" x14ac:dyDescent="0.25">
      <c r="A79" s="151" t="s">
        <v>75</v>
      </c>
      <c r="B79" s="152"/>
      <c r="C79" s="152"/>
      <c r="D79" s="153"/>
      <c r="E79" s="153"/>
      <c r="F79" s="153"/>
      <c r="G79" s="153"/>
      <c r="H79" s="153"/>
      <c r="I79" s="153"/>
      <c r="J79" s="154"/>
      <c r="K79" s="154"/>
      <c r="L79" s="187"/>
      <c r="M79" s="187"/>
      <c r="N79" s="187"/>
      <c r="O79" s="188"/>
      <c r="P79" s="146"/>
    </row>
    <row r="80" spans="1:16" s="144" customFormat="1" ht="20.100000000000001" customHeight="1" x14ac:dyDescent="0.25">
      <c r="A80" s="564" t="s">
        <v>1</v>
      </c>
      <c r="B80" s="565" t="s">
        <v>200</v>
      </c>
      <c r="C80" s="566"/>
      <c r="D80" s="566"/>
      <c r="E80" s="567"/>
      <c r="F80" s="555" t="s">
        <v>51</v>
      </c>
      <c r="G80" s="556"/>
      <c r="H80" s="556"/>
      <c r="I80" s="557"/>
      <c r="J80" s="555" t="s">
        <v>201</v>
      </c>
      <c r="K80" s="557"/>
      <c r="L80" s="555" t="s">
        <v>39</v>
      </c>
      <c r="M80" s="557"/>
      <c r="N80" s="562"/>
      <c r="O80" s="563"/>
      <c r="P80" s="562"/>
    </row>
    <row r="81" spans="1:19" s="144" customFormat="1" ht="20.100000000000001" customHeight="1" thickBot="1" x14ac:dyDescent="0.3">
      <c r="A81" s="683"/>
      <c r="B81" s="555" t="s">
        <v>202</v>
      </c>
      <c r="C81" s="557"/>
      <c r="D81" s="555" t="s">
        <v>203</v>
      </c>
      <c r="E81" s="557"/>
      <c r="F81" s="684"/>
      <c r="G81" s="685"/>
      <c r="H81" s="685"/>
      <c r="I81" s="686"/>
      <c r="J81" s="558"/>
      <c r="K81" s="559"/>
      <c r="L81" s="558"/>
      <c r="M81" s="559"/>
      <c r="N81" s="562"/>
      <c r="O81" s="563"/>
      <c r="P81" s="562"/>
    </row>
    <row r="82" spans="1:19" s="129" customFormat="1" ht="54.95" customHeight="1" thickTop="1" x14ac:dyDescent="0.25">
      <c r="A82" s="687">
        <v>1</v>
      </c>
      <c r="B82" s="688">
        <f>+'TAHAP 1'!C13</f>
        <v>45525</v>
      </c>
      <c r="C82" s="688"/>
      <c r="D82" s="688">
        <f>+'TAHAP 1'!F13</f>
        <v>45527</v>
      </c>
      <c r="E82" s="688"/>
      <c r="F82" s="689" t="s">
        <v>250</v>
      </c>
      <c r="G82" s="689"/>
      <c r="H82" s="689"/>
      <c r="I82" s="689"/>
      <c r="J82" s="691" t="s">
        <v>227</v>
      </c>
      <c r="K82" s="691"/>
      <c r="L82" s="692">
        <v>670000</v>
      </c>
      <c r="M82" s="693"/>
      <c r="N82" s="189"/>
      <c r="O82" s="190"/>
      <c r="P82" s="186"/>
    </row>
    <row r="83" spans="1:19" s="129" customFormat="1" ht="54.95" customHeight="1" x14ac:dyDescent="0.25">
      <c r="A83" s="687"/>
      <c r="B83" s="688"/>
      <c r="C83" s="688"/>
      <c r="D83" s="688"/>
      <c r="E83" s="688"/>
      <c r="F83" s="689"/>
      <c r="G83" s="689"/>
      <c r="H83" s="689"/>
      <c r="I83" s="690"/>
      <c r="J83" s="694" t="s">
        <v>251</v>
      </c>
      <c r="K83" s="694"/>
      <c r="L83" s="695">
        <v>950000</v>
      </c>
      <c r="M83" s="695"/>
      <c r="N83" s="184"/>
      <c r="O83" s="185"/>
      <c r="P83" s="181"/>
    </row>
    <row r="84" spans="1:19" s="129" customFormat="1" ht="21.95" customHeight="1" x14ac:dyDescent="0.25">
      <c r="A84" s="182"/>
      <c r="B84" s="183"/>
      <c r="C84" s="183"/>
      <c r="D84" s="183"/>
      <c r="E84" s="183"/>
      <c r="F84" s="255" t="str">
        <f>+F82</f>
        <v>Aston Sidoarjo City Hotel and Conference Center
Jalan Kahuripan Raya Kav. 14 Sidoarjo, Kahuripan, Sidoarjo, 61252, Indonesia. 
CI/CO : 21 - 23 Aug (02 Malam)
Deluxe : IDR 670.000/room/night include breakfast
Executive : IDR 950.000/room/night include breakfast</v>
      </c>
      <c r="G84" s="166"/>
      <c r="H84" s="166"/>
      <c r="I84" s="166"/>
      <c r="J84" s="166"/>
      <c r="K84" s="166"/>
      <c r="L84" s="166"/>
      <c r="M84" s="184"/>
      <c r="N84" s="184"/>
      <c r="O84" s="185"/>
      <c r="P84" s="181"/>
    </row>
    <row r="85" spans="1:19" s="129" customFormat="1" ht="21.95" customHeight="1" x14ac:dyDescent="0.25">
      <c r="A85" s="182"/>
      <c r="B85" s="532" t="s">
        <v>3</v>
      </c>
      <c r="C85" s="533"/>
      <c r="D85" s="536" t="s">
        <v>209</v>
      </c>
      <c r="E85" s="536" t="s">
        <v>207</v>
      </c>
      <c r="F85" s="536" t="s">
        <v>208</v>
      </c>
      <c r="G85" s="536" t="s">
        <v>186</v>
      </c>
      <c r="H85" s="536" t="s">
        <v>12</v>
      </c>
      <c r="I85" s="536" t="s">
        <v>80</v>
      </c>
      <c r="J85" s="560" t="s">
        <v>79</v>
      </c>
      <c r="K85" s="572" t="s">
        <v>81</v>
      </c>
      <c r="L85" s="166"/>
      <c r="M85" s="184"/>
      <c r="N85" s="458"/>
      <c r="O85" s="459"/>
      <c r="P85" s="186"/>
    </row>
    <row r="86" spans="1:19" s="129" customFormat="1" ht="21.95" customHeight="1" x14ac:dyDescent="0.25">
      <c r="A86" s="182"/>
      <c r="B86" s="534"/>
      <c r="C86" s="535"/>
      <c r="D86" s="537"/>
      <c r="E86" s="537"/>
      <c r="F86" s="537"/>
      <c r="G86" s="537"/>
      <c r="H86" s="537"/>
      <c r="I86" s="537"/>
      <c r="J86" s="561"/>
      <c r="K86" s="572"/>
      <c r="L86" s="166"/>
      <c r="M86" s="184"/>
      <c r="N86" s="123"/>
      <c r="O86" s="128"/>
      <c r="P86" s="186"/>
    </row>
    <row r="87" spans="1:19" s="129" customFormat="1" ht="21.95" customHeight="1" x14ac:dyDescent="0.25">
      <c r="A87" s="182"/>
      <c r="B87" s="523" t="str">
        <f>B42</f>
        <v>BAMBANG RIANTO</v>
      </c>
      <c r="C87" s="523"/>
      <c r="D87" s="202" t="str">
        <f>+J83</f>
        <v>Executive</v>
      </c>
      <c r="E87" s="194">
        <v>1</v>
      </c>
      <c r="F87" s="194">
        <v>2</v>
      </c>
      <c r="G87" s="197">
        <f>+L83</f>
        <v>950000</v>
      </c>
      <c r="H87" s="197">
        <f>+G87*F87*E87</f>
        <v>1900000</v>
      </c>
      <c r="I87" s="197" t="s">
        <v>221</v>
      </c>
      <c r="J87" s="197" t="s">
        <v>82</v>
      </c>
      <c r="K87" s="197" t="s">
        <v>82</v>
      </c>
      <c r="L87" s="166"/>
      <c r="M87" s="184"/>
      <c r="N87" s="115"/>
      <c r="O87" s="116"/>
      <c r="P87" s="186"/>
    </row>
    <row r="88" spans="1:19" s="129" customFormat="1" ht="21.95" customHeight="1" x14ac:dyDescent="0.25">
      <c r="A88" s="182"/>
      <c r="B88" s="523" t="str">
        <f t="shared" ref="B88:B90" si="1">B43</f>
        <v>MAULVI BARUL MUHITH</v>
      </c>
      <c r="C88" s="523"/>
      <c r="D88" s="202" t="str">
        <f>+J82</f>
        <v>Deluxe</v>
      </c>
      <c r="E88" s="194">
        <v>1</v>
      </c>
      <c r="F88" s="194">
        <v>2</v>
      </c>
      <c r="G88" s="197">
        <f>+L82</f>
        <v>670000</v>
      </c>
      <c r="H88" s="197">
        <f>+G88*F88*E88</f>
        <v>1340000</v>
      </c>
      <c r="I88" s="197" t="s">
        <v>221</v>
      </c>
      <c r="J88" s="197" t="s">
        <v>221</v>
      </c>
      <c r="K88" s="197" t="s">
        <v>82</v>
      </c>
      <c r="L88" s="166"/>
      <c r="M88" s="184"/>
      <c r="N88" s="115"/>
      <c r="O88" s="116"/>
      <c r="P88" s="186"/>
    </row>
    <row r="89" spans="1:19" s="129" customFormat="1" ht="21.95" customHeight="1" x14ac:dyDescent="0.25">
      <c r="A89" s="182"/>
      <c r="B89" s="523" t="str">
        <f t="shared" si="1"/>
        <v>AMALIA PUJI RAHAYUNINGSIH</v>
      </c>
      <c r="C89" s="523"/>
      <c r="D89" s="202" t="str">
        <f>J82</f>
        <v>Deluxe</v>
      </c>
      <c r="E89" s="570">
        <v>1</v>
      </c>
      <c r="F89" s="570">
        <v>2</v>
      </c>
      <c r="G89" s="524">
        <f>+L82</f>
        <v>670000</v>
      </c>
      <c r="H89" s="524">
        <f>+G89*F89*E89</f>
        <v>1340000</v>
      </c>
      <c r="I89" s="524" t="s">
        <v>221</v>
      </c>
      <c r="J89" s="524" t="s">
        <v>82</v>
      </c>
      <c r="K89" s="524" t="s">
        <v>82</v>
      </c>
      <c r="L89" s="166"/>
      <c r="M89" s="184"/>
      <c r="N89" s="115"/>
      <c r="O89" s="116"/>
      <c r="P89" s="186"/>
    </row>
    <row r="90" spans="1:19" s="129" customFormat="1" ht="21.95" customHeight="1" x14ac:dyDescent="0.25">
      <c r="A90" s="182"/>
      <c r="B90" s="523" t="str">
        <f t="shared" si="1"/>
        <v>AYU INDRASARI SAPUTRI</v>
      </c>
      <c r="C90" s="523"/>
      <c r="D90" s="202" t="str">
        <f>J82</f>
        <v>Deluxe</v>
      </c>
      <c r="E90" s="571"/>
      <c r="F90" s="571"/>
      <c r="G90" s="525"/>
      <c r="H90" s="525"/>
      <c r="I90" s="525"/>
      <c r="J90" s="525"/>
      <c r="K90" s="525"/>
      <c r="L90" s="166"/>
      <c r="M90" s="184"/>
      <c r="N90" s="115"/>
      <c r="O90" s="116"/>
      <c r="P90" s="186"/>
    </row>
    <row r="91" spans="1:19" s="14" customFormat="1" ht="21.95" customHeight="1" x14ac:dyDescent="0.25">
      <c r="A91" s="147"/>
      <c r="B91" s="696"/>
      <c r="C91" s="696"/>
      <c r="D91" s="696"/>
      <c r="E91" s="696"/>
      <c r="F91" s="697"/>
      <c r="G91" s="697"/>
      <c r="H91" s="698"/>
      <c r="I91" s="697"/>
      <c r="J91" s="697"/>
      <c r="K91" s="697"/>
      <c r="L91" s="148"/>
      <c r="M91" s="149"/>
      <c r="N91" s="199"/>
      <c r="O91" s="150"/>
      <c r="P91" s="198"/>
    </row>
    <row r="92" spans="1:19" s="115" customFormat="1" ht="21.95" customHeight="1" thickBot="1" x14ac:dyDescent="0.3">
      <c r="A92" s="120"/>
      <c r="B92" s="121"/>
      <c r="C92" s="121"/>
      <c r="D92" s="131"/>
      <c r="E92" s="131"/>
      <c r="F92" s="131"/>
      <c r="G92" s="131"/>
      <c r="H92" s="131"/>
      <c r="I92" s="131"/>
      <c r="J92" s="132"/>
      <c r="K92" s="132"/>
      <c r="L92" s="133"/>
      <c r="M92" s="133"/>
      <c r="N92" s="200"/>
      <c r="O92" s="201"/>
      <c r="R92" s="145"/>
      <c r="S92" s="145"/>
    </row>
    <row r="93" spans="1:19" ht="15" customHeight="1" thickTop="1" x14ac:dyDescent="0.25">
      <c r="A93" s="539" t="s">
        <v>113</v>
      </c>
      <c r="B93" s="540"/>
      <c r="C93" s="540"/>
      <c r="D93" s="540"/>
      <c r="E93" s="541"/>
      <c r="F93" s="546"/>
      <c r="G93" s="548" t="s">
        <v>163</v>
      </c>
      <c r="H93" s="549"/>
      <c r="I93" s="554" t="s">
        <v>174</v>
      </c>
      <c r="J93" s="554"/>
      <c r="K93" s="124">
        <v>45118</v>
      </c>
      <c r="L93" s="99" t="s">
        <v>55</v>
      </c>
      <c r="M93" s="99"/>
      <c r="N93" s="100"/>
      <c r="O93" s="99"/>
    </row>
    <row r="94" spans="1:19" ht="15" customHeight="1" x14ac:dyDescent="0.25">
      <c r="A94" s="542"/>
      <c r="B94" s="540"/>
      <c r="C94" s="540"/>
      <c r="D94" s="540"/>
      <c r="E94" s="541"/>
      <c r="F94" s="546"/>
      <c r="G94" s="550"/>
      <c r="H94" s="551"/>
      <c r="I94" s="554" t="s">
        <v>171</v>
      </c>
      <c r="J94" s="554"/>
      <c r="K94" s="125">
        <v>44702</v>
      </c>
      <c r="L94" s="4" t="s">
        <v>55</v>
      </c>
      <c r="M94" s="4"/>
      <c r="N94" s="98"/>
      <c r="O94" s="4"/>
    </row>
    <row r="95" spans="1:19" ht="15" customHeight="1" x14ac:dyDescent="0.25">
      <c r="A95" s="542"/>
      <c r="B95" s="540"/>
      <c r="C95" s="540"/>
      <c r="D95" s="540"/>
      <c r="E95" s="541"/>
      <c r="F95" s="546"/>
      <c r="G95" s="550"/>
      <c r="H95" s="551"/>
      <c r="I95" s="554" t="s">
        <v>170</v>
      </c>
      <c r="J95" s="554"/>
      <c r="K95" s="125">
        <v>44314</v>
      </c>
      <c r="L95" s="4" t="s">
        <v>55</v>
      </c>
      <c r="M95" s="4">
        <v>3</v>
      </c>
      <c r="N95" s="98">
        <f>+K93</f>
        <v>45118</v>
      </c>
      <c r="O95" s="4" t="s">
        <v>57</v>
      </c>
    </row>
    <row r="96" spans="1:19" ht="15" customHeight="1" x14ac:dyDescent="0.25">
      <c r="A96" s="542"/>
      <c r="B96" s="540"/>
      <c r="C96" s="540"/>
      <c r="D96" s="540"/>
      <c r="E96" s="541"/>
      <c r="F96" s="546"/>
      <c r="G96" s="550"/>
      <c r="H96" s="551"/>
      <c r="I96" s="554" t="s">
        <v>169</v>
      </c>
      <c r="J96" s="554"/>
      <c r="K96" s="125">
        <v>44147</v>
      </c>
      <c r="L96" s="4" t="s">
        <v>55</v>
      </c>
      <c r="M96" s="4">
        <v>2</v>
      </c>
      <c r="N96" s="98">
        <v>44702</v>
      </c>
      <c r="O96" s="4" t="s">
        <v>173</v>
      </c>
    </row>
    <row r="97" spans="1:15" ht="15" customHeight="1" x14ac:dyDescent="0.25">
      <c r="A97" s="542"/>
      <c r="B97" s="540"/>
      <c r="C97" s="540"/>
      <c r="D97" s="540"/>
      <c r="E97" s="541"/>
      <c r="F97" s="546"/>
      <c r="G97" s="550"/>
      <c r="H97" s="551"/>
      <c r="I97" s="554" t="s">
        <v>112</v>
      </c>
      <c r="J97" s="554"/>
      <c r="K97" s="125">
        <v>45113</v>
      </c>
      <c r="L97" s="4" t="s">
        <v>172</v>
      </c>
      <c r="M97" s="4">
        <v>1</v>
      </c>
      <c r="N97" s="98">
        <v>44314</v>
      </c>
      <c r="O97" s="4" t="s">
        <v>57</v>
      </c>
    </row>
    <row r="98" spans="1:15" s="3" customFormat="1" ht="15" customHeight="1" x14ac:dyDescent="0.25">
      <c r="A98" s="543"/>
      <c r="B98" s="544"/>
      <c r="C98" s="544"/>
      <c r="D98" s="544"/>
      <c r="E98" s="545"/>
      <c r="F98" s="547"/>
      <c r="G98" s="552"/>
      <c r="H98" s="553"/>
      <c r="I98" s="538" t="s">
        <v>110</v>
      </c>
      <c r="J98" s="538"/>
      <c r="K98" s="18" t="s">
        <v>5</v>
      </c>
      <c r="L98" s="18" t="s">
        <v>107</v>
      </c>
      <c r="M98" s="18" t="s">
        <v>108</v>
      </c>
      <c r="N98" s="18" t="s">
        <v>109</v>
      </c>
      <c r="O98" s="18" t="s">
        <v>107</v>
      </c>
    </row>
  </sheetData>
  <mergeCells count="99">
    <mergeCell ref="F89:F90"/>
    <mergeCell ref="E89:E90"/>
    <mergeCell ref="K89:K90"/>
    <mergeCell ref="J89:J90"/>
    <mergeCell ref="I89:I90"/>
    <mergeCell ref="H89:H90"/>
    <mergeCell ref="G89:G90"/>
    <mergeCell ref="E38:H38"/>
    <mergeCell ref="F82:I83"/>
    <mergeCell ref="D82:E83"/>
    <mergeCell ref="B82:C83"/>
    <mergeCell ref="A82:A83"/>
    <mergeCell ref="B34:D34"/>
    <mergeCell ref="B35:D35"/>
    <mergeCell ref="B36:D36"/>
    <mergeCell ref="B37:D37"/>
    <mergeCell ref="A38:D38"/>
    <mergeCell ref="G62:H62"/>
    <mergeCell ref="B67:D67"/>
    <mergeCell ref="B72:D72"/>
    <mergeCell ref="B66:D66"/>
    <mergeCell ref="K85:K86"/>
    <mergeCell ref="B88:C88"/>
    <mergeCell ref="B87:C87"/>
    <mergeCell ref="J83:K83"/>
    <mergeCell ref="P80:P81"/>
    <mergeCell ref="N80:O81"/>
    <mergeCell ref="J80:K81"/>
    <mergeCell ref="A80:A81"/>
    <mergeCell ref="B80:E80"/>
    <mergeCell ref="L80:M81"/>
    <mergeCell ref="B81:C81"/>
    <mergeCell ref="N85:O85"/>
    <mergeCell ref="J82:K82"/>
    <mergeCell ref="F80:I81"/>
    <mergeCell ref="D81:E81"/>
    <mergeCell ref="J85:J86"/>
    <mergeCell ref="D85:D86"/>
    <mergeCell ref="L83:M83"/>
    <mergeCell ref="I98:J98"/>
    <mergeCell ref="A93:E98"/>
    <mergeCell ref="F93:F98"/>
    <mergeCell ref="G93:H98"/>
    <mergeCell ref="I93:J93"/>
    <mergeCell ref="I94:J94"/>
    <mergeCell ref="I95:J95"/>
    <mergeCell ref="I96:J96"/>
    <mergeCell ref="I97:J97"/>
    <mergeCell ref="B89:C89"/>
    <mergeCell ref="B90:C90"/>
    <mergeCell ref="A3:H6"/>
    <mergeCell ref="A26:D26"/>
    <mergeCell ref="B24:D24"/>
    <mergeCell ref="B25:D25"/>
    <mergeCell ref="E26:H26"/>
    <mergeCell ref="B23:D23"/>
    <mergeCell ref="B85:C86"/>
    <mergeCell ref="I85:I86"/>
    <mergeCell ref="H85:H86"/>
    <mergeCell ref="G85:G86"/>
    <mergeCell ref="F85:F86"/>
    <mergeCell ref="E85:E86"/>
    <mergeCell ref="L3:O5"/>
    <mergeCell ref="A10:C10"/>
    <mergeCell ref="L10:M10"/>
    <mergeCell ref="N10:O10"/>
    <mergeCell ref="B22:D22"/>
    <mergeCell ref="B51:C51"/>
    <mergeCell ref="A46:F46"/>
    <mergeCell ref="A48:O49"/>
    <mergeCell ref="D51:I51"/>
    <mergeCell ref="G61:H61"/>
    <mergeCell ref="B61:D61"/>
    <mergeCell ref="B52:C52"/>
    <mergeCell ref="B53:C53"/>
    <mergeCell ref="J52:J53"/>
    <mergeCell ref="K52:K53"/>
    <mergeCell ref="L52:L53"/>
    <mergeCell ref="E32:H32"/>
    <mergeCell ref="L82:M82"/>
    <mergeCell ref="D52:I52"/>
    <mergeCell ref="D53:I53"/>
    <mergeCell ref="M52:M53"/>
    <mergeCell ref="A75:F75"/>
    <mergeCell ref="B41:E41"/>
    <mergeCell ref="G41"/>
    <mergeCell ref="G42"/>
    <mergeCell ref="B74:D74"/>
    <mergeCell ref="A63:F63"/>
    <mergeCell ref="B71:D71"/>
    <mergeCell ref="B62:D62"/>
    <mergeCell ref="G66:H66"/>
    <mergeCell ref="B73:D73"/>
    <mergeCell ref="G73:H73"/>
    <mergeCell ref="B28:D28"/>
    <mergeCell ref="B29:D29"/>
    <mergeCell ref="B30:D30"/>
    <mergeCell ref="B31:D31"/>
    <mergeCell ref="A32:D32"/>
  </mergeCells>
  <printOptions horizontalCentered="1"/>
  <pageMargins left="0" right="0" top="0.75" bottom="0" header="0.75" footer="0"/>
  <pageSetup paperSize="9" scale="4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pageSetUpPr fitToPage="1"/>
  </sheetPr>
  <dimension ref="A1:AB63"/>
  <sheetViews>
    <sheetView showGridLines="0" tabSelected="1" view="pageBreakPreview" topLeftCell="A22" zoomScale="80" zoomScaleNormal="80" zoomScaleSheetLayoutView="80" workbookViewId="0">
      <selection activeCell="Y35" sqref="Y35"/>
    </sheetView>
  </sheetViews>
  <sheetFormatPr defaultRowHeight="15" x14ac:dyDescent="0.25"/>
  <cols>
    <col min="1" max="1" width="1.7109375" style="1" customWidth="1"/>
    <col min="2" max="2" width="6.7109375" style="1" customWidth="1"/>
    <col min="3" max="3" width="15.7109375" style="2" customWidth="1"/>
    <col min="4" max="5" width="2.7109375" style="2" customWidth="1"/>
    <col min="6" max="6" width="15.7109375" style="2" customWidth="1"/>
    <col min="7" max="7" width="9.7109375" style="1" customWidth="1"/>
    <col min="8" max="11" width="6.7109375" style="1" customWidth="1"/>
    <col min="12" max="13" width="7.7109375" style="1" customWidth="1"/>
    <col min="14" max="14" width="14.7109375" style="1" customWidth="1"/>
    <col min="15" max="15" width="15.7109375" style="1" customWidth="1"/>
    <col min="16" max="16" width="18.5703125" style="1" customWidth="1"/>
    <col min="17" max="18" width="14.7109375" style="1" customWidth="1"/>
    <col min="19" max="19" width="15.7109375" style="1" customWidth="1"/>
    <col min="20" max="22" width="7.7109375" style="1" customWidth="1"/>
    <col min="23" max="23" width="5.7109375" style="1" customWidth="1"/>
    <col min="24" max="24" width="1.7109375" style="1" customWidth="1"/>
    <col min="25" max="54" width="15.7109375" style="1" customWidth="1"/>
    <col min="55" max="16384" width="9.140625" style="1"/>
  </cols>
  <sheetData>
    <row r="1" spans="2:23" x14ac:dyDescent="0.25">
      <c r="W1" s="97" t="s">
        <v>119</v>
      </c>
    </row>
    <row r="2" spans="2:23" ht="20.100000000000001" customHeight="1" x14ac:dyDescent="0.25">
      <c r="B2" s="85" t="s">
        <v>0</v>
      </c>
      <c r="C2" s="78"/>
      <c r="D2" s="78"/>
      <c r="E2" s="78"/>
      <c r="F2" s="78"/>
      <c r="G2" s="86"/>
      <c r="H2" s="86"/>
      <c r="I2" s="86"/>
      <c r="J2" s="86"/>
      <c r="K2" s="87" t="s">
        <v>61</v>
      </c>
      <c r="L2" s="88" t="s">
        <v>62</v>
      </c>
      <c r="M2" s="89"/>
      <c r="N2" s="89" t="s">
        <v>167</v>
      </c>
      <c r="O2" s="89"/>
      <c r="P2" s="89"/>
      <c r="Q2" s="90"/>
      <c r="R2" s="4" t="s">
        <v>67</v>
      </c>
      <c r="S2" s="4" t="s">
        <v>66</v>
      </c>
      <c r="T2" s="446" t="s">
        <v>54</v>
      </c>
      <c r="U2" s="447"/>
      <c r="V2" s="446" t="s">
        <v>53</v>
      </c>
      <c r="W2" s="447"/>
    </row>
    <row r="3" spans="2:23" ht="20.100000000000001" customHeight="1" x14ac:dyDescent="0.25">
      <c r="B3" s="573" t="s">
        <v>168</v>
      </c>
      <c r="C3" s="574"/>
      <c r="D3" s="574"/>
      <c r="E3" s="574"/>
      <c r="F3" s="574"/>
      <c r="G3" s="574"/>
      <c r="H3" s="574"/>
      <c r="I3" s="574"/>
      <c r="J3" s="574"/>
      <c r="K3" s="575"/>
      <c r="L3" s="91" t="s">
        <v>5</v>
      </c>
      <c r="M3" s="92"/>
      <c r="N3" s="92" t="s">
        <v>189</v>
      </c>
      <c r="O3" s="92"/>
      <c r="P3" s="92"/>
      <c r="Q3" s="93"/>
      <c r="R3" s="454" t="s">
        <v>161</v>
      </c>
      <c r="S3" s="455"/>
      <c r="T3" s="455"/>
      <c r="U3" s="455"/>
      <c r="V3" s="455"/>
      <c r="W3" s="456"/>
    </row>
    <row r="4" spans="2:23" ht="20.100000000000001" customHeight="1" x14ac:dyDescent="0.25">
      <c r="B4" s="576"/>
      <c r="C4" s="577"/>
      <c r="D4" s="577"/>
      <c r="E4" s="577"/>
      <c r="F4" s="577"/>
      <c r="G4" s="577"/>
      <c r="H4" s="577"/>
      <c r="I4" s="577"/>
      <c r="J4" s="577"/>
      <c r="K4" s="578"/>
      <c r="L4" s="91" t="s">
        <v>63</v>
      </c>
      <c r="M4" s="92"/>
      <c r="N4" s="92" t="s">
        <v>166</v>
      </c>
      <c r="O4" s="92"/>
      <c r="P4" s="92"/>
      <c r="Q4" s="93"/>
      <c r="R4" s="457"/>
      <c r="S4" s="458"/>
      <c r="T4" s="458"/>
      <c r="U4" s="458"/>
      <c r="V4" s="458"/>
      <c r="W4" s="459"/>
    </row>
    <row r="5" spans="2:23" ht="20.100000000000001" customHeight="1" x14ac:dyDescent="0.25">
      <c r="B5" s="576"/>
      <c r="C5" s="577"/>
      <c r="D5" s="577"/>
      <c r="E5" s="577"/>
      <c r="F5" s="577"/>
      <c r="G5" s="577"/>
      <c r="H5" s="577"/>
      <c r="I5" s="577"/>
      <c r="J5" s="577"/>
      <c r="K5" s="578"/>
      <c r="L5" s="91" t="s">
        <v>162</v>
      </c>
      <c r="M5" s="92"/>
      <c r="N5" s="92" t="s">
        <v>165</v>
      </c>
      <c r="O5" s="92"/>
      <c r="P5" s="92"/>
      <c r="Q5" s="93"/>
      <c r="R5" s="460"/>
      <c r="S5" s="461"/>
      <c r="T5" s="461"/>
      <c r="U5" s="461"/>
      <c r="V5" s="461"/>
      <c r="W5" s="462"/>
    </row>
    <row r="6" spans="2:23" ht="20.100000000000001" customHeight="1" x14ac:dyDescent="0.25">
      <c r="B6" s="579"/>
      <c r="C6" s="580"/>
      <c r="D6" s="580"/>
      <c r="E6" s="580"/>
      <c r="F6" s="580"/>
      <c r="G6" s="580"/>
      <c r="H6" s="580"/>
      <c r="I6" s="580"/>
      <c r="J6" s="580"/>
      <c r="K6" s="581"/>
      <c r="L6" s="94" t="s">
        <v>65</v>
      </c>
      <c r="M6" s="95"/>
      <c r="N6" s="95" t="s">
        <v>190</v>
      </c>
      <c r="O6" s="95"/>
      <c r="P6" s="95"/>
      <c r="Q6" s="96"/>
      <c r="R6" s="4" t="s">
        <v>68</v>
      </c>
      <c r="S6" s="4" t="s">
        <v>57</v>
      </c>
      <c r="T6" s="446" t="s">
        <v>56</v>
      </c>
      <c r="U6" s="447"/>
      <c r="V6" s="446" t="s">
        <v>55</v>
      </c>
      <c r="W6" s="447"/>
    </row>
    <row r="7" spans="2:23" s="216" customFormat="1" ht="15" customHeight="1" x14ac:dyDescent="0.3">
      <c r="B7" s="213"/>
      <c r="C7" s="214"/>
      <c r="D7" s="214"/>
      <c r="E7" s="214"/>
      <c r="F7" s="215"/>
      <c r="G7" s="215"/>
      <c r="H7" s="215"/>
      <c r="I7" s="215"/>
      <c r="W7" s="217"/>
    </row>
    <row r="8" spans="2:23" s="216" customFormat="1" ht="15" customHeight="1" x14ac:dyDescent="0.3">
      <c r="B8" s="213"/>
      <c r="C8" s="214"/>
      <c r="D8" s="214"/>
      <c r="E8" s="214"/>
      <c r="F8" s="214"/>
      <c r="G8" s="214"/>
      <c r="H8" s="214"/>
      <c r="I8" s="214"/>
      <c r="W8" s="217"/>
    </row>
    <row r="9" spans="2:23" s="222" customFormat="1" ht="39.950000000000003" customHeight="1" x14ac:dyDescent="0.35">
      <c r="B9" s="218" t="s">
        <v>8</v>
      </c>
      <c r="C9" s="219"/>
      <c r="D9" s="219"/>
      <c r="E9" s="219"/>
      <c r="F9" s="219"/>
      <c r="G9" s="219"/>
      <c r="H9" s="219"/>
      <c r="I9" s="733" t="str">
        <f>+'TAHAP 1'!G8</f>
        <v>: SAI - JAI</v>
      </c>
      <c r="J9" s="219"/>
      <c r="K9" s="219"/>
      <c r="L9" s="219"/>
      <c r="M9" s="219"/>
      <c r="N9" s="219"/>
      <c r="O9" s="219"/>
      <c r="P9" s="220"/>
      <c r="Q9" s="220"/>
      <c r="R9" s="220"/>
      <c r="S9" s="220"/>
      <c r="T9" s="220"/>
      <c r="U9" s="220"/>
      <c r="V9" s="220"/>
      <c r="W9" s="221"/>
    </row>
    <row r="10" spans="2:23" s="222" customFormat="1" ht="39.950000000000003" customHeight="1" x14ac:dyDescent="0.35">
      <c r="B10" s="253" t="s">
        <v>9</v>
      </c>
      <c r="C10" s="223"/>
      <c r="D10" s="223"/>
      <c r="E10" s="223"/>
      <c r="F10" s="223"/>
      <c r="G10" s="223"/>
      <c r="H10" s="223"/>
      <c r="I10" s="733" t="str">
        <f>+'TAHAP 1'!G9</f>
        <v>: BENCHMARK</v>
      </c>
      <c r="J10" s="223"/>
      <c r="K10" s="223"/>
      <c r="L10" s="223"/>
      <c r="M10" s="223"/>
      <c r="N10" s="223"/>
      <c r="O10" s="223"/>
      <c r="P10" s="220"/>
      <c r="Q10" s="220"/>
      <c r="R10" s="220"/>
      <c r="S10" s="220"/>
      <c r="T10" s="220"/>
      <c r="U10" s="220"/>
      <c r="V10" s="220"/>
      <c r="W10" s="221"/>
    </row>
    <row r="11" spans="2:23" s="226" customFormat="1" ht="20.100000000000001" customHeight="1" x14ac:dyDescent="0.25">
      <c r="B11" s="224"/>
      <c r="C11" s="225"/>
      <c r="D11" s="225"/>
      <c r="E11" s="225"/>
      <c r="F11" s="225"/>
      <c r="N11" s="227"/>
      <c r="O11" s="227"/>
      <c r="P11" s="227"/>
      <c r="Q11" s="227"/>
      <c r="R11" s="227"/>
      <c r="S11" s="227"/>
      <c r="T11" s="227"/>
      <c r="U11" s="227"/>
      <c r="V11" s="227"/>
      <c r="W11" s="228"/>
    </row>
    <row r="12" spans="2:23" s="226" customFormat="1" ht="20.100000000000001" customHeight="1" x14ac:dyDescent="0.25">
      <c r="B12" s="224"/>
      <c r="C12" s="225"/>
      <c r="D12" s="225"/>
      <c r="E12" s="225"/>
      <c r="F12" s="225"/>
      <c r="N12" s="227"/>
      <c r="O12" s="227"/>
      <c r="P12" s="227"/>
      <c r="Q12" s="227"/>
      <c r="R12" s="227"/>
      <c r="S12" s="227"/>
      <c r="T12" s="227"/>
      <c r="U12" s="227"/>
      <c r="V12" s="227"/>
      <c r="W12" s="228"/>
    </row>
    <row r="13" spans="2:23" s="226" customFormat="1" ht="20.100000000000001" customHeight="1" x14ac:dyDescent="0.25">
      <c r="B13" s="224"/>
      <c r="C13" s="225"/>
      <c r="D13" s="225"/>
      <c r="E13" s="225"/>
      <c r="F13" s="225"/>
      <c r="N13" s="227"/>
      <c r="O13" s="227"/>
      <c r="P13" s="227"/>
      <c r="Q13" s="227"/>
      <c r="R13" s="227"/>
      <c r="S13" s="227"/>
      <c r="T13" s="227"/>
      <c r="U13" s="227"/>
      <c r="V13" s="227"/>
      <c r="W13" s="228"/>
    </row>
    <row r="14" spans="2:23" s="227" customFormat="1" ht="24.95" customHeight="1" x14ac:dyDescent="0.25">
      <c r="B14" s="229" t="s">
        <v>180</v>
      </c>
      <c r="C14" s="230"/>
      <c r="D14" s="230"/>
      <c r="E14" s="230"/>
      <c r="F14" s="230"/>
      <c r="W14" s="231"/>
    </row>
    <row r="15" spans="2:23" s="234" customFormat="1" ht="24.95" customHeight="1" x14ac:dyDescent="0.25">
      <c r="B15" s="591" t="s">
        <v>1</v>
      </c>
      <c r="C15" s="594" t="s">
        <v>5</v>
      </c>
      <c r="D15" s="595"/>
      <c r="E15" s="595"/>
      <c r="F15" s="596"/>
      <c r="G15" s="594" t="s">
        <v>4</v>
      </c>
      <c r="H15" s="596"/>
      <c r="I15" s="737" t="s">
        <v>60</v>
      </c>
      <c r="J15" s="738"/>
      <c r="K15" s="582" t="s">
        <v>2</v>
      </c>
      <c r="L15" s="584"/>
      <c r="M15" s="582" t="s">
        <v>3</v>
      </c>
      <c r="N15" s="583"/>
      <c r="O15" s="584"/>
      <c r="P15" s="232">
        <v>1</v>
      </c>
      <c r="Q15" s="232">
        <v>2</v>
      </c>
      <c r="R15" s="232">
        <v>3</v>
      </c>
      <c r="S15" s="232">
        <v>4</v>
      </c>
      <c r="T15" s="606">
        <v>5</v>
      </c>
      <c r="U15" s="607"/>
      <c r="V15" s="233"/>
      <c r="W15" s="605"/>
    </row>
    <row r="16" spans="2:23" s="234" customFormat="1" ht="16.5" customHeight="1" x14ac:dyDescent="0.25">
      <c r="B16" s="592"/>
      <c r="C16" s="597"/>
      <c r="D16" s="598"/>
      <c r="E16" s="598"/>
      <c r="F16" s="599"/>
      <c r="G16" s="597"/>
      <c r="H16" s="599"/>
      <c r="I16" s="739"/>
      <c r="J16" s="740"/>
      <c r="K16" s="585"/>
      <c r="L16" s="587"/>
      <c r="M16" s="585"/>
      <c r="N16" s="586"/>
      <c r="O16" s="587"/>
      <c r="P16" s="630" t="s">
        <v>191</v>
      </c>
      <c r="Q16" s="639" t="s">
        <v>194</v>
      </c>
      <c r="R16" s="639" t="s">
        <v>212</v>
      </c>
      <c r="S16" s="639" t="s">
        <v>181</v>
      </c>
      <c r="T16" s="633" t="s">
        <v>182</v>
      </c>
      <c r="U16" s="634"/>
      <c r="V16" s="233"/>
      <c r="W16" s="605"/>
    </row>
    <row r="17" spans="2:28" s="234" customFormat="1" ht="16.5" customHeight="1" x14ac:dyDescent="0.25">
      <c r="B17" s="592"/>
      <c r="C17" s="597"/>
      <c r="D17" s="598"/>
      <c r="E17" s="598"/>
      <c r="F17" s="599"/>
      <c r="G17" s="597"/>
      <c r="H17" s="599"/>
      <c r="I17" s="739"/>
      <c r="J17" s="740"/>
      <c r="K17" s="585"/>
      <c r="L17" s="587"/>
      <c r="M17" s="585"/>
      <c r="N17" s="586"/>
      <c r="O17" s="587"/>
      <c r="P17" s="631"/>
      <c r="Q17" s="640"/>
      <c r="R17" s="640"/>
      <c r="S17" s="640"/>
      <c r="T17" s="635"/>
      <c r="U17" s="636"/>
      <c r="V17" s="233"/>
      <c r="W17" s="605"/>
    </row>
    <row r="18" spans="2:28" s="234" customFormat="1" ht="17.100000000000001" customHeight="1" x14ac:dyDescent="0.25">
      <c r="B18" s="593"/>
      <c r="C18" s="600"/>
      <c r="D18" s="601"/>
      <c r="E18" s="601"/>
      <c r="F18" s="602"/>
      <c r="G18" s="600"/>
      <c r="H18" s="602"/>
      <c r="I18" s="741"/>
      <c r="J18" s="742"/>
      <c r="K18" s="588"/>
      <c r="L18" s="590"/>
      <c r="M18" s="588"/>
      <c r="N18" s="589"/>
      <c r="O18" s="590"/>
      <c r="P18" s="632"/>
      <c r="Q18" s="641"/>
      <c r="R18" s="641"/>
      <c r="S18" s="641"/>
      <c r="T18" s="637"/>
      <c r="U18" s="638"/>
      <c r="V18" s="233"/>
      <c r="W18" s="605"/>
    </row>
    <row r="19" spans="2:28" s="235" customFormat="1" ht="99.95" customHeight="1" x14ac:dyDescent="0.25">
      <c r="B19" s="707">
        <v>1</v>
      </c>
      <c r="C19" s="708">
        <f>+'TAHAP 1'!C13</f>
        <v>45525</v>
      </c>
      <c r="D19" s="709" t="s">
        <v>6</v>
      </c>
      <c r="E19" s="709"/>
      <c r="F19" s="710">
        <f>+'TAHAP 1'!F13</f>
        <v>45527</v>
      </c>
      <c r="G19" s="711" t="str">
        <f>+'TAHAP 1'!G13:H13</f>
        <v>FA</v>
      </c>
      <c r="H19" s="712"/>
      <c r="I19" s="711" t="str">
        <f>+'TAHAP 1'!I13:J13</f>
        <v>GM</v>
      </c>
      <c r="J19" s="712"/>
      <c r="K19" s="711">
        <f>+'TAHAP 1'!K13:L13</f>
        <v>18663</v>
      </c>
      <c r="L19" s="712"/>
      <c r="M19" s="713" t="str">
        <f>+'TAHAP 1'!M13</f>
        <v>BAMBANG RIANTO</v>
      </c>
      <c r="N19" s="714"/>
      <c r="O19" s="715"/>
      <c r="P19" s="716" t="s">
        <v>183</v>
      </c>
      <c r="Q19" s="716" t="s">
        <v>7</v>
      </c>
      <c r="R19" s="716" t="s">
        <v>7</v>
      </c>
      <c r="S19" s="716" t="s">
        <v>7</v>
      </c>
      <c r="T19" s="717" t="s">
        <v>228</v>
      </c>
      <c r="U19" s="718"/>
      <c r="V19" s="216"/>
      <c r="W19" s="236"/>
      <c r="Y19" s="237" t="str">
        <f>+G19</f>
        <v>FA</v>
      </c>
      <c r="Z19" s="237" t="str">
        <f>+I19</f>
        <v>GM</v>
      </c>
      <c r="AA19" s="237">
        <f>+K19</f>
        <v>18663</v>
      </c>
      <c r="AB19" s="237" t="str">
        <f>+M19</f>
        <v>BAMBANG RIANTO</v>
      </c>
    </row>
    <row r="20" spans="2:28" s="235" customFormat="1" ht="99.95" customHeight="1" x14ac:dyDescent="0.25">
      <c r="B20" s="707">
        <v>2</v>
      </c>
      <c r="C20" s="708">
        <f>+'TAHAP 1'!C14</f>
        <v>45525</v>
      </c>
      <c r="D20" s="719" t="s">
        <v>6</v>
      </c>
      <c r="E20" s="719"/>
      <c r="F20" s="720">
        <f>+'TAHAP 1'!F14</f>
        <v>45527</v>
      </c>
      <c r="G20" s="721" t="str">
        <f>+'TAHAP 1'!G14:H14</f>
        <v>FA</v>
      </c>
      <c r="H20" s="722"/>
      <c r="I20" s="721" t="str">
        <f>+'TAHAP 1'!I14:J14</f>
        <v>CSPV</v>
      </c>
      <c r="J20" s="722"/>
      <c r="K20" s="721" t="str">
        <f>+'TAHAP 1'!K14:L14</f>
        <v>8381</v>
      </c>
      <c r="L20" s="722"/>
      <c r="M20" s="723" t="str">
        <f>+'TAHAP 1'!M14</f>
        <v>MAULVI BARUL MUHITH</v>
      </c>
      <c r="N20" s="724"/>
      <c r="O20" s="725"/>
      <c r="P20" s="716" t="s">
        <v>252</v>
      </c>
      <c r="Q20" s="716" t="s">
        <v>7</v>
      </c>
      <c r="R20" s="726" t="s">
        <v>183</v>
      </c>
      <c r="S20" s="726" t="s">
        <v>233</v>
      </c>
      <c r="T20" s="727"/>
      <c r="U20" s="728"/>
      <c r="V20" s="216"/>
      <c r="W20" s="236"/>
      <c r="Y20" s="237" t="str">
        <f t="shared" ref="Y20" si="0">+G20</f>
        <v>FA</v>
      </c>
      <c r="Z20" s="237" t="str">
        <f t="shared" ref="Z20" si="1">+I20</f>
        <v>CSPV</v>
      </c>
      <c r="AA20" s="237" t="str">
        <f t="shared" ref="AA20" si="2">+K20</f>
        <v>8381</v>
      </c>
      <c r="AB20" s="237" t="str">
        <f t="shared" ref="AB20" si="3">+M20</f>
        <v>MAULVI BARUL MUHITH</v>
      </c>
    </row>
    <row r="21" spans="2:28" s="235" customFormat="1" ht="99.95" customHeight="1" x14ac:dyDescent="0.25">
      <c r="B21" s="707">
        <v>1</v>
      </c>
      <c r="C21" s="708">
        <f>+'TAHAP 1'!C15</f>
        <v>45525</v>
      </c>
      <c r="D21" s="709" t="s">
        <v>6</v>
      </c>
      <c r="E21" s="709"/>
      <c r="F21" s="710">
        <f>+'TAHAP 1'!F15</f>
        <v>45527</v>
      </c>
      <c r="G21" s="711" t="str">
        <f>+'TAHAP 1'!G15:H15</f>
        <v>FA</v>
      </c>
      <c r="H21" s="712"/>
      <c r="I21" s="711" t="str">
        <f>+'TAHAP 1'!I15:J15</f>
        <v>SPV</v>
      </c>
      <c r="J21" s="712"/>
      <c r="K21" s="711" t="str">
        <f>+'TAHAP 1'!K15:L15</f>
        <v>21229</v>
      </c>
      <c r="L21" s="712"/>
      <c r="M21" s="713" t="str">
        <f>+'TAHAP 1'!M15</f>
        <v>AMALIA PUJI RAHAYUNINGSIH</v>
      </c>
      <c r="N21" s="714"/>
      <c r="O21" s="715"/>
      <c r="P21" s="716" t="s">
        <v>253</v>
      </c>
      <c r="Q21" s="716" t="s">
        <v>7</v>
      </c>
      <c r="R21" s="729"/>
      <c r="S21" s="729"/>
      <c r="T21" s="727"/>
      <c r="U21" s="728"/>
      <c r="V21" s="216"/>
      <c r="W21" s="236"/>
      <c r="Y21" s="237" t="str">
        <f>+G21</f>
        <v>FA</v>
      </c>
      <c r="Z21" s="237" t="str">
        <f>+I21</f>
        <v>SPV</v>
      </c>
      <c r="AA21" s="237" t="str">
        <f>+K21</f>
        <v>21229</v>
      </c>
      <c r="AB21" s="237" t="str">
        <f>+M21</f>
        <v>AMALIA PUJI RAHAYUNINGSIH</v>
      </c>
    </row>
    <row r="22" spans="2:28" s="235" customFormat="1" ht="99.95" customHeight="1" x14ac:dyDescent="0.25">
      <c r="B22" s="707">
        <v>2</v>
      </c>
      <c r="C22" s="708">
        <f>+'TAHAP 1'!C16</f>
        <v>45525</v>
      </c>
      <c r="D22" s="719" t="s">
        <v>6</v>
      </c>
      <c r="E22" s="719"/>
      <c r="F22" s="720">
        <f>+'TAHAP 1'!F16</f>
        <v>45527</v>
      </c>
      <c r="G22" s="721" t="str">
        <f>+'TAHAP 1'!G16:H16</f>
        <v>FA</v>
      </c>
      <c r="H22" s="722"/>
      <c r="I22" s="721" t="str">
        <f>+'TAHAP 1'!I16:J16</f>
        <v>ES</v>
      </c>
      <c r="J22" s="722"/>
      <c r="K22" s="721">
        <f>+'TAHAP 1'!K16:L16</f>
        <v>24995</v>
      </c>
      <c r="L22" s="722"/>
      <c r="M22" s="723" t="str">
        <f>+'TAHAP 1'!M16</f>
        <v>AYU INDRASARI SAPUTRI</v>
      </c>
      <c r="N22" s="724"/>
      <c r="O22" s="725"/>
      <c r="P22" s="716" t="s">
        <v>254</v>
      </c>
      <c r="Q22" s="716" t="s">
        <v>255</v>
      </c>
      <c r="R22" s="730"/>
      <c r="S22" s="730"/>
      <c r="T22" s="731"/>
      <c r="U22" s="732"/>
      <c r="V22" s="216"/>
      <c r="W22" s="236"/>
      <c r="Y22" s="237" t="str">
        <f t="shared" ref="Y22" si="4">+G22</f>
        <v>FA</v>
      </c>
      <c r="Z22" s="237" t="str">
        <f t="shared" ref="Z22" si="5">+I22</f>
        <v>ES</v>
      </c>
      <c r="AA22" s="237">
        <f t="shared" ref="AA22" si="6">+K22</f>
        <v>24995</v>
      </c>
      <c r="AB22" s="237" t="str">
        <f t="shared" ref="AB22" si="7">+M22</f>
        <v>AYU INDRASARI SAPUTRI</v>
      </c>
    </row>
    <row r="23" spans="2:28" s="226" customFormat="1" x14ac:dyDescent="0.25">
      <c r="B23" s="224"/>
      <c r="C23" s="225"/>
      <c r="D23" s="225"/>
      <c r="E23" s="225"/>
      <c r="F23" s="225"/>
      <c r="W23" s="228"/>
    </row>
    <row r="24" spans="2:28" s="226" customFormat="1" x14ac:dyDescent="0.25">
      <c r="B24" s="224"/>
      <c r="C24" s="225"/>
      <c r="D24" s="225"/>
      <c r="E24" s="225"/>
      <c r="F24" s="225"/>
      <c r="W24" s="228"/>
    </row>
    <row r="25" spans="2:28" s="226" customFormat="1" x14ac:dyDescent="0.25">
      <c r="B25" s="224"/>
      <c r="C25" s="225"/>
      <c r="D25" s="225"/>
      <c r="E25" s="225"/>
      <c r="F25" s="225"/>
      <c r="W25" s="228"/>
    </row>
    <row r="26" spans="2:28" s="226" customFormat="1" x14ac:dyDescent="0.25">
      <c r="B26" s="224"/>
      <c r="C26" s="225"/>
      <c r="D26" s="225"/>
      <c r="E26" s="225"/>
      <c r="F26" s="225"/>
      <c r="W26" s="228"/>
    </row>
    <row r="27" spans="2:28" s="226" customFormat="1" x14ac:dyDescent="0.25">
      <c r="B27" s="224"/>
      <c r="C27" s="225"/>
      <c r="D27" s="225"/>
      <c r="E27" s="225"/>
      <c r="F27" s="225"/>
      <c r="W27" s="228"/>
    </row>
    <row r="28" spans="2:28" s="230" customFormat="1" ht="27.95" customHeight="1" x14ac:dyDescent="0.25">
      <c r="B28" s="669" t="s">
        <v>184</v>
      </c>
      <c r="C28" s="670"/>
      <c r="D28" s="670"/>
      <c r="E28" s="670"/>
      <c r="F28" s="670"/>
      <c r="G28" s="670"/>
      <c r="H28" s="670"/>
      <c r="I28" s="670"/>
      <c r="J28" s="670"/>
      <c r="K28" s="671"/>
      <c r="L28" s="594" t="s">
        <v>185</v>
      </c>
      <c r="M28" s="595"/>
      <c r="N28" s="596"/>
      <c r="O28" s="627" t="s">
        <v>204</v>
      </c>
      <c r="P28" s="628"/>
      <c r="Q28" s="628"/>
      <c r="R28" s="629"/>
      <c r="S28" s="626" t="s">
        <v>37</v>
      </c>
      <c r="T28" s="626"/>
      <c r="U28" s="626"/>
      <c r="V28" s="626"/>
      <c r="W28" s="238"/>
    </row>
    <row r="29" spans="2:28" s="230" customFormat="1" ht="30" customHeight="1" x14ac:dyDescent="0.25">
      <c r="B29" s="669"/>
      <c r="C29" s="670"/>
      <c r="D29" s="670"/>
      <c r="E29" s="670"/>
      <c r="F29" s="670"/>
      <c r="G29" s="670"/>
      <c r="H29" s="670"/>
      <c r="I29" s="670"/>
      <c r="J29" s="670"/>
      <c r="K29" s="671"/>
      <c r="L29" s="597"/>
      <c r="M29" s="598"/>
      <c r="N29" s="599"/>
      <c r="O29" s="603" t="s">
        <v>259</v>
      </c>
      <c r="P29" s="604"/>
      <c r="Q29" s="603" t="s">
        <v>230</v>
      </c>
      <c r="R29" s="604"/>
      <c r="S29" s="699" t="str">
        <f>+'TAPAH 2.2 (Rincian)'!F84</f>
        <v>Aston Sidoarjo City Hotel and Conference Center
Jalan Kahuripan Raya Kav. 14 Sidoarjo, Kahuripan, Sidoarjo, 61252, Indonesia. 
CI/CO : 21 - 23 Aug (02 Malam)
Deluxe : IDR 670.000/room/night include breakfast
Executive : IDR 950.000/room/night include breakfast</v>
      </c>
      <c r="T29" s="700"/>
      <c r="U29" s="700"/>
      <c r="V29" s="701"/>
      <c r="W29" s="238"/>
    </row>
    <row r="30" spans="2:28" s="230" customFormat="1" ht="50.1" customHeight="1" x14ac:dyDescent="0.25">
      <c r="B30" s="669"/>
      <c r="C30" s="670"/>
      <c r="D30" s="670"/>
      <c r="E30" s="670"/>
      <c r="F30" s="670"/>
      <c r="G30" s="670"/>
      <c r="H30" s="670"/>
      <c r="I30" s="670"/>
      <c r="J30" s="670"/>
      <c r="K30" s="671"/>
      <c r="L30" s="286"/>
      <c r="M30" s="288"/>
      <c r="N30" s="287"/>
      <c r="O30" s="705" t="s">
        <v>260</v>
      </c>
      <c r="P30" s="706"/>
      <c r="Q30" s="705" t="s">
        <v>7</v>
      </c>
      <c r="R30" s="706"/>
      <c r="S30" s="702"/>
      <c r="T30" s="703"/>
      <c r="U30" s="703"/>
      <c r="V30" s="704"/>
      <c r="W30" s="238"/>
    </row>
    <row r="31" spans="2:28" s="230" customFormat="1" ht="50.1" customHeight="1" x14ac:dyDescent="0.25">
      <c r="B31" s="669"/>
      <c r="C31" s="670"/>
      <c r="D31" s="670"/>
      <c r="E31" s="670"/>
      <c r="F31" s="670"/>
      <c r="G31" s="670"/>
      <c r="H31" s="670"/>
      <c r="I31" s="670"/>
      <c r="J31" s="670"/>
      <c r="K31" s="671"/>
      <c r="L31" s="266"/>
      <c r="M31" s="278"/>
      <c r="N31" s="267"/>
      <c r="O31" s="705"/>
      <c r="P31" s="706"/>
      <c r="Q31" s="705" t="s">
        <v>7</v>
      </c>
      <c r="R31" s="706"/>
      <c r="S31" s="702"/>
      <c r="T31" s="703"/>
      <c r="U31" s="703"/>
      <c r="V31" s="704"/>
      <c r="W31" s="238"/>
    </row>
    <row r="32" spans="2:28" s="230" customFormat="1" ht="60" hidden="1" customHeight="1" x14ac:dyDescent="0.25">
      <c r="B32" s="669"/>
      <c r="C32" s="670"/>
      <c r="D32" s="670"/>
      <c r="E32" s="670"/>
      <c r="F32" s="670"/>
      <c r="G32" s="670"/>
      <c r="H32" s="670"/>
      <c r="I32" s="670"/>
      <c r="J32" s="670"/>
      <c r="K32" s="671"/>
      <c r="L32" s="266"/>
      <c r="M32" s="278"/>
      <c r="N32" s="267"/>
      <c r="O32" s="665"/>
      <c r="P32" s="666"/>
      <c r="Q32" s="289"/>
      <c r="R32" s="290"/>
      <c r="S32" s="280"/>
      <c r="T32" s="281"/>
      <c r="U32" s="281"/>
      <c r="V32" s="282"/>
      <c r="W32" s="238"/>
    </row>
    <row r="33" spans="2:23" s="230" customFormat="1" ht="27.95" hidden="1" customHeight="1" x14ac:dyDescent="0.25">
      <c r="B33" s="669"/>
      <c r="C33" s="670"/>
      <c r="D33" s="670"/>
      <c r="E33" s="670"/>
      <c r="F33" s="670"/>
      <c r="G33" s="670"/>
      <c r="H33" s="670"/>
      <c r="I33" s="670"/>
      <c r="J33" s="670"/>
      <c r="K33" s="671"/>
      <c r="L33" s="266"/>
      <c r="M33" s="278"/>
      <c r="N33" s="267"/>
      <c r="O33" s="273"/>
      <c r="P33" s="274"/>
      <c r="Q33" s="289"/>
      <c r="R33" s="290"/>
      <c r="S33" s="280"/>
      <c r="T33" s="281"/>
      <c r="U33" s="281"/>
      <c r="V33" s="282"/>
      <c r="W33" s="238"/>
    </row>
    <row r="34" spans="2:23" s="230" customFormat="1" ht="60" hidden="1" customHeight="1" x14ac:dyDescent="0.25">
      <c r="B34" s="672"/>
      <c r="C34" s="673"/>
      <c r="D34" s="673"/>
      <c r="E34" s="673"/>
      <c r="F34" s="673"/>
      <c r="G34" s="673"/>
      <c r="H34" s="673"/>
      <c r="I34" s="673"/>
      <c r="J34" s="673"/>
      <c r="K34" s="674"/>
      <c r="L34" s="268"/>
      <c r="M34" s="269"/>
      <c r="N34" s="270"/>
      <c r="O34" s="667"/>
      <c r="P34" s="668"/>
      <c r="Q34" s="291"/>
      <c r="R34" s="292"/>
      <c r="S34" s="283"/>
      <c r="T34" s="284"/>
      <c r="U34" s="284"/>
      <c r="V34" s="285"/>
      <c r="W34" s="238"/>
    </row>
    <row r="35" spans="2:23" s="230" customFormat="1" ht="50.1" customHeight="1" x14ac:dyDescent="0.25">
      <c r="B35" s="315" t="s">
        <v>1</v>
      </c>
      <c r="C35" s="606" t="s">
        <v>3</v>
      </c>
      <c r="D35" s="675"/>
      <c r="E35" s="675"/>
      <c r="F35" s="607"/>
      <c r="G35" s="315" t="s">
        <v>2</v>
      </c>
      <c r="H35" s="627" t="s">
        <v>160</v>
      </c>
      <c r="I35" s="628"/>
      <c r="J35" s="628"/>
      <c r="K35" s="629"/>
      <c r="L35" s="676" t="s">
        <v>186</v>
      </c>
      <c r="M35" s="677"/>
      <c r="N35" s="279" t="s">
        <v>195</v>
      </c>
      <c r="O35" s="314" t="s">
        <v>187</v>
      </c>
      <c r="P35" s="314" t="s">
        <v>195</v>
      </c>
      <c r="Q35" s="314" t="s">
        <v>187</v>
      </c>
      <c r="R35" s="314" t="s">
        <v>195</v>
      </c>
      <c r="S35" s="314" t="s">
        <v>187</v>
      </c>
      <c r="T35" s="678" t="s">
        <v>195</v>
      </c>
      <c r="U35" s="678"/>
      <c r="V35" s="678"/>
      <c r="W35" s="238" t="s">
        <v>206</v>
      </c>
    </row>
    <row r="36" spans="2:23" s="239" customFormat="1" ht="50.1" customHeight="1" x14ac:dyDescent="0.25">
      <c r="B36" s="743">
        <f>+'TAPAH 2.2 (Rincian)'!A42</f>
        <v>1</v>
      </c>
      <c r="C36" s="744" t="str">
        <f>'TAPAH 2.2 (Rincian)'!B42</f>
        <v>BAMBANG RIANTO</v>
      </c>
      <c r="D36" s="745"/>
      <c r="E36" s="745"/>
      <c r="F36" s="746"/>
      <c r="G36" s="743">
        <f>+'TAHAP 1'!K13</f>
        <v>18663</v>
      </c>
      <c r="H36" s="747" t="s">
        <v>257</v>
      </c>
      <c r="I36" s="748"/>
      <c r="J36" s="748"/>
      <c r="K36" s="749"/>
      <c r="L36" s="750">
        <f>'TAPAH 2.2 (Rincian)'!G42</f>
        <v>270000</v>
      </c>
      <c r="M36" s="751"/>
      <c r="N36" s="752"/>
      <c r="O36" s="753">
        <f>+'TAPAH 2.2 (Rincian)'!H77</f>
        <v>3500000</v>
      </c>
      <c r="P36" s="754"/>
      <c r="Q36" s="755">
        <v>0</v>
      </c>
      <c r="R36" s="756"/>
      <c r="S36" s="755">
        <f>+'TAPAH 2.2 (Rincian)'!H87</f>
        <v>1900000</v>
      </c>
      <c r="T36" s="757"/>
      <c r="U36" s="757"/>
      <c r="V36" s="757"/>
      <c r="W36" s="240"/>
    </row>
    <row r="37" spans="2:23" s="239" customFormat="1" ht="50.1" customHeight="1" x14ac:dyDescent="0.25">
      <c r="B37" s="743">
        <v>2</v>
      </c>
      <c r="C37" s="744" t="str">
        <f>'TAPAH 2.2 (Rincian)'!B43</f>
        <v>MAULVI BARUL MUHITH</v>
      </c>
      <c r="D37" s="745"/>
      <c r="E37" s="745"/>
      <c r="F37" s="746"/>
      <c r="G37" s="743" t="str">
        <f>+'TAHAP 1'!K14</f>
        <v>8381</v>
      </c>
      <c r="H37" s="747" t="s">
        <v>256</v>
      </c>
      <c r="I37" s="758"/>
      <c r="J37" s="758"/>
      <c r="K37" s="759"/>
      <c r="L37" s="750">
        <f>'TAPAH 2.2 (Rincian)'!G43</f>
        <v>230000</v>
      </c>
      <c r="M37" s="751"/>
      <c r="N37" s="760"/>
      <c r="O37" s="761"/>
      <c r="P37" s="762"/>
      <c r="Q37" s="755">
        <v>0</v>
      </c>
      <c r="R37" s="756"/>
      <c r="S37" s="755">
        <f>+'TAPAH 2.2 (Rincian)'!H88</f>
        <v>1340000</v>
      </c>
      <c r="T37" s="763"/>
      <c r="U37" s="764"/>
      <c r="V37" s="765"/>
      <c r="W37" s="240"/>
    </row>
    <row r="38" spans="2:23" s="239" customFormat="1" ht="50.1" customHeight="1" x14ac:dyDescent="0.25">
      <c r="B38" s="743">
        <v>3</v>
      </c>
      <c r="C38" s="744" t="str">
        <f>'TAPAH 2.2 (Rincian)'!B44</f>
        <v>AMALIA PUJI RAHAYUNINGSIH</v>
      </c>
      <c r="D38" s="745"/>
      <c r="E38" s="745"/>
      <c r="F38" s="746"/>
      <c r="G38" s="743" t="str">
        <f>+'TAHAP 1'!K15</f>
        <v>21229</v>
      </c>
      <c r="H38" s="747"/>
      <c r="I38" s="748"/>
      <c r="J38" s="748"/>
      <c r="K38" s="749"/>
      <c r="L38" s="750">
        <f>'TAPAH 2.2 (Rincian)'!G44</f>
        <v>230000</v>
      </c>
      <c r="M38" s="751"/>
      <c r="N38" s="752"/>
      <c r="O38" s="761"/>
      <c r="P38" s="762"/>
      <c r="Q38" s="755">
        <v>0</v>
      </c>
      <c r="R38" s="756"/>
      <c r="S38" s="766">
        <f>+'TAPAH 2.2 (Rincian)'!H89</f>
        <v>1340000</v>
      </c>
      <c r="T38" s="757"/>
      <c r="U38" s="757"/>
      <c r="V38" s="757"/>
      <c r="W38" s="240"/>
    </row>
    <row r="39" spans="2:23" s="239" customFormat="1" ht="50.1" customHeight="1" thickBot="1" x14ac:dyDescent="0.3">
      <c r="B39" s="767">
        <v>4</v>
      </c>
      <c r="C39" s="768" t="str">
        <f>'TAPAH 2.2 (Rincian)'!B45</f>
        <v>AYU INDRASARI SAPUTRI</v>
      </c>
      <c r="D39" s="769"/>
      <c r="E39" s="769"/>
      <c r="F39" s="770"/>
      <c r="G39" s="767">
        <f>+'TAHAP 1'!K16</f>
        <v>24995</v>
      </c>
      <c r="H39" s="771" t="s">
        <v>258</v>
      </c>
      <c r="I39" s="772"/>
      <c r="J39" s="772"/>
      <c r="K39" s="773"/>
      <c r="L39" s="774">
        <f>'TAPAH 2.2 (Rincian)'!G45</f>
        <v>185000</v>
      </c>
      <c r="M39" s="775"/>
      <c r="N39" s="776"/>
      <c r="O39" s="777"/>
      <c r="P39" s="778"/>
      <c r="Q39" s="779">
        <v>0</v>
      </c>
      <c r="R39" s="780"/>
      <c r="S39" s="781"/>
      <c r="T39" s="782"/>
      <c r="U39" s="783"/>
      <c r="V39" s="784"/>
      <c r="W39" s="240"/>
    </row>
    <row r="40" spans="2:23" s="230" customFormat="1" ht="35.1" customHeight="1" thickTop="1" x14ac:dyDescent="0.25">
      <c r="B40" s="785" t="s">
        <v>179</v>
      </c>
      <c r="C40" s="785"/>
      <c r="D40" s="785"/>
      <c r="E40" s="785"/>
      <c r="F40" s="785"/>
      <c r="G40" s="785"/>
      <c r="H40" s="785"/>
      <c r="I40" s="785"/>
      <c r="J40" s="785"/>
      <c r="K40" s="785"/>
      <c r="L40" s="786">
        <f>SUM(L36:M39)</f>
        <v>915000</v>
      </c>
      <c r="M40" s="786"/>
      <c r="N40" s="786"/>
      <c r="O40" s="786">
        <f>SUM(O36:O37)</f>
        <v>3500000</v>
      </c>
      <c r="P40" s="786"/>
      <c r="Q40" s="786">
        <f>SUM(Q36:Q37)</f>
        <v>0</v>
      </c>
      <c r="R40" s="786"/>
      <c r="S40" s="786">
        <f>SUM(S36:S39)</f>
        <v>4580000</v>
      </c>
      <c r="T40" s="786"/>
      <c r="U40" s="786"/>
      <c r="V40" s="786"/>
      <c r="W40" s="238"/>
    </row>
    <row r="41" spans="2:23" s="239" customFormat="1" ht="45" customHeight="1" x14ac:dyDescent="0.25">
      <c r="B41" s="787" t="s">
        <v>12</v>
      </c>
      <c r="C41" s="787"/>
      <c r="D41" s="787"/>
      <c r="E41" s="787"/>
      <c r="F41" s="787"/>
      <c r="G41" s="787"/>
      <c r="H41" s="787"/>
      <c r="I41" s="787"/>
      <c r="J41" s="787"/>
      <c r="K41" s="787"/>
      <c r="L41" s="788">
        <f>SUM(L40:V40)</f>
        <v>8995000</v>
      </c>
      <c r="M41" s="788"/>
      <c r="N41" s="788"/>
      <c r="O41" s="788"/>
      <c r="P41" s="788"/>
      <c r="Q41" s="788"/>
      <c r="R41" s="788"/>
      <c r="S41" s="788"/>
      <c r="T41" s="788"/>
      <c r="U41" s="788"/>
      <c r="V41" s="788"/>
      <c r="W41" s="240"/>
    </row>
    <row r="42" spans="2:23" s="226" customFormat="1" ht="20.100000000000001" customHeight="1" x14ac:dyDescent="0.25">
      <c r="B42" s="224"/>
      <c r="C42" s="225"/>
      <c r="D42" s="225"/>
      <c r="E42" s="225"/>
      <c r="F42" s="225"/>
      <c r="W42" s="228"/>
    </row>
    <row r="43" spans="2:23" s="226" customFormat="1" ht="20.100000000000001" customHeight="1" x14ac:dyDescent="0.25">
      <c r="B43" s="224"/>
      <c r="C43" s="225"/>
      <c r="D43" s="225"/>
      <c r="E43" s="225"/>
      <c r="F43" s="225"/>
      <c r="W43" s="228"/>
    </row>
    <row r="44" spans="2:23" s="226" customFormat="1" ht="20.100000000000001" customHeight="1" x14ac:dyDescent="0.25">
      <c r="B44" s="608" t="s">
        <v>214</v>
      </c>
      <c r="C44" s="609"/>
      <c r="D44" s="609"/>
      <c r="E44" s="609"/>
      <c r="F44" s="609"/>
      <c r="G44" s="609"/>
      <c r="H44" s="609"/>
      <c r="I44" s="609"/>
      <c r="J44" s="609"/>
      <c r="K44" s="609"/>
      <c r="L44" s="609"/>
      <c r="M44" s="609"/>
      <c r="N44" s="609"/>
      <c r="O44" s="609"/>
      <c r="P44" s="609"/>
      <c r="Q44" s="609"/>
      <c r="R44" s="610"/>
      <c r="S44" s="241"/>
      <c r="T44" s="617" t="s">
        <v>213</v>
      </c>
      <c r="U44" s="618"/>
      <c r="V44" s="619"/>
      <c r="W44" s="228"/>
    </row>
    <row r="45" spans="2:23" s="226" customFormat="1" ht="20.100000000000001" customHeight="1" x14ac:dyDescent="0.25">
      <c r="B45" s="611"/>
      <c r="C45" s="612"/>
      <c r="D45" s="612"/>
      <c r="E45" s="612"/>
      <c r="F45" s="612"/>
      <c r="G45" s="612"/>
      <c r="H45" s="612"/>
      <c r="I45" s="612"/>
      <c r="J45" s="612"/>
      <c r="K45" s="612"/>
      <c r="L45" s="612"/>
      <c r="M45" s="612"/>
      <c r="N45" s="612"/>
      <c r="O45" s="612"/>
      <c r="P45" s="612"/>
      <c r="Q45" s="612"/>
      <c r="R45" s="613"/>
      <c r="S45" s="241"/>
      <c r="T45" s="620"/>
      <c r="U45" s="621"/>
      <c r="V45" s="622"/>
      <c r="W45" s="228"/>
    </row>
    <row r="46" spans="2:23" s="226" customFormat="1" ht="20.100000000000001" customHeight="1" x14ac:dyDescent="0.25">
      <c r="B46" s="611"/>
      <c r="C46" s="612"/>
      <c r="D46" s="612"/>
      <c r="E46" s="612"/>
      <c r="F46" s="612"/>
      <c r="G46" s="612"/>
      <c r="H46" s="612"/>
      <c r="I46" s="612"/>
      <c r="J46" s="612"/>
      <c r="K46" s="612"/>
      <c r="L46" s="612"/>
      <c r="M46" s="612"/>
      <c r="N46" s="612"/>
      <c r="O46" s="612"/>
      <c r="P46" s="612"/>
      <c r="Q46" s="612"/>
      <c r="R46" s="613"/>
      <c r="S46" s="241"/>
      <c r="T46" s="623"/>
      <c r="U46" s="624"/>
      <c r="V46" s="625"/>
      <c r="W46" s="228"/>
    </row>
    <row r="47" spans="2:23" s="226" customFormat="1" ht="20.100000000000001" customHeight="1" x14ac:dyDescent="0.25">
      <c r="B47" s="611"/>
      <c r="C47" s="612"/>
      <c r="D47" s="612"/>
      <c r="E47" s="612"/>
      <c r="F47" s="612"/>
      <c r="G47" s="612"/>
      <c r="H47" s="612"/>
      <c r="I47" s="612"/>
      <c r="J47" s="612"/>
      <c r="K47" s="612"/>
      <c r="L47" s="612"/>
      <c r="M47" s="612"/>
      <c r="N47" s="612"/>
      <c r="O47" s="612"/>
      <c r="P47" s="612"/>
      <c r="Q47" s="612"/>
      <c r="R47" s="613"/>
      <c r="S47" s="241"/>
      <c r="T47" s="717" t="s">
        <v>183</v>
      </c>
      <c r="U47" s="734"/>
      <c r="V47" s="718"/>
      <c r="W47" s="228"/>
    </row>
    <row r="48" spans="2:23" s="227" customFormat="1" ht="20.100000000000001" customHeight="1" x14ac:dyDescent="0.25">
      <c r="B48" s="611"/>
      <c r="C48" s="612"/>
      <c r="D48" s="612"/>
      <c r="E48" s="612"/>
      <c r="F48" s="612"/>
      <c r="G48" s="612"/>
      <c r="H48" s="612"/>
      <c r="I48" s="612"/>
      <c r="J48" s="612"/>
      <c r="K48" s="612"/>
      <c r="L48" s="612"/>
      <c r="M48" s="612"/>
      <c r="N48" s="612"/>
      <c r="O48" s="612"/>
      <c r="P48" s="612"/>
      <c r="Q48" s="612"/>
      <c r="R48" s="613"/>
      <c r="S48" s="241"/>
      <c r="T48" s="727"/>
      <c r="U48" s="735"/>
      <c r="V48" s="728"/>
      <c r="W48" s="231"/>
    </row>
    <row r="49" spans="1:24" s="227" customFormat="1" ht="20.100000000000001" customHeight="1" x14ac:dyDescent="0.25">
      <c r="B49" s="611"/>
      <c r="C49" s="612"/>
      <c r="D49" s="612"/>
      <c r="E49" s="612"/>
      <c r="F49" s="612"/>
      <c r="G49" s="612"/>
      <c r="H49" s="612"/>
      <c r="I49" s="612"/>
      <c r="J49" s="612"/>
      <c r="K49" s="612"/>
      <c r="L49" s="612"/>
      <c r="M49" s="612"/>
      <c r="N49" s="612"/>
      <c r="O49" s="612"/>
      <c r="P49" s="612"/>
      <c r="Q49" s="612"/>
      <c r="R49" s="613"/>
      <c r="S49" s="241"/>
      <c r="T49" s="727"/>
      <c r="U49" s="735"/>
      <c r="V49" s="728"/>
      <c r="W49" s="242"/>
    </row>
    <row r="50" spans="1:24" s="227" customFormat="1" ht="20.100000000000001" customHeight="1" x14ac:dyDescent="0.25">
      <c r="B50" s="614"/>
      <c r="C50" s="615"/>
      <c r="D50" s="615"/>
      <c r="E50" s="615"/>
      <c r="F50" s="615"/>
      <c r="G50" s="615"/>
      <c r="H50" s="615"/>
      <c r="I50" s="615"/>
      <c r="J50" s="615"/>
      <c r="K50" s="615"/>
      <c r="L50" s="615"/>
      <c r="M50" s="615"/>
      <c r="N50" s="615"/>
      <c r="O50" s="615"/>
      <c r="P50" s="615"/>
      <c r="Q50" s="615"/>
      <c r="R50" s="616"/>
      <c r="S50" s="241"/>
      <c r="T50" s="731"/>
      <c r="U50" s="736"/>
      <c r="V50" s="732"/>
      <c r="W50" s="242"/>
    </row>
    <row r="51" spans="1:24" s="227" customFormat="1" ht="15.75" x14ac:dyDescent="0.25">
      <c r="B51" s="243"/>
      <c r="C51" s="244"/>
      <c r="D51" s="244"/>
      <c r="E51" s="244"/>
      <c r="F51" s="244"/>
      <c r="G51" s="244"/>
      <c r="H51" s="244"/>
      <c r="I51" s="244"/>
      <c r="J51" s="244"/>
      <c r="K51" s="244"/>
      <c r="L51" s="244"/>
      <c r="M51" s="244"/>
      <c r="N51" s="244"/>
      <c r="O51" s="244"/>
      <c r="P51" s="244"/>
      <c r="Q51" s="244"/>
      <c r="R51" s="230"/>
      <c r="T51" s="245"/>
      <c r="U51" s="245"/>
      <c r="V51" s="245"/>
      <c r="W51" s="246"/>
    </row>
    <row r="52" spans="1:24" s="227" customFormat="1" ht="15.75" x14ac:dyDescent="0.25">
      <c r="B52" s="243"/>
      <c r="C52" s="244"/>
      <c r="D52" s="244"/>
      <c r="E52" s="244"/>
      <c r="F52" s="244"/>
      <c r="G52" s="244"/>
      <c r="H52" s="244"/>
      <c r="I52" s="244"/>
      <c r="J52" s="244"/>
      <c r="K52" s="244"/>
      <c r="L52" s="244"/>
      <c r="M52" s="244"/>
      <c r="N52" s="244"/>
      <c r="O52" s="244"/>
      <c r="P52" s="244"/>
      <c r="Q52" s="244"/>
      <c r="R52" s="230"/>
      <c r="T52" s="245"/>
      <c r="U52" s="245"/>
      <c r="V52" s="245"/>
      <c r="W52" s="246"/>
    </row>
    <row r="53" spans="1:24" s="227" customFormat="1" ht="15.75" x14ac:dyDescent="0.25">
      <c r="B53" s="243"/>
      <c r="C53" s="244"/>
      <c r="D53" s="244"/>
      <c r="E53" s="244"/>
      <c r="F53" s="244"/>
      <c r="G53" s="244"/>
      <c r="H53" s="244"/>
      <c r="I53" s="244"/>
      <c r="J53" s="244"/>
      <c r="K53" s="244"/>
      <c r="L53" s="244"/>
      <c r="M53" s="244"/>
      <c r="N53" s="244"/>
      <c r="O53" s="244"/>
      <c r="P53" s="244"/>
      <c r="Q53" s="244"/>
      <c r="R53" s="230"/>
      <c r="T53" s="245"/>
      <c r="U53" s="245"/>
      <c r="V53" s="245"/>
      <c r="W53" s="246"/>
    </row>
    <row r="54" spans="1:24" s="227" customFormat="1" ht="15.75" x14ac:dyDescent="0.25">
      <c r="B54" s="243"/>
      <c r="C54" s="244"/>
      <c r="D54" s="244"/>
      <c r="E54" s="244"/>
      <c r="F54" s="244"/>
      <c r="G54" s="244"/>
      <c r="H54" s="244"/>
      <c r="I54" s="244"/>
      <c r="J54" s="244"/>
      <c r="K54" s="244"/>
      <c r="L54" s="244"/>
      <c r="M54" s="244"/>
      <c r="N54" s="244"/>
      <c r="O54" s="244"/>
      <c r="P54" s="244"/>
      <c r="Q54" s="244"/>
      <c r="R54" s="230"/>
      <c r="T54" s="245"/>
      <c r="U54" s="245"/>
      <c r="V54" s="245"/>
      <c r="W54" s="246"/>
    </row>
    <row r="55" spans="1:24" s="227" customFormat="1" ht="16.5" thickBot="1" x14ac:dyDescent="0.3">
      <c r="B55" s="247"/>
      <c r="C55" s="248"/>
      <c r="D55" s="249"/>
      <c r="E55" s="248"/>
      <c r="F55" s="248"/>
      <c r="G55" s="250"/>
      <c r="H55" s="250"/>
      <c r="I55" s="250"/>
      <c r="J55" s="250"/>
      <c r="K55" s="250"/>
      <c r="L55" s="250"/>
      <c r="M55" s="250"/>
      <c r="N55" s="250"/>
      <c r="O55" s="250"/>
      <c r="P55" s="250"/>
      <c r="Q55" s="250"/>
      <c r="R55" s="250"/>
      <c r="S55" s="250"/>
      <c r="T55" s="251"/>
      <c r="U55" s="251"/>
      <c r="V55" s="251"/>
      <c r="W55" s="252"/>
    </row>
    <row r="56" spans="1:24" ht="20.100000000000001" customHeight="1" thickTop="1" x14ac:dyDescent="0.25">
      <c r="B56" s="539" t="s">
        <v>113</v>
      </c>
      <c r="C56" s="540"/>
      <c r="D56" s="540"/>
      <c r="E56" s="540"/>
      <c r="F56" s="541"/>
      <c r="G56" s="546"/>
      <c r="H56" s="645"/>
      <c r="I56" s="550" t="s">
        <v>163</v>
      </c>
      <c r="J56" s="647"/>
      <c r="K56" s="647"/>
      <c r="L56" s="648"/>
      <c r="M56" s="99">
        <v>4</v>
      </c>
      <c r="N56" s="653" t="s">
        <v>174</v>
      </c>
      <c r="O56" s="654"/>
      <c r="P56" s="655"/>
      <c r="Q56" s="124">
        <v>45118</v>
      </c>
      <c r="R56" s="99" t="s">
        <v>55</v>
      </c>
      <c r="S56" s="99"/>
      <c r="T56" s="659"/>
      <c r="U56" s="660"/>
      <c r="V56" s="661"/>
      <c r="W56" s="99"/>
    </row>
    <row r="57" spans="1:24" ht="20.100000000000001" customHeight="1" x14ac:dyDescent="0.25">
      <c r="B57" s="542"/>
      <c r="C57" s="540"/>
      <c r="D57" s="540"/>
      <c r="E57" s="540"/>
      <c r="F57" s="541"/>
      <c r="G57" s="546"/>
      <c r="H57" s="645"/>
      <c r="I57" s="649"/>
      <c r="J57" s="647"/>
      <c r="K57" s="647"/>
      <c r="L57" s="648"/>
      <c r="M57" s="4">
        <v>3</v>
      </c>
      <c r="N57" s="656" t="s">
        <v>171</v>
      </c>
      <c r="O57" s="657"/>
      <c r="P57" s="658"/>
      <c r="Q57" s="125">
        <v>44702</v>
      </c>
      <c r="R57" s="4" t="s">
        <v>55</v>
      </c>
      <c r="S57" s="4"/>
      <c r="T57" s="662"/>
      <c r="U57" s="663"/>
      <c r="V57" s="664"/>
      <c r="W57" s="4"/>
    </row>
    <row r="58" spans="1:24" ht="20.100000000000001" customHeight="1" x14ac:dyDescent="0.25">
      <c r="B58" s="542"/>
      <c r="C58" s="540"/>
      <c r="D58" s="540"/>
      <c r="E58" s="540"/>
      <c r="F58" s="541"/>
      <c r="G58" s="546"/>
      <c r="H58" s="645"/>
      <c r="I58" s="649"/>
      <c r="J58" s="647"/>
      <c r="K58" s="647"/>
      <c r="L58" s="648"/>
      <c r="M58" s="4">
        <v>2</v>
      </c>
      <c r="N58" s="656" t="s">
        <v>170</v>
      </c>
      <c r="O58" s="657"/>
      <c r="P58" s="658"/>
      <c r="Q58" s="125">
        <v>44314</v>
      </c>
      <c r="R58" s="4" t="s">
        <v>55</v>
      </c>
      <c r="S58" s="4">
        <v>3</v>
      </c>
      <c r="T58" s="662">
        <f>+Q56</f>
        <v>45118</v>
      </c>
      <c r="U58" s="663"/>
      <c r="V58" s="664"/>
      <c r="W58" s="4" t="s">
        <v>57</v>
      </c>
    </row>
    <row r="59" spans="1:24" ht="20.100000000000001" customHeight="1" x14ac:dyDescent="0.25">
      <c r="B59" s="542"/>
      <c r="C59" s="540"/>
      <c r="D59" s="540"/>
      <c r="E59" s="540"/>
      <c r="F59" s="541"/>
      <c r="G59" s="546"/>
      <c r="H59" s="645"/>
      <c r="I59" s="649"/>
      <c r="J59" s="647"/>
      <c r="K59" s="647"/>
      <c r="L59" s="648"/>
      <c r="M59" s="4">
        <v>1</v>
      </c>
      <c r="N59" s="656" t="s">
        <v>169</v>
      </c>
      <c r="O59" s="657"/>
      <c r="P59" s="658"/>
      <c r="Q59" s="125">
        <v>44147</v>
      </c>
      <c r="R59" s="4" t="s">
        <v>55</v>
      </c>
      <c r="S59" s="4">
        <v>2</v>
      </c>
      <c r="T59" s="662">
        <v>44702</v>
      </c>
      <c r="U59" s="663"/>
      <c r="V59" s="664"/>
      <c r="W59" s="4" t="s">
        <v>173</v>
      </c>
    </row>
    <row r="60" spans="1:24" ht="20.100000000000001" customHeight="1" x14ac:dyDescent="0.25">
      <c r="B60" s="542"/>
      <c r="C60" s="540"/>
      <c r="D60" s="540"/>
      <c r="E60" s="540"/>
      <c r="F60" s="541"/>
      <c r="G60" s="546"/>
      <c r="H60" s="645"/>
      <c r="I60" s="649"/>
      <c r="J60" s="647"/>
      <c r="K60" s="647"/>
      <c r="L60" s="648"/>
      <c r="M60" s="4">
        <v>0</v>
      </c>
      <c r="N60" s="656" t="s">
        <v>112</v>
      </c>
      <c r="O60" s="657"/>
      <c r="P60" s="658"/>
      <c r="Q60" s="125">
        <v>45113</v>
      </c>
      <c r="R60" s="4" t="s">
        <v>172</v>
      </c>
      <c r="S60" s="4">
        <v>1</v>
      </c>
      <c r="T60" s="662">
        <v>44314</v>
      </c>
      <c r="U60" s="663"/>
      <c r="V60" s="664"/>
      <c r="W60" s="4" t="s">
        <v>57</v>
      </c>
    </row>
    <row r="61" spans="1:24" s="3" customFormat="1" ht="20.100000000000001" customHeight="1" x14ac:dyDescent="0.25">
      <c r="B61" s="543"/>
      <c r="C61" s="544"/>
      <c r="D61" s="544"/>
      <c r="E61" s="544"/>
      <c r="F61" s="545"/>
      <c r="G61" s="547"/>
      <c r="H61" s="646"/>
      <c r="I61" s="650"/>
      <c r="J61" s="651"/>
      <c r="K61" s="651"/>
      <c r="L61" s="652"/>
      <c r="M61" s="18" t="s">
        <v>111</v>
      </c>
      <c r="N61" s="642" t="s">
        <v>110</v>
      </c>
      <c r="O61" s="643"/>
      <c r="P61" s="644"/>
      <c r="Q61" s="126" t="s">
        <v>5</v>
      </c>
      <c r="R61" s="18" t="s">
        <v>107</v>
      </c>
      <c r="S61" s="18" t="s">
        <v>108</v>
      </c>
      <c r="T61" s="394" t="s">
        <v>109</v>
      </c>
      <c r="U61" s="395"/>
      <c r="V61" s="396"/>
      <c r="W61" s="18" t="s">
        <v>107</v>
      </c>
    </row>
    <row r="62" spans="1:24" s="13" customFormat="1" ht="16.5" thickBot="1" x14ac:dyDescent="0.3">
      <c r="A62" s="82"/>
      <c r="B62" s="82"/>
      <c r="C62" s="83"/>
      <c r="D62" s="83"/>
      <c r="E62" s="83"/>
      <c r="F62" s="83"/>
      <c r="G62" s="82"/>
      <c r="H62" s="82"/>
      <c r="I62" s="82"/>
      <c r="J62" s="82"/>
      <c r="K62" s="82"/>
      <c r="L62" s="82"/>
      <c r="M62" s="82"/>
      <c r="N62" s="82"/>
      <c r="O62" s="82"/>
      <c r="P62" s="82"/>
      <c r="Q62" s="82"/>
      <c r="R62" s="82"/>
      <c r="S62" s="82"/>
      <c r="T62" s="82"/>
      <c r="U62" s="82"/>
      <c r="V62" s="82"/>
      <c r="W62" s="82"/>
      <c r="X62" s="82"/>
    </row>
    <row r="63" spans="1:24" ht="15.75" thickTop="1" x14ac:dyDescent="0.25">
      <c r="W63" s="97"/>
    </row>
  </sheetData>
  <mergeCells count="102">
    <mergeCell ref="C39:F39"/>
    <mergeCell ref="R20:R22"/>
    <mergeCell ref="S20:S22"/>
    <mergeCell ref="H37:K37"/>
    <mergeCell ref="H39:K39"/>
    <mergeCell ref="O29:P29"/>
    <mergeCell ref="S38:S39"/>
    <mergeCell ref="O36:O39"/>
    <mergeCell ref="P36:P39"/>
    <mergeCell ref="O30:P31"/>
    <mergeCell ref="S40:V40"/>
    <mergeCell ref="T36:V36"/>
    <mergeCell ref="T35:V35"/>
    <mergeCell ref="T37:V37"/>
    <mergeCell ref="T38:V38"/>
    <mergeCell ref="T39:V39"/>
    <mergeCell ref="L39:M39"/>
    <mergeCell ref="O32:P32"/>
    <mergeCell ref="O34:P34"/>
    <mergeCell ref="B28:K34"/>
    <mergeCell ref="C35:F35"/>
    <mergeCell ref="H35:K35"/>
    <mergeCell ref="L35:M35"/>
    <mergeCell ref="L28:N29"/>
    <mergeCell ref="H36:K36"/>
    <mergeCell ref="L37:M37"/>
    <mergeCell ref="L36:M36"/>
    <mergeCell ref="H38:K38"/>
    <mergeCell ref="L38:M38"/>
    <mergeCell ref="C36:F36"/>
    <mergeCell ref="C37:F37"/>
    <mergeCell ref="C38:F38"/>
    <mergeCell ref="T61:V61"/>
    <mergeCell ref="N61:P61"/>
    <mergeCell ref="B56:F61"/>
    <mergeCell ref="G56:H61"/>
    <mergeCell ref="I56:L61"/>
    <mergeCell ref="N56:P56"/>
    <mergeCell ref="N57:P57"/>
    <mergeCell ref="N58:P58"/>
    <mergeCell ref="N59:P59"/>
    <mergeCell ref="N60:P60"/>
    <mergeCell ref="T56:V56"/>
    <mergeCell ref="T57:V57"/>
    <mergeCell ref="T59:V59"/>
    <mergeCell ref="T60:V60"/>
    <mergeCell ref="T58:V58"/>
    <mergeCell ref="P16:P18"/>
    <mergeCell ref="T16:U18"/>
    <mergeCell ref="S16:S18"/>
    <mergeCell ref="R16:R18"/>
    <mergeCell ref="Q16:Q18"/>
    <mergeCell ref="B44:R50"/>
    <mergeCell ref="L41:V41"/>
    <mergeCell ref="T44:V46"/>
    <mergeCell ref="T47:V50"/>
    <mergeCell ref="S28:V28"/>
    <mergeCell ref="S29:V31"/>
    <mergeCell ref="Q29:R29"/>
    <mergeCell ref="Q30:R30"/>
    <mergeCell ref="Q31:R31"/>
    <mergeCell ref="B41:K41"/>
    <mergeCell ref="O28:R28"/>
    <mergeCell ref="B40:K40"/>
    <mergeCell ref="L40:N40"/>
    <mergeCell ref="O40:P40"/>
    <mergeCell ref="Q40:R40"/>
    <mergeCell ref="V2:W2"/>
    <mergeCell ref="V6:W6"/>
    <mergeCell ref="T6:U6"/>
    <mergeCell ref="T2:U2"/>
    <mergeCell ref="W15:W18"/>
    <mergeCell ref="T15:U15"/>
    <mergeCell ref="B3:K6"/>
    <mergeCell ref="R3:W5"/>
    <mergeCell ref="D19:E19"/>
    <mergeCell ref="G19:H19"/>
    <mergeCell ref="I19:J19"/>
    <mergeCell ref="K19:L19"/>
    <mergeCell ref="M19:O19"/>
    <mergeCell ref="M15:O18"/>
    <mergeCell ref="B15:B18"/>
    <mergeCell ref="C15:F18"/>
    <mergeCell ref="G15:H18"/>
    <mergeCell ref="I15:J18"/>
    <mergeCell ref="K15:L18"/>
    <mergeCell ref="D20:E20"/>
    <mergeCell ref="G20:H20"/>
    <mergeCell ref="T19:U22"/>
    <mergeCell ref="D21:E21"/>
    <mergeCell ref="G21:H21"/>
    <mergeCell ref="I21:J21"/>
    <mergeCell ref="K21:L21"/>
    <mergeCell ref="M21:O21"/>
    <mergeCell ref="I20:J20"/>
    <mergeCell ref="K20:L20"/>
    <mergeCell ref="M20:O20"/>
    <mergeCell ref="D22:E22"/>
    <mergeCell ref="G22:H22"/>
    <mergeCell ref="I22:J22"/>
    <mergeCell ref="K22:L22"/>
    <mergeCell ref="M22:O22"/>
  </mergeCells>
  <printOptions horizontalCentered="1"/>
  <pageMargins left="0" right="0" top="1" bottom="0" header="1" footer="0"/>
  <pageSetup paperSize="9" scale="4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TAHAP 1</vt:lpstr>
      <vt:lpstr>TAPAH 2.2 (Rincian)</vt:lpstr>
      <vt:lpstr>TAHAP 2.1 (SPD)</vt:lpstr>
      <vt:lpstr>'TAHAP 1'!Print_Area</vt:lpstr>
      <vt:lpstr>'TAHAP 2.1 (SPD)'!Print_Area</vt:lpstr>
      <vt:lpstr>'TAPAH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GA-12</cp:lastModifiedBy>
  <cp:lastPrinted>2024-08-05T05:20:02Z</cp:lastPrinted>
  <dcterms:created xsi:type="dcterms:W3CDTF">2023-06-18T02:33:15Z</dcterms:created>
  <dcterms:modified xsi:type="dcterms:W3CDTF">2024-08-05T05:33:20Z</dcterms:modified>
</cp:coreProperties>
</file>